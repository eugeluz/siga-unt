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ugenia\Dropbox\SIGA\"/>
    </mc:Choice>
  </mc:AlternateContent>
  <bookViews>
    <workbookView xWindow="-120" yWindow="-120" windowWidth="20730" windowHeight="11160" tabRatio="696" firstSheet="1" activeTab="1"/>
  </bookViews>
  <sheets>
    <sheet name="ddTraDa.hoja" sheetId="4" state="hidden" r:id="rId1"/>
    <sheet name="Inicio" sheetId="1" r:id="rId2"/>
    <sheet name="alumnos" sheetId="15" r:id="rId3"/>
    <sheet name="AxC" sheetId="16" r:id="rId4"/>
    <sheet name="AxC26" sheetId="20" r:id="rId5"/>
    <sheet name="Cursos" sheetId="6" r:id="rId6"/>
    <sheet name="Fechas" sheetId="12" r:id="rId7"/>
    <sheet name="Docentes" sheetId="18" r:id="rId8"/>
    <sheet name="tablas" sheetId="7" r:id="rId9"/>
    <sheet name="fac" sheetId="21" r:id="rId10"/>
  </sheets>
  <definedNames>
    <definedName name="_xlnm._FilterDatabase" localSheetId="2" hidden="1">alumnos!$A$1:$U$2362</definedName>
    <definedName name="_xlnm._FilterDatabase" localSheetId="3" hidden="1">AxC!$A$1:$E$6135</definedName>
    <definedName name="_xlnm._FilterDatabase" localSheetId="4" hidden="1">'AxC26'!$A$1:$G$2013</definedName>
    <definedName name="_xlnm._FilterDatabase" localSheetId="9" hidden="1">fac!$A$1:$B$90</definedName>
    <definedName name="_xlnm._FilterDatabase" localSheetId="6" hidden="1">Fechas!$A$1:$D$53</definedName>
    <definedName name="_xlnm._FilterDatabase" localSheetId="1" hidden="1">Inicio!#REF!</definedName>
    <definedName name="_xlnm._FilterDatabase" localSheetId="8" hidden="1">tablas!$A$1:$B$9</definedName>
    <definedName name="alum">alumnos!$A$1:$U$2201</definedName>
    <definedName name="anios">tablas!$E$11:$E$17</definedName>
    <definedName name="_xlnm.Extract" localSheetId="0">ddTraDa.hoja!$A$1</definedName>
    <definedName name="estudios">tablas!$B$2:$B$9</definedName>
    <definedName name="FiltroCargo">tablas!$H$11:$H$13</definedName>
    <definedName name="funcion">tablas!$E$2:$E$8</definedName>
    <definedName name="l_cursos">Cursos!$B:$B</definedName>
    <definedName name="L_Fechas" localSheetId="6">Fechas!$B$2:$C$6</definedName>
    <definedName name="resultado">tablas!$H$2:$H$7</definedName>
    <definedName name="tbl_Cursos">Cursos!$A$1:$I$19</definedName>
    <definedName name="unidad">fac!$A$2:$B$90</definedName>
    <definedName name="unidad2">fac!$B$2:$B$90</definedName>
  </definedNames>
  <calcPr calcId="162913"/>
</workbook>
</file>

<file path=xl/calcChain.xml><?xml version="1.0" encoding="utf-8"?>
<calcChain xmlns="http://schemas.openxmlformats.org/spreadsheetml/2006/main">
  <c r="A54" i="12" l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" i="12"/>
  <c r="G1969" i="20" l="1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H1969" i="20"/>
  <c r="H1970" i="20"/>
  <c r="H1971" i="20"/>
  <c r="H1972" i="20"/>
  <c r="H1973" i="20"/>
  <c r="H1974" i="20"/>
  <c r="H1975" i="20"/>
  <c r="H1976" i="20"/>
  <c r="H1977" i="20"/>
  <c r="H1978" i="20"/>
  <c r="H1979" i="20"/>
  <c r="H1980" i="20"/>
  <c r="H1981" i="20"/>
  <c r="H1982" i="20"/>
  <c r="H1983" i="20"/>
  <c r="H1984" i="20"/>
  <c r="H1985" i="20"/>
  <c r="H1986" i="20"/>
  <c r="H1987" i="20"/>
  <c r="H1988" i="20"/>
  <c r="H1989" i="20"/>
  <c r="H1990" i="20"/>
  <c r="H1991" i="20"/>
  <c r="H1992" i="20"/>
  <c r="H1993" i="20"/>
  <c r="H1994" i="20"/>
  <c r="H1995" i="20"/>
  <c r="H1996" i="20"/>
  <c r="H1997" i="20"/>
  <c r="H1998" i="20"/>
  <c r="H1999" i="20"/>
  <c r="H2000" i="20"/>
  <c r="H2001" i="20"/>
  <c r="H2002" i="20"/>
  <c r="H2003" i="20"/>
  <c r="H2004" i="20"/>
  <c r="H2005" i="20"/>
  <c r="H2006" i="20"/>
  <c r="H2007" i="20"/>
  <c r="H2008" i="20"/>
  <c r="H2009" i="20"/>
  <c r="H2010" i="20"/>
  <c r="H2011" i="20"/>
  <c r="H2012" i="20"/>
  <c r="H2013" i="20"/>
  <c r="G2" i="12" l="1"/>
  <c r="H1968" i="20"/>
  <c r="G1968" i="20"/>
  <c r="H1967" i="20"/>
  <c r="G1967" i="20"/>
  <c r="H1966" i="20"/>
  <c r="G1966" i="20"/>
  <c r="H1965" i="20"/>
  <c r="G1965" i="20"/>
  <c r="H1964" i="20"/>
  <c r="G1964" i="20"/>
  <c r="H1963" i="20"/>
  <c r="G1963" i="20"/>
  <c r="H1962" i="20"/>
  <c r="G1962" i="20"/>
  <c r="H1961" i="20"/>
  <c r="G1961" i="20"/>
  <c r="H1960" i="20"/>
  <c r="G1960" i="20"/>
  <c r="H1959" i="20"/>
  <c r="G1959" i="20"/>
  <c r="H1958" i="20"/>
  <c r="G1958" i="20"/>
  <c r="H1957" i="20"/>
  <c r="G1957" i="20"/>
  <c r="H1956" i="20"/>
  <c r="G1956" i="20"/>
  <c r="H1955" i="20"/>
  <c r="G1955" i="20"/>
  <c r="H1954" i="20"/>
  <c r="G1954" i="20"/>
  <c r="H1953" i="20"/>
  <c r="G1953" i="20"/>
  <c r="H1952" i="20"/>
  <c r="G1952" i="20"/>
  <c r="H1951" i="20"/>
  <c r="G1951" i="20"/>
  <c r="H1950" i="20"/>
  <c r="G1950" i="20"/>
  <c r="H1949" i="20"/>
  <c r="G1949" i="20"/>
  <c r="H1948" i="20"/>
  <c r="G1948" i="20"/>
  <c r="H1947" i="20"/>
  <c r="G1947" i="20"/>
  <c r="H1946" i="20"/>
  <c r="G1946" i="20"/>
  <c r="H1945" i="20"/>
  <c r="G1945" i="20"/>
  <c r="H1944" i="20"/>
  <c r="G1944" i="20"/>
  <c r="H1943" i="20"/>
  <c r="G1943" i="20"/>
  <c r="H1942" i="20"/>
  <c r="G1942" i="20"/>
  <c r="H1941" i="20"/>
  <c r="G1941" i="20"/>
  <c r="H1940" i="20"/>
  <c r="G1940" i="20"/>
  <c r="H1939" i="20"/>
  <c r="G1939" i="20"/>
  <c r="H1938" i="20"/>
  <c r="G1938" i="20"/>
  <c r="H1937" i="20"/>
  <c r="G1937" i="20"/>
  <c r="H1936" i="20"/>
  <c r="G1936" i="20"/>
  <c r="H1935" i="20"/>
  <c r="G1935" i="20"/>
  <c r="H1934" i="20"/>
  <c r="G1934" i="20"/>
  <c r="H1933" i="20"/>
  <c r="G1933" i="20"/>
  <c r="H1932" i="20"/>
  <c r="G1932" i="20"/>
  <c r="H1931" i="20"/>
  <c r="G1931" i="20"/>
  <c r="H1930" i="20"/>
  <c r="G1930" i="20"/>
  <c r="H1929" i="20"/>
  <c r="G1929" i="20"/>
  <c r="H1928" i="20"/>
  <c r="G1928" i="20"/>
  <c r="H1927" i="20"/>
  <c r="G1927" i="20"/>
  <c r="H1926" i="20"/>
  <c r="G1926" i="20"/>
  <c r="H1925" i="20"/>
  <c r="G1925" i="20"/>
  <c r="H1924" i="20"/>
  <c r="G1924" i="20"/>
  <c r="H1923" i="20"/>
  <c r="G1923" i="20"/>
  <c r="H1922" i="20"/>
  <c r="G1922" i="20"/>
  <c r="H1921" i="20"/>
  <c r="G1921" i="20"/>
  <c r="H1920" i="20"/>
  <c r="G1920" i="20"/>
  <c r="H1919" i="20"/>
  <c r="G1919" i="20"/>
  <c r="H1918" i="20"/>
  <c r="G1918" i="20"/>
  <c r="H1917" i="20"/>
  <c r="G1917" i="20"/>
  <c r="H1916" i="20"/>
  <c r="G1916" i="20"/>
  <c r="H1915" i="20"/>
  <c r="G1915" i="20"/>
  <c r="H1914" i="20"/>
  <c r="G1914" i="20"/>
  <c r="H1913" i="20"/>
  <c r="G1913" i="20"/>
  <c r="H1912" i="20"/>
  <c r="G1912" i="20"/>
  <c r="H1911" i="20"/>
  <c r="G1911" i="20"/>
  <c r="H1910" i="20"/>
  <c r="G1910" i="20"/>
  <c r="H1909" i="20"/>
  <c r="G1909" i="20"/>
  <c r="H1908" i="20"/>
  <c r="G1908" i="20"/>
  <c r="H1907" i="20"/>
  <c r="G1907" i="20"/>
  <c r="H1906" i="20"/>
  <c r="G1906" i="20"/>
  <c r="H1905" i="20"/>
  <c r="G1905" i="20"/>
  <c r="H1904" i="20"/>
  <c r="G1904" i="20"/>
  <c r="H1903" i="20"/>
  <c r="G1903" i="20"/>
  <c r="H1902" i="20"/>
  <c r="G1902" i="20"/>
  <c r="H1901" i="20"/>
  <c r="G1901" i="20"/>
  <c r="H1900" i="20"/>
  <c r="G1900" i="20"/>
  <c r="H1899" i="20"/>
  <c r="G1899" i="20"/>
  <c r="H1898" i="20"/>
  <c r="G1898" i="20"/>
  <c r="H1897" i="20"/>
  <c r="G1897" i="20"/>
  <c r="H1896" i="20"/>
  <c r="G1896" i="20"/>
  <c r="H1895" i="20"/>
  <c r="G1895" i="20"/>
  <c r="H1894" i="20"/>
  <c r="G1894" i="20"/>
  <c r="H1893" i="20"/>
  <c r="G1893" i="20"/>
  <c r="H1892" i="20"/>
  <c r="G1892" i="20"/>
  <c r="H1891" i="20"/>
  <c r="G1891" i="20"/>
  <c r="H1890" i="20"/>
  <c r="G1890" i="20"/>
  <c r="H1889" i="20"/>
  <c r="G1889" i="20"/>
  <c r="H1888" i="20"/>
  <c r="G1888" i="20"/>
  <c r="H1887" i="20"/>
  <c r="G1887" i="20"/>
  <c r="H1886" i="20"/>
  <c r="G1886" i="20"/>
  <c r="H1885" i="20"/>
  <c r="G1885" i="20"/>
  <c r="H1884" i="20"/>
  <c r="G1884" i="20"/>
  <c r="H1883" i="20"/>
  <c r="G1883" i="20"/>
  <c r="H1882" i="20"/>
  <c r="G1882" i="20"/>
  <c r="H1881" i="20"/>
  <c r="G1881" i="20"/>
  <c r="H1880" i="20"/>
  <c r="G1880" i="20"/>
  <c r="H1879" i="20"/>
  <c r="G1879" i="20"/>
  <c r="H1878" i="20"/>
  <c r="G1878" i="20"/>
  <c r="H1877" i="20"/>
  <c r="G1877" i="20"/>
  <c r="H1876" i="20"/>
  <c r="G1876" i="20"/>
  <c r="H1875" i="20"/>
  <c r="G1875" i="20"/>
  <c r="H1874" i="20"/>
  <c r="G1874" i="20"/>
  <c r="H1873" i="20"/>
  <c r="G1873" i="20"/>
  <c r="H1872" i="20"/>
  <c r="G1872" i="20"/>
  <c r="H1871" i="20"/>
  <c r="G1871" i="20"/>
  <c r="H1870" i="20"/>
  <c r="G1870" i="20"/>
  <c r="H1869" i="20"/>
  <c r="G1869" i="20"/>
  <c r="H1868" i="20"/>
  <c r="G1868" i="20"/>
  <c r="H1867" i="20"/>
  <c r="G1867" i="20"/>
  <c r="H1866" i="20"/>
  <c r="G1866" i="20"/>
  <c r="H1865" i="20"/>
  <c r="G1865" i="20"/>
  <c r="H1864" i="20"/>
  <c r="G1864" i="20"/>
  <c r="H1863" i="20"/>
  <c r="G1863" i="20"/>
  <c r="H1862" i="20"/>
  <c r="G1862" i="20"/>
  <c r="H1861" i="20"/>
  <c r="G1861" i="20"/>
  <c r="H1860" i="20"/>
  <c r="G1860" i="20"/>
  <c r="H1859" i="20"/>
  <c r="G1859" i="20"/>
  <c r="H1858" i="20"/>
  <c r="G1858" i="20"/>
  <c r="H1857" i="20"/>
  <c r="G1857" i="20"/>
  <c r="H1856" i="20"/>
  <c r="G1856" i="20"/>
  <c r="H1855" i="20"/>
  <c r="G1855" i="20"/>
  <c r="H1854" i="20"/>
  <c r="G1854" i="20"/>
  <c r="H1853" i="20"/>
  <c r="G1853" i="20"/>
  <c r="H1852" i="20"/>
  <c r="G1852" i="20"/>
  <c r="H1851" i="20"/>
  <c r="G1851" i="20"/>
  <c r="H1850" i="20"/>
  <c r="G1850" i="20"/>
  <c r="H1849" i="20"/>
  <c r="G1849" i="20"/>
  <c r="H1848" i="20"/>
  <c r="G1848" i="20"/>
  <c r="H1847" i="20"/>
  <c r="G1847" i="20"/>
  <c r="H1846" i="20"/>
  <c r="G1846" i="20"/>
  <c r="H1845" i="20"/>
  <c r="G1845" i="20"/>
  <c r="H1844" i="20"/>
  <c r="G1844" i="20"/>
  <c r="H1843" i="20"/>
  <c r="G1843" i="20"/>
  <c r="H1842" i="20"/>
  <c r="G1842" i="20"/>
  <c r="H1841" i="20"/>
  <c r="G1841" i="20"/>
  <c r="H1840" i="20"/>
  <c r="G1840" i="20"/>
  <c r="H1839" i="20"/>
  <c r="G1839" i="20"/>
  <c r="H1838" i="20"/>
  <c r="G1838" i="20"/>
  <c r="H1837" i="20"/>
  <c r="G1837" i="20"/>
  <c r="H1836" i="20"/>
  <c r="G1836" i="20"/>
  <c r="H1835" i="20"/>
  <c r="G1835" i="20"/>
  <c r="H1834" i="20"/>
  <c r="G1834" i="20"/>
  <c r="H1833" i="20"/>
  <c r="G1833" i="20"/>
  <c r="H1832" i="20"/>
  <c r="G1832" i="20"/>
  <c r="H1831" i="20"/>
  <c r="G1831" i="20"/>
  <c r="H1830" i="20"/>
  <c r="G1830" i="20"/>
  <c r="H1829" i="20"/>
  <c r="G1829" i="20"/>
  <c r="H1828" i="20"/>
  <c r="G1828" i="20"/>
  <c r="H1827" i="20"/>
  <c r="G1827" i="20"/>
  <c r="H1826" i="20"/>
  <c r="G1826" i="20"/>
  <c r="H1825" i="20"/>
  <c r="G1825" i="20"/>
  <c r="H1824" i="20"/>
  <c r="G1824" i="20"/>
  <c r="H1823" i="20"/>
  <c r="G1823" i="20"/>
  <c r="H1822" i="20"/>
  <c r="G1822" i="20"/>
  <c r="H1821" i="20"/>
  <c r="G1821" i="20"/>
  <c r="H1820" i="20"/>
  <c r="G1820" i="20"/>
  <c r="H1819" i="20"/>
  <c r="G1819" i="20"/>
  <c r="H1818" i="20"/>
  <c r="G1818" i="20"/>
  <c r="H1817" i="20"/>
  <c r="G1817" i="20"/>
  <c r="H1816" i="20"/>
  <c r="G1816" i="20"/>
  <c r="H1815" i="20"/>
  <c r="G1815" i="20"/>
  <c r="H1814" i="20"/>
  <c r="G1814" i="20"/>
  <c r="H1813" i="20"/>
  <c r="G1813" i="20"/>
  <c r="H1812" i="20"/>
  <c r="G1812" i="20"/>
  <c r="H1811" i="20"/>
  <c r="G1811" i="20"/>
  <c r="H1810" i="20"/>
  <c r="G1810" i="20"/>
  <c r="H1809" i="20"/>
  <c r="G1809" i="20"/>
  <c r="H1808" i="20"/>
  <c r="G1808" i="20"/>
  <c r="H1807" i="20"/>
  <c r="G1807" i="20"/>
  <c r="H1806" i="20"/>
  <c r="G1806" i="20"/>
  <c r="H1805" i="20"/>
  <c r="G1805" i="20"/>
  <c r="H1804" i="20"/>
  <c r="G1804" i="20"/>
  <c r="H1803" i="20"/>
  <c r="G1803" i="20"/>
  <c r="H1802" i="20"/>
  <c r="G1802" i="20"/>
  <c r="H1801" i="20"/>
  <c r="G1801" i="20"/>
  <c r="H1800" i="20"/>
  <c r="G1800" i="20"/>
  <c r="H1799" i="20"/>
  <c r="G1799" i="20"/>
  <c r="H1798" i="20"/>
  <c r="G1798" i="20"/>
  <c r="H1797" i="20"/>
  <c r="G1797" i="20"/>
  <c r="H1796" i="20"/>
  <c r="G1796" i="20"/>
  <c r="H1795" i="20"/>
  <c r="G1795" i="20"/>
  <c r="H1794" i="20"/>
  <c r="G1794" i="20"/>
  <c r="H1793" i="20"/>
  <c r="G1793" i="20"/>
  <c r="H1792" i="20"/>
  <c r="G1792" i="20"/>
  <c r="H1791" i="20"/>
  <c r="G1791" i="20"/>
  <c r="H1790" i="20"/>
  <c r="G1790" i="20"/>
  <c r="H1789" i="20"/>
  <c r="G1789" i="20"/>
  <c r="H1788" i="20"/>
  <c r="G1788" i="20"/>
  <c r="H1787" i="20"/>
  <c r="G1787" i="20"/>
  <c r="H1786" i="20"/>
  <c r="G1786" i="20"/>
  <c r="H1785" i="20"/>
  <c r="G1785" i="20"/>
  <c r="H1784" i="20"/>
  <c r="G1784" i="20"/>
  <c r="H1783" i="20"/>
  <c r="G1783" i="20"/>
  <c r="H1782" i="20"/>
  <c r="G1782" i="20"/>
  <c r="H1781" i="20"/>
  <c r="G1781" i="20"/>
  <c r="H1780" i="20"/>
  <c r="G1780" i="20"/>
  <c r="H1779" i="20"/>
  <c r="G1779" i="20"/>
  <c r="H1778" i="20"/>
  <c r="G1778" i="20"/>
  <c r="H1777" i="20"/>
  <c r="G1777" i="20"/>
  <c r="H1776" i="20"/>
  <c r="G1776" i="20"/>
  <c r="H1775" i="20"/>
  <c r="G1775" i="20"/>
  <c r="H1774" i="20"/>
  <c r="G1774" i="20"/>
  <c r="H1773" i="20"/>
  <c r="G1773" i="20"/>
  <c r="H1772" i="20"/>
  <c r="G1772" i="20"/>
  <c r="H1771" i="20"/>
  <c r="G1771" i="20"/>
  <c r="H1770" i="20"/>
  <c r="G1770" i="20"/>
  <c r="H1769" i="20"/>
  <c r="G1769" i="20"/>
  <c r="H1768" i="20"/>
  <c r="G1768" i="20"/>
  <c r="H1767" i="20"/>
  <c r="G1767" i="20"/>
  <c r="H1766" i="20"/>
  <c r="G1766" i="20"/>
  <c r="H1765" i="20"/>
  <c r="G1765" i="20"/>
  <c r="H1764" i="20"/>
  <c r="G1764" i="20"/>
  <c r="H1763" i="20"/>
  <c r="G1763" i="20"/>
  <c r="H1762" i="20"/>
  <c r="G1762" i="20"/>
  <c r="H1761" i="20"/>
  <c r="G1761" i="20"/>
  <c r="H1760" i="20"/>
  <c r="G1760" i="20"/>
  <c r="H1759" i="20"/>
  <c r="G1759" i="20"/>
  <c r="H1758" i="20"/>
  <c r="G1758" i="20"/>
  <c r="H1757" i="20"/>
  <c r="G1757" i="20"/>
  <c r="H1756" i="20"/>
  <c r="G1756" i="20"/>
  <c r="H1755" i="20"/>
  <c r="G1755" i="20"/>
  <c r="H1754" i="20"/>
  <c r="G1754" i="20"/>
  <c r="H1753" i="20"/>
  <c r="G1753" i="20"/>
  <c r="H1752" i="20"/>
  <c r="G1752" i="20"/>
  <c r="H1751" i="20"/>
  <c r="G1751" i="20"/>
  <c r="H1750" i="20"/>
  <c r="G1750" i="20"/>
  <c r="H1749" i="20"/>
  <c r="G1749" i="20"/>
  <c r="H1748" i="20"/>
  <c r="G1748" i="20"/>
  <c r="H1747" i="20"/>
  <c r="G1747" i="20"/>
  <c r="H1746" i="20"/>
  <c r="G1746" i="20"/>
  <c r="H1745" i="20"/>
  <c r="G1745" i="20"/>
  <c r="H1744" i="20"/>
  <c r="G1744" i="20"/>
  <c r="H1743" i="20"/>
  <c r="G1743" i="20"/>
  <c r="H1742" i="20"/>
  <c r="G1742" i="20"/>
  <c r="H1741" i="20"/>
  <c r="G1741" i="20"/>
  <c r="H1740" i="20"/>
  <c r="G1740" i="20"/>
  <c r="H1739" i="20"/>
  <c r="G1739" i="20"/>
  <c r="H1738" i="20"/>
  <c r="G1738" i="20"/>
  <c r="H1737" i="20"/>
  <c r="G1737" i="20"/>
  <c r="H1736" i="20"/>
  <c r="G1736" i="20"/>
  <c r="H1735" i="20"/>
  <c r="G1735" i="20"/>
  <c r="H1734" i="20"/>
  <c r="G1734" i="20"/>
  <c r="H1733" i="20"/>
  <c r="G1733" i="20"/>
  <c r="H1732" i="20"/>
  <c r="G1732" i="20"/>
  <c r="H1731" i="20"/>
  <c r="G1731" i="20"/>
  <c r="H1730" i="20"/>
  <c r="G1730" i="20"/>
  <c r="H1729" i="20"/>
  <c r="G1729" i="20"/>
  <c r="H1728" i="20"/>
  <c r="G1728" i="20"/>
  <c r="H1727" i="20"/>
  <c r="G1727" i="20"/>
  <c r="H1726" i="20"/>
  <c r="G1726" i="20"/>
  <c r="H1725" i="20"/>
  <c r="G1725" i="20"/>
  <c r="H1724" i="20"/>
  <c r="G1724" i="20"/>
  <c r="H1723" i="20"/>
  <c r="G1723" i="20"/>
  <c r="H1722" i="20"/>
  <c r="G1722" i="20"/>
  <c r="H1721" i="20"/>
  <c r="G1721" i="20"/>
  <c r="H1720" i="20"/>
  <c r="G1720" i="20"/>
  <c r="H1719" i="20"/>
  <c r="G1719" i="20"/>
  <c r="H1718" i="20"/>
  <c r="G1718" i="20"/>
  <c r="H1717" i="20"/>
  <c r="G1717" i="20"/>
  <c r="H1716" i="20"/>
  <c r="G1716" i="20"/>
  <c r="H1715" i="20"/>
  <c r="G1715" i="20"/>
  <c r="H1714" i="20"/>
  <c r="G1714" i="20"/>
  <c r="H1713" i="20"/>
  <c r="G1713" i="20"/>
  <c r="H1712" i="20"/>
  <c r="G1712" i="20"/>
  <c r="H1711" i="20"/>
  <c r="G1711" i="20"/>
  <c r="H1710" i="20"/>
  <c r="G1710" i="20"/>
  <c r="H1709" i="20"/>
  <c r="G1709" i="20"/>
  <c r="H1708" i="20"/>
  <c r="G1708" i="20"/>
  <c r="H1707" i="20"/>
  <c r="G1707" i="20"/>
  <c r="H1706" i="20"/>
  <c r="G1706" i="20"/>
  <c r="H1705" i="20"/>
  <c r="G1705" i="20"/>
  <c r="H1704" i="20"/>
  <c r="G1704" i="20"/>
  <c r="H1703" i="20"/>
  <c r="G1703" i="20"/>
  <c r="H1702" i="20"/>
  <c r="G1702" i="20"/>
  <c r="H1701" i="20"/>
  <c r="G1701" i="20"/>
  <c r="H1700" i="20"/>
  <c r="G1700" i="20"/>
  <c r="H1699" i="20"/>
  <c r="G1699" i="20"/>
  <c r="H1698" i="20"/>
  <c r="G1698" i="20"/>
  <c r="H1697" i="20"/>
  <c r="G1697" i="20"/>
  <c r="H1696" i="20"/>
  <c r="G1696" i="20"/>
  <c r="H1695" i="20"/>
  <c r="G1695" i="20"/>
  <c r="H1694" i="20"/>
  <c r="G1694" i="20"/>
  <c r="H1693" i="20"/>
  <c r="G1693" i="20"/>
  <c r="H1692" i="20"/>
  <c r="G1692" i="20"/>
  <c r="H1691" i="20"/>
  <c r="G1691" i="20"/>
  <c r="H1690" i="20"/>
  <c r="G1690" i="20"/>
  <c r="H1689" i="20"/>
  <c r="G1689" i="20"/>
  <c r="H1688" i="20"/>
  <c r="G1688" i="20"/>
  <c r="H1687" i="20"/>
  <c r="G1687" i="20"/>
  <c r="H1686" i="20"/>
  <c r="G1686" i="20"/>
  <c r="H1685" i="20"/>
  <c r="G1685" i="20"/>
  <c r="H1684" i="20"/>
  <c r="G1684" i="20"/>
  <c r="H1683" i="20"/>
  <c r="G1683" i="20"/>
  <c r="H1682" i="20"/>
  <c r="G1682" i="20"/>
  <c r="H1681" i="20"/>
  <c r="G1681" i="20"/>
  <c r="H1680" i="20"/>
  <c r="G1680" i="20"/>
  <c r="H1679" i="20"/>
  <c r="G1679" i="20"/>
  <c r="H1678" i="20"/>
  <c r="G1678" i="20"/>
  <c r="H1677" i="20"/>
  <c r="G1677" i="20"/>
  <c r="H1676" i="20"/>
  <c r="G1676" i="20"/>
  <c r="H1675" i="20"/>
  <c r="G1675" i="20"/>
  <c r="H1674" i="20"/>
  <c r="G1674" i="20"/>
  <c r="H1673" i="20"/>
  <c r="G1673" i="20"/>
  <c r="H1672" i="20"/>
  <c r="G1672" i="20"/>
  <c r="H1671" i="20"/>
  <c r="G1671" i="20"/>
  <c r="H1670" i="20"/>
  <c r="G1670" i="20"/>
  <c r="H1669" i="20"/>
  <c r="G1669" i="20"/>
  <c r="H1668" i="20"/>
  <c r="G1668" i="20"/>
  <c r="H1667" i="20"/>
  <c r="G1667" i="20"/>
  <c r="H1666" i="20"/>
  <c r="G1666" i="20"/>
  <c r="H1665" i="20"/>
  <c r="G1665" i="20"/>
  <c r="H1664" i="20"/>
  <c r="G1664" i="20"/>
  <c r="H1663" i="20"/>
  <c r="G1663" i="20"/>
  <c r="H1662" i="20"/>
  <c r="G1662" i="20"/>
  <c r="H1661" i="20"/>
  <c r="G1661" i="20"/>
  <c r="H1660" i="20"/>
  <c r="G1660" i="20"/>
  <c r="H1659" i="20"/>
  <c r="G1659" i="20"/>
  <c r="H1658" i="20"/>
  <c r="G1658" i="20"/>
  <c r="H1657" i="20"/>
  <c r="G1657" i="20"/>
  <c r="H1656" i="20"/>
  <c r="G1656" i="20"/>
  <c r="H1655" i="20"/>
  <c r="G1655" i="20"/>
  <c r="H1654" i="20"/>
  <c r="G1654" i="20"/>
  <c r="H1653" i="20"/>
  <c r="G1653" i="20"/>
  <c r="H1652" i="20"/>
  <c r="G1652" i="20"/>
  <c r="H1651" i="20"/>
  <c r="G1651" i="20"/>
  <c r="H1650" i="20"/>
  <c r="G1650" i="20"/>
  <c r="H1649" i="20"/>
  <c r="G1649" i="20"/>
  <c r="H1648" i="20"/>
  <c r="G1648" i="20"/>
  <c r="H1647" i="20"/>
  <c r="G1647" i="20"/>
  <c r="H1646" i="20"/>
  <c r="G1646" i="20"/>
  <c r="H1645" i="20"/>
  <c r="G1645" i="20"/>
  <c r="H1644" i="20"/>
  <c r="G1644" i="20"/>
  <c r="H1643" i="20"/>
  <c r="G1643" i="20"/>
  <c r="H1642" i="20"/>
  <c r="G1642" i="20"/>
  <c r="H1641" i="20"/>
  <c r="G1641" i="20"/>
  <c r="H1640" i="20"/>
  <c r="G1640" i="20"/>
  <c r="H1639" i="20"/>
  <c r="G1639" i="20"/>
  <c r="H1638" i="20"/>
  <c r="G1638" i="20"/>
  <c r="H1637" i="20"/>
  <c r="G1637" i="20"/>
  <c r="H1636" i="20"/>
  <c r="G1636" i="20"/>
  <c r="H1635" i="20"/>
  <c r="G1635" i="20"/>
  <c r="H1634" i="20"/>
  <c r="G1634" i="20"/>
  <c r="H1633" i="20"/>
  <c r="G1633" i="20"/>
  <c r="H1632" i="20"/>
  <c r="G1632" i="20"/>
  <c r="H1631" i="20"/>
  <c r="G1631" i="20"/>
  <c r="H1630" i="20"/>
  <c r="G1630" i="20"/>
  <c r="H1629" i="20"/>
  <c r="G1629" i="20"/>
  <c r="H1628" i="20"/>
  <c r="G1628" i="20"/>
  <c r="H1627" i="20"/>
  <c r="G1627" i="20"/>
  <c r="H1626" i="20"/>
  <c r="G1626" i="20"/>
  <c r="H1625" i="20"/>
  <c r="G1625" i="20"/>
  <c r="H1624" i="20"/>
  <c r="G1624" i="20"/>
  <c r="H1623" i="20"/>
  <c r="G1623" i="20"/>
  <c r="H1622" i="20"/>
  <c r="G1622" i="20"/>
  <c r="H1621" i="20"/>
  <c r="G1621" i="20"/>
  <c r="H1620" i="20"/>
  <c r="G1620" i="20"/>
  <c r="H1619" i="20"/>
  <c r="G1619" i="20"/>
  <c r="H1618" i="20"/>
  <c r="G1618" i="20"/>
  <c r="H1617" i="20"/>
  <c r="G1617" i="20"/>
  <c r="H1616" i="20"/>
  <c r="G1616" i="20"/>
  <c r="H1615" i="20"/>
  <c r="G1615" i="20"/>
  <c r="H1614" i="20"/>
  <c r="G1614" i="20"/>
  <c r="H1613" i="20"/>
  <c r="G1613" i="20"/>
  <c r="H1612" i="20"/>
  <c r="G1612" i="20"/>
  <c r="H1611" i="20"/>
  <c r="G1611" i="20"/>
  <c r="H1610" i="20"/>
  <c r="G1610" i="20"/>
  <c r="H1609" i="20"/>
  <c r="G1609" i="20"/>
  <c r="H1608" i="20"/>
  <c r="G1608" i="20"/>
  <c r="H1607" i="20"/>
  <c r="G1607" i="20"/>
  <c r="H1606" i="20"/>
  <c r="G1606" i="20"/>
  <c r="H1605" i="20"/>
  <c r="G1605" i="20"/>
  <c r="H1604" i="20"/>
  <c r="G1604" i="20"/>
  <c r="H1603" i="20"/>
  <c r="G1603" i="20"/>
  <c r="H1602" i="20"/>
  <c r="G1602" i="20"/>
  <c r="H1601" i="20"/>
  <c r="G1601" i="20"/>
  <c r="H1600" i="20"/>
  <c r="G1600" i="20"/>
  <c r="H1599" i="20"/>
  <c r="G1599" i="20"/>
  <c r="H1598" i="20"/>
  <c r="G1598" i="20"/>
  <c r="H1597" i="20"/>
  <c r="G1597" i="20"/>
  <c r="H1596" i="20"/>
  <c r="G1596" i="20"/>
  <c r="H1595" i="20"/>
  <c r="G1595" i="20"/>
  <c r="H1594" i="20"/>
  <c r="G1594" i="20"/>
  <c r="H1593" i="20"/>
  <c r="G1593" i="20"/>
  <c r="H1592" i="20"/>
  <c r="G1592" i="20"/>
  <c r="H1591" i="20"/>
  <c r="G1591" i="20"/>
  <c r="H1590" i="20"/>
  <c r="G1590" i="20"/>
  <c r="H1589" i="20"/>
  <c r="G1589" i="20"/>
  <c r="H1588" i="20"/>
  <c r="G1588" i="20"/>
  <c r="H1587" i="20"/>
  <c r="G1587" i="20"/>
  <c r="H1586" i="20"/>
  <c r="G1586" i="20"/>
  <c r="H1585" i="20"/>
  <c r="G1585" i="20"/>
  <c r="H1584" i="20"/>
  <c r="G1584" i="20"/>
  <c r="H1583" i="20"/>
  <c r="G1583" i="20"/>
  <c r="H1582" i="20"/>
  <c r="G1582" i="20"/>
  <c r="H1581" i="20"/>
  <c r="G1581" i="20"/>
  <c r="H1580" i="20"/>
  <c r="G1580" i="20"/>
  <c r="H1579" i="20"/>
  <c r="G1579" i="20"/>
  <c r="H1578" i="20"/>
  <c r="G1578" i="20"/>
  <c r="H1577" i="20"/>
  <c r="G1577" i="20"/>
  <c r="H1576" i="20"/>
  <c r="G1576" i="20"/>
  <c r="H1575" i="20"/>
  <c r="G1575" i="20"/>
  <c r="H1574" i="20"/>
  <c r="G1574" i="20"/>
  <c r="H1573" i="20"/>
  <c r="G1573" i="20"/>
  <c r="H1572" i="20"/>
  <c r="G1572" i="20"/>
  <c r="H1571" i="20"/>
  <c r="G1571" i="20"/>
  <c r="H1570" i="20"/>
  <c r="G1570" i="20"/>
  <c r="H1569" i="20"/>
  <c r="G1569" i="20"/>
  <c r="H1568" i="20"/>
  <c r="G1568" i="20"/>
  <c r="H1567" i="20"/>
  <c r="G1567" i="20"/>
  <c r="H1566" i="20"/>
  <c r="G1566" i="20"/>
  <c r="H1565" i="20"/>
  <c r="G1565" i="20"/>
  <c r="H1564" i="20"/>
  <c r="G1564" i="20"/>
  <c r="H1563" i="20"/>
  <c r="G1563" i="20"/>
  <c r="H1562" i="20"/>
  <c r="G1562" i="20"/>
  <c r="H1561" i="20"/>
  <c r="G1561" i="20"/>
  <c r="H1560" i="20"/>
  <c r="G1560" i="20"/>
  <c r="H1559" i="20"/>
  <c r="G1559" i="20"/>
  <c r="H1558" i="20"/>
  <c r="G1558" i="20"/>
  <c r="H1557" i="20"/>
  <c r="G1557" i="20"/>
  <c r="H1556" i="20"/>
  <c r="G1556" i="20"/>
  <c r="H1555" i="20"/>
  <c r="G1555" i="20"/>
  <c r="H1554" i="20"/>
  <c r="G1554" i="20"/>
  <c r="H1553" i="20"/>
  <c r="G1553" i="20"/>
  <c r="H1552" i="20"/>
  <c r="G1552" i="20"/>
  <c r="H1551" i="20"/>
  <c r="G1551" i="20"/>
  <c r="H1550" i="20"/>
  <c r="G1550" i="20"/>
  <c r="H1549" i="20"/>
  <c r="G1549" i="20"/>
  <c r="H1548" i="20"/>
  <c r="G1548" i="20"/>
  <c r="H1547" i="20"/>
  <c r="G1547" i="20"/>
  <c r="H1546" i="20"/>
  <c r="G1546" i="20"/>
  <c r="H1545" i="20"/>
  <c r="G1545" i="20"/>
  <c r="H1544" i="20"/>
  <c r="G1544" i="20"/>
  <c r="H1543" i="20"/>
  <c r="G1543" i="20"/>
  <c r="H1542" i="20"/>
  <c r="G1542" i="20"/>
  <c r="H1541" i="20"/>
  <c r="G1541" i="20"/>
  <c r="H1540" i="20"/>
  <c r="G1540" i="20"/>
  <c r="H1539" i="20"/>
  <c r="G1539" i="20"/>
  <c r="H1538" i="20"/>
  <c r="G1538" i="20"/>
  <c r="H1537" i="20"/>
  <c r="G1537" i="20"/>
  <c r="H1536" i="20"/>
  <c r="G1536" i="20"/>
  <c r="H1535" i="20"/>
  <c r="G1535" i="20"/>
  <c r="H1534" i="20"/>
  <c r="G1534" i="20"/>
  <c r="H1533" i="20"/>
  <c r="G1533" i="20"/>
  <c r="H1532" i="20"/>
  <c r="G1532" i="20"/>
  <c r="H1531" i="20"/>
  <c r="G1531" i="20"/>
  <c r="H1530" i="20"/>
  <c r="G1530" i="20"/>
  <c r="H1529" i="20"/>
  <c r="G1529" i="20"/>
  <c r="H1528" i="20"/>
  <c r="G1528" i="20"/>
  <c r="H1527" i="20"/>
  <c r="G1527" i="20"/>
  <c r="H1526" i="20"/>
  <c r="G1526" i="20"/>
  <c r="H1525" i="20"/>
  <c r="G1525" i="20"/>
  <c r="H1524" i="20"/>
  <c r="G1524" i="20"/>
  <c r="H1523" i="20"/>
  <c r="G1523" i="20"/>
  <c r="H1522" i="20"/>
  <c r="G1522" i="20"/>
  <c r="H1521" i="20"/>
  <c r="G1521" i="20"/>
  <c r="H1520" i="20"/>
  <c r="G1520" i="20"/>
  <c r="H1519" i="20"/>
  <c r="G1519" i="20"/>
  <c r="H1518" i="20"/>
  <c r="G1518" i="20"/>
  <c r="H1517" i="20"/>
  <c r="G1517" i="20"/>
  <c r="H1516" i="20"/>
  <c r="G1516" i="20"/>
  <c r="H1515" i="20"/>
  <c r="G1515" i="20"/>
  <c r="H1514" i="20"/>
  <c r="G1514" i="20"/>
  <c r="H1513" i="20"/>
  <c r="G1513" i="20"/>
  <c r="H1512" i="20"/>
  <c r="G1512" i="20"/>
  <c r="H1511" i="20"/>
  <c r="G1511" i="20"/>
  <c r="H1510" i="20"/>
  <c r="G1510" i="20"/>
  <c r="H1509" i="20"/>
  <c r="G1509" i="20"/>
  <c r="H1508" i="20"/>
  <c r="G1508" i="20"/>
  <c r="H1507" i="20"/>
  <c r="G1507" i="20"/>
  <c r="H1506" i="20"/>
  <c r="G1506" i="20"/>
  <c r="H1505" i="20"/>
  <c r="G1505" i="20"/>
  <c r="H1504" i="20"/>
  <c r="G1504" i="20"/>
  <c r="H1503" i="20"/>
  <c r="G1503" i="20"/>
  <c r="H1502" i="20"/>
  <c r="G1502" i="20"/>
  <c r="H1501" i="20"/>
  <c r="G1501" i="20"/>
  <c r="H1500" i="20"/>
  <c r="G1500" i="20"/>
  <c r="H1499" i="20"/>
  <c r="G1499" i="20"/>
  <c r="H1498" i="20"/>
  <c r="G1498" i="20"/>
  <c r="H1497" i="20"/>
  <c r="G1497" i="20"/>
  <c r="H1496" i="20"/>
  <c r="G1496" i="20"/>
  <c r="H1495" i="20"/>
  <c r="G1495" i="20"/>
  <c r="H1494" i="20"/>
  <c r="G1494" i="20"/>
  <c r="H1493" i="20"/>
  <c r="G1493" i="20"/>
  <c r="H1492" i="20"/>
  <c r="G1492" i="20"/>
  <c r="H1491" i="20"/>
  <c r="G1491" i="20"/>
  <c r="H1490" i="20"/>
  <c r="G1490" i="20"/>
  <c r="H1489" i="20"/>
  <c r="G1489" i="20"/>
  <c r="H1488" i="20"/>
  <c r="G1488" i="20"/>
  <c r="H1487" i="20"/>
  <c r="G1487" i="20"/>
  <c r="H1486" i="20"/>
  <c r="G1486" i="20"/>
  <c r="H1485" i="20"/>
  <c r="G1485" i="20"/>
  <c r="H1484" i="20"/>
  <c r="G1484" i="20"/>
  <c r="H1483" i="20"/>
  <c r="G1483" i="20"/>
  <c r="H1482" i="20"/>
  <c r="G1482" i="20"/>
  <c r="H1481" i="20"/>
  <c r="G1481" i="20"/>
  <c r="H1480" i="20"/>
  <c r="G1480" i="20"/>
  <c r="H1479" i="20"/>
  <c r="G1479" i="20"/>
  <c r="H1478" i="20"/>
  <c r="G1478" i="20"/>
  <c r="H1477" i="20"/>
  <c r="G1477" i="20"/>
  <c r="H1476" i="20"/>
  <c r="G1476" i="20"/>
  <c r="H1475" i="20"/>
  <c r="G1475" i="20"/>
  <c r="H1474" i="20"/>
  <c r="G1474" i="20"/>
  <c r="H1473" i="20"/>
  <c r="G1473" i="20"/>
  <c r="H1472" i="20"/>
  <c r="G1472" i="20"/>
  <c r="H1471" i="20"/>
  <c r="G1471" i="20"/>
  <c r="H1470" i="20"/>
  <c r="G1470" i="20"/>
  <c r="H1469" i="20"/>
  <c r="G1469" i="20"/>
  <c r="H1468" i="20"/>
  <c r="G1468" i="20"/>
  <c r="H1467" i="20"/>
  <c r="G1467" i="20"/>
  <c r="H1466" i="20"/>
  <c r="G1466" i="20"/>
  <c r="H1465" i="20"/>
  <c r="G1465" i="20"/>
  <c r="H1464" i="20"/>
  <c r="G1464" i="20"/>
  <c r="H1463" i="20"/>
  <c r="G1463" i="20"/>
  <c r="H1462" i="20"/>
  <c r="G1462" i="20"/>
  <c r="H1461" i="20"/>
  <c r="G1461" i="20"/>
  <c r="H1460" i="20"/>
  <c r="G1460" i="20"/>
  <c r="H1459" i="20"/>
  <c r="G1459" i="20"/>
  <c r="H1458" i="20"/>
  <c r="G1458" i="20"/>
  <c r="H1457" i="20"/>
  <c r="G1457" i="20"/>
  <c r="H1456" i="20"/>
  <c r="G1456" i="20"/>
  <c r="H1455" i="20"/>
  <c r="G1455" i="20"/>
  <c r="H1454" i="20"/>
  <c r="G1454" i="20"/>
  <c r="H1453" i="20"/>
  <c r="G1453" i="20"/>
  <c r="H1452" i="20"/>
  <c r="G1452" i="20"/>
  <c r="H1451" i="20"/>
  <c r="G1451" i="20"/>
  <c r="H1450" i="20"/>
  <c r="G1450" i="20"/>
  <c r="H1449" i="20"/>
  <c r="G1449" i="20"/>
  <c r="H1448" i="20"/>
  <c r="G1448" i="20"/>
  <c r="H1447" i="20"/>
  <c r="G1447" i="20"/>
  <c r="H1446" i="20"/>
  <c r="G1446" i="20"/>
  <c r="H1445" i="20"/>
  <c r="G1445" i="20"/>
  <c r="H1444" i="20"/>
  <c r="G1444" i="20"/>
  <c r="H1443" i="20"/>
  <c r="G1443" i="20"/>
  <c r="H1442" i="20"/>
  <c r="G1442" i="20"/>
  <c r="H1441" i="20"/>
  <c r="G1441" i="20"/>
  <c r="H1440" i="20"/>
  <c r="G1440" i="20"/>
  <c r="H1439" i="20"/>
  <c r="G1439" i="20"/>
  <c r="H1438" i="20"/>
  <c r="G1438" i="20"/>
  <c r="H1437" i="20"/>
  <c r="G1437" i="20"/>
  <c r="H1436" i="20"/>
  <c r="G1436" i="20"/>
  <c r="H1435" i="20"/>
  <c r="G1435" i="20"/>
  <c r="H1434" i="20"/>
  <c r="G1434" i="20"/>
  <c r="H1433" i="20"/>
  <c r="G1433" i="20"/>
  <c r="H1432" i="20"/>
  <c r="G1432" i="20"/>
  <c r="H1431" i="20"/>
  <c r="G1431" i="20"/>
  <c r="H1430" i="20"/>
  <c r="G1430" i="20"/>
  <c r="H1429" i="20"/>
  <c r="G1429" i="20"/>
  <c r="H1428" i="20"/>
  <c r="G1428" i="20"/>
  <c r="H1427" i="20"/>
  <c r="G1427" i="20"/>
  <c r="H1426" i="20"/>
  <c r="G1426" i="20"/>
  <c r="H1425" i="20"/>
  <c r="G1425" i="20"/>
  <c r="H1424" i="20"/>
  <c r="G1424" i="20"/>
  <c r="H1423" i="20"/>
  <c r="G1423" i="20"/>
  <c r="H1422" i="20"/>
  <c r="G1422" i="20"/>
  <c r="H1421" i="20"/>
  <c r="G1421" i="20"/>
  <c r="H1420" i="20"/>
  <c r="G1420" i="20"/>
  <c r="H1419" i="20"/>
  <c r="G1419" i="20"/>
  <c r="H1418" i="20"/>
  <c r="G1418" i="20"/>
  <c r="H1417" i="20"/>
  <c r="G1417" i="20"/>
  <c r="H1416" i="20"/>
  <c r="G1416" i="20"/>
  <c r="H1415" i="20"/>
  <c r="G1415" i="20"/>
  <c r="H1414" i="20"/>
  <c r="G1414" i="20"/>
  <c r="H1413" i="20"/>
  <c r="G1413" i="20"/>
  <c r="H1412" i="20"/>
  <c r="G1412" i="20"/>
  <c r="H1411" i="20"/>
  <c r="G1411" i="20"/>
  <c r="H1410" i="20"/>
  <c r="G1410" i="20"/>
  <c r="H1409" i="20"/>
  <c r="G1409" i="20"/>
  <c r="H1408" i="20"/>
  <c r="G1408" i="20"/>
  <c r="H1407" i="20"/>
  <c r="G1407" i="20"/>
  <c r="H1406" i="20"/>
  <c r="G1406" i="20"/>
  <c r="H1405" i="20"/>
  <c r="G1405" i="20"/>
  <c r="H1404" i="20"/>
  <c r="G1404" i="20"/>
  <c r="H1403" i="20"/>
  <c r="G1403" i="20"/>
  <c r="H1402" i="20"/>
  <c r="G1402" i="20"/>
  <c r="H1401" i="20"/>
  <c r="G1401" i="20"/>
  <c r="H1400" i="20"/>
  <c r="G1400" i="20"/>
  <c r="H1399" i="20"/>
  <c r="G1399" i="20"/>
  <c r="H1398" i="20"/>
  <c r="G1398" i="20"/>
  <c r="H1397" i="20"/>
  <c r="G1397" i="20"/>
  <c r="H1396" i="20"/>
  <c r="G1396" i="20"/>
  <c r="H1395" i="20"/>
  <c r="G1395" i="20"/>
  <c r="H1394" i="20"/>
  <c r="G1394" i="20"/>
  <c r="H1393" i="20"/>
  <c r="G1393" i="20"/>
  <c r="H1392" i="20"/>
  <c r="G1392" i="20"/>
  <c r="H1391" i="20"/>
  <c r="G1391" i="20"/>
  <c r="H1390" i="20"/>
  <c r="G1390" i="20"/>
  <c r="H1389" i="20"/>
  <c r="G1389" i="20"/>
  <c r="H1388" i="20"/>
  <c r="G1388" i="20"/>
  <c r="H1387" i="20"/>
  <c r="G1387" i="20"/>
  <c r="H1386" i="20"/>
  <c r="G1386" i="20"/>
  <c r="H1385" i="20"/>
  <c r="G1385" i="20"/>
  <c r="H1384" i="20"/>
  <c r="G1384" i="20"/>
  <c r="H1383" i="20"/>
  <c r="G1383" i="20"/>
  <c r="H1382" i="20"/>
  <c r="G1382" i="20"/>
  <c r="H1381" i="20"/>
  <c r="G1381" i="20"/>
  <c r="H1380" i="20"/>
  <c r="G1380" i="20"/>
  <c r="H1379" i="20"/>
  <c r="G1379" i="20"/>
  <c r="H1378" i="20"/>
  <c r="G1378" i="20"/>
  <c r="H1377" i="20"/>
  <c r="G1377" i="20"/>
  <c r="H1376" i="20"/>
  <c r="G1376" i="20"/>
  <c r="H1375" i="20"/>
  <c r="G1375" i="20"/>
  <c r="H1374" i="20"/>
  <c r="G1374" i="20"/>
  <c r="H1373" i="20"/>
  <c r="G1373" i="20"/>
  <c r="H1372" i="20"/>
  <c r="G1372" i="20"/>
  <c r="H1371" i="20"/>
  <c r="G1371" i="20"/>
  <c r="H1370" i="20"/>
  <c r="G1370" i="20"/>
  <c r="H1369" i="20"/>
  <c r="G1369" i="20"/>
  <c r="H1368" i="20"/>
  <c r="G1368" i="20"/>
  <c r="H1367" i="20"/>
  <c r="G1367" i="20"/>
  <c r="H1366" i="20"/>
  <c r="G1366" i="20"/>
  <c r="H1365" i="20"/>
  <c r="G1365" i="20"/>
  <c r="H1364" i="20"/>
  <c r="G1364" i="20"/>
  <c r="H1363" i="20"/>
  <c r="G1363" i="20"/>
  <c r="H1362" i="20"/>
  <c r="G1362" i="20"/>
  <c r="H1361" i="20"/>
  <c r="G1361" i="20"/>
  <c r="H1360" i="20"/>
  <c r="G1360" i="20"/>
  <c r="H1359" i="20"/>
  <c r="G1359" i="20"/>
  <c r="H1358" i="20"/>
  <c r="G1358" i="20"/>
  <c r="H1357" i="20"/>
  <c r="G1357" i="20"/>
  <c r="H1356" i="20"/>
  <c r="G1356" i="20"/>
  <c r="H1355" i="20"/>
  <c r="G1355" i="20"/>
  <c r="H1354" i="20"/>
  <c r="G1354" i="20"/>
  <c r="H1353" i="20"/>
  <c r="G1353" i="20"/>
  <c r="H1352" i="20"/>
  <c r="G1352" i="20"/>
  <c r="H1351" i="20"/>
  <c r="G1351" i="20"/>
  <c r="H1350" i="20"/>
  <c r="G1350" i="20"/>
  <c r="H1349" i="20"/>
  <c r="G1349" i="20"/>
  <c r="H1348" i="20"/>
  <c r="G1348" i="20"/>
  <c r="H1347" i="20"/>
  <c r="G1347" i="20"/>
  <c r="H1346" i="20"/>
  <c r="G1346" i="20"/>
  <c r="H1345" i="20"/>
  <c r="G1345" i="20"/>
  <c r="H1344" i="20"/>
  <c r="G1344" i="20"/>
  <c r="H1343" i="20"/>
  <c r="G1343" i="20"/>
  <c r="H1342" i="20"/>
  <c r="G1342" i="20"/>
  <c r="H1341" i="20"/>
  <c r="G1341" i="20"/>
  <c r="H1340" i="20"/>
  <c r="G1340" i="20"/>
  <c r="H1339" i="20"/>
  <c r="G1339" i="20"/>
  <c r="H1338" i="20"/>
  <c r="G1338" i="20"/>
  <c r="H1337" i="20"/>
  <c r="G1337" i="20"/>
  <c r="H1336" i="20"/>
  <c r="G1336" i="20"/>
  <c r="H1335" i="20"/>
  <c r="G1335" i="20"/>
  <c r="H1334" i="20"/>
  <c r="G1334" i="20"/>
  <c r="H1333" i="20"/>
  <c r="G1333" i="20"/>
  <c r="H1332" i="20"/>
  <c r="G1332" i="20"/>
  <c r="H1331" i="20"/>
  <c r="G1331" i="20"/>
  <c r="H1330" i="20"/>
  <c r="G1330" i="20"/>
  <c r="H1329" i="20"/>
  <c r="G1329" i="20"/>
  <c r="H1328" i="20"/>
  <c r="G1328" i="20"/>
  <c r="H1327" i="20"/>
  <c r="G1327" i="20"/>
  <c r="H1326" i="20"/>
  <c r="G1326" i="20"/>
  <c r="H1325" i="20"/>
  <c r="G1325" i="20"/>
  <c r="H1324" i="20"/>
  <c r="G1324" i="20"/>
  <c r="H1323" i="20"/>
  <c r="G1323" i="20"/>
  <c r="H1322" i="20"/>
  <c r="G1322" i="20"/>
  <c r="H1321" i="20"/>
  <c r="G1321" i="20"/>
  <c r="H1320" i="20"/>
  <c r="G1320" i="20"/>
  <c r="H1319" i="20"/>
  <c r="G1319" i="20"/>
  <c r="H1318" i="20"/>
  <c r="G1318" i="20"/>
  <c r="H1317" i="20"/>
  <c r="G1317" i="20"/>
  <c r="H1316" i="20"/>
  <c r="G1316" i="20"/>
  <c r="H1315" i="20"/>
  <c r="G1315" i="20"/>
  <c r="H1314" i="20"/>
  <c r="G1314" i="20"/>
  <c r="H1313" i="20"/>
  <c r="G1313" i="20"/>
  <c r="H1312" i="20"/>
  <c r="G1312" i="20"/>
  <c r="H1311" i="20"/>
  <c r="G1311" i="20"/>
  <c r="H1310" i="20"/>
  <c r="G1310" i="20"/>
  <c r="H1309" i="20"/>
  <c r="G1309" i="20"/>
  <c r="H1308" i="20"/>
  <c r="G1308" i="20"/>
  <c r="H1307" i="20"/>
  <c r="G1307" i="20"/>
  <c r="H1306" i="20"/>
  <c r="G1306" i="20"/>
  <c r="H1305" i="20"/>
  <c r="G1305" i="20"/>
  <c r="H1304" i="20"/>
  <c r="G1304" i="20"/>
  <c r="H1303" i="20"/>
  <c r="G1303" i="20"/>
  <c r="H1302" i="20"/>
  <c r="G1302" i="20"/>
  <c r="H1301" i="20"/>
  <c r="G1301" i="20"/>
  <c r="H1300" i="20"/>
  <c r="G1300" i="20"/>
  <c r="H1299" i="20"/>
  <c r="G1299" i="20"/>
  <c r="H1298" i="20"/>
  <c r="G1298" i="20"/>
  <c r="H1297" i="20"/>
  <c r="G1297" i="20"/>
  <c r="H1296" i="20"/>
  <c r="G1296" i="20"/>
  <c r="H1295" i="20"/>
  <c r="G1295" i="20"/>
  <c r="H1294" i="20"/>
  <c r="G1294" i="20"/>
  <c r="H1293" i="20"/>
  <c r="G1293" i="20"/>
  <c r="H1292" i="20"/>
  <c r="G1292" i="20"/>
  <c r="H1291" i="20"/>
  <c r="G1291" i="20"/>
  <c r="H1290" i="20"/>
  <c r="G1290" i="20"/>
  <c r="H1289" i="20"/>
  <c r="G1289" i="20"/>
  <c r="H1288" i="20"/>
  <c r="G1288" i="20"/>
  <c r="H1287" i="20"/>
  <c r="G1287" i="20"/>
  <c r="H1286" i="20"/>
  <c r="G1286" i="20"/>
  <c r="H1285" i="20"/>
  <c r="G1285" i="20"/>
  <c r="H1284" i="20"/>
  <c r="G1284" i="20"/>
  <c r="H1283" i="20"/>
  <c r="G1283" i="20"/>
  <c r="H1282" i="20"/>
  <c r="G1282" i="20"/>
  <c r="H1281" i="20"/>
  <c r="G1281" i="20"/>
  <c r="H1280" i="20"/>
  <c r="G1280" i="20"/>
  <c r="H1279" i="20"/>
  <c r="G1279" i="20"/>
  <c r="H1278" i="20"/>
  <c r="G1278" i="20"/>
  <c r="H1277" i="20"/>
  <c r="G1277" i="20"/>
  <c r="H1276" i="20"/>
  <c r="G1276" i="20"/>
  <c r="H1275" i="20"/>
  <c r="G1275" i="20"/>
  <c r="H1274" i="20"/>
  <c r="G1274" i="20"/>
  <c r="H1273" i="20"/>
  <c r="G1273" i="20"/>
  <c r="H1272" i="20"/>
  <c r="G1272" i="20"/>
  <c r="H1271" i="20"/>
  <c r="G1271" i="20"/>
  <c r="H1270" i="20"/>
  <c r="G1270" i="20"/>
  <c r="H1269" i="20"/>
  <c r="G1269" i="20"/>
  <c r="H1268" i="20"/>
  <c r="G1268" i="20"/>
  <c r="H1267" i="20"/>
  <c r="G1267" i="20"/>
  <c r="H1266" i="20"/>
  <c r="G1266" i="20"/>
  <c r="H1265" i="20"/>
  <c r="G1265" i="20"/>
  <c r="H1264" i="20"/>
  <c r="G1264" i="20"/>
  <c r="H1263" i="20"/>
  <c r="G1263" i="20"/>
  <c r="H1262" i="20"/>
  <c r="G1262" i="20"/>
  <c r="H1261" i="20"/>
  <c r="G1261" i="20"/>
  <c r="H1260" i="20"/>
  <c r="G1260" i="20"/>
  <c r="H1259" i="20"/>
  <c r="G1259" i="20"/>
  <c r="H1258" i="20"/>
  <c r="G1258" i="20"/>
  <c r="H1257" i="20"/>
  <c r="G1257" i="20"/>
  <c r="H1256" i="20"/>
  <c r="G1256" i="20"/>
  <c r="H1255" i="20"/>
  <c r="G1255" i="20"/>
  <c r="H1254" i="20"/>
  <c r="G1254" i="20"/>
  <c r="H1253" i="20"/>
  <c r="G1253" i="20"/>
  <c r="H1252" i="20"/>
  <c r="G1252" i="20"/>
  <c r="H1251" i="20"/>
  <c r="G1251" i="20"/>
  <c r="H1250" i="20"/>
  <c r="G1250" i="20"/>
  <c r="H1249" i="20"/>
  <c r="G1249" i="20"/>
  <c r="H1248" i="20"/>
  <c r="G1248" i="20"/>
  <c r="H1247" i="20"/>
  <c r="G1247" i="20"/>
  <c r="H1246" i="20"/>
  <c r="G1246" i="20"/>
  <c r="H1245" i="20"/>
  <c r="G1245" i="20"/>
  <c r="H1244" i="20"/>
  <c r="G1244" i="20"/>
  <c r="H1243" i="20"/>
  <c r="G1243" i="20"/>
  <c r="H1242" i="20"/>
  <c r="G1242" i="20"/>
  <c r="H1241" i="20"/>
  <c r="G1241" i="20"/>
  <c r="H1240" i="20"/>
  <c r="G1240" i="20"/>
  <c r="H1239" i="20"/>
  <c r="G1239" i="20"/>
  <c r="H1238" i="20"/>
  <c r="G1238" i="20"/>
  <c r="H1237" i="20"/>
  <c r="G1237" i="20"/>
  <c r="H1236" i="20"/>
  <c r="G1236" i="20"/>
  <c r="H1235" i="20"/>
  <c r="G1235" i="20"/>
  <c r="H1234" i="20"/>
  <c r="G1234" i="20"/>
  <c r="H1233" i="20"/>
  <c r="G1233" i="20"/>
  <c r="H1232" i="20"/>
  <c r="G1232" i="20"/>
  <c r="H1231" i="20"/>
  <c r="G1231" i="20"/>
  <c r="H1230" i="20"/>
  <c r="G1230" i="20"/>
  <c r="H1229" i="20"/>
  <c r="G1229" i="20"/>
  <c r="H1228" i="20"/>
  <c r="G1228" i="20"/>
  <c r="H1227" i="20"/>
  <c r="G1227" i="20"/>
  <c r="H1226" i="20"/>
  <c r="G1226" i="20"/>
  <c r="H1225" i="20"/>
  <c r="G1225" i="20"/>
  <c r="H1224" i="20"/>
  <c r="G1224" i="20"/>
  <c r="H1223" i="20"/>
  <c r="G1223" i="20"/>
  <c r="H1222" i="20"/>
  <c r="G1222" i="20"/>
  <c r="H1221" i="20"/>
  <c r="G1221" i="20"/>
  <c r="H1220" i="20"/>
  <c r="G1220" i="20"/>
  <c r="H1219" i="20"/>
  <c r="G1219" i="20"/>
  <c r="H1218" i="20"/>
  <c r="G1218" i="20"/>
  <c r="H1217" i="20"/>
  <c r="G1217" i="20"/>
  <c r="H1216" i="20"/>
  <c r="G1216" i="20"/>
  <c r="H1215" i="20"/>
  <c r="G1215" i="20"/>
  <c r="H1214" i="20"/>
  <c r="G1214" i="20"/>
  <c r="H1213" i="20"/>
  <c r="G1213" i="20"/>
  <c r="H1212" i="20"/>
  <c r="G1212" i="20"/>
  <c r="H1211" i="20"/>
  <c r="G1211" i="20"/>
  <c r="H1210" i="20"/>
  <c r="G1210" i="20"/>
  <c r="H1209" i="20"/>
  <c r="G1209" i="20"/>
  <c r="H1208" i="20"/>
  <c r="G1208" i="20"/>
  <c r="H1207" i="20"/>
  <c r="G1207" i="20"/>
  <c r="H1206" i="20"/>
  <c r="G1206" i="20"/>
  <c r="H1205" i="20"/>
  <c r="G1205" i="20"/>
  <c r="H1204" i="20"/>
  <c r="G1204" i="20"/>
  <c r="H1203" i="20"/>
  <c r="G1203" i="20"/>
  <c r="H1202" i="20"/>
  <c r="G1202" i="20"/>
  <c r="H1201" i="20"/>
  <c r="G1201" i="20"/>
  <c r="H1200" i="20"/>
  <c r="G1200" i="20"/>
  <c r="H1199" i="20"/>
  <c r="G1199" i="20"/>
  <c r="H1198" i="20"/>
  <c r="G1198" i="20"/>
  <c r="H1197" i="20"/>
  <c r="G1197" i="20"/>
  <c r="H1196" i="20"/>
  <c r="G1196" i="20"/>
  <c r="H1195" i="20"/>
  <c r="G1195" i="20"/>
  <c r="H1194" i="20"/>
  <c r="G1194" i="20"/>
  <c r="H1193" i="20"/>
  <c r="G1193" i="20"/>
  <c r="H1192" i="20"/>
  <c r="G1192" i="20"/>
  <c r="H1191" i="20"/>
  <c r="G1191" i="20"/>
  <c r="H1190" i="20"/>
  <c r="G1190" i="20"/>
  <c r="H1189" i="20"/>
  <c r="G1189" i="20"/>
  <c r="H1188" i="20"/>
  <c r="G1188" i="20"/>
  <c r="H1187" i="20"/>
  <c r="G1187" i="20"/>
  <c r="H1186" i="20"/>
  <c r="G1186" i="20"/>
  <c r="H1185" i="20"/>
  <c r="G1185" i="20"/>
  <c r="H1184" i="20"/>
  <c r="G1184" i="20"/>
  <c r="H1183" i="20"/>
  <c r="G1183" i="20"/>
  <c r="H1182" i="20"/>
  <c r="G1182" i="20"/>
  <c r="H1181" i="20"/>
  <c r="G1181" i="20"/>
  <c r="H1180" i="20"/>
  <c r="G1180" i="20"/>
  <c r="H1179" i="20"/>
  <c r="G1179" i="20"/>
  <c r="H1178" i="20"/>
  <c r="G1178" i="20"/>
  <c r="H1177" i="20"/>
  <c r="G1177" i="20"/>
  <c r="H1176" i="20"/>
  <c r="G1176" i="20"/>
  <c r="H1175" i="20"/>
  <c r="G1175" i="20"/>
  <c r="H1174" i="20"/>
  <c r="G1174" i="20"/>
  <c r="H1173" i="20"/>
  <c r="G1173" i="20"/>
  <c r="H1172" i="20"/>
  <c r="G1172" i="20"/>
  <c r="H1171" i="20"/>
  <c r="G1171" i="20"/>
  <c r="H1170" i="20"/>
  <c r="G1170" i="20"/>
  <c r="H1169" i="20"/>
  <c r="G1169" i="20"/>
  <c r="H1168" i="20"/>
  <c r="G1168" i="20"/>
  <c r="H1167" i="20"/>
  <c r="G1167" i="20"/>
  <c r="H1166" i="20"/>
  <c r="G1166" i="20"/>
  <c r="H1165" i="20"/>
  <c r="G1165" i="20"/>
  <c r="H1164" i="20"/>
  <c r="G1164" i="20"/>
  <c r="H1163" i="20"/>
  <c r="G1163" i="20"/>
  <c r="H1162" i="20"/>
  <c r="G1162" i="20"/>
  <c r="H1161" i="20"/>
  <c r="G1161" i="20"/>
  <c r="H1160" i="20"/>
  <c r="G1160" i="20"/>
  <c r="H1159" i="20"/>
  <c r="G1159" i="20"/>
  <c r="H1158" i="20"/>
  <c r="G1158" i="20"/>
  <c r="H1157" i="20"/>
  <c r="G1157" i="20"/>
  <c r="H1156" i="20"/>
  <c r="G1156" i="20"/>
  <c r="H1155" i="20"/>
  <c r="G1155" i="20"/>
  <c r="H1154" i="20"/>
  <c r="G1154" i="20"/>
  <c r="H1153" i="20"/>
  <c r="G1153" i="20"/>
  <c r="H1152" i="20"/>
  <c r="G1152" i="20"/>
  <c r="H1151" i="20"/>
  <c r="G1151" i="20"/>
  <c r="H1150" i="20"/>
  <c r="G1150" i="20"/>
  <c r="H1149" i="20"/>
  <c r="G1149" i="20"/>
  <c r="H1148" i="20"/>
  <c r="G1148" i="20"/>
  <c r="H1147" i="20"/>
  <c r="G1147" i="20"/>
  <c r="H1146" i="20"/>
  <c r="G1146" i="20"/>
  <c r="H1145" i="20"/>
  <c r="G1145" i="20"/>
  <c r="H1144" i="20"/>
  <c r="G1144" i="20"/>
  <c r="H1143" i="20"/>
  <c r="G1143" i="20"/>
  <c r="H1142" i="20"/>
  <c r="G1142" i="20"/>
  <c r="H1141" i="20"/>
  <c r="G1141" i="20"/>
  <c r="H1140" i="20"/>
  <c r="G1140" i="20"/>
  <c r="H1139" i="20"/>
  <c r="G1139" i="20"/>
  <c r="H1138" i="20"/>
  <c r="G1138" i="20"/>
  <c r="H1137" i="20"/>
  <c r="G1137" i="20"/>
  <c r="H1136" i="20"/>
  <c r="G1136" i="20"/>
  <c r="H1135" i="20"/>
  <c r="G1135" i="20"/>
  <c r="H1134" i="20"/>
  <c r="G1134" i="20"/>
  <c r="H1133" i="20"/>
  <c r="G1133" i="20"/>
  <c r="H1132" i="20"/>
  <c r="G1132" i="20"/>
  <c r="H1131" i="20"/>
  <c r="G1131" i="20"/>
  <c r="H1130" i="20"/>
  <c r="G1130" i="20"/>
  <c r="H1129" i="20"/>
  <c r="G1129" i="20"/>
  <c r="H1128" i="20"/>
  <c r="G1128" i="20"/>
  <c r="H1127" i="20"/>
  <c r="G1127" i="20"/>
  <c r="H1126" i="20"/>
  <c r="G1126" i="20"/>
  <c r="H1125" i="20"/>
  <c r="G1125" i="20"/>
  <c r="H1124" i="20"/>
  <c r="G1124" i="20"/>
  <c r="H1123" i="20"/>
  <c r="G1123" i="20"/>
  <c r="H1122" i="20"/>
  <c r="G1122" i="20"/>
  <c r="H1121" i="20"/>
  <c r="G1121" i="20"/>
  <c r="H1120" i="20"/>
  <c r="G1120" i="20"/>
  <c r="H1119" i="20"/>
  <c r="G1119" i="20"/>
  <c r="H1118" i="20"/>
  <c r="G1118" i="20"/>
  <c r="H1117" i="20"/>
  <c r="G1117" i="20"/>
  <c r="H1116" i="20"/>
  <c r="G1116" i="20"/>
  <c r="H1115" i="20"/>
  <c r="G1115" i="20"/>
  <c r="H1114" i="20"/>
  <c r="G1114" i="20"/>
  <c r="H1113" i="20"/>
  <c r="G1113" i="20"/>
  <c r="H1112" i="20"/>
  <c r="G1112" i="20"/>
  <c r="H1111" i="20"/>
  <c r="G1111" i="20"/>
  <c r="H1110" i="20"/>
  <c r="G1110" i="20"/>
  <c r="H1109" i="20"/>
  <c r="G1109" i="20"/>
  <c r="H1108" i="20"/>
  <c r="G1108" i="20"/>
  <c r="H1107" i="20"/>
  <c r="G1107" i="20"/>
  <c r="H1106" i="20"/>
  <c r="G1106" i="20"/>
  <c r="H1105" i="20"/>
  <c r="G1105" i="20"/>
  <c r="H1104" i="20"/>
  <c r="G1104" i="20"/>
  <c r="H1103" i="20"/>
  <c r="G1103" i="20"/>
  <c r="H1102" i="20"/>
  <c r="G1102" i="20"/>
  <c r="H1101" i="20"/>
  <c r="G1101" i="20"/>
  <c r="H1100" i="20"/>
  <c r="G1100" i="20"/>
  <c r="H1099" i="20"/>
  <c r="G1099" i="20"/>
  <c r="H1098" i="20"/>
  <c r="G1098" i="20"/>
  <c r="H1097" i="20"/>
  <c r="G1097" i="20"/>
  <c r="H1096" i="20"/>
  <c r="G1096" i="20"/>
  <c r="H1095" i="20"/>
  <c r="G1095" i="20"/>
  <c r="H1094" i="20"/>
  <c r="G1094" i="20"/>
  <c r="H1093" i="20"/>
  <c r="G1093" i="20"/>
  <c r="H1092" i="20"/>
  <c r="G1092" i="20"/>
  <c r="H1091" i="20"/>
  <c r="G1091" i="20"/>
  <c r="H1090" i="20"/>
  <c r="G1090" i="20"/>
  <c r="H1089" i="20"/>
  <c r="G1089" i="20"/>
  <c r="H1088" i="20"/>
  <c r="G1088" i="20"/>
  <c r="H1087" i="20"/>
  <c r="G1087" i="20"/>
  <c r="H1086" i="20"/>
  <c r="G1086" i="20"/>
  <c r="H1085" i="20"/>
  <c r="G1085" i="20"/>
  <c r="H1084" i="20"/>
  <c r="G1084" i="20"/>
  <c r="H1083" i="20"/>
  <c r="G1083" i="20"/>
  <c r="H1082" i="20"/>
  <c r="G1082" i="20"/>
  <c r="H1081" i="20"/>
  <c r="G1081" i="20"/>
  <c r="H1080" i="20"/>
  <c r="G1080" i="20"/>
  <c r="H1079" i="20"/>
  <c r="G1079" i="20"/>
  <c r="H1078" i="20"/>
  <c r="G1078" i="20"/>
  <c r="H1077" i="20"/>
  <c r="G1077" i="20"/>
  <c r="H1076" i="20"/>
  <c r="G1076" i="20"/>
  <c r="H1075" i="20"/>
  <c r="G1075" i="20"/>
  <c r="H1074" i="20"/>
  <c r="G1074" i="20"/>
  <c r="H1073" i="20"/>
  <c r="G1073" i="20"/>
  <c r="H1072" i="20"/>
  <c r="G1072" i="20"/>
  <c r="H1071" i="20"/>
  <c r="G1071" i="20"/>
  <c r="H1070" i="20"/>
  <c r="G1070" i="20"/>
  <c r="H1069" i="20"/>
  <c r="G1069" i="20"/>
  <c r="H1068" i="20"/>
  <c r="G1068" i="20"/>
  <c r="H1067" i="20"/>
  <c r="G1067" i="20"/>
  <c r="H1066" i="20"/>
  <c r="G1066" i="20"/>
  <c r="H1065" i="20"/>
  <c r="G1065" i="20"/>
  <c r="H1064" i="20"/>
  <c r="G1064" i="20"/>
  <c r="H1063" i="20"/>
  <c r="G1063" i="20"/>
  <c r="H1062" i="20"/>
  <c r="G1062" i="20"/>
  <c r="H1061" i="20"/>
  <c r="G1061" i="20"/>
  <c r="H1060" i="20"/>
  <c r="G1060" i="20"/>
  <c r="H1059" i="20"/>
  <c r="G1059" i="20"/>
  <c r="H1058" i="20"/>
  <c r="G1058" i="20"/>
  <c r="H1057" i="20"/>
  <c r="G1057" i="20"/>
  <c r="H1056" i="20"/>
  <c r="G1056" i="20"/>
  <c r="H1055" i="20"/>
  <c r="G1055" i="20"/>
  <c r="H1054" i="20"/>
  <c r="G1054" i="20"/>
  <c r="H1053" i="20"/>
  <c r="G1053" i="20"/>
  <c r="H1052" i="20"/>
  <c r="G1052" i="20"/>
  <c r="H1051" i="20"/>
  <c r="G1051" i="20"/>
  <c r="H1050" i="20"/>
  <c r="G1050" i="20"/>
  <c r="H1049" i="20"/>
  <c r="G1049" i="20"/>
  <c r="H1048" i="20"/>
  <c r="G1048" i="20"/>
  <c r="H1047" i="20"/>
  <c r="G1047" i="20"/>
  <c r="H1046" i="20"/>
  <c r="G1046" i="20"/>
  <c r="H1045" i="20"/>
  <c r="G1045" i="20"/>
  <c r="H1044" i="20"/>
  <c r="G1044" i="20"/>
  <c r="H1043" i="20"/>
  <c r="G1043" i="20"/>
  <c r="H1042" i="20"/>
  <c r="G1042" i="20"/>
  <c r="H1041" i="20"/>
  <c r="G1041" i="20"/>
  <c r="H1040" i="20"/>
  <c r="G1040" i="20"/>
  <c r="H1039" i="20"/>
  <c r="G1039" i="20"/>
  <c r="H1038" i="20"/>
  <c r="G1038" i="20"/>
  <c r="H1037" i="20"/>
  <c r="G1037" i="20"/>
  <c r="H1036" i="20"/>
  <c r="G1036" i="20"/>
  <c r="H1035" i="20"/>
  <c r="G1035" i="20"/>
  <c r="H1034" i="20"/>
  <c r="G1034" i="20"/>
  <c r="H1033" i="20"/>
  <c r="G1033" i="20"/>
  <c r="H1032" i="20"/>
  <c r="G1032" i="20"/>
  <c r="H1031" i="20"/>
  <c r="G1031" i="20"/>
  <c r="H1030" i="20"/>
  <c r="G1030" i="20"/>
  <c r="H1029" i="20"/>
  <c r="G1029" i="20"/>
  <c r="H1028" i="20"/>
  <c r="G1028" i="20"/>
  <c r="H1027" i="20"/>
  <c r="G1027" i="20"/>
  <c r="H1026" i="20"/>
  <c r="G1026" i="20"/>
  <c r="H1025" i="20"/>
  <c r="G1025" i="20"/>
  <c r="H1024" i="20"/>
  <c r="G1024" i="20"/>
  <c r="H1023" i="20"/>
  <c r="G1023" i="20"/>
  <c r="H1022" i="20"/>
  <c r="G1022" i="20"/>
  <c r="H1021" i="20"/>
  <c r="G1021" i="20"/>
  <c r="H1020" i="20"/>
  <c r="G1020" i="20"/>
  <c r="H1019" i="20"/>
  <c r="G1019" i="20"/>
  <c r="H1018" i="20"/>
  <c r="G1018" i="20"/>
  <c r="H1017" i="20"/>
  <c r="G1017" i="20"/>
  <c r="H1016" i="20"/>
  <c r="G1016" i="20"/>
  <c r="H1015" i="20"/>
  <c r="G1015" i="20"/>
  <c r="H1014" i="20"/>
  <c r="G1014" i="20"/>
  <c r="H1013" i="20"/>
  <c r="G1013" i="20"/>
  <c r="H1012" i="20"/>
  <c r="G1012" i="20"/>
  <c r="H1011" i="20"/>
  <c r="G1011" i="20"/>
  <c r="H1010" i="20"/>
  <c r="G1010" i="20"/>
  <c r="H1009" i="20"/>
  <c r="G1009" i="20"/>
  <c r="H1008" i="20"/>
  <c r="G1008" i="20"/>
  <c r="H1007" i="20"/>
  <c r="G1007" i="20"/>
  <c r="H1006" i="20"/>
  <c r="G1006" i="20"/>
  <c r="H1005" i="20"/>
  <c r="G1005" i="20"/>
  <c r="H1004" i="20"/>
  <c r="G1004" i="20"/>
  <c r="H1003" i="20"/>
  <c r="G1003" i="20"/>
  <c r="H1002" i="20"/>
  <c r="G1002" i="20"/>
  <c r="H1001" i="20"/>
  <c r="G1001" i="20"/>
  <c r="H1000" i="20"/>
  <c r="G1000" i="20"/>
  <c r="H999" i="20"/>
  <c r="G999" i="20"/>
  <c r="H998" i="20"/>
  <c r="G998" i="20"/>
  <c r="H997" i="20"/>
  <c r="G997" i="20"/>
  <c r="H996" i="20"/>
  <c r="G996" i="20"/>
  <c r="H995" i="20"/>
  <c r="G995" i="20"/>
  <c r="H994" i="20"/>
  <c r="G994" i="20"/>
  <c r="H993" i="20"/>
  <c r="G993" i="20"/>
  <c r="H992" i="20"/>
  <c r="G992" i="20"/>
  <c r="H991" i="20"/>
  <c r="G991" i="20"/>
  <c r="H990" i="20"/>
  <c r="G990" i="20"/>
  <c r="H989" i="20"/>
  <c r="G989" i="20"/>
  <c r="H988" i="20"/>
  <c r="G988" i="20"/>
  <c r="H987" i="20"/>
  <c r="G987" i="20"/>
  <c r="H986" i="20"/>
  <c r="G986" i="20"/>
  <c r="H985" i="20"/>
  <c r="G985" i="20"/>
  <c r="H984" i="20"/>
  <c r="G984" i="20"/>
  <c r="H983" i="20"/>
  <c r="G983" i="20"/>
  <c r="H982" i="20"/>
  <c r="G982" i="20"/>
  <c r="H981" i="20"/>
  <c r="G981" i="20"/>
  <c r="H980" i="20"/>
  <c r="G980" i="20"/>
  <c r="H979" i="20"/>
  <c r="G979" i="20"/>
  <c r="H978" i="20"/>
  <c r="G978" i="20"/>
  <c r="H977" i="20"/>
  <c r="G977" i="20"/>
  <c r="H976" i="20"/>
  <c r="G976" i="20"/>
  <c r="H975" i="20"/>
  <c r="G975" i="20"/>
  <c r="H974" i="20"/>
  <c r="G974" i="20"/>
  <c r="H973" i="20"/>
  <c r="G973" i="20"/>
  <c r="H972" i="20"/>
  <c r="G972" i="20"/>
  <c r="H971" i="20"/>
  <c r="G971" i="20"/>
  <c r="H970" i="20"/>
  <c r="G970" i="20"/>
  <c r="H969" i="20"/>
  <c r="G969" i="20"/>
  <c r="H968" i="20"/>
  <c r="G968" i="20"/>
  <c r="H967" i="20"/>
  <c r="G967" i="20"/>
  <c r="H966" i="20"/>
  <c r="G966" i="20"/>
  <c r="H965" i="20"/>
  <c r="G965" i="20"/>
  <c r="H964" i="20"/>
  <c r="G964" i="20"/>
  <c r="H963" i="20"/>
  <c r="G963" i="20"/>
  <c r="H962" i="20"/>
  <c r="G962" i="20"/>
  <c r="H961" i="20"/>
  <c r="G961" i="20"/>
  <c r="H960" i="20"/>
  <c r="G960" i="20"/>
  <c r="H959" i="20"/>
  <c r="G959" i="20"/>
  <c r="H958" i="20"/>
  <c r="G958" i="20"/>
  <c r="H957" i="20"/>
  <c r="G957" i="20"/>
  <c r="H956" i="20"/>
  <c r="G956" i="20"/>
  <c r="H955" i="20"/>
  <c r="G955" i="20"/>
  <c r="H954" i="20"/>
  <c r="G954" i="20"/>
  <c r="H953" i="20"/>
  <c r="G953" i="20"/>
  <c r="H952" i="20"/>
  <c r="G952" i="20"/>
  <c r="H951" i="20"/>
  <c r="G951" i="20"/>
  <c r="H950" i="20"/>
  <c r="G950" i="20"/>
  <c r="H949" i="20"/>
  <c r="G949" i="20"/>
  <c r="H948" i="20"/>
  <c r="G948" i="20"/>
  <c r="H947" i="20"/>
  <c r="G947" i="20"/>
  <c r="H946" i="20"/>
  <c r="G946" i="20"/>
  <c r="H945" i="20"/>
  <c r="G945" i="20"/>
  <c r="H944" i="20"/>
  <c r="G944" i="20"/>
  <c r="H943" i="20"/>
  <c r="G943" i="20"/>
  <c r="H942" i="20"/>
  <c r="G942" i="20"/>
  <c r="H941" i="20"/>
  <c r="G941" i="20"/>
  <c r="H940" i="20"/>
  <c r="G940" i="20"/>
  <c r="H939" i="20"/>
  <c r="G939" i="20"/>
  <c r="H938" i="20"/>
  <c r="G938" i="20"/>
  <c r="H937" i="20"/>
  <c r="G937" i="20"/>
  <c r="H936" i="20"/>
  <c r="G936" i="20"/>
  <c r="H935" i="20"/>
  <c r="G935" i="20"/>
  <c r="H934" i="20"/>
  <c r="G934" i="20"/>
  <c r="H933" i="20"/>
  <c r="G933" i="20"/>
  <c r="H932" i="20"/>
  <c r="G932" i="20"/>
  <c r="H931" i="20"/>
  <c r="G931" i="20"/>
  <c r="H930" i="20"/>
  <c r="G930" i="20"/>
  <c r="H929" i="20"/>
  <c r="G929" i="20"/>
  <c r="H928" i="20"/>
  <c r="G928" i="20"/>
  <c r="H927" i="20"/>
  <c r="G927" i="20"/>
  <c r="H926" i="20"/>
  <c r="G926" i="20"/>
  <c r="H925" i="20"/>
  <c r="G925" i="20"/>
  <c r="H924" i="20"/>
  <c r="G924" i="20"/>
  <c r="H923" i="20"/>
  <c r="G923" i="20"/>
  <c r="H922" i="20"/>
  <c r="G922" i="20"/>
  <c r="H921" i="20"/>
  <c r="G921" i="20"/>
  <c r="H920" i="20"/>
  <c r="G920" i="20"/>
  <c r="H919" i="20"/>
  <c r="G919" i="20"/>
  <c r="H918" i="20"/>
  <c r="G918" i="20"/>
  <c r="H917" i="20"/>
  <c r="G917" i="20"/>
  <c r="H916" i="20"/>
  <c r="G916" i="20"/>
  <c r="H915" i="20"/>
  <c r="G915" i="20"/>
  <c r="H914" i="20"/>
  <c r="G914" i="20"/>
  <c r="H913" i="20"/>
  <c r="G913" i="20"/>
  <c r="H912" i="20"/>
  <c r="G912" i="20"/>
  <c r="H911" i="20"/>
  <c r="G911" i="20"/>
  <c r="H910" i="20"/>
  <c r="G910" i="20"/>
  <c r="H909" i="20"/>
  <c r="G909" i="20"/>
  <c r="H908" i="20"/>
  <c r="G908" i="20"/>
  <c r="H907" i="20"/>
  <c r="G907" i="20"/>
  <c r="H906" i="20"/>
  <c r="G906" i="20"/>
  <c r="H905" i="20"/>
  <c r="G905" i="20"/>
  <c r="H904" i="20"/>
  <c r="G904" i="20"/>
  <c r="H903" i="20"/>
  <c r="G903" i="20"/>
  <c r="H902" i="20"/>
  <c r="G902" i="20"/>
  <c r="H901" i="20"/>
  <c r="G901" i="20"/>
  <c r="H900" i="20"/>
  <c r="G900" i="20"/>
  <c r="H899" i="20"/>
  <c r="G899" i="20"/>
  <c r="H898" i="20"/>
  <c r="G898" i="20"/>
  <c r="H897" i="20"/>
  <c r="G897" i="20"/>
  <c r="H896" i="20"/>
  <c r="G896" i="20"/>
  <c r="H895" i="20"/>
  <c r="G895" i="20"/>
  <c r="H894" i="20"/>
  <c r="G894" i="20"/>
  <c r="H893" i="20"/>
  <c r="G893" i="20"/>
  <c r="H892" i="20"/>
  <c r="G892" i="20"/>
  <c r="H891" i="20"/>
  <c r="G891" i="20"/>
  <c r="H890" i="20"/>
  <c r="G890" i="20"/>
  <c r="H889" i="20"/>
  <c r="G889" i="20"/>
  <c r="H888" i="20"/>
  <c r="G888" i="20"/>
  <c r="H887" i="20"/>
  <c r="G887" i="20"/>
  <c r="H886" i="20"/>
  <c r="G886" i="20"/>
  <c r="H885" i="20"/>
  <c r="G885" i="20"/>
  <c r="H884" i="20"/>
  <c r="G884" i="20"/>
  <c r="H883" i="20"/>
  <c r="G883" i="20"/>
  <c r="H882" i="20"/>
  <c r="G882" i="20"/>
  <c r="H881" i="20"/>
  <c r="G881" i="20"/>
  <c r="H880" i="20"/>
  <c r="G880" i="20"/>
  <c r="H879" i="20"/>
  <c r="G879" i="20"/>
  <c r="H878" i="20"/>
  <c r="G878" i="20"/>
  <c r="H877" i="20"/>
  <c r="G877" i="20"/>
  <c r="H876" i="20"/>
  <c r="G876" i="20"/>
  <c r="H875" i="20"/>
  <c r="G875" i="20"/>
  <c r="H874" i="20"/>
  <c r="G874" i="20"/>
  <c r="H873" i="20"/>
  <c r="G873" i="20"/>
  <c r="H872" i="20"/>
  <c r="G872" i="20"/>
  <c r="H871" i="20"/>
  <c r="G871" i="20"/>
  <c r="H870" i="20"/>
  <c r="G870" i="20"/>
  <c r="H869" i="20"/>
  <c r="G869" i="20"/>
  <c r="H868" i="20"/>
  <c r="G868" i="20"/>
  <c r="H867" i="20"/>
  <c r="G867" i="20"/>
  <c r="H866" i="20"/>
  <c r="G866" i="20"/>
  <c r="H865" i="20"/>
  <c r="G865" i="20"/>
  <c r="H864" i="20"/>
  <c r="G864" i="20"/>
  <c r="H863" i="20"/>
  <c r="G863" i="20"/>
  <c r="H862" i="20"/>
  <c r="G862" i="20"/>
  <c r="H861" i="20"/>
  <c r="G861" i="20"/>
  <c r="H860" i="20"/>
  <c r="G860" i="20"/>
  <c r="H859" i="20"/>
  <c r="G859" i="20"/>
  <c r="H858" i="20"/>
  <c r="G858" i="20"/>
  <c r="H857" i="20"/>
  <c r="G857" i="20"/>
  <c r="H856" i="20"/>
  <c r="G856" i="20"/>
  <c r="H855" i="20"/>
  <c r="G855" i="20"/>
  <c r="H854" i="20"/>
  <c r="G854" i="20"/>
  <c r="H853" i="20"/>
  <c r="G853" i="20"/>
  <c r="H852" i="20"/>
  <c r="G852" i="20"/>
  <c r="H851" i="20"/>
  <c r="G851" i="20"/>
  <c r="H850" i="20"/>
  <c r="G850" i="20"/>
  <c r="H849" i="20"/>
  <c r="G849" i="20"/>
  <c r="H848" i="20"/>
  <c r="G848" i="20"/>
  <c r="H847" i="20"/>
  <c r="G847" i="20"/>
  <c r="H846" i="20"/>
  <c r="G846" i="20"/>
  <c r="H845" i="20"/>
  <c r="G845" i="20"/>
  <c r="H844" i="20"/>
  <c r="G844" i="20"/>
  <c r="H843" i="20"/>
  <c r="G843" i="20"/>
  <c r="H842" i="20"/>
  <c r="G842" i="20"/>
  <c r="H841" i="20"/>
  <c r="G841" i="20"/>
  <c r="H840" i="20"/>
  <c r="G840" i="20"/>
  <c r="H839" i="20"/>
  <c r="G839" i="20"/>
  <c r="H838" i="20"/>
  <c r="G838" i="20"/>
  <c r="H837" i="20"/>
  <c r="G837" i="20"/>
  <c r="H836" i="20"/>
  <c r="G836" i="20"/>
  <c r="H835" i="20"/>
  <c r="G835" i="20"/>
  <c r="H834" i="20"/>
  <c r="G834" i="20"/>
  <c r="H833" i="20"/>
  <c r="G833" i="20"/>
  <c r="H832" i="20"/>
  <c r="G832" i="20"/>
  <c r="H831" i="20"/>
  <c r="G831" i="20"/>
  <c r="H830" i="20"/>
  <c r="G830" i="20"/>
  <c r="H829" i="20"/>
  <c r="G829" i="20"/>
  <c r="H828" i="20"/>
  <c r="G828" i="20"/>
  <c r="H827" i="20"/>
  <c r="G827" i="20"/>
  <c r="H826" i="20"/>
  <c r="G826" i="20"/>
  <c r="H825" i="20"/>
  <c r="G825" i="20"/>
  <c r="H824" i="20"/>
  <c r="G824" i="20"/>
  <c r="H823" i="20"/>
  <c r="G823" i="20"/>
  <c r="H822" i="20"/>
  <c r="G822" i="20"/>
  <c r="H821" i="20"/>
  <c r="G821" i="20"/>
  <c r="H820" i="20"/>
  <c r="G820" i="20"/>
  <c r="H819" i="20"/>
  <c r="G819" i="20"/>
  <c r="H818" i="20"/>
  <c r="G818" i="20"/>
  <c r="H817" i="20"/>
  <c r="G817" i="20"/>
  <c r="H816" i="20"/>
  <c r="G816" i="20"/>
  <c r="H815" i="20"/>
  <c r="G815" i="20"/>
  <c r="H814" i="20"/>
  <c r="G814" i="20"/>
  <c r="H813" i="20"/>
  <c r="G813" i="20"/>
  <c r="H812" i="20"/>
  <c r="G812" i="20"/>
  <c r="H811" i="20"/>
  <c r="G811" i="20"/>
  <c r="H810" i="20"/>
  <c r="G810" i="20"/>
  <c r="H809" i="20"/>
  <c r="G809" i="20"/>
  <c r="H808" i="20"/>
  <c r="G808" i="20"/>
  <c r="H807" i="20"/>
  <c r="G807" i="20"/>
  <c r="H806" i="20"/>
  <c r="G806" i="20"/>
  <c r="H805" i="20"/>
  <c r="G805" i="20"/>
  <c r="H804" i="20"/>
  <c r="G804" i="20"/>
  <c r="H803" i="20"/>
  <c r="G803" i="20"/>
  <c r="H802" i="20"/>
  <c r="G802" i="20"/>
  <c r="H801" i="20"/>
  <c r="G801" i="20"/>
  <c r="H800" i="20"/>
  <c r="G800" i="20"/>
  <c r="H799" i="20"/>
  <c r="G799" i="20"/>
  <c r="H798" i="20"/>
  <c r="G798" i="20"/>
  <c r="H797" i="20"/>
  <c r="G797" i="20"/>
  <c r="H796" i="20"/>
  <c r="G796" i="20"/>
  <c r="H795" i="20"/>
  <c r="G795" i="20"/>
  <c r="H794" i="20"/>
  <c r="G794" i="20"/>
  <c r="H793" i="20"/>
  <c r="G793" i="20"/>
  <c r="H792" i="20"/>
  <c r="G792" i="20"/>
  <c r="H791" i="20"/>
  <c r="G791" i="20"/>
  <c r="H790" i="20"/>
  <c r="G790" i="20"/>
  <c r="H789" i="20"/>
  <c r="G789" i="20"/>
  <c r="H788" i="20"/>
  <c r="G788" i="20"/>
  <c r="H787" i="20"/>
  <c r="G787" i="20"/>
  <c r="H786" i="20"/>
  <c r="G786" i="20"/>
  <c r="H785" i="20"/>
  <c r="G785" i="20"/>
  <c r="H784" i="20"/>
  <c r="G784" i="20"/>
  <c r="H783" i="20"/>
  <c r="G783" i="20"/>
  <c r="H782" i="20"/>
  <c r="G782" i="20"/>
  <c r="H781" i="20"/>
  <c r="G781" i="20"/>
  <c r="H780" i="20"/>
  <c r="G780" i="20"/>
  <c r="H779" i="20"/>
  <c r="G779" i="20"/>
  <c r="H778" i="20"/>
  <c r="G778" i="20"/>
  <c r="H777" i="20"/>
  <c r="G777" i="20"/>
  <c r="H776" i="20"/>
  <c r="G776" i="20"/>
  <c r="H775" i="20"/>
  <c r="G775" i="20"/>
  <c r="H774" i="20"/>
  <c r="G774" i="20"/>
  <c r="H773" i="20"/>
  <c r="G773" i="20"/>
  <c r="H772" i="20"/>
  <c r="G772" i="20"/>
  <c r="H771" i="20"/>
  <c r="G771" i="20"/>
  <c r="H770" i="20"/>
  <c r="G770" i="20"/>
  <c r="H769" i="20"/>
  <c r="G769" i="20"/>
  <c r="H768" i="20"/>
  <c r="G768" i="20"/>
  <c r="H767" i="20"/>
  <c r="G767" i="20"/>
  <c r="H766" i="20"/>
  <c r="G766" i="20"/>
  <c r="H765" i="20"/>
  <c r="G765" i="20"/>
  <c r="H764" i="20"/>
  <c r="G764" i="20"/>
  <c r="H763" i="20"/>
  <c r="G763" i="20"/>
  <c r="H762" i="20"/>
  <c r="G762" i="20"/>
  <c r="H761" i="20"/>
  <c r="G761" i="20"/>
  <c r="H760" i="20"/>
  <c r="G760" i="20"/>
  <c r="H759" i="20"/>
  <c r="G759" i="20"/>
  <c r="H758" i="20"/>
  <c r="G758" i="20"/>
  <c r="H757" i="20"/>
  <c r="G757" i="20"/>
  <c r="H756" i="20"/>
  <c r="G756" i="20"/>
  <c r="H755" i="20"/>
  <c r="G755" i="20"/>
  <c r="H754" i="20"/>
  <c r="G754" i="20"/>
  <c r="H753" i="20"/>
  <c r="G753" i="20"/>
  <c r="H752" i="20"/>
  <c r="G752" i="20"/>
  <c r="H751" i="20"/>
  <c r="G751" i="20"/>
  <c r="H750" i="20"/>
  <c r="G750" i="20"/>
  <c r="H749" i="20"/>
  <c r="G749" i="20"/>
  <c r="H748" i="20"/>
  <c r="G748" i="20"/>
  <c r="H747" i="20"/>
  <c r="G747" i="20"/>
  <c r="H746" i="20"/>
  <c r="G746" i="20"/>
  <c r="H745" i="20"/>
  <c r="G745" i="20"/>
  <c r="H744" i="20"/>
  <c r="G744" i="20"/>
  <c r="H743" i="20"/>
  <c r="G743" i="20"/>
  <c r="H742" i="20"/>
  <c r="G742" i="20"/>
  <c r="H741" i="20"/>
  <c r="G741" i="20"/>
  <c r="H740" i="20"/>
  <c r="G740" i="20"/>
  <c r="H739" i="20"/>
  <c r="G739" i="20"/>
  <c r="H738" i="20"/>
  <c r="G738" i="20"/>
  <c r="H737" i="20"/>
  <c r="G737" i="20"/>
  <c r="H736" i="20"/>
  <c r="G736" i="20"/>
  <c r="H735" i="20"/>
  <c r="G735" i="20"/>
  <c r="H734" i="20"/>
  <c r="G734" i="20"/>
  <c r="H733" i="20"/>
  <c r="G733" i="20"/>
  <c r="H732" i="20"/>
  <c r="G732" i="20"/>
  <c r="H731" i="20"/>
  <c r="G731" i="20"/>
  <c r="H730" i="20"/>
  <c r="G730" i="20"/>
  <c r="H729" i="20"/>
  <c r="G729" i="20"/>
  <c r="H728" i="20"/>
  <c r="G728" i="20"/>
  <c r="H727" i="20"/>
  <c r="G727" i="20"/>
  <c r="H726" i="20"/>
  <c r="G726" i="20"/>
  <c r="H725" i="20"/>
  <c r="G725" i="20"/>
  <c r="H724" i="20"/>
  <c r="G724" i="20"/>
  <c r="H723" i="20"/>
  <c r="G723" i="20"/>
  <c r="H722" i="20"/>
  <c r="G722" i="20"/>
  <c r="H721" i="20"/>
  <c r="G721" i="20"/>
  <c r="H720" i="20"/>
  <c r="G720" i="20"/>
  <c r="H719" i="20"/>
  <c r="G719" i="20"/>
  <c r="H718" i="20"/>
  <c r="G718" i="20"/>
  <c r="H717" i="20"/>
  <c r="G717" i="20"/>
  <c r="H716" i="20"/>
  <c r="G716" i="20"/>
  <c r="H715" i="20"/>
  <c r="G715" i="20"/>
  <c r="H714" i="20"/>
  <c r="G714" i="20"/>
  <c r="H713" i="20"/>
  <c r="G713" i="20"/>
  <c r="H712" i="20"/>
  <c r="G712" i="20"/>
  <c r="H711" i="20"/>
  <c r="G711" i="20"/>
  <c r="H710" i="20"/>
  <c r="G710" i="20"/>
  <c r="H709" i="20"/>
  <c r="G709" i="20"/>
  <c r="H708" i="20"/>
  <c r="G708" i="20"/>
  <c r="H707" i="20"/>
  <c r="G707" i="20"/>
  <c r="H706" i="20"/>
  <c r="G706" i="20"/>
  <c r="H705" i="20"/>
  <c r="G705" i="20"/>
  <c r="H704" i="20"/>
  <c r="G704" i="20"/>
  <c r="H703" i="20"/>
  <c r="G703" i="20"/>
  <c r="H702" i="20"/>
  <c r="G702" i="20"/>
  <c r="H701" i="20"/>
  <c r="G701" i="20"/>
  <c r="H700" i="20"/>
  <c r="G700" i="20"/>
  <c r="H699" i="20"/>
  <c r="G699" i="20"/>
  <c r="H698" i="20"/>
  <c r="G698" i="20"/>
  <c r="H697" i="20"/>
  <c r="G697" i="20"/>
  <c r="H696" i="20"/>
  <c r="G696" i="20"/>
  <c r="H695" i="20"/>
  <c r="G695" i="20"/>
  <c r="H694" i="20"/>
  <c r="G694" i="20"/>
  <c r="H693" i="20"/>
  <c r="G693" i="20"/>
  <c r="H692" i="20"/>
  <c r="G692" i="20"/>
  <c r="H691" i="20"/>
  <c r="G691" i="20"/>
  <c r="H690" i="20"/>
  <c r="G690" i="20"/>
  <c r="H689" i="20"/>
  <c r="G689" i="20"/>
  <c r="H688" i="20"/>
  <c r="G688" i="20"/>
  <c r="H687" i="20"/>
  <c r="G687" i="20"/>
  <c r="H686" i="20"/>
  <c r="G686" i="20"/>
  <c r="H685" i="20"/>
  <c r="G685" i="20"/>
  <c r="H684" i="20"/>
  <c r="G684" i="20"/>
  <c r="H683" i="20"/>
  <c r="G683" i="20"/>
  <c r="H682" i="20"/>
  <c r="G682" i="20"/>
  <c r="H681" i="20"/>
  <c r="G681" i="20"/>
  <c r="H680" i="20"/>
  <c r="G680" i="20"/>
  <c r="H679" i="20"/>
  <c r="G679" i="20"/>
  <c r="H678" i="20"/>
  <c r="G678" i="20"/>
  <c r="H677" i="20"/>
  <c r="G677" i="20"/>
  <c r="H676" i="20"/>
  <c r="G676" i="20"/>
  <c r="H675" i="20"/>
  <c r="G675" i="20"/>
  <c r="H674" i="20"/>
  <c r="G674" i="20"/>
  <c r="H673" i="20"/>
  <c r="G673" i="20"/>
  <c r="H672" i="20"/>
  <c r="G672" i="20"/>
  <c r="H671" i="20"/>
  <c r="G671" i="20"/>
  <c r="H670" i="20"/>
  <c r="G670" i="20"/>
  <c r="H669" i="20"/>
  <c r="G669" i="20"/>
  <c r="H668" i="20"/>
  <c r="G668" i="20"/>
  <c r="H667" i="20"/>
  <c r="G667" i="20"/>
  <c r="H666" i="20"/>
  <c r="G666" i="20"/>
  <c r="H665" i="20"/>
  <c r="G665" i="20"/>
  <c r="H664" i="20"/>
  <c r="G664" i="20"/>
  <c r="H663" i="20"/>
  <c r="G663" i="20"/>
  <c r="H662" i="20"/>
  <c r="G662" i="20"/>
  <c r="H661" i="20"/>
  <c r="G661" i="20"/>
  <c r="H660" i="20"/>
  <c r="G660" i="20"/>
  <c r="H659" i="20"/>
  <c r="G659" i="20"/>
  <c r="H658" i="20"/>
  <c r="G658" i="20"/>
  <c r="H657" i="20"/>
  <c r="G657" i="20"/>
  <c r="H656" i="20"/>
  <c r="G656" i="20"/>
  <c r="H655" i="20"/>
  <c r="G655" i="20"/>
  <c r="H654" i="20"/>
  <c r="G654" i="20"/>
  <c r="H653" i="20"/>
  <c r="G653" i="20"/>
  <c r="H652" i="20"/>
  <c r="G652" i="20"/>
  <c r="H651" i="20"/>
  <c r="G651" i="20"/>
  <c r="H650" i="20"/>
  <c r="G650" i="20"/>
  <c r="H649" i="20"/>
  <c r="G649" i="20"/>
  <c r="H648" i="20"/>
  <c r="G648" i="20"/>
  <c r="H647" i="20"/>
  <c r="G647" i="20"/>
  <c r="H646" i="20"/>
  <c r="G646" i="20"/>
  <c r="H645" i="20"/>
  <c r="G645" i="20"/>
  <c r="H644" i="20"/>
  <c r="G644" i="20"/>
  <c r="H643" i="20"/>
  <c r="G643" i="20"/>
  <c r="H642" i="20"/>
  <c r="G642" i="20"/>
  <c r="H641" i="20"/>
  <c r="G641" i="20"/>
  <c r="H640" i="20"/>
  <c r="G640" i="20"/>
  <c r="H639" i="20"/>
  <c r="G639" i="20"/>
  <c r="H638" i="20"/>
  <c r="G638" i="20"/>
  <c r="H637" i="20"/>
  <c r="G637" i="20"/>
  <c r="H636" i="20"/>
  <c r="G636" i="20"/>
  <c r="H635" i="20"/>
  <c r="G635" i="20"/>
  <c r="H634" i="20"/>
  <c r="G634" i="20"/>
  <c r="H633" i="20"/>
  <c r="G633" i="20"/>
  <c r="H632" i="20"/>
  <c r="G632" i="20"/>
  <c r="H631" i="20"/>
  <c r="G631" i="20"/>
  <c r="H630" i="20"/>
  <c r="G630" i="20"/>
  <c r="H629" i="20"/>
  <c r="G629" i="20"/>
  <c r="H628" i="20"/>
  <c r="G628" i="20"/>
  <c r="H627" i="20"/>
  <c r="G627" i="20"/>
  <c r="H626" i="20"/>
  <c r="G626" i="20"/>
  <c r="H625" i="20"/>
  <c r="G625" i="20"/>
  <c r="H624" i="20"/>
  <c r="G624" i="20"/>
  <c r="H623" i="20"/>
  <c r="G623" i="20"/>
  <c r="H622" i="20"/>
  <c r="G622" i="20"/>
  <c r="H621" i="20"/>
  <c r="G621" i="20"/>
  <c r="H620" i="20"/>
  <c r="G620" i="20"/>
  <c r="H619" i="20"/>
  <c r="G619" i="20"/>
  <c r="H618" i="20"/>
  <c r="G618" i="20"/>
  <c r="H617" i="20"/>
  <c r="G617" i="20"/>
  <c r="H616" i="20"/>
  <c r="G616" i="20"/>
  <c r="H615" i="20"/>
  <c r="G615" i="20"/>
  <c r="H614" i="20"/>
  <c r="G614" i="20"/>
  <c r="H613" i="20"/>
  <c r="G613" i="20"/>
  <c r="H612" i="20"/>
  <c r="G612" i="20"/>
  <c r="H611" i="20"/>
  <c r="G611" i="20"/>
  <c r="H610" i="20"/>
  <c r="G610" i="20"/>
  <c r="H609" i="20"/>
  <c r="G609" i="20"/>
  <c r="H608" i="20"/>
  <c r="G608" i="20"/>
  <c r="H607" i="20"/>
  <c r="G607" i="20"/>
  <c r="H606" i="20"/>
  <c r="G606" i="20"/>
  <c r="H605" i="20"/>
  <c r="G605" i="20"/>
  <c r="H604" i="20"/>
  <c r="G604" i="20"/>
  <c r="H603" i="20"/>
  <c r="G603" i="20"/>
  <c r="H602" i="20"/>
  <c r="G602" i="20"/>
  <c r="H601" i="20"/>
  <c r="G601" i="20"/>
  <c r="H600" i="20"/>
  <c r="G600" i="20"/>
  <c r="H599" i="20"/>
  <c r="G599" i="20"/>
  <c r="H598" i="20"/>
  <c r="G598" i="20"/>
  <c r="H597" i="20"/>
  <c r="G597" i="20"/>
  <c r="H596" i="20"/>
  <c r="G596" i="20"/>
  <c r="H595" i="20"/>
  <c r="G595" i="20"/>
  <c r="H594" i="20"/>
  <c r="G594" i="20"/>
  <c r="H593" i="20"/>
  <c r="G593" i="20"/>
  <c r="H592" i="20"/>
  <c r="G592" i="20"/>
  <c r="H591" i="20"/>
  <c r="G591" i="20"/>
  <c r="H590" i="20"/>
  <c r="G590" i="20"/>
  <c r="H589" i="20"/>
  <c r="G589" i="20"/>
  <c r="H588" i="20"/>
  <c r="G588" i="20"/>
  <c r="H587" i="20"/>
  <c r="G587" i="20"/>
  <c r="H586" i="20"/>
  <c r="G586" i="20"/>
  <c r="H585" i="20"/>
  <c r="G585" i="20"/>
  <c r="H584" i="20"/>
  <c r="G584" i="20"/>
  <c r="H583" i="20"/>
  <c r="G583" i="20"/>
  <c r="H582" i="20"/>
  <c r="G582" i="20"/>
  <c r="H581" i="20"/>
  <c r="G581" i="20"/>
  <c r="H580" i="20"/>
  <c r="G580" i="20"/>
  <c r="H579" i="20"/>
  <c r="G579" i="20"/>
  <c r="H578" i="20"/>
  <c r="G578" i="20"/>
  <c r="H577" i="20"/>
  <c r="G577" i="20"/>
  <c r="H576" i="20"/>
  <c r="G576" i="20"/>
  <c r="H575" i="20"/>
  <c r="G575" i="20"/>
  <c r="H574" i="20"/>
  <c r="G574" i="20"/>
  <c r="H573" i="20"/>
  <c r="G573" i="20"/>
  <c r="H572" i="20"/>
  <c r="G572" i="20"/>
  <c r="H571" i="20"/>
  <c r="G571" i="20"/>
  <c r="H570" i="20"/>
  <c r="G570" i="20"/>
  <c r="H569" i="20"/>
  <c r="G569" i="20"/>
  <c r="H568" i="20"/>
  <c r="G568" i="20"/>
  <c r="H567" i="20"/>
  <c r="G567" i="20"/>
  <c r="H566" i="20"/>
  <c r="G566" i="20"/>
  <c r="H565" i="20"/>
  <c r="G565" i="20"/>
  <c r="H564" i="20"/>
  <c r="G564" i="20"/>
  <c r="H563" i="20"/>
  <c r="G563" i="20"/>
  <c r="H562" i="20"/>
  <c r="G562" i="20"/>
  <c r="H561" i="20"/>
  <c r="G561" i="20"/>
  <c r="H560" i="20"/>
  <c r="G560" i="20"/>
  <c r="H559" i="20"/>
  <c r="G559" i="20"/>
  <c r="H558" i="20"/>
  <c r="G558" i="20"/>
  <c r="H557" i="20"/>
  <c r="G557" i="20"/>
  <c r="H556" i="20"/>
  <c r="G556" i="20"/>
  <c r="H555" i="20"/>
  <c r="G555" i="20"/>
  <c r="H554" i="20"/>
  <c r="G554" i="20"/>
  <c r="H553" i="20"/>
  <c r="G553" i="20"/>
  <c r="H552" i="20"/>
  <c r="G552" i="20"/>
  <c r="H551" i="20"/>
  <c r="G551" i="20"/>
  <c r="H550" i="20"/>
  <c r="G550" i="20"/>
  <c r="H549" i="20"/>
  <c r="G549" i="20"/>
  <c r="H548" i="20"/>
  <c r="G548" i="20"/>
  <c r="H547" i="20"/>
  <c r="G547" i="20"/>
  <c r="H546" i="20"/>
  <c r="G546" i="20"/>
  <c r="H545" i="20"/>
  <c r="G545" i="20"/>
  <c r="H544" i="20"/>
  <c r="G544" i="20"/>
  <c r="H543" i="20"/>
  <c r="G543" i="20"/>
  <c r="H542" i="20"/>
  <c r="G542" i="20"/>
  <c r="H541" i="20"/>
  <c r="G541" i="20"/>
  <c r="H540" i="20"/>
  <c r="G540" i="20"/>
  <c r="H539" i="20"/>
  <c r="G539" i="20"/>
  <c r="H538" i="20"/>
  <c r="G538" i="20"/>
  <c r="H537" i="20"/>
  <c r="G537" i="20"/>
  <c r="H536" i="20"/>
  <c r="G536" i="20"/>
  <c r="H535" i="20"/>
  <c r="G535" i="20"/>
  <c r="H534" i="20"/>
  <c r="G534" i="20"/>
  <c r="H533" i="20"/>
  <c r="G533" i="20"/>
  <c r="H532" i="20"/>
  <c r="G532" i="20"/>
  <c r="H531" i="20"/>
  <c r="G531" i="20"/>
  <c r="H530" i="20"/>
  <c r="G530" i="20"/>
  <c r="H529" i="20"/>
  <c r="G529" i="20"/>
  <c r="H528" i="20"/>
  <c r="G528" i="20"/>
  <c r="H527" i="20"/>
  <c r="G527" i="20"/>
  <c r="H526" i="20"/>
  <c r="G526" i="20"/>
  <c r="H525" i="20"/>
  <c r="G525" i="20"/>
  <c r="H524" i="20"/>
  <c r="G524" i="20"/>
  <c r="H523" i="20"/>
  <c r="G523" i="20"/>
  <c r="H522" i="20"/>
  <c r="G522" i="20"/>
  <c r="H521" i="20"/>
  <c r="G521" i="20"/>
  <c r="H520" i="20"/>
  <c r="G520" i="20"/>
  <c r="H519" i="20"/>
  <c r="G519" i="20"/>
  <c r="H518" i="20"/>
  <c r="G518" i="20"/>
  <c r="H517" i="20"/>
  <c r="G517" i="20"/>
  <c r="H516" i="20"/>
  <c r="G516" i="20"/>
  <c r="H515" i="20"/>
  <c r="G515" i="20"/>
  <c r="H514" i="20"/>
  <c r="G514" i="20"/>
  <c r="H513" i="20"/>
  <c r="G513" i="20"/>
  <c r="H512" i="20"/>
  <c r="G512" i="20"/>
  <c r="H511" i="20"/>
  <c r="G511" i="20"/>
  <c r="H510" i="20"/>
  <c r="G510" i="20"/>
  <c r="H509" i="20"/>
  <c r="G509" i="20"/>
  <c r="H508" i="20"/>
  <c r="G508" i="20"/>
  <c r="H507" i="20"/>
  <c r="G507" i="20"/>
  <c r="H506" i="20"/>
  <c r="G506" i="20"/>
  <c r="H505" i="20"/>
  <c r="G505" i="20"/>
  <c r="H504" i="20"/>
  <c r="G504" i="20"/>
  <c r="H503" i="20"/>
  <c r="G503" i="20"/>
  <c r="H502" i="20"/>
  <c r="G502" i="20"/>
  <c r="H501" i="20"/>
  <c r="G501" i="20"/>
  <c r="H500" i="20"/>
  <c r="G500" i="20"/>
  <c r="H499" i="20"/>
  <c r="G499" i="20"/>
  <c r="H498" i="20"/>
  <c r="G498" i="20"/>
  <c r="H497" i="20"/>
  <c r="G497" i="20"/>
  <c r="H496" i="20"/>
  <c r="G496" i="20"/>
  <c r="H495" i="20"/>
  <c r="G495" i="20"/>
  <c r="H494" i="20"/>
  <c r="G494" i="20"/>
  <c r="H493" i="20"/>
  <c r="G493" i="20"/>
  <c r="H492" i="20"/>
  <c r="G492" i="20"/>
  <c r="H491" i="20"/>
  <c r="G491" i="20"/>
  <c r="H490" i="20"/>
  <c r="G490" i="20"/>
  <c r="H489" i="20"/>
  <c r="G489" i="20"/>
  <c r="H488" i="20"/>
  <c r="G488" i="20"/>
  <c r="H487" i="20"/>
  <c r="G487" i="20"/>
  <c r="H486" i="20"/>
  <c r="G486" i="20"/>
  <c r="H485" i="20"/>
  <c r="G485" i="20"/>
  <c r="H484" i="20"/>
  <c r="G484" i="20"/>
  <c r="H483" i="20"/>
  <c r="G483" i="20"/>
  <c r="H482" i="20"/>
  <c r="G482" i="20"/>
  <c r="H481" i="20"/>
  <c r="G481" i="20"/>
  <c r="H480" i="20"/>
  <c r="G480" i="20"/>
  <c r="H479" i="20"/>
  <c r="G479" i="20"/>
  <c r="H478" i="20"/>
  <c r="G478" i="20"/>
  <c r="H477" i="20"/>
  <c r="G477" i="20"/>
  <c r="H476" i="20"/>
  <c r="G476" i="20"/>
  <c r="H475" i="20"/>
  <c r="G475" i="20"/>
  <c r="H474" i="20"/>
  <c r="G474" i="20"/>
  <c r="H473" i="20"/>
  <c r="G473" i="20"/>
  <c r="H472" i="20"/>
  <c r="G472" i="20"/>
  <c r="H471" i="20"/>
  <c r="G471" i="20"/>
  <c r="H470" i="20"/>
  <c r="G470" i="20"/>
  <c r="H469" i="20"/>
  <c r="G469" i="20"/>
  <c r="H468" i="20"/>
  <c r="G468" i="20"/>
  <c r="H467" i="20"/>
  <c r="G467" i="20"/>
  <c r="H466" i="20"/>
  <c r="G466" i="20"/>
  <c r="H465" i="20"/>
  <c r="G465" i="20"/>
  <c r="H464" i="20"/>
  <c r="G464" i="20"/>
  <c r="H463" i="20"/>
  <c r="G463" i="20"/>
  <c r="H462" i="20"/>
  <c r="G462" i="20"/>
  <c r="H461" i="20"/>
  <c r="G461" i="20"/>
  <c r="H460" i="20"/>
  <c r="G460" i="20"/>
  <c r="H459" i="20"/>
  <c r="G459" i="20"/>
  <c r="H458" i="20"/>
  <c r="G458" i="20"/>
  <c r="H457" i="20"/>
  <c r="G457" i="20"/>
  <c r="H456" i="20"/>
  <c r="G456" i="20"/>
  <c r="H455" i="20"/>
  <c r="G455" i="20"/>
  <c r="H454" i="20"/>
  <c r="G454" i="20"/>
  <c r="H453" i="20"/>
  <c r="G453" i="20"/>
  <c r="H452" i="20"/>
  <c r="G452" i="20"/>
  <c r="H451" i="20"/>
  <c r="G451" i="20"/>
  <c r="H450" i="20"/>
  <c r="G450" i="20"/>
  <c r="H449" i="20"/>
  <c r="G449" i="20"/>
  <c r="H448" i="20"/>
  <c r="G448" i="20"/>
  <c r="H447" i="20"/>
  <c r="G447" i="20"/>
  <c r="H446" i="20"/>
  <c r="G446" i="20"/>
  <c r="H445" i="20"/>
  <c r="G445" i="20"/>
  <c r="H444" i="20"/>
  <c r="G444" i="20"/>
  <c r="H443" i="20"/>
  <c r="G443" i="20"/>
  <c r="H442" i="20"/>
  <c r="G442" i="20"/>
  <c r="H441" i="20"/>
  <c r="G441" i="20"/>
  <c r="H440" i="20"/>
  <c r="G440" i="20"/>
  <c r="H439" i="20"/>
  <c r="G439" i="20"/>
  <c r="H438" i="20"/>
  <c r="G438" i="20"/>
  <c r="H437" i="20"/>
  <c r="G437" i="20"/>
  <c r="H436" i="20"/>
  <c r="G436" i="20"/>
  <c r="H435" i="20"/>
  <c r="G435" i="20"/>
  <c r="H434" i="20"/>
  <c r="G434" i="20"/>
  <c r="H433" i="20"/>
  <c r="G433" i="20"/>
  <c r="H432" i="20"/>
  <c r="G432" i="20"/>
  <c r="H431" i="20"/>
  <c r="G431" i="20"/>
  <c r="H430" i="20"/>
  <c r="G430" i="20"/>
  <c r="H429" i="20"/>
  <c r="G429" i="20"/>
  <c r="H428" i="20"/>
  <c r="G428" i="20"/>
  <c r="H427" i="20"/>
  <c r="G427" i="20"/>
  <c r="H426" i="20"/>
  <c r="G426" i="20"/>
  <c r="H425" i="20"/>
  <c r="G425" i="20"/>
  <c r="H424" i="20"/>
  <c r="G424" i="20"/>
  <c r="H423" i="20"/>
  <c r="G423" i="20"/>
  <c r="H422" i="20"/>
  <c r="G422" i="20"/>
  <c r="H421" i="20"/>
  <c r="G421" i="20"/>
  <c r="H420" i="20"/>
  <c r="G420" i="20"/>
  <c r="H419" i="20"/>
  <c r="G419" i="20"/>
  <c r="H418" i="20"/>
  <c r="G418" i="20"/>
  <c r="H417" i="20"/>
  <c r="G417" i="20"/>
  <c r="H416" i="20"/>
  <c r="G416" i="20"/>
  <c r="H415" i="20"/>
  <c r="G415" i="20"/>
  <c r="H414" i="20"/>
  <c r="G414" i="20"/>
  <c r="H413" i="20"/>
  <c r="G413" i="20"/>
  <c r="H412" i="20"/>
  <c r="G412" i="20"/>
  <c r="H411" i="20"/>
  <c r="G411" i="20"/>
  <c r="H410" i="20"/>
  <c r="G410" i="20"/>
  <c r="H409" i="20"/>
  <c r="G409" i="20"/>
  <c r="H408" i="20"/>
  <c r="G408" i="20"/>
  <c r="H407" i="20"/>
  <c r="G407" i="20"/>
  <c r="H406" i="20"/>
  <c r="G406" i="20"/>
  <c r="H405" i="20"/>
  <c r="G405" i="20"/>
  <c r="H404" i="20"/>
  <c r="G404" i="20"/>
  <c r="H403" i="20"/>
  <c r="G403" i="20"/>
  <c r="H402" i="20"/>
  <c r="G402" i="20"/>
  <c r="H401" i="20"/>
  <c r="G401" i="20"/>
  <c r="H400" i="20"/>
  <c r="G400" i="20"/>
  <c r="H399" i="20"/>
  <c r="G399" i="20"/>
  <c r="H398" i="20"/>
  <c r="G398" i="20"/>
  <c r="H397" i="20"/>
  <c r="G397" i="20"/>
  <c r="H396" i="20"/>
  <c r="G396" i="20"/>
  <c r="H395" i="20"/>
  <c r="G395" i="20"/>
  <c r="H394" i="20"/>
  <c r="G394" i="20"/>
  <c r="H393" i="20"/>
  <c r="G393" i="20"/>
  <c r="H392" i="20"/>
  <c r="G392" i="20"/>
  <c r="H391" i="20"/>
  <c r="G391" i="20"/>
  <c r="H390" i="20"/>
  <c r="G390" i="20"/>
  <c r="H389" i="20"/>
  <c r="G389" i="20"/>
  <c r="H388" i="20"/>
  <c r="G388" i="20"/>
  <c r="H387" i="20"/>
  <c r="G387" i="20"/>
  <c r="H386" i="20"/>
  <c r="G386" i="20"/>
  <c r="H385" i="20"/>
  <c r="G385" i="20"/>
  <c r="H384" i="20"/>
  <c r="G384" i="20"/>
  <c r="H383" i="20"/>
  <c r="G383" i="20"/>
  <c r="H382" i="20"/>
  <c r="G382" i="20"/>
  <c r="H381" i="20"/>
  <c r="G381" i="20"/>
  <c r="H380" i="20"/>
  <c r="G380" i="20"/>
  <c r="H379" i="20"/>
  <c r="G379" i="20"/>
  <c r="H378" i="20"/>
  <c r="G378" i="20"/>
  <c r="H377" i="20"/>
  <c r="G377" i="20"/>
  <c r="H376" i="20"/>
  <c r="G376" i="20"/>
  <c r="H375" i="20"/>
  <c r="G375" i="20"/>
  <c r="H374" i="20"/>
  <c r="G374" i="20"/>
  <c r="H373" i="20"/>
  <c r="G373" i="20"/>
  <c r="H372" i="20"/>
  <c r="G372" i="20"/>
  <c r="H371" i="20"/>
  <c r="G371" i="20"/>
  <c r="H370" i="20"/>
  <c r="G370" i="20"/>
  <c r="H369" i="20"/>
  <c r="G369" i="20"/>
  <c r="H368" i="20"/>
  <c r="G368" i="20"/>
  <c r="H367" i="20"/>
  <c r="G367" i="20"/>
  <c r="H366" i="20"/>
  <c r="G366" i="20"/>
  <c r="H365" i="20"/>
  <c r="G365" i="20"/>
  <c r="H364" i="20"/>
  <c r="G364" i="20"/>
  <c r="H363" i="20"/>
  <c r="G363" i="20"/>
  <c r="H362" i="20"/>
  <c r="G362" i="20"/>
  <c r="H361" i="20"/>
  <c r="G361" i="20"/>
  <c r="H360" i="20"/>
  <c r="G360" i="20"/>
  <c r="H359" i="20"/>
  <c r="G359" i="20"/>
  <c r="H358" i="20"/>
  <c r="G358" i="20"/>
  <c r="H357" i="20"/>
  <c r="G357" i="20"/>
  <c r="H356" i="20"/>
  <c r="G356" i="20"/>
  <c r="H355" i="20"/>
  <c r="G355" i="20"/>
  <c r="H354" i="20"/>
  <c r="G354" i="20"/>
  <c r="H353" i="20"/>
  <c r="G353" i="20"/>
  <c r="H352" i="20"/>
  <c r="G352" i="20"/>
  <c r="H351" i="20"/>
  <c r="G351" i="20"/>
  <c r="H350" i="20"/>
  <c r="G350" i="20"/>
  <c r="H349" i="20"/>
  <c r="G349" i="20"/>
  <c r="H348" i="20"/>
  <c r="G348" i="20"/>
  <c r="H347" i="20"/>
  <c r="G347" i="20"/>
  <c r="H346" i="20"/>
  <c r="G346" i="20"/>
  <c r="H345" i="20"/>
  <c r="G345" i="20"/>
  <c r="H344" i="20"/>
  <c r="G344" i="20"/>
  <c r="H343" i="20"/>
  <c r="G343" i="20"/>
  <c r="H342" i="20"/>
  <c r="G342" i="20"/>
  <c r="H341" i="20"/>
  <c r="G341" i="20"/>
  <c r="H340" i="20"/>
  <c r="G340" i="20"/>
  <c r="H339" i="20"/>
  <c r="G339" i="20"/>
  <c r="H338" i="20"/>
  <c r="G338" i="20"/>
  <c r="H337" i="20"/>
  <c r="G337" i="20"/>
  <c r="H336" i="20"/>
  <c r="G336" i="20"/>
  <c r="H335" i="20"/>
  <c r="G335" i="20"/>
  <c r="H334" i="20"/>
  <c r="G334" i="20"/>
  <c r="H333" i="20"/>
  <c r="G333" i="20"/>
  <c r="H332" i="20"/>
  <c r="G332" i="20"/>
  <c r="H331" i="20"/>
  <c r="G331" i="20"/>
  <c r="H330" i="20"/>
  <c r="G330" i="20"/>
  <c r="H329" i="20"/>
  <c r="G329" i="20"/>
  <c r="H328" i="20"/>
  <c r="G328" i="20"/>
  <c r="H327" i="20"/>
  <c r="G327" i="20"/>
  <c r="H326" i="20"/>
  <c r="G326" i="20"/>
  <c r="H325" i="20"/>
  <c r="G325" i="20"/>
  <c r="H324" i="20"/>
  <c r="G324" i="20"/>
  <c r="H323" i="20"/>
  <c r="G323" i="20"/>
  <c r="H322" i="20"/>
  <c r="G322" i="20"/>
  <c r="H321" i="20"/>
  <c r="G321" i="20"/>
  <c r="H320" i="20"/>
  <c r="G320" i="20"/>
  <c r="H319" i="20"/>
  <c r="G319" i="20"/>
  <c r="H318" i="20"/>
  <c r="G318" i="20"/>
  <c r="H317" i="20"/>
  <c r="G317" i="20"/>
  <c r="H316" i="20"/>
  <c r="G316" i="20"/>
  <c r="H315" i="20"/>
  <c r="G315" i="20"/>
  <c r="H314" i="20"/>
  <c r="G314" i="20"/>
  <c r="H313" i="20"/>
  <c r="G313" i="20"/>
  <c r="H312" i="20"/>
  <c r="G312" i="20"/>
  <c r="H311" i="20"/>
  <c r="G311" i="20"/>
  <c r="H310" i="20"/>
  <c r="G310" i="20"/>
  <c r="H309" i="20"/>
  <c r="G309" i="20"/>
  <c r="H308" i="20"/>
  <c r="G308" i="20"/>
  <c r="H307" i="20"/>
  <c r="G307" i="20"/>
  <c r="H306" i="20"/>
  <c r="G306" i="20"/>
  <c r="H305" i="20"/>
  <c r="G305" i="20"/>
  <c r="H304" i="20"/>
  <c r="G304" i="20"/>
  <c r="H303" i="20"/>
  <c r="G303" i="20"/>
  <c r="H302" i="20"/>
  <c r="G302" i="20"/>
  <c r="H301" i="20"/>
  <c r="G301" i="20"/>
  <c r="H300" i="20"/>
  <c r="G300" i="20"/>
  <c r="H299" i="20"/>
  <c r="G299" i="20"/>
  <c r="H298" i="20"/>
  <c r="G298" i="20"/>
  <c r="H297" i="20"/>
  <c r="G297" i="20"/>
  <c r="H296" i="20"/>
  <c r="G296" i="20"/>
  <c r="H295" i="20"/>
  <c r="G295" i="20"/>
  <c r="H294" i="20"/>
  <c r="G294" i="20"/>
  <c r="H293" i="20"/>
  <c r="G293" i="20"/>
  <c r="H292" i="20"/>
  <c r="G292" i="20"/>
  <c r="H291" i="20"/>
  <c r="G291" i="20"/>
  <c r="H290" i="20"/>
  <c r="G290" i="20"/>
  <c r="H289" i="20"/>
  <c r="G289" i="20"/>
  <c r="H288" i="20"/>
  <c r="G288" i="20"/>
  <c r="H287" i="20"/>
  <c r="G287" i="20"/>
  <c r="H286" i="20"/>
  <c r="G286" i="20"/>
  <c r="H285" i="20"/>
  <c r="G285" i="20"/>
  <c r="H284" i="20"/>
  <c r="G284" i="20"/>
  <c r="H283" i="20"/>
  <c r="G283" i="20"/>
  <c r="H282" i="20"/>
  <c r="G282" i="20"/>
  <c r="H281" i="20"/>
  <c r="G281" i="20"/>
  <c r="H280" i="20"/>
  <c r="G280" i="20"/>
  <c r="H279" i="20"/>
  <c r="G279" i="20"/>
  <c r="H278" i="20"/>
  <c r="G278" i="20"/>
  <c r="H277" i="20"/>
  <c r="G277" i="20"/>
  <c r="H276" i="20"/>
  <c r="G276" i="20"/>
  <c r="H275" i="20"/>
  <c r="G275" i="20"/>
  <c r="H274" i="20"/>
  <c r="G274" i="20"/>
  <c r="H273" i="20"/>
  <c r="G273" i="20"/>
  <c r="H272" i="20"/>
  <c r="G272" i="20"/>
  <c r="H271" i="20"/>
  <c r="G271" i="20"/>
  <c r="H270" i="20"/>
  <c r="G270" i="20"/>
  <c r="H269" i="20"/>
  <c r="G269" i="20"/>
  <c r="H268" i="20"/>
  <c r="G268" i="20"/>
  <c r="H267" i="20"/>
  <c r="G267" i="20"/>
  <c r="H266" i="20"/>
  <c r="G266" i="20"/>
  <c r="H265" i="20"/>
  <c r="G265" i="20"/>
  <c r="H264" i="20"/>
  <c r="G264" i="20"/>
  <c r="H263" i="20"/>
  <c r="G263" i="20"/>
  <c r="H262" i="20"/>
  <c r="G262" i="20"/>
  <c r="H261" i="20"/>
  <c r="G261" i="20"/>
  <c r="H260" i="20"/>
  <c r="G260" i="20"/>
  <c r="H259" i="20"/>
  <c r="G259" i="20"/>
  <c r="H258" i="20"/>
  <c r="G258" i="20"/>
  <c r="H257" i="20"/>
  <c r="G257" i="20"/>
  <c r="H256" i="20"/>
  <c r="G256" i="20"/>
  <c r="H255" i="20"/>
  <c r="G255" i="20"/>
  <c r="H254" i="20"/>
  <c r="G254" i="20"/>
  <c r="H253" i="20"/>
  <c r="G253" i="20"/>
  <c r="H252" i="20"/>
  <c r="G252" i="20"/>
  <c r="H251" i="20"/>
  <c r="G251" i="20"/>
  <c r="H250" i="20"/>
  <c r="G250" i="20"/>
  <c r="H249" i="20"/>
  <c r="G249" i="20"/>
  <c r="H248" i="20"/>
  <c r="G248" i="20"/>
  <c r="H247" i="20"/>
  <c r="G247" i="20"/>
  <c r="H246" i="20"/>
  <c r="G246" i="20"/>
  <c r="H245" i="20"/>
  <c r="G245" i="20"/>
  <c r="H244" i="20"/>
  <c r="G244" i="20"/>
  <c r="H243" i="20"/>
  <c r="G243" i="20"/>
  <c r="H242" i="20"/>
  <c r="G242" i="20"/>
  <c r="H241" i="20"/>
  <c r="G241" i="20"/>
  <c r="H240" i="20"/>
  <c r="G240" i="20"/>
  <c r="H239" i="20"/>
  <c r="G239" i="20"/>
  <c r="H238" i="20"/>
  <c r="G238" i="20"/>
  <c r="H237" i="20"/>
  <c r="G237" i="20"/>
  <c r="H236" i="20"/>
  <c r="G236" i="20"/>
  <c r="H235" i="20"/>
  <c r="G235" i="20"/>
  <c r="H234" i="20"/>
  <c r="G234" i="20"/>
  <c r="H233" i="20"/>
  <c r="G233" i="20"/>
  <c r="H232" i="20"/>
  <c r="G232" i="20"/>
  <c r="H231" i="20"/>
  <c r="G231" i="20"/>
  <c r="H230" i="20"/>
  <c r="G230" i="20"/>
  <c r="H229" i="20"/>
  <c r="G229" i="20"/>
  <c r="H228" i="20"/>
  <c r="G228" i="20"/>
  <c r="H227" i="20"/>
  <c r="G227" i="20"/>
  <c r="H226" i="20"/>
  <c r="G226" i="20"/>
  <c r="H225" i="20"/>
  <c r="G225" i="20"/>
  <c r="H224" i="20"/>
  <c r="G224" i="20"/>
  <c r="H223" i="20"/>
  <c r="G223" i="20"/>
  <c r="H222" i="20"/>
  <c r="G222" i="20"/>
  <c r="H221" i="20"/>
  <c r="G221" i="20"/>
  <c r="H220" i="20"/>
  <c r="G220" i="20"/>
  <c r="H219" i="20"/>
  <c r="G219" i="20"/>
  <c r="H218" i="20"/>
  <c r="G218" i="20"/>
  <c r="H217" i="20"/>
  <c r="G217" i="20"/>
  <c r="H216" i="20"/>
  <c r="G216" i="20"/>
  <c r="H215" i="20"/>
  <c r="G215" i="20"/>
  <c r="H214" i="20"/>
  <c r="G214" i="20"/>
  <c r="H213" i="20"/>
  <c r="G213" i="20"/>
  <c r="H212" i="20"/>
  <c r="G212" i="20"/>
  <c r="H211" i="20"/>
  <c r="G211" i="20"/>
  <c r="H210" i="20"/>
  <c r="G210" i="20"/>
  <c r="H209" i="20"/>
  <c r="G209" i="20"/>
  <c r="H208" i="20"/>
  <c r="G208" i="20"/>
  <c r="H207" i="20"/>
  <c r="G207" i="20"/>
  <c r="H206" i="20"/>
  <c r="G206" i="20"/>
  <c r="H205" i="20"/>
  <c r="G205" i="20"/>
  <c r="H204" i="20"/>
  <c r="G204" i="20"/>
  <c r="H203" i="20"/>
  <c r="G203" i="20"/>
  <c r="H202" i="20"/>
  <c r="G202" i="20"/>
  <c r="H201" i="20"/>
  <c r="G201" i="20"/>
  <c r="H200" i="20"/>
  <c r="G200" i="20"/>
  <c r="H199" i="20"/>
  <c r="G199" i="20"/>
  <c r="H198" i="20"/>
  <c r="G198" i="20"/>
  <c r="H197" i="20"/>
  <c r="G197" i="20"/>
  <c r="H196" i="20"/>
  <c r="G196" i="20"/>
  <c r="H195" i="20"/>
  <c r="G195" i="20"/>
  <c r="H194" i="20"/>
  <c r="G194" i="20"/>
  <c r="H193" i="20"/>
  <c r="G193" i="20"/>
  <c r="H192" i="20"/>
  <c r="G192" i="20"/>
  <c r="H191" i="20"/>
  <c r="G191" i="20"/>
  <c r="H190" i="20"/>
  <c r="G190" i="20"/>
  <c r="H189" i="20"/>
  <c r="G189" i="20"/>
  <c r="H188" i="20"/>
  <c r="G188" i="20"/>
  <c r="H187" i="20"/>
  <c r="G187" i="20"/>
  <c r="H186" i="20"/>
  <c r="G186" i="20"/>
  <c r="H185" i="20"/>
  <c r="G185" i="20"/>
  <c r="H184" i="20"/>
  <c r="G184" i="20"/>
  <c r="H183" i="20"/>
  <c r="G183" i="20"/>
  <c r="H182" i="20"/>
  <c r="G182" i="20"/>
  <c r="H181" i="20"/>
  <c r="G181" i="20"/>
  <c r="H180" i="20"/>
  <c r="G180" i="20"/>
  <c r="H179" i="20"/>
  <c r="G179" i="20"/>
  <c r="H178" i="20"/>
  <c r="G178" i="20"/>
  <c r="H177" i="20"/>
  <c r="G177" i="20"/>
  <c r="H176" i="20"/>
  <c r="G176" i="20"/>
  <c r="H175" i="20"/>
  <c r="G175" i="20"/>
  <c r="H174" i="20"/>
  <c r="G174" i="20"/>
  <c r="H173" i="20"/>
  <c r="G173" i="20"/>
  <c r="H172" i="20"/>
  <c r="G172" i="20"/>
  <c r="H171" i="20"/>
  <c r="G171" i="20"/>
  <c r="H170" i="20"/>
  <c r="G170" i="20"/>
  <c r="H169" i="20"/>
  <c r="G169" i="20"/>
  <c r="H168" i="20"/>
  <c r="G168" i="20"/>
  <c r="H167" i="20"/>
  <c r="G167" i="20"/>
  <c r="H166" i="20"/>
  <c r="G166" i="20"/>
  <c r="H165" i="20"/>
  <c r="G165" i="20"/>
  <c r="H164" i="20"/>
  <c r="G164" i="20"/>
  <c r="H163" i="20"/>
  <c r="G163" i="20"/>
  <c r="H162" i="20"/>
  <c r="G162" i="20"/>
  <c r="H161" i="20"/>
  <c r="G161" i="20"/>
  <c r="H160" i="20"/>
  <c r="G160" i="20"/>
  <c r="H159" i="20"/>
  <c r="G159" i="20"/>
  <c r="H158" i="20"/>
  <c r="G158" i="20"/>
  <c r="H157" i="20"/>
  <c r="G157" i="20"/>
  <c r="H156" i="20"/>
  <c r="G156" i="20"/>
  <c r="H155" i="20"/>
  <c r="G155" i="20"/>
  <c r="H154" i="20"/>
  <c r="G154" i="20"/>
  <c r="H153" i="20"/>
  <c r="G153" i="20"/>
  <c r="H152" i="20"/>
  <c r="G152" i="20"/>
  <c r="H151" i="20"/>
  <c r="G151" i="20"/>
  <c r="H150" i="20"/>
  <c r="G150" i="20"/>
  <c r="H149" i="20"/>
  <c r="G149" i="20"/>
  <c r="H148" i="20"/>
  <c r="G148" i="20"/>
  <c r="H147" i="20"/>
  <c r="G147" i="20"/>
  <c r="H146" i="20"/>
  <c r="G146" i="20"/>
  <c r="H145" i="20"/>
  <c r="G145" i="20"/>
  <c r="H144" i="20"/>
  <c r="G144" i="20"/>
  <c r="H143" i="20"/>
  <c r="G143" i="20"/>
  <c r="H142" i="20"/>
  <c r="G142" i="20"/>
  <c r="H141" i="20"/>
  <c r="G141" i="20"/>
  <c r="H140" i="20"/>
  <c r="G140" i="20"/>
  <c r="H139" i="20"/>
  <c r="G139" i="20"/>
  <c r="H138" i="20"/>
  <c r="G138" i="20"/>
  <c r="H137" i="20"/>
  <c r="G137" i="20"/>
  <c r="H136" i="20"/>
  <c r="G136" i="20"/>
  <c r="H135" i="20"/>
  <c r="G135" i="20"/>
  <c r="H134" i="20"/>
  <c r="G134" i="20"/>
  <c r="H133" i="20"/>
  <c r="G133" i="20"/>
  <c r="H132" i="20"/>
  <c r="G132" i="20"/>
  <c r="H131" i="20"/>
  <c r="G131" i="20"/>
  <c r="H130" i="20"/>
  <c r="G130" i="20"/>
  <c r="H129" i="20"/>
  <c r="G129" i="20"/>
  <c r="H128" i="20"/>
  <c r="G128" i="20"/>
  <c r="H127" i="20"/>
  <c r="G127" i="20"/>
  <c r="H126" i="20"/>
  <c r="G126" i="20"/>
  <c r="H125" i="20"/>
  <c r="G125" i="20"/>
  <c r="H124" i="20"/>
  <c r="G124" i="20"/>
  <c r="H123" i="20"/>
  <c r="G123" i="20"/>
  <c r="H122" i="20"/>
  <c r="G122" i="20"/>
  <c r="H121" i="20"/>
  <c r="G121" i="20"/>
  <c r="H120" i="20"/>
  <c r="G120" i="20"/>
  <c r="H119" i="20"/>
  <c r="G119" i="20"/>
  <c r="H118" i="20"/>
  <c r="G118" i="20"/>
  <c r="H117" i="20"/>
  <c r="G117" i="20"/>
  <c r="H116" i="20"/>
  <c r="G116" i="20"/>
  <c r="H115" i="20"/>
  <c r="G115" i="20"/>
  <c r="H114" i="20"/>
  <c r="G114" i="20"/>
  <c r="H113" i="20"/>
  <c r="G113" i="20"/>
  <c r="H112" i="20"/>
  <c r="G112" i="20"/>
  <c r="H111" i="20"/>
  <c r="G111" i="20"/>
  <c r="H110" i="20"/>
  <c r="G110" i="20"/>
  <c r="H109" i="20"/>
  <c r="G109" i="20"/>
  <c r="H108" i="20"/>
  <c r="G108" i="20"/>
  <c r="H107" i="20"/>
  <c r="G107" i="20"/>
  <c r="H106" i="20"/>
  <c r="G106" i="20"/>
  <c r="H105" i="20"/>
  <c r="G105" i="20"/>
  <c r="H104" i="20"/>
  <c r="G104" i="20"/>
  <c r="H103" i="20"/>
  <c r="G103" i="20"/>
  <c r="H102" i="20"/>
  <c r="G102" i="20"/>
  <c r="H101" i="20"/>
  <c r="G101" i="20"/>
  <c r="H100" i="20"/>
  <c r="G100" i="20"/>
  <c r="H99" i="20"/>
  <c r="G99" i="20"/>
  <c r="H98" i="20"/>
  <c r="G98" i="20"/>
  <c r="H97" i="20"/>
  <c r="G97" i="20"/>
  <c r="H96" i="20"/>
  <c r="G96" i="20"/>
  <c r="H95" i="20"/>
  <c r="G95" i="20"/>
  <c r="H94" i="20"/>
  <c r="G94" i="20"/>
  <c r="H93" i="20"/>
  <c r="G93" i="20"/>
  <c r="H92" i="20"/>
  <c r="G92" i="20"/>
  <c r="H91" i="20"/>
  <c r="G91" i="20"/>
  <c r="H90" i="20"/>
  <c r="G90" i="20"/>
  <c r="H89" i="20"/>
  <c r="G89" i="20"/>
  <c r="H88" i="20"/>
  <c r="G88" i="20"/>
  <c r="H87" i="20"/>
  <c r="G87" i="20"/>
  <c r="H86" i="20"/>
  <c r="G86" i="20"/>
  <c r="H85" i="20"/>
  <c r="G85" i="20"/>
  <c r="H84" i="20"/>
  <c r="G84" i="20"/>
  <c r="H83" i="20"/>
  <c r="G83" i="20"/>
  <c r="H82" i="20"/>
  <c r="G82" i="20"/>
  <c r="H81" i="20"/>
  <c r="G81" i="20"/>
  <c r="H80" i="20"/>
  <c r="G80" i="20"/>
  <c r="H79" i="20"/>
  <c r="G79" i="20"/>
  <c r="H78" i="20"/>
  <c r="G78" i="20"/>
  <c r="H77" i="20"/>
  <c r="G77" i="20"/>
  <c r="H76" i="20"/>
  <c r="G76" i="20"/>
  <c r="H75" i="20"/>
  <c r="G75" i="20"/>
  <c r="H74" i="20"/>
  <c r="G74" i="20"/>
  <c r="H73" i="20"/>
  <c r="G73" i="20"/>
  <c r="H72" i="20"/>
  <c r="G72" i="20"/>
  <c r="H71" i="20"/>
  <c r="G71" i="20"/>
  <c r="H70" i="20"/>
  <c r="G70" i="20"/>
  <c r="H69" i="20"/>
  <c r="G69" i="20"/>
  <c r="H68" i="20"/>
  <c r="G68" i="20"/>
  <c r="H67" i="20"/>
  <c r="G67" i="20"/>
  <c r="H66" i="20"/>
  <c r="G66" i="20"/>
  <c r="H65" i="20"/>
  <c r="G65" i="20"/>
  <c r="H64" i="20"/>
  <c r="G64" i="20"/>
  <c r="H63" i="20"/>
  <c r="G63" i="20"/>
  <c r="H62" i="20"/>
  <c r="G62" i="20"/>
  <c r="H61" i="20"/>
  <c r="G61" i="20"/>
  <c r="H60" i="20"/>
  <c r="G60" i="20"/>
  <c r="H59" i="20"/>
  <c r="G59" i="20"/>
  <c r="H58" i="20"/>
  <c r="G58" i="20"/>
  <c r="H57" i="20"/>
  <c r="G57" i="20"/>
  <c r="H56" i="20"/>
  <c r="G56" i="20"/>
  <c r="H55" i="20"/>
  <c r="G55" i="20"/>
  <c r="H54" i="20"/>
  <c r="G54" i="20"/>
  <c r="H53" i="20"/>
  <c r="G53" i="20"/>
  <c r="H52" i="20"/>
  <c r="G52" i="20"/>
  <c r="H51" i="20"/>
  <c r="G51" i="20"/>
  <c r="H50" i="20"/>
  <c r="G50" i="20"/>
  <c r="H49" i="20"/>
  <c r="G49" i="20"/>
  <c r="H48" i="20"/>
  <c r="G48" i="20"/>
  <c r="H47" i="20"/>
  <c r="G47" i="20"/>
  <c r="H46" i="20"/>
  <c r="G46" i="20"/>
  <c r="H45" i="20"/>
  <c r="G45" i="20"/>
  <c r="H44" i="20"/>
  <c r="G44" i="20"/>
  <c r="H43" i="20"/>
  <c r="G43" i="20"/>
  <c r="H42" i="20"/>
  <c r="G42" i="20"/>
  <c r="H41" i="20"/>
  <c r="G41" i="20"/>
  <c r="H40" i="20"/>
  <c r="G40" i="20"/>
  <c r="H39" i="20"/>
  <c r="G39" i="20"/>
  <c r="H38" i="20"/>
  <c r="G38" i="20"/>
  <c r="H37" i="20"/>
  <c r="G37" i="20"/>
  <c r="H36" i="20"/>
  <c r="G36" i="20"/>
  <c r="H35" i="20"/>
  <c r="G35" i="20"/>
  <c r="H34" i="20"/>
  <c r="G34" i="20"/>
  <c r="H33" i="20"/>
  <c r="G33" i="20"/>
  <c r="H32" i="20"/>
  <c r="G32" i="20"/>
  <c r="H31" i="20"/>
  <c r="G31" i="20"/>
  <c r="H30" i="20"/>
  <c r="G30" i="20"/>
  <c r="H29" i="20"/>
  <c r="G29" i="20"/>
  <c r="H28" i="20"/>
  <c r="G28" i="20"/>
  <c r="H27" i="20"/>
  <c r="G27" i="20"/>
  <c r="H26" i="20"/>
  <c r="G26" i="20"/>
  <c r="H25" i="20"/>
  <c r="G25" i="20"/>
  <c r="H24" i="20"/>
  <c r="G24" i="20"/>
  <c r="H23" i="20"/>
  <c r="G23" i="20"/>
  <c r="H22" i="20"/>
  <c r="G22" i="20"/>
  <c r="H21" i="20"/>
  <c r="G21" i="20"/>
  <c r="H20" i="20"/>
  <c r="G20" i="20"/>
  <c r="H19" i="20"/>
  <c r="G19" i="20"/>
  <c r="H18" i="20"/>
  <c r="G18" i="20"/>
  <c r="H17" i="20"/>
  <c r="G17" i="20"/>
  <c r="H16" i="20"/>
  <c r="G16" i="20"/>
  <c r="H15" i="20"/>
  <c r="G15" i="20"/>
  <c r="H14" i="20"/>
  <c r="G14" i="20"/>
  <c r="H13" i="20"/>
  <c r="G13" i="20"/>
  <c r="H12" i="20"/>
  <c r="G12" i="20"/>
  <c r="H11" i="20"/>
  <c r="G11" i="20"/>
  <c r="H10" i="20"/>
  <c r="G10" i="20"/>
  <c r="H9" i="20"/>
  <c r="G9" i="20"/>
  <c r="H8" i="20"/>
  <c r="G8" i="20"/>
  <c r="H7" i="20"/>
  <c r="G7" i="20"/>
  <c r="H6" i="20"/>
  <c r="G6" i="20"/>
  <c r="H5" i="20"/>
  <c r="G5" i="20"/>
  <c r="H4" i="20"/>
  <c r="G4" i="20"/>
  <c r="H3" i="20"/>
  <c r="G3" i="20"/>
  <c r="H2" i="20"/>
  <c r="G2" i="20"/>
  <c r="E2362" i="15"/>
  <c r="E2361" i="15"/>
  <c r="E2360" i="15"/>
  <c r="E2359" i="15"/>
  <c r="E2358" i="15"/>
  <c r="E2357" i="15"/>
  <c r="E2356" i="15"/>
  <c r="E2355" i="15"/>
  <c r="E2354" i="15"/>
  <c r="E2353" i="15"/>
  <c r="E2352" i="15"/>
  <c r="E2351" i="15"/>
  <c r="E2350" i="15"/>
  <c r="E2349" i="15"/>
  <c r="E2348" i="15"/>
  <c r="E2347" i="15"/>
  <c r="E2346" i="15"/>
  <c r="E2345" i="15"/>
  <c r="E2344" i="15"/>
  <c r="E2343" i="15"/>
  <c r="E2342" i="15"/>
  <c r="E2341" i="15"/>
  <c r="E2340" i="15"/>
  <c r="E2336" i="15"/>
  <c r="E2333" i="15"/>
  <c r="E2331" i="15"/>
  <c r="E2325" i="15"/>
  <c r="E2321" i="15"/>
  <c r="E2320" i="15"/>
  <c r="E2319" i="15"/>
  <c r="E2318" i="15"/>
  <c r="E2317" i="15"/>
  <c r="E2314" i="15"/>
  <c r="E2313" i="15"/>
  <c r="E2312" i="15"/>
  <c r="E2311" i="15"/>
  <c r="E2309" i="15"/>
  <c r="E2308" i="15"/>
  <c r="E2306" i="15"/>
  <c r="E2305" i="15"/>
  <c r="E2303" i="15"/>
  <c r="E2302" i="15"/>
  <c r="E2301" i="15"/>
  <c r="E2300" i="15"/>
  <c r="E2298" i="15"/>
  <c r="E2297" i="15"/>
  <c r="E2296" i="15"/>
  <c r="E2295" i="15"/>
  <c r="E2294" i="15"/>
  <c r="E2293" i="15"/>
  <c r="E2291" i="15"/>
  <c r="E2290" i="15"/>
  <c r="E2288" i="15"/>
  <c r="E2284" i="15"/>
  <c r="E2283" i="15"/>
  <c r="E2282" i="15"/>
  <c r="E2280" i="15"/>
  <c r="E2279" i="15"/>
  <c r="E2278" i="15"/>
  <c r="E2277" i="15"/>
  <c r="E2276" i="15"/>
  <c r="E2274" i="15"/>
  <c r="E2273" i="15"/>
  <c r="E2272" i="15"/>
  <c r="E2271" i="15"/>
  <c r="E2270" i="15"/>
  <c r="E2269" i="15"/>
  <c r="E2267" i="15"/>
  <c r="E2263" i="15"/>
  <c r="E2262" i="15"/>
  <c r="E2261" i="15"/>
  <c r="E2260" i="15"/>
  <c r="E2259" i="15"/>
  <c r="E2258" i="15"/>
  <c r="E2257" i="15"/>
  <c r="E2256" i="15"/>
  <c r="E2254" i="15"/>
  <c r="E2251" i="15"/>
  <c r="E2250" i="15"/>
  <c r="E2248" i="15"/>
  <c r="E2247" i="15"/>
  <c r="E2246" i="15"/>
  <c r="E2244" i="15"/>
  <c r="E2243" i="15"/>
  <c r="E2241" i="15"/>
  <c r="E2240" i="15"/>
  <c r="E2239" i="15"/>
  <c r="E2237" i="15"/>
  <c r="E2236" i="15"/>
  <c r="E2235" i="15"/>
  <c r="E2233" i="15"/>
  <c r="E2232" i="15"/>
  <c r="E2231" i="15"/>
  <c r="E2230" i="15"/>
  <c r="E2229" i="15"/>
  <c r="E2228" i="15"/>
  <c r="E2226" i="15"/>
  <c r="E2225" i="15"/>
  <c r="E2224" i="15"/>
  <c r="E2223" i="15"/>
  <c r="E2222" i="15"/>
  <c r="E2221" i="15"/>
  <c r="E2219" i="15"/>
  <c r="E2217" i="15"/>
  <c r="E2215" i="15"/>
  <c r="E2213" i="15"/>
  <c r="E2212" i="15"/>
  <c r="E2211" i="15"/>
  <c r="E2209" i="15"/>
  <c r="E2208" i="15"/>
  <c r="E2207" i="15"/>
  <c r="E2206" i="15"/>
  <c r="E2205" i="15"/>
  <c r="E2204" i="15"/>
  <c r="E2201" i="15"/>
  <c r="E2200" i="15"/>
  <c r="E2198" i="15"/>
  <c r="E2197" i="15"/>
  <c r="E2196" i="15"/>
  <c r="E2195" i="15"/>
  <c r="E2194" i="15"/>
  <c r="E2193" i="15"/>
  <c r="E2192" i="15"/>
  <c r="E2191" i="15"/>
  <c r="E2190" i="15"/>
  <c r="E2188" i="15"/>
  <c r="E2187" i="15"/>
  <c r="E2186" i="15"/>
  <c r="E2185" i="15"/>
  <c r="E2184" i="15"/>
  <c r="E2183" i="15"/>
  <c r="E2182" i="15"/>
  <c r="E2181" i="15"/>
  <c r="E2179" i="15"/>
  <c r="E2178" i="15"/>
  <c r="E2177" i="15"/>
  <c r="E2176" i="15"/>
  <c r="E2172" i="15"/>
  <c r="E2170" i="15"/>
  <c r="E2169" i="15"/>
  <c r="E2168" i="15"/>
  <c r="E2167" i="15"/>
  <c r="E2166" i="15"/>
  <c r="E2165" i="15"/>
  <c r="E2164" i="15"/>
  <c r="E2163" i="15"/>
  <c r="E2161" i="15"/>
  <c r="E2160" i="15"/>
  <c r="E2159" i="15"/>
  <c r="E2157" i="15"/>
  <c r="E2156" i="15"/>
  <c r="E2155" i="15"/>
  <c r="E2154" i="15"/>
  <c r="E2152" i="15"/>
  <c r="E2151" i="15"/>
  <c r="E2150" i="15"/>
  <c r="E2149" i="15"/>
  <c r="E2148" i="15"/>
  <c r="E2147" i="15"/>
  <c r="E2146" i="15"/>
  <c r="E2145" i="15"/>
  <c r="E2143" i="15"/>
  <c r="E2142" i="15"/>
  <c r="E2141" i="15"/>
  <c r="E2140" i="15"/>
  <c r="E2138" i="15"/>
  <c r="E2137" i="15"/>
  <c r="E2136" i="15"/>
  <c r="E2135" i="15"/>
  <c r="E2134" i="15"/>
  <c r="E2133" i="15"/>
  <c r="E2132" i="15"/>
  <c r="E2131" i="15"/>
  <c r="E2130" i="15"/>
  <c r="E2128" i="15"/>
  <c r="E2127" i="15"/>
  <c r="E2126" i="15"/>
  <c r="E2124" i="15"/>
  <c r="E2123" i="15"/>
  <c r="E2122" i="15"/>
  <c r="E2120" i="15"/>
  <c r="E2119" i="15"/>
  <c r="E2118" i="15"/>
  <c r="E2117" i="15"/>
  <c r="E2116" i="15"/>
  <c r="E2115" i="15"/>
  <c r="E2114" i="15"/>
  <c r="E2113" i="15"/>
  <c r="E2111" i="15"/>
  <c r="E2110" i="15"/>
  <c r="E2109" i="15"/>
  <c r="E2108" i="15"/>
  <c r="E2107" i="15"/>
  <c r="E2105" i="15"/>
  <c r="E2104" i="15"/>
  <c r="E2103" i="15"/>
  <c r="E2102" i="15"/>
  <c r="E2101" i="15"/>
  <c r="E2100" i="15"/>
  <c r="E2099" i="15"/>
  <c r="E2098" i="15"/>
  <c r="E2097" i="15"/>
  <c r="E2096" i="15"/>
  <c r="E2095" i="15"/>
  <c r="E2094" i="15"/>
  <c r="E2093" i="15"/>
  <c r="E2092" i="15"/>
  <c r="E2091" i="15"/>
  <c r="E2090" i="15"/>
  <c r="E2088" i="15"/>
  <c r="E2087" i="15"/>
  <c r="E2086" i="15"/>
  <c r="E2084" i="15"/>
  <c r="E2083" i="15"/>
  <c r="E2081" i="15"/>
  <c r="E2080" i="15"/>
  <c r="E2079" i="15"/>
  <c r="E2078" i="15"/>
  <c r="E2077" i="15"/>
  <c r="E2076" i="15"/>
  <c r="E2075" i="15"/>
  <c r="E2074" i="15"/>
  <c r="E2073" i="15"/>
  <c r="E2072" i="15"/>
  <c r="E2071" i="15"/>
  <c r="E2070" i="15"/>
  <c r="E2069" i="15"/>
  <c r="E2067" i="15"/>
  <c r="E2066" i="15"/>
  <c r="E2065" i="15"/>
  <c r="E2064" i="15"/>
  <c r="E2063" i="15"/>
  <c r="E2062" i="15"/>
  <c r="E2061" i="15"/>
  <c r="E2060" i="15"/>
  <c r="E2059" i="15"/>
  <c r="E2057" i="15"/>
  <c r="E2056" i="15"/>
  <c r="E2055" i="15"/>
  <c r="E2052" i="15"/>
  <c r="E2051" i="15"/>
  <c r="E2050" i="15"/>
  <c r="E2049" i="15"/>
  <c r="E2048" i="15"/>
  <c r="E2047" i="15"/>
  <c r="E2046" i="15"/>
  <c r="E2045" i="15"/>
  <c r="E2044" i="15"/>
  <c r="E2043" i="15"/>
  <c r="E2042" i="15"/>
  <c r="E2041" i="15"/>
  <c r="E2040" i="15"/>
  <c r="E2039" i="15"/>
  <c r="E2038" i="15"/>
  <c r="E2037" i="15"/>
  <c r="E2036" i="15"/>
  <c r="E2035" i="15"/>
  <c r="E2034" i="15"/>
  <c r="E2033" i="15"/>
  <c r="E2032" i="15"/>
  <c r="E2031" i="15"/>
  <c r="E2030" i="15"/>
  <c r="E2028" i="15"/>
  <c r="E2027" i="15"/>
  <c r="E2026" i="15"/>
  <c r="E2025" i="15"/>
  <c r="E2024" i="15"/>
  <c r="E2023" i="15"/>
  <c r="E2022" i="15"/>
  <c r="E2021" i="15"/>
  <c r="E2020" i="15"/>
  <c r="E2019" i="15"/>
  <c r="E2018" i="15"/>
  <c r="E2017" i="15"/>
  <c r="E2016" i="15"/>
  <c r="E2015" i="15"/>
  <c r="E2014" i="15"/>
  <c r="E2013" i="15"/>
  <c r="E2012" i="15"/>
  <c r="E2011" i="15"/>
  <c r="E2010" i="15"/>
  <c r="E2009" i="15"/>
  <c r="E2008" i="15"/>
  <c r="E2007" i="15"/>
  <c r="E2006" i="15"/>
  <c r="E2004" i="15"/>
  <c r="E2003" i="15"/>
  <c r="E2002" i="15"/>
  <c r="E2001" i="15"/>
  <c r="E2000" i="15"/>
  <c r="E1999" i="15"/>
  <c r="E1998" i="15"/>
  <c r="E1997" i="15"/>
  <c r="E1996" i="15"/>
  <c r="E1994" i="15"/>
  <c r="E1993" i="15"/>
  <c r="E1992" i="15"/>
  <c r="E1991" i="15"/>
  <c r="E1990" i="15"/>
  <c r="E1989" i="15"/>
  <c r="E1988" i="15"/>
  <c r="E1987" i="15"/>
  <c r="E1986" i="15"/>
  <c r="E1985" i="15"/>
  <c r="E1983" i="15"/>
  <c r="E1982" i="15"/>
  <c r="E1981" i="15"/>
  <c r="E1980" i="15"/>
  <c r="E1979" i="15"/>
  <c r="E1978" i="15"/>
  <c r="E1977" i="15"/>
  <c r="E1976" i="15"/>
  <c r="E1975" i="15"/>
  <c r="E1974" i="15"/>
  <c r="E1973" i="15"/>
  <c r="E1971" i="15"/>
  <c r="E1970" i="15"/>
  <c r="E1969" i="15"/>
  <c r="E1968" i="15"/>
  <c r="E1965" i="15"/>
  <c r="E1964" i="15"/>
  <c r="E1963" i="15"/>
  <c r="E1962" i="15"/>
  <c r="E1961" i="15"/>
  <c r="E1960" i="15"/>
  <c r="E1959" i="15"/>
  <c r="E1958" i="15"/>
  <c r="E1957" i="15"/>
  <c r="E1956" i="15"/>
  <c r="E1955" i="15"/>
  <c r="E1954" i="15"/>
  <c r="E1953" i="15"/>
  <c r="E1952" i="15"/>
  <c r="E1951" i="15"/>
  <c r="E1950" i="15"/>
  <c r="E1949" i="15"/>
  <c r="E1948" i="15"/>
  <c r="E1947" i="15"/>
  <c r="E1946" i="15"/>
  <c r="E1945" i="15"/>
  <c r="E1944" i="15"/>
  <c r="E1943" i="15"/>
  <c r="E1942" i="15"/>
  <c r="E1940" i="15"/>
  <c r="E1938" i="15"/>
  <c r="E1937" i="15"/>
  <c r="E1936" i="15"/>
  <c r="E1935" i="15"/>
  <c r="E1933" i="15"/>
  <c r="E1932" i="15"/>
  <c r="E1931" i="15"/>
  <c r="E1930" i="15"/>
  <c r="E1929" i="15"/>
  <c r="E1928" i="15"/>
  <c r="E1927" i="15"/>
  <c r="E1926" i="15"/>
  <c r="E1924" i="15"/>
  <c r="E1923" i="15"/>
  <c r="E1922" i="15"/>
  <c r="E1921" i="15"/>
  <c r="E1920" i="15"/>
  <c r="E1919" i="15"/>
  <c r="E1918" i="15"/>
  <c r="E1917" i="15"/>
  <c r="E1916" i="15"/>
  <c r="E1915" i="15"/>
  <c r="E1914" i="15"/>
  <c r="E1913" i="15"/>
  <c r="E1912" i="15"/>
  <c r="E1911" i="15"/>
  <c r="E1910" i="15"/>
  <c r="E1909" i="15"/>
  <c r="E1907" i="15"/>
  <c r="E1906" i="15"/>
  <c r="E1905" i="15"/>
  <c r="E1904" i="15"/>
  <c r="E1903" i="15"/>
  <c r="E1902" i="15"/>
  <c r="E1901" i="15"/>
  <c r="E1900" i="15"/>
  <c r="E1899" i="15"/>
  <c r="E1898" i="15"/>
  <c r="E1897" i="15"/>
  <c r="E1896" i="15"/>
  <c r="E1895" i="15"/>
  <c r="E1894" i="15"/>
  <c r="E1893" i="15"/>
  <c r="E1891" i="15"/>
  <c r="E1890" i="15"/>
  <c r="E1889" i="15"/>
  <c r="E1888" i="15"/>
  <c r="E1887" i="15"/>
  <c r="E1886" i="15"/>
  <c r="E1885" i="15"/>
  <c r="E1884" i="15"/>
  <c r="E1883" i="15"/>
  <c r="E1882" i="15"/>
  <c r="E1881" i="15"/>
  <c r="E1880" i="15"/>
  <c r="E1879" i="15"/>
  <c r="E1877" i="15"/>
  <c r="E1876" i="15"/>
  <c r="E1875" i="15"/>
  <c r="E1874" i="15"/>
  <c r="E1873" i="15"/>
  <c r="E1872" i="15"/>
  <c r="E1871" i="15"/>
  <c r="E1870" i="15"/>
  <c r="E1869" i="15"/>
  <c r="E1868" i="15"/>
  <c r="E1867" i="15"/>
  <c r="E1866" i="15"/>
  <c r="E1865" i="15"/>
  <c r="E1864" i="15"/>
  <c r="E1862" i="15"/>
  <c r="E1861" i="15"/>
  <c r="E1860" i="15"/>
  <c r="E1859" i="15"/>
  <c r="E1858" i="15"/>
  <c r="E1857" i="15"/>
  <c r="E1856" i="15"/>
  <c r="E1854" i="15"/>
  <c r="E1853" i="15"/>
  <c r="E1852" i="15"/>
  <c r="E1851" i="15"/>
  <c r="E1850" i="15"/>
  <c r="E1849" i="15"/>
  <c r="E1848" i="15"/>
  <c r="E1846" i="15"/>
  <c r="E1845" i="15"/>
  <c r="E1844" i="15"/>
  <c r="E1843" i="15"/>
  <c r="E1842" i="15"/>
  <c r="E1841" i="15"/>
  <c r="E1840" i="15"/>
  <c r="E1839" i="15"/>
  <c r="E1838" i="15"/>
  <c r="E1837" i="15"/>
  <c r="E1835" i="15"/>
  <c r="E1834" i="15"/>
  <c r="E1832" i="15"/>
  <c r="E1831" i="15"/>
  <c r="E1830" i="15"/>
  <c r="E1829" i="15"/>
  <c r="E1828" i="15"/>
  <c r="E1827" i="15"/>
  <c r="E1826" i="15"/>
  <c r="E1825" i="15"/>
  <c r="E1824" i="15"/>
  <c r="E1823" i="15"/>
  <c r="E1822" i="15"/>
  <c r="E1821" i="15"/>
  <c r="E1820" i="15"/>
  <c r="E1819" i="15"/>
  <c r="E1818" i="15"/>
  <c r="E1817" i="15"/>
  <c r="E1816" i="15"/>
  <c r="E1814" i="15"/>
  <c r="E1813" i="15"/>
  <c r="E1812" i="15"/>
  <c r="E1811" i="15"/>
  <c r="E1810" i="15"/>
  <c r="E1808" i="15"/>
  <c r="E1807" i="15"/>
  <c r="E1806" i="15"/>
  <c r="E1805" i="15"/>
  <c r="E1804" i="15"/>
  <c r="E1803" i="15"/>
  <c r="E1802" i="15"/>
  <c r="E1801" i="15"/>
  <c r="E1800" i="15"/>
  <c r="E1799" i="15"/>
  <c r="E1798" i="15"/>
  <c r="E1797" i="15"/>
  <c r="E1796" i="15"/>
  <c r="E1795" i="15"/>
  <c r="E1794" i="15"/>
  <c r="E1793" i="15"/>
  <c r="E1792" i="15"/>
  <c r="E1791" i="15"/>
  <c r="E1790" i="15"/>
  <c r="E1789" i="15"/>
  <c r="E1788" i="15"/>
  <c r="E1787" i="15"/>
  <c r="E1786" i="15"/>
  <c r="E1785" i="15"/>
  <c r="E1784" i="15"/>
  <c r="E1783" i="15"/>
  <c r="E1781" i="15"/>
  <c r="E1780" i="15"/>
  <c r="E1779" i="15"/>
  <c r="E1778" i="15"/>
  <c r="E1777" i="15"/>
  <c r="E1776" i="15"/>
  <c r="E1775" i="15"/>
  <c r="E1774" i="15"/>
  <c r="E1773" i="15"/>
  <c r="E1772" i="15"/>
  <c r="E1771" i="15"/>
  <c r="E1770" i="15"/>
  <c r="E1769" i="15"/>
  <c r="E1768" i="15"/>
  <c r="E1767" i="15"/>
  <c r="E1766" i="15"/>
  <c r="E1765" i="15"/>
  <c r="E1764" i="15"/>
  <c r="E1763" i="15"/>
  <c r="E1762" i="15"/>
  <c r="E1761" i="15"/>
  <c r="E1760" i="15"/>
  <c r="E1759" i="15"/>
  <c r="E1758" i="15"/>
  <c r="E1757" i="15"/>
  <c r="E1756" i="15"/>
  <c r="E1755" i="15"/>
  <c r="E1754" i="15"/>
  <c r="E1753" i="15"/>
  <c r="E1752" i="15"/>
  <c r="E1751" i="15"/>
  <c r="E1750" i="15"/>
  <c r="E1748" i="15"/>
  <c r="E1747" i="15"/>
  <c r="E1746" i="15"/>
  <c r="E1745" i="15"/>
  <c r="E1744" i="15"/>
  <c r="E1743" i="15"/>
  <c r="E1742" i="15"/>
  <c r="E1741" i="15"/>
  <c r="E1740" i="15"/>
  <c r="E1739" i="15"/>
  <c r="E1738" i="15"/>
  <c r="E1737" i="15"/>
  <c r="E1736" i="15"/>
  <c r="E1735" i="15"/>
  <c r="E1734" i="15"/>
  <c r="E1733" i="15"/>
  <c r="E1732" i="15"/>
  <c r="E1731" i="15"/>
  <c r="E1730" i="15"/>
  <c r="E1729" i="15"/>
  <c r="E1728" i="15"/>
  <c r="E1727" i="15"/>
  <c r="E1726" i="15"/>
  <c r="E1725" i="15"/>
  <c r="E1724" i="15"/>
  <c r="E1723" i="15"/>
  <c r="E1722" i="15"/>
  <c r="E1721" i="15"/>
  <c r="E1720" i="15"/>
  <c r="E1719" i="15"/>
  <c r="E1717" i="15"/>
  <c r="E1716" i="15"/>
  <c r="E1715" i="15"/>
  <c r="E1714" i="15"/>
  <c r="E1713" i="15"/>
  <c r="E1712" i="15"/>
  <c r="E1711" i="15"/>
  <c r="E1710" i="15"/>
  <c r="E1707" i="15"/>
  <c r="E1706" i="15"/>
  <c r="E1705" i="15"/>
  <c r="E1704" i="15"/>
  <c r="E1703" i="15"/>
  <c r="E1702" i="15"/>
  <c r="E1701" i="15"/>
  <c r="E1700" i="15"/>
  <c r="E1699" i="15"/>
  <c r="E1698" i="15"/>
  <c r="E1697" i="15"/>
  <c r="E1696" i="15"/>
  <c r="E1695" i="15"/>
  <c r="E1694" i="15"/>
  <c r="E1693" i="15"/>
  <c r="E1691" i="15"/>
  <c r="E1690" i="15"/>
  <c r="E1689" i="15"/>
  <c r="E1688" i="15"/>
  <c r="E1686" i="15"/>
  <c r="E1685" i="15"/>
  <c r="E1684" i="15"/>
  <c r="E1683" i="15"/>
  <c r="E1682" i="15"/>
  <c r="E1681" i="15"/>
  <c r="E1680" i="15"/>
  <c r="E1678" i="15"/>
  <c r="E1677" i="15"/>
  <c r="E1676" i="15"/>
  <c r="E1675" i="15"/>
  <c r="E1674" i="15"/>
  <c r="E1673" i="15"/>
  <c r="E1672" i="15"/>
  <c r="E1671" i="15"/>
  <c r="E1670" i="15"/>
  <c r="E1669" i="15"/>
  <c r="E1668" i="15"/>
  <c r="E1667" i="15"/>
  <c r="E1666" i="15"/>
  <c r="E1665" i="15"/>
  <c r="E1664" i="15"/>
  <c r="E1663" i="15"/>
  <c r="E1662" i="15"/>
  <c r="E1661" i="15"/>
  <c r="E1660" i="15"/>
  <c r="E1659" i="15"/>
  <c r="E1658" i="15"/>
  <c r="E1656" i="15"/>
  <c r="E1654" i="15"/>
  <c r="E1652" i="15"/>
  <c r="E1650" i="15"/>
  <c r="E1649" i="15"/>
  <c r="E1648" i="15"/>
  <c r="E1647" i="15"/>
  <c r="E1645" i="15"/>
  <c r="E1644" i="15"/>
  <c r="E1643" i="15"/>
  <c r="E1642" i="15"/>
  <c r="E1641" i="15"/>
  <c r="E1640" i="15"/>
  <c r="E1639" i="15"/>
  <c r="E1637" i="15"/>
  <c r="E1636" i="15"/>
  <c r="E1634" i="15"/>
  <c r="E1633" i="15"/>
  <c r="E1632" i="15"/>
  <c r="E1631" i="15"/>
  <c r="E1630" i="15"/>
  <c r="E1628" i="15"/>
  <c r="E1627" i="15"/>
  <c r="E1626" i="15"/>
  <c r="E1625" i="15"/>
  <c r="E1624" i="15"/>
  <c r="E1623" i="15"/>
  <c r="E1622" i="15"/>
  <c r="E1621" i="15"/>
  <c r="E1620" i="15"/>
  <c r="E1619" i="15"/>
  <c r="E1618" i="15"/>
  <c r="E1617" i="15"/>
  <c r="E1616" i="15"/>
  <c r="E1615" i="15"/>
  <c r="E1614" i="15"/>
  <c r="E1613" i="15"/>
  <c r="E1612" i="15"/>
  <c r="E1611" i="15"/>
  <c r="E1610" i="15"/>
  <c r="E1609" i="15"/>
  <c r="E1608" i="15"/>
  <c r="E1607" i="15"/>
  <c r="E1606" i="15"/>
  <c r="E1605" i="15"/>
  <c r="E1604" i="15"/>
  <c r="E1603" i="15"/>
  <c r="E1602" i="15"/>
  <c r="E1601" i="15"/>
  <c r="E1600" i="15"/>
  <c r="E1599" i="15"/>
  <c r="E1598" i="15"/>
  <c r="E1597" i="15"/>
  <c r="E1596" i="15"/>
  <c r="E1595" i="15"/>
  <c r="E1594" i="15"/>
  <c r="E1593" i="15"/>
  <c r="E1592" i="15"/>
  <c r="E1591" i="15"/>
  <c r="E1590" i="15"/>
  <c r="E1588" i="15"/>
  <c r="E1587" i="15"/>
  <c r="E1586" i="15"/>
  <c r="E1585" i="15"/>
  <c r="E1584" i="15"/>
  <c r="E1583" i="15"/>
  <c r="E1582" i="15"/>
  <c r="E1581" i="15"/>
  <c r="E1579" i="15"/>
  <c r="E1578" i="15"/>
  <c r="E1577" i="15"/>
  <c r="E1576" i="15"/>
  <c r="E1574" i="15"/>
  <c r="E1573" i="15"/>
  <c r="E1572" i="15"/>
  <c r="E1571" i="15"/>
  <c r="E1570" i="15"/>
  <c r="E1569" i="15"/>
  <c r="E1568" i="15"/>
  <c r="E1567" i="15"/>
  <c r="E1566" i="15"/>
  <c r="E1565" i="15"/>
  <c r="E1564" i="15"/>
  <c r="E1563" i="15"/>
  <c r="E1562" i="15"/>
  <c r="E1561" i="15"/>
  <c r="E1560" i="15"/>
  <c r="E1559" i="15"/>
  <c r="E1558" i="15"/>
  <c r="E1557" i="15"/>
  <c r="E1556" i="15"/>
  <c r="E1555" i="15"/>
  <c r="E1554" i="15"/>
  <c r="E1553" i="15"/>
  <c r="E1552" i="15"/>
  <c r="E1550" i="15"/>
  <c r="E1549" i="15"/>
  <c r="E1548" i="15"/>
  <c r="E1547" i="15"/>
  <c r="E1546" i="15"/>
  <c r="E1545" i="15"/>
  <c r="E1544" i="15"/>
  <c r="E1543" i="15"/>
  <c r="E1542" i="15"/>
  <c r="E1541" i="15"/>
  <c r="E1540" i="15"/>
  <c r="E1539" i="15"/>
  <c r="E1538" i="15"/>
  <c r="E1537" i="15"/>
  <c r="E1536" i="15"/>
  <c r="E1535" i="15"/>
  <c r="E1534" i="15"/>
  <c r="E1533" i="15"/>
  <c r="E1532" i="15"/>
  <c r="E1531" i="15"/>
  <c r="E1530" i="15"/>
  <c r="E1529" i="15"/>
  <c r="E1528" i="15"/>
  <c r="E1527" i="15"/>
  <c r="E1526" i="15"/>
  <c r="E1525" i="15"/>
  <c r="E1524" i="15"/>
  <c r="E1523" i="15"/>
  <c r="E1522" i="15"/>
  <c r="E1521" i="15"/>
  <c r="E1520" i="15"/>
  <c r="E1519" i="15"/>
  <c r="E1518" i="15"/>
  <c r="E1517" i="15"/>
  <c r="E1516" i="15"/>
  <c r="E1515" i="15"/>
  <c r="E1514" i="15"/>
  <c r="E1513" i="15"/>
  <c r="E1511" i="15"/>
  <c r="E1510" i="15"/>
  <c r="E1509" i="15"/>
  <c r="E1508" i="15"/>
  <c r="E1507" i="15"/>
  <c r="E1506" i="15"/>
  <c r="E1505" i="15"/>
  <c r="E1504" i="15"/>
  <c r="E1503" i="15"/>
  <c r="E1502" i="15"/>
  <c r="E1501" i="15"/>
  <c r="E1500" i="15"/>
  <c r="E1499" i="15"/>
  <c r="E1498" i="15"/>
  <c r="E1497" i="15"/>
  <c r="E1496" i="15"/>
  <c r="E1495" i="15"/>
  <c r="E1494" i="15"/>
  <c r="E1493" i="15"/>
  <c r="E1492" i="15"/>
  <c r="E1491" i="15"/>
  <c r="E1490" i="15"/>
  <c r="E1489" i="15"/>
  <c r="E1488" i="15"/>
  <c r="E1487" i="15"/>
  <c r="E1486" i="15"/>
  <c r="E1485" i="15"/>
  <c r="E1484" i="15"/>
  <c r="E1482" i="15"/>
  <c r="E1481" i="15"/>
  <c r="E1480" i="15"/>
  <c r="E1479" i="15"/>
  <c r="E1478" i="15"/>
  <c r="E1477" i="15"/>
  <c r="E1476" i="15"/>
  <c r="E1475" i="15"/>
  <c r="E1474" i="15"/>
  <c r="E1473" i="15"/>
  <c r="E1472" i="15"/>
  <c r="E1471" i="15"/>
  <c r="E1470" i="15"/>
  <c r="E1469" i="15"/>
  <c r="E1468" i="15"/>
  <c r="E1467" i="15"/>
  <c r="E1466" i="15"/>
  <c r="E1465" i="15"/>
  <c r="E1464" i="15"/>
  <c r="E1463" i="15"/>
  <c r="E1462" i="15"/>
  <c r="E1461" i="15"/>
  <c r="E1460" i="15"/>
  <c r="E1459" i="15"/>
  <c r="E1458" i="15"/>
  <c r="E1457" i="15"/>
  <c r="E1455" i="15"/>
  <c r="E1454" i="15"/>
  <c r="E1453" i="15"/>
  <c r="E1452" i="15"/>
  <c r="E1451" i="15"/>
  <c r="E1450" i="15"/>
  <c r="E1449" i="15"/>
  <c r="E1448" i="15"/>
  <c r="E1447" i="15"/>
  <c r="E1446" i="15"/>
  <c r="E1445" i="15"/>
  <c r="E1444" i="15"/>
  <c r="E1443" i="15"/>
  <c r="E1442" i="15"/>
  <c r="E1441" i="15"/>
  <c r="E1440" i="15"/>
  <c r="E1439" i="15"/>
  <c r="E1438" i="15"/>
  <c r="E1437" i="15"/>
  <c r="E1436" i="15"/>
  <c r="E1435" i="15"/>
  <c r="E1434" i="15"/>
  <c r="E1433" i="15"/>
  <c r="E1432" i="15"/>
  <c r="E1431" i="15"/>
  <c r="E1430" i="15"/>
  <c r="E1429" i="15"/>
  <c r="E1428" i="15"/>
  <c r="E1427" i="15"/>
  <c r="E1426" i="15"/>
  <c r="E1425" i="15"/>
  <c r="E1423" i="15"/>
  <c r="E1422" i="15"/>
  <c r="E1421" i="15"/>
  <c r="E1420" i="15"/>
  <c r="E1419" i="15"/>
  <c r="E1418" i="15"/>
  <c r="E1417" i="15"/>
  <c r="E1416" i="15"/>
  <c r="E1415" i="15"/>
  <c r="E1414" i="15"/>
  <c r="E1413" i="15"/>
  <c r="E1412" i="15"/>
  <c r="E1411" i="15"/>
  <c r="E1410" i="15"/>
  <c r="E1409" i="15"/>
  <c r="E1408" i="15"/>
  <c r="E1407" i="15"/>
  <c r="E1406" i="15"/>
  <c r="E1405" i="15"/>
  <c r="E1404" i="15"/>
  <c r="E1403" i="15"/>
  <c r="E1401" i="15"/>
  <c r="E1400" i="15"/>
  <c r="E1399" i="15"/>
  <c r="E1398" i="15"/>
  <c r="E1397" i="15"/>
  <c r="E1396" i="15"/>
  <c r="E1395" i="15"/>
  <c r="E1394" i="15"/>
  <c r="E1393" i="15"/>
  <c r="E1392" i="15"/>
  <c r="E1391" i="15"/>
  <c r="E1390" i="15"/>
  <c r="E1389" i="15"/>
  <c r="E1388" i="15"/>
  <c r="E1387" i="15"/>
  <c r="E1386" i="15"/>
  <c r="E1385" i="15"/>
  <c r="E1383" i="15"/>
  <c r="E1382" i="15"/>
  <c r="E1381" i="15"/>
  <c r="E1380" i="15"/>
  <c r="E1379" i="15"/>
  <c r="E1378" i="15"/>
  <c r="E1377" i="15"/>
  <c r="E1376" i="15"/>
  <c r="E1375" i="15"/>
  <c r="E1374" i="15"/>
  <c r="E1373" i="15"/>
  <c r="E1372" i="15"/>
  <c r="E1371" i="15"/>
  <c r="E1370" i="15"/>
  <c r="E1369" i="15"/>
  <c r="E1368" i="15"/>
  <c r="E1367" i="15"/>
  <c r="E1366" i="15"/>
  <c r="E1365" i="15"/>
  <c r="E1364" i="15"/>
  <c r="E1363" i="15"/>
  <c r="E1362" i="15"/>
  <c r="E1361" i="15"/>
  <c r="E1360" i="15"/>
  <c r="E1359" i="15"/>
  <c r="E1357" i="15"/>
  <c r="E1356" i="15"/>
  <c r="E1355" i="15"/>
  <c r="E1354" i="15"/>
  <c r="E1353" i="15"/>
  <c r="E1352" i="15"/>
  <c r="E1351" i="15"/>
  <c r="E1350" i="15"/>
  <c r="E1349" i="15"/>
  <c r="E1347" i="15"/>
  <c r="E1345" i="15"/>
  <c r="E1344" i="15"/>
  <c r="E1343" i="15"/>
  <c r="E1342" i="15"/>
  <c r="E1341" i="15"/>
  <c r="E1339" i="15"/>
  <c r="E1338" i="15"/>
  <c r="E1337" i="15"/>
  <c r="E1336" i="15"/>
  <c r="E1335" i="15"/>
  <c r="E1334" i="15"/>
  <c r="E1333" i="15"/>
  <c r="E1332" i="15"/>
  <c r="E1331" i="15"/>
  <c r="E1330" i="15"/>
  <c r="E1329" i="15"/>
  <c r="E1328" i="15"/>
  <c r="E1327" i="15"/>
  <c r="E1326" i="15"/>
  <c r="E1325" i="15"/>
  <c r="E1324" i="15"/>
  <c r="E1323" i="15"/>
  <c r="E1322" i="15"/>
  <c r="E1321" i="15"/>
  <c r="E1320" i="15"/>
  <c r="E1319" i="15"/>
  <c r="E1318" i="15"/>
  <c r="E1317" i="15"/>
  <c r="E1316" i="15"/>
  <c r="E1315" i="15"/>
  <c r="E1314" i="15"/>
  <c r="E1313" i="15"/>
  <c r="E1312" i="15"/>
  <c r="E1311" i="15"/>
  <c r="E1310" i="15"/>
  <c r="E1309" i="15"/>
  <c r="E1308" i="15"/>
  <c r="E1307" i="15"/>
  <c r="E1306" i="15"/>
  <c r="E1305" i="15"/>
  <c r="E1304" i="15"/>
  <c r="E1303" i="15"/>
  <c r="E1302" i="15"/>
  <c r="E1301" i="15"/>
  <c r="E1300" i="15"/>
  <c r="E1299" i="15"/>
  <c r="E1298" i="15"/>
  <c r="E1297" i="15"/>
  <c r="E1296" i="15"/>
  <c r="E1295" i="15"/>
  <c r="E1294" i="15"/>
  <c r="E1293" i="15"/>
  <c r="E1292" i="15"/>
  <c r="E1291" i="15"/>
  <c r="E1290" i="15"/>
  <c r="E1289" i="15"/>
  <c r="E1288" i="15"/>
  <c r="E1286" i="15"/>
  <c r="E1285" i="15"/>
  <c r="E1284" i="15"/>
  <c r="E1283" i="15"/>
  <c r="E1282" i="15"/>
  <c r="E1281" i="15"/>
  <c r="E1280" i="15"/>
  <c r="E1279" i="15"/>
  <c r="E1278" i="15"/>
  <c r="E1277" i="15"/>
  <c r="E1276" i="15"/>
  <c r="E1275" i="15"/>
  <c r="E1274" i="15"/>
  <c r="E1273" i="15"/>
  <c r="E1272" i="15"/>
  <c r="E1271" i="15"/>
  <c r="E1270" i="15"/>
  <c r="E1269" i="15"/>
  <c r="E1268" i="15"/>
  <c r="E1267" i="15"/>
  <c r="E1266" i="15"/>
  <c r="E1265" i="15"/>
  <c r="E1263" i="15"/>
  <c r="E1262" i="15"/>
  <c r="E1261" i="15"/>
  <c r="E1260" i="15"/>
  <c r="E1259" i="15"/>
  <c r="E1258" i="15"/>
  <c r="E1257" i="15"/>
  <c r="E1256" i="15"/>
  <c r="E1255" i="15"/>
  <c r="E1254" i="15"/>
  <c r="E1253" i="15"/>
  <c r="E1252" i="15"/>
  <c r="E1251" i="15"/>
  <c r="E1250" i="15"/>
  <c r="E1249" i="15"/>
  <c r="E1248" i="15"/>
  <c r="E1247" i="15"/>
  <c r="E1246" i="15"/>
  <c r="E1245" i="15"/>
  <c r="E1244" i="15"/>
  <c r="E1243" i="15"/>
  <c r="E1241" i="15"/>
  <c r="E1239" i="15"/>
  <c r="E1238" i="15"/>
  <c r="E1236" i="15"/>
  <c r="E1235" i="15"/>
  <c r="E1234" i="15"/>
  <c r="E1233" i="15"/>
  <c r="E1232" i="15"/>
  <c r="E1231" i="15"/>
  <c r="E1230" i="15"/>
  <c r="E1229" i="15"/>
  <c r="E1228" i="15"/>
  <c r="E1227" i="15"/>
  <c r="E1226" i="15"/>
  <c r="E1225" i="15"/>
  <c r="E1224" i="15"/>
  <c r="E1222" i="15"/>
  <c r="E1221" i="15"/>
  <c r="E1220" i="15"/>
  <c r="E1219" i="15"/>
  <c r="E1218" i="15"/>
  <c r="E1217" i="15"/>
  <c r="E1216" i="15"/>
  <c r="E1215" i="15"/>
  <c r="E1214" i="15"/>
  <c r="E1213" i="15"/>
  <c r="E1212" i="15"/>
  <c r="E1211" i="15"/>
  <c r="E1210" i="15"/>
  <c r="E1209" i="15"/>
  <c r="E1207" i="15"/>
  <c r="E1206" i="15"/>
  <c r="E1205" i="15"/>
  <c r="E1204" i="15"/>
  <c r="E1203" i="15"/>
  <c r="E1202" i="15"/>
  <c r="E1201" i="15"/>
  <c r="E1200" i="15"/>
  <c r="E1199" i="15"/>
  <c r="E1198" i="15"/>
  <c r="E1197" i="15"/>
  <c r="E1196" i="15"/>
  <c r="E1195" i="15"/>
  <c r="E1194" i="15"/>
  <c r="E1193" i="15"/>
  <c r="E1192" i="15"/>
  <c r="E1191" i="15"/>
  <c r="E1190" i="15"/>
  <c r="E1189" i="15"/>
  <c r="E1188" i="15"/>
  <c r="E1187" i="15"/>
  <c r="E1186" i="15"/>
  <c r="E1185" i="15"/>
  <c r="E1184" i="15"/>
  <c r="E1183" i="15"/>
  <c r="E1182" i="15"/>
  <c r="E1181" i="15"/>
  <c r="E1180" i="15"/>
  <c r="E1179" i="15"/>
  <c r="E1178" i="15"/>
  <c r="E1177" i="15"/>
  <c r="E1176" i="15"/>
  <c r="E1175" i="15"/>
  <c r="E1174" i="15"/>
  <c r="E1173" i="15"/>
  <c r="E1171" i="15"/>
  <c r="E1170" i="15"/>
  <c r="E1169" i="15"/>
  <c r="E1168" i="15"/>
  <c r="E1167" i="15"/>
  <c r="E1166" i="15"/>
  <c r="E1165" i="15"/>
  <c r="E1164" i="15"/>
  <c r="E1163" i="15"/>
  <c r="E1162" i="15"/>
  <c r="E1161" i="15"/>
  <c r="E1160" i="15"/>
  <c r="E1159" i="15"/>
  <c r="E1158" i="15"/>
  <c r="E1157" i="15"/>
  <c r="E1156" i="15"/>
  <c r="E1155" i="15"/>
  <c r="E1154" i="15"/>
  <c r="E1153" i="15"/>
  <c r="E1152" i="15"/>
  <c r="E1151" i="15"/>
  <c r="E1150" i="15"/>
  <c r="E1149" i="15"/>
  <c r="E1148" i="15"/>
  <c r="E1147" i="15"/>
  <c r="E1146" i="15"/>
  <c r="E1145" i="15"/>
  <c r="E1144" i="15"/>
  <c r="E1143" i="15"/>
  <c r="E1142" i="15"/>
  <c r="E1141" i="15"/>
  <c r="E1140" i="15"/>
  <c r="E1139" i="15"/>
  <c r="E1138" i="15"/>
  <c r="E1137" i="15"/>
  <c r="E1136" i="15"/>
  <c r="E1135" i="15"/>
  <c r="E1134" i="15"/>
  <c r="E1133" i="15"/>
  <c r="E1132" i="15"/>
  <c r="E1131" i="15"/>
  <c r="E1130" i="15"/>
  <c r="E1129" i="15"/>
  <c r="E1128" i="15"/>
  <c r="E1127" i="15"/>
  <c r="E1126" i="15"/>
  <c r="E1125" i="15"/>
  <c r="E1124" i="15"/>
  <c r="E1123" i="15"/>
  <c r="E1122" i="15"/>
  <c r="E1121" i="15"/>
  <c r="E1120" i="15"/>
  <c r="E1119" i="15"/>
  <c r="E1118" i="15"/>
  <c r="E1117" i="15"/>
  <c r="E1116" i="15"/>
  <c r="E1115" i="15"/>
  <c r="E1114" i="15"/>
  <c r="E1113" i="15"/>
  <c r="E1112" i="15"/>
  <c r="E1111" i="15"/>
  <c r="E1110" i="15"/>
  <c r="E1109" i="15"/>
  <c r="E1107" i="15"/>
  <c r="E1106" i="15"/>
  <c r="E1104" i="15"/>
  <c r="E1103" i="15"/>
  <c r="E1101" i="15"/>
  <c r="E1100" i="15"/>
  <c r="E1099" i="15"/>
  <c r="E1098" i="15"/>
  <c r="E1097" i="15"/>
  <c r="E1096" i="15"/>
  <c r="E1095" i="15"/>
  <c r="E1093" i="15"/>
  <c r="E1092" i="15"/>
  <c r="E1091" i="15"/>
  <c r="E1090" i="15"/>
  <c r="E1089" i="15"/>
  <c r="E1088" i="15"/>
  <c r="E1087" i="15"/>
  <c r="E1086" i="15"/>
  <c r="E1085" i="15"/>
  <c r="E1083" i="15"/>
  <c r="E1082" i="15"/>
  <c r="E1081" i="15"/>
  <c r="E1080" i="15"/>
  <c r="E1079" i="15"/>
  <c r="E1078" i="15"/>
  <c r="E1077" i="15"/>
  <c r="E1076" i="15"/>
  <c r="E1075" i="15"/>
  <c r="E1074" i="15"/>
  <c r="E1073" i="15"/>
  <c r="E1072" i="15"/>
  <c r="E1071" i="15"/>
  <c r="E1070" i="15"/>
  <c r="E1069" i="15"/>
  <c r="E1068" i="15"/>
  <c r="E1067" i="15"/>
  <c r="E1066" i="15"/>
  <c r="E1065" i="15"/>
  <c r="E1064" i="15"/>
  <c r="E1063" i="15"/>
  <c r="E1062" i="15"/>
  <c r="E1061" i="15"/>
  <c r="E1060" i="15"/>
  <c r="E1059" i="15"/>
  <c r="E1058" i="15"/>
  <c r="E1057" i="15"/>
  <c r="E1056" i="15"/>
  <c r="E1055" i="15"/>
  <c r="E1054" i="15"/>
  <c r="E1053" i="15"/>
  <c r="E1052" i="15"/>
  <c r="E1051" i="15"/>
  <c r="E1050" i="15"/>
  <c r="E1048" i="15"/>
  <c r="E1047" i="15"/>
  <c r="E1046" i="15"/>
  <c r="E1045" i="15"/>
  <c r="E1044" i="15"/>
  <c r="E1043" i="15"/>
  <c r="E1042" i="15"/>
  <c r="E1041" i="15"/>
  <c r="E1040" i="15"/>
  <c r="E1039" i="15"/>
  <c r="E1038" i="15"/>
  <c r="E1037" i="15"/>
  <c r="E1036" i="15"/>
  <c r="E1035" i="15"/>
  <c r="E1034" i="15"/>
  <c r="E1033" i="15"/>
  <c r="E1032" i="15"/>
  <c r="E1031" i="15"/>
  <c r="E1030" i="15"/>
  <c r="E1029" i="15"/>
  <c r="E1028" i="15"/>
  <c r="E1027" i="15"/>
  <c r="E1026" i="15"/>
  <c r="E1025" i="15"/>
  <c r="E1024" i="15"/>
  <c r="E1023" i="15"/>
  <c r="E1022" i="15"/>
  <c r="E1020" i="15"/>
  <c r="E1019" i="15"/>
  <c r="E1018" i="15"/>
  <c r="E1016" i="15"/>
  <c r="E1015" i="15"/>
  <c r="E1014" i="15"/>
  <c r="E1013" i="15"/>
  <c r="E1012" i="15"/>
  <c r="E1011" i="15"/>
  <c r="E1010" i="15"/>
  <c r="E1009" i="15"/>
  <c r="E1008" i="15"/>
  <c r="E1006" i="15"/>
  <c r="E1005" i="15"/>
  <c r="E1004" i="15"/>
  <c r="E1003" i="15"/>
  <c r="E1002" i="15"/>
  <c r="E1001" i="15"/>
  <c r="E1000" i="15"/>
  <c r="E999" i="15"/>
  <c r="E998" i="15"/>
  <c r="E997" i="15"/>
  <c r="E996" i="15"/>
  <c r="E995" i="15"/>
  <c r="E993" i="15"/>
  <c r="E992" i="15"/>
  <c r="E991" i="15"/>
  <c r="E990" i="15"/>
  <c r="E989" i="15"/>
  <c r="E987" i="15"/>
  <c r="E986" i="15"/>
  <c r="E985" i="15"/>
  <c r="E984" i="15"/>
  <c r="E983" i="15"/>
  <c r="E982" i="15"/>
  <c r="E981" i="15"/>
  <c r="E980" i="15"/>
  <c r="E979" i="15"/>
  <c r="E978" i="15"/>
  <c r="E976" i="15"/>
  <c r="E975" i="15"/>
  <c r="E972" i="15"/>
  <c r="E971" i="15"/>
  <c r="E970" i="15"/>
  <c r="E969" i="15"/>
  <c r="E968" i="15"/>
  <c r="E967" i="15"/>
  <c r="E966" i="15"/>
  <c r="E965" i="15"/>
  <c r="E964" i="15"/>
  <c r="E963" i="15"/>
  <c r="E962" i="15"/>
  <c r="E961" i="15"/>
  <c r="E960" i="15"/>
  <c r="E959" i="15"/>
  <c r="E957" i="15"/>
  <c r="E956" i="15"/>
  <c r="E955" i="15"/>
  <c r="E954" i="15"/>
  <c r="E953" i="15"/>
  <c r="E952" i="15"/>
  <c r="E951" i="15"/>
  <c r="E950" i="15"/>
  <c r="E949" i="15"/>
  <c r="E948" i="15"/>
  <c r="E947" i="15"/>
  <c r="E946" i="15"/>
  <c r="E945" i="15"/>
  <c r="E944" i="15"/>
  <c r="E943" i="15"/>
  <c r="E942" i="15"/>
  <c r="E941" i="15"/>
  <c r="E940" i="15"/>
  <c r="E939" i="15"/>
  <c r="E938" i="15"/>
  <c r="E937" i="15"/>
  <c r="E936" i="15"/>
  <c r="E935" i="15"/>
  <c r="E934" i="15"/>
  <c r="E933" i="15"/>
  <c r="E932" i="15"/>
  <c r="E930" i="15"/>
  <c r="E929" i="15"/>
  <c r="E928" i="15"/>
  <c r="E927" i="15"/>
  <c r="E926" i="15"/>
  <c r="E925" i="15"/>
  <c r="E924" i="15"/>
  <c r="E922" i="15"/>
  <c r="E921" i="15"/>
  <c r="E920" i="15"/>
  <c r="E919" i="15"/>
  <c r="E918" i="15"/>
  <c r="E917" i="15"/>
  <c r="E916" i="15"/>
  <c r="E915" i="15"/>
  <c r="E913" i="15"/>
  <c r="E912" i="15"/>
  <c r="E911" i="15"/>
  <c r="E909" i="15"/>
  <c r="E908" i="15"/>
  <c r="E906" i="15"/>
  <c r="E905" i="15"/>
  <c r="E904" i="15"/>
  <c r="E903" i="15"/>
  <c r="E902" i="15"/>
  <c r="E901" i="15"/>
  <c r="E900" i="15"/>
  <c r="E899" i="15"/>
  <c r="E898" i="15"/>
  <c r="E897" i="15"/>
  <c r="E896" i="15"/>
  <c r="E895" i="15"/>
  <c r="E894" i="15"/>
  <c r="E893" i="15"/>
  <c r="E892" i="15"/>
  <c r="E891" i="15"/>
  <c r="E890" i="15"/>
  <c r="E889" i="15"/>
  <c r="E888" i="15"/>
  <c r="E887" i="15"/>
  <c r="E886" i="15"/>
  <c r="E885" i="15"/>
  <c r="E884" i="15"/>
  <c r="E883" i="15"/>
  <c r="E882" i="15"/>
  <c r="E881" i="15"/>
  <c r="E880" i="15"/>
  <c r="E879" i="15"/>
  <c r="E878" i="15"/>
  <c r="E877" i="15"/>
  <c r="E876" i="15"/>
  <c r="E875" i="15"/>
  <c r="E874" i="15"/>
  <c r="E873" i="15"/>
  <c r="E872" i="15"/>
  <c r="E871" i="15"/>
  <c r="E870" i="15"/>
  <c r="E869" i="15"/>
  <c r="E868" i="15"/>
  <c r="E867" i="15"/>
  <c r="E866" i="15"/>
  <c r="E865" i="15"/>
  <c r="E864" i="15"/>
  <c r="E863" i="15"/>
  <c r="E862" i="15"/>
  <c r="E861" i="15"/>
  <c r="E860" i="15"/>
  <c r="E859" i="15"/>
  <c r="E857" i="15"/>
  <c r="E856" i="15"/>
  <c r="E855" i="15"/>
  <c r="E854" i="15"/>
  <c r="E853" i="15"/>
  <c r="E852" i="15"/>
  <c r="E851" i="15"/>
  <c r="E850" i="15"/>
  <c r="E849" i="15"/>
  <c r="E848" i="15"/>
  <c r="E847" i="15"/>
  <c r="E846" i="15"/>
  <c r="E845" i="15"/>
  <c r="E844" i="15"/>
  <c r="E843" i="15"/>
  <c r="E842" i="15"/>
  <c r="E841" i="15"/>
  <c r="E840" i="15"/>
  <c r="E839" i="15"/>
  <c r="E838" i="15"/>
  <c r="E837" i="15"/>
  <c r="E836" i="15"/>
  <c r="E835" i="15"/>
  <c r="E834" i="15"/>
  <c r="E833" i="15"/>
  <c r="E832" i="15"/>
  <c r="E831" i="15"/>
  <c r="E830" i="15"/>
  <c r="E829" i="15"/>
  <c r="E828" i="15"/>
  <c r="E827" i="15"/>
  <c r="E826" i="15"/>
  <c r="E825" i="15"/>
  <c r="E824" i="15"/>
  <c r="E823" i="15"/>
  <c r="E822" i="15"/>
  <c r="E821" i="15"/>
  <c r="E820" i="15"/>
  <c r="E819" i="15"/>
  <c r="E818" i="15"/>
  <c r="E817" i="15"/>
  <c r="E816" i="15"/>
  <c r="E815" i="15"/>
  <c r="E814" i="15"/>
  <c r="E813" i="15"/>
  <c r="E812" i="15"/>
  <c r="E811" i="15"/>
  <c r="E810" i="15"/>
  <c r="E809" i="15"/>
  <c r="E808" i="15"/>
  <c r="E807" i="15"/>
  <c r="E806" i="15"/>
  <c r="E805" i="15"/>
  <c r="E804" i="15"/>
  <c r="E803" i="15"/>
  <c r="E802" i="15"/>
  <c r="E801" i="15"/>
  <c r="E800" i="15"/>
  <c r="E799" i="15"/>
  <c r="E798" i="15"/>
  <c r="E797" i="15"/>
  <c r="E796" i="15"/>
  <c r="E795" i="15"/>
  <c r="E794" i="15"/>
  <c r="E793" i="15"/>
  <c r="E792" i="15"/>
  <c r="E791" i="15"/>
  <c r="E790" i="15"/>
  <c r="E789" i="15"/>
  <c r="E788" i="15"/>
  <c r="E787" i="15"/>
  <c r="E786" i="15"/>
  <c r="E785" i="15"/>
  <c r="E783" i="15"/>
  <c r="E782" i="15"/>
  <c r="E781" i="15"/>
  <c r="E780" i="15"/>
  <c r="E779" i="15"/>
  <c r="E778" i="15"/>
  <c r="E777" i="15"/>
  <c r="E776" i="15"/>
  <c r="E775" i="15"/>
  <c r="E774" i="15"/>
  <c r="E773" i="15"/>
  <c r="E772" i="15"/>
  <c r="E771" i="15"/>
  <c r="E770" i="15"/>
  <c r="E769" i="15"/>
  <c r="E768" i="15"/>
  <c r="E767" i="15"/>
  <c r="E766" i="15"/>
  <c r="E765" i="15"/>
  <c r="E764" i="15"/>
  <c r="E763" i="15"/>
  <c r="E762" i="15"/>
  <c r="E761" i="15"/>
  <c r="E760" i="15"/>
  <c r="E759" i="15"/>
  <c r="E758" i="15"/>
  <c r="E757" i="15"/>
  <c r="E755" i="15"/>
  <c r="E754" i="15"/>
  <c r="E753" i="15"/>
  <c r="E752" i="15"/>
  <c r="E751" i="15"/>
  <c r="E750" i="15"/>
  <c r="E749" i="15"/>
  <c r="E748" i="15"/>
  <c r="E747" i="15"/>
  <c r="E746" i="15"/>
  <c r="E745" i="15"/>
  <c r="E744" i="15"/>
  <c r="E743" i="15"/>
  <c r="E742" i="15"/>
  <c r="E741" i="15"/>
  <c r="E740" i="15"/>
  <c r="E739" i="15"/>
  <c r="E738" i="15"/>
  <c r="E737" i="15"/>
  <c r="E736" i="15"/>
  <c r="E735" i="15"/>
  <c r="E734" i="15"/>
  <c r="E733" i="15"/>
  <c r="E732" i="15"/>
  <c r="E731" i="15"/>
  <c r="E730" i="15"/>
  <c r="E729" i="15"/>
  <c r="E728" i="15"/>
  <c r="E727" i="15"/>
  <c r="E726" i="15"/>
  <c r="E725" i="15"/>
  <c r="E724" i="15"/>
  <c r="E723" i="15"/>
  <c r="E722" i="15"/>
  <c r="E721" i="15"/>
  <c r="E720" i="15"/>
  <c r="E719" i="15"/>
  <c r="E718" i="15"/>
  <c r="E717" i="15"/>
  <c r="E716" i="15"/>
  <c r="E715" i="15"/>
  <c r="E714" i="15"/>
  <c r="E713" i="15"/>
  <c r="E712" i="15"/>
  <c r="E711" i="15"/>
  <c r="E710" i="15"/>
  <c r="E708" i="15"/>
  <c r="E707" i="15"/>
  <c r="E706" i="15"/>
  <c r="E705" i="15"/>
  <c r="E704" i="15"/>
  <c r="E703" i="15"/>
  <c r="E702" i="15"/>
  <c r="E701" i="15"/>
  <c r="E700" i="15"/>
  <c r="E699" i="15"/>
  <c r="E698" i="15"/>
  <c r="E697" i="15"/>
  <c r="E696" i="15"/>
  <c r="E695" i="15"/>
  <c r="E694" i="15"/>
  <c r="E693" i="15"/>
  <c r="E692" i="15"/>
  <c r="E691" i="15"/>
  <c r="E690" i="15"/>
  <c r="E689" i="15"/>
  <c r="E688" i="15"/>
  <c r="E687" i="15"/>
  <c r="E686" i="15"/>
  <c r="E685" i="15"/>
  <c r="E684" i="15"/>
  <c r="E683" i="15"/>
  <c r="E682" i="15"/>
  <c r="E681" i="15"/>
  <c r="E680" i="15"/>
  <c r="E679" i="15"/>
  <c r="E678" i="15"/>
  <c r="E677" i="15"/>
  <c r="E676" i="15"/>
  <c r="E675" i="15"/>
  <c r="E674" i="15"/>
  <c r="E673" i="15"/>
  <c r="E671" i="15"/>
  <c r="E670" i="15"/>
  <c r="E669" i="15"/>
  <c r="E668" i="15"/>
  <c r="E667" i="15"/>
  <c r="E666" i="15"/>
  <c r="E665" i="15"/>
  <c r="E664" i="15"/>
  <c r="E663" i="15"/>
  <c r="E661" i="15"/>
  <c r="E660" i="15"/>
  <c r="E659" i="15"/>
  <c r="E658" i="15"/>
  <c r="E657" i="15"/>
  <c r="E656" i="15"/>
  <c r="E654" i="15"/>
  <c r="E653" i="15"/>
  <c r="E652" i="15"/>
  <c r="E651" i="15"/>
  <c r="E650" i="15"/>
  <c r="E649" i="15"/>
  <c r="E648" i="15"/>
  <c r="E647" i="15"/>
  <c r="E646" i="15"/>
  <c r="E645" i="15"/>
  <c r="E644" i="15"/>
  <c r="E643" i="15"/>
  <c r="E642" i="15"/>
  <c r="E641" i="15"/>
  <c r="E640" i="15"/>
  <c r="E639" i="15"/>
  <c r="E638" i="15"/>
  <c r="E637" i="15"/>
  <c r="E636" i="15"/>
  <c r="E635" i="15"/>
  <c r="E634" i="15"/>
  <c r="E633" i="15"/>
  <c r="E632" i="15"/>
  <c r="E631" i="15"/>
  <c r="E630" i="15"/>
  <c r="E629" i="15"/>
  <c r="E628" i="15"/>
  <c r="E627" i="15"/>
  <c r="E625" i="15"/>
  <c r="E624" i="15"/>
  <c r="E623" i="15"/>
  <c r="E622" i="15"/>
  <c r="E621" i="15"/>
  <c r="E620" i="15"/>
  <c r="E619" i="15"/>
  <c r="E618" i="15"/>
  <c r="E617" i="15"/>
  <c r="E616" i="15"/>
  <c r="E615" i="15"/>
  <c r="E614" i="15"/>
  <c r="E613" i="15"/>
  <c r="E612" i="15"/>
  <c r="E611" i="15"/>
  <c r="E610" i="15"/>
  <c r="E609" i="15"/>
  <c r="E608" i="15"/>
  <c r="E607" i="15"/>
  <c r="E606" i="15"/>
  <c r="E605" i="15"/>
  <c r="E604" i="15"/>
  <c r="E603" i="15"/>
  <c r="E602" i="15"/>
  <c r="E601" i="15"/>
  <c r="E599" i="15"/>
  <c r="E598" i="15"/>
  <c r="E597" i="15"/>
  <c r="E596" i="15"/>
  <c r="E595" i="15"/>
  <c r="E594" i="15"/>
  <c r="E593" i="15"/>
  <c r="E592" i="15"/>
  <c r="E591" i="15"/>
  <c r="E590" i="15"/>
  <c r="E589" i="15"/>
  <c r="E588" i="15"/>
  <c r="E587" i="15"/>
  <c r="E586" i="15"/>
  <c r="E585" i="15"/>
  <c r="E584" i="15"/>
  <c r="E583" i="15"/>
  <c r="E582" i="15"/>
  <c r="E581" i="15"/>
  <c r="E580" i="15"/>
  <c r="E579" i="15"/>
  <c r="E578" i="15"/>
  <c r="E577" i="15"/>
  <c r="E576" i="15"/>
  <c r="E575" i="15"/>
  <c r="E574" i="15"/>
  <c r="E573" i="15"/>
  <c r="E572" i="15"/>
  <c r="E571" i="15"/>
  <c r="E570" i="15"/>
  <c r="E569" i="15"/>
  <c r="E568" i="15"/>
  <c r="E567" i="15"/>
  <c r="E566" i="15"/>
  <c r="E565" i="15"/>
  <c r="E564" i="15"/>
  <c r="E563" i="15"/>
  <c r="E562" i="15"/>
  <c r="E561" i="15"/>
  <c r="E560" i="15"/>
  <c r="E559" i="15"/>
  <c r="E558" i="15"/>
  <c r="E557" i="15"/>
  <c r="E556" i="15"/>
  <c r="E555" i="15"/>
  <c r="E554" i="15"/>
  <c r="E553" i="15"/>
  <c r="E552" i="15"/>
  <c r="E551" i="15"/>
  <c r="E550" i="15"/>
  <c r="E549" i="15"/>
  <c r="E548" i="15"/>
  <c r="E547" i="15"/>
  <c r="E546" i="15"/>
  <c r="E545" i="15"/>
  <c r="E544" i="15"/>
  <c r="E543" i="15"/>
  <c r="E542" i="15"/>
  <c r="E541" i="15"/>
  <c r="E540" i="15"/>
  <c r="E539" i="15"/>
  <c r="E538" i="15"/>
  <c r="E537" i="15"/>
  <c r="E536" i="15"/>
  <c r="E535" i="15"/>
  <c r="E534" i="15"/>
  <c r="E533" i="15"/>
  <c r="E532" i="15"/>
  <c r="E531" i="15"/>
  <c r="E530" i="15"/>
  <c r="E529" i="15"/>
  <c r="E528" i="15"/>
  <c r="E527" i="15"/>
  <c r="E526" i="15"/>
  <c r="E525" i="15"/>
  <c r="E524" i="15"/>
  <c r="E523" i="15"/>
  <c r="E522" i="15"/>
  <c r="E521" i="15"/>
  <c r="E520" i="15"/>
  <c r="E519" i="15"/>
  <c r="E518" i="15"/>
  <c r="E516" i="15"/>
  <c r="E515" i="15"/>
  <c r="E514" i="15"/>
  <c r="E513" i="15"/>
  <c r="E512" i="15"/>
  <c r="E511" i="15"/>
  <c r="E510" i="15"/>
  <c r="E509" i="15"/>
  <c r="E508" i="15"/>
  <c r="E507" i="15"/>
  <c r="E506" i="15"/>
  <c r="E505" i="15"/>
  <c r="E504" i="15"/>
  <c r="E503" i="15"/>
  <c r="E502" i="15"/>
  <c r="E501" i="15"/>
  <c r="E500" i="15"/>
  <c r="E499" i="15"/>
  <c r="E498" i="15"/>
  <c r="E497" i="15"/>
  <c r="E496" i="15"/>
  <c r="E495" i="15"/>
  <c r="E494" i="15"/>
  <c r="E493" i="15"/>
  <c r="E492" i="15"/>
  <c r="E491" i="15"/>
  <c r="E490" i="15"/>
  <c r="E489" i="15"/>
  <c r="E488" i="15"/>
  <c r="E487" i="15"/>
  <c r="E486" i="15"/>
  <c r="E485" i="15"/>
  <c r="E484" i="15"/>
  <c r="E483" i="15"/>
  <c r="E482" i="15"/>
  <c r="E481" i="15"/>
  <c r="E480" i="15"/>
  <c r="E479" i="15"/>
  <c r="E478" i="15"/>
  <c r="E477" i="15"/>
  <c r="E476" i="15"/>
  <c r="E475" i="15"/>
  <c r="E474" i="15"/>
  <c r="E473" i="15"/>
  <c r="E472" i="15"/>
  <c r="E471" i="15"/>
  <c r="E470" i="15"/>
  <c r="E469" i="15"/>
  <c r="E468" i="15"/>
  <c r="E467" i="15"/>
  <c r="E466" i="15"/>
  <c r="E465" i="15"/>
  <c r="E464" i="15"/>
  <c r="E463" i="15"/>
  <c r="E462" i="15"/>
  <c r="E461" i="15"/>
  <c r="E460" i="15"/>
  <c r="E459" i="15"/>
  <c r="E458" i="15"/>
  <c r="E457" i="15"/>
  <c r="E456" i="15"/>
  <c r="E455" i="15"/>
  <c r="E454" i="15"/>
  <c r="E453" i="15"/>
  <c r="E452" i="15"/>
  <c r="E451" i="15"/>
  <c r="E450" i="15"/>
  <c r="E449" i="15"/>
  <c r="E448" i="15"/>
  <c r="E447" i="15"/>
  <c r="E446" i="15"/>
  <c r="E445" i="15"/>
  <c r="E444" i="15"/>
  <c r="E443" i="15"/>
  <c r="E442" i="15"/>
  <c r="E441" i="15"/>
  <c r="E440" i="15"/>
  <c r="E439" i="15"/>
  <c r="E438" i="15"/>
  <c r="E437" i="15"/>
  <c r="E436" i="15"/>
  <c r="E435" i="15"/>
  <c r="E434" i="15"/>
  <c r="E433" i="15"/>
  <c r="E432" i="15"/>
  <c r="E431" i="15"/>
  <c r="E430" i="15"/>
  <c r="E429" i="15"/>
  <c r="E428" i="15"/>
  <c r="E427" i="15"/>
  <c r="E426" i="15"/>
  <c r="E425" i="15"/>
  <c r="E424" i="15"/>
  <c r="E423" i="15"/>
  <c r="E422" i="15"/>
  <c r="E421" i="15"/>
  <c r="E420" i="15"/>
  <c r="E419" i="15"/>
  <c r="E418" i="15"/>
  <c r="E417" i="15"/>
  <c r="E416" i="15"/>
  <c r="E415" i="15"/>
  <c r="E414" i="15"/>
  <c r="E413" i="15"/>
  <c r="E412" i="15"/>
  <c r="E411" i="15"/>
  <c r="E410" i="15"/>
  <c r="E409" i="15"/>
  <c r="E408" i="15"/>
  <c r="E407" i="15"/>
  <c r="E406" i="15"/>
  <c r="E405" i="15"/>
  <c r="E404" i="15"/>
  <c r="E403" i="15"/>
  <c r="E402" i="15"/>
  <c r="E401" i="15"/>
  <c r="E400" i="15"/>
  <c r="E399" i="15"/>
  <c r="E398" i="15"/>
  <c r="E397" i="15"/>
  <c r="E396" i="15"/>
  <c r="E395" i="15"/>
  <c r="E394" i="15"/>
  <c r="E393" i="15"/>
  <c r="E392" i="15"/>
  <c r="E391" i="15"/>
  <c r="E390" i="15"/>
  <c r="E389" i="15"/>
  <c r="E388" i="15"/>
  <c r="E387" i="15"/>
  <c r="E386" i="15"/>
  <c r="E385" i="15"/>
  <c r="E384" i="15"/>
  <c r="E383" i="15"/>
  <c r="E382" i="15"/>
  <c r="E381" i="15"/>
  <c r="E380" i="15"/>
  <c r="E379" i="15"/>
  <c r="E378" i="15"/>
  <c r="E377" i="15"/>
  <c r="E376" i="15"/>
  <c r="E375" i="15"/>
  <c r="E374" i="15"/>
  <c r="E373" i="15"/>
  <c r="E372" i="15"/>
  <c r="E371" i="15"/>
  <c r="E370" i="15"/>
  <c r="E369" i="15"/>
  <c r="E368" i="15"/>
  <c r="E367" i="15"/>
  <c r="E366" i="15"/>
  <c r="E365" i="15"/>
  <c r="E364" i="15"/>
  <c r="E363" i="15"/>
  <c r="E362" i="15"/>
  <c r="E361" i="15"/>
  <c r="E360" i="15"/>
  <c r="E359" i="15"/>
  <c r="E358" i="15"/>
  <c r="E357" i="15"/>
  <c r="E356" i="15"/>
  <c r="E355" i="15"/>
  <c r="E354" i="15"/>
  <c r="E353" i="15"/>
  <c r="E352" i="15"/>
  <c r="E351" i="15"/>
  <c r="E350" i="15"/>
  <c r="E349" i="15"/>
  <c r="E348" i="15"/>
  <c r="E347" i="15"/>
  <c r="E346" i="15"/>
  <c r="E345" i="15"/>
  <c r="E344" i="15"/>
  <c r="E343" i="15"/>
  <c r="E342" i="15"/>
  <c r="E341" i="15"/>
  <c r="E340" i="15"/>
  <c r="E339" i="15"/>
  <c r="E338" i="15"/>
  <c r="E337" i="15"/>
  <c r="E336" i="15"/>
  <c r="E335" i="15"/>
  <c r="E334" i="15"/>
  <c r="E333" i="15"/>
  <c r="E332" i="15"/>
  <c r="E331" i="15"/>
  <c r="E330" i="15"/>
  <c r="E329" i="15"/>
  <c r="E328" i="15"/>
  <c r="E327" i="15"/>
  <c r="E326" i="15"/>
  <c r="E325" i="15"/>
  <c r="E324" i="15"/>
  <c r="E323" i="15"/>
  <c r="E322" i="15"/>
  <c r="E321" i="15"/>
  <c r="E320" i="15"/>
  <c r="E319" i="15"/>
  <c r="E318" i="15"/>
  <c r="E317" i="15"/>
  <c r="E316" i="15"/>
  <c r="E315" i="15"/>
  <c r="E314" i="15"/>
  <c r="E313" i="15"/>
  <c r="E312" i="15"/>
  <c r="E311" i="15"/>
  <c r="E310" i="15"/>
  <c r="E309" i="15"/>
  <c r="E308" i="15"/>
  <c r="E307" i="15"/>
  <c r="E306" i="15"/>
  <c r="E305" i="15"/>
  <c r="E304" i="15"/>
  <c r="E303" i="15"/>
  <c r="E302" i="15"/>
  <c r="E301" i="15"/>
  <c r="E300" i="15"/>
  <c r="E299" i="15"/>
  <c r="E298" i="15"/>
  <c r="E297" i="15"/>
  <c r="E296" i="15"/>
  <c r="E295" i="15"/>
  <c r="E294" i="15"/>
  <c r="E293" i="15"/>
  <c r="E292" i="15"/>
  <c r="E291" i="15"/>
  <c r="E290" i="15"/>
  <c r="E289" i="15"/>
  <c r="E288" i="15"/>
  <c r="E287" i="15"/>
  <c r="E286" i="15"/>
  <c r="E285" i="15"/>
  <c r="E284" i="15"/>
  <c r="E283" i="15"/>
  <c r="E282" i="15"/>
  <c r="E281" i="15"/>
  <c r="E280" i="15"/>
  <c r="E279" i="15"/>
  <c r="E278" i="15"/>
  <c r="E277" i="15"/>
  <c r="E276" i="15"/>
  <c r="E275" i="15"/>
  <c r="E274" i="15"/>
  <c r="E273" i="15"/>
  <c r="E272" i="15"/>
  <c r="E271" i="15"/>
  <c r="E270" i="15"/>
  <c r="E269" i="15"/>
  <c r="E268" i="15"/>
  <c r="E267" i="15"/>
  <c r="E266" i="15"/>
  <c r="E265" i="15"/>
  <c r="E264" i="15"/>
  <c r="E263" i="15"/>
  <c r="E262" i="15"/>
  <c r="E261" i="15"/>
  <c r="E260" i="15"/>
  <c r="E259" i="15"/>
  <c r="E258" i="15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7" i="15"/>
  <c r="E6" i="15"/>
  <c r="E5" i="15"/>
  <c r="E4" i="15"/>
  <c r="E3" i="15"/>
  <c r="E2" i="15"/>
  <c r="C59" i="16"/>
  <c r="C59" i="20"/>
  <c r="C55" i="16"/>
  <c r="C55" i="20"/>
  <c r="B59" i="20"/>
  <c r="B59" i="16"/>
  <c r="C61" i="16"/>
  <c r="C61" i="20"/>
  <c r="C73" i="16"/>
  <c r="C73" i="20"/>
  <c r="C69" i="16"/>
  <c r="C69" i="20"/>
  <c r="B51" i="20"/>
  <c r="B51" i="16"/>
  <c r="B53" i="16"/>
  <c r="B53" i="20"/>
  <c r="B61" i="20"/>
  <c r="B61" i="16"/>
  <c r="B71" i="16"/>
  <c r="B71" i="20"/>
  <c r="C53" i="16"/>
  <c r="C53" i="20"/>
  <c r="C63" i="16"/>
  <c r="C63" i="20"/>
  <c r="C51" i="20"/>
  <c r="C51" i="16"/>
  <c r="C57" i="16"/>
  <c r="C57" i="20"/>
  <c r="B55" i="16"/>
  <c r="B55" i="20"/>
  <c r="B63" i="16"/>
  <c r="B63" i="20"/>
  <c r="B67" i="20"/>
  <c r="B67" i="16"/>
  <c r="B57" i="20"/>
  <c r="B57" i="16"/>
  <c r="B73" i="20"/>
  <c r="B73" i="16"/>
  <c r="B69" i="20"/>
  <c r="B69" i="16"/>
  <c r="C65" i="16"/>
  <c r="C65" i="20"/>
  <c r="C67" i="20"/>
  <c r="C67" i="16"/>
  <c r="B65" i="16"/>
  <c r="B65" i="20"/>
  <c r="C71" i="20"/>
  <c r="C71" i="16"/>
</calcChain>
</file>

<file path=xl/sharedStrings.xml><?xml version="1.0" encoding="utf-8"?>
<sst xmlns="http://schemas.openxmlformats.org/spreadsheetml/2006/main" count="55294" uniqueCount="10013">
  <si>
    <t>DNI</t>
  </si>
  <si>
    <t>APELLIDO</t>
  </si>
  <si>
    <t>NOMBRE</t>
  </si>
  <si>
    <t>FechaNac</t>
  </si>
  <si>
    <t>Edad</t>
  </si>
  <si>
    <t>TelPart</t>
  </si>
  <si>
    <t>Nivel Estudio</t>
  </si>
  <si>
    <t>Título</t>
  </si>
  <si>
    <t>Unidad Académica</t>
  </si>
  <si>
    <t>Area</t>
  </si>
  <si>
    <t>Cargo/Funcion</t>
  </si>
  <si>
    <t>Personas</t>
  </si>
  <si>
    <t>Email</t>
  </si>
  <si>
    <t>TelLab</t>
  </si>
  <si>
    <t>Interno</t>
  </si>
  <si>
    <t>Medio1</t>
  </si>
  <si>
    <t>Medio2</t>
  </si>
  <si>
    <t>Medio3</t>
  </si>
  <si>
    <t>Medio4</t>
  </si>
  <si>
    <t>Medio5</t>
  </si>
  <si>
    <t>Medio6</t>
  </si>
  <si>
    <t>ABRAHAM</t>
  </si>
  <si>
    <t>SILVIA OLGA</t>
  </si>
  <si>
    <t>Sin dato</t>
  </si>
  <si>
    <t>Agronomía y Zootecnia</t>
  </si>
  <si>
    <t>Dato No Proporcionado</t>
  </si>
  <si>
    <t>AGÜERO</t>
  </si>
  <si>
    <t>JUAN CARLOS</t>
  </si>
  <si>
    <t>SECRETARIO DE INSTITUTO</t>
  </si>
  <si>
    <t>calolo340@hotmail.com</t>
  </si>
  <si>
    <t>SOFIA</t>
  </si>
  <si>
    <t>jtp</t>
  </si>
  <si>
    <t>sofiaguero@gmail.com</t>
  </si>
  <si>
    <t>JUAN JOSE</t>
  </si>
  <si>
    <t>recepcion de notas</t>
  </si>
  <si>
    <t>juanjoaguero@hotmail.com</t>
  </si>
  <si>
    <t>LUIS DANIEL</t>
  </si>
  <si>
    <t>Secundario incompleto</t>
  </si>
  <si>
    <t>ADMINISTRATIVO</t>
  </si>
  <si>
    <t>luisaguero80@hotmail.com</t>
  </si>
  <si>
    <t>AHUMADA</t>
  </si>
  <si>
    <t>SANDRA MARCELA</t>
  </si>
  <si>
    <t>jefe seccion resoluciones</t>
  </si>
  <si>
    <t>toto_0101@hotmail.com</t>
  </si>
  <si>
    <t>AJALLA</t>
  </si>
  <si>
    <t xml:space="preserve">ANDRES ABELINO </t>
  </si>
  <si>
    <t>andresajalla@hotmail.com</t>
  </si>
  <si>
    <t>ALBORNOZ</t>
  </si>
  <si>
    <t>administrativo</t>
  </si>
  <si>
    <t>ludaniz@yahoo.com.ar</t>
  </si>
  <si>
    <t>JOSE</t>
  </si>
  <si>
    <t xml:space="preserve">VERÓNICA DE LOS ANGELES </t>
  </si>
  <si>
    <t/>
  </si>
  <si>
    <t>3814764051</t>
  </si>
  <si>
    <t>Primario completo</t>
  </si>
  <si>
    <t>Arquitectura y Urbanismo</t>
  </si>
  <si>
    <t xml:space="preserve">intendencia </t>
  </si>
  <si>
    <t>Mantenimiento</t>
  </si>
  <si>
    <t>albornozvero810@gmail.com</t>
  </si>
  <si>
    <t>Sitio web de la UNT</t>
  </si>
  <si>
    <t>Sitio web del Centro</t>
  </si>
  <si>
    <t>Folleto/Afiches</t>
  </si>
  <si>
    <t>Nota de invitación</t>
  </si>
  <si>
    <t>Compañero de trabajo</t>
  </si>
  <si>
    <t>ALE</t>
  </si>
  <si>
    <t>NORMA MERCEDES</t>
  </si>
  <si>
    <t>auxiliar docente graduado de primera categoria</t>
  </si>
  <si>
    <t>a_norma_@hotmail.com</t>
  </si>
  <si>
    <t>ALMARAZ</t>
  </si>
  <si>
    <t>SANDRO MARCELO</t>
  </si>
  <si>
    <t>Universitario completo</t>
  </si>
  <si>
    <t>ENCARGADO DPTO BIENES PATRIMONIALES</t>
  </si>
  <si>
    <t>sandro12almaraz@gmail.com</t>
  </si>
  <si>
    <t>ALMIRON</t>
  </si>
  <si>
    <t>JORGE LUIS</t>
  </si>
  <si>
    <t>tecnico</t>
  </si>
  <si>
    <t>almironjorgeluis@gmail.com</t>
  </si>
  <si>
    <t>155704124</t>
  </si>
  <si>
    <t>Terciario completo</t>
  </si>
  <si>
    <t>TEC. SUP. EN MECATRONICA</t>
  </si>
  <si>
    <t>Área operativa Decanato</t>
  </si>
  <si>
    <t>Adminitrativo/a</t>
  </si>
  <si>
    <t>4390003</t>
  </si>
  <si>
    <t>AMADO</t>
  </si>
  <si>
    <t>OLGA SILVIA</t>
  </si>
  <si>
    <t>3814453871</t>
  </si>
  <si>
    <t>Universitario incompleto</t>
  </si>
  <si>
    <t>inst. de tecnologia, arquitectura y morfologia</t>
  </si>
  <si>
    <t>amado.silvia@gmail.com</t>
  </si>
  <si>
    <t>4364093</t>
  </si>
  <si>
    <t>7951</t>
  </si>
  <si>
    <t xml:space="preserve">APICHELA </t>
  </si>
  <si>
    <t xml:space="preserve">SILVANA ANDREA </t>
  </si>
  <si>
    <t>sapichela@fbqf.unt.edu.ar</t>
  </si>
  <si>
    <t>ARIP</t>
  </si>
  <si>
    <t>JUAN MANUEL</t>
  </si>
  <si>
    <t>ASTUDILLO</t>
  </si>
  <si>
    <t>MARIANA</t>
  </si>
  <si>
    <t>adscripcion</t>
  </si>
  <si>
    <t>chochi_astudillo@hotmail.com</t>
  </si>
  <si>
    <t>BARGAS</t>
  </si>
  <si>
    <t>JAIRO ISAAC</t>
  </si>
  <si>
    <t>BENEDEK</t>
  </si>
  <si>
    <t>BRUNO EZEQUIEL</t>
  </si>
  <si>
    <t>becascomunic@gmail.com</t>
  </si>
  <si>
    <t>BENSUSAN</t>
  </si>
  <si>
    <t>FERNANDO</t>
  </si>
  <si>
    <t>BOLLERO</t>
  </si>
  <si>
    <t>VICTORIA</t>
  </si>
  <si>
    <t>22/01/71</t>
  </si>
  <si>
    <t>154493613</t>
  </si>
  <si>
    <t>ABOGADA</t>
  </si>
  <si>
    <t>JTP/Aux. Docente</t>
  </si>
  <si>
    <t>100</t>
  </si>
  <si>
    <t>victoriabollero@hotmail.com</t>
  </si>
  <si>
    <t>BRIZUELA</t>
  </si>
  <si>
    <t>JULIA</t>
  </si>
  <si>
    <t>julitagab@yahoo.es</t>
  </si>
  <si>
    <t>BRUNOTTO</t>
  </si>
  <si>
    <t>SANDRA FATIMA</t>
  </si>
  <si>
    <t>DIRECTORA ACADEMICA</t>
  </si>
  <si>
    <t>Sandrafbrunotto@yahoo.com.ar</t>
  </si>
  <si>
    <t xml:space="preserve">DIRECTORA  </t>
  </si>
  <si>
    <t>sandrafbrunotto@yahoo.com.ar</t>
  </si>
  <si>
    <t>BUSAB</t>
  </si>
  <si>
    <t>MARCELA ALEJANDRA</t>
  </si>
  <si>
    <t>VICE DIRECTORA</t>
  </si>
  <si>
    <t>marcelabusab@hotmail.com</t>
  </si>
  <si>
    <t>CANIZO</t>
  </si>
  <si>
    <t>GABRIEL</t>
  </si>
  <si>
    <t>CANTO</t>
  </si>
  <si>
    <t>SERGIO</t>
  </si>
  <si>
    <t>JEFE DE COMPRAS</t>
  </si>
  <si>
    <t>sergiocanto@hotmail.com</t>
  </si>
  <si>
    <t>CARELLO</t>
  </si>
  <si>
    <t>MARCELO</t>
  </si>
  <si>
    <t>dptocomprasfaz@faz.unt.edu.ar</t>
  </si>
  <si>
    <t>436 0256</t>
  </si>
  <si>
    <t>CARRASCO</t>
  </si>
  <si>
    <t>ANA CAROLINA</t>
  </si>
  <si>
    <t>156558999</t>
  </si>
  <si>
    <t>Secundario completo</t>
  </si>
  <si>
    <t>no</t>
  </si>
  <si>
    <t>4107511</t>
  </si>
  <si>
    <t>CARRIZO</t>
  </si>
  <si>
    <t>sanpedrodecolalao@gamil.com</t>
  </si>
  <si>
    <t>CASTELLANOS</t>
  </si>
  <si>
    <t>JORGE ALEJANDRO</t>
  </si>
  <si>
    <t>3815180851</t>
  </si>
  <si>
    <t>Despacho Académico</t>
  </si>
  <si>
    <t>jorcastellanos@hotmail.com</t>
  </si>
  <si>
    <t>4107534</t>
  </si>
  <si>
    <t>7534</t>
  </si>
  <si>
    <t>JORGE</t>
  </si>
  <si>
    <t>CERVERA</t>
  </si>
  <si>
    <t>ALICIA CAROLINA</t>
  </si>
  <si>
    <t>CHAVARRIA</t>
  </si>
  <si>
    <t>JUANA</t>
  </si>
  <si>
    <t>BIBLIOTECA</t>
  </si>
  <si>
    <t>Técnicos/Profesional</t>
  </si>
  <si>
    <t>juanachava56@hotmail.com</t>
  </si>
  <si>
    <t>4107530</t>
  </si>
  <si>
    <t>JUANA CLEMENCIA</t>
  </si>
  <si>
    <t>AUXILIAR PROCESOS TECNICOS</t>
  </si>
  <si>
    <t>CHOCOBAR</t>
  </si>
  <si>
    <t>ADRIANA</t>
  </si>
  <si>
    <t>ordenanza</t>
  </si>
  <si>
    <t>CISTERNA</t>
  </si>
  <si>
    <t>FABIO MARCELO</t>
  </si>
  <si>
    <t>DIRECTOR MESA DE ENTRADAS</t>
  </si>
  <si>
    <t>NO USA</t>
  </si>
  <si>
    <t>COCERES</t>
  </si>
  <si>
    <t>MARCELA ROSANA</t>
  </si>
  <si>
    <t>mrossanac@hotmail.com</t>
  </si>
  <si>
    <t>CORBALAN</t>
  </si>
  <si>
    <t>NILDA ADRIANA</t>
  </si>
  <si>
    <t>nildaadrianacorbalan@yahoo.com.ar</t>
  </si>
  <si>
    <t>CRISTOFARI</t>
  </si>
  <si>
    <t>ANDREA</t>
  </si>
  <si>
    <t>tesorera</t>
  </si>
  <si>
    <t>andreacristofari@yahoo.com.ar</t>
  </si>
  <si>
    <t>CUEZZO</t>
  </si>
  <si>
    <t>CINTIA DE LAS MERCEDES</t>
  </si>
  <si>
    <t>ccuezzo@gmail.com</t>
  </si>
  <si>
    <t>DECIMA</t>
  </si>
  <si>
    <t>ROSA GRACIELA</t>
  </si>
  <si>
    <t>07/08/70</t>
  </si>
  <si>
    <t>155810682</t>
  </si>
  <si>
    <t>lic. en gestión univ.</t>
  </si>
  <si>
    <t>gradecima@hotmail.com</t>
  </si>
  <si>
    <t>DELGADO</t>
  </si>
  <si>
    <t>CRISTIAN ABEL</t>
  </si>
  <si>
    <t>SUBTESORERO</t>
  </si>
  <si>
    <t>delgadocristian_@hotmail.com</t>
  </si>
  <si>
    <t>4107535- 7545</t>
  </si>
  <si>
    <t>DIAZ</t>
  </si>
  <si>
    <t>JULIO C.</t>
  </si>
  <si>
    <t xml:space="preserve">DIAZ </t>
  </si>
  <si>
    <t>ANTONIO</t>
  </si>
  <si>
    <t>DOMINETTI</t>
  </si>
  <si>
    <t>ROSA SILVINA</t>
  </si>
  <si>
    <t>encargada de circulacion y prestamos</t>
  </si>
  <si>
    <t>danielarnedo@hotmail.com</t>
  </si>
  <si>
    <t>ESTEQUIN</t>
  </si>
  <si>
    <t>JULIO RAMON</t>
  </si>
  <si>
    <t>AUXILIAR</t>
  </si>
  <si>
    <t>julitoestequin@hotmail.com</t>
  </si>
  <si>
    <t>FLORES</t>
  </si>
  <si>
    <t>ELIO CESAR</t>
  </si>
  <si>
    <t>ALDO FABIAN</t>
  </si>
  <si>
    <t>GARCIA MORALES</t>
  </si>
  <si>
    <t>GERMAN ALEJANDRO</t>
  </si>
  <si>
    <t>ayudante estudiantil</t>
  </si>
  <si>
    <t>grmanmorals@gmail.com</t>
  </si>
  <si>
    <t>GLORIOSSO</t>
  </si>
  <si>
    <t>CLAUDIA</t>
  </si>
  <si>
    <t>jefe de inscripcion- dir. Alumnos</t>
  </si>
  <si>
    <t>elizabethgloriosso@yahoo.com.ar</t>
  </si>
  <si>
    <t>GOMEZ</t>
  </si>
  <si>
    <t>ROBERTO BENITO</t>
  </si>
  <si>
    <t>jefe</t>
  </si>
  <si>
    <t>chito_boby@hotmail.com</t>
  </si>
  <si>
    <t>GOMEZ CAMPERO</t>
  </si>
  <si>
    <t>MARIA GABRIELA</t>
  </si>
  <si>
    <t>DOCENTE</t>
  </si>
  <si>
    <t>gabrielagc713@gmail.com</t>
  </si>
  <si>
    <t>GONZALEZ</t>
  </si>
  <si>
    <t>VALERIA DEL VALLE</t>
  </si>
  <si>
    <t>155939134</t>
  </si>
  <si>
    <t>direccion economica financiera</t>
  </si>
  <si>
    <t>valeriagonzalez_@hotmail.com</t>
  </si>
  <si>
    <t>4107545</t>
  </si>
  <si>
    <t xml:space="preserve">GUARAZ </t>
  </si>
  <si>
    <t>INES DEL CARMEN</t>
  </si>
  <si>
    <t>SERVICIOS GENERALES</t>
  </si>
  <si>
    <t>gringa_guaraz@hotmail.com</t>
  </si>
  <si>
    <t>GUERRERO</t>
  </si>
  <si>
    <t>ALBERTO RAMIRO</t>
  </si>
  <si>
    <t>TECNICO</t>
  </si>
  <si>
    <t>aguerrero@herrera.unt.edu.ar</t>
  </si>
  <si>
    <t>GUZMAN</t>
  </si>
  <si>
    <t>NATIVIDAD</t>
  </si>
  <si>
    <t>HANCE</t>
  </si>
  <si>
    <t>DUILLO MÁXIMO</t>
  </si>
  <si>
    <t>DIRECTOR ECONOMICO FINANCIERO</t>
  </si>
  <si>
    <t>diecfi@herrera.unt.edu.ar</t>
  </si>
  <si>
    <t xml:space="preserve">4107535- 7545 </t>
  </si>
  <si>
    <t>HERNANDEZ SOLBES</t>
  </si>
  <si>
    <t>ANDREA FABIOLA</t>
  </si>
  <si>
    <t>23/02/67</t>
  </si>
  <si>
    <t>155364685</t>
  </si>
  <si>
    <t>hernandezandre@live.com.ar</t>
  </si>
  <si>
    <t>HERRERA</t>
  </si>
  <si>
    <t>AUGUSTO</t>
  </si>
  <si>
    <t>exenet_55@hotmail.com</t>
  </si>
  <si>
    <t>HERRERA GONZÁLEZ</t>
  </si>
  <si>
    <t>IBAÑEZ</t>
  </si>
  <si>
    <t>MARIA ANTONIA</t>
  </si>
  <si>
    <t>jefe de certificaciones</t>
  </si>
  <si>
    <t>mai_unt_1962@hotmail.com</t>
  </si>
  <si>
    <t>JEGER</t>
  </si>
  <si>
    <t xml:space="preserve">PABLO </t>
  </si>
  <si>
    <t>156074710</t>
  </si>
  <si>
    <t>DIRECTOR DE BIBLIOTECA</t>
  </si>
  <si>
    <t>poljeger@hotmail.com</t>
  </si>
  <si>
    <t>4107513</t>
  </si>
  <si>
    <t>7513</t>
  </si>
  <si>
    <t>JEREZ</t>
  </si>
  <si>
    <t>GERMÁN LEONARDO</t>
  </si>
  <si>
    <t>germaleonardo@gmail.com</t>
  </si>
  <si>
    <t>JIMÉNEZ</t>
  </si>
  <si>
    <t>TRANSITO DEL CARMEN</t>
  </si>
  <si>
    <t>decafau@harrera.unt.edu.ar</t>
  </si>
  <si>
    <t>KOCSIS</t>
  </si>
  <si>
    <t>MARIA CRISTINA</t>
  </si>
  <si>
    <t>SECRETARIA DE EXTENSION</t>
  </si>
  <si>
    <t>mkocsis@herrera.unt.edu.ar</t>
  </si>
  <si>
    <t>KOTOWICZ</t>
  </si>
  <si>
    <t>SANDRA</t>
  </si>
  <si>
    <t>LATINA</t>
  </si>
  <si>
    <t>STELLA MARIA</t>
  </si>
  <si>
    <t>PROF. ADJUNTA</t>
  </si>
  <si>
    <t>smlatina05@gmail.com</t>
  </si>
  <si>
    <t>NANCY ELIZABETH</t>
  </si>
  <si>
    <t>nel_26_66@hotmail.com</t>
  </si>
  <si>
    <t>LIZARRAGA</t>
  </si>
  <si>
    <t>SEGUNDO RAMON</t>
  </si>
  <si>
    <t>KRISTIAN</t>
  </si>
  <si>
    <t>LOPEZ</t>
  </si>
  <si>
    <t>RUBEN EDUARDO</t>
  </si>
  <si>
    <t>MAESTRANZA</t>
  </si>
  <si>
    <t>DANIEL SOLANO</t>
  </si>
  <si>
    <t>publifaz@yahoo.com.ar</t>
  </si>
  <si>
    <t>LOREFICE</t>
  </si>
  <si>
    <t>ALEJANDRO DOMINGO</t>
  </si>
  <si>
    <t>alejandrolorefice@hotmail.com</t>
  </si>
  <si>
    <t>ALEJANDRO</t>
  </si>
  <si>
    <t>AUX. DOCENTE</t>
  </si>
  <si>
    <t>4390003/40</t>
  </si>
  <si>
    <t xml:space="preserve">LOREFICE </t>
  </si>
  <si>
    <t>LOTTI DE SANTOS</t>
  </si>
  <si>
    <t>MARGARITA INES</t>
  </si>
  <si>
    <t>TITULAR CATEDRA BOTANICA GRAL</t>
  </si>
  <si>
    <t>margaritalotti@arnet.com.ar</t>
  </si>
  <si>
    <t>LUNA</t>
  </si>
  <si>
    <t>ROMINA BEATRIZ</t>
  </si>
  <si>
    <t>AUX. ESTUDIANTIL</t>
  </si>
  <si>
    <t>lrominabeatriz@gmail.com / lunarominab@gmail.com</t>
  </si>
  <si>
    <t>MANSILLA</t>
  </si>
  <si>
    <t>HEBE</t>
  </si>
  <si>
    <t>hebemansilla@hotmail.com</t>
  </si>
  <si>
    <t>MARTINEZ</t>
  </si>
  <si>
    <t>VIVIANA ELIDA</t>
  </si>
  <si>
    <t>subjefa mesa de entradas</t>
  </si>
  <si>
    <t>v_martinez97@yahoo.com.ar</t>
  </si>
  <si>
    <t>MEDINA</t>
  </si>
  <si>
    <t>JTP</t>
  </si>
  <si>
    <t>safamedina@hotmail.com</t>
  </si>
  <si>
    <t>MENDIONDO</t>
  </si>
  <si>
    <t>MATIAS ALEJANDRO</t>
  </si>
  <si>
    <t>mmendiondo@herrera.unt.edu.ar</t>
  </si>
  <si>
    <t>MENDOZA</t>
  </si>
  <si>
    <t>SILVIA BEATRIZ</t>
  </si>
  <si>
    <t>silviamendoza632@hotmail.com</t>
  </si>
  <si>
    <t>METTOLA</t>
  </si>
  <si>
    <t>HECTOR ROLANDO</t>
  </si>
  <si>
    <t>MORALES</t>
  </si>
  <si>
    <t>MORENO</t>
  </si>
  <si>
    <t>DANIELA</t>
  </si>
  <si>
    <t>SECRETARIA DE EXTRENSION</t>
  </si>
  <si>
    <t>danielamoreno01@gmail.com</t>
  </si>
  <si>
    <t>JUAN ENRIQUE</t>
  </si>
  <si>
    <t>jemoreno16@hotmail.com</t>
  </si>
  <si>
    <t>LUZ</t>
  </si>
  <si>
    <t>arqluciernaga@hotmail.com</t>
  </si>
  <si>
    <t>MORFIL</t>
  </si>
  <si>
    <t>LIDIA MABEL DEL VALLE</t>
  </si>
  <si>
    <t>JEFA DE HEMEROTECA. VICE DIRECTORA</t>
  </si>
  <si>
    <t>mmorfil@herrera.unt.edu.ar</t>
  </si>
  <si>
    <t>MORON HESSLING</t>
  </si>
  <si>
    <t>FRANCISCO</t>
  </si>
  <si>
    <t>fmoron@herrera.unt.edu.ar</t>
  </si>
  <si>
    <t>NAVARRO</t>
  </si>
  <si>
    <t>DOLORES RITA</t>
  </si>
  <si>
    <t>loly.navarro51@gmail.com</t>
  </si>
  <si>
    <t>ROSA MARIA VERONICA</t>
  </si>
  <si>
    <t>rmverona@hotmail.com</t>
  </si>
  <si>
    <t>NICOSIA</t>
  </si>
  <si>
    <t xml:space="preserve">MARTA </t>
  </si>
  <si>
    <t>mmt_ar@yahoo.com.ar</t>
  </si>
  <si>
    <t>NIEVA</t>
  </si>
  <si>
    <t>CARLOS DANIEL</t>
  </si>
  <si>
    <t>Terciario incompleto</t>
  </si>
  <si>
    <t>JEFE DE BIENES PATRIMONIALES Y ECONOMATO</t>
  </si>
  <si>
    <t>cnieva@herrera.unt.edu.ar</t>
  </si>
  <si>
    <t>NOGUERA</t>
  </si>
  <si>
    <t>SERGIO ANTONIO</t>
  </si>
  <si>
    <t>JEFE DPTO.</t>
  </si>
  <si>
    <t>leyesan@hotmail.com</t>
  </si>
  <si>
    <t>NUÑEZ</t>
  </si>
  <si>
    <t>ROQUE RAUL</t>
  </si>
  <si>
    <t>CARLOS MARCELO</t>
  </si>
  <si>
    <t>NÚÑEZ</t>
  </si>
  <si>
    <t>CARLOS</t>
  </si>
  <si>
    <t>OLEA</t>
  </si>
  <si>
    <t>MIGUEL ANGEL</t>
  </si>
  <si>
    <t>155478400</t>
  </si>
  <si>
    <t>RECEPCIONISTA</t>
  </si>
  <si>
    <t>mao@iclaro.com.ar</t>
  </si>
  <si>
    <t>4390061</t>
  </si>
  <si>
    <t>247</t>
  </si>
  <si>
    <t>OROSCO</t>
  </si>
  <si>
    <t>ARMINDA</t>
  </si>
  <si>
    <t>macriko@hotmail.com</t>
  </si>
  <si>
    <t>OVIEDO</t>
  </si>
  <si>
    <t>ESTELA NANCY</t>
  </si>
  <si>
    <t>eno1970@hotmail.com</t>
  </si>
  <si>
    <t>PAEZ</t>
  </si>
  <si>
    <t>LELIA ADRIANA</t>
  </si>
  <si>
    <t>155790864</t>
  </si>
  <si>
    <t>TSGU</t>
  </si>
  <si>
    <t>INST. DE PLANEAMIENTO Y DESARROLLO URBANO</t>
  </si>
  <si>
    <t>adrianapaez@yahoo.com</t>
  </si>
  <si>
    <t>4107620</t>
  </si>
  <si>
    <t>PAEZ VILLALBA</t>
  </si>
  <si>
    <t>MARIA LELIA</t>
  </si>
  <si>
    <t>11/06/1974</t>
  </si>
  <si>
    <t>155019093</t>
  </si>
  <si>
    <t>ING. AGRONOMO</t>
  </si>
  <si>
    <t xml:space="preserve">AUXILIAR DOCENTE </t>
  </si>
  <si>
    <t>Docente</t>
  </si>
  <si>
    <t>leliapaez2009@hotmail.com</t>
  </si>
  <si>
    <t>PAOLANTONIO</t>
  </si>
  <si>
    <t xml:space="preserve">GABRIEL </t>
  </si>
  <si>
    <t>PERALTA</t>
  </si>
  <si>
    <t>JUAN ALBERTO</t>
  </si>
  <si>
    <t>DIRECTOR DE MESA DE ENTRADAS</t>
  </si>
  <si>
    <t>japeralta@gmail.com</t>
  </si>
  <si>
    <t xml:space="preserve">CRISTIAN  </t>
  </si>
  <si>
    <t>PLASENCIA</t>
  </si>
  <si>
    <t>ADRIANA MARIA</t>
  </si>
  <si>
    <t>3856235679</t>
  </si>
  <si>
    <t>LIC EN QUIMICA</t>
  </si>
  <si>
    <t>adriplasencia@htmail.com</t>
  </si>
  <si>
    <t>4300040/09</t>
  </si>
  <si>
    <t>POCH</t>
  </si>
  <si>
    <t>JORGE GABRIEL</t>
  </si>
  <si>
    <t>3814142659</t>
  </si>
  <si>
    <t>ING. ELECTRONICO</t>
  </si>
  <si>
    <t>jpoch@herrera.unt.edu.ar</t>
  </si>
  <si>
    <t>PRADO</t>
  </si>
  <si>
    <t>LUIS ANTONIO</t>
  </si>
  <si>
    <t>pety_prado@hotmail.com</t>
  </si>
  <si>
    <t>QUIPILDOR</t>
  </si>
  <si>
    <t>FATIMA</t>
  </si>
  <si>
    <t>RAMOS</t>
  </si>
  <si>
    <t>AGUSTINA</t>
  </si>
  <si>
    <t>AUX. ADMINISTRATIVO</t>
  </si>
  <si>
    <t>agustinaramos09@hotmail.com</t>
  </si>
  <si>
    <t>REBORA</t>
  </si>
  <si>
    <t>MARÍA EUGENIA</t>
  </si>
  <si>
    <t>me_rebo@hotmail.com</t>
  </si>
  <si>
    <t>RENGANESCHI</t>
  </si>
  <si>
    <t xml:space="preserve">ENRIQUE   </t>
  </si>
  <si>
    <t>enrique_renganeschi@hotmail.com</t>
  </si>
  <si>
    <t>REYNOSO</t>
  </si>
  <si>
    <t>ROCHA DE ARIP</t>
  </si>
  <si>
    <t>ANA MARIA</t>
  </si>
  <si>
    <t>RODRIGUEZ</t>
  </si>
  <si>
    <t>PATRICIA ALEJANDRA</t>
  </si>
  <si>
    <t>ptricia.a.rodriguez@hotmail.com</t>
  </si>
  <si>
    <t>4107511- 7511</t>
  </si>
  <si>
    <t>RODRIGUEZ VAQUERO</t>
  </si>
  <si>
    <t>NORBERTO JORGE</t>
  </si>
  <si>
    <t>rodriguezvaquero_arq@yahoo.com.ar</t>
  </si>
  <si>
    <t>ROLON</t>
  </si>
  <si>
    <t>GUILLERMO</t>
  </si>
  <si>
    <t>20/11/1976</t>
  </si>
  <si>
    <t>1151058961</t>
  </si>
  <si>
    <t>arquitecto</t>
  </si>
  <si>
    <t>INVESTIGADOR</t>
  </si>
  <si>
    <t>5</t>
  </si>
  <si>
    <t>guillerolon02@gmail.com</t>
  </si>
  <si>
    <t>ROMANO</t>
  </si>
  <si>
    <t>GRACIELA MABEL</t>
  </si>
  <si>
    <t>tecnico de laboratorio</t>
  </si>
  <si>
    <t>mabelromano@gmail.com</t>
  </si>
  <si>
    <t>ROMERO SALAZAR DE PERALTA</t>
  </si>
  <si>
    <t>NATALIA ESTER</t>
  </si>
  <si>
    <t>156201838</t>
  </si>
  <si>
    <t xml:space="preserve">TECNICO EN ADMINISTRACION Y ORGANIZACION </t>
  </si>
  <si>
    <t>CONCURSOS</t>
  </si>
  <si>
    <t>natyromesa@hotmail.com</t>
  </si>
  <si>
    <t>4107518</t>
  </si>
  <si>
    <t xml:space="preserve">SABATE  </t>
  </si>
  <si>
    <t>MARIA FERNANDA</t>
  </si>
  <si>
    <t>tecnico a cargo de planoteca</t>
  </si>
  <si>
    <t>sabatemariafernanda@gmail.com</t>
  </si>
  <si>
    <t>SAENZ</t>
  </si>
  <si>
    <t>SILVIA SOLEDAD</t>
  </si>
  <si>
    <t>PERSONAL Y MESA DE ENTRADA</t>
  </si>
  <si>
    <t>SÁNCHEZ</t>
  </si>
  <si>
    <t>DORA INES</t>
  </si>
  <si>
    <t>academic@herrera.unt.edu.ar</t>
  </si>
  <si>
    <t>SCHONY</t>
  </si>
  <si>
    <t>GRACIELA</t>
  </si>
  <si>
    <t>gra434@hotmail.com</t>
  </si>
  <si>
    <t>SERPICO</t>
  </si>
  <si>
    <t>LILIANA</t>
  </si>
  <si>
    <t>LILIANA NOEMI</t>
  </si>
  <si>
    <t>ADMINISTRATIVA</t>
  </si>
  <si>
    <t>liliana82serpico@autlook.com</t>
  </si>
  <si>
    <t>SORIA</t>
  </si>
  <si>
    <t>ANALIA</t>
  </si>
  <si>
    <t>154988399</t>
  </si>
  <si>
    <t>analiu07@hotmail.com</t>
  </si>
  <si>
    <t>SOSA</t>
  </si>
  <si>
    <t>MIRTA EUFEMIA</t>
  </si>
  <si>
    <t>154752943</t>
  </si>
  <si>
    <t>ARQUITECTO</t>
  </si>
  <si>
    <t>PROF. ADJUNTO</t>
  </si>
  <si>
    <t>mirta_sosa@hotmail.com</t>
  </si>
  <si>
    <t xml:space="preserve">VALLA  </t>
  </si>
  <si>
    <t>SANDRA FABIANA</t>
  </si>
  <si>
    <t>VARELA PALACIOS</t>
  </si>
  <si>
    <t>JEFE DE TRABAJOS PRÁCTICOS</t>
  </si>
  <si>
    <t>jcvarel@yahoo.com.ar</t>
  </si>
  <si>
    <t>VELASTIQUI</t>
  </si>
  <si>
    <t>SANDRA MABEL</t>
  </si>
  <si>
    <t>educa.informatica@gmail.com</t>
  </si>
  <si>
    <t>VELAZCO</t>
  </si>
  <si>
    <t>HUGO AGUSTIN</t>
  </si>
  <si>
    <t>xtino50@hotmail.com</t>
  </si>
  <si>
    <t>VENTURIO</t>
  </si>
  <si>
    <t>MARIA JACQUELINE</t>
  </si>
  <si>
    <t>SUB-DIRECTORA GRAL. ACADEMICA</t>
  </si>
  <si>
    <t>macelabusab@hotmail.com</t>
  </si>
  <si>
    <t>VILLAFAÑE</t>
  </si>
  <si>
    <t>CARLOS AGUSTIN</t>
  </si>
  <si>
    <t>VILLAGRA</t>
  </si>
  <si>
    <t>ROSA DEL VALLE</t>
  </si>
  <si>
    <t>DIRECTORA DE ALUMNOS</t>
  </si>
  <si>
    <t>xrosyta@hotmail.com</t>
  </si>
  <si>
    <t>VILLAGRA VELEZ</t>
  </si>
  <si>
    <t>MARTA</t>
  </si>
  <si>
    <t>WERNLI</t>
  </si>
  <si>
    <t xml:space="preserve">GUILLERMO  </t>
  </si>
  <si>
    <t>154744921</t>
  </si>
  <si>
    <t>psicologo</t>
  </si>
  <si>
    <t>Dto. concursos</t>
  </si>
  <si>
    <t>wwtuc10@hotmail.com</t>
  </si>
  <si>
    <t>JORRAT</t>
  </si>
  <si>
    <t>JUAN JOSÉ</t>
  </si>
  <si>
    <t>5/01/82</t>
  </si>
  <si>
    <t>36</t>
  </si>
  <si>
    <t>3814436508</t>
  </si>
  <si>
    <t>ING. ZOOTECNISTA</t>
  </si>
  <si>
    <t>CATEDRA DE ZOOTECNIA GRAL. 1</t>
  </si>
  <si>
    <t>jjjorrat@gmail.com</t>
  </si>
  <si>
    <t>4390420</t>
  </si>
  <si>
    <t>POLITI</t>
  </si>
  <si>
    <t>SILVIA ALICIA</t>
  </si>
  <si>
    <t>03/05/69</t>
  </si>
  <si>
    <t>155999495</t>
  </si>
  <si>
    <t>ARQUITECTA</t>
  </si>
  <si>
    <t>OBSERVATORIO DE FENOMENOS URBANOS Y TERRITORIALES</t>
  </si>
  <si>
    <t>arqspoliti@herrera.unt.edu.ar</t>
  </si>
  <si>
    <t>MARIA FLORENCIA</t>
  </si>
  <si>
    <t>07/03/82</t>
  </si>
  <si>
    <t>154832757</t>
  </si>
  <si>
    <t>secretaria de agricultura fliar. coordinacion y desarrollo territorial</t>
  </si>
  <si>
    <t>maifogomez@gmail.com</t>
  </si>
  <si>
    <t>4207518</t>
  </si>
  <si>
    <t>VINTIÑI</t>
  </si>
  <si>
    <t>ELISA OFELIA</t>
  </si>
  <si>
    <t>14/01/65</t>
  </si>
  <si>
    <t>155756913</t>
  </si>
  <si>
    <t>DRA. EN BIOLOGIA</t>
  </si>
  <si>
    <t>SANIDAD EN PRODUCCION PECUARIA</t>
  </si>
  <si>
    <t>12</t>
  </si>
  <si>
    <t>eovintini14@yahoo.com.ar</t>
  </si>
  <si>
    <t>PEREYRA</t>
  </si>
  <si>
    <t>SILVANA CECILIA</t>
  </si>
  <si>
    <t>14/09/1977</t>
  </si>
  <si>
    <t>153607826</t>
  </si>
  <si>
    <t>ORDENANZA</t>
  </si>
  <si>
    <t>0</t>
  </si>
  <si>
    <t>TOLEDO</t>
  </si>
  <si>
    <t>ADRIAN</t>
  </si>
  <si>
    <t>25/10/65</t>
  </si>
  <si>
    <t>3814732006</t>
  </si>
  <si>
    <t>CATEDRA ECONOMIA DE LA CONSTRUCCION</t>
  </si>
  <si>
    <t>adriantoledo26@gmail.com</t>
  </si>
  <si>
    <t>4108535</t>
  </si>
  <si>
    <t>3814630080</t>
  </si>
  <si>
    <t>catedra economia de la construccion</t>
  </si>
  <si>
    <t>fernandomartinez.tuc@gmail.com</t>
  </si>
  <si>
    <t>MARTINEZ MELEK</t>
  </si>
  <si>
    <t>MARIA LOURDES</t>
  </si>
  <si>
    <t>3814498305</t>
  </si>
  <si>
    <t>lourdes120895@gmail.com</t>
  </si>
  <si>
    <t>MENDIA</t>
  </si>
  <si>
    <t>MARIA FELICITAS</t>
  </si>
  <si>
    <t>3815678345</t>
  </si>
  <si>
    <t>ESTUDIANTE</t>
  </si>
  <si>
    <t>mariafelicitasmendia@gmail.com</t>
  </si>
  <si>
    <t>LILA ESTER</t>
  </si>
  <si>
    <t>3816053008</t>
  </si>
  <si>
    <t>arquitecta</t>
  </si>
  <si>
    <t>lyla3757@gmail.com</t>
  </si>
  <si>
    <t>SOSA LATINA</t>
  </si>
  <si>
    <t>MARIA ALEJANDRA</t>
  </si>
  <si>
    <t>3815190131</t>
  </si>
  <si>
    <t>laleslatina@gmail.com</t>
  </si>
  <si>
    <t>ROMERO</t>
  </si>
  <si>
    <t>NICOLAS ALEJANDRO MANUEL</t>
  </si>
  <si>
    <t>3815690975</t>
  </si>
  <si>
    <t>romeronam@gmail.com</t>
  </si>
  <si>
    <t>BANEGAS</t>
  </si>
  <si>
    <t>NATALIA</t>
  </si>
  <si>
    <t>3816472151</t>
  </si>
  <si>
    <t>DPTO ECOLOGIA</t>
  </si>
  <si>
    <t>No indicó</t>
  </si>
  <si>
    <t>MAMBRINI</t>
  </si>
  <si>
    <t>CARLOS ALBERTO</t>
  </si>
  <si>
    <t>3814678982</t>
  </si>
  <si>
    <t>ING. EN SISTEMAS</t>
  </si>
  <si>
    <t>camambrini@gmail.com</t>
  </si>
  <si>
    <t>MARIA DANIELA</t>
  </si>
  <si>
    <t>Archivo Historico</t>
  </si>
  <si>
    <t>dani_nieva@hotmail.com</t>
  </si>
  <si>
    <t>7176/7177</t>
  </si>
  <si>
    <t>ALEMAN</t>
  </si>
  <si>
    <t>FERNANDO ALBERTO</t>
  </si>
  <si>
    <t>Artes</t>
  </si>
  <si>
    <t>ARCE</t>
  </si>
  <si>
    <t>AIDA SORAYA</t>
  </si>
  <si>
    <t>AYUDANTE DE CATEDRA</t>
  </si>
  <si>
    <t>aida.soraya.89@gmail.com</t>
  </si>
  <si>
    <t>ARRIOLA</t>
  </si>
  <si>
    <t>BEATRIZ</t>
  </si>
  <si>
    <t>BARRAZA</t>
  </si>
  <si>
    <t>NANCY VERONICA</t>
  </si>
  <si>
    <t>18/07/1979</t>
  </si>
  <si>
    <t>156985680</t>
  </si>
  <si>
    <t>barrazanancy@hotmail.com</t>
  </si>
  <si>
    <t>4244872</t>
  </si>
  <si>
    <t>203</t>
  </si>
  <si>
    <t>BARRIONUEVO</t>
  </si>
  <si>
    <t>CINTHIA DE LOS ANGELES</t>
  </si>
  <si>
    <t>BELEN</t>
  </si>
  <si>
    <t>mcristinabelen@hotmail.com</t>
  </si>
  <si>
    <t>SARA LIA</t>
  </si>
  <si>
    <t>156069920</t>
  </si>
  <si>
    <t>rowenalia_57belen@hotmail.com</t>
  </si>
  <si>
    <t>4244874</t>
  </si>
  <si>
    <t>227</t>
  </si>
  <si>
    <t>CAPPELLI</t>
  </si>
  <si>
    <t>MARIA ELNA</t>
  </si>
  <si>
    <t>elnacapp@hotmail.com</t>
  </si>
  <si>
    <t>CASTAÑO</t>
  </si>
  <si>
    <t>castanio.guillermo@gmail.com</t>
  </si>
  <si>
    <t>CATANIA</t>
  </si>
  <si>
    <t>DANIELA PAOLA</t>
  </si>
  <si>
    <t>JEFA DEL DEPARTAMENTO CONCURSOS</t>
  </si>
  <si>
    <t xml:space="preserve">COLLADO </t>
  </si>
  <si>
    <t>COLNAGO</t>
  </si>
  <si>
    <t>MARIO FEDERICO</t>
  </si>
  <si>
    <t>TESORERO</t>
  </si>
  <si>
    <t>COLOMBRES</t>
  </si>
  <si>
    <t>VERONICA MARIA</t>
  </si>
  <si>
    <t>secretaria academica</t>
  </si>
  <si>
    <t>vemacol@hotmail.com</t>
  </si>
  <si>
    <t>CONCHA</t>
  </si>
  <si>
    <t>JUAN FERNANDO</t>
  </si>
  <si>
    <t xml:space="preserve">jefe dpto prestamos </t>
  </si>
  <si>
    <t>jufercon@hotmail.com</t>
  </si>
  <si>
    <t>JEFE</t>
  </si>
  <si>
    <t xml:space="preserve">CONCHA </t>
  </si>
  <si>
    <t>JUAN</t>
  </si>
  <si>
    <t>DIP</t>
  </si>
  <si>
    <t>ROBERTO JESUS</t>
  </si>
  <si>
    <t>AUXILIAR DOCENTE GRADUADO</t>
  </si>
  <si>
    <t>dip.roberto@gmail.com</t>
  </si>
  <si>
    <t>NERINA RAQUEL</t>
  </si>
  <si>
    <t>profesora adjunta</t>
  </si>
  <si>
    <t>nerinap66@hotmail.com</t>
  </si>
  <si>
    <t>DORIS UNZAGA</t>
  </si>
  <si>
    <t>DIANA</t>
  </si>
  <si>
    <t>d.d.unzapa@gmail.com</t>
  </si>
  <si>
    <t xml:space="preserve">FALCON </t>
  </si>
  <si>
    <t xml:space="preserve">FRANCISCA  </t>
  </si>
  <si>
    <t>FERNANDEZ</t>
  </si>
  <si>
    <t>MARTA LUCIA</t>
  </si>
  <si>
    <t>secretaria.artesp@gmail.com</t>
  </si>
  <si>
    <t>ULISES</t>
  </si>
  <si>
    <t>08/10/-</t>
  </si>
  <si>
    <t>COORDINADOR INSTITUCIONAL</t>
  </si>
  <si>
    <t>ulisesflores25@hotmail.com</t>
  </si>
  <si>
    <t>FUENTES</t>
  </si>
  <si>
    <t>MARGARITA ROSA</t>
  </si>
  <si>
    <t>margafot@gmail.com</t>
  </si>
  <si>
    <t>GALVAN</t>
  </si>
  <si>
    <t>RUBEN DANIEL</t>
  </si>
  <si>
    <t>JEFE DE PERSONAL</t>
  </si>
  <si>
    <t>rudgalvan@yahoo.com.ar</t>
  </si>
  <si>
    <t xml:space="preserve">GARZON </t>
  </si>
  <si>
    <t>MARIA JULIETA</t>
  </si>
  <si>
    <t>SECRETARIA ACADEMICA</t>
  </si>
  <si>
    <t>julygarzon@yahoo.com.ar</t>
  </si>
  <si>
    <t>GIMENEZ LASCANO</t>
  </si>
  <si>
    <t>JOSEFINA</t>
  </si>
  <si>
    <t>MAXIMO JOSE</t>
  </si>
  <si>
    <t>docente</t>
  </si>
  <si>
    <t>maximogomez66@hotmail.com</t>
  </si>
  <si>
    <t>anitamglemos@gmail.com</t>
  </si>
  <si>
    <t>GÓMEZ</t>
  </si>
  <si>
    <t>ROSA DEL TRÁNSITO</t>
  </si>
  <si>
    <t>A CARGO DE LA DIR. DE ALUMNOS</t>
  </si>
  <si>
    <t>4244874- 209</t>
  </si>
  <si>
    <t>GUTIERREZ</t>
  </si>
  <si>
    <t>CLAUDIA VIVIANA</t>
  </si>
  <si>
    <t>clavigu@hotmail.com</t>
  </si>
  <si>
    <t>LUIS JOSE</t>
  </si>
  <si>
    <t>luishernandezsolbes@hotmail.com</t>
  </si>
  <si>
    <t>IBARRA</t>
  </si>
  <si>
    <t>DARÍO ORLANDO</t>
  </si>
  <si>
    <t>JOSE ALBERTO</t>
  </si>
  <si>
    <t>JEFE DPTO BIENES PATRIMONIALES</t>
  </si>
  <si>
    <t>albertiabarra@hotmail.com</t>
  </si>
  <si>
    <t>JIMENEZ</t>
  </si>
  <si>
    <t>VICTOR JAVIER</t>
  </si>
  <si>
    <t>COLABORADOR</t>
  </si>
  <si>
    <t>javieresjim@hotmail.com</t>
  </si>
  <si>
    <t>LETTIER</t>
  </si>
  <si>
    <t>NORMA ADRIANA</t>
  </si>
  <si>
    <t>155147907</t>
  </si>
  <si>
    <t>biblioteca</t>
  </si>
  <si>
    <t>adrianalettier@hotmail.com</t>
  </si>
  <si>
    <t>4244485</t>
  </si>
  <si>
    <t>208</t>
  </si>
  <si>
    <t>LLABRA</t>
  </si>
  <si>
    <t>GUSTAVO DAVID</t>
  </si>
  <si>
    <t>gustavollabra@gmail.com</t>
  </si>
  <si>
    <t>MANRIQUE</t>
  </si>
  <si>
    <t>ROSANA BEATRIZ</t>
  </si>
  <si>
    <t>rbmanrique@hotmail.com</t>
  </si>
  <si>
    <t>MARCO</t>
  </si>
  <si>
    <t>RICARDO</t>
  </si>
  <si>
    <t>auditor contable</t>
  </si>
  <si>
    <t>lucremirande@live.com.ar</t>
  </si>
  <si>
    <t>MARIN</t>
  </si>
  <si>
    <t>administrativco</t>
  </si>
  <si>
    <t>silviamarin01@gmail.com</t>
  </si>
  <si>
    <t>MOLINA ARAOZ</t>
  </si>
  <si>
    <t>SARA A.</t>
  </si>
  <si>
    <t>155179081</t>
  </si>
  <si>
    <t>Licenciado en Gestion Universitaria</t>
  </si>
  <si>
    <t>Despacho HCD</t>
  </si>
  <si>
    <t>salemab_20@hotmail.com</t>
  </si>
  <si>
    <t>4244394</t>
  </si>
  <si>
    <t>210</t>
  </si>
  <si>
    <t>FABIANA DEL CARMEN</t>
  </si>
  <si>
    <t>PALIZA</t>
  </si>
  <si>
    <t>ISABEL DEL CARMEN</t>
  </si>
  <si>
    <t>PALOMO</t>
  </si>
  <si>
    <t>MIRTA ANALIA</t>
  </si>
  <si>
    <t>PARRAGA</t>
  </si>
  <si>
    <t>ROSA ISABEL</t>
  </si>
  <si>
    <t>SECRETARIA</t>
  </si>
  <si>
    <t>PEREA</t>
  </si>
  <si>
    <t>TERESA MARIEL</t>
  </si>
  <si>
    <t>OSCAR OSVALDO</t>
  </si>
  <si>
    <t>concursos_faunt@hotmail.com</t>
  </si>
  <si>
    <t>PEREZ</t>
  </si>
  <si>
    <t>ADRIAN FABIO</t>
  </si>
  <si>
    <t>MARIA ROSA ALEJANDRA</t>
  </si>
  <si>
    <t>MARCOS SEBASTIAN</t>
  </si>
  <si>
    <t>marcosperez_1977@yahoo.com.ar</t>
  </si>
  <si>
    <t>PLAZA</t>
  </si>
  <si>
    <t>plaza-adriana@hotmail.com</t>
  </si>
  <si>
    <t>charlyreynoso@gmail.com</t>
  </si>
  <si>
    <t>ROBLEDO</t>
  </si>
  <si>
    <t>JUAN IGNACIO</t>
  </si>
  <si>
    <t>aux. administrativo</t>
  </si>
  <si>
    <t>ignaciorob_dis@hotmail.com</t>
  </si>
  <si>
    <t xml:space="preserve">SECRETARIO </t>
  </si>
  <si>
    <t>MYRIAM</t>
  </si>
  <si>
    <t>mtrodri29@yahoo.com.ar</t>
  </si>
  <si>
    <t>VICTOR JOSE</t>
  </si>
  <si>
    <t>ROSSINI</t>
  </si>
  <si>
    <t>MARISA EUGENIA</t>
  </si>
  <si>
    <t>solarismr@hotmail.com</t>
  </si>
  <si>
    <t>SOBRAL</t>
  </si>
  <si>
    <t>RICARDO ENRIQUE</t>
  </si>
  <si>
    <t>DIRECTOR DE DPTO. DE TEATRO/DOCENTE</t>
  </si>
  <si>
    <t>rikysobral8@gmail.com</t>
  </si>
  <si>
    <t>VALBERDI</t>
  </si>
  <si>
    <t>MARIA GRACIELA</t>
  </si>
  <si>
    <t>magraval1@yahoo.com.ar</t>
  </si>
  <si>
    <t>VALLEJO</t>
  </si>
  <si>
    <t>MONICA</t>
  </si>
  <si>
    <t>PROFESORA ADJUNTA</t>
  </si>
  <si>
    <t>muny2601@yahoo.com.ar</t>
  </si>
  <si>
    <t xml:space="preserve">GERARDO </t>
  </si>
  <si>
    <t>JEFE DEL DEPARTAMENTO DESPACHO</t>
  </si>
  <si>
    <t>ZALAZAR</t>
  </si>
  <si>
    <t>ANA LIA</t>
  </si>
  <si>
    <t>ana_liazalazar@hotmail.com</t>
  </si>
  <si>
    <t>LILIA DE LOS ANGELES</t>
  </si>
  <si>
    <t>01/06/1983</t>
  </si>
  <si>
    <t>3815049455</t>
  </si>
  <si>
    <t>DPTO. EXAMENES</t>
  </si>
  <si>
    <t>lilia.villagra1983@gmail.com</t>
  </si>
  <si>
    <t>GARCIA</t>
  </si>
  <si>
    <t>PATRICIA JULIA</t>
  </si>
  <si>
    <t>3814144107</t>
  </si>
  <si>
    <t>MG. EN ARTES ESCENICAS</t>
  </si>
  <si>
    <t>patga18@gmail.com</t>
  </si>
  <si>
    <t>BARBA</t>
  </si>
  <si>
    <t>ANDREA VALERIA</t>
  </si>
  <si>
    <t>381427616</t>
  </si>
  <si>
    <t>lic. en teatro</t>
  </si>
  <si>
    <t>SILVIA</t>
  </si>
  <si>
    <t>3814626215</t>
  </si>
  <si>
    <t>tec. fotografia</t>
  </si>
  <si>
    <t>rubitamorenot@hotmail.com</t>
  </si>
  <si>
    <t>3814561220</t>
  </si>
  <si>
    <t>TEC. UNIV. EN COMUNICACION</t>
  </si>
  <si>
    <t>RIVADENEIRA</t>
  </si>
  <si>
    <t>JORGE HUMBERTO</t>
  </si>
  <si>
    <t>3815786626</t>
  </si>
  <si>
    <t>Diseñador de Interiores y Equipamiento</t>
  </si>
  <si>
    <t>jhrivadeneira@hotmail.com</t>
  </si>
  <si>
    <t>MEDRANO</t>
  </si>
  <si>
    <t>MARILINA DE LOS ANGELES</t>
  </si>
  <si>
    <t>30</t>
  </si>
  <si>
    <t>BALCELLS</t>
  </si>
  <si>
    <t>MATIAS JAVIER</t>
  </si>
  <si>
    <t>3814788651</t>
  </si>
  <si>
    <t>mesa de entradas</t>
  </si>
  <si>
    <t>d.d.unzaga@gmail.com</t>
  </si>
  <si>
    <t>4525056</t>
  </si>
  <si>
    <t>ANDRES NICOLAS</t>
  </si>
  <si>
    <t>Asom</t>
  </si>
  <si>
    <t>dr.andresrodriguez@gmail.com</t>
  </si>
  <si>
    <t>CANCINO</t>
  </si>
  <si>
    <t>LUCIA DEL VALLE</t>
  </si>
  <si>
    <t>Aspe</t>
  </si>
  <si>
    <t>ASISTENTE</t>
  </si>
  <si>
    <t>capaz69@hotmail.com</t>
  </si>
  <si>
    <t>LIZONDO</t>
  </si>
  <si>
    <t>MARIA ANGELICA</t>
  </si>
  <si>
    <t>maritalizz99@gmail.com</t>
  </si>
  <si>
    <t>MANES</t>
  </si>
  <si>
    <t>CLAUDIA ALICIA</t>
  </si>
  <si>
    <t>MEDICO</t>
  </si>
  <si>
    <t>Claudia_manes@hotmail.com</t>
  </si>
  <si>
    <t>MASAGUER</t>
  </si>
  <si>
    <t>ANA TERESITA</t>
  </si>
  <si>
    <t>DIRECTORA ADMINISTRATIVA</t>
  </si>
  <si>
    <t>anamasaguer@hotmail.com</t>
  </si>
  <si>
    <t>OLIVARES</t>
  </si>
  <si>
    <t>DANIEL MAURICIO</t>
  </si>
  <si>
    <t>REA</t>
  </si>
  <si>
    <t>GERARDO LUIS</t>
  </si>
  <si>
    <t>DIRECTOR GRAL.</t>
  </si>
  <si>
    <t>gerardorea@hotmail.com</t>
  </si>
  <si>
    <t>RODRIGUEZ SORIA</t>
  </si>
  <si>
    <t>DANIEL EMILIO</t>
  </si>
  <si>
    <t>ODONTOLOGO DEL ÁREA</t>
  </si>
  <si>
    <t>ders07@hotmail.com</t>
  </si>
  <si>
    <t>MARIA TERESA</t>
  </si>
  <si>
    <t>BIOQUIMICA</t>
  </si>
  <si>
    <t>mtrvblasco596@gmail.com   hblasco@gmail.com</t>
  </si>
  <si>
    <t>3814492511</t>
  </si>
  <si>
    <t>MEDICO ESPECIALISTA EN DERMATOLOGIA</t>
  </si>
  <si>
    <t>jmartinezc4866@gmail.com</t>
  </si>
  <si>
    <t>SILVINA EDITH</t>
  </si>
  <si>
    <t>3815644448</t>
  </si>
  <si>
    <t>lic. en nutricion</t>
  </si>
  <si>
    <t>silviemoreno@hotmail.com</t>
  </si>
  <si>
    <t>MARTINEZ GASSO</t>
  </si>
  <si>
    <t>JULIETA</t>
  </si>
  <si>
    <t>jmgasso@hotmail.com</t>
  </si>
  <si>
    <t>7189</t>
  </si>
  <si>
    <t>CASTRO</t>
  </si>
  <si>
    <t>SANDRA GRACIELA</t>
  </si>
  <si>
    <t>Asunt</t>
  </si>
  <si>
    <t>san_grey@hotmail.com</t>
  </si>
  <si>
    <t>CORTI</t>
  </si>
  <si>
    <t>ANDREA VERONICA</t>
  </si>
  <si>
    <t>andreacorti_asunt@hotmail.com</t>
  </si>
  <si>
    <t xml:space="preserve">GUILLEN  </t>
  </si>
  <si>
    <t>LEONARDO</t>
  </si>
  <si>
    <t>jefe despacho</t>
  </si>
  <si>
    <t>leoguillen19@hotmail.com</t>
  </si>
  <si>
    <t>HILLEN</t>
  </si>
  <si>
    <t>CARLOS RODOLFO</t>
  </si>
  <si>
    <t xml:space="preserve">coordinador de prestaciones sociales </t>
  </si>
  <si>
    <t>rodolfo.hillen@hotmail.com</t>
  </si>
  <si>
    <t>LEDEZMA</t>
  </si>
  <si>
    <t xml:space="preserve">PEDRO </t>
  </si>
  <si>
    <t>LEGUIZAMON</t>
  </si>
  <si>
    <t>GUADALUPE</t>
  </si>
  <si>
    <t>11-37647910</t>
  </si>
  <si>
    <t>guadalupeleguizamon@hotmail.com</t>
  </si>
  <si>
    <t>3816-478888</t>
  </si>
  <si>
    <t>atencion al publico</t>
  </si>
  <si>
    <t>adrimoch@hotmail.com</t>
  </si>
  <si>
    <t>MESURADO</t>
  </si>
  <si>
    <t>jefa emision de ordenes</t>
  </si>
  <si>
    <t>silviamesurado@hotmail.com</t>
  </si>
  <si>
    <t>PAULA SOFIA</t>
  </si>
  <si>
    <t>pau-olivera@hotmail.com</t>
  </si>
  <si>
    <t>SUAREZ</t>
  </si>
  <si>
    <t>VERONICA</t>
  </si>
  <si>
    <t>area de discapacidad</t>
  </si>
  <si>
    <t>verosua73@hotmail.com</t>
  </si>
  <si>
    <t>TOLEDO LAZARTE</t>
  </si>
  <si>
    <t>MARCELA YOLANDA</t>
  </si>
  <si>
    <t>secretaria</t>
  </si>
  <si>
    <t>secretariahcd@asunt.org.ar</t>
  </si>
  <si>
    <t>ZELAYA</t>
  </si>
  <si>
    <t>MARIO</t>
  </si>
  <si>
    <t>empleado oficina de compras</t>
  </si>
  <si>
    <t>mzelaya_16@hotmail.com</t>
  </si>
  <si>
    <t>ALVILLOS</t>
  </si>
  <si>
    <t>ADRIANA ISABEL</t>
  </si>
  <si>
    <t>Auditoría Interna</t>
  </si>
  <si>
    <t>aalvillos@hotmail.com</t>
  </si>
  <si>
    <t>BELLONE</t>
  </si>
  <si>
    <t>JOSÉ EDUARDO</t>
  </si>
  <si>
    <t>AUDITOR INFORMATICO</t>
  </si>
  <si>
    <t>jbellone73@gmail.com</t>
  </si>
  <si>
    <t>ANDREA SILVINA</t>
  </si>
  <si>
    <t>AUDITORA CONTABLE</t>
  </si>
  <si>
    <t>asigo@hotmail.com</t>
  </si>
  <si>
    <t>MARIA DE LOURDES</t>
  </si>
  <si>
    <t>auxiliar administrativo</t>
  </si>
  <si>
    <t>epalomar@rectorado.unt.edu.ar</t>
  </si>
  <si>
    <t>SALTOR</t>
  </si>
  <si>
    <t>MARIA LAURA</t>
  </si>
  <si>
    <t>AUDITOR</t>
  </si>
  <si>
    <t>laura15578@hotmail.com</t>
  </si>
  <si>
    <t>AGUERA</t>
  </si>
  <si>
    <t>MARIA BELEN</t>
  </si>
  <si>
    <t>03865-15571847</t>
  </si>
  <si>
    <t>Bioquímica, Química y Farmacia</t>
  </si>
  <si>
    <t>catedra de quimica organica</t>
  </si>
  <si>
    <t>beluss14@hotmail.com</t>
  </si>
  <si>
    <t xml:space="preserve">AGUILAR PEREZ </t>
  </si>
  <si>
    <t>CRISTINA ROSSANA</t>
  </si>
  <si>
    <t>rcpa@fbqf.unt.edu.ar</t>
  </si>
  <si>
    <t>ALARA</t>
  </si>
  <si>
    <t>CONRADO LUIS FRANCISCO</t>
  </si>
  <si>
    <t>conradoalara@gmail.com</t>
  </si>
  <si>
    <t>PEDRO JORGE</t>
  </si>
  <si>
    <t>ALBORNOZ PIOSSEK</t>
  </si>
  <si>
    <t>CAROLINA SUSANA</t>
  </si>
  <si>
    <t>suaponce@hotmail.com</t>
  </si>
  <si>
    <t>ALCORTA</t>
  </si>
  <si>
    <t>MARIA ELENA</t>
  </si>
  <si>
    <t>malenaalcorta@hotmail.com</t>
  </si>
  <si>
    <t>MARIANO NICOLAS</t>
  </si>
  <si>
    <t>titular catedra</t>
  </si>
  <si>
    <t>mariano_edu@hotmail.com</t>
  </si>
  <si>
    <t>ALVAREZ</t>
  </si>
  <si>
    <t>VICTOR ADRIAN</t>
  </si>
  <si>
    <t>alvarezva@hotmail.com</t>
  </si>
  <si>
    <t>NILDA FATIMA</t>
  </si>
  <si>
    <t>4247752</t>
  </si>
  <si>
    <t>7068</t>
  </si>
  <si>
    <t>FRANCO FERNANDO</t>
  </si>
  <si>
    <t>ADIESTRAMIENTO PROFESIONAL</t>
  </si>
  <si>
    <t>franferalvarez@gmail.com</t>
  </si>
  <si>
    <t xml:space="preserve">       29 666186</t>
  </si>
  <si>
    <t>ANTICH RIZZA</t>
  </si>
  <si>
    <t>CONSTANZA</t>
  </si>
  <si>
    <t>cotyyantich@hotmail.com</t>
  </si>
  <si>
    <t>APÁS</t>
  </si>
  <si>
    <t>ANA LIDIA</t>
  </si>
  <si>
    <t>anaapas@fbqf.unt.edu.ar</t>
  </si>
  <si>
    <t>4227752- 7083</t>
  </si>
  <si>
    <t>ARDILES</t>
  </si>
  <si>
    <t>NILDA LEONOR</t>
  </si>
  <si>
    <t>DIRECTORA GRAL. ADMINISTRATIVA</t>
  </si>
  <si>
    <t>nlardiles@fbqf@unt.edu.ar</t>
  </si>
  <si>
    <t>ARIAS</t>
  </si>
  <si>
    <t>NILDA NOEMI</t>
  </si>
  <si>
    <t>PROFESORA ASOCIADA</t>
  </si>
  <si>
    <t>nildanoemiarias@gmail.com</t>
  </si>
  <si>
    <t>MYRIAN ELIZABETH</t>
  </si>
  <si>
    <t>marias@fbqf.unt.edu.ar</t>
  </si>
  <si>
    <t>ARIAS CASSARA</t>
  </si>
  <si>
    <t>MARIA LUCRECIA</t>
  </si>
  <si>
    <t>DOCENTE AUXILIAR</t>
  </si>
  <si>
    <t>lucrearias_@hotmail.com</t>
  </si>
  <si>
    <t>ATONUR</t>
  </si>
  <si>
    <t>ANA VICTORIA</t>
  </si>
  <si>
    <t>COORDINADORA DE COMUNICACIÓN Y TUTORIA</t>
  </si>
  <si>
    <t>AVILA</t>
  </si>
  <si>
    <t>MARIA ROSA</t>
  </si>
  <si>
    <t>14/01/1979</t>
  </si>
  <si>
    <t>153506158</t>
  </si>
  <si>
    <t>marosavila79@gmail.com</t>
  </si>
  <si>
    <t>4107214</t>
  </si>
  <si>
    <t>BALDERRAMA</t>
  </si>
  <si>
    <t>MARIA ELIZABETH</t>
  </si>
  <si>
    <t>bertailarion@hotmail.com</t>
  </si>
  <si>
    <t>BALDERRAMA COCA</t>
  </si>
  <si>
    <t>BALVERDI</t>
  </si>
  <si>
    <t>CECILIA VIVIANA</t>
  </si>
  <si>
    <t>dgderuy@yahoo.com.ar</t>
  </si>
  <si>
    <t>MARIA DEL PILAR</t>
  </si>
  <si>
    <t>altheaazul@yahoo.com.ar</t>
  </si>
  <si>
    <t>BELIZAN</t>
  </si>
  <si>
    <t>MARIA MELINA ELEONORA</t>
  </si>
  <si>
    <t>auxiliar 1</t>
  </si>
  <si>
    <t>melybelizan@hotmail.com</t>
  </si>
  <si>
    <t xml:space="preserve">BORQUEZ </t>
  </si>
  <si>
    <t>TRISTÁN VICTORIANO</t>
  </si>
  <si>
    <t>INTENDENCIA</t>
  </si>
  <si>
    <t>BRITO</t>
  </si>
  <si>
    <t>HUMBERTO HUGO</t>
  </si>
  <si>
    <t>hbt0000@gmail.com</t>
  </si>
  <si>
    <t xml:space="preserve">CABRERA  </t>
  </si>
  <si>
    <t>CARLA AGUSTINA</t>
  </si>
  <si>
    <t>tesinista</t>
  </si>
  <si>
    <t>cabreracarlagostina@hotmail.com</t>
  </si>
  <si>
    <t>CAMACHO</t>
  </si>
  <si>
    <t>MARIA ANTONIETA</t>
  </si>
  <si>
    <t>154961129</t>
  </si>
  <si>
    <t>mariaantonietacamacho2019@gmail.com</t>
  </si>
  <si>
    <t>CAMPO</t>
  </si>
  <si>
    <t>PERSONAL TECNICO</t>
  </si>
  <si>
    <t>CAMPOS</t>
  </si>
  <si>
    <t>FARMACEUTICA</t>
  </si>
  <si>
    <t>vero_camp@hotmail.com</t>
  </si>
  <si>
    <t>CARO ZOTTOLA</t>
  </si>
  <si>
    <t>LUIS ESTEBAN</t>
  </si>
  <si>
    <t>mjaybar@fbqf.unt.edu.ar</t>
  </si>
  <si>
    <t>CARTAGENA</t>
  </si>
  <si>
    <t>ELENA</t>
  </si>
  <si>
    <t>jefe de trabajos practicos</t>
  </si>
  <si>
    <t>ecartagena@fbqf.unt.edu.ar</t>
  </si>
  <si>
    <t>MARCELO ENRIQUE</t>
  </si>
  <si>
    <t>chelito_unt@hotmail.com</t>
  </si>
  <si>
    <t>CAZON</t>
  </si>
  <si>
    <t>JEFE DE DPTO. ADMINISTRATIVO</t>
  </si>
  <si>
    <t>monicazon@hotmail.com</t>
  </si>
  <si>
    <t>CEJAS</t>
  </si>
  <si>
    <t>RUBEN DOMINGO</t>
  </si>
  <si>
    <t>rdcejasunt64@gmail.com</t>
  </si>
  <si>
    <t>CEJAS MARINI</t>
  </si>
  <si>
    <t>MELANIE ANAHI</t>
  </si>
  <si>
    <t>PASANTE</t>
  </si>
  <si>
    <t>melaniecejas@hotmail.com</t>
  </si>
  <si>
    <t>CHAHAR</t>
  </si>
  <si>
    <t>BERTA JOSEFA</t>
  </si>
  <si>
    <t>bchahar@fbqf.unt.edu.ar</t>
  </si>
  <si>
    <t>juancarlosconcha@hotmail.com</t>
  </si>
  <si>
    <t>CONDORÍ</t>
  </si>
  <si>
    <t>ANA GRACIELA</t>
  </si>
  <si>
    <t>JEFE DPTO. INFORMACION ALUMNOS</t>
  </si>
  <si>
    <t>cesareduardoponce@yahoo.com.ar</t>
  </si>
  <si>
    <t>4247752- 7207</t>
  </si>
  <si>
    <t>CORBALÁN</t>
  </si>
  <si>
    <t>CORRALES CHAHAR</t>
  </si>
  <si>
    <t>FERNANDA</t>
  </si>
  <si>
    <t>JEFE DE TRABAJOS PRACTICOS</t>
  </si>
  <si>
    <t>fcorrales@fbqf.unt.edu.ar</t>
  </si>
  <si>
    <t>CORREA</t>
  </si>
  <si>
    <t>NANCY LORENA</t>
  </si>
  <si>
    <t>auxiliar docente</t>
  </si>
  <si>
    <t>nancylorenacorrea@yahoo.com.ar</t>
  </si>
  <si>
    <t>JOSE LEOPOLDO</t>
  </si>
  <si>
    <t>Josecorrea_22@hotmail.com</t>
  </si>
  <si>
    <t>CORREA ZEBALLOS</t>
  </si>
  <si>
    <t>czeballos@fbqf.unt.edu.ar</t>
  </si>
  <si>
    <t>CRUZ</t>
  </si>
  <si>
    <t>ROSA MAGDALENA</t>
  </si>
  <si>
    <t>rcruz@fbqf.unt.edu.ar</t>
  </si>
  <si>
    <t xml:space="preserve">       2579 8019</t>
  </si>
  <si>
    <t>ARIEL ALBERTO</t>
  </si>
  <si>
    <t>Arieltop_990@hotmail.com</t>
  </si>
  <si>
    <t>CUEVA</t>
  </si>
  <si>
    <t>IRENE ISABEL</t>
  </si>
  <si>
    <t>tesista</t>
  </si>
  <si>
    <t>iresava@hotmail.com</t>
  </si>
  <si>
    <t>WALTER OMAR</t>
  </si>
  <si>
    <t>prof adjunto</t>
  </si>
  <si>
    <t>wdiaz@fbqf.unt.edu.ar</t>
  </si>
  <si>
    <t>DIAZ DE GUISONE</t>
  </si>
  <si>
    <t xml:space="preserve">BEATRIZ   </t>
  </si>
  <si>
    <t>aux. de catedra</t>
  </si>
  <si>
    <t>beatrizguisone@hotmail.com</t>
  </si>
  <si>
    <t>FARRIN</t>
  </si>
  <si>
    <t>MARIANA CAROLINA</t>
  </si>
  <si>
    <t>mari_led@hotmail.com</t>
  </si>
  <si>
    <t xml:space="preserve">FICOSECO  </t>
  </si>
  <si>
    <t>MARIA EUGENIA</t>
  </si>
  <si>
    <t>docente auxiliar</t>
  </si>
  <si>
    <t>eugearisti@hotmail.com</t>
  </si>
  <si>
    <t>LAURA ESTHER</t>
  </si>
  <si>
    <t>hospital centro de salud</t>
  </si>
  <si>
    <t>lau873@hotmail.com</t>
  </si>
  <si>
    <t>FUAD SAGUIR</t>
  </si>
  <si>
    <t>PABLO</t>
  </si>
  <si>
    <t>pablofuad@hotmail.com</t>
  </si>
  <si>
    <t>mfuentes@fbqf.unt.edu.ar</t>
  </si>
  <si>
    <t xml:space="preserve">GALLARDO </t>
  </si>
  <si>
    <t>CECILIA</t>
  </si>
  <si>
    <t>ceciliaaymara@hotmail.com</t>
  </si>
  <si>
    <t>JORGE EDGARDO</t>
  </si>
  <si>
    <t>auxiliar docente 2ºcategoria</t>
  </si>
  <si>
    <t>galvanjorge24@yahoo.com.ar</t>
  </si>
  <si>
    <t>auxiliar de segunda categoria</t>
  </si>
  <si>
    <t>GARCIA SERNA</t>
  </si>
  <si>
    <t>BRENDA BELEN</t>
  </si>
  <si>
    <t>brendaqserna@hotmail.com</t>
  </si>
  <si>
    <t>GINART</t>
  </si>
  <si>
    <t>GUSTAVO ADOLFO</t>
  </si>
  <si>
    <t>ayudante de catedra</t>
  </si>
  <si>
    <t>gus_505_@hotmail.com</t>
  </si>
  <si>
    <t>MARIA INES</t>
  </si>
  <si>
    <t>mgomez@fbqf.unt.edu.ar</t>
  </si>
  <si>
    <t>SILVINA NATALIA</t>
  </si>
  <si>
    <t>aux. docente</t>
  </si>
  <si>
    <t>silvinagnatalia33@hotmail.com</t>
  </si>
  <si>
    <t>AUXILIAR DOCENTE</t>
  </si>
  <si>
    <t>silvinanataliagomez@gmail.com</t>
  </si>
  <si>
    <t>OTROS MEDIOS</t>
  </si>
  <si>
    <t xml:space="preserve">GOMEZ </t>
  </si>
  <si>
    <t>HUGO</t>
  </si>
  <si>
    <t>hgomez@fbqf.unt.edu.ar</t>
  </si>
  <si>
    <t>7212 / 7206</t>
  </si>
  <si>
    <t>GOMEZ BALCEDA</t>
  </si>
  <si>
    <t>MARCOS AUGUSTO</t>
  </si>
  <si>
    <t>AUX. DE 2ª CATEGORIA</t>
  </si>
  <si>
    <t>kharolyn18@hotmail.com</t>
  </si>
  <si>
    <t>guille1902@hotmail.com</t>
  </si>
  <si>
    <t xml:space="preserve">GONZALEZ </t>
  </si>
  <si>
    <t>MARIA JOSE</t>
  </si>
  <si>
    <t>AUXILIAR DOCENTE 2</t>
  </si>
  <si>
    <t>marijo_gonza@hotmail.com</t>
  </si>
  <si>
    <t>GUANCO</t>
  </si>
  <si>
    <t>ROGELIO MANUEL</t>
  </si>
  <si>
    <t>GUITIAN</t>
  </si>
  <si>
    <t>MARIA VIRGINIA</t>
  </si>
  <si>
    <t>estudiante</t>
  </si>
  <si>
    <t>marvir_8@hotmail.com</t>
  </si>
  <si>
    <t>HEREDIA ALEMAN</t>
  </si>
  <si>
    <t>BETTINA ELIZABETH</t>
  </si>
  <si>
    <t>DOCENTE AUX DE PRIMERA CATEGORIA</t>
  </si>
  <si>
    <t>bettinahere@hotmail.com</t>
  </si>
  <si>
    <t>HOLGADO</t>
  </si>
  <si>
    <t>LISA VIVINA</t>
  </si>
  <si>
    <t>lvholgado@yahoo.com</t>
  </si>
  <si>
    <t>ISAYA</t>
  </si>
  <si>
    <t>SECRETARIA DECANATO</t>
  </si>
  <si>
    <t>meisaya@fbqf.unt.edu.ar</t>
  </si>
  <si>
    <t xml:space="preserve">JIMENEZ  </t>
  </si>
  <si>
    <t>MARISOL CRISTINA</t>
  </si>
  <si>
    <t xml:space="preserve">docente </t>
  </si>
  <si>
    <t>mari_jimenez81@hotmail.com</t>
  </si>
  <si>
    <t>JIMENEZ DIAZ</t>
  </si>
  <si>
    <t>MARIA ATILANA</t>
  </si>
  <si>
    <t>mariajd1711@hotmail.com</t>
  </si>
  <si>
    <t>KOLLING</t>
  </si>
  <si>
    <t>ALICIA IRUPE</t>
  </si>
  <si>
    <t>adiestramiento profesional</t>
  </si>
  <si>
    <t>iru.kolling@gmail.com</t>
  </si>
  <si>
    <t>LAGARRIGUE</t>
  </si>
  <si>
    <t>mclagarrigue@fbqf.unt.edu.ar</t>
  </si>
  <si>
    <t>LIS DE KATZ</t>
  </si>
  <si>
    <t>NOEMI</t>
  </si>
  <si>
    <t>vlis@arnet.com.ar</t>
  </si>
  <si>
    <t>GRACIELA DEL VALLE</t>
  </si>
  <si>
    <t>lopezgra_03@yahoo.com.ar</t>
  </si>
  <si>
    <t xml:space="preserve">LOPEZ   </t>
  </si>
  <si>
    <t>ANA LAURA</t>
  </si>
  <si>
    <t>nalau_ar@hotmail.com</t>
  </si>
  <si>
    <t>DIEGO ADRIAN</t>
  </si>
  <si>
    <t>diego-cirujaxsiempre@hotmail.com</t>
  </si>
  <si>
    <t>MARCHISIO</t>
  </si>
  <si>
    <t>PATRICIA</t>
  </si>
  <si>
    <t>pmarchisio@fbqf.unt.edu.ar</t>
  </si>
  <si>
    <t>MARQUEZ</t>
  </si>
  <si>
    <t>ANDREA FABIANA</t>
  </si>
  <si>
    <t>catedra de microbiologia</t>
  </si>
  <si>
    <t>fam_19@hotmail.com</t>
  </si>
  <si>
    <t>MARTINEZ ARRIAZU</t>
  </si>
  <si>
    <t>MARTA ELIZABETH</t>
  </si>
  <si>
    <t>mema@fbqf.unt.edu.ar</t>
  </si>
  <si>
    <t>MENDIETA ANCASI</t>
  </si>
  <si>
    <t>NORMA DEL VALLE</t>
  </si>
  <si>
    <t xml:space="preserve">AUX. DOCENTE </t>
  </si>
  <si>
    <t>JEFA DPTO. DESPACHO</t>
  </si>
  <si>
    <t>vanessavargasmartin@hotmail.com</t>
  </si>
  <si>
    <t>MERCADO</t>
  </si>
  <si>
    <t>PEDRO PABLO</t>
  </si>
  <si>
    <t>pmercado@gmail.com</t>
  </si>
  <si>
    <t>MICHEL</t>
  </si>
  <si>
    <t>ALEJANDRA DEL ROSARIO</t>
  </si>
  <si>
    <t>alejandraunt@yahoo.com.ar</t>
  </si>
  <si>
    <t xml:space="preserve">MORALES </t>
  </si>
  <si>
    <t>mariarosa17@gmail.com</t>
  </si>
  <si>
    <t>MOYANO</t>
  </si>
  <si>
    <t>jefe trabajos practicos</t>
  </si>
  <si>
    <t>alemoyano25@hotmail.com</t>
  </si>
  <si>
    <t>MURATORE</t>
  </si>
  <si>
    <t>MARIA PAOLA</t>
  </si>
  <si>
    <t>MARIA CAROLINA</t>
  </si>
  <si>
    <t>mcnavarro@fbqf.unt.edu.ar</t>
  </si>
  <si>
    <t>ORPHEE</t>
  </si>
  <si>
    <t>CECILIA HEBE NOEMI</t>
  </si>
  <si>
    <t>corphee@fbqf.unt.edu.ar</t>
  </si>
  <si>
    <t>7203/7083</t>
  </si>
  <si>
    <t>CECILIA M.</t>
  </si>
  <si>
    <t>ceciliaorphee@gmail.com</t>
  </si>
  <si>
    <t>PALACIO</t>
  </si>
  <si>
    <t>NICOLAS</t>
  </si>
  <si>
    <t>nickito55@hotmail.com</t>
  </si>
  <si>
    <t>PEÑALOZA DE TERÁN</t>
  </si>
  <si>
    <t>MARTA ELENA</t>
  </si>
  <si>
    <t>marta391956@hotmail.com</t>
  </si>
  <si>
    <t>PABLO ESTEBAN</t>
  </si>
  <si>
    <t>DPTO. PERSONAL</t>
  </si>
  <si>
    <t>pilinperez@gmail.com</t>
  </si>
  <si>
    <t>QUINTEROS</t>
  </si>
  <si>
    <t>MARTA INES</t>
  </si>
  <si>
    <t>jefa departamento postgrado</t>
  </si>
  <si>
    <t>mquinteros@fbqf.unt.edu.ar</t>
  </si>
  <si>
    <t>RAMIREZ</t>
  </si>
  <si>
    <t>RIBO</t>
  </si>
  <si>
    <t>155506140</t>
  </si>
  <si>
    <t>farmaceutica</t>
  </si>
  <si>
    <t>Inesribo1970@gmail.com</t>
  </si>
  <si>
    <t>7080</t>
  </si>
  <si>
    <t>MONICA INES</t>
  </si>
  <si>
    <t>monanni@fbqf.unt.edu.ar</t>
  </si>
  <si>
    <t>CRISTIAN</t>
  </si>
  <si>
    <t>3814647620</t>
  </si>
  <si>
    <t>Prof ed.fisica</t>
  </si>
  <si>
    <t>Asistencial</t>
  </si>
  <si>
    <t>Servicios Grales.</t>
  </si>
  <si>
    <t>cj_rodri@yahoo.com.ar</t>
  </si>
  <si>
    <t>ALEJANDRA</t>
  </si>
  <si>
    <t>NO DOCENTE</t>
  </si>
  <si>
    <t>solnoeliaar@gmail.com</t>
  </si>
  <si>
    <t>LUIS SEBASTIAN</t>
  </si>
  <si>
    <t>metallica_toro@hotmail.com</t>
  </si>
  <si>
    <t>RODRIGUEZ AREAL</t>
  </si>
  <si>
    <t>MARIA MAGDALENA</t>
  </si>
  <si>
    <t>mrareal@fbqf.unt.edu.ar</t>
  </si>
  <si>
    <t>ROJAS</t>
  </si>
  <si>
    <t>ISABEL PATRICIA DE LOS ANGELES</t>
  </si>
  <si>
    <t>isapatorojas@ciudad.com.ar</t>
  </si>
  <si>
    <t>RUBIO</t>
  </si>
  <si>
    <t>CARLA MARIA</t>
  </si>
  <si>
    <t>154438114</t>
  </si>
  <si>
    <t>Licenciada en Química</t>
  </si>
  <si>
    <t>Química analítica</t>
  </si>
  <si>
    <t>carlitarubio30@gmail.com</t>
  </si>
  <si>
    <t>RUDYK</t>
  </si>
  <si>
    <t>ROXANA AMELIA</t>
  </si>
  <si>
    <t>profesor adjunto</t>
  </si>
  <si>
    <t>rudyk@fbqf.unt.edu.ar</t>
  </si>
  <si>
    <t>RUECK</t>
  </si>
  <si>
    <t>veronicarueck@gmail.com</t>
  </si>
  <si>
    <t>RUNCO LEAL</t>
  </si>
  <si>
    <t>VERONICA ADRIANA</t>
  </si>
  <si>
    <t>vrunco@live.com.ar</t>
  </si>
  <si>
    <t>SALES</t>
  </si>
  <si>
    <t>amsales@fbqf.unt.edu.ar</t>
  </si>
  <si>
    <t>SANNA</t>
  </si>
  <si>
    <t>BEATRIZ TERESA</t>
  </si>
  <si>
    <t>20/10/2010</t>
  </si>
  <si>
    <t>3816537288</t>
  </si>
  <si>
    <t>TESORERA</t>
  </si>
  <si>
    <t>2</t>
  </si>
  <si>
    <t>beasanna@hotmail.com</t>
  </si>
  <si>
    <t>7088</t>
  </si>
  <si>
    <t>SANTILLAN</t>
  </si>
  <si>
    <t>156888801</t>
  </si>
  <si>
    <t>santillandaniel464@gmail.com</t>
  </si>
  <si>
    <t>4248169</t>
  </si>
  <si>
    <t>SARACHO</t>
  </si>
  <si>
    <t xml:space="preserve">ROBERTO  </t>
  </si>
  <si>
    <t>tesoreria</t>
  </si>
  <si>
    <t>elrusoroby@hotmail.com</t>
  </si>
  <si>
    <t>MARIA GRISELDA</t>
  </si>
  <si>
    <t>grissyt_1026@hotmail.com</t>
  </si>
  <si>
    <t>SAUCEDO</t>
  </si>
  <si>
    <t>CINTHIA NATALIA</t>
  </si>
  <si>
    <t>cinsaucedo@hotmail.com</t>
  </si>
  <si>
    <t>SILVA</t>
  </si>
  <si>
    <t>MARIA JULIA DEL HUERTO</t>
  </si>
  <si>
    <t>154743280</t>
  </si>
  <si>
    <t>CPN</t>
  </si>
  <si>
    <t>julia_silva91@hotmail.com</t>
  </si>
  <si>
    <t>4107206</t>
  </si>
  <si>
    <t>SORIA DE GONZALEZ</t>
  </si>
  <si>
    <t>ANALIA GRACIELA</t>
  </si>
  <si>
    <t>draanaliasoria@arnet.com.ar</t>
  </si>
  <si>
    <t>TOLEDO LAZARTE DE JUAREZ</t>
  </si>
  <si>
    <t>juares_sd@hotmail.com</t>
  </si>
  <si>
    <t>4247752-7077</t>
  </si>
  <si>
    <t>TORRENTE</t>
  </si>
  <si>
    <t>CARMEN MERCEDES</t>
  </si>
  <si>
    <t>PROFESOR TITULAR</t>
  </si>
  <si>
    <t>carmentorrente57@gmail.com</t>
  </si>
  <si>
    <t>TORRES</t>
  </si>
  <si>
    <t>28/07/1958</t>
  </si>
  <si>
    <t>156815021</t>
  </si>
  <si>
    <t>LIC. EN QUIMICA</t>
  </si>
  <si>
    <t>INST. DE QUIMICA INORGANICA</t>
  </si>
  <si>
    <t>cristorresunt@yahoo.com.ar</t>
  </si>
  <si>
    <t>7069</t>
  </si>
  <si>
    <t>URQUIZA</t>
  </si>
  <si>
    <t>NORA</t>
  </si>
  <si>
    <t>nurquiza@fbqf.unt.edu.ar</t>
  </si>
  <si>
    <t>VALDEZ</t>
  </si>
  <si>
    <t>PROFESOR ASOCIADO</t>
  </si>
  <si>
    <t>pumavaldez@hotmail.com</t>
  </si>
  <si>
    <t>VERGARA</t>
  </si>
  <si>
    <t>MONICA MERCEDES</t>
  </si>
  <si>
    <t>mvergara@fbqf.unt.edu.ar</t>
  </si>
  <si>
    <t>ALEJANDRA LILIANA</t>
  </si>
  <si>
    <t>alejandravillafañe6@hotmail.com</t>
  </si>
  <si>
    <t>VILLALONGA DE GARCIA</t>
  </si>
  <si>
    <t>PATRICIA MARIA</t>
  </si>
  <si>
    <t>PROF TITULAR</t>
  </si>
  <si>
    <t>pmvillalonga@yahoo.com.ar</t>
  </si>
  <si>
    <t xml:space="preserve">VILLOLDO </t>
  </si>
  <si>
    <t>NATALIA CAROLINA</t>
  </si>
  <si>
    <t>nataliavilloldo@hotmail.com</t>
  </si>
  <si>
    <t>ZAMORA</t>
  </si>
  <si>
    <t>MARIA MARCELA</t>
  </si>
  <si>
    <t>Departamento Concursos</t>
  </si>
  <si>
    <t>ZARATE</t>
  </si>
  <si>
    <t>MIRIAM</t>
  </si>
  <si>
    <t>nanpony@live.com.ar</t>
  </si>
  <si>
    <t>FERNANDO RENÉ</t>
  </si>
  <si>
    <t>154563499</t>
  </si>
  <si>
    <t>FARMACEUTICO</t>
  </si>
  <si>
    <t>fernandodiaz1572@gmail.com</t>
  </si>
  <si>
    <t>7082</t>
  </si>
  <si>
    <t>MEDINA DE ASTRADA</t>
  </si>
  <si>
    <t>ROSA</t>
  </si>
  <si>
    <t>10/08/59</t>
  </si>
  <si>
    <t>155935852</t>
  </si>
  <si>
    <t>INSTITUTO DE BIOQUIMICA APLICADA</t>
  </si>
  <si>
    <t>6</t>
  </si>
  <si>
    <t>hematologiatucuman@gmail.com  rosadeastrada@fbqf.unt.edu.ar</t>
  </si>
  <si>
    <t>4310994</t>
  </si>
  <si>
    <t>SOBERON</t>
  </si>
  <si>
    <t>JOSE RODOLFO</t>
  </si>
  <si>
    <t>18/11/1976</t>
  </si>
  <si>
    <t>38144511891</t>
  </si>
  <si>
    <t>Dr. en Bioquimica</t>
  </si>
  <si>
    <t>Catedra de Fitoquímica - inst. de Estudios Farmacologicos</t>
  </si>
  <si>
    <t>jrsrody@yahoo.com</t>
  </si>
  <si>
    <t>7078</t>
  </si>
  <si>
    <t>BASSET</t>
  </si>
  <si>
    <t>MARÍA NATALIA</t>
  </si>
  <si>
    <t>20/09/1980</t>
  </si>
  <si>
    <t>155302057</t>
  </si>
  <si>
    <t>DRA. EN ALIMENTOS ORIENTACION CIENCIAS</t>
  </si>
  <si>
    <t>NUTRICION</t>
  </si>
  <si>
    <t>Natybasset@gmail.com</t>
  </si>
  <si>
    <t>4248921</t>
  </si>
  <si>
    <t>300</t>
  </si>
  <si>
    <t>MARCELA FATIMA</t>
  </si>
  <si>
    <t>156348160</t>
  </si>
  <si>
    <t>farmacia, dra. en quimica</t>
  </si>
  <si>
    <t>INST. DE BIOLOGIA</t>
  </si>
  <si>
    <t>15</t>
  </si>
  <si>
    <t>mafamedina@gmail.com</t>
  </si>
  <si>
    <t>4245572</t>
  </si>
  <si>
    <t>PAOLA MARINA</t>
  </si>
  <si>
    <t>28/04/71</t>
  </si>
  <si>
    <t>155449099</t>
  </si>
  <si>
    <t>TESORERIA</t>
  </si>
  <si>
    <t>paolaalvarez@gmail.com</t>
  </si>
  <si>
    <t>CINTIA M.</t>
  </si>
  <si>
    <t>11/05/78</t>
  </si>
  <si>
    <t>154623237</t>
  </si>
  <si>
    <t>DRA. BIOQUIMICA</t>
  </si>
  <si>
    <t>CATEDRA FISICA II</t>
  </si>
  <si>
    <t>cinromero78@gmail.com</t>
  </si>
  <si>
    <t>SERRA BARCELLONA</t>
  </si>
  <si>
    <t>CAROLINA</t>
  </si>
  <si>
    <t>01/02/1981</t>
  </si>
  <si>
    <t>3863693588</t>
  </si>
  <si>
    <t>carola_serra@hotmail.com</t>
  </si>
  <si>
    <t>110</t>
  </si>
  <si>
    <t>MARCELA SUSANA</t>
  </si>
  <si>
    <t>10/07/69</t>
  </si>
  <si>
    <t>156583999</t>
  </si>
  <si>
    <t>DRA. EN BIOQUIMICA</t>
  </si>
  <si>
    <t>11</t>
  </si>
  <si>
    <t>marcemedina74@yahoo.com.ar</t>
  </si>
  <si>
    <t>ROSSI</t>
  </si>
  <si>
    <t>ANALIA MABEL</t>
  </si>
  <si>
    <t>04/10/58</t>
  </si>
  <si>
    <t>155028690</t>
  </si>
  <si>
    <t>Dra. en Bioquimica</t>
  </si>
  <si>
    <t>INST. DE QUIMICA BIOLOGICA "DR. BERNABE BLOJ"</t>
  </si>
  <si>
    <t>arossi@fbqf.unt.edu.ar</t>
  </si>
  <si>
    <t>MANZUR</t>
  </si>
  <si>
    <t>06/12/59</t>
  </si>
  <si>
    <t>155134539</t>
  </si>
  <si>
    <t>MG. EN SALUD AMBIENTAL</t>
  </si>
  <si>
    <t>INST. DE QCA. INORGANICA/ QCA. GRAL.</t>
  </si>
  <si>
    <t>eugeniamanz@yahoo.com.ar</t>
  </si>
  <si>
    <t>7073</t>
  </si>
  <si>
    <t>PUIG</t>
  </si>
  <si>
    <t>CARLOS LEANDRO</t>
  </si>
  <si>
    <t>3814630088</t>
  </si>
  <si>
    <t>lic. ciencias politicas</t>
  </si>
  <si>
    <t>posgrado</t>
  </si>
  <si>
    <t>puig.carlosle@gmail.com</t>
  </si>
  <si>
    <t>4107219</t>
  </si>
  <si>
    <t>BRANDAN</t>
  </si>
  <si>
    <t>Insibio</t>
  </si>
  <si>
    <t>jorgeluisbrandan51@gmail.com</t>
  </si>
  <si>
    <t>BUFFO FAGALDE</t>
  </si>
  <si>
    <t>LUCIANO</t>
  </si>
  <si>
    <t>24/03/95</t>
  </si>
  <si>
    <t>154042658</t>
  </si>
  <si>
    <t>luchobuffo95@gmail.com</t>
  </si>
  <si>
    <t xml:space="preserve">ROMERO </t>
  </si>
  <si>
    <t>08/07/92</t>
  </si>
  <si>
    <t>156815629</t>
  </si>
  <si>
    <t>maru.r92@hotmail.com</t>
  </si>
  <si>
    <t xml:space="preserve">NUÑEZ CARABAJAL </t>
  </si>
  <si>
    <t>CELINA MICAELA</t>
  </si>
  <si>
    <t>3816567493</t>
  </si>
  <si>
    <t>celinanunezcarabajal25@gmail.com</t>
  </si>
  <si>
    <t>ARGAÑARAZ</t>
  </si>
  <si>
    <t>3814012514</t>
  </si>
  <si>
    <t>catedra tecnologia farmaceutica II</t>
  </si>
  <si>
    <t>miarg@fbqf.unt.edu.ar</t>
  </si>
  <si>
    <t>7085</t>
  </si>
  <si>
    <t>BENZAL</t>
  </si>
  <si>
    <t>154953362</t>
  </si>
  <si>
    <t>Lic. en Matematica</t>
  </si>
  <si>
    <t>gracielabenzal@gmail.com</t>
  </si>
  <si>
    <t>7064</t>
  </si>
  <si>
    <t>RASCHI</t>
  </si>
  <si>
    <t>ANA BEATRIZ</t>
  </si>
  <si>
    <t>4502464</t>
  </si>
  <si>
    <t>MG. EN CS. QUIMICAS</t>
  </si>
  <si>
    <t>araschi@fbqf.unt.edu.ar</t>
  </si>
  <si>
    <t xml:space="preserve">LOPEZ </t>
  </si>
  <si>
    <t>0381155039147</t>
  </si>
  <si>
    <t>carolinag_lopez@yahoo.com.ar</t>
  </si>
  <si>
    <t>PORAL</t>
  </si>
  <si>
    <t>NORMA</t>
  </si>
  <si>
    <t>normaporal@gmail.com</t>
  </si>
  <si>
    <t>CURIA FUENTES</t>
  </si>
  <si>
    <t>LUIS EZEQUIEL</t>
  </si>
  <si>
    <t>3813419079</t>
  </si>
  <si>
    <t>lic diseño grafico</t>
  </si>
  <si>
    <t>ecuria@fbqf.unt.edu.ar</t>
  </si>
  <si>
    <t>SOLIZ SANTANDER</t>
  </si>
  <si>
    <t>FABRICIO FABIAN</t>
  </si>
  <si>
    <t>03/09/97</t>
  </si>
  <si>
    <t>22</t>
  </si>
  <si>
    <t>3814146585</t>
  </si>
  <si>
    <t>CATEDRA DE INFORMATICA</t>
  </si>
  <si>
    <t>fabianfabriciosolis@gmail.com</t>
  </si>
  <si>
    <t>MARCILLA</t>
  </si>
  <si>
    <t>30/06/61</t>
  </si>
  <si>
    <t>LIC. EN MATEMATICA</t>
  </si>
  <si>
    <t>INST DE MATEMATICA</t>
  </si>
  <si>
    <t>mmarcill@yahoo.com.ar</t>
  </si>
  <si>
    <t>7015</t>
  </si>
  <si>
    <t>MARIA ESTER DEL VALLE</t>
  </si>
  <si>
    <t>INST. DE BIOTECNOLOGIA</t>
  </si>
  <si>
    <t>romanomariaesterdelvalle@gmail.com</t>
  </si>
  <si>
    <t>ESTEVEZ</t>
  </si>
  <si>
    <t>Centro Cultural Rouges</t>
  </si>
  <si>
    <t>veroestevez37@gmail.com</t>
  </si>
  <si>
    <t>ACUÑA</t>
  </si>
  <si>
    <t>MARÍA PAMELA</t>
  </si>
  <si>
    <t>155149282</t>
  </si>
  <si>
    <t>Centro Cultural Virla</t>
  </si>
  <si>
    <t>recepcion</t>
  </si>
  <si>
    <t>mariapamelaacuna@gmail.com</t>
  </si>
  <si>
    <t>4226192</t>
  </si>
  <si>
    <t>MARÍA JOSÉ</t>
  </si>
  <si>
    <t>mariajo_761@hotmail.com</t>
  </si>
  <si>
    <t>BALDIVIA</t>
  </si>
  <si>
    <t>DIEGO ANTONIO</t>
  </si>
  <si>
    <t>empleado de vigilancia</t>
  </si>
  <si>
    <t>baldivia-diego@hotmail.com.ar</t>
  </si>
  <si>
    <t>KARINA</t>
  </si>
  <si>
    <t>Centro Universitario Ing Roberto A Herrera</t>
  </si>
  <si>
    <t>OPERADORA</t>
  </si>
  <si>
    <t>karicatania@hotmail.com</t>
  </si>
  <si>
    <t xml:space="preserve">JUAREZ </t>
  </si>
  <si>
    <t>ALFREDO ORLANDO</t>
  </si>
  <si>
    <t>INTENDENTE</t>
  </si>
  <si>
    <t>JUAREZ OTTAVIANI</t>
  </si>
  <si>
    <t>DARIO ALEJANDRO</t>
  </si>
  <si>
    <t>crocante@hotmail.com</t>
  </si>
  <si>
    <t>ALBAGUILLIN</t>
  </si>
  <si>
    <t>GLENDA G.</t>
  </si>
  <si>
    <t>Complejo Deportivo Dickens</t>
  </si>
  <si>
    <t>MESA DE ENTRADAS</t>
  </si>
  <si>
    <t>glen-da2010@hotmail.com</t>
  </si>
  <si>
    <t>GASPAR</t>
  </si>
  <si>
    <t>A. SILVIA</t>
  </si>
  <si>
    <t>silgaspar08@gmail.com</t>
  </si>
  <si>
    <t>SARRIS</t>
  </si>
  <si>
    <t>SILVIA ELIANA</t>
  </si>
  <si>
    <t>Conicet-unt</t>
  </si>
  <si>
    <t>vinculacion tecnologica</t>
  </si>
  <si>
    <t>esarris@herrera.unt.edu.ar</t>
  </si>
  <si>
    <t>BUSTOS</t>
  </si>
  <si>
    <t>ANDRÉS MAURICIO</t>
  </si>
  <si>
    <t>Consejo De Esc. Experimentales</t>
  </si>
  <si>
    <t>JEFE DE MESA DE ENTRADAS</t>
  </si>
  <si>
    <t>maurock52@gmail.com</t>
  </si>
  <si>
    <t>JATIB</t>
  </si>
  <si>
    <t>ALEJANDRO SEBASTIAN</t>
  </si>
  <si>
    <t>alejandrosebastianjatib@live.com</t>
  </si>
  <si>
    <t>MATIAS ANTONIO ALEJANDRO</t>
  </si>
  <si>
    <t>matiaspaez_2@hotmail.com</t>
  </si>
  <si>
    <t>7138 - 7285</t>
  </si>
  <si>
    <t>URTUBEY</t>
  </si>
  <si>
    <t>MARCELA MARÍA</t>
  </si>
  <si>
    <t>marceurtu@gmail.com</t>
  </si>
  <si>
    <t>MARIA NOELIA</t>
  </si>
  <si>
    <t>Cs. Naturales e Inst. M. Lillo</t>
  </si>
  <si>
    <t>geonoelia@hotmail.com</t>
  </si>
  <si>
    <t>AUXILIAR DOCENTE GRADUADO CON DEDICACIÓN EXCLUSIVO</t>
  </si>
  <si>
    <t>BENÓ</t>
  </si>
  <si>
    <t>CARLOS ALEXIS</t>
  </si>
  <si>
    <t>JEFE DPTO. ADMINISTRATIVO SEC. POSGRADO</t>
  </si>
  <si>
    <t>cabeno@csnat.unt.edu.ar</t>
  </si>
  <si>
    <t>BRUNDU</t>
  </si>
  <si>
    <t>RITA NATALIA</t>
  </si>
  <si>
    <t>mabru22@hotmail.com</t>
  </si>
  <si>
    <t xml:space="preserve">SERGIO  </t>
  </si>
  <si>
    <t>sercar@csnat.unt.edu.ar</t>
  </si>
  <si>
    <t>CASTILLO DE AGUILAR</t>
  </si>
  <si>
    <t>DIRECTORA ADMINISTRATIVA INTERINA</t>
  </si>
  <si>
    <t>jjlopez@csnat.unt.edu.ar</t>
  </si>
  <si>
    <t>CHAMORRO</t>
  </si>
  <si>
    <t>BETIANA GISELLA</t>
  </si>
  <si>
    <t>155423912</t>
  </si>
  <si>
    <t>Departamento Concurso</t>
  </si>
  <si>
    <t>chamorrobetiana@gmail.com</t>
  </si>
  <si>
    <t>ADMINISTRATIVO 01</t>
  </si>
  <si>
    <t>anaco@csnat.unt.edu.ar</t>
  </si>
  <si>
    <t>COLOMBRES DE FRANCK</t>
  </si>
  <si>
    <t xml:space="preserve">ANA  </t>
  </si>
  <si>
    <t>ARIEL</t>
  </si>
  <si>
    <t>DZIENCZARSKI</t>
  </si>
  <si>
    <t>MARTIN</t>
  </si>
  <si>
    <t>martindezeta@gmail.com</t>
  </si>
  <si>
    <t xml:space="preserve">FANJUL </t>
  </si>
  <si>
    <t>MARIA ELISA</t>
  </si>
  <si>
    <t>GALVEZ DE IÑIGO</t>
  </si>
  <si>
    <t>JUAN ANGEL</t>
  </si>
  <si>
    <t>geoljuan@gmail.com</t>
  </si>
  <si>
    <t>jorgelina_j@yahoo.com</t>
  </si>
  <si>
    <t>IÑIGO DE MENA</t>
  </si>
  <si>
    <t>IRMA ANGELINA</t>
  </si>
  <si>
    <t>JEFE DE SECCION</t>
  </si>
  <si>
    <t>LAREDO</t>
  </si>
  <si>
    <t>JAVIER</t>
  </si>
  <si>
    <t>JEFE DPTO BIENES DEL ESTADO Y CONTABILIDAD</t>
  </si>
  <si>
    <t>javierlaredo28@hotmail.com</t>
  </si>
  <si>
    <t>LÓPEZ</t>
  </si>
  <si>
    <t>ANA PAULA</t>
  </si>
  <si>
    <t>apl026@yahoo.com.ar</t>
  </si>
  <si>
    <t>SEPERVISOR ENCARGADO DE DESPACHO</t>
  </si>
  <si>
    <t>MARIELA ADELA</t>
  </si>
  <si>
    <t>ATENCION AL PUBLICO</t>
  </si>
  <si>
    <t>medinamariela@hotmail.es</t>
  </si>
  <si>
    <t>VICTOR SEBASTIAN</t>
  </si>
  <si>
    <t>vcitor.orlans@hotmail.com</t>
  </si>
  <si>
    <t xml:space="preserve">MEDINA </t>
  </si>
  <si>
    <t>veitor.orlans@hotmail.com</t>
  </si>
  <si>
    <t>MENA</t>
  </si>
  <si>
    <t>MARIA ANGELINA</t>
  </si>
  <si>
    <t>mariamena@csnat.unt.edu.ar</t>
  </si>
  <si>
    <t>MON</t>
  </si>
  <si>
    <t>elgueto@outlook.com</t>
  </si>
  <si>
    <t>MONTERO</t>
  </si>
  <si>
    <t>JOSÉ FRANCISCO</t>
  </si>
  <si>
    <t>COORDINADOR DE DESPACHO ACADÉMICO</t>
  </si>
  <si>
    <t>jmontero@csnat.unt.edu.ar</t>
  </si>
  <si>
    <t>MOYA</t>
  </si>
  <si>
    <t>LAURA A.</t>
  </si>
  <si>
    <t>COORDINADORA GRAL. DE LA SECRETARIA DE DESARROLLO INST.</t>
  </si>
  <si>
    <t>lauramoya@csnat.unt.edu.ar</t>
  </si>
  <si>
    <t>ANGELA MARÍA</t>
  </si>
  <si>
    <t>AUX. DOCENTE GRADUADO</t>
  </si>
  <si>
    <t>nievaangy@gmail.com</t>
  </si>
  <si>
    <t>OLIVA</t>
  </si>
  <si>
    <t>AUX. DOCENTE 1º CATEGORIA</t>
  </si>
  <si>
    <t>ana.carolina.oliva@hotmail.com</t>
  </si>
  <si>
    <t>ORCE</t>
  </si>
  <si>
    <t>AUXILIAR DOCENTE GRADUADA</t>
  </si>
  <si>
    <t>marianaorce@yahoo.com.ar</t>
  </si>
  <si>
    <t>ORELLANA</t>
  </si>
  <si>
    <t>FRANCO</t>
  </si>
  <si>
    <t>francoorellanatuc@gmail.com</t>
  </si>
  <si>
    <t>PACHECO</t>
  </si>
  <si>
    <t>PABLO MARTIN</t>
  </si>
  <si>
    <t>154563911</t>
  </si>
  <si>
    <t xml:space="preserve">Técnico Superior en Sistemas de Información </t>
  </si>
  <si>
    <t xml:space="preserve">Depto. Académico </t>
  </si>
  <si>
    <t>pablompacheco@csnat.unt.edu.ar</t>
  </si>
  <si>
    <t>4330633</t>
  </si>
  <si>
    <t>200</t>
  </si>
  <si>
    <t>ANDREA LILIANA</t>
  </si>
  <si>
    <t>SECRETARIA DE COMISIONES</t>
  </si>
  <si>
    <t>aperalta@csnat.unt.edu.ar</t>
  </si>
  <si>
    <t>MARIA DE LOS ANGELES</t>
  </si>
  <si>
    <t>AUXILIAR DE SEGUNDA CATEGORIA</t>
  </si>
  <si>
    <t>angelespere@hotmail.com</t>
  </si>
  <si>
    <t>PÉREZ</t>
  </si>
  <si>
    <t>PEDRO MIGUEL ANGEL</t>
  </si>
  <si>
    <t>BIBLIOTECARIO</t>
  </si>
  <si>
    <t>ESTEBAN</t>
  </si>
  <si>
    <t>POWEL</t>
  </si>
  <si>
    <t>JAIME EDUARDO</t>
  </si>
  <si>
    <t>prof. Asociado</t>
  </si>
  <si>
    <t>powell.jaime@gmail.com</t>
  </si>
  <si>
    <t>PULIDO</t>
  </si>
  <si>
    <t xml:space="preserve">MONICA DEL VALLE </t>
  </si>
  <si>
    <t>scacho2003@yahoo.com.ar</t>
  </si>
  <si>
    <t>QUIROGA</t>
  </si>
  <si>
    <t>PABLO ADRIAN</t>
  </si>
  <si>
    <t>coordinador de area botanica</t>
  </si>
  <si>
    <t>pablo_aq80@yahoo.com.ar</t>
  </si>
  <si>
    <t>RODRÍGUEZ</t>
  </si>
  <si>
    <t>RICARDO EMILIO</t>
  </si>
  <si>
    <t>DIRECTOR GENERAL ACADEMICO</t>
  </si>
  <si>
    <t>rikicsna@gmail.com</t>
  </si>
  <si>
    <t>4239456- 216</t>
  </si>
  <si>
    <t>MARIANA DANIELA</t>
  </si>
  <si>
    <t>rosamd@csnat.unt.edu.ar</t>
  </si>
  <si>
    <t>RUIZ HUIDOBRO</t>
  </si>
  <si>
    <t>SOFÍA INÉS</t>
  </si>
  <si>
    <t>DIRECTORA DE MESA DE ENTRADA</t>
  </si>
  <si>
    <t>SAAVEDRA</t>
  </si>
  <si>
    <t>153548261</t>
  </si>
  <si>
    <t xml:space="preserve">Tecnica Superior en Gestion Universitaria </t>
  </si>
  <si>
    <t>ENCARGADA AREA ACADEMICA DE SEC. DE POSGRADO</t>
  </si>
  <si>
    <t>fsaavedra@csnat.unt.edu.ar</t>
  </si>
  <si>
    <t>4244327</t>
  </si>
  <si>
    <t>SAFE</t>
  </si>
  <si>
    <t>HECTOR</t>
  </si>
  <si>
    <t>DIEGO ENRIQUE</t>
  </si>
  <si>
    <t>3816333940</t>
  </si>
  <si>
    <t>Diegosancheez@gmail.com.ar</t>
  </si>
  <si>
    <t>202</t>
  </si>
  <si>
    <t>SARAZA VILLANUEVA</t>
  </si>
  <si>
    <t>PEDRO ERNESTO</t>
  </si>
  <si>
    <t>pesaravi@gmail.com</t>
  </si>
  <si>
    <t>SOLOHAGA</t>
  </si>
  <si>
    <t>ANGELA ZULEMA</t>
  </si>
  <si>
    <t>angelasolohaga@hotmail.com</t>
  </si>
  <si>
    <t>TISONE</t>
  </si>
  <si>
    <t>JOSE LUIS</t>
  </si>
  <si>
    <t>ier@csnat.unt.edu.ar</t>
  </si>
  <si>
    <t>MARCOS</t>
  </si>
  <si>
    <t>SECRETARIA DE HCD</t>
  </si>
  <si>
    <t>franciscomarcostorres@gmail.com</t>
  </si>
  <si>
    <t>VACA</t>
  </si>
  <si>
    <t>MARIA DEL ROSARIO</t>
  </si>
  <si>
    <t xml:space="preserve">secretaria  </t>
  </si>
  <si>
    <t>maria_vaca65@hotmail.com</t>
  </si>
  <si>
    <t>VEGA CARO</t>
  </si>
  <si>
    <t>ANA CELIA</t>
  </si>
  <si>
    <t>ana_cvc8@hotmail.com</t>
  </si>
  <si>
    <t>VILLACIS POSTIGO</t>
  </si>
  <si>
    <t xml:space="preserve">FERNANDO  </t>
  </si>
  <si>
    <t>fvillacis@csnat.unt.edu.ar</t>
  </si>
  <si>
    <t>JEFE DE DPTO DE INFORMATICA DE BIBLIOTECA</t>
  </si>
  <si>
    <t>fervillacis@gmail.com</t>
  </si>
  <si>
    <t>MARGARITA</t>
  </si>
  <si>
    <t>ENCARGADA DE COMPRAS</t>
  </si>
  <si>
    <t>magui.zamora@hotmail.com</t>
  </si>
  <si>
    <t>ERNESTO RAUL</t>
  </si>
  <si>
    <t>JEFE DPTO. COMPRAS</t>
  </si>
  <si>
    <t>rzelaya@csnat.unt.edu.ar</t>
  </si>
  <si>
    <t>ACOSTA</t>
  </si>
  <si>
    <t>IGNACIO MANUEL</t>
  </si>
  <si>
    <t>Cs. Económicas</t>
  </si>
  <si>
    <t>empleado de direccion alumnos</t>
  </si>
  <si>
    <t>nacosta2002@hotmail.com</t>
  </si>
  <si>
    <t>AGUIRRE</t>
  </si>
  <si>
    <t>DEBORAH ROMINA DEL VALLE</t>
  </si>
  <si>
    <t>deborahaguirre@live.com.ar</t>
  </si>
  <si>
    <t>ESTELA R.</t>
  </si>
  <si>
    <t>roxanaalbornoz@yahoo.com.ar</t>
  </si>
  <si>
    <t>APAS</t>
  </si>
  <si>
    <t>JACQUELINE DE FATIMA</t>
  </si>
  <si>
    <t>155717261</t>
  </si>
  <si>
    <t>DESPACHO</t>
  </si>
  <si>
    <t>jacquelineapas64@gmail.com</t>
  </si>
  <si>
    <t>7639</t>
  </si>
  <si>
    <t>APAS CAMPERO</t>
  </si>
  <si>
    <t>JULIO</t>
  </si>
  <si>
    <t>14/02/1962</t>
  </si>
  <si>
    <t>155365042</t>
  </si>
  <si>
    <t>julioapas1402@gmail.com</t>
  </si>
  <si>
    <t>4107563</t>
  </si>
  <si>
    <t>APICHELA</t>
  </si>
  <si>
    <t>SECRETARIO DE EXTENSION</t>
  </si>
  <si>
    <t>apichela@face.unt.edu.ar</t>
  </si>
  <si>
    <t>ASTORGA</t>
  </si>
  <si>
    <t>ELENA DEL VALLE</t>
  </si>
  <si>
    <t>19/10/1977</t>
  </si>
  <si>
    <t>154489133</t>
  </si>
  <si>
    <t>DPTO. SECCION ALUMNOS</t>
  </si>
  <si>
    <t>elendelvalle@hotmail.com</t>
  </si>
  <si>
    <t>4107555</t>
  </si>
  <si>
    <t xml:space="preserve">BACAS </t>
  </si>
  <si>
    <t>ROBERTO</t>
  </si>
  <si>
    <t>BLASCO</t>
  </si>
  <si>
    <t>ARACELI LUZ</t>
  </si>
  <si>
    <t>PROCESOS TECNICOS</t>
  </si>
  <si>
    <t>araceliblasco@gmail.com</t>
  </si>
  <si>
    <t>BRUNELLO</t>
  </si>
  <si>
    <t>ELIANA DEL HUERTO</t>
  </si>
  <si>
    <t>COORDINADORA DE EXTENSION</t>
  </si>
  <si>
    <t>elianabrunello@hotmail.com</t>
  </si>
  <si>
    <t>CANEVARO</t>
  </si>
  <si>
    <t>CECILIA ALEJANDRA</t>
  </si>
  <si>
    <t>ccanevaro@yahoo.com.ar</t>
  </si>
  <si>
    <t>CARMONA</t>
  </si>
  <si>
    <t>ANDREA JAQUELINE</t>
  </si>
  <si>
    <t>andrea_j_carmona@hotmail.com</t>
  </si>
  <si>
    <t>JUAN SEBASTIÁN</t>
  </si>
  <si>
    <t>JULIO ALBERTO</t>
  </si>
  <si>
    <t>cpucastellanos@yahoo.com.ar</t>
  </si>
  <si>
    <t>CHAVANNE</t>
  </si>
  <si>
    <t>MARIA</t>
  </si>
  <si>
    <t>DECIMA SOTOMAYOR</t>
  </si>
  <si>
    <t>PATRICIA MABEL</t>
  </si>
  <si>
    <t>FELIX ESTEBAN</t>
  </si>
  <si>
    <t>21/05/1979</t>
  </si>
  <si>
    <t>155015710</t>
  </si>
  <si>
    <t>dias.felixesteban@gmail.com</t>
  </si>
  <si>
    <t>4360975</t>
  </si>
  <si>
    <t>EGÜES</t>
  </si>
  <si>
    <t>155492498</t>
  </si>
  <si>
    <t xml:space="preserve">Despacho Académico </t>
  </si>
  <si>
    <t>belen.egues@gmail.com</t>
  </si>
  <si>
    <t>7622</t>
  </si>
  <si>
    <t>FAGRE</t>
  </si>
  <si>
    <t>LILIANA IRENE</t>
  </si>
  <si>
    <t>155776528</t>
  </si>
  <si>
    <t>LIC. EN ADMINISTRACION</t>
  </si>
  <si>
    <t>INSTITUTO DE ADMINISTRACION</t>
  </si>
  <si>
    <t>lfagre@face.unt.edu.ar</t>
  </si>
  <si>
    <t>4107557</t>
  </si>
  <si>
    <t>VIRGINIA ROXANA</t>
  </si>
  <si>
    <t>fernandezvirginiaroxana@gmail.com</t>
  </si>
  <si>
    <t>156811332</t>
  </si>
  <si>
    <t>LIC. GESTION UNIVERSITARIA</t>
  </si>
  <si>
    <t>LABORATORIO COMPUTACION</t>
  </si>
  <si>
    <t>3</t>
  </si>
  <si>
    <t>jc8492@gmail.com</t>
  </si>
  <si>
    <t>ANIBAL MARIANO</t>
  </si>
  <si>
    <t>GIANNINI</t>
  </si>
  <si>
    <t>RAQUEL</t>
  </si>
  <si>
    <t>raquelgiannini@yahoo.com.ar</t>
  </si>
  <si>
    <t>JOSE SERVANDO</t>
  </si>
  <si>
    <t xml:space="preserve">JUAN PABLO </t>
  </si>
  <si>
    <t>juanpgomez@arnet.com.ar</t>
  </si>
  <si>
    <t>JOSÉ HUMBERTO</t>
  </si>
  <si>
    <t>25/02/1985</t>
  </si>
  <si>
    <t>155059341</t>
  </si>
  <si>
    <t>jose_2_84@hotmail.com</t>
  </si>
  <si>
    <t>GRAY</t>
  </si>
  <si>
    <t>SECRETARIA ADMINISTRATIVA</t>
  </si>
  <si>
    <t>mariana_gray@hotmail.com</t>
  </si>
  <si>
    <t>ALICIA</t>
  </si>
  <si>
    <t>galiciadelvalle@yahoo.com.ar</t>
  </si>
  <si>
    <t>ISAS</t>
  </si>
  <si>
    <t>GERARDO</t>
  </si>
  <si>
    <t>DIRECTORA ECONOMICA FINANCIERA</t>
  </si>
  <si>
    <t>marulopez@face.unt.edu.ar</t>
  </si>
  <si>
    <t>JALIL</t>
  </si>
  <si>
    <t>ANTONIO JOSE</t>
  </si>
  <si>
    <t>RUTH MAGDALENA</t>
  </si>
  <si>
    <t>21/05/1987</t>
  </si>
  <si>
    <t>155185753</t>
  </si>
  <si>
    <t>ruthjerez@gmail.com</t>
  </si>
  <si>
    <t>4364393</t>
  </si>
  <si>
    <t>Sitio web de la 7639</t>
  </si>
  <si>
    <t>LAZARTE</t>
  </si>
  <si>
    <t>SEC. ACADEMICA</t>
  </si>
  <si>
    <t>alazarte@face.unt.edu.ar</t>
  </si>
  <si>
    <t>LOBATO</t>
  </si>
  <si>
    <t>HEBER</t>
  </si>
  <si>
    <t>heber_lobato@yahoo.com.ar</t>
  </si>
  <si>
    <t>LOBO PEÑA</t>
  </si>
  <si>
    <t>MARIA SOLEDAD</t>
  </si>
  <si>
    <t>solelobo@hotmail.com</t>
  </si>
  <si>
    <t>RAMÓN OSCAR</t>
  </si>
  <si>
    <t>NATALIA GISELLE</t>
  </si>
  <si>
    <t>nataliagisellemartinez@gmail.com</t>
  </si>
  <si>
    <t>MENDEZ</t>
  </si>
  <si>
    <t>SERGIO MANUEL</t>
  </si>
  <si>
    <t>smendez@rectorado.unt.edu.ar</t>
  </si>
  <si>
    <t>DANIEL ROLANDO</t>
  </si>
  <si>
    <t>GUILLERMO JOSÉ</t>
  </si>
  <si>
    <t>155612250</t>
  </si>
  <si>
    <t>LIC. EN GESTION UNIV.</t>
  </si>
  <si>
    <t>INSTITUTO DE ECONOMIA (IVECO)</t>
  </si>
  <si>
    <t>1</t>
  </si>
  <si>
    <t>guillonoguera@yahoo.com.ar</t>
  </si>
  <si>
    <t>4107559</t>
  </si>
  <si>
    <t>SEBASTIAN</t>
  </si>
  <si>
    <t>sebastianpnunez@gmail.com</t>
  </si>
  <si>
    <t>OSORES</t>
  </si>
  <si>
    <t>ADRIANA VIVIANA</t>
  </si>
  <si>
    <t>adrivoso@hotmail.com</t>
  </si>
  <si>
    <t>MARIA LILIANA</t>
  </si>
  <si>
    <t>DOCENTE-JEFE DE TRABAJOS PRACTICOS</t>
  </si>
  <si>
    <t>mlpacheco_3@hotmail.com</t>
  </si>
  <si>
    <t>PAZ</t>
  </si>
  <si>
    <t>pablod0719@hotmail.com</t>
  </si>
  <si>
    <t>PENSOTTI</t>
  </si>
  <si>
    <t>SUSANA EUGENIA</t>
  </si>
  <si>
    <t>spensotti@face.unt.edu.ar</t>
  </si>
  <si>
    <t>QUESADA</t>
  </si>
  <si>
    <t>macristinaquesada17@yahoo.com.ar</t>
  </si>
  <si>
    <t>4364093-7622</t>
  </si>
  <si>
    <t>FEDERICO</t>
  </si>
  <si>
    <t>3812061222</t>
  </si>
  <si>
    <t>federicoquesada87@gmail.com</t>
  </si>
  <si>
    <t>4107564</t>
  </si>
  <si>
    <t>RAMALLO</t>
  </si>
  <si>
    <t>SUSANA FATIMA</t>
  </si>
  <si>
    <t>sramallo10@gmail.com</t>
  </si>
  <si>
    <t>REARTE</t>
  </si>
  <si>
    <t>SUSANA BEATRIZ</t>
  </si>
  <si>
    <t>16/02/1966</t>
  </si>
  <si>
    <t>154123047</t>
  </si>
  <si>
    <t>subrearte22@gmail.com</t>
  </si>
  <si>
    <t>NILDA LILIANA</t>
  </si>
  <si>
    <t>lilirod2017@gmail.com /  economato@face.unt.edu.ar</t>
  </si>
  <si>
    <t>RODRIGUEZ DE ESTOFAN</t>
  </si>
  <si>
    <t>mrrodriguez@face.unt.edu.ar</t>
  </si>
  <si>
    <t xml:space="preserve">ROJAS </t>
  </si>
  <si>
    <t xml:space="preserve">SILVIA MARIANA </t>
  </si>
  <si>
    <t xml:space="preserve">SECRETARIA ADMINISTRATIVA </t>
  </si>
  <si>
    <t>mupulido@face.unt.edu.ar</t>
  </si>
  <si>
    <t>ROSOLIN</t>
  </si>
  <si>
    <t>nancyerosolin@hotmail.com</t>
  </si>
  <si>
    <t>SANCHEZ</t>
  </si>
  <si>
    <t>AUXILIAR DE TESORERIA</t>
  </si>
  <si>
    <t>sebasanchez@face.unt.edu.ar</t>
  </si>
  <si>
    <t>SCRO</t>
  </si>
  <si>
    <t>CLAUDIA SUSANA</t>
  </si>
  <si>
    <t>cscro@face.unt.edu.ar</t>
  </si>
  <si>
    <t>PABLO FERNANDO</t>
  </si>
  <si>
    <t>saagsu@gmail.com</t>
  </si>
  <si>
    <t>TABUENCA</t>
  </si>
  <si>
    <t>tabuencajuanm@gmail.com</t>
  </si>
  <si>
    <t>TOLOSA</t>
  </si>
  <si>
    <t>CESAR ADRIAN</t>
  </si>
  <si>
    <t>dir. Alumnos</t>
  </si>
  <si>
    <t>adriantolosa2004@hotmail.com</t>
  </si>
  <si>
    <t>03835-15483483</t>
  </si>
  <si>
    <t>MESA  DE ENTRADA</t>
  </si>
  <si>
    <t>VARGAS</t>
  </si>
  <si>
    <t>ARACELLI DEL VALLE</t>
  </si>
  <si>
    <t>avargas.cpn@gmail.com</t>
  </si>
  <si>
    <t>VELIZ</t>
  </si>
  <si>
    <t>PEDRO GUILLERMO</t>
  </si>
  <si>
    <t>MESA DE ENTRADA</t>
  </si>
  <si>
    <t xml:space="preserve">VELIZ </t>
  </si>
  <si>
    <t>pedroguillermoveliz@gmail.com</t>
  </si>
  <si>
    <t>JEFA DPTO. TECNICO LEGAL</t>
  </si>
  <si>
    <t>adriveliz@gmail.com</t>
  </si>
  <si>
    <t>VENEGAS VERGES</t>
  </si>
  <si>
    <t>IRIS EUGENIA</t>
  </si>
  <si>
    <t>JEFA DE COMPRAS</t>
  </si>
  <si>
    <t>compras@face.unt.edu.ar</t>
  </si>
  <si>
    <t>EMILSE</t>
  </si>
  <si>
    <t>emilse_villagra@hotmail.com/ sri@face.unt.edu.ar</t>
  </si>
  <si>
    <t>VILLARES</t>
  </si>
  <si>
    <t>a cargo del gabinete psicologico</t>
  </si>
  <si>
    <t>amaria-vh@hotmail.com</t>
  </si>
  <si>
    <t xml:space="preserve">ZEBALLOS </t>
  </si>
  <si>
    <t>MARTIN ALBERTO</t>
  </si>
  <si>
    <t>154475182</t>
  </si>
  <si>
    <t xml:space="preserve">Departamento Concursos </t>
  </si>
  <si>
    <t>mazeballos03@yahoo.com.ar</t>
  </si>
  <si>
    <t>4364093-7655</t>
  </si>
  <si>
    <t>ITURBE</t>
  </si>
  <si>
    <t>4366179</t>
  </si>
  <si>
    <t>iturbemaria1@gmail.com</t>
  </si>
  <si>
    <t>DAMIAN MAXIMILIANO</t>
  </si>
  <si>
    <t>26/02/1988</t>
  </si>
  <si>
    <t>154674948</t>
  </si>
  <si>
    <t>dbrandan@face.unt.edu.ar</t>
  </si>
  <si>
    <t>SILVANA</t>
  </si>
  <si>
    <t>3815795439</t>
  </si>
  <si>
    <t>Biblioteca</t>
  </si>
  <si>
    <t>silvanalvarez12@gmail.com</t>
  </si>
  <si>
    <t>4107546</t>
  </si>
  <si>
    <t>ALICIA DEL VALLE</t>
  </si>
  <si>
    <t>154788731</t>
  </si>
  <si>
    <t>7546</t>
  </si>
  <si>
    <t>ACEVEDO DIAZ</t>
  </si>
  <si>
    <t>ELIO NICOLAS</t>
  </si>
  <si>
    <t>Cs. Exactas y Tecnología</t>
  </si>
  <si>
    <t>nicoacevedo1@hotmail.com</t>
  </si>
  <si>
    <t>JULIO DANTE</t>
  </si>
  <si>
    <t>elena-quint@live.com.ar</t>
  </si>
  <si>
    <t>AGUILAR</t>
  </si>
  <si>
    <t>alejandra_aguilar_20@hotmail.com</t>
  </si>
  <si>
    <t>ALARCON</t>
  </si>
  <si>
    <t>NELSON FREDY</t>
  </si>
  <si>
    <t>m.alarcon540@gmail.com</t>
  </si>
  <si>
    <t>ALDERETE</t>
  </si>
  <si>
    <t>JOSE ELEODORO</t>
  </si>
  <si>
    <t>Tareas generales</t>
  </si>
  <si>
    <t>ARMANDO ARTURO</t>
  </si>
  <si>
    <t>electricista</t>
  </si>
  <si>
    <t>GRACIELA BEATRIZ</t>
  </si>
  <si>
    <t>ilum@herrera.unt.edu.ar</t>
  </si>
  <si>
    <t>ALVES</t>
  </si>
  <si>
    <t>NANCY</t>
  </si>
  <si>
    <t>nalves@herrera.unt.edu.ar</t>
  </si>
  <si>
    <t>APPAZ ARGUELLO</t>
  </si>
  <si>
    <t>MARIA LUZ</t>
  </si>
  <si>
    <t>07/02/86</t>
  </si>
  <si>
    <t>156328955</t>
  </si>
  <si>
    <t>TEC SUP CEREMONIAL Y PROTOCOLO</t>
  </si>
  <si>
    <t>luzappaz@icloud.com</t>
  </si>
  <si>
    <t>ARAOZ</t>
  </si>
  <si>
    <t>MERCEDES FERMINA</t>
  </si>
  <si>
    <t>servicios generales</t>
  </si>
  <si>
    <t>deec@herrera.unt.edu.ar</t>
  </si>
  <si>
    <t>ARROYO</t>
  </si>
  <si>
    <t>ALICIA DE JESUS</t>
  </si>
  <si>
    <t>ptbiblcet@herrera.unt.edu.ar</t>
  </si>
  <si>
    <t>AVILA FIGUEROA</t>
  </si>
  <si>
    <t>CARLA VANESSA</t>
  </si>
  <si>
    <t>BIBLIOTECA. AUX. CIRCULACION Y PRESTAMOS</t>
  </si>
  <si>
    <t>carla_avila@live.com.ar</t>
  </si>
  <si>
    <t>BAATALLA</t>
  </si>
  <si>
    <t>EDUARDO JAVIER</t>
  </si>
  <si>
    <t>Tecnico</t>
  </si>
  <si>
    <t>javierbatalla78@hotmail.com</t>
  </si>
  <si>
    <t>AMANDA GRACIELA</t>
  </si>
  <si>
    <t>BARRIENTOS</t>
  </si>
  <si>
    <t>carlosbarrientos23@hotmail.com</t>
  </si>
  <si>
    <t>JOSE EDUARDO</t>
  </si>
  <si>
    <t>jose16barrionuevo@gmail.com</t>
  </si>
  <si>
    <t>BARROS</t>
  </si>
  <si>
    <t>MARISA DE LOS ANGELES</t>
  </si>
  <si>
    <t>BOGGIATO PEREZ</t>
  </si>
  <si>
    <t>jefe de haberes</t>
  </si>
  <si>
    <t>paolaboggiatto@hotamil.com</t>
  </si>
  <si>
    <t>ADRIANA DEL VALLE</t>
  </si>
  <si>
    <t>08/05/1966</t>
  </si>
  <si>
    <t>154696953</t>
  </si>
  <si>
    <t>BIBLIOTECA JEFE DPTO CIRCULACION Y PRESTAMOS</t>
  </si>
  <si>
    <t>adribriz@yahoo.com.ar</t>
  </si>
  <si>
    <t>4107576</t>
  </si>
  <si>
    <t>7576</t>
  </si>
  <si>
    <t>JOSE ANTONIO</t>
  </si>
  <si>
    <t>encargada de intendencia</t>
  </si>
  <si>
    <t>BUSTOS DE DIAS</t>
  </si>
  <si>
    <t>NORMA ALEJANDRA</t>
  </si>
  <si>
    <t>07/08/1980</t>
  </si>
  <si>
    <t>155580311</t>
  </si>
  <si>
    <t>nalejandra7@hotmail.com</t>
  </si>
  <si>
    <t>AMELIA DEL VALLE</t>
  </si>
  <si>
    <t>Secretaria</t>
  </si>
  <si>
    <t>camposameliac@gmail.com</t>
  </si>
  <si>
    <t>MARCELO SERGIO</t>
  </si>
  <si>
    <t>maestranza</t>
  </si>
  <si>
    <t>CARDOZO</t>
  </si>
  <si>
    <t>terecardozo@gmail.com</t>
  </si>
  <si>
    <t>MARIO ROBERTO</t>
  </si>
  <si>
    <t>CATOIA</t>
  </si>
  <si>
    <t>ADRIANA MABEL</t>
  </si>
  <si>
    <t>Auxiliar</t>
  </si>
  <si>
    <t>adrianacatoia@hotmail.com</t>
  </si>
  <si>
    <t>CAUTELIER</t>
  </si>
  <si>
    <t>ANA DANIELA</t>
  </si>
  <si>
    <t>28/03/1976</t>
  </si>
  <si>
    <t>154192370</t>
  </si>
  <si>
    <t>DPTO GRADUADOS</t>
  </si>
  <si>
    <t>adcautelier@herrera.unt.edu.ar</t>
  </si>
  <si>
    <t>4107571</t>
  </si>
  <si>
    <t>CHAZARRETA</t>
  </si>
  <si>
    <t>SILVINA</t>
  </si>
  <si>
    <t>subtesorera</t>
  </si>
  <si>
    <t>schazarreta@herrera.unt.edu.ar</t>
  </si>
  <si>
    <t>CHIRINO</t>
  </si>
  <si>
    <t>MERCEDES DEL VALLE</t>
  </si>
  <si>
    <t>jefe administrativo</t>
  </si>
  <si>
    <t>mchirino@herrera.unt.edu.ar</t>
  </si>
  <si>
    <t xml:space="preserve">ELENA  </t>
  </si>
  <si>
    <t>CORDOBA</t>
  </si>
  <si>
    <t>VICTOR HUGO</t>
  </si>
  <si>
    <t>cordobahugo@live.com</t>
  </si>
  <si>
    <t>CORRAL</t>
  </si>
  <si>
    <t>SANDRA MONICA</t>
  </si>
  <si>
    <t>scorral@herrera.unt.edu.ar</t>
  </si>
  <si>
    <t>JUAN AMATIAS</t>
  </si>
  <si>
    <t>tesorero</t>
  </si>
  <si>
    <t>jcorrea@herrera.nnt.edu.ar</t>
  </si>
  <si>
    <t>mcorrea@herrera.unt.edu.ar</t>
  </si>
  <si>
    <t>CURUBETO MONTEROS</t>
  </si>
  <si>
    <t>VANESA</t>
  </si>
  <si>
    <t>29/08/1973</t>
  </si>
  <si>
    <t>154688008</t>
  </si>
  <si>
    <t>PROF. DE ENSEÑANZA PRIMARIA</t>
  </si>
  <si>
    <t>vanecurubeto@hotmail.com</t>
  </si>
  <si>
    <t>DE AZARZOLA</t>
  </si>
  <si>
    <t>RICARDO ANTONIO</t>
  </si>
  <si>
    <t>16/03/57</t>
  </si>
  <si>
    <t>155234485</t>
  </si>
  <si>
    <t>Jefe Administrativo Departamental</t>
  </si>
  <si>
    <t>ricardodeazarloza@yahoo.com.ar</t>
  </si>
  <si>
    <t>4107575</t>
  </si>
  <si>
    <t>DE MARCHI</t>
  </si>
  <si>
    <t>HECTOR WALTER</t>
  </si>
  <si>
    <t>sereno</t>
  </si>
  <si>
    <t>DEL CASTILLO</t>
  </si>
  <si>
    <t>MARIA LILIAN</t>
  </si>
  <si>
    <t>cpiquard@herrera.unt.edu.ar</t>
  </si>
  <si>
    <t>Administrativo</t>
  </si>
  <si>
    <t>FANNY</t>
  </si>
  <si>
    <t>fdiaz@herrera.unt.edu.ar</t>
  </si>
  <si>
    <t>ANA VALERIA</t>
  </si>
  <si>
    <t>155378075</t>
  </si>
  <si>
    <t xml:space="preserve">Comisiones </t>
  </si>
  <si>
    <t>valeriadominetti@live.com.ar</t>
  </si>
  <si>
    <t>ESTRADA</t>
  </si>
  <si>
    <t>JOSE MIGUEL</t>
  </si>
  <si>
    <t>Jefe Administrativo- Dpto. Posgrado</t>
  </si>
  <si>
    <t>mestrada136@hotmail.com</t>
  </si>
  <si>
    <t>FERNANDA BEATRIZ</t>
  </si>
  <si>
    <t>aux. tesoreria</t>
  </si>
  <si>
    <t>febyestrada@hotmail.com</t>
  </si>
  <si>
    <t>ARMANDO BENJAMIN</t>
  </si>
  <si>
    <t>01/04/1959</t>
  </si>
  <si>
    <t>156243908</t>
  </si>
  <si>
    <t>dpto tecnico</t>
  </si>
  <si>
    <t>afalcon@herrera.unt.edu.ar</t>
  </si>
  <si>
    <t>FARIAS MUZA</t>
  </si>
  <si>
    <t>DPTO. ING. DE PROECESOS Y GESTIÓN IND.</t>
  </si>
  <si>
    <t>afariasm59@gmail.com</t>
  </si>
  <si>
    <t>CARLOS MARCELINO</t>
  </si>
  <si>
    <t>cfernandez@herrera.unt.edu.ar</t>
  </si>
  <si>
    <t>FIGUEROA</t>
  </si>
  <si>
    <t>RAFAEL ERNESTO</t>
  </si>
  <si>
    <t>ref_figueroa@yahoo.com.ar</t>
  </si>
  <si>
    <t xml:space="preserve">ALFREDO  </t>
  </si>
  <si>
    <t>Auxiliar de Departamento Concurso</t>
  </si>
  <si>
    <t>arfigueroa@herrera.unt.edu.ar</t>
  </si>
  <si>
    <t>karolyne80_1@hotmail.com</t>
  </si>
  <si>
    <t>Ordenanza</t>
  </si>
  <si>
    <t>carlitosflores32@hotmail.com</t>
  </si>
  <si>
    <t>FONTENLA</t>
  </si>
  <si>
    <t>FORALES</t>
  </si>
  <si>
    <t xml:space="preserve">MARIA JULIA  </t>
  </si>
  <si>
    <t>mariajuliaf03@gmail.com</t>
  </si>
  <si>
    <t>GALLO</t>
  </si>
  <si>
    <t>SALVADOR EDUARDO</t>
  </si>
  <si>
    <t>sergallo@tucbbs.com.ar</t>
  </si>
  <si>
    <t>GALLRADO</t>
  </si>
  <si>
    <t>NELIDA DEL VALLE</t>
  </si>
  <si>
    <t>nelyo_85_@hotmail.com</t>
  </si>
  <si>
    <t>GIMENEZ</t>
  </si>
  <si>
    <t>JESSICA NATALIA</t>
  </si>
  <si>
    <t>jessyngimenez@hotmail.com</t>
  </si>
  <si>
    <t>GOMEZ CARDOZO</t>
  </si>
  <si>
    <t>ALVARO HERNAN</t>
  </si>
  <si>
    <t>INFORMATICO BIBLIOTECA</t>
  </si>
  <si>
    <t>agomezcardozo@herrera.unt.edu.ar</t>
  </si>
  <si>
    <t>SARA ANTONIA</t>
  </si>
  <si>
    <t>GONZALEZ CABRERA</t>
  </si>
  <si>
    <t>AUX. EN DIRECCION ACADEMICA</t>
  </si>
  <si>
    <t>mgonzalez@herrera.unt.edu.ar</t>
  </si>
  <si>
    <t>GOR</t>
  </si>
  <si>
    <t>SERGIO RICARDO</t>
  </si>
  <si>
    <t>sgor@herrera.unt.edu.ar</t>
  </si>
  <si>
    <t>GRAU</t>
  </si>
  <si>
    <t>JEANNETTE</t>
  </si>
  <si>
    <t>jgrau@herrera.unt.edu.ar</t>
  </si>
  <si>
    <t>RODOLFO O</t>
  </si>
  <si>
    <t>DIRECTOR LAB. TEC PLANTA PILOTO</t>
  </si>
  <si>
    <t>rguzman@herrera.unt.edu.ar</t>
  </si>
  <si>
    <t>JOSE ENRIQUE</t>
  </si>
  <si>
    <t>jguzman@herrera.unt.edu.ar</t>
  </si>
  <si>
    <t>HELGUERA</t>
  </si>
  <si>
    <t>ALBA</t>
  </si>
  <si>
    <t>SILVIA SUSANA</t>
  </si>
  <si>
    <t>sherrera@herrera.unt.edu.ar</t>
  </si>
  <si>
    <t>HUERTA MENDOZA</t>
  </si>
  <si>
    <t>COORDINADOR SISTEMA GESTION DE CALIDAD</t>
  </si>
  <si>
    <t>mlabastida@herrera.unt.edu.ar</t>
  </si>
  <si>
    <t>ESTELA PATRICIA</t>
  </si>
  <si>
    <t>a cargo area legal</t>
  </si>
  <si>
    <t>claudiajara4@gmail.com</t>
  </si>
  <si>
    <t>IÑIGO</t>
  </si>
  <si>
    <t>MARIA DE LAS MERCEDES</t>
  </si>
  <si>
    <t>aux. administrativa</t>
  </si>
  <si>
    <t>Servicios Generales</t>
  </si>
  <si>
    <t>JIMENEZ VILLAGRAN</t>
  </si>
  <si>
    <t xml:space="preserve">RODRIGO </t>
  </si>
  <si>
    <t>154789876</t>
  </si>
  <si>
    <t>Dpto. Concurso</t>
  </si>
  <si>
    <t>rjimenez@herrera.unt.edu.ar</t>
  </si>
  <si>
    <t>7721</t>
  </si>
  <si>
    <t>JUAREZ</t>
  </si>
  <si>
    <t>ANGELA GRACIELA</t>
  </si>
  <si>
    <t>Maestranza</t>
  </si>
  <si>
    <t>gra_001@hotmail.com</t>
  </si>
  <si>
    <t xml:space="preserve">LAZARTE </t>
  </si>
  <si>
    <t>CLARA ALICIA</t>
  </si>
  <si>
    <t>clazarte2010@gmail.com</t>
  </si>
  <si>
    <t>LEDESMA</t>
  </si>
  <si>
    <t>jefe de biblioteca</t>
  </si>
  <si>
    <t>dojozen2002@hotmail.com</t>
  </si>
  <si>
    <t xml:space="preserve">LEIVA  </t>
  </si>
  <si>
    <t>MARCELO EMILIO</t>
  </si>
  <si>
    <t>Coordinador de Becas y Pasantias</t>
  </si>
  <si>
    <t>mleiva@unt.edu.ar / marceloleiva@argentina.com</t>
  </si>
  <si>
    <t>LEIVA DE ZAMORA</t>
  </si>
  <si>
    <t>MARCELA</t>
  </si>
  <si>
    <t>Jefa Administrativo Departamental</t>
  </si>
  <si>
    <t>marceleiva@hotmail.com</t>
  </si>
  <si>
    <t>LIMA</t>
  </si>
  <si>
    <t>GABRIEL ARNALDO</t>
  </si>
  <si>
    <t>JORGE LISANDRO</t>
  </si>
  <si>
    <t>jefe dpto. tecnico</t>
  </si>
  <si>
    <t>jlisandrolopez@hotmail.com</t>
  </si>
  <si>
    <t>ENRIQUE ALEJANDRO</t>
  </si>
  <si>
    <t>Secretario - Depto. De Geodesia</t>
  </si>
  <si>
    <t>JORGE ROLANDO</t>
  </si>
  <si>
    <t>04/08/89</t>
  </si>
  <si>
    <t>155181321</t>
  </si>
  <si>
    <t>jorgel_nf_@hotmail.com  jrlopez@herrera.unt.edu.ar</t>
  </si>
  <si>
    <t>LUCERO</t>
  </si>
  <si>
    <t>CARLOS JAVIER</t>
  </si>
  <si>
    <t>javierlucero3@hotmail.com</t>
  </si>
  <si>
    <t>LUQUE</t>
  </si>
  <si>
    <t>joseluquepalacio@hotmail.com</t>
  </si>
  <si>
    <t>MAMANI</t>
  </si>
  <si>
    <t>EDGARDO FABIAN</t>
  </si>
  <si>
    <t>GUSTAVO</t>
  </si>
  <si>
    <t>gmansilla@herrera.unt.edu.ar</t>
  </si>
  <si>
    <t>ELENA BEATRIZ</t>
  </si>
  <si>
    <t>3816971979</t>
  </si>
  <si>
    <t>decanato</t>
  </si>
  <si>
    <t xml:space="preserve">ebmansilla@herrera.unt.edu.ar </t>
  </si>
  <si>
    <t>MARQUETTI</t>
  </si>
  <si>
    <t>directora de revista- prof. Adjunto</t>
  </si>
  <si>
    <t>mmarquetti@herrera.unt.edu.ar</t>
  </si>
  <si>
    <t>MASTRACCHIO</t>
  </si>
  <si>
    <t>claudia_mastracchio@hotmail.com</t>
  </si>
  <si>
    <t>MAZZA DE CAUTELIER</t>
  </si>
  <si>
    <t>ANA BRUNA</t>
  </si>
  <si>
    <t>Secretaria de Laboratorio de Ensayo de Materiales</t>
  </si>
  <si>
    <t>acantelier@herrera.unt.edu.ar</t>
  </si>
  <si>
    <t>MECHETTI</t>
  </si>
  <si>
    <t>MAGDALENA</t>
  </si>
  <si>
    <t>PROFESOR</t>
  </si>
  <si>
    <t>mmechetti@herrera.unt.edu.ar</t>
  </si>
  <si>
    <t>bioing@herrera.unt.edu.ar</t>
  </si>
  <si>
    <t>JUAN ALFREDO</t>
  </si>
  <si>
    <t>aux. computos</t>
  </si>
  <si>
    <t>jmedina@herrera.unt.edu.ar</t>
  </si>
  <si>
    <t>ADRIANA CECILIA</t>
  </si>
  <si>
    <t>154157565</t>
  </si>
  <si>
    <t>Lic. En Gestion de Recursos Humanos</t>
  </si>
  <si>
    <t>amedrano@herrera.unt.edu.ar</t>
  </si>
  <si>
    <t>4107589</t>
  </si>
  <si>
    <t>MONTENEGRO</t>
  </si>
  <si>
    <t>ENRIQUE HUGO</t>
  </si>
  <si>
    <t>enriquehugomontenegro@yahoo.com.ar</t>
  </si>
  <si>
    <t>OLMOS</t>
  </si>
  <si>
    <t xml:space="preserve">AIDA  </t>
  </si>
  <si>
    <t>secretaria bienestar</t>
  </si>
  <si>
    <t>aolmos@herrera.unt.adu.ar</t>
  </si>
  <si>
    <t>ORTIZ</t>
  </si>
  <si>
    <t>FRANCISCO LUIS</t>
  </si>
  <si>
    <t>OUSSET</t>
  </si>
  <si>
    <t>ANA ISABEL</t>
  </si>
  <si>
    <t>Jefa Direccion Area Estudiantil</t>
  </si>
  <si>
    <t>OVALLE</t>
  </si>
  <si>
    <t>NATALIA VANESA</t>
  </si>
  <si>
    <t>3815607950</t>
  </si>
  <si>
    <t>Departamento Personal</t>
  </si>
  <si>
    <t>Nadiecho78@gmail.com</t>
  </si>
  <si>
    <t>PACHADO</t>
  </si>
  <si>
    <t>ALEJANDRO PABLO</t>
  </si>
  <si>
    <t>PALOMAR</t>
  </si>
  <si>
    <t>ELINA</t>
  </si>
  <si>
    <t>epalomar@herrera.unt.edu.ar</t>
  </si>
  <si>
    <t>VERONICA DEL VALLE</t>
  </si>
  <si>
    <t>Jefa de Despacho</t>
  </si>
  <si>
    <t>vperalta@herrera.unt.edu.ar</t>
  </si>
  <si>
    <t>MARIA ROSAURA</t>
  </si>
  <si>
    <t>Administrativa</t>
  </si>
  <si>
    <t>PÉREZ FILGUEIRA</t>
  </si>
  <si>
    <t>ALEJANDRO JOSE</t>
  </si>
  <si>
    <t>DIRECTOR GENERAL ADMINISTRATIVO</t>
  </si>
  <si>
    <t>aperezfilgueira@herrera.unt.edu.ar</t>
  </si>
  <si>
    <t>4364093- 7587</t>
  </si>
  <si>
    <t>PICCARDI</t>
  </si>
  <si>
    <t>MARIA MERCEDES</t>
  </si>
  <si>
    <t>DIRECTORA DE BIBLIOTECA</t>
  </si>
  <si>
    <t>biblcet@herrera.unt.edu.ar</t>
  </si>
  <si>
    <t xml:space="preserve">PICCARDI   </t>
  </si>
  <si>
    <t>LIDIA DEL CARMEN</t>
  </si>
  <si>
    <t>PINO</t>
  </si>
  <si>
    <t>DANIEL A.</t>
  </si>
  <si>
    <t>danielpino131@yahoo.com</t>
  </si>
  <si>
    <t>PISTONE NADAL</t>
  </si>
  <si>
    <t>VIVIANA GABRIELA</t>
  </si>
  <si>
    <t>vgpistone@hotmail.com</t>
  </si>
  <si>
    <t>PORTILLO</t>
  </si>
  <si>
    <t>SILVIA PATRICIA</t>
  </si>
  <si>
    <t>sportillo@herrera.unt.edu.ar</t>
  </si>
  <si>
    <t>MONICA ANDREA</t>
  </si>
  <si>
    <t>16/01/1974</t>
  </si>
  <si>
    <t>153026605</t>
  </si>
  <si>
    <t>TSGU . MAESTRA DE EDUCACION BASICA</t>
  </si>
  <si>
    <t>mportillo@herrera.unt.edu.ar</t>
  </si>
  <si>
    <t>4107579</t>
  </si>
  <si>
    <t>7579</t>
  </si>
  <si>
    <t>FRANCISCO E.</t>
  </si>
  <si>
    <t>personal de guia</t>
  </si>
  <si>
    <t>directora</t>
  </si>
  <si>
    <t>elena_quint@live.com.ar</t>
  </si>
  <si>
    <t>FRANCISCO ARIEL</t>
  </si>
  <si>
    <t>JEFE ADMINISTRATIVO</t>
  </si>
  <si>
    <t>faquinteros@herrera.unt.edu.ar</t>
  </si>
  <si>
    <t>MARCELO HUMBERTO</t>
  </si>
  <si>
    <t>155844858</t>
  </si>
  <si>
    <t>SERVICIOS GRALES.</t>
  </si>
  <si>
    <t>mhquinteros@herrera.unt.edu.ar</t>
  </si>
  <si>
    <t>4369043</t>
  </si>
  <si>
    <t>7577</t>
  </si>
  <si>
    <t>LUIS ALBERTO</t>
  </si>
  <si>
    <t>03/01/1960</t>
  </si>
  <si>
    <t>155015084</t>
  </si>
  <si>
    <t>9</t>
  </si>
  <si>
    <t>JOLANDA BEATRIZ</t>
  </si>
  <si>
    <t>Maestra de Nivel Inicial- Jardin Materno Infantil</t>
  </si>
  <si>
    <t>MERCEDES CLAUDIA</t>
  </si>
  <si>
    <t>JARDIN MATERNAL</t>
  </si>
  <si>
    <t>MAESTRA</t>
  </si>
  <si>
    <t>claudiaramosdepulido@gmail.com</t>
  </si>
  <si>
    <t>RIOS</t>
  </si>
  <si>
    <t>Jefa Hemeroteca</t>
  </si>
  <si>
    <t>elenrio05@yahoo.com</t>
  </si>
  <si>
    <t>ROBLES</t>
  </si>
  <si>
    <t>NORMA LIS</t>
  </si>
  <si>
    <t>catedra de fisicoquimica</t>
  </si>
  <si>
    <t>nrobles@herrera.unt.edu.ar</t>
  </si>
  <si>
    <t>crodriguez@herrera.unt.edu.ar</t>
  </si>
  <si>
    <t>IRMA YOLANDA</t>
  </si>
  <si>
    <t>RUDEDA</t>
  </si>
  <si>
    <t>JUAN LUIS</t>
  </si>
  <si>
    <t>RUEDA DE SARRIS</t>
  </si>
  <si>
    <t>SILVIA MIRTA</t>
  </si>
  <si>
    <t>DIRECTORA GENERAL ADMINISTRATIVA</t>
  </si>
  <si>
    <t>ssarris@herrera.unt.edu.ar</t>
  </si>
  <si>
    <t>RUIZ</t>
  </si>
  <si>
    <t>ESTELA DEL VALLE</t>
  </si>
  <si>
    <t>eruiz@herrera.unt.edu.ar</t>
  </si>
  <si>
    <t>4107570- 7570</t>
  </si>
  <si>
    <t>gruiz@herrera.unt.edu.ar</t>
  </si>
  <si>
    <t>SALAS</t>
  </si>
  <si>
    <t>MYRIAM MARCELA</t>
  </si>
  <si>
    <t>Jefe de Computos</t>
  </si>
  <si>
    <t>msalas@herrera.unt.edu.ar</t>
  </si>
  <si>
    <t>SALICA</t>
  </si>
  <si>
    <t>GLORIA DEL CARMEN</t>
  </si>
  <si>
    <t>Dpto. Ciencias dela Comunicación</t>
  </si>
  <si>
    <t>gcarmen2855@gmail.com</t>
  </si>
  <si>
    <t>FRANCISCA DEL CARMEN</t>
  </si>
  <si>
    <t>JEFE PERSONAL</t>
  </si>
  <si>
    <t>fsanchez@herrera.unt.edu.ar</t>
  </si>
  <si>
    <t>SAUVAGE</t>
  </si>
  <si>
    <t>ANA MARÍA</t>
  </si>
  <si>
    <t>asauvage@gmail.com</t>
  </si>
  <si>
    <t>SERRANO</t>
  </si>
  <si>
    <t>ANALIS</t>
  </si>
  <si>
    <t>administrativa</t>
  </si>
  <si>
    <t>ana_27_lia@hotmail.com</t>
  </si>
  <si>
    <t>MAXIMILIANO FELIX</t>
  </si>
  <si>
    <t>maximiliano_soria5@hotmail.com</t>
  </si>
  <si>
    <t>HECTOR HUGO</t>
  </si>
  <si>
    <t>mantenimiento y atencion de alumnos</t>
  </si>
  <si>
    <t>SUELDO</t>
  </si>
  <si>
    <t>156401856</t>
  </si>
  <si>
    <t>ingeniero electronico</t>
  </si>
  <si>
    <t>csueldo@herrera.unt.edu.ar</t>
  </si>
  <si>
    <t>8527</t>
  </si>
  <si>
    <t>TEVES</t>
  </si>
  <si>
    <t>PEDRO SEBASTIAN</t>
  </si>
  <si>
    <t>28/11/1988</t>
  </si>
  <si>
    <t>155549601</t>
  </si>
  <si>
    <t>psteves88@gmail.com</t>
  </si>
  <si>
    <t>TEVEZ</t>
  </si>
  <si>
    <t>PEDRO ROBERTO</t>
  </si>
  <si>
    <t>jefe dpto. carpinteria</t>
  </si>
  <si>
    <t>TORIELLI</t>
  </si>
  <si>
    <t>DANIEL JOSE</t>
  </si>
  <si>
    <t>danieltorielli@gmail.com</t>
  </si>
  <si>
    <t>DANIELA DOLORES</t>
  </si>
  <si>
    <t>danielatorielli@hotmail.com</t>
  </si>
  <si>
    <t>URBANO</t>
  </si>
  <si>
    <t>RAMON ALBERTO</t>
  </si>
  <si>
    <t>encargado de limpieza</t>
  </si>
  <si>
    <t>VALLADARES</t>
  </si>
  <si>
    <t>AUX DOCENTE GRADUADA</t>
  </si>
  <si>
    <t>nataliavalladares25@gmail.com</t>
  </si>
  <si>
    <t>VAZQUEZ</t>
  </si>
  <si>
    <t>ELIZABETH DEL VALLE</t>
  </si>
  <si>
    <t>VILLAGRAN</t>
  </si>
  <si>
    <t>0381 - 154653187</t>
  </si>
  <si>
    <t>avillagran@herrera.unt.edu.ar</t>
  </si>
  <si>
    <t>VILLALOBO</t>
  </si>
  <si>
    <t>DIRECTORA</t>
  </si>
  <si>
    <t>mvillalobo@herrera.unt.edu.ar</t>
  </si>
  <si>
    <t>VILLARREAL</t>
  </si>
  <si>
    <t>PATRICIA VALERIA</t>
  </si>
  <si>
    <t>ZELARAYAN</t>
  </si>
  <si>
    <t>RAMON EMMANUEL MARTIN</t>
  </si>
  <si>
    <t>emmanuel_31_93@hotmail.com</t>
  </si>
  <si>
    <t>ZELARAYÁN</t>
  </si>
  <si>
    <t>ROBERTO OSCAR</t>
  </si>
  <si>
    <t>matosas2016@hotmail.com</t>
  </si>
  <si>
    <t>ZUCO</t>
  </si>
  <si>
    <t>154064209</t>
  </si>
  <si>
    <t>Lic. en Cs. Politicas</t>
  </si>
  <si>
    <t xml:space="preserve">Despacho académico </t>
  </si>
  <si>
    <t xml:space="preserve">szuco@herrera.unt.edu.ar </t>
  </si>
  <si>
    <t>7571</t>
  </si>
  <si>
    <t>MOHAMED</t>
  </si>
  <si>
    <t>SERGIO FERNANDO</t>
  </si>
  <si>
    <t>30/12/65</t>
  </si>
  <si>
    <t>3816242707</t>
  </si>
  <si>
    <t>ing. civil</t>
  </si>
  <si>
    <t>smohamed@herrera.unt.edu.ar</t>
  </si>
  <si>
    <t>ENRIQUE NICOLAS</t>
  </si>
  <si>
    <t>21/12/60</t>
  </si>
  <si>
    <t>154477889</t>
  </si>
  <si>
    <t>ing. electricista</t>
  </si>
  <si>
    <t>nnieva@herrera.unt.edu.ar</t>
  </si>
  <si>
    <t>4364111</t>
  </si>
  <si>
    <t>7570</t>
  </si>
  <si>
    <t>GUSMAN</t>
  </si>
  <si>
    <t>FRANCISCO ALFREDO</t>
  </si>
  <si>
    <t>20/02/64</t>
  </si>
  <si>
    <t>3813023862</t>
  </si>
  <si>
    <t>dpto de matematica</t>
  </si>
  <si>
    <t>agusman@herrera.unt.edu.ar</t>
  </si>
  <si>
    <t>LAQUIHUANACO FERRO</t>
  </si>
  <si>
    <t>GISELA SOLEDAD</t>
  </si>
  <si>
    <t>05/12/85</t>
  </si>
  <si>
    <t>156068136</t>
  </si>
  <si>
    <t>PROF. EN INFLES</t>
  </si>
  <si>
    <t>gferro@gmail.com</t>
  </si>
  <si>
    <t>COZZITORTI</t>
  </si>
  <si>
    <t>MARIA EMILIA LUCRECIA</t>
  </si>
  <si>
    <t>3813528583</t>
  </si>
  <si>
    <t>ingeniera quimica</t>
  </si>
  <si>
    <t>emilicozzi85@gmail.com</t>
  </si>
  <si>
    <t>JORGE OMAR</t>
  </si>
  <si>
    <t>3813339078</t>
  </si>
  <si>
    <t>jperez@herrera.unt.edu</t>
  </si>
  <si>
    <t>4364090</t>
  </si>
  <si>
    <t>PALACIOS</t>
  </si>
  <si>
    <t>3814145597</t>
  </si>
  <si>
    <t>ingeniero civil</t>
  </si>
  <si>
    <t>gestion de calidad</t>
  </si>
  <si>
    <t>calidadfacet@herrera.unt.edu.ar</t>
  </si>
  <si>
    <t>ABACCA</t>
  </si>
  <si>
    <t>PATRICIA AMALIA</t>
  </si>
  <si>
    <t>Lic. en Artes Plásticas</t>
  </si>
  <si>
    <t>ALBARRACIN ORFALI</t>
  </si>
  <si>
    <t>ALBERTO</t>
  </si>
  <si>
    <t>155672772</t>
  </si>
  <si>
    <t>bioquimica, dra. en cs. biologicas</t>
  </si>
  <si>
    <t>mralberto@fbqf.unt.edu.ar</t>
  </si>
  <si>
    <t>4856367</t>
  </si>
  <si>
    <t>CAMPENY</t>
  </si>
  <si>
    <t>JOSÉ MARIA</t>
  </si>
  <si>
    <t>155142577</t>
  </si>
  <si>
    <t>TEC. SUP. EN COMERCIO EXTERIOR</t>
  </si>
  <si>
    <t>Bienes del Estado</t>
  </si>
  <si>
    <t>josema14c@hotmail.com</t>
  </si>
  <si>
    <t>4239364</t>
  </si>
  <si>
    <t>HUGO ROBERTO</t>
  </si>
  <si>
    <t>156361724</t>
  </si>
  <si>
    <t>hugormedrano14@gmail.com</t>
  </si>
  <si>
    <t>263</t>
  </si>
  <si>
    <t>MUÑOZ ARRIETA</t>
  </si>
  <si>
    <t>MARÍA DE LOS ÁNGELES</t>
  </si>
  <si>
    <t>4/03/1967</t>
  </si>
  <si>
    <t>156637491</t>
  </si>
  <si>
    <t xml:space="preserve">Técnico en Administración de RRHH </t>
  </si>
  <si>
    <t xml:space="preserve">Delegación Administrativa Horco Molle </t>
  </si>
  <si>
    <t>mariange000@hotmail.com</t>
  </si>
  <si>
    <t>MERCEDES DEL TRANSITO</t>
  </si>
  <si>
    <t>154164461</t>
  </si>
  <si>
    <t>JEFA DE DPTO. PRESTAMO</t>
  </si>
  <si>
    <t>biblioteca@csnat.unt.edu.ar</t>
  </si>
  <si>
    <t>SIROMBRA</t>
  </si>
  <si>
    <t>MARTIN GONZALO</t>
  </si>
  <si>
    <t>sirombra@gmail.com</t>
  </si>
  <si>
    <t>LOPEZ BEMSCH</t>
  </si>
  <si>
    <t>LUCIANA MARIA</t>
  </si>
  <si>
    <t>29/04/1986</t>
  </si>
  <si>
    <t>153531240</t>
  </si>
  <si>
    <t>biblioteca-prestamo</t>
  </si>
  <si>
    <t xml:space="preserve">lucianalopezbemsch@gmail.com </t>
  </si>
  <si>
    <t>4239456</t>
  </si>
  <si>
    <t>LOURDES LUCIANA</t>
  </si>
  <si>
    <t>155444900</t>
  </si>
  <si>
    <t>luchocobar93@gmail.com</t>
  </si>
  <si>
    <t>4250936</t>
  </si>
  <si>
    <t>DAVALOS</t>
  </si>
  <si>
    <t>MYRIAM NATALIA</t>
  </si>
  <si>
    <t>07/12/83</t>
  </si>
  <si>
    <t>155240041</t>
  </si>
  <si>
    <t>lic. en cs. biologicas</t>
  </si>
  <si>
    <t>reserva experimental Horco Molle</t>
  </si>
  <si>
    <t>natidavalos83@hotmail.com</t>
  </si>
  <si>
    <t xml:space="preserve">OLMOS </t>
  </si>
  <si>
    <t>ADRIANA VALERIA</t>
  </si>
  <si>
    <t>18/01/81</t>
  </si>
  <si>
    <t>3814491819</t>
  </si>
  <si>
    <t>Arqueologa</t>
  </si>
  <si>
    <t>Inst. de Arqueologia y museo</t>
  </si>
  <si>
    <t>adriana.valeria.olmos@gmail.com</t>
  </si>
  <si>
    <t>AQUINO</t>
  </si>
  <si>
    <t>Lic. en Cs. Naturales</t>
  </si>
  <si>
    <t>catedra ecologia gral.</t>
  </si>
  <si>
    <t>aquinoal@hotmail.com</t>
  </si>
  <si>
    <t>MARÍA FERNANDA</t>
  </si>
  <si>
    <t>23/07/75</t>
  </si>
  <si>
    <t>POSGRADO</t>
  </si>
  <si>
    <t>4244337</t>
  </si>
  <si>
    <t>LOBO</t>
  </si>
  <si>
    <t>JUAN DIEGO</t>
  </si>
  <si>
    <t>3814175993</t>
  </si>
  <si>
    <t>Expedición y despacho</t>
  </si>
  <si>
    <t>juandiegolobo75@hotmail.com</t>
  </si>
  <si>
    <t>D.G.A.</t>
  </si>
  <si>
    <t>juanalmaraz753@hotmail.com</t>
  </si>
  <si>
    <t>ncarrizo2016@gmail.com</t>
  </si>
  <si>
    <t>LUCAS</t>
  </si>
  <si>
    <t>18/06/1992</t>
  </si>
  <si>
    <t>155638522</t>
  </si>
  <si>
    <t>RENDICIONES DE CUENTAS</t>
  </si>
  <si>
    <t>lfigueroa@outlook.es</t>
  </si>
  <si>
    <t>7124</t>
  </si>
  <si>
    <t>CARLOS ANDRES</t>
  </si>
  <si>
    <t>carlos.aguero@hotmail.com</t>
  </si>
  <si>
    <t>ALAVILA</t>
  </si>
  <si>
    <t>jefa dpto. consejo directivo</t>
  </si>
  <si>
    <t>mariaalavila@hotmail.com</t>
  </si>
  <si>
    <t>JULIO GUSTAVO</t>
  </si>
  <si>
    <t>ALVAREZ GOMEZ OMIL</t>
  </si>
  <si>
    <t>ESTEBAN LUCAS</t>
  </si>
  <si>
    <t>JEFE INFORME Y GESTION</t>
  </si>
  <si>
    <t>ANDREA AGUSTINA</t>
  </si>
  <si>
    <t>andre_araoz@live.com.ar</t>
  </si>
  <si>
    <t>GABRIELA</t>
  </si>
  <si>
    <t>154479663</t>
  </si>
  <si>
    <t>gaby_si@hotmail.com</t>
  </si>
  <si>
    <t>LUIS MARTIN</t>
  </si>
  <si>
    <t>ARGIRO</t>
  </si>
  <si>
    <t>DANTE MAURICIO</t>
  </si>
  <si>
    <t>mauricioargiroucr@gmail.com</t>
  </si>
  <si>
    <t>ARISMENDI</t>
  </si>
  <si>
    <t>156233265</t>
  </si>
  <si>
    <t>Intérprete dramático</t>
  </si>
  <si>
    <t>fearismendi@hotmail.com</t>
  </si>
  <si>
    <t>4300153</t>
  </si>
  <si>
    <t>215</t>
  </si>
  <si>
    <t>ARNEDO</t>
  </si>
  <si>
    <t>arnedocarlosdaniel@gmail.com</t>
  </si>
  <si>
    <t>BATALLAN</t>
  </si>
  <si>
    <t>LUIS ABDON</t>
  </si>
  <si>
    <t xml:space="preserve">secretaria privada </t>
  </si>
  <si>
    <t>luiselcampeon2011@hotmail.com</t>
  </si>
  <si>
    <t>BAZÁN</t>
  </si>
  <si>
    <t>luis_alfr@hotmail.com</t>
  </si>
  <si>
    <t>secretaria privada del decano</t>
  </si>
  <si>
    <t>BELLAVILLA</t>
  </si>
  <si>
    <t>director mesa de entradas</t>
  </si>
  <si>
    <t>bellavillamiguel@hotmail.com</t>
  </si>
  <si>
    <t>BERARDI</t>
  </si>
  <si>
    <t>ALEJANDRA JOSEFINA</t>
  </si>
  <si>
    <t>aleberardi@hotmail.com</t>
  </si>
  <si>
    <t>CARDOZO IBAÑEZ</t>
  </si>
  <si>
    <t>SOFIA MAGDALENA</t>
  </si>
  <si>
    <t>bibliotecario</t>
  </si>
  <si>
    <t>mercedesjuarez@hotmail.com.es</t>
  </si>
  <si>
    <t>SUSANA ELENA</t>
  </si>
  <si>
    <t>sucordisco@hotmail.com</t>
  </si>
  <si>
    <t>CHIMALE</t>
  </si>
  <si>
    <t>MARIA VANESSA</t>
  </si>
  <si>
    <t>vaanechimale@hotmail.com</t>
  </si>
  <si>
    <t>DEL CAMPO</t>
  </si>
  <si>
    <t>anamarialeona@hotmail.com</t>
  </si>
  <si>
    <t>secretaria consejo directivo</t>
  </si>
  <si>
    <t>marilidelcastillo@yahoo.com.ar</t>
  </si>
  <si>
    <t>DI CARO</t>
  </si>
  <si>
    <t>156903677</t>
  </si>
  <si>
    <t>maritadicaro@hotmail.com</t>
  </si>
  <si>
    <t>4220950</t>
  </si>
  <si>
    <t>DIEZ OJEDA</t>
  </si>
  <si>
    <t xml:space="preserve">JULIETA </t>
  </si>
  <si>
    <t>julietadiezojeda@derecho.unt.edu.ar</t>
  </si>
  <si>
    <t>DIMARZO</t>
  </si>
  <si>
    <t>FERNANDEZ HAUSTEIN</t>
  </si>
  <si>
    <t>ANA CECILIA</t>
  </si>
  <si>
    <t>haustein70@hotmail.com</t>
  </si>
  <si>
    <t>CLAUDIA ANALIA</t>
  </si>
  <si>
    <t>claudiagomezlt@gmail.com</t>
  </si>
  <si>
    <t>GUSTAVO ROBERTO</t>
  </si>
  <si>
    <t>JEFE DE DIVISION</t>
  </si>
  <si>
    <t>GOMEZ ORONA</t>
  </si>
  <si>
    <t>SERGIO ALBERTO</t>
  </si>
  <si>
    <t>AUXILIAR TECNICO</t>
  </si>
  <si>
    <t>levelmusic2015@gmail.com</t>
  </si>
  <si>
    <t>LUIS ADOLFO</t>
  </si>
  <si>
    <t xml:space="preserve">JIMENEZ </t>
  </si>
  <si>
    <t>ADMINISTASTIVA</t>
  </si>
  <si>
    <t>AMELIA MARCELINA</t>
  </si>
  <si>
    <t>amemarcejuarez@gmail.com</t>
  </si>
  <si>
    <t>NELIDA MERCEDES</t>
  </si>
  <si>
    <t>secretaria de instituto</t>
  </si>
  <si>
    <t>JUNGMARKER</t>
  </si>
  <si>
    <t>carlosraco@hotmail.com</t>
  </si>
  <si>
    <t>CARLOS GUSTAVO</t>
  </si>
  <si>
    <t>DELEGADA ADMINISTRATIVA</t>
  </si>
  <si>
    <t>LAFUENTE</t>
  </si>
  <si>
    <t>MARÍA FLORENCIA</t>
  </si>
  <si>
    <t>fflorlaf@hotmail.com</t>
  </si>
  <si>
    <t>LAISE</t>
  </si>
  <si>
    <t>IRENE BEATRIZ</t>
  </si>
  <si>
    <t>155780347</t>
  </si>
  <si>
    <t>Derecho y Cs. Sociales</t>
  </si>
  <si>
    <t>Dirección General Administrativa (Despacho)</t>
  </si>
  <si>
    <t>irenelaise@gmail.com</t>
  </si>
  <si>
    <t>4215122</t>
  </si>
  <si>
    <t>216</t>
  </si>
  <si>
    <t>natuuchyy@gmail.com</t>
  </si>
  <si>
    <t>4300153 / 4220951 / 4220934</t>
  </si>
  <si>
    <t>LEIVA</t>
  </si>
  <si>
    <t>PATRICIA LUCRECIA</t>
  </si>
  <si>
    <t>25/09/1965</t>
  </si>
  <si>
    <t>154284208</t>
  </si>
  <si>
    <t>DIRECCION ACADEMICA (DIRECTORA)</t>
  </si>
  <si>
    <t>leivapatricia61@gmail.com</t>
  </si>
  <si>
    <t>4219975</t>
  </si>
  <si>
    <t>PATRICIA EDITH</t>
  </si>
  <si>
    <t>DPTO DE TALLERES JURIDICOS</t>
  </si>
  <si>
    <t>tatitalopez@hotmail.com</t>
  </si>
  <si>
    <t>LOPEZ MARQUEZ</t>
  </si>
  <si>
    <t>juanmlopezmarquez@gmail.com</t>
  </si>
  <si>
    <t>vhmjana@hotmail.com</t>
  </si>
  <si>
    <t>MENTZ</t>
  </si>
  <si>
    <t>anamariamentz@hotmail.com</t>
  </si>
  <si>
    <t>pablomartinmercado@yahoo.com.ar</t>
  </si>
  <si>
    <t>MOMO</t>
  </si>
  <si>
    <t>ALEJANDRO RICARDO</t>
  </si>
  <si>
    <t>MORENO GUTIERREZ</t>
  </si>
  <si>
    <t xml:space="preserve">MERCEDES </t>
  </si>
  <si>
    <t>mermoreno_4@hotmail.com</t>
  </si>
  <si>
    <t xml:space="preserve">MOTHE </t>
  </si>
  <si>
    <t>MIGUEL ESTEBAN</t>
  </si>
  <si>
    <t>mickymothe@hotmail.com</t>
  </si>
  <si>
    <t>NAVAS</t>
  </si>
  <si>
    <t>hugonavas@yahoo.com</t>
  </si>
  <si>
    <t>PAOLA VANESA</t>
  </si>
  <si>
    <t>secretaria privada de funcionario</t>
  </si>
  <si>
    <t>pvn_19@hotmail.com</t>
  </si>
  <si>
    <t>NUÑES CAMPERO</t>
  </si>
  <si>
    <t>MONICA HELENA</t>
  </si>
  <si>
    <t>jefe de division</t>
  </si>
  <si>
    <t>moni_helen55@hotmail.com</t>
  </si>
  <si>
    <t>PARRADO</t>
  </si>
  <si>
    <t>DIEGO GERMAN</t>
  </si>
  <si>
    <t>contratado</t>
  </si>
  <si>
    <t>dgp_decano@hotmail.com.ar</t>
  </si>
  <si>
    <t>jefe dpto.</t>
  </si>
  <si>
    <t>PEÑA COLOMBRES</t>
  </si>
  <si>
    <t>chunchip@hotmail.com</t>
  </si>
  <si>
    <t>MARIANO RAMON</t>
  </si>
  <si>
    <t>secretario intituto</t>
  </si>
  <si>
    <t>estudiomp2000@yahoo.com.ar</t>
  </si>
  <si>
    <t>PEDRO CESAR</t>
  </si>
  <si>
    <t>pachi_tuc@hotmail.com</t>
  </si>
  <si>
    <t>PONCE</t>
  </si>
  <si>
    <t>CESAR EDUARDO</t>
  </si>
  <si>
    <t>carozottola@yahoo.com.ar</t>
  </si>
  <si>
    <t>RODRIGUEZ LEAL</t>
  </si>
  <si>
    <t>GEORGINA</t>
  </si>
  <si>
    <t>georginarodriguezleal@hotmail.com</t>
  </si>
  <si>
    <t>25/05/1987</t>
  </si>
  <si>
    <t>155294828</t>
  </si>
  <si>
    <t>secretaria de posgrado</t>
  </si>
  <si>
    <t>gabrielarodriguezleal@hotmail.com</t>
  </si>
  <si>
    <t>ROLDAN</t>
  </si>
  <si>
    <t>HECTOR DANIEL</t>
  </si>
  <si>
    <t>dir. De imprenta/ en biblioteca interino</t>
  </si>
  <si>
    <t>hectoryerjeroldan@hotmail.com</t>
  </si>
  <si>
    <t>hectoryeyeroldan@hotmail.com</t>
  </si>
  <si>
    <t>GLORIA NOEMI DEL VALLE</t>
  </si>
  <si>
    <t>ROMANO NORRI</t>
  </si>
  <si>
    <t>RODOLFO JOSE</t>
  </si>
  <si>
    <t>rolorn@gmail.com</t>
  </si>
  <si>
    <t>PEDRO EUGENIO</t>
  </si>
  <si>
    <t>administratvivo</t>
  </si>
  <si>
    <t>alumnos@derecho.unt.edu.ar</t>
  </si>
  <si>
    <t>SAL AREA</t>
  </si>
  <si>
    <t>MARÍA BEATRIZ</t>
  </si>
  <si>
    <t>JEFA DPTO. CONTABILIDAD Y PRESUPUESTO</t>
  </si>
  <si>
    <t>mariabeatrizsalarea@hotmail.com</t>
  </si>
  <si>
    <t>SANCHEZ GIMENEZ</t>
  </si>
  <si>
    <t>MARCELA ELOISA</t>
  </si>
  <si>
    <t>marcela6121@gmail.com</t>
  </si>
  <si>
    <t>NORMA ALICIA</t>
  </si>
  <si>
    <t>estudiososa@gmail.com</t>
  </si>
  <si>
    <t>SOTO</t>
  </si>
  <si>
    <t>BLANCA GRACIELA</t>
  </si>
  <si>
    <t>156523777</t>
  </si>
  <si>
    <t>PROCURADOR</t>
  </si>
  <si>
    <t>nikymery238@gmail.com</t>
  </si>
  <si>
    <t>SOTOMAYOR</t>
  </si>
  <si>
    <t>LUIS ALFREDO</t>
  </si>
  <si>
    <t>ADM. EN DPTO. CONTABILIDAD Y PRESUPUESTO</t>
  </si>
  <si>
    <t>155288533</t>
  </si>
  <si>
    <t>ABOGADO</t>
  </si>
  <si>
    <t>gryalfaro@yahoo.com.ar</t>
  </si>
  <si>
    <t>MARIA INES DEL VALLE</t>
  </si>
  <si>
    <t>JEFA DPTO. EXAMENES, CURSOS REGULARES Y DE PROMOCION</t>
  </si>
  <si>
    <t>mmariainestorres@gmail.com</t>
  </si>
  <si>
    <t>4300153/ 4220951/ 4220934</t>
  </si>
  <si>
    <t>URUEÑA</t>
  </si>
  <si>
    <t>ROMINA</t>
  </si>
  <si>
    <t>cyn.romina@hotmail.com</t>
  </si>
  <si>
    <t>DANIEL ARTURO</t>
  </si>
  <si>
    <t>ENCARGADO DE PRENSA Y COMUNICACIÓN</t>
  </si>
  <si>
    <t>informes@derecho.unt.edu.ar</t>
  </si>
  <si>
    <t>4212400 ; 4215122</t>
  </si>
  <si>
    <t>ZAPPELLA</t>
  </si>
  <si>
    <t>GLORIA MABEL</t>
  </si>
  <si>
    <t>mabelzappella14@hotmail.com</t>
  </si>
  <si>
    <t>ZULLI DE ROBLES VIAÑA</t>
  </si>
  <si>
    <t>silvinazulli@hotmail.com</t>
  </si>
  <si>
    <t>MORIS</t>
  </si>
  <si>
    <t>LARISA GABRIELA</t>
  </si>
  <si>
    <t>29/11/1974</t>
  </si>
  <si>
    <t>155141058</t>
  </si>
  <si>
    <t>SUBSECRETARIA ACADEMICA</t>
  </si>
  <si>
    <t>dra.larisa.moris@gmail.com</t>
  </si>
  <si>
    <t>4212400</t>
  </si>
  <si>
    <t>211</t>
  </si>
  <si>
    <t>RANIERI</t>
  </si>
  <si>
    <t>MARIA PAULA</t>
  </si>
  <si>
    <t>25/04/1981</t>
  </si>
  <si>
    <t>4254629</t>
  </si>
  <si>
    <t>ABOGADA Y PROCURADORA</t>
  </si>
  <si>
    <t>CONTABLE</t>
  </si>
  <si>
    <t>paularanieri@hotmail.com</t>
  </si>
  <si>
    <t>3815762672</t>
  </si>
  <si>
    <t>abogado</t>
  </si>
  <si>
    <t>jmcardozo1992@gmail.com</t>
  </si>
  <si>
    <t>RIVAS</t>
  </si>
  <si>
    <t>MARTIN HUMBERTO</t>
  </si>
  <si>
    <t>martinhumbertorivas@gmail.com</t>
  </si>
  <si>
    <t>3815887713</t>
  </si>
  <si>
    <t>abogada</t>
  </si>
  <si>
    <t>3815175678</t>
  </si>
  <si>
    <t>marcelalobo@derecho.unt.edu.ar</t>
  </si>
  <si>
    <t>Dir. Centro De Capacitacion</t>
  </si>
  <si>
    <t>negufolk@hotmail.com</t>
  </si>
  <si>
    <t>SORIA DOMINGUEZ</t>
  </si>
  <si>
    <t>AIME LUCIANA</t>
  </si>
  <si>
    <t>aimeeli.182@hotmail.com</t>
  </si>
  <si>
    <t>PRADOS BACARREZZA</t>
  </si>
  <si>
    <t>MANUEL CARMELO</t>
  </si>
  <si>
    <t>Dir. Ceremonial Y Protocolo</t>
  </si>
  <si>
    <t>DIRECTOR CERMONIAL</t>
  </si>
  <si>
    <t>mmlpradosb@gmail.com</t>
  </si>
  <si>
    <t>ARMANDO DANTE</t>
  </si>
  <si>
    <t>154049809</t>
  </si>
  <si>
    <t>Dir. Gral. Automotores</t>
  </si>
  <si>
    <t>trafico</t>
  </si>
  <si>
    <t>automotoresunt@hotmail.com</t>
  </si>
  <si>
    <t>DOGE</t>
  </si>
  <si>
    <t>DANIEL EDUARDO</t>
  </si>
  <si>
    <t>CARLOS GABRIEL LEANDRO</t>
  </si>
  <si>
    <t xml:space="preserve">SAMANIEGO </t>
  </si>
  <si>
    <t>DANIEL</t>
  </si>
  <si>
    <t>ALBERTI</t>
  </si>
  <si>
    <t>NICOLAS DANIEL</t>
  </si>
  <si>
    <t>Dir. Graduados</t>
  </si>
  <si>
    <t>nicodalberti1@gmail.com</t>
  </si>
  <si>
    <t>GOMEZ URRUTIA</t>
  </si>
  <si>
    <t>JOSE MARIA</t>
  </si>
  <si>
    <t>DIRECTOR</t>
  </si>
  <si>
    <t>jmgomezurrutia@gmail.com</t>
  </si>
  <si>
    <t>LOPEZ PEÑALVA</t>
  </si>
  <si>
    <t>PEDRO ALEJANDRO</t>
  </si>
  <si>
    <t>154423138</t>
  </si>
  <si>
    <t>COORDINADOR - RESPONDABLE DEL OBSERVATORIO</t>
  </si>
  <si>
    <t>alepsicolo@hotmail.com</t>
  </si>
  <si>
    <t>6919/6920</t>
  </si>
  <si>
    <t>MA. CECILIA</t>
  </si>
  <si>
    <t>Dir. Gral- Compras Y Contrataciones</t>
  </si>
  <si>
    <t>cecilia535@hotmail.com</t>
  </si>
  <si>
    <t>D'ATTELLIS</t>
  </si>
  <si>
    <t>06/04/1980</t>
  </si>
  <si>
    <t>154573475</t>
  </si>
  <si>
    <t>florencia_6804@hotmail.com</t>
  </si>
  <si>
    <t>4107260</t>
  </si>
  <si>
    <t>6881</t>
  </si>
  <si>
    <t>SILVIA CRISTINA</t>
  </si>
  <si>
    <t>DIRECTORA GRAL.</t>
  </si>
  <si>
    <t>sicrigufe@yahoo.com.ar</t>
  </si>
  <si>
    <t>OTROS MEDIOS. A TRAVEZ DEL DIRECTOR GRAL DE ADM.</t>
  </si>
  <si>
    <t>LUCIANA S.</t>
  </si>
  <si>
    <t>lussianasg@gmail.com</t>
  </si>
  <si>
    <t>6930/7128</t>
  </si>
  <si>
    <t>TULA</t>
  </si>
  <si>
    <t>GLADYS MARCELA</t>
  </si>
  <si>
    <t>mtula@rectorado.unt.edu.ar</t>
  </si>
  <si>
    <t>ARIEL FERNANDO</t>
  </si>
  <si>
    <t>Dir. Gral. Becas</t>
  </si>
  <si>
    <t>ERIMBAUE</t>
  </si>
  <si>
    <t>ADRIAN GUSTAVO</t>
  </si>
  <si>
    <t>adriangnoguera1@gmail.com</t>
  </si>
  <si>
    <t>marcelagsanchez@hotmail.com</t>
  </si>
  <si>
    <t>ABREGU</t>
  </si>
  <si>
    <t>MARTIN DARÍO</t>
  </si>
  <si>
    <t>Dir. Gral. Despacho</t>
  </si>
  <si>
    <t>martin17_2@msn.com</t>
  </si>
  <si>
    <t>CANO</t>
  </si>
  <si>
    <t>SERGIO FABIAN</t>
  </si>
  <si>
    <t>scano2171@gmail.com</t>
  </si>
  <si>
    <t>FEIXES CAMPERO</t>
  </si>
  <si>
    <t>JULIANA</t>
  </si>
  <si>
    <t>155633753</t>
  </si>
  <si>
    <t>julianafc93@hotmail.com</t>
  </si>
  <si>
    <t>4107276</t>
  </si>
  <si>
    <t>7276</t>
  </si>
  <si>
    <t>HARO</t>
  </si>
  <si>
    <t>MARÍA NOELIA</t>
  </si>
  <si>
    <t>10/02/1982</t>
  </si>
  <si>
    <t>154139805</t>
  </si>
  <si>
    <t>despacho</t>
  </si>
  <si>
    <t>noe_mercurio@hotmail.com</t>
  </si>
  <si>
    <t>SALINAS</t>
  </si>
  <si>
    <t>BERTA MABEL</t>
  </si>
  <si>
    <t>mabelsalinas55@hotmail.com</t>
  </si>
  <si>
    <t>VELIZ DE ARIAS</t>
  </si>
  <si>
    <t>ROSALIA DEL VALLE</t>
  </si>
  <si>
    <t xml:space="preserve">DELGADO </t>
  </si>
  <si>
    <t>CAROLINA DEL VALLE</t>
  </si>
  <si>
    <t>Dir. Gral. Proteccion Universitaria</t>
  </si>
  <si>
    <t>dcarolinadelvalle@yahoo.com</t>
  </si>
  <si>
    <t>GAUNA</t>
  </si>
  <si>
    <t>JEFE. DPTO. ADMINISTRATIVO</t>
  </si>
  <si>
    <t>jfgdelsolar@hotmail.com</t>
  </si>
  <si>
    <t>LLANOS</t>
  </si>
  <si>
    <t>JEFE DPTO</t>
  </si>
  <si>
    <t>LUCRECIA SUSANA</t>
  </si>
  <si>
    <t>susy1022_1@hotmail.com</t>
  </si>
  <si>
    <t>JUAN PABLO</t>
  </si>
  <si>
    <t>Dir. Gral. Asuntos Juridicos</t>
  </si>
  <si>
    <t>juanpablopez@gmail.com</t>
  </si>
  <si>
    <t>PROFESIONAL</t>
  </si>
  <si>
    <t>velizca@hotmail.com</t>
  </si>
  <si>
    <t>FAGIOLI</t>
  </si>
  <si>
    <t>JULIO ALFREDO</t>
  </si>
  <si>
    <t>alfredocosio66@gmail.com</t>
  </si>
  <si>
    <t>JOSE ERNESTO</t>
  </si>
  <si>
    <t>automotores-unt@hotmail.com</t>
  </si>
  <si>
    <t>ROBERTO AGUSTIN</t>
  </si>
  <si>
    <t>Dir. Gral. Construcciones</t>
  </si>
  <si>
    <t>saenzmariana14@gmail.com</t>
  </si>
  <si>
    <t>TEJERO</t>
  </si>
  <si>
    <t>ROBERTO JAVIER</t>
  </si>
  <si>
    <t>155507606</t>
  </si>
  <si>
    <t>JEFE DPTO. ARQUITECTURA</t>
  </si>
  <si>
    <t>rjtejero@live.com.ar</t>
  </si>
  <si>
    <t>4364144</t>
  </si>
  <si>
    <t>MARTIN OSVALDO</t>
  </si>
  <si>
    <t>SAN ROMAN</t>
  </si>
  <si>
    <t>BRANQUIÑO</t>
  </si>
  <si>
    <t>CLAUDIA PATRICIA</t>
  </si>
  <si>
    <t>29/03/1979</t>
  </si>
  <si>
    <t>155012093</t>
  </si>
  <si>
    <t>Dir. Gral. De Construcciones</t>
  </si>
  <si>
    <t>control de asistencia</t>
  </si>
  <si>
    <t>amaliagranelli@gmail.com</t>
  </si>
  <si>
    <t>dnllbrnz@gmail.com</t>
  </si>
  <si>
    <t>7873</t>
  </si>
  <si>
    <t>RAMON ANTONIO</t>
  </si>
  <si>
    <t>ofical plomero</t>
  </si>
  <si>
    <t>FERREYRA</t>
  </si>
  <si>
    <t>TERESA</t>
  </si>
  <si>
    <t>PROYECTOS</t>
  </si>
  <si>
    <t>mario_cecchin@hotmail.com</t>
  </si>
  <si>
    <t>GARROCHO</t>
  </si>
  <si>
    <t>VICENTE EZEQUIEL</t>
  </si>
  <si>
    <t>LIQUIDACION DE SUELDOS</t>
  </si>
  <si>
    <t>ezequiel-construcciones@hotmail.com</t>
  </si>
  <si>
    <t>asesor legal</t>
  </si>
  <si>
    <t>jclmarquez56@gmail.com</t>
  </si>
  <si>
    <t>PALAVECINO</t>
  </si>
  <si>
    <t>GABRIELA ALEJANDRA</t>
  </si>
  <si>
    <t>ADMINISTRATIVO CONTABLE</t>
  </si>
  <si>
    <t>gabrielapalavecino@outlook.com</t>
  </si>
  <si>
    <t>PEDRAZA</t>
  </si>
  <si>
    <t>HUGO MAXIMILIANO</t>
  </si>
  <si>
    <t>maxipedraza@hotmail.com</t>
  </si>
  <si>
    <t>HECTOR MIGUEL</t>
  </si>
  <si>
    <t>lustrador</t>
  </si>
  <si>
    <t>SEBASTIAN NICOLAS</t>
  </si>
  <si>
    <t>oficial</t>
  </si>
  <si>
    <t>sebaniro@gmail.com</t>
  </si>
  <si>
    <t>ROMULO</t>
  </si>
  <si>
    <t>HECTOR ALEJANDRO</t>
  </si>
  <si>
    <t>albañil</t>
  </si>
  <si>
    <t>DARIO</t>
  </si>
  <si>
    <t>dariosalas@hotmail.es</t>
  </si>
  <si>
    <t>436 4144</t>
  </si>
  <si>
    <t>VENTURINO</t>
  </si>
  <si>
    <t>mariaventurino68@hotmail.com</t>
  </si>
  <si>
    <t>JORGE ESTEBAN</t>
  </si>
  <si>
    <t>Dir. Gral. Informatica</t>
  </si>
  <si>
    <t>DIRECTOR DE SISTEMAS</t>
  </si>
  <si>
    <t>jesbarros@gmail.com</t>
  </si>
  <si>
    <t>LUIS MARIO</t>
  </si>
  <si>
    <t>lmmartin1209@hotmail.com</t>
  </si>
  <si>
    <t>MENCHINI</t>
  </si>
  <si>
    <t>LUIS ROBERTO</t>
  </si>
  <si>
    <t>Dir. Gral. Intendencias</t>
  </si>
  <si>
    <t>rmenchini@hotmail.com</t>
  </si>
  <si>
    <t>OLIMA</t>
  </si>
  <si>
    <t>EDUARDO</t>
  </si>
  <si>
    <t>RAMON ISIDRO</t>
  </si>
  <si>
    <t>ENCARGADO DE ANEXO 1</t>
  </si>
  <si>
    <t>ritoledo61@gmail.com</t>
  </si>
  <si>
    <t>LUCIA</t>
  </si>
  <si>
    <t>Dir. Gral. Personal</t>
  </si>
  <si>
    <t xml:space="preserve">JEFE </t>
  </si>
  <si>
    <t>personal_unt@dirinfo.unt.edu.ar</t>
  </si>
  <si>
    <t>MENENDEZ</t>
  </si>
  <si>
    <t>RODRIGO SEBASTIAN</t>
  </si>
  <si>
    <t>FRANCISCO MARTIN</t>
  </si>
  <si>
    <t>BECARIO</t>
  </si>
  <si>
    <t>franpaolantonio@gmail.com</t>
  </si>
  <si>
    <t>belen_titis@hotmail.com</t>
  </si>
  <si>
    <t>SERRATO</t>
  </si>
  <si>
    <t>ALCIRA DEL VALLE</t>
  </si>
  <si>
    <t>Dir. Gral. Presupuesto</t>
  </si>
  <si>
    <t>alciraserrato@gmail.com</t>
  </si>
  <si>
    <t>CASTILLO</t>
  </si>
  <si>
    <t>DANIEL RUBEN</t>
  </si>
  <si>
    <t>JEFE DE DEPARTAMENTO</t>
  </si>
  <si>
    <t>danrucastillo@yahoo.com.ar</t>
  </si>
  <si>
    <t>PAYERES</t>
  </si>
  <si>
    <t>ESTEFANIA JUDITH</t>
  </si>
  <si>
    <t>Dir. Gral. Títulos</t>
  </si>
  <si>
    <t>daiana567@hotmail.com</t>
  </si>
  <si>
    <t>ALEXIS GIMENEZ</t>
  </si>
  <si>
    <t>MARIA EMILIA</t>
  </si>
  <si>
    <t>Dir. Gral. Universitaria De Salud</t>
  </si>
  <si>
    <t>emy_1815@hotmail.com</t>
  </si>
  <si>
    <t>CORONEL</t>
  </si>
  <si>
    <t>ALEJANDRA NOEMI</t>
  </si>
  <si>
    <t>alenoemicoronel@gmail.com</t>
  </si>
  <si>
    <t>CUNIO</t>
  </si>
  <si>
    <t>SANDRA BEATRIZ</t>
  </si>
  <si>
    <t>Sandra_cunio@hotmail.com</t>
  </si>
  <si>
    <t>GRECO</t>
  </si>
  <si>
    <t>CLAUDIO VICENTE</t>
  </si>
  <si>
    <t>claudiovgreco@hotmail.com</t>
  </si>
  <si>
    <t>ITURBE RETEGUI</t>
  </si>
  <si>
    <t>nd.iturbe@gmail.com</t>
  </si>
  <si>
    <t>LAZARTE LOPEZ</t>
  </si>
  <si>
    <t>CHRISTIAN DAVID</t>
  </si>
  <si>
    <t>MANTENIMIENTO</t>
  </si>
  <si>
    <t>GRACIELA DEL CARMEN</t>
  </si>
  <si>
    <t>SERV. GENERALES</t>
  </si>
  <si>
    <t>gracieladelcnavarro@gmail.com</t>
  </si>
  <si>
    <t>MARIA ISABEL</t>
  </si>
  <si>
    <t>ENFERMERA</t>
  </si>
  <si>
    <t>yonyu_15@hotmail.com</t>
  </si>
  <si>
    <t>SAAB</t>
  </si>
  <si>
    <t>juancarlossaabsaleme@yahoo.com.ar</t>
  </si>
  <si>
    <t>OSCAR ALFREDO</t>
  </si>
  <si>
    <t>TERAN</t>
  </si>
  <si>
    <t>ENRIQUE</t>
  </si>
  <si>
    <t>rikyteran@gmail.com</t>
  </si>
  <si>
    <t>RUBEN OSVALDO</t>
  </si>
  <si>
    <t>4274386</t>
  </si>
  <si>
    <t>4107223</t>
  </si>
  <si>
    <t>RUTH DEL VALLE</t>
  </si>
  <si>
    <t>Dir. Haberes</t>
  </si>
  <si>
    <t>OPERATIVO AREA CONTABLE</t>
  </si>
  <si>
    <t>ruthmorenodurango@gmail.com</t>
  </si>
  <si>
    <t>ITURBE RETERGUI</t>
  </si>
  <si>
    <t>11/10/1980</t>
  </si>
  <si>
    <t>155113249</t>
  </si>
  <si>
    <t>TEC. SUP. EN HIGIENE Y SEGURIDAD</t>
  </si>
  <si>
    <t>Dir. Higiene y Seguridad</t>
  </si>
  <si>
    <t>4107252</t>
  </si>
  <si>
    <t>7252</t>
  </si>
  <si>
    <t>MARISA LILIANA</t>
  </si>
  <si>
    <t>lic.marisajuarez@gmail.com</t>
  </si>
  <si>
    <t>27/08/1969</t>
  </si>
  <si>
    <t>155711389</t>
  </si>
  <si>
    <t>LIC. EN HIGIENE Y SEGURIDAD</t>
  </si>
  <si>
    <t>HIGIENE Y SEGURIDAD EN EL TRABAJO</t>
  </si>
  <si>
    <t>RODOLFO DANIEL</t>
  </si>
  <si>
    <t>06/05/1975</t>
  </si>
  <si>
    <t>154196417</t>
  </si>
  <si>
    <t>rdanielmedina@gmail.com</t>
  </si>
  <si>
    <t>Dir. Medios Y Com. Institucional</t>
  </si>
  <si>
    <t>jadenof@gmail.com</t>
  </si>
  <si>
    <t>GUERRA</t>
  </si>
  <si>
    <t>MARTA VIVIANA</t>
  </si>
  <si>
    <t>mviviguerra@gmail.com</t>
  </si>
  <si>
    <t>mvivianaguerra@gmail.com</t>
  </si>
  <si>
    <t>BIAZZO</t>
  </si>
  <si>
    <t>MARIA VALERIA</t>
  </si>
  <si>
    <t>154771386</t>
  </si>
  <si>
    <t>Dirección General</t>
  </si>
  <si>
    <t>Dirección Gral. de Ceremonial  y Protocolo</t>
  </si>
  <si>
    <t>valeriabiazzo@gmail.com</t>
  </si>
  <si>
    <t>4107280</t>
  </si>
  <si>
    <t>GORDILLO</t>
  </si>
  <si>
    <t>3815146501</t>
  </si>
  <si>
    <t>Dirección Gral. de Ceremonial y Protocolo</t>
  </si>
  <si>
    <t>elenagordilo2010@gmail.com</t>
  </si>
  <si>
    <t>ANDRADA</t>
  </si>
  <si>
    <t>MARIA DEL CARMEN</t>
  </si>
  <si>
    <t>153566568</t>
  </si>
  <si>
    <t>Educacion Física</t>
  </si>
  <si>
    <t>AUX. DE PRIMERA CATEGORIA</t>
  </si>
  <si>
    <t>andradamaria205@gmail.com</t>
  </si>
  <si>
    <t>MARTA ELVIRA</t>
  </si>
  <si>
    <t>jlapacho@hotmail.com</t>
  </si>
  <si>
    <t>JOHANA MARCELA</t>
  </si>
  <si>
    <t>156223990</t>
  </si>
  <si>
    <t>SEC. ADMINISTRATIVA SECCION ALUMNOS</t>
  </si>
  <si>
    <t>johanabarrionuevo24@gmail.com</t>
  </si>
  <si>
    <t>4847371</t>
  </si>
  <si>
    <t>BENAVENTE</t>
  </si>
  <si>
    <t>ELIDA</t>
  </si>
  <si>
    <t>DIRECCION ALUMNOS</t>
  </si>
  <si>
    <t>BORKOSKY</t>
  </si>
  <si>
    <t>mbork@arnet.com.ar</t>
  </si>
  <si>
    <t>CATA</t>
  </si>
  <si>
    <t>RODOLFO ANTONIO</t>
  </si>
  <si>
    <t>17/12/1981</t>
  </si>
  <si>
    <t>154754886</t>
  </si>
  <si>
    <t>PROF. DE EDUCACION FISICA</t>
  </si>
  <si>
    <t>rodoacata@hotmail.com</t>
  </si>
  <si>
    <t>CHAYA</t>
  </si>
  <si>
    <t>JAVIERA ROSA</t>
  </si>
  <si>
    <t>155058002</t>
  </si>
  <si>
    <t>prof. educacion fisica</t>
  </si>
  <si>
    <t>javierachaya@hotmail.com</t>
  </si>
  <si>
    <t>CONDORI</t>
  </si>
  <si>
    <t>3816464123</t>
  </si>
  <si>
    <t>anagcondori@hotmail.com</t>
  </si>
  <si>
    <t>4847344</t>
  </si>
  <si>
    <t>CONTRERAS</t>
  </si>
  <si>
    <t>JOSE ROBERTO</t>
  </si>
  <si>
    <t>josecontreras5@hotmail.com</t>
  </si>
  <si>
    <t>JOSE GUSTAVO</t>
  </si>
  <si>
    <t>ORDENANSA</t>
  </si>
  <si>
    <t>FEREZ</t>
  </si>
  <si>
    <t>156608506</t>
  </si>
  <si>
    <t>profesor de ed. fisica</t>
  </si>
  <si>
    <t>seminarista</t>
  </si>
  <si>
    <t>augustoferez@hotmail.com</t>
  </si>
  <si>
    <t>GARZON</t>
  </si>
  <si>
    <t>JULIA ESTER DEL VALLE</t>
  </si>
  <si>
    <t>155437207</t>
  </si>
  <si>
    <t>juliarom03@hotmail.com</t>
  </si>
  <si>
    <t>4847378</t>
  </si>
  <si>
    <t>7378</t>
  </si>
  <si>
    <t xml:space="preserve">GJUGUM </t>
  </si>
  <si>
    <t>MARIA SONIA</t>
  </si>
  <si>
    <t>soniagjugum@hotmail.com</t>
  </si>
  <si>
    <t>MYRIAM DEL VALLE</t>
  </si>
  <si>
    <t>154184646</t>
  </si>
  <si>
    <t>JEFA DPTO. DESPACHO ACADEMICO</t>
  </si>
  <si>
    <t>mylan2006@hotmail.com</t>
  </si>
  <si>
    <t>RUBEN ANDRES</t>
  </si>
  <si>
    <t>156396323</t>
  </si>
  <si>
    <t>Dirección Económica Financiara</t>
  </si>
  <si>
    <t>ruben.herrera@facdef.unt.edu.ar</t>
  </si>
  <si>
    <t>HIDALGO</t>
  </si>
  <si>
    <t xml:space="preserve">PROFESORA ADJUNTA </t>
  </si>
  <si>
    <t>mfh_facdef@hotmail.com</t>
  </si>
  <si>
    <t>OLGA GRACIELA</t>
  </si>
  <si>
    <t>156904910</t>
  </si>
  <si>
    <t>olgavi_43@hotmail.com</t>
  </si>
  <si>
    <t>4107372</t>
  </si>
  <si>
    <t>HUMSJO</t>
  </si>
  <si>
    <t>snake_dm@hotmail.com</t>
  </si>
  <si>
    <t>LAZCANO DE VARELA</t>
  </si>
  <si>
    <t>MABEL</t>
  </si>
  <si>
    <t>mabel.lazcano@gmail.com</t>
  </si>
  <si>
    <t>LESCANO DE BRANDAN</t>
  </si>
  <si>
    <t>156108422</t>
  </si>
  <si>
    <t>martitalescano@hotmail.com</t>
  </si>
  <si>
    <t>jujolo84@gmail.com</t>
  </si>
  <si>
    <t>155604983</t>
  </si>
  <si>
    <t>Dirección Economíca Financiera</t>
  </si>
  <si>
    <t>caro_medinar@hotmail.com</t>
  </si>
  <si>
    <t>4841318</t>
  </si>
  <si>
    <t xml:space="preserve">MARIA NÉLIDA </t>
  </si>
  <si>
    <t>DOCENTE AUX GRADUADA (CATEDRA METODOLOGIA DE LA INVESTIGACIÒN EN CS. EDUCAC)</t>
  </si>
  <si>
    <t>marianelida@yahoo.com.ar</t>
  </si>
  <si>
    <t>MONTILLA</t>
  </si>
  <si>
    <t>AGUSTINA MARIA ELENA</t>
  </si>
  <si>
    <t>3816336600</t>
  </si>
  <si>
    <t>TEC. SUP. EN NUTRICION</t>
  </si>
  <si>
    <t>agusmontilla@hotmail.com</t>
  </si>
  <si>
    <t>4107375</t>
  </si>
  <si>
    <t>lu_morales@hotmail.com</t>
  </si>
  <si>
    <t>MURGA</t>
  </si>
  <si>
    <t>MATILDE</t>
  </si>
  <si>
    <t>matildemurga@hotmail.com</t>
  </si>
  <si>
    <t>NADOLNY</t>
  </si>
  <si>
    <t>NORMA LIDIA</t>
  </si>
  <si>
    <t>153009666</t>
  </si>
  <si>
    <t>lic. en gestion univ.</t>
  </si>
  <si>
    <t>nadolnynorma@yahoo.com.ar</t>
  </si>
  <si>
    <t>4847372</t>
  </si>
  <si>
    <t>FRANCO RAUL</t>
  </si>
  <si>
    <t>ORQUEDA</t>
  </si>
  <si>
    <t>11/04/1961</t>
  </si>
  <si>
    <t>153303067</t>
  </si>
  <si>
    <t>direccion economica</t>
  </si>
  <si>
    <t>carlosfacdef@hotmail.com</t>
  </si>
  <si>
    <t>carlosfacet@hotmail.com</t>
  </si>
  <si>
    <t>ORTEGA</t>
  </si>
  <si>
    <t>MANUEL ALFREDO</t>
  </si>
  <si>
    <t>fredyortega@gmail.com</t>
  </si>
  <si>
    <t>NORMA LILIANA</t>
  </si>
  <si>
    <t>3813655327</t>
  </si>
  <si>
    <t>direccion biblioteca</t>
  </si>
  <si>
    <t>4</t>
  </si>
  <si>
    <t>nlilianapaez71@gmail.com</t>
  </si>
  <si>
    <t>PLOHN</t>
  </si>
  <si>
    <t>mabri_78@hotmail.com</t>
  </si>
  <si>
    <t>RAFLO</t>
  </si>
  <si>
    <t>FLAVIA BELEN</t>
  </si>
  <si>
    <t>SUCHAN</t>
  </si>
  <si>
    <t>DIRECTORA DE CONCURSOS</t>
  </si>
  <si>
    <t>silvitas18@yahoo.com.ar</t>
  </si>
  <si>
    <t>4303727</t>
  </si>
  <si>
    <t>silvitas2000@gmail.com</t>
  </si>
  <si>
    <t xml:space="preserve">ANALIA  </t>
  </si>
  <si>
    <t>analiavtula@gamil.com</t>
  </si>
  <si>
    <t>WHEELER</t>
  </si>
  <si>
    <t>ANDREW</t>
  </si>
  <si>
    <t>profesor asosiado</t>
  </si>
  <si>
    <t>andywheeler@hotmail.com</t>
  </si>
  <si>
    <t>GANI</t>
  </si>
  <si>
    <t>RAMON HUGO</t>
  </si>
  <si>
    <t>155050831</t>
  </si>
  <si>
    <t>PROF. EDUCACION FISICA</t>
  </si>
  <si>
    <t>hugogani@gmail.com</t>
  </si>
  <si>
    <t>CASTILLO ALAVILA</t>
  </si>
  <si>
    <t>JORGE IGNACIO</t>
  </si>
  <si>
    <t>3816687676</t>
  </si>
  <si>
    <t>jorgecastillo143@hotmail.com</t>
  </si>
  <si>
    <t>ARQUEZ</t>
  </si>
  <si>
    <t>4297363</t>
  </si>
  <si>
    <t>fatimaarquez@hotmail.com</t>
  </si>
  <si>
    <t>BASUALDO</t>
  </si>
  <si>
    <t>LEANDRO</t>
  </si>
  <si>
    <t>3813659569</t>
  </si>
  <si>
    <t>leandroelcopa_15@hotmail.com</t>
  </si>
  <si>
    <t>SOTELO</t>
  </si>
  <si>
    <t>DANIELA FERNANDA</t>
  </si>
  <si>
    <t>3815041178</t>
  </si>
  <si>
    <t>danysotelo@gmail.com</t>
  </si>
  <si>
    <t>MARIA CELESTE</t>
  </si>
  <si>
    <t>3813977574</t>
  </si>
  <si>
    <t>PERSONAL</t>
  </si>
  <si>
    <t>celereynoso1@gmail.com</t>
  </si>
  <si>
    <t>DAVID ALEJANDRO</t>
  </si>
  <si>
    <t>3814096919</t>
  </si>
  <si>
    <t>alejandroarquez89gmail.com</t>
  </si>
  <si>
    <t>3815177693</t>
  </si>
  <si>
    <t>Decanato</t>
  </si>
  <si>
    <t>manejimenezgb@hotmail.com</t>
  </si>
  <si>
    <t xml:space="preserve">HERRERA </t>
  </si>
  <si>
    <t>RUBEN A.</t>
  </si>
  <si>
    <t>3816396323</t>
  </si>
  <si>
    <t>COMPRAS</t>
  </si>
  <si>
    <t>rubenah1019@gmail.com</t>
  </si>
  <si>
    <t>4107378</t>
  </si>
  <si>
    <t>OCTAVIO ERNESTO</t>
  </si>
  <si>
    <t>3813479797</t>
  </si>
  <si>
    <t>octapaz2692@gmail.com</t>
  </si>
  <si>
    <t>FABIO DANIEL</t>
  </si>
  <si>
    <t>3815211013</t>
  </si>
  <si>
    <t>fabiodanielgonzalez2@gmail.com</t>
  </si>
  <si>
    <t>DEMETRI</t>
  </si>
  <si>
    <t>CARLOS A.</t>
  </si>
  <si>
    <t>3815188688</t>
  </si>
  <si>
    <t>CHALABE</t>
  </si>
  <si>
    <t>HERNAN PABLO</t>
  </si>
  <si>
    <t>3816578879</t>
  </si>
  <si>
    <t>cochochalabe@gmail.com</t>
  </si>
  <si>
    <t>MALDONADO</t>
  </si>
  <si>
    <t>ANGELICA DEL CARMEN</t>
  </si>
  <si>
    <t>3816357602</t>
  </si>
  <si>
    <t>MARIO MAXIMILIANO</t>
  </si>
  <si>
    <t>3814624715</t>
  </si>
  <si>
    <t>RICARDO DANIEL</t>
  </si>
  <si>
    <t>3813515863</t>
  </si>
  <si>
    <t>danieltel2016@outlook.com</t>
  </si>
  <si>
    <t>SERGIO DARIO</t>
  </si>
  <si>
    <t>155887129</t>
  </si>
  <si>
    <t>PABLO DAVID</t>
  </si>
  <si>
    <t>155291712</t>
  </si>
  <si>
    <t>santo86_41@hotmail.com</t>
  </si>
  <si>
    <t>MORENO CASTRO</t>
  </si>
  <si>
    <t>LUIS ALEJANDRO</t>
  </si>
  <si>
    <t>3816905073</t>
  </si>
  <si>
    <t xml:space="preserve"> VERONICA</t>
  </si>
  <si>
    <t>3815211543</t>
  </si>
  <si>
    <t>personal</t>
  </si>
  <si>
    <t>vicastillo270@gmail.com</t>
  </si>
  <si>
    <t>3813037439</t>
  </si>
  <si>
    <t>CASTILLO ALAVILLA</t>
  </si>
  <si>
    <t>tecnico superior en programacion</t>
  </si>
  <si>
    <t>sec. de posgrado</t>
  </si>
  <si>
    <t>joseignaciocastillo@gmail.com</t>
  </si>
  <si>
    <t>BEMSCH</t>
  </si>
  <si>
    <t>Epam</t>
  </si>
  <si>
    <t>anabemsch@hotmail.com</t>
  </si>
  <si>
    <t>BORQUEZ</t>
  </si>
  <si>
    <t>ROLANDO EDMUNDO</t>
  </si>
  <si>
    <t>DIREC. ADMINISTRATIVO</t>
  </si>
  <si>
    <t>edborquez@hotmail.com </t>
  </si>
  <si>
    <t>FENIK</t>
  </si>
  <si>
    <t>feniksilvina@gmail.com </t>
  </si>
  <si>
    <t>SUBDIRECCION</t>
  </si>
  <si>
    <t>lgsanna@hotmail.com</t>
  </si>
  <si>
    <t>garciamarianab@outlook.com</t>
  </si>
  <si>
    <t>4556119 / 4518662</t>
  </si>
  <si>
    <t>PROPUESTA DE LA DIRECCIÓN</t>
  </si>
  <si>
    <t>NEREA ROXANA DEL VALLE</t>
  </si>
  <si>
    <t>neritojuarez535@gmail.com</t>
  </si>
  <si>
    <t>OSCARIZ</t>
  </si>
  <si>
    <t>FRANCO EMANUEL</t>
  </si>
  <si>
    <t>GUARDIA</t>
  </si>
  <si>
    <t>frammcooscariz@outloof.com</t>
  </si>
  <si>
    <t>DANIEL REGINALDO</t>
  </si>
  <si>
    <t>danieleloso_75@hotmail.com</t>
  </si>
  <si>
    <t>veromi2002@hotmail.com</t>
  </si>
  <si>
    <t>REYES</t>
  </si>
  <si>
    <t>155519450/4611418</t>
  </si>
  <si>
    <t>hmarceloreyes@gmail.com</t>
  </si>
  <si>
    <t>VIVIANA</t>
  </si>
  <si>
    <t>roblesnviviana@gmail.com </t>
  </si>
  <si>
    <t>SILVIO MATIAS</t>
  </si>
  <si>
    <t>maturodriguez31@gmail.com</t>
  </si>
  <si>
    <t>PABLO SEBASTIAN</t>
  </si>
  <si>
    <t>pablosebsaavedra@hotmail.com</t>
  </si>
  <si>
    <t>CLAUDIA VALERIA</t>
  </si>
  <si>
    <t>valemv23@gmail.com</t>
  </si>
  <si>
    <t>SANTILLAN ARGAÑARAZ</t>
  </si>
  <si>
    <t>ADM. ACADEMICO/ECONOMICO</t>
  </si>
  <si>
    <t>andriu_sc@hotmail.com </t>
  </si>
  <si>
    <t>CLAUDIA ESTELA</t>
  </si>
  <si>
    <t>claudiavazquez1911@gmail.com</t>
  </si>
  <si>
    <t xml:space="preserve">IVAN  </t>
  </si>
  <si>
    <t>Esc. Agricultura y Sacarotecnia</t>
  </si>
  <si>
    <t>Jefe Departamento Extensión</t>
  </si>
  <si>
    <t>mavi_alarcon@hotmail.com</t>
  </si>
  <si>
    <t>ARAGON DE CHEBAIA</t>
  </si>
  <si>
    <t>MARIA JOSEFINA</t>
  </si>
  <si>
    <t>aragondechebaia@yahoo.com.ar</t>
  </si>
  <si>
    <t>BARBIERI</t>
  </si>
  <si>
    <t>JOSÉ JUSTO</t>
  </si>
  <si>
    <t>RESPONSABLE DPTO. CONCURSOS INTERINATOS Y SUPLENCIAS</t>
  </si>
  <si>
    <t>josebarbieri78@gmail.com</t>
  </si>
  <si>
    <t>CACERES</t>
  </si>
  <si>
    <t>eas@eas.unt.edu.ar</t>
  </si>
  <si>
    <t>CALAZZA</t>
  </si>
  <si>
    <t>LUIS GABRIEL</t>
  </si>
  <si>
    <t>Encargado de Taller</t>
  </si>
  <si>
    <t>luisgcalazza@hotmail.com</t>
  </si>
  <si>
    <t>CAMPERO</t>
  </si>
  <si>
    <t>micampero@hotmail.com</t>
  </si>
  <si>
    <t>CANDIDO FRANCISCO</t>
  </si>
  <si>
    <t>Encargado de Personal de Campo</t>
  </si>
  <si>
    <t>ANGEL MARIO</t>
  </si>
  <si>
    <t>NATALIA DE LOS ANGELES</t>
  </si>
  <si>
    <t>natyanizo0@hotmail.com</t>
  </si>
  <si>
    <t>CAPUANO</t>
  </si>
  <si>
    <t>memicapuano@hotmail.com</t>
  </si>
  <si>
    <t>Auxiliar Departamento Titulo</t>
  </si>
  <si>
    <t>Encargado de Vivero</t>
  </si>
  <si>
    <t>CHIAPPINO</t>
  </si>
  <si>
    <t>PRECEPTOR</t>
  </si>
  <si>
    <t>nadiachiappino@hotmail.com</t>
  </si>
  <si>
    <t>CONTI BLANCO</t>
  </si>
  <si>
    <t>MICAELA ROMINA</t>
  </si>
  <si>
    <t>mikaconti@hotmail.com</t>
  </si>
  <si>
    <t>ENRIQUE MARCELO</t>
  </si>
  <si>
    <t>Personal de Servicios Generales</t>
  </si>
  <si>
    <t>COSTAS</t>
  </si>
  <si>
    <t>PEDRO</t>
  </si>
  <si>
    <t>costaspedro@yahoo.com.ar</t>
  </si>
  <si>
    <t>CUÑO</t>
  </si>
  <si>
    <t>ADRIAN GASTON</t>
  </si>
  <si>
    <t>coordinador de area docente</t>
  </si>
  <si>
    <t>adrian516@arnet.com.ar</t>
  </si>
  <si>
    <t>CUOZZO</t>
  </si>
  <si>
    <t>CLAUDIO DANIEL</t>
  </si>
  <si>
    <t>Auxiliar de Biblioteca</t>
  </si>
  <si>
    <t>cdcuozzo@hotmail.com</t>
  </si>
  <si>
    <t>PEDRO ANTONIO</t>
  </si>
  <si>
    <t>DÍAZ</t>
  </si>
  <si>
    <t>COORDINADORA DIDACTICO- PRODUCTIVA</t>
  </si>
  <si>
    <t>ingeadiaz@gmail.com</t>
  </si>
  <si>
    <t>ESPER</t>
  </si>
  <si>
    <t>JUAN SEBASTIAN</t>
  </si>
  <si>
    <t>COORDINADOR DOCENTE</t>
  </si>
  <si>
    <t>sebastianesper@yahoo.com.ar</t>
  </si>
  <si>
    <t>GALVEZ</t>
  </si>
  <si>
    <t>MIRTA CLARISA</t>
  </si>
  <si>
    <t>JEFE DPTO. MESA DE ENTRADAS</t>
  </si>
  <si>
    <t>Clarisagalves@hotmail.com</t>
  </si>
  <si>
    <t>LEONARDO JAVIER</t>
  </si>
  <si>
    <t>JEFA</t>
  </si>
  <si>
    <t>clarisagalves@hotmail.com</t>
  </si>
  <si>
    <t>4254424 / 4253436</t>
  </si>
  <si>
    <t>lourdesgomezurrutia@gmail.com</t>
  </si>
  <si>
    <t>GRANEROS</t>
  </si>
  <si>
    <t xml:space="preserve">CECILIA GABRIELA </t>
  </si>
  <si>
    <t>PSICOLOGA</t>
  </si>
  <si>
    <t>cecigraneros@gmail.com</t>
  </si>
  <si>
    <t>KLYVER</t>
  </si>
  <si>
    <t>GLORIA</t>
  </si>
  <si>
    <t>VICEDIRECCION</t>
  </si>
  <si>
    <t>gloriaklyver@yahoo.com.ar</t>
  </si>
  <si>
    <t>LOBO PAZ</t>
  </si>
  <si>
    <t>ESCIPION</t>
  </si>
  <si>
    <t>Médico</t>
  </si>
  <si>
    <t>lobopaz@hotmail.com</t>
  </si>
  <si>
    <t>4352500 (casa)</t>
  </si>
  <si>
    <t>Jefa del area Biblioteca</t>
  </si>
  <si>
    <t>57/41/38</t>
  </si>
  <si>
    <t>MIRA</t>
  </si>
  <si>
    <t>MANUEL RAUL</t>
  </si>
  <si>
    <t>maestro de enseñanza practica</t>
  </si>
  <si>
    <t>LUIS DOMINGO</t>
  </si>
  <si>
    <t>Chofer y servicios Generales</t>
  </si>
  <si>
    <t>profesor lengua y literatura</t>
  </si>
  <si>
    <t xml:space="preserve">NUÑEZ </t>
  </si>
  <si>
    <t>SEBASTIAN DARIO</t>
  </si>
  <si>
    <t>AUX. DE BIBLIOTECA</t>
  </si>
  <si>
    <t>sebadekano@hotmail.com</t>
  </si>
  <si>
    <t>MANUEL JAVIER</t>
  </si>
  <si>
    <t>SILVANA KARINA</t>
  </si>
  <si>
    <t>silvanakarinaolea@gmail.com</t>
  </si>
  <si>
    <t xml:space="preserve">SARA  </t>
  </si>
  <si>
    <t>PAGÑONI</t>
  </si>
  <si>
    <t>Jefe Departamento Alumnos</t>
  </si>
  <si>
    <t>marilueuge_69@hotmail.com</t>
  </si>
  <si>
    <t>PALOMARES</t>
  </si>
  <si>
    <t>EMILSE ELIZABETH</t>
  </si>
  <si>
    <t>emilse61@hotmail.com</t>
  </si>
  <si>
    <t>PARAJON FERULLO</t>
  </si>
  <si>
    <t>ENCARGADA</t>
  </si>
  <si>
    <t>magabypara@hotmail.com</t>
  </si>
  <si>
    <t>PAZ DOMINGUEZ</t>
  </si>
  <si>
    <t>marisapgdominguez@hotmail.com</t>
  </si>
  <si>
    <t>JUAN PEDRO</t>
  </si>
  <si>
    <t>docente de matematicas</t>
  </si>
  <si>
    <t>patricia_saracco@hotmail.com</t>
  </si>
  <si>
    <t>Emprendimientos Productivos</t>
  </si>
  <si>
    <t>julioargentin10@hotmail.com</t>
  </si>
  <si>
    <t>TORREJON</t>
  </si>
  <si>
    <t>SILDA LELIA</t>
  </si>
  <si>
    <t>sildatorrejon@gmail.com</t>
  </si>
  <si>
    <t>LAVERGNE APUD</t>
  </si>
  <si>
    <t>EZEQUIEL AUGUSTO</t>
  </si>
  <si>
    <t>155792228</t>
  </si>
  <si>
    <t>CICLO DE ORIENTACION</t>
  </si>
  <si>
    <t>4253467</t>
  </si>
  <si>
    <t>ALBANO TOLEDO</t>
  </si>
  <si>
    <t>ALEJANDRA INES</t>
  </si>
  <si>
    <t>08/06/1968</t>
  </si>
  <si>
    <t>154015280</t>
  </si>
  <si>
    <t>LIC. EN ARTES PLASTICAS</t>
  </si>
  <si>
    <t>Esc. Bellas Artes</t>
  </si>
  <si>
    <t>regente nivel superior terciario</t>
  </si>
  <si>
    <t>alealbanotoledo@gmail.com</t>
  </si>
  <si>
    <t>DONZELLI</t>
  </si>
  <si>
    <t>MAXIMILIANO</t>
  </si>
  <si>
    <t>CONTRATADO</t>
  </si>
  <si>
    <t>maxidonzelli2@gmail.com</t>
  </si>
  <si>
    <t>PAOLA ALEJANDRA</t>
  </si>
  <si>
    <t>paolegui_24@hotmail.com</t>
  </si>
  <si>
    <t>MEDINA AVELLANEDA</t>
  </si>
  <si>
    <t>IVANA</t>
  </si>
  <si>
    <t>ivana_685@hotmail.com</t>
  </si>
  <si>
    <t>LIVIO EXEQUIEL JOSE</t>
  </si>
  <si>
    <t xml:space="preserve">NUÑEZ   </t>
  </si>
  <si>
    <t>MARIA VICTORIA</t>
  </si>
  <si>
    <t>preceptor</t>
  </si>
  <si>
    <t>mariavictorianunez@hotmail.com</t>
  </si>
  <si>
    <t>PAGANINI</t>
  </si>
  <si>
    <t>DIANA OFELIA</t>
  </si>
  <si>
    <t>bibliotecaria</t>
  </si>
  <si>
    <t>NOELIA ELEONORA</t>
  </si>
  <si>
    <t>ENCARGADA DE CONCURSOS</t>
  </si>
  <si>
    <t>noe_reyes85@hotmail.com</t>
  </si>
  <si>
    <t>robljo@hotmail.com</t>
  </si>
  <si>
    <t>SALDAÑO</t>
  </si>
  <si>
    <t>LUCIA GRACIELA</t>
  </si>
  <si>
    <t>PRECEPTORA</t>
  </si>
  <si>
    <t>luciasaldano@hotmail.com</t>
  </si>
  <si>
    <t>SANTILLI</t>
  </si>
  <si>
    <t>mariana_santilli@hotmail.com</t>
  </si>
  <si>
    <t>ANALIA DEL VALLE</t>
  </si>
  <si>
    <t>MARÍA CLAUDIA</t>
  </si>
  <si>
    <t>156363491</t>
  </si>
  <si>
    <t>PROF. EN CS. DE LA COMUNICACION</t>
  </si>
  <si>
    <t>Equipo de Orientación Escolar</t>
  </si>
  <si>
    <t>rodriguezmariaclaudia14@gmail.com</t>
  </si>
  <si>
    <t>LUZ MARIANELLA</t>
  </si>
  <si>
    <t>3815980174</t>
  </si>
  <si>
    <t>luzmarianellamena@gmail.com</t>
  </si>
  <si>
    <t>4302967</t>
  </si>
  <si>
    <t>EU. Cine Video y Television</t>
  </si>
  <si>
    <t>AREA ACADEMICA</t>
  </si>
  <si>
    <t>jopecaceres@hotmail.com</t>
  </si>
  <si>
    <t>CANSECO</t>
  </si>
  <si>
    <t>MANUEL RICARDO</t>
  </si>
  <si>
    <t>comunicaciones@cine.unt.edu.ar</t>
  </si>
  <si>
    <t>ARTURO</t>
  </si>
  <si>
    <t>arturocarrasco78@yahoo.com.ar</t>
  </si>
  <si>
    <t>CECCHIN</t>
  </si>
  <si>
    <t>CLAUDIO ALEXIO</t>
  </si>
  <si>
    <t>ccecchin1980@gmail.com</t>
  </si>
  <si>
    <t>DI TORO</t>
  </si>
  <si>
    <t>dda@cine.unt.edu.ar</t>
  </si>
  <si>
    <t>ESCAÑO</t>
  </si>
  <si>
    <t>ENRIQUE ALBERTO</t>
  </si>
  <si>
    <t>eaescano@gmail.com</t>
  </si>
  <si>
    <t>FABIO</t>
  </si>
  <si>
    <t>CARLA ROXANA</t>
  </si>
  <si>
    <t>roxanacine@gmail.com</t>
  </si>
  <si>
    <t>FRANCO PAZ</t>
  </si>
  <si>
    <t>ENCARGADA DPTO ARCHIVO</t>
  </si>
  <si>
    <t>GARCIA DEL MORAL</t>
  </si>
  <si>
    <t>MARIANGELES</t>
  </si>
  <si>
    <t>DPTO. ALUMNOS</t>
  </si>
  <si>
    <t>angiegarciadelmoral@gmail.com</t>
  </si>
  <si>
    <t>CANDELARIA</t>
  </si>
  <si>
    <t>9/10/1992</t>
  </si>
  <si>
    <t>156549296</t>
  </si>
  <si>
    <t xml:space="preserve">Departamento económico financiero </t>
  </si>
  <si>
    <t>contable@cine.unt.edu.ar</t>
  </si>
  <si>
    <t>GUARAZ</t>
  </si>
  <si>
    <t>DIR. ADMINISTRATIVO</t>
  </si>
  <si>
    <t>peguaraz@gmail.com</t>
  </si>
  <si>
    <t>GUZZI</t>
  </si>
  <si>
    <t xml:space="preserve">JOSE </t>
  </si>
  <si>
    <t>PROFESOR ADJUNTO</t>
  </si>
  <si>
    <t>joseguzzi@hotmail.com</t>
  </si>
  <si>
    <t>HEREDIA</t>
  </si>
  <si>
    <t>ANA LUCIA</t>
  </si>
  <si>
    <t>PRESTAMOS Y PROCESOS TECNICOS</t>
  </si>
  <si>
    <t>analuciaheredia25@gmail.com</t>
  </si>
  <si>
    <t>HORTT</t>
  </si>
  <si>
    <t>MAIRA SOFIA</t>
  </si>
  <si>
    <t>despacho@cine.unt.ar</t>
  </si>
  <si>
    <t>LAVERGNE</t>
  </si>
  <si>
    <t>SECRETARIA DIRECTOR</t>
  </si>
  <si>
    <t>mlavergne@herrera.unt.edu.ar</t>
  </si>
  <si>
    <t>LENIS</t>
  </si>
  <si>
    <t>MARIA LIDIA</t>
  </si>
  <si>
    <t>marialenis@gmail.com</t>
  </si>
  <si>
    <t xml:space="preserve">LOBO </t>
  </si>
  <si>
    <t>ENCARGADA DPTO. ECONOMICO FINANCIERO Y LIQUIDADORA DE SUELDOS</t>
  </si>
  <si>
    <t>lic.lobopaz@gmail.com</t>
  </si>
  <si>
    <t>MAIDAN</t>
  </si>
  <si>
    <t>SONIA ELIZABETH</t>
  </si>
  <si>
    <t>titulos@cine.unt.edu.ar</t>
  </si>
  <si>
    <t>NILDA RAQUEL</t>
  </si>
  <si>
    <t>ramarti13@hotmail.com</t>
  </si>
  <si>
    <t>MOLINA JUAREZ</t>
  </si>
  <si>
    <t>JULIO CESAR</t>
  </si>
  <si>
    <t>jcmolina_3@hotmail.com</t>
  </si>
  <si>
    <t xml:space="preserve">MANUEL  </t>
  </si>
  <si>
    <t>PELLEGRINO</t>
  </si>
  <si>
    <t>JOSE AMADEO</t>
  </si>
  <si>
    <t>155024663</t>
  </si>
  <si>
    <t>easpellegrino@gmail.com</t>
  </si>
  <si>
    <t>4353681</t>
  </si>
  <si>
    <t>RAFUL</t>
  </si>
  <si>
    <t>JORGE MARIO</t>
  </si>
  <si>
    <t>rafulj@hotmail.com</t>
  </si>
  <si>
    <t>4353681- 102</t>
  </si>
  <si>
    <t>REYNA</t>
  </si>
  <si>
    <t>MARIO ESTEBAN</t>
  </si>
  <si>
    <t>SCARSO</t>
  </si>
  <si>
    <t>PAULA</t>
  </si>
  <si>
    <t>156412621</t>
  </si>
  <si>
    <t>PUEDES</t>
  </si>
  <si>
    <t>Pau.scarso@gmail.com</t>
  </si>
  <si>
    <t>MARIA TERESA INES</t>
  </si>
  <si>
    <t>155603291</t>
  </si>
  <si>
    <t>inesilvatj@hotmail.com</t>
  </si>
  <si>
    <t>107</t>
  </si>
  <si>
    <t>LEANDRO MAXIMILIANO</t>
  </si>
  <si>
    <t>155227108</t>
  </si>
  <si>
    <t>Bienes y compras</t>
  </si>
  <si>
    <t>lm_suarez1421@hotmail.com</t>
  </si>
  <si>
    <t>112</t>
  </si>
  <si>
    <t>TERNAVASIO</t>
  </si>
  <si>
    <t>ALDO</t>
  </si>
  <si>
    <t>VEIGA</t>
  </si>
  <si>
    <t>direccion@cine.unt.edu.ar</t>
  </si>
  <si>
    <t>VIDES</t>
  </si>
  <si>
    <t>BERNARDO</t>
  </si>
  <si>
    <t>VIRUEL</t>
  </si>
  <si>
    <t>DIEGO MARTIN</t>
  </si>
  <si>
    <t>156728253</t>
  </si>
  <si>
    <t>lic. en cine y tv</t>
  </si>
  <si>
    <t>momy_romano@yahoo.com.ar</t>
  </si>
  <si>
    <t>ARAGON</t>
  </si>
  <si>
    <t>SERGIO F.</t>
  </si>
  <si>
    <t>EU de Enfermeria</t>
  </si>
  <si>
    <t>BEJAS</t>
  </si>
  <si>
    <t>ROSSANA GRACIELA</t>
  </si>
  <si>
    <t>155221033</t>
  </si>
  <si>
    <t>rossanagbejas@gmail.com</t>
  </si>
  <si>
    <t>6922</t>
  </si>
  <si>
    <t>MARIA ZUNILDA</t>
  </si>
  <si>
    <t>zunildacarrizo@yahoo.com.ar</t>
  </si>
  <si>
    <t>CONSTANTI</t>
  </si>
  <si>
    <t>JUAN AUGUSTO</t>
  </si>
  <si>
    <t>JEFE MESA DE ENTRADAS</t>
  </si>
  <si>
    <t>4247752- 7052</t>
  </si>
  <si>
    <t>ggdecima@hotmail.com</t>
  </si>
  <si>
    <t>FATIMA NATALIA</t>
  </si>
  <si>
    <t>fatima_decima@hotmail.com</t>
  </si>
  <si>
    <t>DUPUY</t>
  </si>
  <si>
    <t>MARCELA DE LOURDES</t>
  </si>
  <si>
    <t>FORMOSO</t>
  </si>
  <si>
    <t>156814870</t>
  </si>
  <si>
    <t>ing. en sistemas de inf.</t>
  </si>
  <si>
    <t>jefa dpto. informatica</t>
  </si>
  <si>
    <t>formosoa@eue.unt.edu.ar</t>
  </si>
  <si>
    <t>6911</t>
  </si>
  <si>
    <t>LUIS BENJAMIN</t>
  </si>
  <si>
    <t>MAYORDOMO</t>
  </si>
  <si>
    <t>GÓMEZ DE MURILLO</t>
  </si>
  <si>
    <t>SECRETARIA DE CATEDRA</t>
  </si>
  <si>
    <t>LUIS RODOLFO</t>
  </si>
  <si>
    <t>PERSONAL DE LIMPIEZA</t>
  </si>
  <si>
    <t>LESCANO</t>
  </si>
  <si>
    <t>GUILLERMO EXEQUIEL</t>
  </si>
  <si>
    <t>guillodk@live.com</t>
  </si>
  <si>
    <t xml:space="preserve">LIEZUN </t>
  </si>
  <si>
    <t>ANGELINA ESTER</t>
  </si>
  <si>
    <t>LINDÓN</t>
  </si>
  <si>
    <t>PATRICIA CECILIA</t>
  </si>
  <si>
    <t>4107221- 7221</t>
  </si>
  <si>
    <t>raquellobo49@yahoo.com.ar</t>
  </si>
  <si>
    <t>MALMIERCA</t>
  </si>
  <si>
    <t>MARIA PIA</t>
  </si>
  <si>
    <t>SECRETARIA DE LA CATEDRA DE SALUD PUBLICA</t>
  </si>
  <si>
    <t>mpmalmierca@eue.unt.edu.ar</t>
  </si>
  <si>
    <t>ANGEL BENJAMIN</t>
  </si>
  <si>
    <t>CHOFER</t>
  </si>
  <si>
    <t>nicomarttin@hotmail.com</t>
  </si>
  <si>
    <t>DANIEL ALBERTO</t>
  </si>
  <si>
    <t>encargado de ingresos</t>
  </si>
  <si>
    <t>MURILLO</t>
  </si>
  <si>
    <t>axelfet6868@gmail.com</t>
  </si>
  <si>
    <t>OCÁN</t>
  </si>
  <si>
    <t>EDGARDO ANTONIO</t>
  </si>
  <si>
    <t>SECRETARIO DE DIRECCION</t>
  </si>
  <si>
    <t>antonisgo@hotmail.com</t>
  </si>
  <si>
    <t>4247752- 7051</t>
  </si>
  <si>
    <t xml:space="preserve">LAURA INES </t>
  </si>
  <si>
    <t>3814032064</t>
  </si>
  <si>
    <t>Laurainesperez00@gmail.com</t>
  </si>
  <si>
    <t>4247752- 7054</t>
  </si>
  <si>
    <t>PETRINO</t>
  </si>
  <si>
    <t>AREA TECNICA - INFORMATICA</t>
  </si>
  <si>
    <t>RIGAZZIO</t>
  </si>
  <si>
    <t>jcrigazzio.eue@hotmail.com</t>
  </si>
  <si>
    <t>SAMI</t>
  </si>
  <si>
    <t>HUGO E.</t>
  </si>
  <si>
    <t>SECRETARIO DE CATEDRA</t>
  </si>
  <si>
    <t>ROXANA</t>
  </si>
  <si>
    <t>155942761</t>
  </si>
  <si>
    <t>farmaceutico</t>
  </si>
  <si>
    <t>chine010@hotmail.com</t>
  </si>
  <si>
    <t>7052</t>
  </si>
  <si>
    <t>VALDEZ RAMOS</t>
  </si>
  <si>
    <t>MIGUEL</t>
  </si>
  <si>
    <t>VICEDIRECTOR</t>
  </si>
  <si>
    <t>mvaldezramos@gmail.com</t>
  </si>
  <si>
    <t>7241/7051</t>
  </si>
  <si>
    <t>VELAZQUEZ</t>
  </si>
  <si>
    <t>NELSON JAVIER</t>
  </si>
  <si>
    <t>ZELARAYÁN DE RIVAS</t>
  </si>
  <si>
    <t>4247752- 6908</t>
  </si>
  <si>
    <t>MYRIAM ELIZABETH</t>
  </si>
  <si>
    <t>08/08/1972</t>
  </si>
  <si>
    <t>3814699449</t>
  </si>
  <si>
    <t>CATEDRA DE PSICOLOGIA CLINICA</t>
  </si>
  <si>
    <t>myruledesma@gmail.com</t>
  </si>
  <si>
    <t>16/02/72</t>
  </si>
  <si>
    <t>153016357</t>
  </si>
  <si>
    <t>lic. en enfermeria</t>
  </si>
  <si>
    <t>laq964@gmail.com</t>
  </si>
  <si>
    <t>NORMA BEATRIZ</t>
  </si>
  <si>
    <t>31/08/62</t>
  </si>
  <si>
    <t>3814091194</t>
  </si>
  <si>
    <t>Lic. en enfermeria</t>
  </si>
  <si>
    <t>normaromero@eue.unt.edu.ar</t>
  </si>
  <si>
    <t>CEVILA</t>
  </si>
  <si>
    <t>18/11/61</t>
  </si>
  <si>
    <t>3813020757</t>
  </si>
  <si>
    <t>SEC. DE EXTENSION</t>
  </si>
  <si>
    <t>fatimarcevila2@gmail.com</t>
  </si>
  <si>
    <t>CLAUDIA DEL MILAGRO</t>
  </si>
  <si>
    <t>3814635541</t>
  </si>
  <si>
    <t>LIC. EN ENFERMERIA</t>
  </si>
  <si>
    <t>claudivazquez1915@hotmail.com</t>
  </si>
  <si>
    <t>7054</t>
  </si>
  <si>
    <t>VILLAREAL</t>
  </si>
  <si>
    <t>3815378477</t>
  </si>
  <si>
    <t>villarealsb@eue.unt.edu.ar</t>
  </si>
  <si>
    <t>INES CARMEN</t>
  </si>
  <si>
    <t>03865-15593988</t>
  </si>
  <si>
    <t>auxiliar de biblioteca</t>
  </si>
  <si>
    <t>inesgonzalez2011@hotmail.com</t>
  </si>
  <si>
    <t>ORQUERA</t>
  </si>
  <si>
    <t>OSCAR RENE</t>
  </si>
  <si>
    <t>DIRECTOR ADMINISTRATIVO</t>
  </si>
  <si>
    <t>oscar-orquera@hotmail.com</t>
  </si>
  <si>
    <t>MONICA MARCELA</t>
  </si>
  <si>
    <t>03865-15582687</t>
  </si>
  <si>
    <t>CALDERON</t>
  </si>
  <si>
    <t>ENRIQUE RICARDO</t>
  </si>
  <si>
    <t>3865584553</t>
  </si>
  <si>
    <t>jtp simple</t>
  </si>
  <si>
    <t>richcalderon@hotmail.com</t>
  </si>
  <si>
    <t>03865483257</t>
  </si>
  <si>
    <t>ADRIANA PAMELA</t>
  </si>
  <si>
    <t>386515454272</t>
  </si>
  <si>
    <t>Lic en nutricion</t>
  </si>
  <si>
    <t>lic.rodriguezadrianapamela@gmail.com</t>
  </si>
  <si>
    <t>ACOTTO</t>
  </si>
  <si>
    <t xml:space="preserve">MARIELA ADELA </t>
  </si>
  <si>
    <t>Esc. y Lic. Vocacional Sarmiento</t>
  </si>
  <si>
    <t>maestra de grado</t>
  </si>
  <si>
    <t>AGUIRRE DE ROMANO</t>
  </si>
  <si>
    <t>MANUELA</t>
  </si>
  <si>
    <t>joyita263@hotmail.com</t>
  </si>
  <si>
    <t>4211071- 01</t>
  </si>
  <si>
    <t>AUAD</t>
  </si>
  <si>
    <t>belenauad@yahoo.com.ar</t>
  </si>
  <si>
    <t>CISNEROS</t>
  </si>
  <si>
    <t>MARIO RAFAEL</t>
  </si>
  <si>
    <t>AUXILIAR ADMINISTRATIVO</t>
  </si>
  <si>
    <t>mmocisneros@hotmail.com</t>
  </si>
  <si>
    <t xml:space="preserve">CISTERNA </t>
  </si>
  <si>
    <t>13/01/</t>
  </si>
  <si>
    <t>jjcisterna@yahoo.com</t>
  </si>
  <si>
    <t>DONAMARI</t>
  </si>
  <si>
    <t>martin_matias77@hotmail.com</t>
  </si>
  <si>
    <t>FARFAN</t>
  </si>
  <si>
    <t>MARA OLGA</t>
  </si>
  <si>
    <t>FIERRO</t>
  </si>
  <si>
    <t>noelia_fierro@hotmail.com</t>
  </si>
  <si>
    <t>SILVINA PAOLA</t>
  </si>
  <si>
    <t>gunyfigueroa@hotmail.com</t>
  </si>
  <si>
    <t>LAMMOGLIA</t>
  </si>
  <si>
    <t>adrianalammoglia83@gmail.com</t>
  </si>
  <si>
    <t>ALUMNOS</t>
  </si>
  <si>
    <t>LUCIA IRENE</t>
  </si>
  <si>
    <t>lopez.luciairene@yahoo.com.ar</t>
  </si>
  <si>
    <t>MALDONES</t>
  </si>
  <si>
    <t>MARIA GISELLA</t>
  </si>
  <si>
    <t>SUSANA CECILIA</t>
  </si>
  <si>
    <t>AUX. DE GABINETE Y PRECEPTORA</t>
  </si>
  <si>
    <t>susanaalzogaray@hotmail.com</t>
  </si>
  <si>
    <t>MOLINILLO ROMERO</t>
  </si>
  <si>
    <t>XIMENA CONSTANZA</t>
  </si>
  <si>
    <t>gimemoli@hotmail.com</t>
  </si>
  <si>
    <t>MURUAGA</t>
  </si>
  <si>
    <t>CRISTINA DEL VALLE</t>
  </si>
  <si>
    <t>DEBORA ELIZABETH</t>
  </si>
  <si>
    <t>constuperez@hotmail.com</t>
  </si>
  <si>
    <t>ANGEL EDUARDO</t>
  </si>
  <si>
    <t>caroromero64@arnet.com.ar</t>
  </si>
  <si>
    <t>SORAIRE</t>
  </si>
  <si>
    <t>CARLOS PROSPERO</t>
  </si>
  <si>
    <t>ruty_130@hotmail.com</t>
  </si>
  <si>
    <t>MARIA VICTORIA DE LOS ANGELES</t>
  </si>
  <si>
    <t>victorias_1977@hotmail.com</t>
  </si>
  <si>
    <t>VERASALUCE</t>
  </si>
  <si>
    <t>WEXLER</t>
  </si>
  <si>
    <t>SILVIA LILIANA</t>
  </si>
  <si>
    <t>lilianawexler@gmail.com</t>
  </si>
  <si>
    <t>IRAZUSTA</t>
  </si>
  <si>
    <t>GUSTAVO DAMIAN</t>
  </si>
  <si>
    <t>19/04/84</t>
  </si>
  <si>
    <t>155724094</t>
  </si>
  <si>
    <t>gusirazusta@hotmail.com</t>
  </si>
  <si>
    <t>4211071</t>
  </si>
  <si>
    <t>SANCHEZ MARANGONI</t>
  </si>
  <si>
    <t>EUGENIA ELVIRA</t>
  </si>
  <si>
    <t>3816238369</t>
  </si>
  <si>
    <t>DE GRADO Y JARDIN DE INFANTES</t>
  </si>
  <si>
    <t>euges38@hotmail.com</t>
  </si>
  <si>
    <t>PERILLO</t>
  </si>
  <si>
    <t>SILVIA MARINA</t>
  </si>
  <si>
    <t>155440349</t>
  </si>
  <si>
    <t>MAESTRA NORMAL SUPERIOR Y DE JARDIN DE INFANTES</t>
  </si>
  <si>
    <t>silviaperillo@hotmail.com</t>
  </si>
  <si>
    <t>BAZAN</t>
  </si>
  <si>
    <t>ALBA INÉS</t>
  </si>
  <si>
    <t>3813033121</t>
  </si>
  <si>
    <t>preceptora</t>
  </si>
  <si>
    <t>bazanalbaines@gmail.com</t>
  </si>
  <si>
    <t>GABRIELA CRISTINA</t>
  </si>
  <si>
    <t>156341064</t>
  </si>
  <si>
    <t>Profesora de la Enseñanza Primaria</t>
  </si>
  <si>
    <t>Filosofía y Letras</t>
  </si>
  <si>
    <t>Depto Concursos</t>
  </si>
  <si>
    <t>gabriela.acosta@filo.unt.edu.ar</t>
  </si>
  <si>
    <t>4847357</t>
  </si>
  <si>
    <t>ALANIZ</t>
  </si>
  <si>
    <t>3815328756</t>
  </si>
  <si>
    <t xml:space="preserve">Biblioteca </t>
  </si>
  <si>
    <t xml:space="preserve">Claudiaalaniz365@gmail.com </t>
  </si>
  <si>
    <t>miguelangel736@hotmail.com</t>
  </si>
  <si>
    <t>JOSE RENÉ</t>
  </si>
  <si>
    <t>joserene09@hotmail.com</t>
  </si>
  <si>
    <t>APEL</t>
  </si>
  <si>
    <t>EINATH</t>
  </si>
  <si>
    <t>einath.apel@hotmail.com</t>
  </si>
  <si>
    <t>NELIDA EUGENIA</t>
  </si>
  <si>
    <t>secretariacoordinacion@filo.unt.edu.ar</t>
  </si>
  <si>
    <t>BABER</t>
  </si>
  <si>
    <t>JEFE DPTO. EXAMENES Y ACTAS</t>
  </si>
  <si>
    <t>fernibarber@hotmail.com</t>
  </si>
  <si>
    <t>BALDASARIA</t>
  </si>
  <si>
    <t>gbaldasaria@gmail.com</t>
  </si>
  <si>
    <t>BARBER</t>
  </si>
  <si>
    <t>TOMAS GERARDO</t>
  </si>
  <si>
    <t>JEFE DE SECCIÓN BIBLIOTECA</t>
  </si>
  <si>
    <t>tomasbarber52@hotmail.com</t>
  </si>
  <si>
    <t>DANIELA DEL V.</t>
  </si>
  <si>
    <t>danielabrandan@filo.unt.edu.ar</t>
  </si>
  <si>
    <t>BRAVO</t>
  </si>
  <si>
    <t>MARIA CELIA</t>
  </si>
  <si>
    <t>profesor asociado</t>
  </si>
  <si>
    <t>mceliabravo@hotmail.com</t>
  </si>
  <si>
    <t>CAMERA</t>
  </si>
  <si>
    <t>CECILIA MARIA</t>
  </si>
  <si>
    <t>kikikarmera@hotmail.com</t>
  </si>
  <si>
    <t>LUIS SEGUNDO</t>
  </si>
  <si>
    <t>155452270</t>
  </si>
  <si>
    <t>JEFE DE ECONOMATO Y BIENES</t>
  </si>
  <si>
    <t>luissncampero@hotmail.com</t>
  </si>
  <si>
    <t>4311395</t>
  </si>
  <si>
    <t>7347</t>
  </si>
  <si>
    <t>NORMA AIDA</t>
  </si>
  <si>
    <t>155070801</t>
  </si>
  <si>
    <t>PROFESOR ADJUNTA FT ICPC</t>
  </si>
  <si>
    <t>icpc_pedagogia@yahoo.com.ar  normaidacampos@yahoo.com.ar</t>
  </si>
  <si>
    <t>4107323</t>
  </si>
  <si>
    <t>7323</t>
  </si>
  <si>
    <t>CANCECO</t>
  </si>
  <si>
    <t>CESAR SILVEIRO</t>
  </si>
  <si>
    <t xml:space="preserve">cascan2000@yahoo.com.ar </t>
  </si>
  <si>
    <t>CANCECO GOANE</t>
  </si>
  <si>
    <t>12/08/1989</t>
  </si>
  <si>
    <t>3813489492</t>
  </si>
  <si>
    <t>bilblioteca</t>
  </si>
  <si>
    <t>lucascanceco6@gmail.com</t>
  </si>
  <si>
    <t xml:space="preserve">CARLES </t>
  </si>
  <si>
    <t>marianacarlesmichel@gmail.com</t>
  </si>
  <si>
    <t>CENTENO</t>
  </si>
  <si>
    <t>ROMINA NATALI</t>
  </si>
  <si>
    <t>rom_tafi@hotmail.com</t>
  </si>
  <si>
    <t>CRISTINA ELIZABETH</t>
  </si>
  <si>
    <t>155306895</t>
  </si>
  <si>
    <t>ely_c_or@hotmail.com</t>
  </si>
  <si>
    <t>4847355</t>
  </si>
  <si>
    <t>CORRES</t>
  </si>
  <si>
    <t>MARICEL VIVIANA</t>
  </si>
  <si>
    <t>iregar@volsinectis.com.ar</t>
  </si>
  <si>
    <t>155455904</t>
  </si>
  <si>
    <t>ignaciodelgado687@hotmail.com</t>
  </si>
  <si>
    <t>ignaciodelgado07@hotmail.com</t>
  </si>
  <si>
    <t>DORAO</t>
  </si>
  <si>
    <t>11/07/1961</t>
  </si>
  <si>
    <t>155045876</t>
  </si>
  <si>
    <t>jefe de seccion electricidad</t>
  </si>
  <si>
    <t>adrianadooraoo@gmail.com</t>
  </si>
  <si>
    <t>DULCE</t>
  </si>
  <si>
    <t>LASRANIS@HOTMAIL.COM</t>
  </si>
  <si>
    <t>GARNICA</t>
  </si>
  <si>
    <t>agustinagarnica84@gmail.com</t>
  </si>
  <si>
    <t>GAUS</t>
  </si>
  <si>
    <t>ZULMA BEATRIZ</t>
  </si>
  <si>
    <t>gauszulma@gmail.com</t>
  </si>
  <si>
    <t>marcosaugustogomezbalceda@gmail.com</t>
  </si>
  <si>
    <t>LUCAS GABRIEL</t>
  </si>
  <si>
    <t>DPTO. LENGUAS EXTRANJERAS PARA LA COMUNIDAD</t>
  </si>
  <si>
    <t>luckgordillo@hotmail.com</t>
  </si>
  <si>
    <t>156476886</t>
  </si>
  <si>
    <t>cpn</t>
  </si>
  <si>
    <t>haroeugenia@hotmail.com</t>
  </si>
  <si>
    <t>4847360</t>
  </si>
  <si>
    <t>VICTOR DOMINGO</t>
  </si>
  <si>
    <t>06/05/1961</t>
  </si>
  <si>
    <t>3816453814</t>
  </si>
  <si>
    <t>victordomingoibarra@hotmail.com</t>
  </si>
  <si>
    <t>4847361</t>
  </si>
  <si>
    <t>7361</t>
  </si>
  <si>
    <t>ILARDO</t>
  </si>
  <si>
    <t>SELVA</t>
  </si>
  <si>
    <t>Silardo@gmail.com</t>
  </si>
  <si>
    <t xml:space="preserve">ILUMINATO </t>
  </si>
  <si>
    <t>ARTURO JOSÉ</t>
  </si>
  <si>
    <t>ISRAILEU</t>
  </si>
  <si>
    <t>keniacerviño@hotmail.com</t>
  </si>
  <si>
    <t>ISRAILEV</t>
  </si>
  <si>
    <t>silviaisrailev@gmail.com</t>
  </si>
  <si>
    <t>JANDAR</t>
  </si>
  <si>
    <t>RAUL ROBERTO</t>
  </si>
  <si>
    <t>156443955</t>
  </si>
  <si>
    <t>rauljandar@hotmail.com</t>
  </si>
  <si>
    <t>ROMULO HUGO</t>
  </si>
  <si>
    <t>hugojuarez.62@Gmail.com</t>
  </si>
  <si>
    <t>jefe departamento circulacion</t>
  </si>
  <si>
    <t>hugojuarez.62@gmail.com</t>
  </si>
  <si>
    <t>LANCIOTTI</t>
  </si>
  <si>
    <t>OSVALDO ALFREDO</t>
  </si>
  <si>
    <t>freddylanciotti@gmail.com</t>
  </si>
  <si>
    <t>LASCANO</t>
  </si>
  <si>
    <t>03/10/1953</t>
  </si>
  <si>
    <t>PROF. DE MATEMATICA Y FISICA</t>
  </si>
  <si>
    <t>martaelascano@hotmail.com</t>
  </si>
  <si>
    <t>LEZCANO</t>
  </si>
  <si>
    <t>MARTA MARCELA</t>
  </si>
  <si>
    <t>15/03/1975</t>
  </si>
  <si>
    <t>155689867</t>
  </si>
  <si>
    <t>martinamarcela293@hotmail.com</t>
  </si>
  <si>
    <t>LEZCANO OLMOS</t>
  </si>
  <si>
    <t>MANUEL DARIO</t>
  </si>
  <si>
    <t>153530457</t>
  </si>
  <si>
    <t>ADRIANA PATRICIA</t>
  </si>
  <si>
    <t>pato.lo@live.com</t>
  </si>
  <si>
    <t>LÓPEZ DE ZEITUNE</t>
  </si>
  <si>
    <t>SECRETARIA DE GESTION INSTITUCIONAL</t>
  </si>
  <si>
    <t>palermolucia28@gmail.com</t>
  </si>
  <si>
    <t>LOPEZ SAENZ</t>
  </si>
  <si>
    <t>SARA INES</t>
  </si>
  <si>
    <t>sainlo2003@yahoo.com.ar</t>
  </si>
  <si>
    <t>ALEJANDRO ARNOLDO</t>
  </si>
  <si>
    <t>153410303</t>
  </si>
  <si>
    <t>JEFE DPTO. PERSONAL</t>
  </si>
  <si>
    <t>aa_maldonado@hotmail.com</t>
  </si>
  <si>
    <t>7460</t>
  </si>
  <si>
    <t>MANGIONE</t>
  </si>
  <si>
    <t>GRACIELA MERCEDES</t>
  </si>
  <si>
    <t>03814953733</t>
  </si>
  <si>
    <t>prof. en cs. juridicas y contables</t>
  </si>
  <si>
    <t>gracieladevillalba001@yahoo.com.ar</t>
  </si>
  <si>
    <t>4847300</t>
  </si>
  <si>
    <t>MARGARIA</t>
  </si>
  <si>
    <t>SUSANA TERESA</t>
  </si>
  <si>
    <t>susana_margaria@yahoo.com.ar</t>
  </si>
  <si>
    <t xml:space="preserve">MARTI KLYVER </t>
  </si>
  <si>
    <t>LUCRECIA INDIANA</t>
  </si>
  <si>
    <t>depto.concursos@filo.unt.edu.ar</t>
  </si>
  <si>
    <t>JORGE ALBERTO</t>
  </si>
  <si>
    <t>1/08/1984</t>
  </si>
  <si>
    <t>3813929362</t>
  </si>
  <si>
    <t>jorgelealmartinez@gmail.com</t>
  </si>
  <si>
    <t>MARTINO</t>
  </si>
  <si>
    <t>LUIS MARCELO</t>
  </si>
  <si>
    <t>luis.marcelo.martino@gmail.com</t>
  </si>
  <si>
    <t xml:space="preserve">MONTENEGRO </t>
  </si>
  <si>
    <t>AUXILIAR DOCENTE GRADUADO DE 1ª</t>
  </si>
  <si>
    <t>mariaemilia_236@hotmail.com</t>
  </si>
  <si>
    <t>paquito128@hotmail.com</t>
  </si>
  <si>
    <t>ROMINA ELIZABETH</t>
  </si>
  <si>
    <t>155420267</t>
  </si>
  <si>
    <t>remoreno@dirinfo.unt.edu.ar</t>
  </si>
  <si>
    <t>jonieva26@gmail.com</t>
  </si>
  <si>
    <t>PAULO</t>
  </si>
  <si>
    <t>MESA DE ENTRADAS Y ARCHIVOS- JEFE DE SUPERVISION</t>
  </si>
  <si>
    <t>el.negropaulo@hotmail.com</t>
  </si>
  <si>
    <t>OJEDA</t>
  </si>
  <si>
    <t>CARLOS ARIEL</t>
  </si>
  <si>
    <t>caojeda50@hotmail.com</t>
  </si>
  <si>
    <t>OLIVENCIA</t>
  </si>
  <si>
    <t xml:space="preserve">ALEJANDRO  </t>
  </si>
  <si>
    <t>jefe dpto.tecnico direc. De informatica</t>
  </si>
  <si>
    <t>alejandro.olivencia@gmail.com</t>
  </si>
  <si>
    <t>PANTOJA</t>
  </si>
  <si>
    <t>info@juliopantoja.com.ar</t>
  </si>
  <si>
    <t>SILVINA A.</t>
  </si>
  <si>
    <t>JEFE DIVISIÓN HEMEROTECAS</t>
  </si>
  <si>
    <t>ESTEFANIA MARIA</t>
  </si>
  <si>
    <t>estefi48@hotmail.com</t>
  </si>
  <si>
    <t>GASTON ALEJANDRO</t>
  </si>
  <si>
    <t>156020749</t>
  </si>
  <si>
    <t xml:space="preserve">Profesor de Educación Física </t>
  </si>
  <si>
    <t>SECRETARIO DE LAS CARRERAS DE POSGRADO</t>
  </si>
  <si>
    <t>gastonguns@hotmail.com</t>
  </si>
  <si>
    <t>4847348</t>
  </si>
  <si>
    <t>7348</t>
  </si>
  <si>
    <t>MARTA ROSA</t>
  </si>
  <si>
    <t>martiqu@hotmail.com</t>
  </si>
  <si>
    <t xml:space="preserve">RAMIREZ  </t>
  </si>
  <si>
    <t>Sub Director de Alumnos</t>
  </si>
  <si>
    <t>soleta02@hotmail.com</t>
  </si>
  <si>
    <t>7056/7276</t>
  </si>
  <si>
    <t>RIBA HERNANDEZ</t>
  </si>
  <si>
    <t>MIRIAN DEL CARMEN</t>
  </si>
  <si>
    <t>doctohumanidades@gmail.com</t>
  </si>
  <si>
    <t>MIRIAM DEL CARMEN</t>
  </si>
  <si>
    <t>SECRETARIA DEL DOCTORADO EN HUMANIDADES</t>
  </si>
  <si>
    <t>mirianriba@gmail.com</t>
  </si>
  <si>
    <t>CINTHIA ELIANA</t>
  </si>
  <si>
    <t>cinthia_filount@outlook.com</t>
  </si>
  <si>
    <t>ROMANO DE JUAREZ</t>
  </si>
  <si>
    <t>LILIANA ANGELICA</t>
  </si>
  <si>
    <t>lili.juarez.09@gmail.com</t>
  </si>
  <si>
    <t>ROSAS</t>
  </si>
  <si>
    <t>carito13_10@hotmail.com</t>
  </si>
  <si>
    <t>RUFFINO</t>
  </si>
  <si>
    <t>MONICA PATRICIA</t>
  </si>
  <si>
    <t>moniruffino@hotmail.com</t>
  </si>
  <si>
    <t>RUFFOLO</t>
  </si>
  <si>
    <t>lauruffolo@hotmail.com</t>
  </si>
  <si>
    <t>153525698</t>
  </si>
  <si>
    <t>Tecnico universitario en comunicacion</t>
  </si>
  <si>
    <t>Despacho academico</t>
  </si>
  <si>
    <t xml:space="preserve">ruffolomarialaura@gmail.com </t>
  </si>
  <si>
    <t>4847353</t>
  </si>
  <si>
    <t>RUIZ DE HUIDOBRO</t>
  </si>
  <si>
    <t>SUSANA</t>
  </si>
  <si>
    <t>su_ruizh@arnet.com.ar</t>
  </si>
  <si>
    <t>CARLOS RAFAEL</t>
  </si>
  <si>
    <t>laura15578@hotmail.com.ar</t>
  </si>
  <si>
    <t>SACCOMANI</t>
  </si>
  <si>
    <t>SEBASTIAN ENRIQUE</t>
  </si>
  <si>
    <t>pia.saenz48@gmail.com</t>
  </si>
  <si>
    <t>SALINAS GARAMENDI</t>
  </si>
  <si>
    <t>WALTER</t>
  </si>
  <si>
    <t>walter01_sg@hotmail.com</t>
  </si>
  <si>
    <t>SALVATORE</t>
  </si>
  <si>
    <t>PAOLA MARCELA</t>
  </si>
  <si>
    <t>pms_20@hotmail.com</t>
  </si>
  <si>
    <t>SCANAVINO</t>
  </si>
  <si>
    <t>LISA</t>
  </si>
  <si>
    <t>JEFA DEPARTAMENTO PRENSA</t>
  </si>
  <si>
    <t>prensa@webmail.filo.unt.edu.ar</t>
  </si>
  <si>
    <t>SEGURA</t>
  </si>
  <si>
    <t>ZULMA ALICIA</t>
  </si>
  <si>
    <t>secretaria de intituto</t>
  </si>
  <si>
    <t>cerpacu@yahoo.com.ar</t>
  </si>
  <si>
    <t>SUJEROS HERRERA</t>
  </si>
  <si>
    <t>155026136</t>
  </si>
  <si>
    <t>maritasujeros@hotmail.com</t>
  </si>
  <si>
    <t>TORASSO</t>
  </si>
  <si>
    <t xml:space="preserve">ROMINA  </t>
  </si>
  <si>
    <t>rominatorasso@gmail.com</t>
  </si>
  <si>
    <t>TORRESIN</t>
  </si>
  <si>
    <t>gtorresin@hotmail.com</t>
  </si>
  <si>
    <t>GUIDO SALVADOR</t>
  </si>
  <si>
    <t>manueldarioolmoslezcano@hotmail.com</t>
  </si>
  <si>
    <t>MARIA JUDITH</t>
  </si>
  <si>
    <t>AUX. GRADUADO CON SEMIDEDICACION</t>
  </si>
  <si>
    <t>4222146- 7426</t>
  </si>
  <si>
    <t>CARMEN BEATRIZ</t>
  </si>
  <si>
    <t>DISEÑADORA GRAFICA</t>
  </si>
  <si>
    <t>comunicaciones@psicologia.unt.edu.ar</t>
  </si>
  <si>
    <t>ZAMORANO JANUT</t>
  </si>
  <si>
    <t>MARIA CECILIA</t>
  </si>
  <si>
    <t>155435742</t>
  </si>
  <si>
    <t>LIC. EN CIENCIAS DE LA EDUCACION</t>
  </si>
  <si>
    <t>DIR. GRAL. ACADEMICA</t>
  </si>
  <si>
    <t>cecijanut@hotmail.com</t>
  </si>
  <si>
    <t>4847369</t>
  </si>
  <si>
    <t>7366</t>
  </si>
  <si>
    <t>ZORRILLA</t>
  </si>
  <si>
    <t>MARIANA LUCIA</t>
  </si>
  <si>
    <t>marlu.zor@gmail.com</t>
  </si>
  <si>
    <t>3816287455</t>
  </si>
  <si>
    <t>compras</t>
  </si>
  <si>
    <t>carlos08saavedra@hotmail.com</t>
  </si>
  <si>
    <t>MELIAN</t>
  </si>
  <si>
    <t>MARÍA AGOSTINA</t>
  </si>
  <si>
    <t>14/06/95</t>
  </si>
  <si>
    <t>3816618591</t>
  </si>
  <si>
    <t>agostinamelian95@gmail.com</t>
  </si>
  <si>
    <t>FONTDEVILA</t>
  </si>
  <si>
    <t>EVA</t>
  </si>
  <si>
    <t>18/03/79</t>
  </si>
  <si>
    <t>3813195307</t>
  </si>
  <si>
    <t>Lic. en Cs. de la Comunicación</t>
  </si>
  <si>
    <t>Comunicacion radiofonica</t>
  </si>
  <si>
    <t>evafontdevila@gmail.com</t>
  </si>
  <si>
    <t>3815900766</t>
  </si>
  <si>
    <t>intendente</t>
  </si>
  <si>
    <t>euge_12_75@hotmail.com</t>
  </si>
  <si>
    <t>ESTEBAN LUIS</t>
  </si>
  <si>
    <t>3816219973</t>
  </si>
  <si>
    <t xml:space="preserve">Intendencia </t>
  </si>
  <si>
    <t>elmurillo47@gmail.com</t>
  </si>
  <si>
    <t>4847366</t>
  </si>
  <si>
    <t>GUSTAVO ALBERTO</t>
  </si>
  <si>
    <t>Fundación Miguel Lillo</t>
  </si>
  <si>
    <t>gualaguirre@hotmail.com</t>
  </si>
  <si>
    <t>DIEGO HERNAN</t>
  </si>
  <si>
    <t>JARDINERO</t>
  </si>
  <si>
    <t>jardinbotanico@lillo.org.ar</t>
  </si>
  <si>
    <t>ALURRALDE</t>
  </si>
  <si>
    <t>SABRINA</t>
  </si>
  <si>
    <t>guia educativa en jardin botanico</t>
  </si>
  <si>
    <t>jardinbotanico.lillo@hotmail.com</t>
  </si>
  <si>
    <t>ESCALANTE</t>
  </si>
  <si>
    <t>SERVICIOS  GENERALES</t>
  </si>
  <si>
    <t>CLAUDIA ELIZABETH</t>
  </si>
  <si>
    <t>ce-fer@hotmail.com</t>
  </si>
  <si>
    <t>ASESORA</t>
  </si>
  <si>
    <t>marce-gallo@hotmail.com</t>
  </si>
  <si>
    <t>lg436688@gmail.com</t>
  </si>
  <si>
    <t>claudio.laredo@gmail.com</t>
  </si>
  <si>
    <t>LOPEZ PONDAL</t>
  </si>
  <si>
    <t>AGUSTIN</t>
  </si>
  <si>
    <t>opondal@lillo.org.ar</t>
  </si>
  <si>
    <t>MOEYKENS</t>
  </si>
  <si>
    <t>FEDERICO RAFAEL</t>
  </si>
  <si>
    <t>mariaeugeniamoya@yahoo.com.ar</t>
  </si>
  <si>
    <t>ALINA MARIA</t>
  </si>
  <si>
    <t>alinamrodri@gmail.com</t>
  </si>
  <si>
    <t>ROUGÉS</t>
  </si>
  <si>
    <t>VALENTINA</t>
  </si>
  <si>
    <t>ASESORA LEGAL</t>
  </si>
  <si>
    <t>valentinarouges@hotmail.com</t>
  </si>
  <si>
    <t>TRINEJO</t>
  </si>
  <si>
    <t>ESTELLA BEATRIZ</t>
  </si>
  <si>
    <t>agente de compras</t>
  </si>
  <si>
    <t>etrinejo@lillo.org.ar</t>
  </si>
  <si>
    <t>OLGA BEATRIZ</t>
  </si>
  <si>
    <t>Gymnasium</t>
  </si>
  <si>
    <t>bettylovey.32@gmail.com</t>
  </si>
  <si>
    <t>ALBARRACIN</t>
  </si>
  <si>
    <t>AIDA DEL VALLE</t>
  </si>
  <si>
    <t>AUXILIAR DOCENTE EN ADMINISTRACION ESCOLAR</t>
  </si>
  <si>
    <t>aidatuc@hotmail.com</t>
  </si>
  <si>
    <t>LAURIANO RAMON</t>
  </si>
  <si>
    <t>HORACIO CRUZ</t>
  </si>
  <si>
    <t>hcruzlobo@hotmail.com</t>
  </si>
  <si>
    <t>PALINA</t>
  </si>
  <si>
    <t>ROBERTO ARNALDO</t>
  </si>
  <si>
    <t>recorturr@hotmail.com</t>
  </si>
  <si>
    <t>DIRECTORA Y PROFESORA ASOCIADA</t>
  </si>
  <si>
    <t>anavictoriarobles@yahoo.com.ar</t>
  </si>
  <si>
    <t>JOSE FEDERICO</t>
  </si>
  <si>
    <t>38/13511031</t>
  </si>
  <si>
    <t>Personal</t>
  </si>
  <si>
    <t>fedegymnasium@gmail.com</t>
  </si>
  <si>
    <t>4215375</t>
  </si>
  <si>
    <t>SALAZAR</t>
  </si>
  <si>
    <t>JEFA DE MESA DE ENTRADAS</t>
  </si>
  <si>
    <t>clavivisa@hotmail.com</t>
  </si>
  <si>
    <t>4215375-12</t>
  </si>
  <si>
    <t>SMITH</t>
  </si>
  <si>
    <t>CRISTINA VERONICA</t>
  </si>
  <si>
    <t>ROQUE ORLANDO</t>
  </si>
  <si>
    <t>JEFA DEL DEPARTAMENTO PERSONAL</t>
  </si>
  <si>
    <t>SILVIA DEL CARMEN</t>
  </si>
  <si>
    <t>3814627664</t>
  </si>
  <si>
    <t>PROF. CS. JURIDICAS Y CONTABLES</t>
  </si>
  <si>
    <t>SECRETARIA ADM</t>
  </si>
  <si>
    <t>80</t>
  </si>
  <si>
    <t>dedevallejo36@gmail.com</t>
  </si>
  <si>
    <t>4220629</t>
  </si>
  <si>
    <t>Imprenta</t>
  </si>
  <si>
    <t>DIRECTOR GENERAL</t>
  </si>
  <si>
    <t>luisalfredo.esteban@gmail.com</t>
  </si>
  <si>
    <t>JUAN MARTIN</t>
  </si>
  <si>
    <t xml:space="preserve">TECNICO  </t>
  </si>
  <si>
    <t>juanf_usado@hotmail.com</t>
  </si>
  <si>
    <t>DAVID JUAN</t>
  </si>
  <si>
    <t>davidjuanmansilla@hotmail.com</t>
  </si>
  <si>
    <t>CARLOS SALVADOR</t>
  </si>
  <si>
    <t>Inst. Sup. De Musica</t>
  </si>
  <si>
    <t>SECRETARIO ADMINISTRATIVO</t>
  </si>
  <si>
    <t>carlos66caceres@hotmail.com</t>
  </si>
  <si>
    <t>ESTEBAN ALEJANDRO</t>
  </si>
  <si>
    <t>estebancampero2414@hotmail.com</t>
  </si>
  <si>
    <t>CARIGNANO</t>
  </si>
  <si>
    <t>NATALIA GABRIELA</t>
  </si>
  <si>
    <t>153388260</t>
  </si>
  <si>
    <t xml:space="preserve">Licenciada en Música </t>
  </si>
  <si>
    <t>VICEDIRECTORA</t>
  </si>
  <si>
    <t>musicarignano@hotmail.com</t>
  </si>
  <si>
    <t>4220767</t>
  </si>
  <si>
    <t>CARRERAS</t>
  </si>
  <si>
    <t>HILDA LILIANA</t>
  </si>
  <si>
    <t>hlcarreras@yahoo.com.ar</t>
  </si>
  <si>
    <t>ESCOBAR</t>
  </si>
  <si>
    <t>MONICA V.</t>
  </si>
  <si>
    <t>156870394</t>
  </si>
  <si>
    <t>viviismunt@gmail.com</t>
  </si>
  <si>
    <t>ESPERT</t>
  </si>
  <si>
    <t>PATRICIA YVONNE</t>
  </si>
  <si>
    <t>patriciaespert@yahoo.com</t>
  </si>
  <si>
    <t>CYNTIA MELISA</t>
  </si>
  <si>
    <t>Cyntiacmf89@gmail.com</t>
  </si>
  <si>
    <t>4220751</t>
  </si>
  <si>
    <t>GARMENDIA</t>
  </si>
  <si>
    <t>piagarmendia@gmail.com</t>
  </si>
  <si>
    <t>LEFEBURE</t>
  </si>
  <si>
    <t>ROSA NOEMI</t>
  </si>
  <si>
    <t>cyntylefe@hotmail.com</t>
  </si>
  <si>
    <t>mariaalizondo@hotmail.com</t>
  </si>
  <si>
    <t>153524107</t>
  </si>
  <si>
    <t xml:space="preserve">Alumnos </t>
  </si>
  <si>
    <t>gatobtb@gmail.com</t>
  </si>
  <si>
    <t>MAYORGA</t>
  </si>
  <si>
    <t>ANGELICA LORENA</t>
  </si>
  <si>
    <t>ADM</t>
  </si>
  <si>
    <t xml:space="preserve">Neiman </t>
  </si>
  <si>
    <t>JULIO MARIO</t>
  </si>
  <si>
    <t>capacitador en extension universitaria</t>
  </si>
  <si>
    <t>julioneiman-@hotmail.com</t>
  </si>
  <si>
    <t>PADROS REZZONICO</t>
  </si>
  <si>
    <t>MICAELA</t>
  </si>
  <si>
    <t>mica_90_12@hotmail.com</t>
  </si>
  <si>
    <t>PARAJON</t>
  </si>
  <si>
    <t>FABIANA ALEJANDRA</t>
  </si>
  <si>
    <t>3815838231</t>
  </si>
  <si>
    <t xml:space="preserve">Jefatura de Concursos </t>
  </si>
  <si>
    <t>fabialeparajon@gmail.com</t>
  </si>
  <si>
    <t>GENARO</t>
  </si>
  <si>
    <t>genarosanchez3@gmail.com</t>
  </si>
  <si>
    <t>ELDA DEL TRANSITO</t>
  </si>
  <si>
    <t>jefa dpto. alumnos</t>
  </si>
  <si>
    <t>elda.serrano@hotmail.com</t>
  </si>
  <si>
    <t>TETTA</t>
  </si>
  <si>
    <t>3813543902</t>
  </si>
  <si>
    <t>ENCARGADA DE BIBLIOTECA</t>
  </si>
  <si>
    <t>mariacristinatetta@hotmail.com</t>
  </si>
  <si>
    <t>TETTA DE GOMEZ</t>
  </si>
  <si>
    <t>REGENTE DEL NIVEL SUPERIOR- DOCENTE</t>
  </si>
  <si>
    <t>mariarosatdegomez@arnet.com.ar</t>
  </si>
  <si>
    <t>DAVID EZEQUIEL</t>
  </si>
  <si>
    <t>davidtoledo1982@hotmail.com</t>
  </si>
  <si>
    <t>TOSCANO</t>
  </si>
  <si>
    <t>CARLOS IGNACIO</t>
  </si>
  <si>
    <t>ignaccio_87@hotmail.com</t>
  </si>
  <si>
    <t xml:space="preserve">VAZQUES  </t>
  </si>
  <si>
    <t>RAMONA ANTONIA</t>
  </si>
  <si>
    <t>SALVATIERRA</t>
  </si>
  <si>
    <t>GABRIELA VERONICA</t>
  </si>
  <si>
    <t>156612526</t>
  </si>
  <si>
    <t xml:space="preserve">Servicio Gral. </t>
  </si>
  <si>
    <t>nicagabichi@gmail.com</t>
  </si>
  <si>
    <t>MASUCCI</t>
  </si>
  <si>
    <t>155553238</t>
  </si>
  <si>
    <t>ING. EN SIST. DE INF. - PROF. SUP. DE PIANO</t>
  </si>
  <si>
    <t>maflorma@hotmail.com</t>
  </si>
  <si>
    <t>DANIEL FERNANDO</t>
  </si>
  <si>
    <t>03865-15436718</t>
  </si>
  <si>
    <t>Inst. Tecnico De Aguilares</t>
  </si>
  <si>
    <t>DOC 1</t>
  </si>
  <si>
    <t>danielfalderete@live.com.ar</t>
  </si>
  <si>
    <t>MARTIN DIEGO</t>
  </si>
  <si>
    <t>monicamabelpereyra2011@hotmail.com</t>
  </si>
  <si>
    <t>03865-15574197</t>
  </si>
  <si>
    <t>isarro202@hotmail.com</t>
  </si>
  <si>
    <t>ASAM</t>
  </si>
  <si>
    <t>03865-15351554</t>
  </si>
  <si>
    <t>asamderetes@yahoo.com.ar</t>
  </si>
  <si>
    <t>AUGIER</t>
  </si>
  <si>
    <t>ROXANA CRISTINA</t>
  </si>
  <si>
    <t>03865-15412679</t>
  </si>
  <si>
    <t>roxana_augier@hotmail.com</t>
  </si>
  <si>
    <t>BACHUR</t>
  </si>
  <si>
    <t>JORGE AUGUSTO</t>
  </si>
  <si>
    <t>03865-15696423</t>
  </si>
  <si>
    <t>jbachur07@hotmail.com</t>
  </si>
  <si>
    <t>BULACIOS</t>
  </si>
  <si>
    <t>CARLOS EDUARDO</t>
  </si>
  <si>
    <t>03865-15457834</t>
  </si>
  <si>
    <t>PROFESORA</t>
  </si>
  <si>
    <t>carlosbulacios76@gmail.com</t>
  </si>
  <si>
    <t>03865-240788</t>
  </si>
  <si>
    <t>mariselcanseco3@yahoo.com.a</t>
  </si>
  <si>
    <t>RAUL EDUARDO</t>
  </si>
  <si>
    <t>03865-15327058</t>
  </si>
  <si>
    <t>rauleduardodelgado@gmail.com</t>
  </si>
  <si>
    <t>ESCARLATA</t>
  </si>
  <si>
    <t>MANUEL ALEJANDRO</t>
  </si>
  <si>
    <t>3865-15641844</t>
  </si>
  <si>
    <t>VICE DIRECTOR</t>
  </si>
  <si>
    <t>manuelescarlata@gmail.com</t>
  </si>
  <si>
    <t>03865- 483797</t>
  </si>
  <si>
    <t>FARIAS</t>
  </si>
  <si>
    <t>cecifariasunt@hotmail.com</t>
  </si>
  <si>
    <t>MARIA PATRICIA</t>
  </si>
  <si>
    <t>03865-15414262</t>
  </si>
  <si>
    <t>mpget,9@hotmail.com.ar</t>
  </si>
  <si>
    <t>GONZALEZ CALDERON</t>
  </si>
  <si>
    <t>OCTAVIO</t>
  </si>
  <si>
    <t>octavio_calderon@hotmail.com</t>
  </si>
  <si>
    <t>03865-15453455</t>
  </si>
  <si>
    <t>arquibarradaniel@yahoo.com.ar</t>
  </si>
  <si>
    <t>LEMA</t>
  </si>
  <si>
    <t>LILIANA BEATRIZ</t>
  </si>
  <si>
    <t>03865-15540145</t>
  </si>
  <si>
    <t>lilianalema_07@hotmail.com</t>
  </si>
  <si>
    <t>LEON</t>
  </si>
  <si>
    <t>ROSA ARACELI</t>
  </si>
  <si>
    <t>ptartalo@ita.unt.edu.ar</t>
  </si>
  <si>
    <t>MAZZUCCO</t>
  </si>
  <si>
    <t>JUAN RAMON</t>
  </si>
  <si>
    <t>03865-15371805</t>
  </si>
  <si>
    <t>yonimazzucco@hotmail.com</t>
  </si>
  <si>
    <t>NELIDA CARMEN</t>
  </si>
  <si>
    <t>03865-15530614</t>
  </si>
  <si>
    <t>nelidamedina@yahoo.com</t>
  </si>
  <si>
    <t>NORMA TERESA</t>
  </si>
  <si>
    <t>3865-15416690</t>
  </si>
  <si>
    <t>normamentz@hotmail.com</t>
  </si>
  <si>
    <t>NASCA</t>
  </si>
  <si>
    <t>TERESA ISABEL</t>
  </si>
  <si>
    <t>isanasca@gmail.com</t>
  </si>
  <si>
    <t>clau.oliva74@gmail.com</t>
  </si>
  <si>
    <t>PALOMINO</t>
  </si>
  <si>
    <t>ANGEL ABEL</t>
  </si>
  <si>
    <t>03865-15370876</t>
  </si>
  <si>
    <t>angelpalomino79@yahoo.com.ar</t>
  </si>
  <si>
    <t>DIEGO SEBASTIAN</t>
  </si>
  <si>
    <t>03865-512362</t>
  </si>
  <si>
    <t>dsebastianperez@hotmail.com</t>
  </si>
  <si>
    <t>PRIETO</t>
  </si>
  <si>
    <t>03865-15466007</t>
  </si>
  <si>
    <t>danielprieto1@hotmail.com</t>
  </si>
  <si>
    <t>RIVERO</t>
  </si>
  <si>
    <t>MONICA SILVANA</t>
  </si>
  <si>
    <t>03865-15418550</t>
  </si>
  <si>
    <t>msr_monique@hotmail.com</t>
  </si>
  <si>
    <t>03865-15655214</t>
  </si>
  <si>
    <t>hectorgruiz@hotmail.com</t>
  </si>
  <si>
    <t>SORIA BURGOS</t>
  </si>
  <si>
    <t>soriaburgos2000@hotmail.com</t>
  </si>
  <si>
    <t>TARTALO</t>
  </si>
  <si>
    <t>LINA PATRICIA</t>
  </si>
  <si>
    <t>03865-603594</t>
  </si>
  <si>
    <t>TARULLI</t>
  </si>
  <si>
    <t>03865-15579963</t>
  </si>
  <si>
    <t>tarulliroque@hotmail.com</t>
  </si>
  <si>
    <t>VAQUERO</t>
  </si>
  <si>
    <t>MARCELA VERONICA</t>
  </si>
  <si>
    <t>marcelaveronicavaquero@gmail.com</t>
  </si>
  <si>
    <t>VEGA</t>
  </si>
  <si>
    <t>GLADYS BEATRIZ</t>
  </si>
  <si>
    <t>03865-15578246</t>
  </si>
  <si>
    <t>gladys.vega@hotmail.com</t>
  </si>
  <si>
    <t>03865-302167</t>
  </si>
  <si>
    <t xml:space="preserve">DOC 3 - </t>
  </si>
  <si>
    <t>prof-jmz@hotmail.com</t>
  </si>
  <si>
    <t>03865-15240885</t>
  </si>
  <si>
    <t>DOC 3 - DOCENTE</t>
  </si>
  <si>
    <t>jmzelarayan@hotmail.com</t>
  </si>
  <si>
    <t>156784778</t>
  </si>
  <si>
    <t>Instituto Técnico</t>
  </si>
  <si>
    <t>lamicone@hotmail.com</t>
  </si>
  <si>
    <t>248</t>
  </si>
  <si>
    <t>MARTA VALERIA</t>
  </si>
  <si>
    <t>155154346</t>
  </si>
  <si>
    <t>vale.gym@gmail.com</t>
  </si>
  <si>
    <t>7036</t>
  </si>
  <si>
    <t>BRETONES</t>
  </si>
  <si>
    <t>OSCAR SEBASTIAN</t>
  </si>
  <si>
    <t>osbretones@hotmail.com</t>
  </si>
  <si>
    <t>BULACIO</t>
  </si>
  <si>
    <t>juliobulacio@hotmail.com</t>
  </si>
  <si>
    <t>MARIO JESUS</t>
  </si>
  <si>
    <t>maje_60@hotmail.com</t>
  </si>
  <si>
    <t>4247752-7034</t>
  </si>
  <si>
    <t>ESPINOSA</t>
  </si>
  <si>
    <t>MARIELA BEATRIZ</t>
  </si>
  <si>
    <t>mariela9_2@hotmail.com</t>
  </si>
  <si>
    <t>GANDÍA</t>
  </si>
  <si>
    <t>ANGEL ANTONIO</t>
  </si>
  <si>
    <t>tonygomez1369@gmail.com</t>
  </si>
  <si>
    <t>VILMA LILIANA</t>
  </si>
  <si>
    <t>lilianamendez_40@hotmail.com</t>
  </si>
  <si>
    <t>MORENO DIAZ</t>
  </si>
  <si>
    <t>edmorenodiaz@gmail.com</t>
  </si>
  <si>
    <t>PASTRANA</t>
  </si>
  <si>
    <t>RICARDO RAMON</t>
  </si>
  <si>
    <t>MAESTRO DE ENSEÑANZA PRACTICA</t>
  </si>
  <si>
    <t>pastranarichi@hotmail.com</t>
  </si>
  <si>
    <t xml:space="preserve">RIOS </t>
  </si>
  <si>
    <t>TOMAS</t>
  </si>
  <si>
    <t>proftomasrios@gmail.com</t>
  </si>
  <si>
    <t>SIMON</t>
  </si>
  <si>
    <t>156914858</t>
  </si>
  <si>
    <t>TEC. EN FONOAUDIOLOGIA</t>
  </si>
  <si>
    <t>Dpto. Alumnos</t>
  </si>
  <si>
    <t>simon.fernanda@hotmail.com</t>
  </si>
  <si>
    <t>7225</t>
  </si>
  <si>
    <t>sfsosa@gmail.com</t>
  </si>
  <si>
    <t>JAVIER ANTONIO</t>
  </si>
  <si>
    <t>javieruruena2016@gmail.com</t>
  </si>
  <si>
    <t>ROSA CRISANTA</t>
  </si>
  <si>
    <t>AREVALO</t>
  </si>
  <si>
    <t>ADRIANA ALICIA</t>
  </si>
  <si>
    <t>154437587</t>
  </si>
  <si>
    <t>adriana.alicia.arevalo@gmail.com</t>
  </si>
  <si>
    <t>ZEBALLOS RASELLI</t>
  </si>
  <si>
    <t>3815852228</t>
  </si>
  <si>
    <t xml:space="preserve">mesa de entradas </t>
  </si>
  <si>
    <t>mariabelenzeballos169@gmail.com</t>
  </si>
  <si>
    <t>3814437587</t>
  </si>
  <si>
    <t>CLAUDIA KARINA</t>
  </si>
  <si>
    <t>3815296335</t>
  </si>
  <si>
    <t>PROF. NIVEL INICIAL, EGB 1 Y 2</t>
  </si>
  <si>
    <t>claudia280378@gmail.com</t>
  </si>
  <si>
    <t>7226</t>
  </si>
  <si>
    <t>3816207285</t>
  </si>
  <si>
    <t>direccion</t>
  </si>
  <si>
    <t>mariacecilia.mcs@gmail.com</t>
  </si>
  <si>
    <t>4107225</t>
  </si>
  <si>
    <t>VERONICA ROCIO</t>
  </si>
  <si>
    <t>3816554519</t>
  </si>
  <si>
    <t>veronicaserpico@gmail.com</t>
  </si>
  <si>
    <t>4107226</t>
  </si>
  <si>
    <t>Medicina</t>
  </si>
  <si>
    <t>mavalce@fm.unt.edu.ar</t>
  </si>
  <si>
    <t>ABRAHAN</t>
  </si>
  <si>
    <t>JEFE DPTO DE PERSONAL Y HABERES</t>
  </si>
  <si>
    <t>luisabrahan@hotmail.com</t>
  </si>
  <si>
    <t>JUAN ANTONIO</t>
  </si>
  <si>
    <t>concursos@fm.unt.edu.ar</t>
  </si>
  <si>
    <t xml:space="preserve">MERCEDES  </t>
  </si>
  <si>
    <t>jefe dpto. despacho</t>
  </si>
  <si>
    <t>mechitaag@hotmail.com</t>
  </si>
  <si>
    <t xml:space="preserve">NILDA E </t>
  </si>
  <si>
    <t>JEFE SECRETARIA HCD Y DESPACHO ACADEMICO</t>
  </si>
  <si>
    <t>AGUILERA</t>
  </si>
  <si>
    <t>avaguilera@hotmail.com</t>
  </si>
  <si>
    <t>ABEL ALBERTO</t>
  </si>
  <si>
    <t>01/01/66</t>
  </si>
  <si>
    <t>155404531</t>
  </si>
  <si>
    <t>Lic. En gestion univ.</t>
  </si>
  <si>
    <t>secretario administrativo</t>
  </si>
  <si>
    <t>cuemifm@gmail.com</t>
  </si>
  <si>
    <t>crisaraoz1@hotmail.com</t>
  </si>
  <si>
    <t>biblio@fm.unt.edu.ar</t>
  </si>
  <si>
    <t>ASIS</t>
  </si>
  <si>
    <t>asisgustavo706@gmail.com</t>
  </si>
  <si>
    <t>AUSTERLITZ</t>
  </si>
  <si>
    <t>ROCIO</t>
  </si>
  <si>
    <t>rocioausterlitz@hotmail.com</t>
  </si>
  <si>
    <t>MARCELO EDGARDO</t>
  </si>
  <si>
    <t>RODOLFO VALENTIN</t>
  </si>
  <si>
    <t>4247252- 7052</t>
  </si>
  <si>
    <t>CAMARGO</t>
  </si>
  <si>
    <t>24/05/1964</t>
  </si>
  <si>
    <t>3816287287</t>
  </si>
  <si>
    <t>salica211@hotmail.com</t>
  </si>
  <si>
    <t>CASSARA</t>
  </si>
  <si>
    <t>MARCOS ROLANDO</t>
  </si>
  <si>
    <t>marcoscassara@yahoo.com.ar</t>
  </si>
  <si>
    <t>CERASUOLO</t>
  </si>
  <si>
    <t>MARINA FATIMA</t>
  </si>
  <si>
    <t>fcerasuolo@gamil.com</t>
  </si>
  <si>
    <t>4247752- 7221</t>
  </si>
  <si>
    <t>CHAILE</t>
  </si>
  <si>
    <t>SILVANA GABRIELA</t>
  </si>
  <si>
    <t>silvana_chaile@yahoo.com.ar</t>
  </si>
  <si>
    <t>CHAVEZ</t>
  </si>
  <si>
    <t>ZOE VIVIANA DEL VALLE</t>
  </si>
  <si>
    <t>zoe-vach@live.com.ar</t>
  </si>
  <si>
    <t>ALFREDO PASTOR</t>
  </si>
  <si>
    <t>ENCARGADO</t>
  </si>
  <si>
    <t>toralfredo@hotmail.com</t>
  </si>
  <si>
    <t>ALEJANDRA GISELA</t>
  </si>
  <si>
    <t>DOCEMTE AUXILIAR</t>
  </si>
  <si>
    <t>alejandragisela88@hotmail.com</t>
  </si>
  <si>
    <t>ESPECHE</t>
  </si>
  <si>
    <t>MERCEDES DE FATIMA</t>
  </si>
  <si>
    <t>mercedesfatimaespeche@hotmail.com</t>
  </si>
  <si>
    <t>ESTOL</t>
  </si>
  <si>
    <t>MARIA BEATRIZ</t>
  </si>
  <si>
    <t>auxiliar circulacion y prestamos</t>
  </si>
  <si>
    <t>mbestol@hotmail.com</t>
  </si>
  <si>
    <t>EUGENIA ISABEL</t>
  </si>
  <si>
    <t>JEFA DE PROCESOS TECNICOS</t>
  </si>
  <si>
    <t>eugifernandez@yahoo.com.ar</t>
  </si>
  <si>
    <t>AUGENIA ISABEL</t>
  </si>
  <si>
    <t>jefe proceso tecnico</t>
  </si>
  <si>
    <t>ELSA MARIA</t>
  </si>
  <si>
    <t>elsa_fac@yahoo.com.ar</t>
  </si>
  <si>
    <t>EDUARDO AUGUSTO</t>
  </si>
  <si>
    <t>SECRETARIA DE EXTENSIÓN</t>
  </si>
  <si>
    <t>eafranco15@aol.com</t>
  </si>
  <si>
    <t>GARECA</t>
  </si>
  <si>
    <t>GLADYS NORMA</t>
  </si>
  <si>
    <t>nonygareca@hotmail.com</t>
  </si>
  <si>
    <t>JOSE MANUEL</t>
  </si>
  <si>
    <t>cyberamigoargentino@gmail.com</t>
  </si>
  <si>
    <t>GOMEZ MARTIN</t>
  </si>
  <si>
    <t>Catedra S Mental II - Secrtetario</t>
  </si>
  <si>
    <t>waltergomez-@hotmail.com</t>
  </si>
  <si>
    <t>GUZMÁN DE GIRI</t>
  </si>
  <si>
    <t>JOSÉ ÁNGEL</t>
  </si>
  <si>
    <t>JEFE DPTO. BIENES DEL ESTADO</t>
  </si>
  <si>
    <t>joseherrera@fm.unt.edu.ar</t>
  </si>
  <si>
    <t>VISITA PERSONAL</t>
  </si>
  <si>
    <t>HERRERO</t>
  </si>
  <si>
    <t>taniherrero@gmail.com</t>
  </si>
  <si>
    <t>HUERTA</t>
  </si>
  <si>
    <t>MARIA CLAUDIA</t>
  </si>
  <si>
    <t>claudia-h-zar@hotmail.com</t>
  </si>
  <si>
    <t>ITHARTE</t>
  </si>
  <si>
    <t>PAULA ELIZABETH</t>
  </si>
  <si>
    <t>155552001</t>
  </si>
  <si>
    <t>tec. sup. en programacion</t>
  </si>
  <si>
    <t>catedra salud publica</t>
  </si>
  <si>
    <t>paulaitharte@hotmail.com</t>
  </si>
  <si>
    <t>7018</t>
  </si>
  <si>
    <t>JARMA</t>
  </si>
  <si>
    <t>CARLA</t>
  </si>
  <si>
    <t>javierja@argentina.com</t>
  </si>
  <si>
    <t>MARIA GUADALUPE</t>
  </si>
  <si>
    <t>LOZANO</t>
  </si>
  <si>
    <t>155243694</t>
  </si>
  <si>
    <t>secretaria de títulos y postgrados</t>
  </si>
  <si>
    <t>analozano_09@hotmail.com</t>
  </si>
  <si>
    <t>6928</t>
  </si>
  <si>
    <t>NAVARRO VELÁSQUEZ</t>
  </si>
  <si>
    <t>CÉSAR MARIANO</t>
  </si>
  <si>
    <t>navarrov@fm.unt.edu.ar</t>
  </si>
  <si>
    <t>4247752- 7027</t>
  </si>
  <si>
    <t>NEIROT</t>
  </si>
  <si>
    <t>NESTOR FRANCISCO</t>
  </si>
  <si>
    <t>jefe biblioteca</t>
  </si>
  <si>
    <t>nestorn@hotmail.es</t>
  </si>
  <si>
    <t>OCARANZA</t>
  </si>
  <si>
    <t>ROSA ALEJANDRA</t>
  </si>
  <si>
    <t>3813627538</t>
  </si>
  <si>
    <t>Maestra  de Manualidades</t>
  </si>
  <si>
    <t xml:space="preserve">Cátedra de Emergentologia </t>
  </si>
  <si>
    <t xml:space="preserve">alejandra.157.oca@gmail </t>
  </si>
  <si>
    <t>42760011</t>
  </si>
  <si>
    <t>OLARTE</t>
  </si>
  <si>
    <t>SANTIAGO</t>
  </si>
  <si>
    <t>catedra de parasitologia</t>
  </si>
  <si>
    <t>sos_933@hotmail.com</t>
  </si>
  <si>
    <t>GRISELDA DEL CARMEN</t>
  </si>
  <si>
    <t>li5539@hotmail.com</t>
  </si>
  <si>
    <t>ORTIGOZA</t>
  </si>
  <si>
    <t>SANDRA ANALIA</t>
  </si>
  <si>
    <t>aortigoz@eue.unt.edu.ar</t>
  </si>
  <si>
    <t>LUCIANA</t>
  </si>
  <si>
    <t>lulammpaez@hotmail.com</t>
  </si>
  <si>
    <t>LILIANA ISABEL</t>
  </si>
  <si>
    <t>liliana.pedraza@hotmail.com</t>
  </si>
  <si>
    <t>PÉREZ GIMENEZ</t>
  </si>
  <si>
    <t>MARÍA DOLORES</t>
  </si>
  <si>
    <t>DIRECTORA DE DESPACHO</t>
  </si>
  <si>
    <t>PRCHAL</t>
  </si>
  <si>
    <t>ABIGAIL</t>
  </si>
  <si>
    <t>prof. Adjunto</t>
  </si>
  <si>
    <t>aprchal@gmail.com</t>
  </si>
  <si>
    <t>REY</t>
  </si>
  <si>
    <t>MONICA ESTELA</t>
  </si>
  <si>
    <t>DIRECTOR DE CEREMONIAL Y PROTOCOLO</t>
  </si>
  <si>
    <t>luisscamar1461@hotmail.com</t>
  </si>
  <si>
    <t>4247752- 7023</t>
  </si>
  <si>
    <t>REYNOSO ACOSTA</t>
  </si>
  <si>
    <t>FRANCISCO ERNESTO</t>
  </si>
  <si>
    <t>3813014258</t>
  </si>
  <si>
    <t>Asuntos Académicos</t>
  </si>
  <si>
    <t>ernestoreynosoacosta@gmail.com</t>
  </si>
  <si>
    <t>4247761</t>
  </si>
  <si>
    <t>RIVERA</t>
  </si>
  <si>
    <t>OSVALDO DANIEL</t>
  </si>
  <si>
    <t>danielarl_negro@live.com.ar</t>
  </si>
  <si>
    <t>BLANCA MIRIAN</t>
  </si>
  <si>
    <t>bmrivero@hotmail.com</t>
  </si>
  <si>
    <t>ROBLEDO RUIZ</t>
  </si>
  <si>
    <t>srobledo@fm.unt.edu</t>
  </si>
  <si>
    <t>ia_roldan@hotmail.com</t>
  </si>
  <si>
    <t>DIEGO ROBERTO</t>
  </si>
  <si>
    <t>diegorsalas@hotmail.com</t>
  </si>
  <si>
    <t>ANDREA CAROLINA</t>
  </si>
  <si>
    <t>acarolinasalas@hotmail.com</t>
  </si>
  <si>
    <t xml:space="preserve">SALVATIERRA </t>
  </si>
  <si>
    <t>COORD. DE COMUNICACIÓN INST. / DIRECTOR DE TICS</t>
  </si>
  <si>
    <t>ANGELICA DEL  MILAGRO</t>
  </si>
  <si>
    <t>ORLANDO RICARDO</t>
  </si>
  <si>
    <t>154181479</t>
  </si>
  <si>
    <t>LIC. EN CONTROL Y GESTION UNIV.</t>
  </si>
  <si>
    <t>Consejo Directivo</t>
  </si>
  <si>
    <t>ronydtucuman@gmail.com</t>
  </si>
  <si>
    <t>4240370</t>
  </si>
  <si>
    <t>SERGIO SEBASTIAN</t>
  </si>
  <si>
    <t>4107234- 7234</t>
  </si>
  <si>
    <t>STAMBOLE</t>
  </si>
  <si>
    <t>155981278</t>
  </si>
  <si>
    <t>Lic. en Arte</t>
  </si>
  <si>
    <t>coro de la de medicina</t>
  </si>
  <si>
    <t>mstambole@hotmail.com</t>
  </si>
  <si>
    <t>4526026</t>
  </si>
  <si>
    <t>MARIA ISIDORA</t>
  </si>
  <si>
    <t>01/02/1956</t>
  </si>
  <si>
    <t>153029965</t>
  </si>
  <si>
    <t>CATEDRA HISTORIA DE LA MEDICINA / SECRETARIA</t>
  </si>
  <si>
    <t>7027</t>
  </si>
  <si>
    <t>VALLEJO ORTIZ</t>
  </si>
  <si>
    <t>14/09/68</t>
  </si>
  <si>
    <t>153044620</t>
  </si>
  <si>
    <t>mesa de entradas UPFO</t>
  </si>
  <si>
    <t>claudiaval2012@hotmail.com</t>
  </si>
  <si>
    <t>4340370</t>
  </si>
  <si>
    <t>7239</t>
  </si>
  <si>
    <t xml:space="preserve">CLAUDIA </t>
  </si>
  <si>
    <t>ENCARGADA DE MESA DE ENTRADAS, PERSONAL Y CONCURSO</t>
  </si>
  <si>
    <t>claudiaval2015@gmail.com</t>
  </si>
  <si>
    <t>ALEJANDRA ADRIANA</t>
  </si>
  <si>
    <t>JEFE DE HEMEROTECA</t>
  </si>
  <si>
    <t>YELPO</t>
  </si>
  <si>
    <t>CARLOS HUMBERTO</t>
  </si>
  <si>
    <t>ENCARGADO DE DESPACHO ADM.</t>
  </si>
  <si>
    <t>hyelpo@hotmail.com</t>
  </si>
  <si>
    <t>YUSTE FONTANA</t>
  </si>
  <si>
    <t>RUBEN ANTONIO</t>
  </si>
  <si>
    <t>155171080</t>
  </si>
  <si>
    <t>ing en electronica</t>
  </si>
  <si>
    <t>secretario de catedra, coord. de area</t>
  </si>
  <si>
    <t>ryustefontana@gmail.com</t>
  </si>
  <si>
    <t xml:space="preserve">ZOLORZANO </t>
  </si>
  <si>
    <t xml:space="preserve">FABIAN ROBERTO </t>
  </si>
  <si>
    <t>154416808</t>
  </si>
  <si>
    <t>fabicop@yahho.com.ar</t>
  </si>
  <si>
    <t>SILVINA NORA</t>
  </si>
  <si>
    <t>30/12/1966</t>
  </si>
  <si>
    <t>155192183</t>
  </si>
  <si>
    <t>DRA EN QUIMICA</t>
  </si>
  <si>
    <t>silvinaaguirret@gmail.com</t>
  </si>
  <si>
    <t>4107591</t>
  </si>
  <si>
    <t>LAURA BEATRIZ MARIA</t>
  </si>
  <si>
    <t>29/03/59</t>
  </si>
  <si>
    <t>3816649476</t>
  </si>
  <si>
    <t>lbmaguirre@gmail.com</t>
  </si>
  <si>
    <t>VERÓNICA PAOLA</t>
  </si>
  <si>
    <t>28/08/1986</t>
  </si>
  <si>
    <t>3813195075</t>
  </si>
  <si>
    <t>TOXICOLOGIA</t>
  </si>
  <si>
    <t>veronicachaile@hotmail.com</t>
  </si>
  <si>
    <t>GOMEZ ARAGON</t>
  </si>
  <si>
    <t>FATIMA VIVIANA</t>
  </si>
  <si>
    <t>24/08/71</t>
  </si>
  <si>
    <t>156093635</t>
  </si>
  <si>
    <t>TEC. UNIV. EN ELECTRONICA</t>
  </si>
  <si>
    <t>DIR. ECONOMICO FINANCIERA - DPTO CONTABILIDAD Y PRESUPUESTO</t>
  </si>
  <si>
    <t>vivigoar@fm.unt.edu.ar</t>
  </si>
  <si>
    <t>4107233</t>
  </si>
  <si>
    <t>DIP MADERVELO</t>
  </si>
  <si>
    <t>MARIA ROCIO</t>
  </si>
  <si>
    <t>30/09/86</t>
  </si>
  <si>
    <t>3813534726</t>
  </si>
  <si>
    <t>lic. en biotecnologia</t>
  </si>
  <si>
    <t>licenciadadip@gmail.com</t>
  </si>
  <si>
    <t>7050</t>
  </si>
  <si>
    <t>PATRICIA MERCEDES</t>
  </si>
  <si>
    <t>07/01/1970</t>
  </si>
  <si>
    <t>154571039</t>
  </si>
  <si>
    <t>CATEDRA DE METODOLOGIA DE INVESTIGACION</t>
  </si>
  <si>
    <t>pavargas003@gmail.com</t>
  </si>
  <si>
    <t>DIAZ SORIA</t>
  </si>
  <si>
    <t>381462213</t>
  </si>
  <si>
    <t>3815616273</t>
  </si>
  <si>
    <t>CATEDRA DE SALUD PUBLICA</t>
  </si>
  <si>
    <t>gradv.sanchez@gmail.com</t>
  </si>
  <si>
    <t>VALERIA</t>
  </si>
  <si>
    <t>Munt</t>
  </si>
  <si>
    <t>valeriaraquelvargas@gmail.com</t>
  </si>
  <si>
    <t>VIVIANA VERONICA</t>
  </si>
  <si>
    <t>Odontología</t>
  </si>
  <si>
    <t>vivi_vero@hotmail.com.ar</t>
  </si>
  <si>
    <t>RAMON ENRIQUE</t>
  </si>
  <si>
    <t>AMADO CACERES</t>
  </si>
  <si>
    <t>ROSA JORGELINA</t>
  </si>
  <si>
    <t>ARANDA</t>
  </si>
  <si>
    <t>arandaluisalfredo@hotmail.com</t>
  </si>
  <si>
    <t>ARMANINI</t>
  </si>
  <si>
    <t>LILIANA ESTELA FATIMA</t>
  </si>
  <si>
    <t>directora area de enseñanza</t>
  </si>
  <si>
    <t>MARTA ISABEL</t>
  </si>
  <si>
    <t>secretaria de consejo y comisiones</t>
  </si>
  <si>
    <t>marisabelar@hotmail.com</t>
  </si>
  <si>
    <t>AVILA RIZO</t>
  </si>
  <si>
    <t>16/02/1983</t>
  </si>
  <si>
    <t>154020353</t>
  </si>
  <si>
    <t xml:space="preserve">Técnica Superior en Gestión Universitaria </t>
  </si>
  <si>
    <t>SECRETARIA DE POSTGRADO</t>
  </si>
  <si>
    <t>flopiavilarizo@gmail.com</t>
  </si>
  <si>
    <t>4526014</t>
  </si>
  <si>
    <t>BOTLINI RUBIOL</t>
  </si>
  <si>
    <t>MARTA MARIA</t>
  </si>
  <si>
    <t>martamariabotlini@gmail.com</t>
  </si>
  <si>
    <t>MARCELO DANIEL</t>
  </si>
  <si>
    <t>secretaria privada decano</t>
  </si>
  <si>
    <t>verobustos67@hotmail.com</t>
  </si>
  <si>
    <t>CAJAL</t>
  </si>
  <si>
    <t>BLAS ANTONIO</t>
  </si>
  <si>
    <t>blascajal@hotmail.com</t>
  </si>
  <si>
    <t>CALVENTE</t>
  </si>
  <si>
    <t>RAMON EDUARDO</t>
  </si>
  <si>
    <t>edu_locopito@hotmail.com</t>
  </si>
  <si>
    <t>ROBERTO EUGENIO</t>
  </si>
  <si>
    <t>JEFE DIR. CERTIF. Y DESPACHO AREA ENSEÑANZA</t>
  </si>
  <si>
    <t>gelucontreras@hotmail.com</t>
  </si>
  <si>
    <t>4107307- 7307</t>
  </si>
  <si>
    <t>PEDRO OSVALDO</t>
  </si>
  <si>
    <t>a2</t>
  </si>
  <si>
    <t>peteronho@hotmail.com</t>
  </si>
  <si>
    <t>COSTILLA</t>
  </si>
  <si>
    <t>ENRIQUE ARGENTINO</t>
  </si>
  <si>
    <t>jefa de concurso</t>
  </si>
  <si>
    <t>jdiez0205@yahoo.com.ar</t>
  </si>
  <si>
    <t>154786098</t>
  </si>
  <si>
    <t xml:space="preserve">Técnico superior en gestión universitaria </t>
  </si>
  <si>
    <t>JEFE DESPACHO ACADEMICO</t>
  </si>
  <si>
    <t>cefigueroa2@hotmail.com</t>
  </si>
  <si>
    <t>4847306</t>
  </si>
  <si>
    <t>7306</t>
  </si>
  <si>
    <t>JOSÉ MARÍA</t>
  </si>
  <si>
    <t>ENCARGADO DE AUDIO Y VIDEO</t>
  </si>
  <si>
    <t>josemaria_one@yahoo.com.ar</t>
  </si>
  <si>
    <t xml:space="preserve">GARCIA </t>
  </si>
  <si>
    <t>CARLOS ENRIQUE</t>
  </si>
  <si>
    <t>GARCIA CHEQUER</t>
  </si>
  <si>
    <t>MARIA LUCIANA</t>
  </si>
  <si>
    <t>lucianachequer@gmail.com</t>
  </si>
  <si>
    <t>GLEMBOCKI</t>
  </si>
  <si>
    <t>virgiglem@hotmail.com</t>
  </si>
  <si>
    <t>nhoquita@gmail.com.ar</t>
  </si>
  <si>
    <t>GONZALEZ WAISMAN</t>
  </si>
  <si>
    <t>MARTA EUGENIA</t>
  </si>
  <si>
    <t>mgonzalezwaisman@gmail.com</t>
  </si>
  <si>
    <t>GRIMALDI</t>
  </si>
  <si>
    <t>RAMIRO</t>
  </si>
  <si>
    <t>ramirogrimaldi@gmail.com</t>
  </si>
  <si>
    <t>DISEÑADOR GRAFICO / SUP. AUDIOVISUALES</t>
  </si>
  <si>
    <t>GUZMÁN</t>
  </si>
  <si>
    <t>FÁTIMA ANDREA DEL VALLE</t>
  </si>
  <si>
    <t>DIRECTORA MESA DE ENTRADA</t>
  </si>
  <si>
    <t>rubiagorda@yahoo.com.ar</t>
  </si>
  <si>
    <t>ITURRE</t>
  </si>
  <si>
    <t>SANDRA VIVIANA</t>
  </si>
  <si>
    <t>JTP SEMIDEDICACION</t>
  </si>
  <si>
    <t>sandravivianaiturre@yahoo.com.ar</t>
  </si>
  <si>
    <t>JOYA</t>
  </si>
  <si>
    <t>ajoya3@hotmail.com</t>
  </si>
  <si>
    <t>LORENZA DEL CARMEN</t>
  </si>
  <si>
    <t>carmendesoria@gmail.com</t>
  </si>
  <si>
    <t>ALBERTO MARCELO</t>
  </si>
  <si>
    <t>marcelegui@gmail.com</t>
  </si>
  <si>
    <t>LEMME</t>
  </si>
  <si>
    <t>MELISA</t>
  </si>
  <si>
    <t>A CARGO DE AREA DE COMUNICACIÓN</t>
  </si>
  <si>
    <t>comunicafount@hotmail.com</t>
  </si>
  <si>
    <t>mariae.lopez@odontologia.unt.edu.ar</t>
  </si>
  <si>
    <t>MALICA</t>
  </si>
  <si>
    <t>23/11/1971</t>
  </si>
  <si>
    <t>155848437</t>
  </si>
  <si>
    <t>ODONTOLOGA</t>
  </si>
  <si>
    <t>SALUD</t>
  </si>
  <si>
    <t>mlmalica1@gmail.com</t>
  </si>
  <si>
    <t>area prestamos y circulacion</t>
  </si>
  <si>
    <t>maritam100@hotmail.com</t>
  </si>
  <si>
    <t>MERLETTI</t>
  </si>
  <si>
    <t>STELLA MARIS</t>
  </si>
  <si>
    <t>stellamerletti@hotmail.com</t>
  </si>
  <si>
    <t>MIRANDA</t>
  </si>
  <si>
    <t>VICTOR ARMANDO</t>
  </si>
  <si>
    <t>armandomiranda@hotmail.com</t>
  </si>
  <si>
    <t>4107311- 7311</t>
  </si>
  <si>
    <t>MORALES ESTRADA</t>
  </si>
  <si>
    <t>OSCAR LUIS</t>
  </si>
  <si>
    <t>osccareldecano_pr@hotmail.com</t>
  </si>
  <si>
    <t>MOREIRA</t>
  </si>
  <si>
    <t>155936744</t>
  </si>
  <si>
    <t>JEFE DPTO ECONOMATO Y BIENES DEL ESTADO</t>
  </si>
  <si>
    <t>ricamore18@hotmail.com</t>
  </si>
  <si>
    <t>4227589</t>
  </si>
  <si>
    <t>7469</t>
  </si>
  <si>
    <t>NAZUR</t>
  </si>
  <si>
    <t>jefe de supervision</t>
  </si>
  <si>
    <t>cecilianazur@hotmail.com</t>
  </si>
  <si>
    <t>JULIO RICARDO</t>
  </si>
  <si>
    <t>JTP CATEDRA BIOMATERIALES</t>
  </si>
  <si>
    <t>julionieva50@gmail.com</t>
  </si>
  <si>
    <t>NUÑEZ OLEA</t>
  </si>
  <si>
    <t>SEGUNDO</t>
  </si>
  <si>
    <t>gsalpaz@yahoo.com.ar</t>
  </si>
  <si>
    <t>OCARANZA ZAVALIA</t>
  </si>
  <si>
    <t>jefe dpto procesos tecnicos</t>
  </si>
  <si>
    <t>mocaranzazavalia@gmail.com</t>
  </si>
  <si>
    <t>OLMOS SGROSSO</t>
  </si>
  <si>
    <t>patoolmos21@yahoo.com.ar</t>
  </si>
  <si>
    <t>ORRESTA</t>
  </si>
  <si>
    <t>HORTENSIA VIVIANA</t>
  </si>
  <si>
    <t>06/05/1966</t>
  </si>
  <si>
    <t>156753487</t>
  </si>
  <si>
    <t>AGREGADA</t>
  </si>
  <si>
    <t>tenorresta@yahoo.com.ar</t>
  </si>
  <si>
    <t>LILIANA INES</t>
  </si>
  <si>
    <t>lilianainesperez@hotmail.com</t>
  </si>
  <si>
    <t>HUGO ALBERTO</t>
  </si>
  <si>
    <t>hugoponce85@hotmail.com</t>
  </si>
  <si>
    <t>REMONDA</t>
  </si>
  <si>
    <t>MARIA SOL</t>
  </si>
  <si>
    <t>dentsol@hotmail.com</t>
  </si>
  <si>
    <t>RITORTO</t>
  </si>
  <si>
    <t>MARIA LORENA</t>
  </si>
  <si>
    <t>marea63@hotmail.com</t>
  </si>
  <si>
    <t>ROJO</t>
  </si>
  <si>
    <t>RICARDO ESTEBAN</t>
  </si>
  <si>
    <t>SUB-DIRECTOR DE ALUMNOS</t>
  </si>
  <si>
    <t>esterojo@live.com.ar</t>
  </si>
  <si>
    <t>RUEDA</t>
  </si>
  <si>
    <t>RUBEN HUMBERTO</t>
  </si>
  <si>
    <t>rubenrueda23@yahoo.com.ar</t>
  </si>
  <si>
    <t>SAL PAZ</t>
  </si>
  <si>
    <t>155243552</t>
  </si>
  <si>
    <t>4247589</t>
  </si>
  <si>
    <t>SALAS LOPEZ</t>
  </si>
  <si>
    <t>154172453</t>
  </si>
  <si>
    <t>mmsalaslopez@gmail.com</t>
  </si>
  <si>
    <t>7317</t>
  </si>
  <si>
    <t>SANDOVAL</t>
  </si>
  <si>
    <t>FÉLIX EDUARDO</t>
  </si>
  <si>
    <t>COORDINADOR INVEST. ADMINISTRATIVA</t>
  </si>
  <si>
    <t>edusand38@hotmail.com</t>
  </si>
  <si>
    <t>SANSON</t>
  </si>
  <si>
    <t>JOSE MARIO</t>
  </si>
  <si>
    <t>jomasan1@hotmail.com</t>
  </si>
  <si>
    <t>SASTRE</t>
  </si>
  <si>
    <t>CLARA DEL CARMEN</t>
  </si>
  <si>
    <t>AUXILIAR DE COMPRAS</t>
  </si>
  <si>
    <t>sastreclara@hotmail.com</t>
  </si>
  <si>
    <t xml:space="preserve">Valdecantos </t>
  </si>
  <si>
    <t>jefe de division departamento personal</t>
  </si>
  <si>
    <t>mapiavaldecantos@hotmail.com</t>
  </si>
  <si>
    <t>CARMEN FATIMA</t>
  </si>
  <si>
    <t>carmenf_vargas@hotmail.com</t>
  </si>
  <si>
    <t>VELARDEZ</t>
  </si>
  <si>
    <t>LUCAS MARIANO</t>
  </si>
  <si>
    <t>auxiliar</t>
  </si>
  <si>
    <t>mesa-odontologia@rectoradount.edu.ar</t>
  </si>
  <si>
    <t>ZALDUENDO</t>
  </si>
  <si>
    <t>JEFE DPTO. DESPACHO</t>
  </si>
  <si>
    <t>sesizalduendo@hotmail.com</t>
  </si>
  <si>
    <t>MARIA MARTA</t>
  </si>
  <si>
    <t>TESTA</t>
  </si>
  <si>
    <t>07/12/58</t>
  </si>
  <si>
    <t>3814796124</t>
  </si>
  <si>
    <t>DRA EN BIOQUIMICA</t>
  </si>
  <si>
    <t>materias basicas</t>
  </si>
  <si>
    <t>mercedes.testa@gmail.com</t>
  </si>
  <si>
    <t>4226421</t>
  </si>
  <si>
    <t>7471</t>
  </si>
  <si>
    <t>SELVA BEATRIZ</t>
  </si>
  <si>
    <t>18/07/63</t>
  </si>
  <si>
    <t>155650670</t>
  </si>
  <si>
    <t>ODONTOLOGO</t>
  </si>
  <si>
    <t>CATEDRA EDUCACION PARA LA SALUD</t>
  </si>
  <si>
    <t>selvabluna@hotmail.com</t>
  </si>
  <si>
    <t>NAGLE</t>
  </si>
  <si>
    <t>JUAN DOMINGO JORGE</t>
  </si>
  <si>
    <t>odontologo</t>
  </si>
  <si>
    <t>clinica de protesis</t>
  </si>
  <si>
    <t>jdjnagle@hotmail.com</t>
  </si>
  <si>
    <t>ALBARRACIN GALVAN</t>
  </si>
  <si>
    <t>CONSTANZA MELINA</t>
  </si>
  <si>
    <t>3815672095</t>
  </si>
  <si>
    <t>melalbarracingalvan@gmail.com</t>
  </si>
  <si>
    <t>ALUL</t>
  </si>
  <si>
    <t>JOSE DANIEL</t>
  </si>
  <si>
    <t>3816424791</t>
  </si>
  <si>
    <t>director de control y gestion</t>
  </si>
  <si>
    <t>jdalul@arnet.com.ar  jdalul313@gmail.com</t>
  </si>
  <si>
    <t>4847311</t>
  </si>
  <si>
    <t>ASSAF</t>
  </si>
  <si>
    <t>DIEGO</t>
  </si>
  <si>
    <t>Psicología</t>
  </si>
  <si>
    <t>serbenegas@hotmail.com</t>
  </si>
  <si>
    <t>GUILLERMO RAUL</t>
  </si>
  <si>
    <t>6/11/1975</t>
  </si>
  <si>
    <t>3815401403</t>
  </si>
  <si>
    <t xml:space="preserve">Investigaciones </t>
  </si>
  <si>
    <t xml:space="preserve">guillermobrandan@hotmail.com </t>
  </si>
  <si>
    <t>0381-4847341</t>
  </si>
  <si>
    <t>CABANA</t>
  </si>
  <si>
    <t>mesadeentrada@psicologia.unt.edu.ar</t>
  </si>
  <si>
    <t>luciacastañotuc@gmail.com</t>
  </si>
  <si>
    <t>FELIPE OSCAR</t>
  </si>
  <si>
    <t>ochaile@hotmail.com</t>
  </si>
  <si>
    <t>NATALIA ALEJANDRA</t>
  </si>
  <si>
    <t>nataliachazarreta13@gmail.com</t>
  </si>
  <si>
    <t>JOSE NESTOR</t>
  </si>
  <si>
    <t>3813038965</t>
  </si>
  <si>
    <t>Dirección General Administrativa</t>
  </si>
  <si>
    <t>josencorrea@hotmail.com</t>
  </si>
  <si>
    <t>4107334</t>
  </si>
  <si>
    <t>DEL CARRIL</t>
  </si>
  <si>
    <t>PABLO JAVIER</t>
  </si>
  <si>
    <t>DURAN</t>
  </si>
  <si>
    <t>155538026</t>
  </si>
  <si>
    <t>Vicedecanato</t>
  </si>
  <si>
    <t>secvicedecana2019@gmail.com</t>
  </si>
  <si>
    <t>4107337</t>
  </si>
  <si>
    <t>FELIPE MAZA</t>
  </si>
  <si>
    <t xml:space="preserve">JORGE DANIEL </t>
  </si>
  <si>
    <t>VOLUNTARIO DEL PUEDES</t>
  </si>
  <si>
    <t>danielfelipemaza@outlook.com</t>
  </si>
  <si>
    <t>GARTNER</t>
  </si>
  <si>
    <t>LILIAN EILEEN</t>
  </si>
  <si>
    <t>encargada division de actas</t>
  </si>
  <si>
    <t>biblioteca@psicologia.unt.edu.ar</t>
  </si>
  <si>
    <t>GEREZ</t>
  </si>
  <si>
    <t>ESTEBAN DE JESUS</t>
  </si>
  <si>
    <t>estigerez@hotmail.com</t>
  </si>
  <si>
    <t>GONZALEZ VERA</t>
  </si>
  <si>
    <t>SILVIA EUGENIA</t>
  </si>
  <si>
    <t>jefa de dpto.</t>
  </si>
  <si>
    <t>sil_ver03@hotmail.com</t>
  </si>
  <si>
    <t>HARLOUCHET</t>
  </si>
  <si>
    <t>MARTA GRACIELA</t>
  </si>
  <si>
    <t>IRRAZABAL</t>
  </si>
  <si>
    <t>deleadm@psicologia.unt.edu.ar</t>
  </si>
  <si>
    <t>484 7338</t>
  </si>
  <si>
    <t>LAVAQUE</t>
  </si>
  <si>
    <t>FABIANA</t>
  </si>
  <si>
    <t>Flavaque@hotmail.com</t>
  </si>
  <si>
    <t xml:space="preserve">7342  7334 </t>
  </si>
  <si>
    <t>LECCHI</t>
  </si>
  <si>
    <t>GABRIELA INES</t>
  </si>
  <si>
    <t>155881997</t>
  </si>
  <si>
    <t>Jefa de reinscripciones</t>
  </si>
  <si>
    <t>flopitatuc@hotmail.com</t>
  </si>
  <si>
    <t>gabi.lecchi57@gmail.com</t>
  </si>
  <si>
    <t>4847334</t>
  </si>
  <si>
    <t>LOPEZ DE MARTIN</t>
  </si>
  <si>
    <t>silvialopezdemartin@hotmail.com</t>
  </si>
  <si>
    <t>7342 7334</t>
  </si>
  <si>
    <t>LOPEZ ZIGARAN</t>
  </si>
  <si>
    <t>rlmnallar@hotmail.com</t>
  </si>
  <si>
    <t>4107334- 7334</t>
  </si>
  <si>
    <t>LOPEZ ZIGARÁN</t>
  </si>
  <si>
    <t>DIRECCIÓN ALUMNOS</t>
  </si>
  <si>
    <t>rlnnallar@hotmail.com</t>
  </si>
  <si>
    <t>MARCIAL</t>
  </si>
  <si>
    <t>aulas@psicologia.unt.edu.ar</t>
  </si>
  <si>
    <t>MERLO</t>
  </si>
  <si>
    <t>PABLO ROBERTO</t>
  </si>
  <si>
    <t>PALERMO</t>
  </si>
  <si>
    <t>despachoacademico@psicologia.unt.edu.ar</t>
  </si>
  <si>
    <t>POGGI</t>
  </si>
  <si>
    <t>MARIOO LEONARDO</t>
  </si>
  <si>
    <t>maritopoggi@hotmail.com</t>
  </si>
  <si>
    <t>RAMOS CATALAN</t>
  </si>
  <si>
    <t>.</t>
  </si>
  <si>
    <t>10/11/74</t>
  </si>
  <si>
    <t>4218254</t>
  </si>
  <si>
    <t>ramoscatalan.maria@gmail.com</t>
  </si>
  <si>
    <t>4847325</t>
  </si>
  <si>
    <t>EVANGELINA SOLEDAD</t>
  </si>
  <si>
    <t>esrojas_84@hotmail.com</t>
  </si>
  <si>
    <t>joserodolfo.08.jrs@gmail.com</t>
  </si>
  <si>
    <t>SCHAEFER</t>
  </si>
  <si>
    <t>robertov.schoefer@gmail.com</t>
  </si>
  <si>
    <t>BORCHIA</t>
  </si>
  <si>
    <t>10/11/64</t>
  </si>
  <si>
    <t>154741193</t>
  </si>
  <si>
    <t>aborchia@hotmail.com.ar</t>
  </si>
  <si>
    <t>4847338</t>
  </si>
  <si>
    <t>RITA PAOLA</t>
  </si>
  <si>
    <t>21/06/73</t>
  </si>
  <si>
    <t>154127406</t>
  </si>
  <si>
    <t>psicologa</t>
  </si>
  <si>
    <t>catedra problema sociologicos en psicologia - salud mental en emergencias y desastres</t>
  </si>
  <si>
    <t>paolabrito13@hotmail.com</t>
  </si>
  <si>
    <t>CESAR ALEJANDRO</t>
  </si>
  <si>
    <t>3884880907</t>
  </si>
  <si>
    <t>totex25@gmail.com</t>
  </si>
  <si>
    <t>SIERRA</t>
  </si>
  <si>
    <t>ESTEBAN RICARDO</t>
  </si>
  <si>
    <t>155294041</t>
  </si>
  <si>
    <t>Intendencia</t>
  </si>
  <si>
    <t>estebansierra0065@gmail.com</t>
  </si>
  <si>
    <t>154056665</t>
  </si>
  <si>
    <t>Sec. Académica (Rec)</t>
  </si>
  <si>
    <t>TECNICATURA EN GESTION UNIV.</t>
  </si>
  <si>
    <t>fernandaarip@gmail.com</t>
  </si>
  <si>
    <t>SONIA</t>
  </si>
  <si>
    <t>154426472</t>
  </si>
  <si>
    <t>LIC EN HISTORIA</t>
  </si>
  <si>
    <t>sonia.assaf@webmail.unt.edu.ar</t>
  </si>
  <si>
    <t>7170</t>
  </si>
  <si>
    <t>3816563999</t>
  </si>
  <si>
    <t>BIBLIOTECA CENTRAL</t>
  </si>
  <si>
    <t>isa.carmen.campero@gmail.com</t>
  </si>
  <si>
    <t>7157</t>
  </si>
  <si>
    <t>LUISA VIVIANA</t>
  </si>
  <si>
    <t>3815289616</t>
  </si>
  <si>
    <t>lcerasuolo@hotmail.com</t>
  </si>
  <si>
    <t>CHIVIDINI</t>
  </si>
  <si>
    <t>SANDRA KARINA</t>
  </si>
  <si>
    <t>156736867</t>
  </si>
  <si>
    <t>DIREC. GRAL. DE COMISIONES DEL H.C. SUPERIOR</t>
  </si>
  <si>
    <t>sandra_bulnes@hotmail.com</t>
  </si>
  <si>
    <t>4202016</t>
  </si>
  <si>
    <t>DEBES</t>
  </si>
  <si>
    <t xml:space="preserve"> 3816334269</t>
  </si>
  <si>
    <t>tsgu</t>
  </si>
  <si>
    <t>DIR. ALUMNOS LIC. EN GESTION UNIV.</t>
  </si>
  <si>
    <t>eugeniadebes@hotmail.com.ar</t>
  </si>
  <si>
    <t>4107275</t>
  </si>
  <si>
    <t>DEL CIANCIO</t>
  </si>
  <si>
    <t>MONICA ELIZABETH</t>
  </si>
  <si>
    <t>3814455143</t>
  </si>
  <si>
    <t>biblioteca central</t>
  </si>
  <si>
    <t>monicaciancio@hotmail.com</t>
  </si>
  <si>
    <t>FRIAS</t>
  </si>
  <si>
    <t>ADRIAN ALBERTO</t>
  </si>
  <si>
    <t>25/05/1976</t>
  </si>
  <si>
    <t>155117662</t>
  </si>
  <si>
    <t>Centro de Capacitación UNT</t>
  </si>
  <si>
    <t>adriantukman@hotmail.com</t>
  </si>
  <si>
    <t>4526028</t>
  </si>
  <si>
    <t>MARÍA ALEJANDRA</t>
  </si>
  <si>
    <t>155024094</t>
  </si>
  <si>
    <t>CONSEJO DE ESCUELAS EXPERIMENTALES</t>
  </si>
  <si>
    <t>alita332@hotmail.com</t>
  </si>
  <si>
    <t>4107284</t>
  </si>
  <si>
    <t>CARLOS ELPIDIO</t>
  </si>
  <si>
    <t>3815650160</t>
  </si>
  <si>
    <t>sec. de comisiones</t>
  </si>
  <si>
    <t>cargrau2009@hotmail.com</t>
  </si>
  <si>
    <t>7135</t>
  </si>
  <si>
    <t>154907978</t>
  </si>
  <si>
    <t>DIGETyL</t>
  </si>
  <si>
    <t>lore25843050@gmail.com</t>
  </si>
  <si>
    <t>4107277</t>
  </si>
  <si>
    <t>PONCE CARENA</t>
  </si>
  <si>
    <t>MARTA CAROLINA</t>
  </si>
  <si>
    <t>155789845</t>
  </si>
  <si>
    <t>poncecarena@hotmail.com</t>
  </si>
  <si>
    <t>4107249</t>
  </si>
  <si>
    <t>7249</t>
  </si>
  <si>
    <t>ROMANO FARIAS</t>
  </si>
  <si>
    <t>FEDERICO MIGUEL</t>
  </si>
  <si>
    <t>27/03/1977</t>
  </si>
  <si>
    <t>154193891</t>
  </si>
  <si>
    <t>federicoromano27@hotmail.com</t>
  </si>
  <si>
    <t>SABBAG</t>
  </si>
  <si>
    <t>PAOLA</t>
  </si>
  <si>
    <t>154179698</t>
  </si>
  <si>
    <t>LIC. EN PSICOLOGIA</t>
  </si>
  <si>
    <t>consejo de escuelas experimentales</t>
  </si>
  <si>
    <t>paolasabbag@gmail.com</t>
  </si>
  <si>
    <t>7138</t>
  </si>
  <si>
    <t>TADDEI</t>
  </si>
  <si>
    <t>ANIBAL MARTIN</t>
  </si>
  <si>
    <t>martintaddei@gmail.com</t>
  </si>
  <si>
    <t>MARCELA MARIA</t>
  </si>
  <si>
    <t>156284147</t>
  </si>
  <si>
    <t>4107285</t>
  </si>
  <si>
    <t>7285</t>
  </si>
  <si>
    <t>VALDEZ JAEN</t>
  </si>
  <si>
    <t>VILLAR</t>
  </si>
  <si>
    <t>PABLO EZEQUIEL</t>
  </si>
  <si>
    <t>villarezequiel@hotmail.com</t>
  </si>
  <si>
    <t>SERGIO DANIEL</t>
  </si>
  <si>
    <t>155490919</t>
  </si>
  <si>
    <t>Sergiodalvarez18@gmail.com</t>
  </si>
  <si>
    <t>SOLER</t>
  </si>
  <si>
    <t>3813909059</t>
  </si>
  <si>
    <t>laurasoler_75@hotmail.com</t>
  </si>
  <si>
    <t>7169</t>
  </si>
  <si>
    <t>155154476</t>
  </si>
  <si>
    <t>DIRECTORA GRAL. DE COMISIONES DEL HC SUPERIOR</t>
  </si>
  <si>
    <t>marcela.tolosa@hotmail.com</t>
  </si>
  <si>
    <t>WILDE</t>
  </si>
  <si>
    <t>ELINA MARIA</t>
  </si>
  <si>
    <t>24/04/1972</t>
  </si>
  <si>
    <t>155108531</t>
  </si>
  <si>
    <t>Lic. en Gestion Univ.</t>
  </si>
  <si>
    <t>SECRETARIA PRIVADA</t>
  </si>
  <si>
    <t>elinamwilde@gmail.com</t>
  </si>
  <si>
    <t>MATURANO ARAGON</t>
  </si>
  <si>
    <t>3815128476</t>
  </si>
  <si>
    <t>TITULOS</t>
  </si>
  <si>
    <t>anitamaturano@gmail.com</t>
  </si>
  <si>
    <t>4525059</t>
  </si>
  <si>
    <t>3816201095</t>
  </si>
  <si>
    <t>LIC. EN TRABAJO SOCIAL</t>
  </si>
  <si>
    <t>mventu@hotmail.com</t>
  </si>
  <si>
    <t>CARACOTCHE</t>
  </si>
  <si>
    <t>HORACIO A.</t>
  </si>
  <si>
    <t>3815425787</t>
  </si>
  <si>
    <t>DIRECCION GRAL. DE RELACIONES INTERNACIONALES</t>
  </si>
  <si>
    <t>hcaracotche@gmail.com</t>
  </si>
  <si>
    <t>4247036</t>
  </si>
  <si>
    <t>7152</t>
  </si>
  <si>
    <t>MENDEZ LOBO</t>
  </si>
  <si>
    <t>MARIA MICAELA</t>
  </si>
  <si>
    <t>154952656</t>
  </si>
  <si>
    <t>micaela-ml@hotmail.com</t>
  </si>
  <si>
    <t>MARTINEZ RONDOLETTO</t>
  </si>
  <si>
    <t>JORGE PEDRO ISAURO</t>
  </si>
  <si>
    <t>154641819</t>
  </si>
  <si>
    <t>TITULOS Y LEGALIZACIONES</t>
  </si>
  <si>
    <t>isauro.rondoletto@gmail.com</t>
  </si>
  <si>
    <t>MORAN</t>
  </si>
  <si>
    <t>HECTOR JAVIER</t>
  </si>
  <si>
    <t>3814639338</t>
  </si>
  <si>
    <t>hectorjaviermoran.33@gmail.com</t>
  </si>
  <si>
    <t>ELIANA CAROLINA</t>
  </si>
  <si>
    <t>3816206019</t>
  </si>
  <si>
    <t>dir. gral. academica</t>
  </si>
  <si>
    <t>elianagomez207@gmail.com</t>
  </si>
  <si>
    <t>7168</t>
  </si>
  <si>
    <t>WAYAR</t>
  </si>
  <si>
    <t>GABRIELA MARIA LAURA</t>
  </si>
  <si>
    <t>3816338082</t>
  </si>
  <si>
    <t>DIR. GRAL DE RELACIONES INTERNACIONALES</t>
  </si>
  <si>
    <t>relinterunt@gmail.com</t>
  </si>
  <si>
    <t>AGÜERO DE CHAZAL</t>
  </si>
  <si>
    <t>MARIA ZAIRA</t>
  </si>
  <si>
    <t>Sec. Bienestar Universitario</t>
  </si>
  <si>
    <t>zairadechazal@hotmail.com</t>
  </si>
  <si>
    <t>ALEJANDRA DEL VALLE</t>
  </si>
  <si>
    <t>alejandra_albarracin7@hotmail.com</t>
  </si>
  <si>
    <t>LUIS EDUARDO</t>
  </si>
  <si>
    <t>asesor</t>
  </si>
  <si>
    <t>galli_albornoz@hotmail.com</t>
  </si>
  <si>
    <t>MARIA DOLORES</t>
  </si>
  <si>
    <t>GUIA INTERPRETE</t>
  </si>
  <si>
    <t>loletucuman@yahoo.com.ar</t>
  </si>
  <si>
    <t>ARANA</t>
  </si>
  <si>
    <t>VICTOR GUILLERMO</t>
  </si>
  <si>
    <t>aranaguillermo@hotmail.com</t>
  </si>
  <si>
    <t>4107248- 7248</t>
  </si>
  <si>
    <t>SUSANA DEL VALLE</t>
  </si>
  <si>
    <t>susanarubis@hotmail.com</t>
  </si>
  <si>
    <t xml:space="preserve">AVILA </t>
  </si>
  <si>
    <t>JORGE ALFREDO</t>
  </si>
  <si>
    <t>BAGUR</t>
  </si>
  <si>
    <t>juan.bagur@gmail.com</t>
  </si>
  <si>
    <t>BEJAR</t>
  </si>
  <si>
    <t>elmochojuan@hotmail.com</t>
  </si>
  <si>
    <t>BERTHALET</t>
  </si>
  <si>
    <t>MARCELA LILIANA</t>
  </si>
  <si>
    <t>marcelaberthalet@hotmail.com</t>
  </si>
  <si>
    <t>BICHANA</t>
  </si>
  <si>
    <t>marcela_bicjana@yahoo.com.ar</t>
  </si>
  <si>
    <t>BRANCATO</t>
  </si>
  <si>
    <t>EDITH DEL CARMEN</t>
  </si>
  <si>
    <t>154036720</t>
  </si>
  <si>
    <t>Prof. en EGB 1 Y 2</t>
  </si>
  <si>
    <t>aspe</t>
  </si>
  <si>
    <t>edithbrancato@hotmail.com</t>
  </si>
  <si>
    <t xml:space="preserve">CASTILLO </t>
  </si>
  <si>
    <t>LUIS</t>
  </si>
  <si>
    <t>lucho_trc@hotmail.com</t>
  </si>
  <si>
    <t>eduardochavarria93@yahoo.com.ar</t>
  </si>
  <si>
    <t>CORREA BASUALDO</t>
  </si>
  <si>
    <t>CONSTANZA JOSEFINA</t>
  </si>
  <si>
    <t>joco-2008@hotmail.com</t>
  </si>
  <si>
    <t>CUEVAS</t>
  </si>
  <si>
    <t>155305228</t>
  </si>
  <si>
    <t xml:space="preserve">Profesora de educación Primaria </t>
  </si>
  <si>
    <t xml:space="preserve">anamaria.cuevas66@gmail.com </t>
  </si>
  <si>
    <t>4211388</t>
  </si>
  <si>
    <t>DAVID</t>
  </si>
  <si>
    <t>ANTONELLA</t>
  </si>
  <si>
    <t>antitodavid@gmail.com</t>
  </si>
  <si>
    <t>DE LA ORDEN</t>
  </si>
  <si>
    <t>RUBEN</t>
  </si>
  <si>
    <t>156016051</t>
  </si>
  <si>
    <t>Ing. Agronomo</t>
  </si>
  <si>
    <t>director administrativo</t>
  </si>
  <si>
    <t>crubendelaorden@gmail.com</t>
  </si>
  <si>
    <t>4258568</t>
  </si>
  <si>
    <t>CARLOS RUBEN</t>
  </si>
  <si>
    <t>DELLA ROCCA</t>
  </si>
  <si>
    <t>paodellarocca@gmail.com</t>
  </si>
  <si>
    <t>DIAZ FONTENLA</t>
  </si>
  <si>
    <t>NATALIA ROMINA</t>
  </si>
  <si>
    <t>DUMIT</t>
  </si>
  <si>
    <t>FABIAN A.</t>
  </si>
  <si>
    <t>JEFE DE AREA TURNO MAÑANA</t>
  </si>
  <si>
    <t>dumitfabian@hotmail.com</t>
  </si>
  <si>
    <t>GLESER</t>
  </si>
  <si>
    <t>RODOLFO</t>
  </si>
  <si>
    <t>RESPONSABLE DE PROGRAMA</t>
  </si>
  <si>
    <t>rgleser@gamil.com</t>
  </si>
  <si>
    <t>4107282- 7282</t>
  </si>
  <si>
    <t>RAQUEL ENRIQUETA</t>
  </si>
  <si>
    <t>ENCARGADA DE PERSONAL</t>
  </si>
  <si>
    <t>raquelg_16@hotmail.com</t>
  </si>
  <si>
    <t>EUGENIA LUZ</t>
  </si>
  <si>
    <t>04/12/1972</t>
  </si>
  <si>
    <t>154744362</t>
  </si>
  <si>
    <t>Ing. en Sistemas</t>
  </si>
  <si>
    <t>apoyo tecnico informatico</t>
  </si>
  <si>
    <t>eugeluz@gmail.com</t>
  </si>
  <si>
    <t>GONZALEZ DE BORRAS</t>
  </si>
  <si>
    <t>aligobo229@yahoo.com.ar</t>
  </si>
  <si>
    <t>GRAMAJO</t>
  </si>
  <si>
    <t>WALTER SERGIO</t>
  </si>
  <si>
    <t>zukigramajo@hotmail.com</t>
  </si>
  <si>
    <t>GUERRERO DE IANIERO</t>
  </si>
  <si>
    <t>OFELIA ROSA</t>
  </si>
  <si>
    <t>afel03@hotmail.com</t>
  </si>
  <si>
    <t>HAIMONTH</t>
  </si>
  <si>
    <t>ANA CRISTINA</t>
  </si>
  <si>
    <t>jefe mesa de netradas</t>
  </si>
  <si>
    <t>EMILIO</t>
  </si>
  <si>
    <t>siblings@live.com.ar</t>
  </si>
  <si>
    <t>JUÁREZ</t>
  </si>
  <si>
    <t>EDUARDO GUSTAVO</t>
  </si>
  <si>
    <t>GUARDAPARQUE</t>
  </si>
  <si>
    <t>edugujuarez@hotmail.com</t>
  </si>
  <si>
    <t>LEAL DE OGAS</t>
  </si>
  <si>
    <t>LIDIA</t>
  </si>
  <si>
    <t>LEGUINA</t>
  </si>
  <si>
    <t>RAUL ERNESTO</t>
  </si>
  <si>
    <t>auditor</t>
  </si>
  <si>
    <t>RUBEN CAYETANO</t>
  </si>
  <si>
    <t>JEFE DE AREA TURNO NOCHE</t>
  </si>
  <si>
    <t>rubenleonoef@gmail.com</t>
  </si>
  <si>
    <t>ISI</t>
  </si>
  <si>
    <t>LUCENA</t>
  </si>
  <si>
    <t>asistente de control y calidad de gestion</t>
  </si>
  <si>
    <t>marcosluce@hotmail.com</t>
  </si>
  <si>
    <t>LUCAS JAVIER</t>
  </si>
  <si>
    <t>lucasluna111@gmail.com</t>
  </si>
  <si>
    <t xml:space="preserve">LUNA </t>
  </si>
  <si>
    <t>MAHERIS SLAME</t>
  </si>
  <si>
    <t>hdms_80@hotmail.com</t>
  </si>
  <si>
    <t>ANTONIO FABIAN</t>
  </si>
  <si>
    <t>JEFE DE AREA TURNO TARDE</t>
  </si>
  <si>
    <t>teosimon54@gmail.com</t>
  </si>
  <si>
    <t>dmamani@rectorado.unt.edu.ar</t>
  </si>
  <si>
    <t>MAXIMILIANO MARTIN</t>
  </si>
  <si>
    <t>155063608</t>
  </si>
  <si>
    <t>proDIS</t>
  </si>
  <si>
    <t>maximamani@gmail.com</t>
  </si>
  <si>
    <t>6921</t>
  </si>
  <si>
    <t>MAROGLIO</t>
  </si>
  <si>
    <t>FLAVIO OSCAR</t>
  </si>
  <si>
    <t>RESPONSABLE DE ÁREA DE APOYO TECNOLOGICO</t>
  </si>
  <si>
    <t>fmaroglio@gmail.com</t>
  </si>
  <si>
    <t>CAROLINA ALEJANDRA</t>
  </si>
  <si>
    <t>JEFA MESA DE ENTRADAS</t>
  </si>
  <si>
    <t>carolina_am87@hotmail.com</t>
  </si>
  <si>
    <t>MOLINA</t>
  </si>
  <si>
    <t>ANA MARIA DEL VALLE</t>
  </si>
  <si>
    <t>ana.mariamolina@hotmail.com.ar</t>
  </si>
  <si>
    <t>MOSQUEIRA</t>
  </si>
  <si>
    <t>GUILLERMO D.</t>
  </si>
  <si>
    <t>guillomosqueira@hotmail.com</t>
  </si>
  <si>
    <t>ANTONIO ENRIQUE</t>
  </si>
  <si>
    <t>NADAL OLIVERO</t>
  </si>
  <si>
    <t>gabrielnadal@live.com</t>
  </si>
  <si>
    <t xml:space="preserve">GRACIELA  </t>
  </si>
  <si>
    <t>oms36@hotmail.com</t>
  </si>
  <si>
    <t>MUCAMA</t>
  </si>
  <si>
    <t>elizabeth.478@gmail.com</t>
  </si>
  <si>
    <t>PERSONALMENTE</t>
  </si>
  <si>
    <t>gracielamaria_22@yahoo.com.ar</t>
  </si>
  <si>
    <t>cristinaosores1@hotmail.com</t>
  </si>
  <si>
    <t>PADILLA</t>
  </si>
  <si>
    <t>3816234525</t>
  </si>
  <si>
    <t>secretaria privada</t>
  </si>
  <si>
    <t>maviepadilla@hotmail.com</t>
  </si>
  <si>
    <t>jefe departamento compras</t>
  </si>
  <si>
    <t>CARLOS ARTURO</t>
  </si>
  <si>
    <t>PENELOPE JORGELINA</t>
  </si>
  <si>
    <t>pasante</t>
  </si>
  <si>
    <t>penelope25.89@gmail.com</t>
  </si>
  <si>
    <t>publico</t>
  </si>
  <si>
    <t>estela_rey2007@yahoo.com.ar</t>
  </si>
  <si>
    <t>danielrey.nada@hotmail.com</t>
  </si>
  <si>
    <t>4975970- 108</t>
  </si>
  <si>
    <t>k_ro1377@hotmail.com</t>
  </si>
  <si>
    <t>NOELIA SILVINA</t>
  </si>
  <si>
    <t>noeriva@hotmail.com</t>
  </si>
  <si>
    <t>JULIO CÉSAR</t>
  </si>
  <si>
    <t>JEFE DPTO. BIENES PATRIMONIALES</t>
  </si>
  <si>
    <t>rodriguezjc41@yahoo.com</t>
  </si>
  <si>
    <t>4211388- 105</t>
  </si>
  <si>
    <t>FERNANDO JUSTINIANO</t>
  </si>
  <si>
    <t>ATENCION AL CLIENTE</t>
  </si>
  <si>
    <t>fernandojustinianorodriguez@hotmail.com</t>
  </si>
  <si>
    <t>4975970- 100</t>
  </si>
  <si>
    <t>HUGO JAVIER</t>
  </si>
  <si>
    <t>154625060</t>
  </si>
  <si>
    <t>javi_rojas75@hotmail.com</t>
  </si>
  <si>
    <t>4207470</t>
  </si>
  <si>
    <t>ROMERO OLMOS</t>
  </si>
  <si>
    <t>juanpi.tp@gmail.com</t>
  </si>
  <si>
    <t>MATIAS MIGUEL</t>
  </si>
  <si>
    <t>matisalas@hotmail.com</t>
  </si>
  <si>
    <t>SALINAS COLLADO</t>
  </si>
  <si>
    <t>jefe dpto administrativo</t>
  </si>
  <si>
    <t>rsalinascollado@hotmail.com</t>
  </si>
  <si>
    <t>SALTO</t>
  </si>
  <si>
    <t>OMAR</t>
  </si>
  <si>
    <t>153559189</t>
  </si>
  <si>
    <t>6950</t>
  </si>
  <si>
    <t>PATRICIA ROXANA</t>
  </si>
  <si>
    <t>DIRECTORA DE PERSONAL</t>
  </si>
  <si>
    <t>pattosuarez@hotmail.com</t>
  </si>
  <si>
    <t>SUAREZ ALVAREZ</t>
  </si>
  <si>
    <t>ROVINSON ANTONIO</t>
  </si>
  <si>
    <t>156788331</t>
  </si>
  <si>
    <t>economica financiera</t>
  </si>
  <si>
    <t>rtony_suarez@hotmail.com</t>
  </si>
  <si>
    <t>chofer</t>
  </si>
  <si>
    <t>davidurueña1@hotmail.com</t>
  </si>
  <si>
    <t>VILLADA</t>
  </si>
  <si>
    <t>NORA BEATRIZ</t>
  </si>
  <si>
    <t>norabeatrizvillada@gmail.com</t>
  </si>
  <si>
    <t>TORRES VEGA</t>
  </si>
  <si>
    <t>MATIAS AGUSTIN</t>
  </si>
  <si>
    <t>30/04/1976</t>
  </si>
  <si>
    <t>153159992</t>
  </si>
  <si>
    <t>LIC. EN ECONOMIA</t>
  </si>
  <si>
    <t>ENCARGADO DE ASUNTOS ESTUDIANTILES</t>
  </si>
  <si>
    <t>mtorresvega@yahoo.com</t>
  </si>
  <si>
    <t>4201589</t>
  </si>
  <si>
    <t>CELIOPE</t>
  </si>
  <si>
    <t>GILDA ANDREA</t>
  </si>
  <si>
    <t>3814546041</t>
  </si>
  <si>
    <t>diseñador de interiores y equipamiento</t>
  </si>
  <si>
    <t>celiopegilda@gmail.com</t>
  </si>
  <si>
    <t>GARCIA VILLAR</t>
  </si>
  <si>
    <t>3814132010</t>
  </si>
  <si>
    <t>danielgarciavil@gmail.com</t>
  </si>
  <si>
    <t>SACCA</t>
  </si>
  <si>
    <t>ALEJANDRO SIMON</t>
  </si>
  <si>
    <t>3814499369</t>
  </si>
  <si>
    <t>simonsacca@hotmail.com</t>
  </si>
  <si>
    <t>GUSTAVO NICOLAS</t>
  </si>
  <si>
    <t>155887032</t>
  </si>
  <si>
    <t>direccion de inclusion y formacion</t>
  </si>
  <si>
    <t>gustavopadilla6@gmail.com</t>
  </si>
  <si>
    <t>3812310767</t>
  </si>
  <si>
    <t>MARIA DEL HUERTO</t>
  </si>
  <si>
    <t>Sec. de Ciencia, Arte e Innovación Tecnol.(Rec)</t>
  </si>
  <si>
    <t>mdh@ct.unt.edu.ar</t>
  </si>
  <si>
    <t xml:space="preserve">CAMPOS </t>
  </si>
  <si>
    <t>CRISTINA</t>
  </si>
  <si>
    <t>18/09/1982</t>
  </si>
  <si>
    <t>155816214</t>
  </si>
  <si>
    <t>ADMINISTRATIVO COMPRAS</t>
  </si>
  <si>
    <t>marinafcarrizo01@hotmail.com</t>
  </si>
  <si>
    <t>4311200</t>
  </si>
  <si>
    <t>214</t>
  </si>
  <si>
    <t>GARCIA POSSE</t>
  </si>
  <si>
    <t>CONSTANZA MARIA</t>
  </si>
  <si>
    <t>ASISTENTE DE COMUNICACIONES</t>
  </si>
  <si>
    <t>constanzagp@ct.unt.edu.ar</t>
  </si>
  <si>
    <t>4311200/896/909</t>
  </si>
  <si>
    <t>GUILLERMO GABRIEL</t>
  </si>
  <si>
    <t>RENDICIONES PIUNT</t>
  </si>
  <si>
    <t>gguzman@ct.unt.edu.ar</t>
  </si>
  <si>
    <t>KARSVNIE</t>
  </si>
  <si>
    <t>SERGIO EDUARDO</t>
  </si>
  <si>
    <t>JEFE DE SISTEMAS Y COMUNICACIONES</t>
  </si>
  <si>
    <t>sekar@ct.unt.edu.ar</t>
  </si>
  <si>
    <t>KHOURI</t>
  </si>
  <si>
    <t>ANDREA ALEJANDRA</t>
  </si>
  <si>
    <t>01/08/1981</t>
  </si>
  <si>
    <t>156781594</t>
  </si>
  <si>
    <t>andrea_khouri@hotmail.com</t>
  </si>
  <si>
    <t>205</t>
  </si>
  <si>
    <t>MATEO</t>
  </si>
  <si>
    <t>FLORENCIA</t>
  </si>
  <si>
    <t>03/08/1983</t>
  </si>
  <si>
    <t>156227190</t>
  </si>
  <si>
    <t>RENDICIONES</t>
  </si>
  <si>
    <t>fmateo@ct.unt.edu.ar</t>
  </si>
  <si>
    <t>PRIETO GALO</t>
  </si>
  <si>
    <t>RESPONSABLE DE COMERCIO EXTERIOR</t>
  </si>
  <si>
    <t>cprietogalo@gmail.com</t>
  </si>
  <si>
    <t>RISCALA</t>
  </si>
  <si>
    <t>ADRIANA ELMIRA</t>
  </si>
  <si>
    <t>02/02/1969</t>
  </si>
  <si>
    <t>155185021</t>
  </si>
  <si>
    <t>DIRECTORA DE ADM. Y CONTABILIDAD GRAL.</t>
  </si>
  <si>
    <t>10</t>
  </si>
  <si>
    <t>ariscala@ct.unt.edu.ar</t>
  </si>
  <si>
    <t>4311200/896</t>
  </si>
  <si>
    <t>223</t>
  </si>
  <si>
    <t>26/09/1965</t>
  </si>
  <si>
    <t>154137093</t>
  </si>
  <si>
    <t>TECNICATURA</t>
  </si>
  <si>
    <t>ENCARGADA DE BECAS</t>
  </si>
  <si>
    <t>alejandraromero@ct.unt.edu.ar / aleromeroganim@gmail.com</t>
  </si>
  <si>
    <t>LUIS ADRIÁN</t>
  </si>
  <si>
    <t>asalvatierra@ct.unt.edu.ar</t>
  </si>
  <si>
    <t>SIERRALTA</t>
  </si>
  <si>
    <t>SERGIO ENRIQUE</t>
  </si>
  <si>
    <t>serentuc@ct.unt.edu.ar</t>
  </si>
  <si>
    <t>1896/ 1909/ 2041</t>
  </si>
  <si>
    <t>VARELA FRÍAS</t>
  </si>
  <si>
    <t>DANIEL MATÍAS</t>
  </si>
  <si>
    <t>154133874</t>
  </si>
  <si>
    <t>COMPRAS Y PATRIMONIO</t>
  </si>
  <si>
    <t>dvarela@ct.unt.edu.ar</t>
  </si>
  <si>
    <t>AURORA</t>
  </si>
  <si>
    <t>lv4211@gmail.com</t>
  </si>
  <si>
    <t>NAPADENSKY</t>
  </si>
  <si>
    <t>NORA PATRICIA</t>
  </si>
  <si>
    <t>154624197</t>
  </si>
  <si>
    <t>Bachiller univ. en fisica</t>
  </si>
  <si>
    <t>patricia@ct.unt.edu.ar</t>
  </si>
  <si>
    <t>MAZIAD</t>
  </si>
  <si>
    <t>MONICA CATERINA</t>
  </si>
  <si>
    <t>09/07/72</t>
  </si>
  <si>
    <t>3814031238</t>
  </si>
  <si>
    <t>RENDICIONES Y CONTADURIA GENERAL</t>
  </si>
  <si>
    <t>cati22@hotmail.com</t>
  </si>
  <si>
    <t>GRIGNOLA</t>
  </si>
  <si>
    <t>19/08/84</t>
  </si>
  <si>
    <t>3815414813</t>
  </si>
  <si>
    <t>UNIDAD DE NEGOCIOS</t>
  </si>
  <si>
    <t>nicolas.grignola@une.unt.edu.ar</t>
  </si>
  <si>
    <t>4213770</t>
  </si>
  <si>
    <t>CORVALAN DE LAZARTE</t>
  </si>
  <si>
    <t>MARIA FATIMA</t>
  </si>
  <si>
    <t>Sec. De Asuntos Estudiantiles (Rec)</t>
  </si>
  <si>
    <t>faticorvalan@hotmail.com</t>
  </si>
  <si>
    <t>4247752- 7254</t>
  </si>
  <si>
    <t>DI NELLA</t>
  </si>
  <si>
    <t>MARIA DE LUJÁN</t>
  </si>
  <si>
    <t>155093571</t>
  </si>
  <si>
    <t>Fonoaudiologa</t>
  </si>
  <si>
    <t>maludi72@gmail.com</t>
  </si>
  <si>
    <t>7116</t>
  </si>
  <si>
    <t>FERNANDEZ FLAWIA</t>
  </si>
  <si>
    <t>154194995</t>
  </si>
  <si>
    <t>LIC. EN DISEÑO GRAFICO</t>
  </si>
  <si>
    <t>DIR. GRAL. DE BECAS</t>
  </si>
  <si>
    <t>soleadff@gmail.com</t>
  </si>
  <si>
    <t>4201465</t>
  </si>
  <si>
    <t>MARCELO ADRIAN</t>
  </si>
  <si>
    <t>NADIA GISELLE</t>
  </si>
  <si>
    <t>ngn_09@hotmail.com</t>
  </si>
  <si>
    <t>DIRECTOR CONTROL DE GESTION</t>
  </si>
  <si>
    <t>bodyromanonorri@hotmail.com</t>
  </si>
  <si>
    <t>PATRICIO</t>
  </si>
  <si>
    <t>sannapatricio@gmail.com</t>
  </si>
  <si>
    <t>SORIA NIETO</t>
  </si>
  <si>
    <t>RAFAEL</t>
  </si>
  <si>
    <t>154417673</t>
  </si>
  <si>
    <t>ingeniero industrial</t>
  </si>
  <si>
    <t>ingrasn@yahoo.com.ar</t>
  </si>
  <si>
    <t>LORENA DEL CARMEN</t>
  </si>
  <si>
    <t>26/02/1977</t>
  </si>
  <si>
    <t>153038710</t>
  </si>
  <si>
    <t>alejandrofalcon644@gmail.com</t>
  </si>
  <si>
    <t>JOSE M.</t>
  </si>
  <si>
    <t>josetoledo2357@hotmail.com</t>
  </si>
  <si>
    <t>Dir. Bienes Patrimoniales</t>
  </si>
  <si>
    <t>nuevoalberto@yahoo.com.ar</t>
  </si>
  <si>
    <t>CESAR G.</t>
  </si>
  <si>
    <t>HUMBERTO RENE</t>
  </si>
  <si>
    <t>DUHART</t>
  </si>
  <si>
    <t>154473264</t>
  </si>
  <si>
    <t>juliduhart@hotmail.com</t>
  </si>
  <si>
    <t>204</t>
  </si>
  <si>
    <t>dpto rendiciones</t>
  </si>
  <si>
    <t>flor_m20@hotmail.com</t>
  </si>
  <si>
    <t>155172755</t>
  </si>
  <si>
    <t>TECNICO SUPERIOR EN DISEÑO INDUSTRIAL</t>
  </si>
  <si>
    <t>Sec. de Económica Administrativa (Rec)</t>
  </si>
  <si>
    <t>CONTROL DE PLANTA</t>
  </si>
  <si>
    <t>juanarip@hotmail.com</t>
  </si>
  <si>
    <t>4107265- 7179</t>
  </si>
  <si>
    <t>BURGOS</t>
  </si>
  <si>
    <t>MARIANO RAÚL</t>
  </si>
  <si>
    <t>MÉDICO LABORAL</t>
  </si>
  <si>
    <t>marianoburgos@argentina.com</t>
  </si>
  <si>
    <t>CARABAJAL</t>
  </si>
  <si>
    <t>gusjavcarabajal@hotmail.com</t>
  </si>
  <si>
    <t>CARDOSO</t>
  </si>
  <si>
    <t>OSCAR ALBERTO</t>
  </si>
  <si>
    <t>AUDITOR PSICOLOGO</t>
  </si>
  <si>
    <t>oscarcardozo@yahoo.com</t>
  </si>
  <si>
    <t>CIFRE</t>
  </si>
  <si>
    <t>SILVIA ELIZABETH</t>
  </si>
  <si>
    <t>156442666</t>
  </si>
  <si>
    <t>MG. EN ARTES PLASTICAS, TEC. CERAMISTA</t>
  </si>
  <si>
    <t>DGUS</t>
  </si>
  <si>
    <t>elycifre@hotmail.com</t>
  </si>
  <si>
    <t>CIPULLI</t>
  </si>
  <si>
    <t>DANTE</t>
  </si>
  <si>
    <t>viviegomez@hotmail.com</t>
  </si>
  <si>
    <t>CLEMENTTI</t>
  </si>
  <si>
    <t>20/02/1966</t>
  </si>
  <si>
    <t>155424384</t>
  </si>
  <si>
    <t>ABOGAGO</t>
  </si>
  <si>
    <t>ASOM</t>
  </si>
  <si>
    <t>aruclem@gmail.com</t>
  </si>
  <si>
    <t>41072287</t>
  </si>
  <si>
    <t>7229</t>
  </si>
  <si>
    <t>ELIANA CECILIA</t>
  </si>
  <si>
    <t>155972749</t>
  </si>
  <si>
    <t>DIR. GRAL. DE PRESUPUESTO</t>
  </si>
  <si>
    <t>ely_cotty125@hotmail.com</t>
  </si>
  <si>
    <t>4107258</t>
  </si>
  <si>
    <t>7258</t>
  </si>
  <si>
    <t>GABRIELA BEATRIZ</t>
  </si>
  <si>
    <t>155873423</t>
  </si>
  <si>
    <t>d.g.a.</t>
  </si>
  <si>
    <t>gbfarias16@gmail.com</t>
  </si>
  <si>
    <t>7123</t>
  </si>
  <si>
    <t>GIUSTO</t>
  </si>
  <si>
    <t>AGUEDA DEL VALLE</t>
  </si>
  <si>
    <t xml:space="preserve">lozanotuc@gmail.com </t>
  </si>
  <si>
    <t>VIVIANA ELIZABETH</t>
  </si>
  <si>
    <t>155868447</t>
  </si>
  <si>
    <t>lic. en adm. de empresas</t>
  </si>
  <si>
    <t>haberes</t>
  </si>
  <si>
    <t>viviegomez74@hotmail.com</t>
  </si>
  <si>
    <t>4107283</t>
  </si>
  <si>
    <t>GONZALEZ MIRANDA</t>
  </si>
  <si>
    <t>HECTOR ESTEBAN</t>
  </si>
  <si>
    <t>155894652</t>
  </si>
  <si>
    <t>esteban_20000@hotmail.com</t>
  </si>
  <si>
    <t>GRIET</t>
  </si>
  <si>
    <t>3814620303</t>
  </si>
  <si>
    <t>DIR. GRAL. DE HABERES</t>
  </si>
  <si>
    <t>mgriet@rectorado.unt.edu.ar</t>
  </si>
  <si>
    <t>4247752- 7283</t>
  </si>
  <si>
    <t>IBIRÍ</t>
  </si>
  <si>
    <t>RAMÓN</t>
  </si>
  <si>
    <t>ribiri@rectorado.unt.edu.ar</t>
  </si>
  <si>
    <t>AIDA NOEMI</t>
  </si>
  <si>
    <t>154179942</t>
  </si>
  <si>
    <t>dir. gral. de personal</t>
  </si>
  <si>
    <t>aidajuarez35@gmail.com</t>
  </si>
  <si>
    <t>4107265</t>
  </si>
  <si>
    <t>LAMENDULA</t>
  </si>
  <si>
    <t>3813000290</t>
  </si>
  <si>
    <t>DIR. GRAL. DE PERSONAL</t>
  </si>
  <si>
    <t>lucas.lamendula@gmail.com</t>
  </si>
  <si>
    <t>LATINA VIDAL</t>
  </si>
  <si>
    <t>CARLOS ESTEBAN</t>
  </si>
  <si>
    <t>155026948</t>
  </si>
  <si>
    <t>elatinavidal@gmail.com</t>
  </si>
  <si>
    <t>7283</t>
  </si>
  <si>
    <t>LENCINA</t>
  </si>
  <si>
    <t>3815200445</t>
  </si>
  <si>
    <t>mariaflorencialencina@gmail.com</t>
  </si>
  <si>
    <t>17/10/1963</t>
  </si>
  <si>
    <t>155372262</t>
  </si>
  <si>
    <t>DISEÑADORA</t>
  </si>
  <si>
    <t>elivlizondo@hotmail.com</t>
  </si>
  <si>
    <t>MARTEL</t>
  </si>
  <si>
    <t>MORENO DE NIEVA</t>
  </si>
  <si>
    <t xml:space="preserve">MARTA INES </t>
  </si>
  <si>
    <t>154499857</t>
  </si>
  <si>
    <t>medico</t>
  </si>
  <si>
    <t>DIR. GRAL. UNIV. DE SALUD</t>
  </si>
  <si>
    <t>mamoreno@rectorado.unt.edu.ar</t>
  </si>
  <si>
    <t>4107224</t>
  </si>
  <si>
    <t>MOISES MAURICIO</t>
  </si>
  <si>
    <t>4107223- 7223</t>
  </si>
  <si>
    <t>155055847</t>
  </si>
  <si>
    <t>malorenapalavecino@hotmail.com</t>
  </si>
  <si>
    <t>6933</t>
  </si>
  <si>
    <t>LUCÍA JOSEFINA</t>
  </si>
  <si>
    <t>3813304967</t>
  </si>
  <si>
    <t>Prof. en Letras</t>
  </si>
  <si>
    <t>EDUNT</t>
  </si>
  <si>
    <t>4523140</t>
  </si>
  <si>
    <t>MERCEDES JOSEFINA</t>
  </si>
  <si>
    <t>mercepaz@hotmail.com</t>
  </si>
  <si>
    <t>7223</t>
  </si>
  <si>
    <t>PRADOS REZZONICO</t>
  </si>
  <si>
    <t>SOFÍA DANIELA</t>
  </si>
  <si>
    <t>156115698</t>
  </si>
  <si>
    <t>DIR. GRAL. DE INFORMATICA</t>
  </si>
  <si>
    <t>sofia.prados@dirinfo.unt.edu.ar</t>
  </si>
  <si>
    <t>6927</t>
  </si>
  <si>
    <t>PUERARI</t>
  </si>
  <si>
    <t>156008747</t>
  </si>
  <si>
    <t>princesaso@hotmail.com</t>
  </si>
  <si>
    <t>155627714</t>
  </si>
  <si>
    <t>jpsanch@gmail.com</t>
  </si>
  <si>
    <t>SOLORZANO</t>
  </si>
  <si>
    <t>DÉBORAH</t>
  </si>
  <si>
    <t>155991519</t>
  </si>
  <si>
    <t>dga</t>
  </si>
  <si>
    <t>sololuz2002@rectorado.unt.edu.ar</t>
  </si>
  <si>
    <t>SUCCAR</t>
  </si>
  <si>
    <t>ROMINA DANIELA</t>
  </si>
  <si>
    <t>JEFE DE CUENTAS CORRIENTES OFICIALES</t>
  </si>
  <si>
    <t>rominadsuccar@hotmal.com</t>
  </si>
  <si>
    <t>TAPIA</t>
  </si>
  <si>
    <t>VICENTA ROSA</t>
  </si>
  <si>
    <t>OSCAR</t>
  </si>
  <si>
    <t>MÉDICO AUDITOR</t>
  </si>
  <si>
    <t>VARGAS MARTIN</t>
  </si>
  <si>
    <t>VANESSA LORENA</t>
  </si>
  <si>
    <t>Licenciada en Gestión Universitaria</t>
  </si>
  <si>
    <t>VIGO</t>
  </si>
  <si>
    <t>EDUARDO AGUSTÍN</t>
  </si>
  <si>
    <t>MÉDICO</t>
  </si>
  <si>
    <t>eavillafañe@yahoo.com.ar</t>
  </si>
  <si>
    <t>YÁÑEZ</t>
  </si>
  <si>
    <t>PABLO DANIEL</t>
  </si>
  <si>
    <t>155716122</t>
  </si>
  <si>
    <t>pabloyaneztuc@hotmail.com</t>
  </si>
  <si>
    <t>GAYÁ</t>
  </si>
  <si>
    <t>CÉSAR ALEJANDRO</t>
  </si>
  <si>
    <t>03815977932</t>
  </si>
  <si>
    <t>DIR. DE COMUNICACIONES</t>
  </si>
  <si>
    <t>ale76gaya@live.com.ar</t>
  </si>
  <si>
    <t>4525638</t>
  </si>
  <si>
    <t>7150</t>
  </si>
  <si>
    <t>DAHAN</t>
  </si>
  <si>
    <t>154137435</t>
  </si>
  <si>
    <t>DIR. DE ESTADISTICAS</t>
  </si>
  <si>
    <t>deunt@herrera.com.ar</t>
  </si>
  <si>
    <t>7710</t>
  </si>
  <si>
    <t>HERAS DE PETRELLI</t>
  </si>
  <si>
    <t>3815607805</t>
  </si>
  <si>
    <t>DIREC. DE ESTADISTICAS</t>
  </si>
  <si>
    <t>mariamercedesheras@gmail.com</t>
  </si>
  <si>
    <t>7710-7910</t>
  </si>
  <si>
    <t>LOCKLEY</t>
  </si>
  <si>
    <t>3816411980</t>
  </si>
  <si>
    <t>lic. en adm de empresas</t>
  </si>
  <si>
    <t>DIR. GRAL DE PRESUPUESTO</t>
  </si>
  <si>
    <t>walterlockley@gmail.com</t>
  </si>
  <si>
    <t>4525639</t>
  </si>
  <si>
    <t>7173</t>
  </si>
  <si>
    <t>ALTAMIRANO</t>
  </si>
  <si>
    <t>3814699024</t>
  </si>
  <si>
    <t>ING. ELECTRICISTA</t>
  </si>
  <si>
    <t>SERVICIOS DE TERCEROS</t>
  </si>
  <si>
    <t>sergioaltamirano@gmail.com</t>
  </si>
  <si>
    <t>CARLOS R.</t>
  </si>
  <si>
    <t>DIR. DE PERSONAL</t>
  </si>
  <si>
    <t xml:space="preserve">BRAVO </t>
  </si>
  <si>
    <t>CESAR</t>
  </si>
  <si>
    <t>153592419</t>
  </si>
  <si>
    <t>sub. sec. econ. adm.</t>
  </si>
  <si>
    <t>cesardbravo@hotmail.com</t>
  </si>
  <si>
    <t>VINCIGUERRA</t>
  </si>
  <si>
    <t>3815730923</t>
  </si>
  <si>
    <t>DIR. GESTION DE CALIDAD</t>
  </si>
  <si>
    <t>francovin89@gmail.com</t>
  </si>
  <si>
    <t>3816077966</t>
  </si>
  <si>
    <t>maestra nivel primario</t>
  </si>
  <si>
    <t>andreaserrano130276@gmail.com</t>
  </si>
  <si>
    <t>WALTER SEBASTIAN</t>
  </si>
  <si>
    <t>3815419069</t>
  </si>
  <si>
    <t>sebastiancataniac@gmail.com</t>
  </si>
  <si>
    <t>CLAUDIO ARNALDO</t>
  </si>
  <si>
    <t>3814480756</t>
  </si>
  <si>
    <t>dir. gral de presupuesto</t>
  </si>
  <si>
    <t>NORA INES</t>
  </si>
  <si>
    <t>Sec. De Extensión Universitaria (Rec)</t>
  </si>
  <si>
    <t>niac62@hotmail.com</t>
  </si>
  <si>
    <t>AHUMADA BULACIOS</t>
  </si>
  <si>
    <t>JULIO ADOLFO</t>
  </si>
  <si>
    <t xml:space="preserve">coordinador EPAM </t>
  </si>
  <si>
    <t>juliooffi@hotmail.com</t>
  </si>
  <si>
    <t>ALFONSO</t>
  </si>
  <si>
    <t>MARTA AMELIA</t>
  </si>
  <si>
    <t>martitaalfonso@hotmail.com</t>
  </si>
  <si>
    <t xml:space="preserve">ARAGON </t>
  </si>
  <si>
    <t>JOSE VICENTE</t>
  </si>
  <si>
    <t>ARAOZ GARCIA</t>
  </si>
  <si>
    <t xml:space="preserve">encargada puna medios </t>
  </si>
  <si>
    <t>punaunt@hotmail.com</t>
  </si>
  <si>
    <t>ARGAÑARÁZ</t>
  </si>
  <si>
    <t>MARIO ALBERTO</t>
  </si>
  <si>
    <t>CONTADOR</t>
  </si>
  <si>
    <t>ma_argañaraz@hotmail.com</t>
  </si>
  <si>
    <t>ASSAD</t>
  </si>
  <si>
    <t xml:space="preserve">ROLANDO ESTEBAN </t>
  </si>
  <si>
    <t>rolandoassad@yahoo.com</t>
  </si>
  <si>
    <t>constanzamaugier@hotmail.com</t>
  </si>
  <si>
    <t xml:space="preserve">BARBA </t>
  </si>
  <si>
    <t>PRODUCTORA - CONDUCTORA</t>
  </si>
  <si>
    <t>mgbarba59@yahoo.com.ar</t>
  </si>
  <si>
    <t xml:space="preserve">LIQUIDADOR </t>
  </si>
  <si>
    <t>JULIA MERCEDES</t>
  </si>
  <si>
    <t>directora administrativa</t>
  </si>
  <si>
    <t>barrosjulia@hotmail.com</t>
  </si>
  <si>
    <t>155853624</t>
  </si>
  <si>
    <t>ENFERMERO PROFESIONAL</t>
  </si>
  <si>
    <t>vihuba39@gmail.com</t>
  </si>
  <si>
    <t>BARROS MONTANBAN</t>
  </si>
  <si>
    <t>MARIA BENIGNA</t>
  </si>
  <si>
    <t>4221692- 11</t>
  </si>
  <si>
    <t>CANIZA</t>
  </si>
  <si>
    <t>ADM.AREA PEDAGOGICA-RESPONSABLE INF DE PRENSA</t>
  </si>
  <si>
    <t>elena54ar@gmail.com</t>
  </si>
  <si>
    <t>4526024- 104</t>
  </si>
  <si>
    <t>CARAM</t>
  </si>
  <si>
    <t>NAZHA</t>
  </si>
  <si>
    <t>nazhacaram@yahoo.com.ar</t>
  </si>
  <si>
    <t>CARRAZANO</t>
  </si>
  <si>
    <t>JUAN RAMÓN</t>
  </si>
  <si>
    <t>MANTENIMIENTO GENERAL</t>
  </si>
  <si>
    <t>LUIS RAÚL</t>
  </si>
  <si>
    <t>rolocecchin@hotmail.com</t>
  </si>
  <si>
    <t>31/0</t>
  </si>
  <si>
    <t>mecindira@hotmail.com</t>
  </si>
  <si>
    <t>CLAUDIA ROXANA</t>
  </si>
  <si>
    <t>LOCUTOR DE TURNO</t>
  </si>
  <si>
    <t>cladine_mk@hotmail.com</t>
  </si>
  <si>
    <t>LOURDES</t>
  </si>
  <si>
    <t>lucorrea@live.com.ar</t>
  </si>
  <si>
    <t>lcorrea@live.com</t>
  </si>
  <si>
    <t>lucascorreabasualdo@live.com.ar</t>
  </si>
  <si>
    <t>ORLANDO MIGUEL</t>
  </si>
  <si>
    <t>ESCAÑO CURIA</t>
  </si>
  <si>
    <t>MARÍA PAOLA</t>
  </si>
  <si>
    <t>12/08/71</t>
  </si>
  <si>
    <t>154049043</t>
  </si>
  <si>
    <t>prof. de enseñanza gral.</t>
  </si>
  <si>
    <t>RESPONSABLE DPTO. COMPRAS</t>
  </si>
  <si>
    <t>paolaescanocuria@gmail.com</t>
  </si>
  <si>
    <t>4975928</t>
  </si>
  <si>
    <t xml:space="preserve">FARIAS </t>
  </si>
  <si>
    <t>MIRIAM DEL VALLE</t>
  </si>
  <si>
    <t>COORDINADOR</t>
  </si>
  <si>
    <t>fmiriam@arnet.com.ar</t>
  </si>
  <si>
    <t xml:space="preserve">FERRARI </t>
  </si>
  <si>
    <t xml:space="preserve">coordinadora de tareas </t>
  </si>
  <si>
    <t>puna@se.unt.edu.ar</t>
  </si>
  <si>
    <t>153022224</t>
  </si>
  <si>
    <t>OFICINA DE EJECUCION DE PROGRAMAS</t>
  </si>
  <si>
    <t>cucuana2002@hotmail.com</t>
  </si>
  <si>
    <t>4526343</t>
  </si>
  <si>
    <t>DANIEL JULIAN</t>
  </si>
  <si>
    <t>djflores54@gmail.com</t>
  </si>
  <si>
    <t>GAMBARTE TOUCEDA</t>
  </si>
  <si>
    <t>FERNANDO RAUL</t>
  </si>
  <si>
    <t>violinista</t>
  </si>
  <si>
    <t>fernandogt_91@hotmail.com</t>
  </si>
  <si>
    <t>GIBILISCO</t>
  </si>
  <si>
    <t>JOSE ROQUE</t>
  </si>
  <si>
    <t>mantenimiento general</t>
  </si>
  <si>
    <t>hugonzalez518@hotmail.com</t>
  </si>
  <si>
    <t>responsable del puna escucha y capacitacion</t>
  </si>
  <si>
    <t>licsgonzales @gmail.com</t>
  </si>
  <si>
    <t>SILVANA ELIZABETH</t>
  </si>
  <si>
    <t>11/01/88</t>
  </si>
  <si>
    <t>154435100</t>
  </si>
  <si>
    <t>silvanag_15@hotmail.com</t>
  </si>
  <si>
    <t>4527554</t>
  </si>
  <si>
    <t>GUTIERREZ MONTINI</t>
  </si>
  <si>
    <t>FEDERICO JAVIER</t>
  </si>
  <si>
    <t>HAEL</t>
  </si>
  <si>
    <t>mariajosehael@gmail.com</t>
  </si>
  <si>
    <t>eduhmartinez07@yahoo.com.ar</t>
  </si>
  <si>
    <t xml:space="preserve">
</t>
  </si>
  <si>
    <t>SONIA FABIANA</t>
  </si>
  <si>
    <t>PRODUCTORA</t>
  </si>
  <si>
    <t>sonia1273@hotmail.com</t>
  </si>
  <si>
    <t>JARA</t>
  </si>
  <si>
    <t>154410573</t>
  </si>
  <si>
    <t>legal y tecnica</t>
  </si>
  <si>
    <t>4311430</t>
  </si>
  <si>
    <t>mij-santilu@hotmail.com</t>
  </si>
  <si>
    <t>coodinadora</t>
  </si>
  <si>
    <t>punaescuela@hotmail.com</t>
  </si>
  <si>
    <t>pabloestebanl@hotmail.com</t>
  </si>
  <si>
    <t xml:space="preserve">LUNA  </t>
  </si>
  <si>
    <t>JORGE DANIEL</t>
  </si>
  <si>
    <t>11/12/1975</t>
  </si>
  <si>
    <t>154699265</t>
  </si>
  <si>
    <t>prof. de quimica</t>
  </si>
  <si>
    <t>puedes</t>
  </si>
  <si>
    <t>jluna@puedes.unt.edu.ar</t>
  </si>
  <si>
    <t>MARISTANY</t>
  </si>
  <si>
    <t>JEFA DPTO. PERSONAL</t>
  </si>
  <si>
    <t>claudiamaristany@gmail.com</t>
  </si>
  <si>
    <t>SILVIA DEL VALLE</t>
  </si>
  <si>
    <t>153324655</t>
  </si>
  <si>
    <t>bachiller pedagogico</t>
  </si>
  <si>
    <t>martinezsilviadelvalle@gmail.com</t>
  </si>
  <si>
    <t>4527557</t>
  </si>
  <si>
    <t>102/4/7</t>
  </si>
  <si>
    <t>MACIEL OSCAR</t>
  </si>
  <si>
    <t>Medina Taljuk</t>
  </si>
  <si>
    <t>Maria Dolores</t>
  </si>
  <si>
    <t>dolores_medina@yahoo.com.ar</t>
  </si>
  <si>
    <t>FABIO RAÚL</t>
  </si>
  <si>
    <t>156445158</t>
  </si>
  <si>
    <t>Locutor nacional</t>
  </si>
  <si>
    <t>Radio Universidad</t>
  </si>
  <si>
    <t>fabioramendez@yahoo.com.ar</t>
  </si>
  <si>
    <t>4302766</t>
  </si>
  <si>
    <t>MENDILAHARSU</t>
  </si>
  <si>
    <t>TERESITA</t>
  </si>
  <si>
    <t>teresitamendilaharzu@gmail.com</t>
  </si>
  <si>
    <t xml:space="preserve">MONJES </t>
  </si>
  <si>
    <t>responsable area de comunidad</t>
  </si>
  <si>
    <t>chechumonjes@hotmail.com</t>
  </si>
  <si>
    <t>coordinacion de proyectos</t>
  </si>
  <si>
    <t>smontenegro@puedes.unt.edu.ar</t>
  </si>
  <si>
    <t>COORDINADORA DE PROGRAMA</t>
  </si>
  <si>
    <t>monteronorma@gmail.com</t>
  </si>
  <si>
    <t>ELIANA VALERIA</t>
  </si>
  <si>
    <t>PROGRAMA HABILIDADES PARA LA VIDA</t>
  </si>
  <si>
    <t>habilidadespv@gmail.com</t>
  </si>
  <si>
    <t>MONTI NAZHA</t>
  </si>
  <si>
    <t>MARÍA DEL CARMEN</t>
  </si>
  <si>
    <t>21/01/1977</t>
  </si>
  <si>
    <t>155524068</t>
  </si>
  <si>
    <t>mariadelcarmenmonti@hotmail.com</t>
  </si>
  <si>
    <t>4526020</t>
  </si>
  <si>
    <t>AUX. ADMINISTRATIVA</t>
  </si>
  <si>
    <t>ALBERTO A.</t>
  </si>
  <si>
    <t>MUIÑO</t>
  </si>
  <si>
    <t>MARIA SUSANA</t>
  </si>
  <si>
    <t>JEFA DEL AREA PRENSA Y DIFUSION</t>
  </si>
  <si>
    <t>prensavirla@gmail.com</t>
  </si>
  <si>
    <t>4221692-17</t>
  </si>
  <si>
    <t>LIDIA PATRICIA</t>
  </si>
  <si>
    <t>PRODUCTORA PERIODISTICA</t>
  </si>
  <si>
    <t>patricianieva@argentina.com</t>
  </si>
  <si>
    <t>productora periodistica</t>
  </si>
  <si>
    <t>LUCIANA MARIA EUGENIA</t>
  </si>
  <si>
    <t>ASISTENTE DE SECRETARIA</t>
  </si>
  <si>
    <t>luciana_oliva15@hotmail.com</t>
  </si>
  <si>
    <t>OMILL</t>
  </si>
  <si>
    <t>NILDA GLADYS</t>
  </si>
  <si>
    <t>17/09/1961</t>
  </si>
  <si>
    <t>155244943</t>
  </si>
  <si>
    <t>LOCUTORA</t>
  </si>
  <si>
    <t>gladysomill@arnet.com.ar</t>
  </si>
  <si>
    <t>4210636</t>
  </si>
  <si>
    <t>ORCE REMIS</t>
  </si>
  <si>
    <t>MARÍA VIRGINIA</t>
  </si>
  <si>
    <t>SECRETARIA DEL CONSEJO DE EXTENSIÓN</t>
  </si>
  <si>
    <t>mvorceremis@rectorado.unt.edu.ar</t>
  </si>
  <si>
    <t>FATIMA ELIZABETH</t>
  </si>
  <si>
    <t xml:space="preserve">auxiliar </t>
  </si>
  <si>
    <t>fatiepaez_69@hotmail.com.ar</t>
  </si>
  <si>
    <t>TECNICO PROFESIONAL</t>
  </si>
  <si>
    <t>marpal96@hotmail.com</t>
  </si>
  <si>
    <t xml:space="preserve">PAOLANTONIO </t>
  </si>
  <si>
    <t>JEFE BIENES PATRIMONIALES</t>
  </si>
  <si>
    <t>luis-man@outlook.com.ar</t>
  </si>
  <si>
    <t>M. FERNANDA</t>
  </si>
  <si>
    <t>alfer@tucbbs.com.ar</t>
  </si>
  <si>
    <t>CARLOS SEBASTIÁN</t>
  </si>
  <si>
    <t>PETRACCA</t>
  </si>
  <si>
    <t>LILIANA DE LAS MERCEDES DEL VALLE</t>
  </si>
  <si>
    <t>vocal</t>
  </si>
  <si>
    <t>lilianapetracca@hotmail.com</t>
  </si>
  <si>
    <t xml:space="preserve">RAMIREZ </t>
  </si>
  <si>
    <t>LEONOR</t>
  </si>
  <si>
    <t>responsable  puna comunidad</t>
  </si>
  <si>
    <t>leonor-ramirez@hotmail.com</t>
  </si>
  <si>
    <t xml:space="preserve">REINAGA </t>
  </si>
  <si>
    <t>ATILIO CESAR</t>
  </si>
  <si>
    <t>tareas en gral</t>
  </si>
  <si>
    <t>REYNOSO TRUJILLO</t>
  </si>
  <si>
    <t>CARLOS DANTE</t>
  </si>
  <si>
    <t>LORENA MARIA ANTONIETA</t>
  </si>
  <si>
    <t>waldinash@yahoo.com.ar</t>
  </si>
  <si>
    <t>HUGO GUSTAVO</t>
  </si>
  <si>
    <t>CONTROL DE ASISTENCIA</t>
  </si>
  <si>
    <t>hgusrodriguez@outlook.com</t>
  </si>
  <si>
    <t>JESSICA NOEMI</t>
  </si>
  <si>
    <t>INTEGRANTE DE EQUIPO DE TRABAJO, AREA DE COMUNICACIÓN</t>
  </si>
  <si>
    <t>NICOLAS MARIO</t>
  </si>
  <si>
    <t>DESARROLLO WEB Y SISTEMAS</t>
  </si>
  <si>
    <t>rossinicolas@hotmail.com</t>
  </si>
  <si>
    <t>MANUEL FRANCISCO</t>
  </si>
  <si>
    <t>manuelsaavedra1@hotmail.com</t>
  </si>
  <si>
    <t>4221692- 19</t>
  </si>
  <si>
    <t>SUSANA ISABEL</t>
  </si>
  <si>
    <t>suisanchez@yahoo.com.ar</t>
  </si>
  <si>
    <t>156117163</t>
  </si>
  <si>
    <t>Lic. en artes plasticas</t>
  </si>
  <si>
    <t>carosantilli@gmail.com</t>
  </si>
  <si>
    <t xml:space="preserve">SCHARGORODSKY </t>
  </si>
  <si>
    <t>carolina.gor@gmail.com</t>
  </si>
  <si>
    <t>SERRA</t>
  </si>
  <si>
    <t>ADM. EN COMPRAS</t>
  </si>
  <si>
    <t>mpauserra@gmail.com</t>
  </si>
  <si>
    <t>MARÍA EMILIA</t>
  </si>
  <si>
    <t>22/06/1988</t>
  </si>
  <si>
    <t>154408767</t>
  </si>
  <si>
    <t>TESORERÍA</t>
  </si>
  <si>
    <t>soriamemilia@gmail.com</t>
  </si>
  <si>
    <t>SURITA</t>
  </si>
  <si>
    <t xml:space="preserve">SUSANICH </t>
  </si>
  <si>
    <t>alesusanich_1@hotmail.com</t>
  </si>
  <si>
    <t>VILLAFAÑE CASTELLO</t>
  </si>
  <si>
    <t>DIRECCION ADMINISTRATIVA</t>
  </si>
  <si>
    <t>mariamarcelacv@gmail.com</t>
  </si>
  <si>
    <t>WALTHER VIRLA</t>
  </si>
  <si>
    <t>JORGE H</t>
  </si>
  <si>
    <t>VICTOR MIGUEL</t>
  </si>
  <si>
    <t>09/03/73</t>
  </si>
  <si>
    <t>156517088</t>
  </si>
  <si>
    <t>vimicu@hotmail.com</t>
  </si>
  <si>
    <t>11/05/1970</t>
  </si>
  <si>
    <t>155802822</t>
  </si>
  <si>
    <t>PROF. NIVEL INICIAL</t>
  </si>
  <si>
    <t>CORINA</t>
  </si>
  <si>
    <t>24/07/65</t>
  </si>
  <si>
    <t>3813575187</t>
  </si>
  <si>
    <t>Músico</t>
  </si>
  <si>
    <t>ORQUESTA JUVENIL UNT</t>
  </si>
  <si>
    <t>orquestajuvenilunt@gmail.com</t>
  </si>
  <si>
    <t>4229118</t>
  </si>
  <si>
    <t>MADARIAGA</t>
  </si>
  <si>
    <t>GERARDO C.</t>
  </si>
  <si>
    <t>3813266127</t>
  </si>
  <si>
    <t>gmadariaga@herrera.unt.edu.ar</t>
  </si>
  <si>
    <t>4107578</t>
  </si>
  <si>
    <t>MARCIA DEBORAH</t>
  </si>
  <si>
    <t>marciadeborahzorrilla@live.com.ar</t>
  </si>
  <si>
    <t>CLOTILDE DEL C.</t>
  </si>
  <si>
    <t>3816320326</t>
  </si>
  <si>
    <t>lic. en trabajo social</t>
  </si>
  <si>
    <t>avilaclo@hotmail.com</t>
  </si>
  <si>
    <t>DAVID HORACIO</t>
  </si>
  <si>
    <t>153569438</t>
  </si>
  <si>
    <t>Sec. Planeamto, Gestión de Proy. y Obras (Rec)</t>
  </si>
  <si>
    <t>CONSTRUCCIONES</t>
  </si>
  <si>
    <t>pm.ballesteros@hotmail.com</t>
  </si>
  <si>
    <t>ALZOGARAY</t>
  </si>
  <si>
    <t>MARIA VERONICA</t>
  </si>
  <si>
    <t>155901994</t>
  </si>
  <si>
    <t>prof. nivel inicial</t>
  </si>
  <si>
    <t>veroalzo76@gmail.com</t>
  </si>
  <si>
    <t>BORQUEZ CORREA</t>
  </si>
  <si>
    <t xml:space="preserve">SANDRA </t>
  </si>
  <si>
    <t>planeamiento@Rec.unt.edu.ar</t>
  </si>
  <si>
    <t>VIGILANCIA</t>
  </si>
  <si>
    <t>CRISTIAN ARIEL</t>
  </si>
  <si>
    <t>JEFE  DE DEPARTAMENTO</t>
  </si>
  <si>
    <t>cristian_2160@hotmail.com</t>
  </si>
  <si>
    <t>JORGE ANTONIO</t>
  </si>
  <si>
    <t>nitoelzano@hotmail.com</t>
  </si>
  <si>
    <t>mariateresa_u.n.t@hotmail.com</t>
  </si>
  <si>
    <t>ISAAC LEILA</t>
  </si>
  <si>
    <t>JACINTO</t>
  </si>
  <si>
    <t>JUGO</t>
  </si>
  <si>
    <t>juantuc@hotmail.com</t>
  </si>
  <si>
    <t>MORALES PERALTA</t>
  </si>
  <si>
    <t>MARÍA ISABEL</t>
  </si>
  <si>
    <t>GLADYS ROXANA</t>
  </si>
  <si>
    <t>carito_13_13@hotmail.com</t>
  </si>
  <si>
    <t>4364093- 7873</t>
  </si>
  <si>
    <t>PATTI</t>
  </si>
  <si>
    <t>DAVID ERNESTO</t>
  </si>
  <si>
    <t>154124069</t>
  </si>
  <si>
    <t>DIR. GRAL CONSTRUCCIONES UNIV.</t>
  </si>
  <si>
    <t>davider68@hotmail.com</t>
  </si>
  <si>
    <t>QUINTANA</t>
  </si>
  <si>
    <t>HUGO FLORENTINO</t>
  </si>
  <si>
    <t>RASGIDO</t>
  </si>
  <si>
    <t>MARTIN RAUL</t>
  </si>
  <si>
    <t>carpintero</t>
  </si>
  <si>
    <t>JOSE F.</t>
  </si>
  <si>
    <t>154760014</t>
  </si>
  <si>
    <t>mmolinillo63@hotmail.com</t>
  </si>
  <si>
    <t>4245890</t>
  </si>
  <si>
    <t>secretaria de direc. Gral.</t>
  </si>
  <si>
    <t>4364144-7874</t>
  </si>
  <si>
    <t>TRIGO</t>
  </si>
  <si>
    <t>JOSE OMAR</t>
  </si>
  <si>
    <t>ADMINISTRACION</t>
  </si>
  <si>
    <t>joshua976@hotmail.com</t>
  </si>
  <si>
    <t>JACQUELINE</t>
  </si>
  <si>
    <t>153301474</t>
  </si>
  <si>
    <t>construcciones</t>
  </si>
  <si>
    <t>PADROS</t>
  </si>
  <si>
    <t>3815094272</t>
  </si>
  <si>
    <t>SEC DE PROYECTOS Y OBRAS</t>
  </si>
  <si>
    <t>veronicapadros@yahoo.com.ar</t>
  </si>
  <si>
    <t>7149</t>
  </si>
  <si>
    <t>3816242385</t>
  </si>
  <si>
    <t>DIR. GRAL. CONSTRUCCIONES UNIV.</t>
  </si>
  <si>
    <t>jcgomeztucu@gmail.com</t>
  </si>
  <si>
    <t xml:space="preserve">VARELA </t>
  </si>
  <si>
    <t>JORGE RAUL</t>
  </si>
  <si>
    <t>3813042128</t>
  </si>
  <si>
    <t>ING. EN CONSTRUCCION</t>
  </si>
  <si>
    <t>CONSTRUCCIONES UNIV.</t>
  </si>
  <si>
    <t>jorgevarela946@gmail.com</t>
  </si>
  <si>
    <t>155842441</t>
  </si>
  <si>
    <t>Sec. de Políticas y Comunic. Instit. (Rec)</t>
  </si>
  <si>
    <t>direccion de servicios de comunicacion audiovisual</t>
  </si>
  <si>
    <t>aripanamaria@gmail.com</t>
  </si>
  <si>
    <t>6923</t>
  </si>
  <si>
    <t>ARMOA</t>
  </si>
  <si>
    <t>FOTOGRAFO</t>
  </si>
  <si>
    <t>miguel.armoa.dl@gmail.com</t>
  </si>
  <si>
    <t>bullss@hotmail.com</t>
  </si>
  <si>
    <t>COLOMBRES GARMENDIA</t>
  </si>
  <si>
    <t>GUILLERMINA INES</t>
  </si>
  <si>
    <t>gcolombresgarmendia@hotmail.com</t>
  </si>
  <si>
    <t>gaconcha@hotmail.com</t>
  </si>
  <si>
    <t>FUENSALIDA</t>
  </si>
  <si>
    <t>PEDRO ALFREDO</t>
  </si>
  <si>
    <t>13/09/1961</t>
  </si>
  <si>
    <t>156201005</t>
  </si>
  <si>
    <t>pedrofuensalida@gmail.com</t>
  </si>
  <si>
    <t>GANDIA</t>
  </si>
  <si>
    <t>alejo14_14@hotmail.com</t>
  </si>
  <si>
    <t>mvledezma@gmail.com</t>
  </si>
  <si>
    <t>PÁEZ</t>
  </si>
  <si>
    <t>MIGUEL ÁNGEL</t>
  </si>
  <si>
    <t>miguelpaez2010@live.com</t>
  </si>
  <si>
    <t>RODRIGUEZ DELGADO</t>
  </si>
  <si>
    <t>fernandarodelgado@hotmail.com</t>
  </si>
  <si>
    <t>LAILA NAIR</t>
  </si>
  <si>
    <t>155155502</t>
  </si>
  <si>
    <t>lalu12048@hotmail.com</t>
  </si>
  <si>
    <t>6956</t>
  </si>
  <si>
    <t>VARGAS MARTÍN</t>
  </si>
  <si>
    <t>JUAN MARCOS</t>
  </si>
  <si>
    <t>07/11/1979</t>
  </si>
  <si>
    <t>156422367</t>
  </si>
  <si>
    <t>marcosvargas6699q@gmail.com</t>
  </si>
  <si>
    <t>MARIELA DEL CARMEN</t>
  </si>
  <si>
    <t>156530649</t>
  </si>
  <si>
    <t xml:space="preserve">Técnica en Administración de Empresas </t>
  </si>
  <si>
    <t>Sec. de Posgrado  (Rec)</t>
  </si>
  <si>
    <t>mcarrizo@posgrado.unt.edu.ar</t>
  </si>
  <si>
    <t>4304634</t>
  </si>
  <si>
    <t>IOSA</t>
  </si>
  <si>
    <t>CELIA BEATRIZ</t>
  </si>
  <si>
    <t>155550675</t>
  </si>
  <si>
    <t>CONTABLE -ADMINISTRATIVA</t>
  </si>
  <si>
    <t>cpncbi@hotmail.com</t>
  </si>
  <si>
    <t>JUAN ESTEBAN</t>
  </si>
  <si>
    <t>156431857</t>
  </si>
  <si>
    <t xml:space="preserve">Profesor en Inglés </t>
  </si>
  <si>
    <t xml:space="preserve">Dirección </t>
  </si>
  <si>
    <t>jjorrat@posgrado.unt.edu.ar</t>
  </si>
  <si>
    <t>PALOU MICELI</t>
  </si>
  <si>
    <t>PEDRO GABRIEL</t>
  </si>
  <si>
    <t xml:space="preserve"> ARANCIBIA REYNOSO</t>
  </si>
  <si>
    <t>JIMENA</t>
  </si>
  <si>
    <t>156059768</t>
  </si>
  <si>
    <t>Sec. General (Rec)</t>
  </si>
  <si>
    <t>DIR. GRAL. DE ASUNTOS JURIDICOS</t>
  </si>
  <si>
    <t>jimenaarancibiaa2@gmail.com</t>
  </si>
  <si>
    <t>4215706</t>
  </si>
  <si>
    <t>ADDUR</t>
  </si>
  <si>
    <t>GRISELDA ESTELA</t>
  </si>
  <si>
    <t>156200342</t>
  </si>
  <si>
    <t>PROF. PARA LA ENSEÑANZA PRIMARIA</t>
  </si>
  <si>
    <t>griseaddur@gmail.com</t>
  </si>
  <si>
    <t>155892112</t>
  </si>
  <si>
    <t>DISEÑADORA DE INTERIORES Y EQUIPAMIENTO</t>
  </si>
  <si>
    <t>elearaoz@hotmail.com</t>
  </si>
  <si>
    <t>BEVACQUA VIRLA</t>
  </si>
  <si>
    <t>GIAN FRANCO</t>
  </si>
  <si>
    <t>155972410</t>
  </si>
  <si>
    <t>asuntos juridicos</t>
  </si>
  <si>
    <t>giannibevacquavirla@gmail.com</t>
  </si>
  <si>
    <t>4226482</t>
  </si>
  <si>
    <t>CARLA ANDREA</t>
  </si>
  <si>
    <t>153478333</t>
  </si>
  <si>
    <t>andrea34gonza@gmail.com</t>
  </si>
  <si>
    <t>IGARZABAL</t>
  </si>
  <si>
    <t>ANGELES</t>
  </si>
  <si>
    <t>154471989</t>
  </si>
  <si>
    <t>Angelesigarzabal@hotmail.com</t>
  </si>
  <si>
    <t>6958</t>
  </si>
  <si>
    <t>MARIO HECTOR</t>
  </si>
  <si>
    <t>156401619</t>
  </si>
  <si>
    <t>TEC. SUP. EN SEGURIDAD PUBLICA</t>
  </si>
  <si>
    <t>DIR. GRAL. DE PROTECCION UNIVERSITARIA</t>
  </si>
  <si>
    <t>mariohectorleguizamon@gmail.com</t>
  </si>
  <si>
    <t>4248026</t>
  </si>
  <si>
    <t>7185</t>
  </si>
  <si>
    <t>NIETO</t>
  </si>
  <si>
    <t>155664899</t>
  </si>
  <si>
    <t>DIR. GRAL. DE IMPRENTA CENTRAL</t>
  </si>
  <si>
    <t>mikynieto1966@gmail.com</t>
  </si>
  <si>
    <t>SELIS</t>
  </si>
  <si>
    <t>154454040</t>
  </si>
  <si>
    <t>Prof. de Ingles</t>
  </si>
  <si>
    <t>maricrisselis@gmail.com</t>
  </si>
  <si>
    <t>VALLADARES DE ÉMPAIVA</t>
  </si>
  <si>
    <t>ANA JOSEFINA</t>
  </si>
  <si>
    <t>3814040558</t>
  </si>
  <si>
    <t>anajosevallad@icloud.com</t>
  </si>
  <si>
    <t>4248016- 7194</t>
  </si>
  <si>
    <t>155150147</t>
  </si>
  <si>
    <t>sec. privada rector</t>
  </si>
  <si>
    <t>lvallejo81@hotmail.com</t>
  </si>
  <si>
    <t>26/02/1980</t>
  </si>
  <si>
    <t>3815345203</t>
  </si>
  <si>
    <t>valeriabmoreno@gmail.com</t>
  </si>
  <si>
    <t>FELICITAS</t>
  </si>
  <si>
    <t>3815957519</t>
  </si>
  <si>
    <t>CEREMONIAL Y PROTOCOLO</t>
  </si>
  <si>
    <t>feliaraoz@yahoo.com</t>
  </si>
  <si>
    <t>NANCY BEATRIZ</t>
  </si>
  <si>
    <t>3816710321</t>
  </si>
  <si>
    <t>nan2606@hotmail.com</t>
  </si>
  <si>
    <t>GOMEZ BELLO</t>
  </si>
  <si>
    <t>MARIA E.</t>
  </si>
  <si>
    <t>3815397430</t>
  </si>
  <si>
    <t>malena_gbd@gmail.com</t>
  </si>
  <si>
    <t>JUANA DEL ROSARIO</t>
  </si>
  <si>
    <t>156428797</t>
  </si>
  <si>
    <t>Profesora de educ. preescolar</t>
  </si>
  <si>
    <t>juanitavega02@gmail.com</t>
  </si>
  <si>
    <t>4930039</t>
  </si>
  <si>
    <t>PEREZ DIAZ</t>
  </si>
  <si>
    <t>3816085856</t>
  </si>
  <si>
    <t>DGA RENDICIONES DE CUENTAS</t>
  </si>
  <si>
    <t>santoreyarturo@hotmail.com</t>
  </si>
  <si>
    <t>3816206762</t>
  </si>
  <si>
    <t>dir. gral. despacho</t>
  </si>
  <si>
    <t>hpmtucuman@hotmail.com</t>
  </si>
  <si>
    <t>GERBAN</t>
  </si>
  <si>
    <t>3814692571</t>
  </si>
  <si>
    <t>pgerban@gmail.com</t>
  </si>
  <si>
    <t>BOBBA</t>
  </si>
  <si>
    <t>3816783048</t>
  </si>
  <si>
    <t>ASUNTOS JURIDICOS</t>
  </si>
  <si>
    <t>alejandrabobba@outlook.com</t>
  </si>
  <si>
    <t>ABAD</t>
  </si>
  <si>
    <t>NADIA</t>
  </si>
  <si>
    <t>nadiaabad@live.com</t>
  </si>
  <si>
    <t>ARMANDO DARÍO</t>
  </si>
  <si>
    <t>mandy_theone@hotmail.com</t>
  </si>
  <si>
    <t>ACHIN</t>
  </si>
  <si>
    <t>ARIEL DEL VALLE</t>
  </si>
  <si>
    <t>arice56@hotmail.com</t>
  </si>
  <si>
    <t>ALFARO GOMEZ</t>
  </si>
  <si>
    <t>CLAUDIO ANDRES</t>
  </si>
  <si>
    <t>alvarezfer@gmail.com</t>
  </si>
  <si>
    <t>AMARILLO</t>
  </si>
  <si>
    <t>NADIA EVELYN</t>
  </si>
  <si>
    <t>nadia.amarillo@gmail.com</t>
  </si>
  <si>
    <t>ARIEL GUSTAVO</t>
  </si>
  <si>
    <t>arielg65@hotmail.com</t>
  </si>
  <si>
    <t>AMAYA</t>
  </si>
  <si>
    <t>PAULA INES</t>
  </si>
  <si>
    <t xml:space="preserve">AMAYA </t>
  </si>
  <si>
    <t>FABIAN CARLOS OSCAR</t>
  </si>
  <si>
    <t>Jefe de Legalizaciones</t>
  </si>
  <si>
    <t>CARLOS DEMECIO</t>
  </si>
  <si>
    <t>INGENIERO REFERENTE DE INFORMATICA</t>
  </si>
  <si>
    <t>carce123@hotmail.com</t>
  </si>
  <si>
    <t>SUSANA PATRICIA</t>
  </si>
  <si>
    <t>AREDES</t>
  </si>
  <si>
    <t>JUAN FEDERICO</t>
  </si>
  <si>
    <t>juan_f18_8@hotmail.com</t>
  </si>
  <si>
    <t>LISANDRO</t>
  </si>
  <si>
    <t>lisandroargiro@gmail.com</t>
  </si>
  <si>
    <t>NELIDA YOLANDA</t>
  </si>
  <si>
    <t xml:space="preserve">ARRIETA </t>
  </si>
  <si>
    <t xml:space="preserve">SOLEDAD </t>
  </si>
  <si>
    <t xml:space="preserve">NADIA  </t>
  </si>
  <si>
    <t>GABRIELA MARIA</t>
  </si>
  <si>
    <t>ASTORGA LADETTO</t>
  </si>
  <si>
    <t>veronicaastorgaladetto@hotmail.com</t>
  </si>
  <si>
    <t>AUGIAR</t>
  </si>
  <si>
    <t>BACA</t>
  </si>
  <si>
    <t>JUBAL</t>
  </si>
  <si>
    <t>BARICCO</t>
  </si>
  <si>
    <t>RESPONSABLE DEL AREA DE COMUNICACIÓN DE CONICET TUCUMAN</t>
  </si>
  <si>
    <t>institucional@tucuman-conicet.gov.ar</t>
  </si>
  <si>
    <t>ARMANDO DARIO</t>
  </si>
  <si>
    <t>CALIGRAFO</t>
  </si>
  <si>
    <t>BENEGAS</t>
  </si>
  <si>
    <t>BENTHULET</t>
  </si>
  <si>
    <t>BENUD</t>
  </si>
  <si>
    <t>NESTOR DANIEL</t>
  </si>
  <si>
    <t>BERRIZBEITIA</t>
  </si>
  <si>
    <t>encargada</t>
  </si>
  <si>
    <t>aleberrizbeitia@hotmail.com</t>
  </si>
  <si>
    <t>BONACICH</t>
  </si>
  <si>
    <t>MÁXIMO</t>
  </si>
  <si>
    <t>mcbrito@rectorado.unt.edu.ar</t>
  </si>
  <si>
    <t>BRUNA</t>
  </si>
  <si>
    <t>ERNESTO</t>
  </si>
  <si>
    <t xml:space="preserve">BULACIO </t>
  </si>
  <si>
    <t>KARINA PAOLA</t>
  </si>
  <si>
    <t>BURSAQUE</t>
  </si>
  <si>
    <t>SILVIA FLORENCIA</t>
  </si>
  <si>
    <t>MARIA CANDELARIA</t>
  </si>
  <si>
    <t>RINA</t>
  </si>
  <si>
    <t>CALVO</t>
  </si>
  <si>
    <t>SUB DIRECTOR GENERAL</t>
  </si>
  <si>
    <t>jcalvo@dirinfo.unt.edu.ar</t>
  </si>
  <si>
    <t>nenina_44@hotmail.com</t>
  </si>
  <si>
    <t>VIRGINIA</t>
  </si>
  <si>
    <t>vircanceco@hotmail.com</t>
  </si>
  <si>
    <t>CARLOS ALFREDO</t>
  </si>
  <si>
    <t>PENSIONES Y EMBARGOS</t>
  </si>
  <si>
    <t>CANSECO M.</t>
  </si>
  <si>
    <t>MANUEL</t>
  </si>
  <si>
    <t>M. TERESITA</t>
  </si>
  <si>
    <t>carabajalteresita@gmail.com</t>
  </si>
  <si>
    <t>CARRANZA</t>
  </si>
  <si>
    <t>ALICIA ESTELA</t>
  </si>
  <si>
    <t>bull55@hotmail.com</t>
  </si>
  <si>
    <t>4215706-4226482</t>
  </si>
  <si>
    <t>HECTOR JESUS</t>
  </si>
  <si>
    <t>jefe del CCREM</t>
  </si>
  <si>
    <t>atilio.carranza@gmail.com</t>
  </si>
  <si>
    <t>PAOLA CRISTINA</t>
  </si>
  <si>
    <t>3815443410</t>
  </si>
  <si>
    <t>paola.cassara09@gmail.com</t>
  </si>
  <si>
    <t>111</t>
  </si>
  <si>
    <t>danielapcatania@yahoo.com.ar</t>
  </si>
  <si>
    <t>CAUSIN</t>
  </si>
  <si>
    <t>causin@unt.edu.ar</t>
  </si>
  <si>
    <t>CAYÚ</t>
  </si>
  <si>
    <t>CESAR FERNANDO</t>
  </si>
  <si>
    <t>fernandocayu@hotmail.com</t>
  </si>
  <si>
    <t>OSVALDO</t>
  </si>
  <si>
    <t>JESSICA GERALDINE</t>
  </si>
  <si>
    <t>155970665</t>
  </si>
  <si>
    <t>Kinesiologa</t>
  </si>
  <si>
    <t>jeechamorro@hotmail.com</t>
  </si>
  <si>
    <t>ROSA ANALIA</t>
  </si>
  <si>
    <t>analiachavez.rectorado@gmail.com</t>
  </si>
  <si>
    <t>CHOW</t>
  </si>
  <si>
    <t>GRACIELA ESTELA</t>
  </si>
  <si>
    <t>CONDE</t>
  </si>
  <si>
    <t>DAMIAN</t>
  </si>
  <si>
    <t>jefe de personal</t>
  </si>
  <si>
    <t>condedamian23@yahoo.com</t>
  </si>
  <si>
    <t>CORRADO</t>
  </si>
  <si>
    <t>charles.corrado@gmail.com</t>
  </si>
  <si>
    <t>OLGA  ESTELA</t>
  </si>
  <si>
    <t>ODONTOLOGIA</t>
  </si>
  <si>
    <t>CRIADO</t>
  </si>
  <si>
    <t>PATRICIA MONICA</t>
  </si>
  <si>
    <t>CUELLO</t>
  </si>
  <si>
    <t>CUELLÓ</t>
  </si>
  <si>
    <t>JUAN HORACIO</t>
  </si>
  <si>
    <t>CUTIN</t>
  </si>
  <si>
    <t>andycutin@gmail.com</t>
  </si>
  <si>
    <t>D´ARPINO</t>
  </si>
  <si>
    <t>CLAUDIA LORENA</t>
  </si>
  <si>
    <t>clausmile-77@hotmail,com</t>
  </si>
  <si>
    <t>DE INNOCENTIIS</t>
  </si>
  <si>
    <t>DE LEON DI LULLO</t>
  </si>
  <si>
    <t xml:space="preserve">LUCAS  </t>
  </si>
  <si>
    <t>lucasdl62@hotmail.com</t>
  </si>
  <si>
    <t>DEL PINO</t>
  </si>
  <si>
    <t>DIEGO ARMANDO</t>
  </si>
  <si>
    <t xml:space="preserve">LEANDRO </t>
  </si>
  <si>
    <t>4526028/29</t>
  </si>
  <si>
    <t>DIAZ MANAY</t>
  </si>
  <si>
    <t>DIAZ VILELA</t>
  </si>
  <si>
    <t>alenavilela@hotmail.com</t>
  </si>
  <si>
    <t>FABIAN</t>
  </si>
  <si>
    <t>D'URSO VILLAR</t>
  </si>
  <si>
    <t>MARCELA ADRIANA</t>
  </si>
  <si>
    <t>durso.marcela@gmail.com</t>
  </si>
  <si>
    <t xml:space="preserve">ESPER </t>
  </si>
  <si>
    <t>LIDIA BEATRIZ</t>
  </si>
  <si>
    <t>liesper@yahoo.com.ar</t>
  </si>
  <si>
    <t>FAGALDE</t>
  </si>
  <si>
    <t>ffagalde@fbqf.unt.edu.ar</t>
  </si>
  <si>
    <t>vicedecanato</t>
  </si>
  <si>
    <t>pfernandez@herrera.unt.edu.ar</t>
  </si>
  <si>
    <t>gachi.fer4978@gmail.com</t>
  </si>
  <si>
    <t>CARLOS GERMAN</t>
  </si>
  <si>
    <t>fernandez231@hotmail.com</t>
  </si>
  <si>
    <t>AILEN MAGALI</t>
  </si>
  <si>
    <t>ailen_mf@hotmail.com</t>
  </si>
  <si>
    <t xml:space="preserve">FERNANDEZ  </t>
  </si>
  <si>
    <t>JOSE RICARDO</t>
  </si>
  <si>
    <t>FERNANDEZ COLOMBO</t>
  </si>
  <si>
    <t>NICOLAS EUGENIO</t>
  </si>
  <si>
    <t>FERRANDO</t>
  </si>
  <si>
    <t>LUIS SANTOS</t>
  </si>
  <si>
    <t>FERRERO</t>
  </si>
  <si>
    <t>CARLOS ARMANDO</t>
  </si>
  <si>
    <t>jefe dpto. sistemas</t>
  </si>
  <si>
    <t>ferrero-duhart@arnet.com.ar</t>
  </si>
  <si>
    <t>BRUNO OSCAR</t>
  </si>
  <si>
    <t>elprimo_bruno@hotmail.com</t>
  </si>
  <si>
    <t>pfigueroa703@gmail.com</t>
  </si>
  <si>
    <t>EUSEBIO</t>
  </si>
  <si>
    <t>ROXANA MARINA</t>
  </si>
  <si>
    <t>rmflores@rectorado.unt.edu.ar</t>
  </si>
  <si>
    <t>VERONICA ESTER</t>
  </si>
  <si>
    <t>telefonista</t>
  </si>
  <si>
    <t>ADRIÁN ALBERTO</t>
  </si>
  <si>
    <t>COORDINADOR DE DESARROLLO Y PROYECTOS</t>
  </si>
  <si>
    <t>FRIAS BARRERA</t>
  </si>
  <si>
    <t>WALTER RICARDO</t>
  </si>
  <si>
    <t>DIRECCION DE EMPLEO Y EMPRENDIMIENTOS</t>
  </si>
  <si>
    <t>friasbarrera@hotmail.com</t>
  </si>
  <si>
    <t>154741948</t>
  </si>
  <si>
    <t>tec. univ. en electronica</t>
  </si>
  <si>
    <t>COORDINADOR DPTO. INFORMATICA</t>
  </si>
  <si>
    <t>gusfuentes@gmail.com</t>
  </si>
  <si>
    <t>GARCÍA</t>
  </si>
  <si>
    <t>ALICIA IRENE</t>
  </si>
  <si>
    <t>ASESOR LETRADO</t>
  </si>
  <si>
    <t>angelesigarzabal@hotmail.com</t>
  </si>
  <si>
    <t>GARCIA MACIAN</t>
  </si>
  <si>
    <t>CARLOS VILFREDO</t>
  </si>
  <si>
    <t>LUISA DEL CARMEN</t>
  </si>
  <si>
    <t>MARCELO DOMINGO</t>
  </si>
  <si>
    <t>dom124@hotmail.com</t>
  </si>
  <si>
    <t>ESTEBAN AMTONIO</t>
  </si>
  <si>
    <t>GIUNTA</t>
  </si>
  <si>
    <t xml:space="preserve">MARIA ALEJANDRA </t>
  </si>
  <si>
    <t>magiunta@hotmail.com</t>
  </si>
  <si>
    <t>ANA</t>
  </si>
  <si>
    <t>anitagse@hotmail.com</t>
  </si>
  <si>
    <t>VÍCTOR HUGO</t>
  </si>
  <si>
    <t>4107278- 7278</t>
  </si>
  <si>
    <t>JOSE HORACIO</t>
  </si>
  <si>
    <t>LUCAS ALEJO</t>
  </si>
  <si>
    <t>archivo historico</t>
  </si>
  <si>
    <t>lucas_ag1@hotmail.com</t>
  </si>
  <si>
    <t>GABRIEL ALEJANDRO</t>
  </si>
  <si>
    <t>gabriel251091@hotmail.com</t>
  </si>
  <si>
    <t>MERCEDES DEL CARMEN</t>
  </si>
  <si>
    <t>LUIS ORLANDO</t>
  </si>
  <si>
    <t>luis.gon.1963@gmail.com</t>
  </si>
  <si>
    <t>carla_andrea_gonzalez@hotmail.com</t>
  </si>
  <si>
    <t>ALVARO</t>
  </si>
  <si>
    <t>gonzalez_alvaro88@hotmail.com</t>
  </si>
  <si>
    <t>GOVETTO</t>
  </si>
  <si>
    <t>GISELLE A.</t>
  </si>
  <si>
    <t>GRACIANO</t>
  </si>
  <si>
    <t>magdigraciano672009@gmail.com</t>
  </si>
  <si>
    <t>FEDERICO ENRIQUE</t>
  </si>
  <si>
    <t>01/10/1975</t>
  </si>
  <si>
    <t>155952364</t>
  </si>
  <si>
    <t>federicoenriqueg@hotmail.com</t>
  </si>
  <si>
    <t>7122</t>
  </si>
  <si>
    <t>PABLO NICOLAS</t>
  </si>
  <si>
    <t>jefe de concurso</t>
  </si>
  <si>
    <t>pguaraz@e_tic.com.ar</t>
  </si>
  <si>
    <t>JULIO ANTONIO</t>
  </si>
  <si>
    <t>HABIB</t>
  </si>
  <si>
    <t>CLARA</t>
  </si>
  <si>
    <t>mlaurahael@gmail.com</t>
  </si>
  <si>
    <t>HAIMOVITH</t>
  </si>
  <si>
    <t>HARO LEDESMA</t>
  </si>
  <si>
    <t>154880809</t>
  </si>
  <si>
    <t xml:space="preserve">Fonoaudióloga </t>
  </si>
  <si>
    <t xml:space="preserve">Mesa de Entradas, Salida, Archivo y Protocolizacion </t>
  </si>
  <si>
    <t xml:space="preserve">mharoledesma@rectorado.unt.edu.ar </t>
  </si>
  <si>
    <t>agusheredia2809@gmail.com</t>
  </si>
  <si>
    <t>LORENA</t>
  </si>
  <si>
    <t>JORGE ROBERTO</t>
  </si>
  <si>
    <t>CONTROL DE LIQUIDACION DE SUELDOS</t>
  </si>
  <si>
    <t>jribarra@rectorado.unt.edu.ar</t>
  </si>
  <si>
    <t xml:space="preserve">IVRCOVICH  </t>
  </si>
  <si>
    <t xml:space="preserve">BERTA  </t>
  </si>
  <si>
    <t>IVAN</t>
  </si>
  <si>
    <t>ivanjeger@gmail.com</t>
  </si>
  <si>
    <t>JORGE ABEL</t>
  </si>
  <si>
    <t>secretario</t>
  </si>
  <si>
    <t>jorabel2002@hotmail.com</t>
  </si>
  <si>
    <t>FERNANDO ANDRES</t>
  </si>
  <si>
    <t>lucianojorrat@gmail.com</t>
  </si>
  <si>
    <t>JUAREZ ARAOZ</t>
  </si>
  <si>
    <t>ELVIRA</t>
  </si>
  <si>
    <t>ejuarez53@hotmail.com</t>
  </si>
  <si>
    <t>JUAREZ ROVETTA</t>
  </si>
  <si>
    <t>sjuarez@rectorado.unt.edu.ar</t>
  </si>
  <si>
    <t>ANNA PAULA</t>
  </si>
  <si>
    <t>PATRICIA FATIMA</t>
  </si>
  <si>
    <t>LERA</t>
  </si>
  <si>
    <t>SOLEDAD ELIZABETH</t>
  </si>
  <si>
    <t>soledad_lera@hotmail.com.ar</t>
  </si>
  <si>
    <t>dir. Gral. De presupuestos</t>
  </si>
  <si>
    <t>fatimalezcano@yahoo.com.ar</t>
  </si>
  <si>
    <t>LIQUIN</t>
  </si>
  <si>
    <t>DAVID SANDRO</t>
  </si>
  <si>
    <t>david.liquin@hotmail.com</t>
  </si>
  <si>
    <t>LIZÁRRAGA</t>
  </si>
  <si>
    <t>malizarraga83@hotmail.com</t>
  </si>
  <si>
    <t>LLANE</t>
  </si>
  <si>
    <t>SILVIA ESTELA</t>
  </si>
  <si>
    <t>155706755</t>
  </si>
  <si>
    <t>pedesinterra22@gmail.com</t>
  </si>
  <si>
    <t>6919</t>
  </si>
  <si>
    <t>liquidador de haberes</t>
  </si>
  <si>
    <t>SEBASTIAN WALDINO</t>
  </si>
  <si>
    <t>sebastianwlopez@gmail.com</t>
  </si>
  <si>
    <t>LORENZO DE SOLER</t>
  </si>
  <si>
    <t>DIRECTORA GENERAL</t>
  </si>
  <si>
    <t>LUCCHESE</t>
  </si>
  <si>
    <t>DARIO OSCAR</t>
  </si>
  <si>
    <t>LUGONES</t>
  </si>
  <si>
    <t>aglugones@gmail.com</t>
  </si>
  <si>
    <t>MAGGIO</t>
  </si>
  <si>
    <t>mariacarolinamaggio@gmail.com</t>
  </si>
  <si>
    <t>ANNA CAROLINA</t>
  </si>
  <si>
    <t>MAMBERTO VIRLA</t>
  </si>
  <si>
    <t>EUGENIO</t>
  </si>
  <si>
    <t>tanovirla@yahoo.com</t>
  </si>
  <si>
    <t>HUGO SERGIO</t>
  </si>
  <si>
    <t>director alumnos</t>
  </si>
  <si>
    <t>hmarchisio@hotmail.com</t>
  </si>
  <si>
    <t>CARLA MARISOL</t>
  </si>
  <si>
    <t>administradora de la pagina web ofician</t>
  </si>
  <si>
    <t>krlammaria@gmail.com</t>
  </si>
  <si>
    <t>MARIGLIANO</t>
  </si>
  <si>
    <t>clojosemar45@hotmail.com</t>
  </si>
  <si>
    <t>MARTI KLYVER</t>
  </si>
  <si>
    <t>WALTER RUBEN</t>
  </si>
  <si>
    <t>VICTOR</t>
  </si>
  <si>
    <t>MARTINEZ IÑIGUEZ</t>
  </si>
  <si>
    <t>cmarti@fm.unt.edu.ar</t>
  </si>
  <si>
    <t>MASMUD</t>
  </si>
  <si>
    <t>lacandidaerendida@hotmail.com</t>
  </si>
  <si>
    <t>MAZA</t>
  </si>
  <si>
    <t>ELSA ANGELA DEL VALLE</t>
  </si>
  <si>
    <t>directora  Administrativa</t>
  </si>
  <si>
    <t>eavm_mama@hotmail.com</t>
  </si>
  <si>
    <t>merilau81@hotmail.com</t>
  </si>
  <si>
    <t>JOSE MARTIN</t>
  </si>
  <si>
    <t xml:space="preserve">ASISTENETE DE TESORERO </t>
  </si>
  <si>
    <t>martinjosemedina1979@hotmail.com</t>
  </si>
  <si>
    <t>6229-7131</t>
  </si>
  <si>
    <t>155809093</t>
  </si>
  <si>
    <t>poquitotele@hotmail.com</t>
  </si>
  <si>
    <t>4207277</t>
  </si>
  <si>
    <t>SOLEDAD DEL CARMEN</t>
  </si>
  <si>
    <t>MENDIETA</t>
  </si>
  <si>
    <t>ANA LEONOR</t>
  </si>
  <si>
    <t>animendieta@hotmail.com</t>
  </si>
  <si>
    <t>MESON</t>
  </si>
  <si>
    <t>14/07/1971</t>
  </si>
  <si>
    <t>156786184</t>
  </si>
  <si>
    <t>FACULTAD DE DERECHO Y CS. SOCIALES</t>
  </si>
  <si>
    <t>icameson@gmail.com</t>
  </si>
  <si>
    <t>220</t>
  </si>
  <si>
    <t>MIRANDAY</t>
  </si>
  <si>
    <t>NELLY LUCRECIA</t>
  </si>
  <si>
    <t>enfermeria_ocupacional@yahoo.com.ar</t>
  </si>
  <si>
    <t>MIRANDE</t>
  </si>
  <si>
    <t>LUCRECIA MARÍA</t>
  </si>
  <si>
    <t>155989684</t>
  </si>
  <si>
    <t>AUDITORA INTERNA</t>
  </si>
  <si>
    <t>7105</t>
  </si>
  <si>
    <t>MONTIVERO</t>
  </si>
  <si>
    <t>SUBDIRECTOR</t>
  </si>
  <si>
    <t>calberto822@hotmail.com</t>
  </si>
  <si>
    <t>4107283- 7283</t>
  </si>
  <si>
    <t>carolinamoreno_garcia@yahoo.com.ar</t>
  </si>
  <si>
    <t>6932 - 7106 - 7105</t>
  </si>
  <si>
    <t xml:space="preserve">MOYA  </t>
  </si>
  <si>
    <t>BEATRIZ CAROLINA</t>
  </si>
  <si>
    <t>dpto. produccion</t>
  </si>
  <si>
    <t>carolinamoya@gmail.com</t>
  </si>
  <si>
    <t>ROSSANA LINA</t>
  </si>
  <si>
    <t>murillojuanchi@gmail.com</t>
  </si>
  <si>
    <t>MUSLIP</t>
  </si>
  <si>
    <t>muslipcarlos@gmail.com</t>
  </si>
  <si>
    <t>NACIR</t>
  </si>
  <si>
    <t>MONICA EUGENIA</t>
  </si>
  <si>
    <t>DANIEL OSCAR</t>
  </si>
  <si>
    <t>director academico</t>
  </si>
  <si>
    <t>dnavarro@herrera.unt.edu.ar</t>
  </si>
  <si>
    <t>NOE</t>
  </si>
  <si>
    <t>OLIVERA</t>
  </si>
  <si>
    <t>LAURA PATRICIA</t>
  </si>
  <si>
    <t>155158339</t>
  </si>
  <si>
    <t xml:space="preserve">Técnico en artes plásticas </t>
  </si>
  <si>
    <t xml:space="preserve">Carreras y Alumnos </t>
  </si>
  <si>
    <t>laura@ct.unt.edu.ar</t>
  </si>
  <si>
    <t>ONTIVEROS</t>
  </si>
  <si>
    <t>luchoo_04@hotmail.com</t>
  </si>
  <si>
    <t>ORLANDI</t>
  </si>
  <si>
    <t>PERIODISTA</t>
  </si>
  <si>
    <t>daniedos@hotmail.com</t>
  </si>
  <si>
    <t>OROPEL</t>
  </si>
  <si>
    <t>MAGDALENA DEL CARMEN</t>
  </si>
  <si>
    <t>ALEJANDRA VERÓNICA</t>
  </si>
  <si>
    <t>BIBLIOTECARIA</t>
  </si>
  <si>
    <t>alejandravpadilla@hotmail.com</t>
  </si>
  <si>
    <t>PATRICIA DEL VALLE</t>
  </si>
  <si>
    <t>ENCARGADA CENTRAL TELEFONICA</t>
  </si>
  <si>
    <t>roa_pato06@hotmail.com</t>
  </si>
  <si>
    <t>4364093- 7900</t>
  </si>
  <si>
    <t xml:space="preserve">DANIEL  </t>
  </si>
  <si>
    <t>JEFE ADMINISTRACION DE LEGAJOS</t>
  </si>
  <si>
    <t>daniel_paliza2@hotmail.com</t>
  </si>
  <si>
    <t>PAULA VERONICA</t>
  </si>
  <si>
    <t>ANTONIA</t>
  </si>
  <si>
    <t>JORGE RAFAEL</t>
  </si>
  <si>
    <t>DEBORA SUSANA</t>
  </si>
  <si>
    <t>SUPERVISORA LIC. EN ENFERMERIA</t>
  </si>
  <si>
    <t>debip20@yahoo.com.ar</t>
  </si>
  <si>
    <t>Posse</t>
  </si>
  <si>
    <t>Silvia Edith</t>
  </si>
  <si>
    <t>ABEL EDGARDO</t>
  </si>
  <si>
    <t>155482598</t>
  </si>
  <si>
    <t>PROFESOR EN EDUCACION FISICA</t>
  </si>
  <si>
    <t>abelquintana77@hotmail.com</t>
  </si>
  <si>
    <t>REBELLATO</t>
  </si>
  <si>
    <t>RESTOM</t>
  </si>
  <si>
    <t>DORIS DEL VALLE</t>
  </si>
  <si>
    <t>DIRECTORA AREA CONTABLE</t>
  </si>
  <si>
    <t>doris_restom@hotmail.com</t>
  </si>
  <si>
    <t>MESA DE ENTRADAS, SALIDAS Y ARCHIVO</t>
  </si>
  <si>
    <t>javier_rios_mc@hotmail.com</t>
  </si>
  <si>
    <t>DEBORAH LUCIA</t>
  </si>
  <si>
    <t>ROBERT</t>
  </si>
  <si>
    <t>BEATRIZ LEONOR</t>
  </si>
  <si>
    <t>ADOLFO LAURO</t>
  </si>
  <si>
    <t>coordinador de RRHH</t>
  </si>
  <si>
    <t>alrodriguez@eve.unt.edu.ar</t>
  </si>
  <si>
    <t>EVALGELINA SOLEDAD</t>
  </si>
  <si>
    <t>aux. egresos</t>
  </si>
  <si>
    <t>luchi102793@gmail.com</t>
  </si>
  <si>
    <t>ROTGER</t>
  </si>
  <si>
    <t>VIVIANA INES</t>
  </si>
  <si>
    <t>156233082</t>
  </si>
  <si>
    <t>UNIDAD DE VINCULACION TECNOLOGICA</t>
  </si>
  <si>
    <t>vrptger@herrera.unt.edu.ar</t>
  </si>
  <si>
    <t>4364120</t>
  </si>
  <si>
    <t>fernanda_c.i@hotmail.com</t>
  </si>
  <si>
    <t>RUGGERI</t>
  </si>
  <si>
    <t>GABRIELA RAQUEL</t>
  </si>
  <si>
    <t>gabysacca@hotmail.com</t>
  </si>
  <si>
    <t>SALDIAS</t>
  </si>
  <si>
    <t>SALEME</t>
  </si>
  <si>
    <t>ADRIANA JOSEFINA</t>
  </si>
  <si>
    <t>adrianasaleme@hotmail.com</t>
  </si>
  <si>
    <t>SALMOIRAGHI</t>
  </si>
  <si>
    <t>153204911</t>
  </si>
  <si>
    <t>UNIDAD DE AUDITORIA INTERNA</t>
  </si>
  <si>
    <t>msaltor@rectorado.unt.edu.ar</t>
  </si>
  <si>
    <t xml:space="preserve">LELIA   </t>
  </si>
  <si>
    <t>despacho academico</t>
  </si>
  <si>
    <t>auxiliar materno infantil</t>
  </si>
  <si>
    <t>SANCHEZ LORIA</t>
  </si>
  <si>
    <t>sanchezloriacm@yahoo.com.ar</t>
  </si>
  <si>
    <t>SARACCO</t>
  </si>
  <si>
    <t>MERCEDES ANGELICA</t>
  </si>
  <si>
    <t xml:space="preserve">Jefa </t>
  </si>
  <si>
    <t>maserrano@rectorado.unt.edu.ar</t>
  </si>
  <si>
    <t>CESAR MARCELO</t>
  </si>
  <si>
    <t>serranomarcelo2@hotmail.com</t>
  </si>
  <si>
    <t>alberto.sessato1@hotmail.com</t>
  </si>
  <si>
    <t>alberto.serrato1@hotmail.com</t>
  </si>
  <si>
    <t xml:space="preserve">SERVETTO </t>
  </si>
  <si>
    <t>caroservetto@gmail.com</t>
  </si>
  <si>
    <t>SKUCAS</t>
  </si>
  <si>
    <t>MERCEDES ISABEL</t>
  </si>
  <si>
    <t>capacitador-psicologo</t>
  </si>
  <si>
    <t>federico.soler99@hotmail.com</t>
  </si>
  <si>
    <t xml:space="preserve">SORIA  </t>
  </si>
  <si>
    <t>JAVIER ADOLFO</t>
  </si>
  <si>
    <t>RAUL MAURICIO</t>
  </si>
  <si>
    <t>athenas919@hotmail.com</t>
  </si>
  <si>
    <t>MAURICIO RAUL</t>
  </si>
  <si>
    <t>STANCANELLI</t>
  </si>
  <si>
    <t>DIR. DE SISTEMAS DE INFORMATICA</t>
  </si>
  <si>
    <t>astancanelli@dirinfo.unt.edu.ar</t>
  </si>
  <si>
    <t>4107291- 7291</t>
  </si>
  <si>
    <t>ds_suarez@hotmail.com</t>
  </si>
  <si>
    <t>DIRECTOR GENERAL DE PRESUPUESTO</t>
  </si>
  <si>
    <t>rodolfosuccar@arnet.com.ar</t>
  </si>
  <si>
    <t>TARULLA</t>
  </si>
  <si>
    <t>RODOLFO ENRIQUE</t>
  </si>
  <si>
    <t>05/12)1984</t>
  </si>
  <si>
    <t>rodolfotarulla@hotmail.com</t>
  </si>
  <si>
    <t>TEJERINA</t>
  </si>
  <si>
    <t>tejerina.gabriela78@gmail.com</t>
  </si>
  <si>
    <t>TELLO</t>
  </si>
  <si>
    <t>flor_05_35@hotmail.com</t>
  </si>
  <si>
    <t>TEMKIN</t>
  </si>
  <si>
    <t>SILVANA PATRICIA</t>
  </si>
  <si>
    <t>coordinadora licenciatura en gestion univ.</t>
  </si>
  <si>
    <t>TIRADOR</t>
  </si>
  <si>
    <t>H. MATIAS</t>
  </si>
  <si>
    <t>tiradorhmatias@hotmail.com</t>
  </si>
  <si>
    <t>MARIELA EVANGELINA</t>
  </si>
  <si>
    <t>marielaevangelina@hotmail.com</t>
  </si>
  <si>
    <t>6919/6921</t>
  </si>
  <si>
    <t>TORREJON HARROS</t>
  </si>
  <si>
    <t>MARTIN HERNAN</t>
  </si>
  <si>
    <t>mhtorres75@yahoo.com.ar</t>
  </si>
  <si>
    <t>UNZAGA</t>
  </si>
  <si>
    <t>unzagaj@yahoo.com.ar</t>
  </si>
  <si>
    <t>YOLANDA</t>
  </si>
  <si>
    <t>yoliva@uolsinecti.com.ar</t>
  </si>
  <si>
    <t>VALENZUELA</t>
  </si>
  <si>
    <t>ROSSANA DEL ROSARIO</t>
  </si>
  <si>
    <t>IVANA ROSALIA</t>
  </si>
  <si>
    <t>154666264</t>
  </si>
  <si>
    <t>ivana.vallejo@hotmail.com</t>
  </si>
  <si>
    <t>VARELA</t>
  </si>
  <si>
    <t>marcevare2006@hotmail.com</t>
  </si>
  <si>
    <t>gvazquez@dirinfo.unt.edu.ar</t>
  </si>
  <si>
    <t>VIERA</t>
  </si>
  <si>
    <t>PATRICIA VIRGINIA</t>
  </si>
  <si>
    <t>aux. dpto. posgrado</t>
  </si>
  <si>
    <t>vierapatricia@yahoo.com.ar</t>
  </si>
  <si>
    <t>VITALONE</t>
  </si>
  <si>
    <t>RICARDO MARCELO</t>
  </si>
  <si>
    <t>vitasuper@hotmail.com</t>
  </si>
  <si>
    <t>SERGIO RUBEN</t>
  </si>
  <si>
    <t>s_zarate@hotmail.com</t>
  </si>
  <si>
    <t>ZAVALETA</t>
  </si>
  <si>
    <t>ZEITUNE</t>
  </si>
  <si>
    <t>JOSE JAVIER</t>
  </si>
  <si>
    <t>DESARROLLADOR</t>
  </si>
  <si>
    <t>jzeitune@dirinfo.unt.edu.ar</t>
  </si>
  <si>
    <t>ZJAWIN</t>
  </si>
  <si>
    <t>JAVIER EDUARDO</t>
  </si>
  <si>
    <t>javizvital@gmail.com</t>
  </si>
  <si>
    <t>ZOLLOLI</t>
  </si>
  <si>
    <t>ELEONORA</t>
  </si>
  <si>
    <t>jefe dpto. mesa de entradas</t>
  </si>
  <si>
    <t>zolloliderios@hotmail.com</t>
  </si>
  <si>
    <t xml:space="preserve">ZUCO </t>
  </si>
  <si>
    <t xml:space="preserve">ANGEL TOMAS </t>
  </si>
  <si>
    <t>Zurita</t>
  </si>
  <si>
    <t>Silvia Alejandra</t>
  </si>
  <si>
    <t>diosa_6967@hotmail.com</t>
  </si>
  <si>
    <t>MARIA LUCIA</t>
  </si>
  <si>
    <t>26/08/89</t>
  </si>
  <si>
    <t>154135353</t>
  </si>
  <si>
    <t>mlmansilla26@gmail.com</t>
  </si>
  <si>
    <t>CHAUVET</t>
  </si>
  <si>
    <t>ING. QUIMICO</t>
  </si>
  <si>
    <t>schauvet@herrera.unt.edu.ar</t>
  </si>
  <si>
    <t>26/07/81</t>
  </si>
  <si>
    <t>4241578</t>
  </si>
  <si>
    <t>tec. en gestion universitaria</t>
  </si>
  <si>
    <t>vegadanielam@hotmail.com</t>
  </si>
  <si>
    <t>EZEQUIEL</t>
  </si>
  <si>
    <t>3816225639</t>
  </si>
  <si>
    <t>ezequielerimbaue@gmail.com</t>
  </si>
  <si>
    <t>CARLOS ROBERTO</t>
  </si>
  <si>
    <t>3815242323</t>
  </si>
  <si>
    <t>Biblioteca Central</t>
  </si>
  <si>
    <t>carlosroberto49@hotmail.com</t>
  </si>
  <si>
    <t>7156</t>
  </si>
  <si>
    <t>GARCIA APONTE</t>
  </si>
  <si>
    <t>RODRIGO</t>
  </si>
  <si>
    <t>3815750444</t>
  </si>
  <si>
    <t>rodrigogarciaaponte@gmail.com</t>
  </si>
  <si>
    <t xml:space="preserve">BELTRAN </t>
  </si>
  <si>
    <t>STRADA</t>
  </si>
  <si>
    <t>SILVIA ANAHI</t>
  </si>
  <si>
    <t>156780149</t>
  </si>
  <si>
    <t>Teatro Alberdi</t>
  </si>
  <si>
    <t>guardia</t>
  </si>
  <si>
    <t>caf000075@gmail.com</t>
  </si>
  <si>
    <t>OLGA GREGORIA</t>
  </si>
  <si>
    <t>EUGENIA RAMONA</t>
  </si>
  <si>
    <t>eugeniasalvat@hotmail.com</t>
  </si>
  <si>
    <t>VACAFLOR</t>
  </si>
  <si>
    <t>IXCHEL</t>
  </si>
  <si>
    <t>ixchelvacaflor@hotmail.com</t>
  </si>
  <si>
    <t>VIRGOLINI</t>
  </si>
  <si>
    <t>SANDRA IVONNE</t>
  </si>
  <si>
    <t>RESPONSABLE DE COMUNICACIÓN, PRODUCCION Y PROGRAMACION</t>
  </si>
  <si>
    <t>sandravirgolini@hotmail.com</t>
  </si>
  <si>
    <t>DOMINGUEZ</t>
  </si>
  <si>
    <t>ROSANA DEL VALLE</t>
  </si>
  <si>
    <t>Unidad De Negocios</t>
  </si>
  <si>
    <t>rosana.dominguez@hotmail.com</t>
  </si>
  <si>
    <t>4213770/4220870</t>
  </si>
  <si>
    <t>JOSEFINA MARIA</t>
  </si>
  <si>
    <t>jofigueroa78@hotmail.com</t>
  </si>
  <si>
    <t>PIAZZA</t>
  </si>
  <si>
    <t>ORLANDO ERNESTO</t>
  </si>
  <si>
    <t>ernesto.piazza@une.unt.edu.ar</t>
  </si>
  <si>
    <t>154760591</t>
  </si>
  <si>
    <t>odontologa</t>
  </si>
  <si>
    <t>Unidad De Vinculación Tecnológica</t>
  </si>
  <si>
    <t>maria.ahumada@une.unt.edu.ar</t>
  </si>
  <si>
    <t>CAVANNA</t>
  </si>
  <si>
    <t>ANDREA DEL R.</t>
  </si>
  <si>
    <t>155525888</t>
  </si>
  <si>
    <t>LIC. EN GESTION SUP. UNIVERSITARIA</t>
  </si>
  <si>
    <t>AUGUSTO ELISEO</t>
  </si>
  <si>
    <t>Unt Virtual</t>
  </si>
  <si>
    <t>augustoalvarez1@hotmail.com</t>
  </si>
  <si>
    <t>FERNANDO LUIS M.</t>
  </si>
  <si>
    <t>garciafernando21@gmail.com</t>
  </si>
  <si>
    <t>4245904 - 4245897</t>
  </si>
  <si>
    <t>LUZ ALEJANDRA</t>
  </si>
  <si>
    <t>SILVIA VANESA</t>
  </si>
  <si>
    <t>3/05/1977</t>
  </si>
  <si>
    <t>3815954874</t>
  </si>
  <si>
    <t>Sec. de Asuntos Estudiantiles (Rec)</t>
  </si>
  <si>
    <t>silviavanesalobo77@gmail.com</t>
  </si>
  <si>
    <t>3814247670</t>
  </si>
  <si>
    <t xml:space="preserve">NIELSEN HILLEN </t>
  </si>
  <si>
    <t>SOFIA INES</t>
  </si>
  <si>
    <t>3816144286</t>
  </si>
  <si>
    <t xml:space="preserve">Unidad de Auditoria Interna </t>
  </si>
  <si>
    <t xml:space="preserve">sofianielsenhillen@gmail.com </t>
  </si>
  <si>
    <t>4525053</t>
  </si>
  <si>
    <t xml:space="preserve">ARIEL SEBASTIÁN </t>
  </si>
  <si>
    <t>20/07/1983</t>
  </si>
  <si>
    <t>3816971990</t>
  </si>
  <si>
    <t>Facultad</t>
  </si>
  <si>
    <t xml:space="preserve">Ciencias Naturales Delegación Administrativa Horco Molle </t>
  </si>
  <si>
    <t>arielsebastianrasgido@gmail.com</t>
  </si>
  <si>
    <t>ALBORNOZ GRIMALD</t>
  </si>
  <si>
    <t xml:space="preserve">PAULA DENISE </t>
  </si>
  <si>
    <t>18/02/1994</t>
  </si>
  <si>
    <t>3814157919</t>
  </si>
  <si>
    <t>Sec. de Bienestar Universitario (Rec)</t>
  </si>
  <si>
    <t xml:space="preserve">Grimaldpaula@gmail.com </t>
  </si>
  <si>
    <t xml:space="preserve">FLORES </t>
  </si>
  <si>
    <t>MARIELA NERINA</t>
  </si>
  <si>
    <t>22/03/1976</t>
  </si>
  <si>
    <t>3816643298</t>
  </si>
  <si>
    <t xml:space="preserve">Marielanerinaf@gmail.com </t>
  </si>
  <si>
    <t xml:space="preserve">MARTIN </t>
  </si>
  <si>
    <t>MARIELA ANTONIA</t>
  </si>
  <si>
    <t>3816433927</t>
  </si>
  <si>
    <t>medicina-Hospital de androides</t>
  </si>
  <si>
    <t>Marielaantoniamartin@gmail.com</t>
  </si>
  <si>
    <t>MARÍA  ISABEL</t>
  </si>
  <si>
    <t>28/01/1968</t>
  </si>
  <si>
    <t>3813041273</t>
  </si>
  <si>
    <t xml:space="preserve">ceremonial y protocolo </t>
  </si>
  <si>
    <t xml:space="preserve">milizarraga47@gmail.com </t>
  </si>
  <si>
    <t>SANTUCHO</t>
  </si>
  <si>
    <t xml:space="preserve">FACUNDO ARIEL </t>
  </si>
  <si>
    <t>3813241584</t>
  </si>
  <si>
    <t xml:space="preserve">Facundoarielsantucho18@gmail.com </t>
  </si>
  <si>
    <t xml:space="preserve">ROMULO BRUNO </t>
  </si>
  <si>
    <t>5/03/1979</t>
  </si>
  <si>
    <t>3815420105</t>
  </si>
  <si>
    <t xml:space="preserve">bruno1979ruiz@gmail.com </t>
  </si>
  <si>
    <t>CINTHYA ERNESTINA</t>
  </si>
  <si>
    <t>3815502341</t>
  </si>
  <si>
    <t>intendencia</t>
  </si>
  <si>
    <t>peraltacristian1978@gmail.com</t>
  </si>
  <si>
    <t xml:space="preserve">CARLOS FABIÁN </t>
  </si>
  <si>
    <t>16/03/1971</t>
  </si>
  <si>
    <t>3814170184</t>
  </si>
  <si>
    <t xml:space="preserve">Técnico superior en Agroindustria </t>
  </si>
  <si>
    <t xml:space="preserve">nivel superior </t>
  </si>
  <si>
    <t xml:space="preserve">fabian.mira@hotmail.com </t>
  </si>
  <si>
    <t>VILLARRUBIA</t>
  </si>
  <si>
    <t xml:space="preserve">AMÉRICO RICARDO </t>
  </si>
  <si>
    <t>3815496991</t>
  </si>
  <si>
    <t>americovillarrubia@gmail.com</t>
  </si>
  <si>
    <t>ALEXIS</t>
  </si>
  <si>
    <t>3816944127</t>
  </si>
  <si>
    <t>Aleeahumada3@gmail.com</t>
  </si>
  <si>
    <t>MORELLO</t>
  </si>
  <si>
    <t>PAOLA ALEXANDRA</t>
  </si>
  <si>
    <t>3816995221</t>
  </si>
  <si>
    <t>Paomore228@gmail.com</t>
  </si>
  <si>
    <t xml:space="preserve">CÓRDOBA </t>
  </si>
  <si>
    <t xml:space="preserve">NOELIA SUSANA </t>
  </si>
  <si>
    <t>3816049342</t>
  </si>
  <si>
    <t xml:space="preserve">Licenciada en Biotecnología </t>
  </si>
  <si>
    <t xml:space="preserve">Cátedra de Química Analítica I </t>
  </si>
  <si>
    <t xml:space="preserve">cordobanoeliasusana@gmail.com </t>
  </si>
  <si>
    <t xml:space="preserve">QUINTANA </t>
  </si>
  <si>
    <t xml:space="preserve">CAROLINA </t>
  </si>
  <si>
    <t>3813021943</t>
  </si>
  <si>
    <t xml:space="preserve">Dirección de Estadísticas </t>
  </si>
  <si>
    <t>Carolinaquintana1976@gmail.com</t>
  </si>
  <si>
    <t xml:space="preserve">IÑIGO </t>
  </si>
  <si>
    <t xml:space="preserve">JUAN MARCELO </t>
  </si>
  <si>
    <t>Esc. Vialidad</t>
  </si>
  <si>
    <t>preceptoria</t>
  </si>
  <si>
    <t xml:space="preserve">SAID </t>
  </si>
  <si>
    <t>MARIANA ALEJANDRA</t>
  </si>
  <si>
    <t>21/11/1992</t>
  </si>
  <si>
    <t>3815347202</t>
  </si>
  <si>
    <t>maruu.said@gmail.com</t>
  </si>
  <si>
    <t>ARÁOZ</t>
  </si>
  <si>
    <t>1/04/1983</t>
  </si>
  <si>
    <t>3816091670</t>
  </si>
  <si>
    <t>maraoz@posgrado.unt.edu.ar</t>
  </si>
  <si>
    <t>ALE SLEIMAN</t>
  </si>
  <si>
    <t>ALEJANDRO ARTURO</t>
  </si>
  <si>
    <t>5/10/1989</t>
  </si>
  <si>
    <t>3814665824</t>
  </si>
  <si>
    <t>Abogado</t>
  </si>
  <si>
    <t>Inst. Tecnico</t>
  </si>
  <si>
    <t>Concursos, interinatos y suplencias</t>
  </si>
  <si>
    <t>alejandroalesleiman@gmail.com</t>
  </si>
  <si>
    <t>4/01/1973</t>
  </si>
  <si>
    <t>3814038912</t>
  </si>
  <si>
    <t>Psicóloga</t>
  </si>
  <si>
    <t>Secretaría Académica</t>
  </si>
  <si>
    <t>ana.carolina.jimenez@psicologia.unt.edu.ar</t>
  </si>
  <si>
    <t xml:space="preserve">ACOSTA </t>
  </si>
  <si>
    <t xml:space="preserve">CONSTANZA MARÍA </t>
  </si>
  <si>
    <t>21/05/1991</t>
  </si>
  <si>
    <t>3815850752</t>
  </si>
  <si>
    <t xml:space="preserve">contiacosta91@gmail.com </t>
  </si>
  <si>
    <t xml:space="preserve">BENITES TAPIA </t>
  </si>
  <si>
    <t xml:space="preserve">CLAUDIA PATRICIA </t>
  </si>
  <si>
    <t>3814658602</t>
  </si>
  <si>
    <t xml:space="preserve">Prof d educación pre escolar </t>
  </si>
  <si>
    <t xml:space="preserve">Posgrado </t>
  </si>
  <si>
    <t>cpatriciabenites@gmail.com</t>
  </si>
  <si>
    <t xml:space="preserve">LAMMOGLIA </t>
  </si>
  <si>
    <t xml:space="preserve">ANDREA SOLEDAD </t>
  </si>
  <si>
    <t>3815004417</t>
  </si>
  <si>
    <t xml:space="preserve">andrealammoglia@hotmail.com </t>
  </si>
  <si>
    <t>GURAIIB</t>
  </si>
  <si>
    <t>3814955477</t>
  </si>
  <si>
    <t xml:space="preserve">Psicóloga </t>
  </si>
  <si>
    <t xml:space="preserve">Académica </t>
  </si>
  <si>
    <t>coguraiib@gmail.com</t>
  </si>
  <si>
    <t>RUEDA BRUNOTTO</t>
  </si>
  <si>
    <t>RODRIGO GABRIEL</t>
  </si>
  <si>
    <t>3816615723</t>
  </si>
  <si>
    <t>Contador Público Nacional</t>
  </si>
  <si>
    <t>Académica</t>
  </si>
  <si>
    <t>ruedarodrigo23@gmail.com</t>
  </si>
  <si>
    <t>TORRES CARRO</t>
  </si>
  <si>
    <t>3815749202</t>
  </si>
  <si>
    <t>Licenciada en Biotecnología</t>
  </si>
  <si>
    <t>Química Orgánica-INBIOFAL</t>
  </si>
  <si>
    <t>rominatc87@gmail.com</t>
  </si>
  <si>
    <t xml:space="preserve">MIGUEL  ANGEL </t>
  </si>
  <si>
    <t>3816435558</t>
  </si>
  <si>
    <t xml:space="preserve">Dirección de Estadística </t>
  </si>
  <si>
    <t xml:space="preserve">miguiquesada@gmail.com </t>
  </si>
  <si>
    <t>LUCIANO JAVIER</t>
  </si>
  <si>
    <t>3816805489</t>
  </si>
  <si>
    <t xml:space="preserve">Perito mercantil con orientacion en empresas </t>
  </si>
  <si>
    <t>Lucrodrigo26@gmail.com</t>
  </si>
  <si>
    <t>LILIA DEL VALLE</t>
  </si>
  <si>
    <t>3813024237</t>
  </si>
  <si>
    <t>Licenciada en Fonoaudiólogia</t>
  </si>
  <si>
    <t>liliafonomp1018@hotmail.com</t>
  </si>
  <si>
    <t xml:space="preserve">MARIA DE LAS MERCEDES </t>
  </si>
  <si>
    <t>3813048135</t>
  </si>
  <si>
    <t xml:space="preserve">Licenciada en Enfermería </t>
  </si>
  <si>
    <t xml:space="preserve">torresmercedes2470@eue.unt.edu.ar </t>
  </si>
  <si>
    <t>SOLALIGUE</t>
  </si>
  <si>
    <t>PAOLA BLANCA DEL VALLE</t>
  </si>
  <si>
    <t>3816591212</t>
  </si>
  <si>
    <t>Ingeniero Zootecnista</t>
  </si>
  <si>
    <t>Cátedra de Zootecnia Especial II</t>
  </si>
  <si>
    <t>paolasolaligue82@gmail.com</t>
  </si>
  <si>
    <t>ADAD SANTILLAN</t>
  </si>
  <si>
    <t>3815848657</t>
  </si>
  <si>
    <t>the_beatles_86@hotmail.com</t>
  </si>
  <si>
    <t>ERIKA</t>
  </si>
  <si>
    <t>3813539997</t>
  </si>
  <si>
    <t>Seminario</t>
  </si>
  <si>
    <t>erikamorales_tucuman@hotmail.com</t>
  </si>
  <si>
    <t>ETCHEVERRY</t>
  </si>
  <si>
    <t>MARIA ESTER</t>
  </si>
  <si>
    <t>3816403287</t>
  </si>
  <si>
    <t>meetcheverry@fm.unt.edu.ar</t>
  </si>
  <si>
    <t>JOZAMI</t>
  </si>
  <si>
    <t>3854890442</t>
  </si>
  <si>
    <t>Profesorado en Ciencias Biológicas</t>
  </si>
  <si>
    <t xml:space="preserve">Biología </t>
  </si>
  <si>
    <t>carolinajozamih@gmail.com</t>
  </si>
  <si>
    <t xml:space="preserve">DAGE </t>
  </si>
  <si>
    <t xml:space="preserve">CAROLINA ALEJANDRA </t>
  </si>
  <si>
    <t>154574304</t>
  </si>
  <si>
    <t>Titulo</t>
  </si>
  <si>
    <t>carolinadage2019@gmail.com</t>
  </si>
  <si>
    <t>CRISTIAN ALEJANDRO</t>
  </si>
  <si>
    <t>3812023902</t>
  </si>
  <si>
    <t xml:space="preserve">Tecnico superior universitario en mecatronica </t>
  </si>
  <si>
    <t>Concurso</t>
  </si>
  <si>
    <t>juarezcristianale@gmail.com</t>
  </si>
  <si>
    <t>GABRIELA SOLEDAD</t>
  </si>
  <si>
    <t>3814802258</t>
  </si>
  <si>
    <t>Comunicaciones y servicio a terceros</t>
  </si>
  <si>
    <t>DE LA FUENTE</t>
  </si>
  <si>
    <t>3816076115</t>
  </si>
  <si>
    <t>Comunicaciones y Servicios a Terceros</t>
  </si>
  <si>
    <t xml:space="preserve">MARTÍNEZ CARABAJAL </t>
  </si>
  <si>
    <t xml:space="preserve">CARLOS EDUARDO </t>
  </si>
  <si>
    <t>3814762190</t>
  </si>
  <si>
    <t xml:space="preserve">Abogado </t>
  </si>
  <si>
    <t>drmartinez_9@yahoo.com.ar</t>
  </si>
  <si>
    <t>GABRIEL GONZALO</t>
  </si>
  <si>
    <t>3816661988</t>
  </si>
  <si>
    <t>Tecnico electromecanico</t>
  </si>
  <si>
    <t>Abubu2014@hotmail.com</t>
  </si>
  <si>
    <t xml:space="preserve">TREJO </t>
  </si>
  <si>
    <t>ALEJANDRO DARIO</t>
  </si>
  <si>
    <t>3816632828</t>
  </si>
  <si>
    <t>trejodario.dt@gmail.com</t>
  </si>
  <si>
    <t xml:space="preserve">BARRIONUEVO </t>
  </si>
  <si>
    <t>3815934641</t>
  </si>
  <si>
    <t>Asistente Dental</t>
  </si>
  <si>
    <t>Centro Odontologico de la FOUNT</t>
  </si>
  <si>
    <t xml:space="preserve">liliana.camila.barrionuevo@gmail.com </t>
  </si>
  <si>
    <t>INTERLANDI</t>
  </si>
  <si>
    <t>3816486469</t>
  </si>
  <si>
    <t>Medico</t>
  </si>
  <si>
    <t>carlainterlandizoireff@gmail.com</t>
  </si>
  <si>
    <t xml:space="preserve">PAULA ANDREA </t>
  </si>
  <si>
    <t>paujimenez229@gmail.com</t>
  </si>
  <si>
    <t>Mariela nerina	3816643298</t>
  </si>
  <si>
    <t>Bioficica</t>
  </si>
  <si>
    <t>3814013386</t>
  </si>
  <si>
    <t>Maternidad</t>
  </si>
  <si>
    <t>Bortegafm.unt.com</t>
  </si>
  <si>
    <t>PASTORINO</t>
  </si>
  <si>
    <t>NINA</t>
  </si>
  <si>
    <t>155219598</t>
  </si>
  <si>
    <t>Odontologa</t>
  </si>
  <si>
    <t xml:space="preserve">Anatomía Patológica </t>
  </si>
  <si>
    <t xml:space="preserve">Ninafpastorino@hotmail.com </t>
  </si>
  <si>
    <t xml:space="preserve">PÉREZ </t>
  </si>
  <si>
    <t xml:space="preserve">KARINA DE LOS ANGELES </t>
  </si>
  <si>
    <t>3815471285</t>
  </si>
  <si>
    <t>Preceptoria</t>
  </si>
  <si>
    <t>kryna.prz@gmail.com</t>
  </si>
  <si>
    <t>3815635372</t>
  </si>
  <si>
    <t>Tecnica universitaria en diseño y animación digital</t>
  </si>
  <si>
    <t>Postgrado</t>
  </si>
  <si>
    <t>yo.macuca@gmail.com</t>
  </si>
  <si>
    <t>SCHEMBERGER</t>
  </si>
  <si>
    <t>VIVIANA ELIZABET</t>
  </si>
  <si>
    <t>3816103678</t>
  </si>
  <si>
    <t xml:space="preserve">Catedra de anatomía patollgica </t>
  </si>
  <si>
    <t>Schembergerv@gmail.com</t>
  </si>
  <si>
    <t>MARÍA PÍA</t>
  </si>
  <si>
    <t>3814136960</t>
  </si>
  <si>
    <t xml:space="preserve">Jefe de Vinculación de Cátedras e Institutos </t>
  </si>
  <si>
    <t>coordinacioncatedras@fm.unt.edu.ar</t>
  </si>
  <si>
    <t>ARENA</t>
  </si>
  <si>
    <t>MARIO EDUARDO</t>
  </si>
  <si>
    <t>3815672773</t>
  </si>
  <si>
    <t>BIOQUIMICO</t>
  </si>
  <si>
    <t>INBIOFAL</t>
  </si>
  <si>
    <t>mario.arena@fbqf.unt.edu.ar</t>
  </si>
  <si>
    <t>3815550739</t>
  </si>
  <si>
    <t>fernandowilde85@gmail.com</t>
  </si>
  <si>
    <t>DANILOVICH</t>
  </si>
  <si>
    <t>MARIANA ELIZABETH</t>
  </si>
  <si>
    <t>3815048143</t>
  </si>
  <si>
    <t>Doctora en Ciencias Biológicas</t>
  </si>
  <si>
    <t>Ciencias biológicas</t>
  </si>
  <si>
    <t xml:space="preserve">marianita.danilovich@hotmail.com </t>
  </si>
  <si>
    <t>BOCANERA</t>
  </si>
  <si>
    <t xml:space="preserve">CECILIA MARIA </t>
  </si>
  <si>
    <t>3816754678</t>
  </si>
  <si>
    <t xml:space="preserve">Ingeniera agronoma </t>
  </si>
  <si>
    <t>Produccion</t>
  </si>
  <si>
    <t>ceciliambocanera@gmail.com</t>
  </si>
  <si>
    <t>CORIZZI</t>
  </si>
  <si>
    <t>MARIA GRACIELA FÁTIMA</t>
  </si>
  <si>
    <t>2944536494</t>
  </si>
  <si>
    <t>CONTADOR PÚBLICO NACIONAL</t>
  </si>
  <si>
    <t xml:space="preserve">Instituto de Investigación </t>
  </si>
  <si>
    <t>inbiofaladm@gmail.com</t>
  </si>
  <si>
    <t>EGUES</t>
  </si>
  <si>
    <t>3816484195</t>
  </si>
  <si>
    <t>concursos</t>
  </si>
  <si>
    <t>concursosfacet@herrera.unt.edu.ar</t>
  </si>
  <si>
    <t>3815001988</t>
  </si>
  <si>
    <t>fedemartinez1306@gmail.com</t>
  </si>
  <si>
    <t>SEGURA PELLEGRINO</t>
  </si>
  <si>
    <t xml:space="preserve">JUAN ANTONIO </t>
  </si>
  <si>
    <t>3815745523</t>
  </si>
  <si>
    <t>Comisiones</t>
  </si>
  <si>
    <t xml:space="preserve">Macasegurav@hotmail.com </t>
  </si>
  <si>
    <t xml:space="preserve">GONZÁLEZ </t>
  </si>
  <si>
    <t xml:space="preserve">ROSANA ELIZABETH </t>
  </si>
  <si>
    <t>3815473789</t>
  </si>
  <si>
    <t xml:space="preserve">Profesora en Ciencias Biológicas </t>
  </si>
  <si>
    <t xml:space="preserve">Academica </t>
  </si>
  <si>
    <t>egonzalez@csnat.unt.edu.ar</t>
  </si>
  <si>
    <t xml:space="preserve">CARRIZO </t>
  </si>
  <si>
    <t>GISELA MARIA</t>
  </si>
  <si>
    <t>3815620267</t>
  </si>
  <si>
    <t>Profesora de educación primaria</t>
  </si>
  <si>
    <t xml:space="preserve"> Concurso</t>
  </si>
  <si>
    <t>g2_carri@outlook.com</t>
  </si>
  <si>
    <t>MATÍAS JAVIER</t>
  </si>
  <si>
    <t>3815472651</t>
  </si>
  <si>
    <t>matiasbalcells.10@gmail.com</t>
  </si>
  <si>
    <t>HERRERA ARDILES</t>
  </si>
  <si>
    <t>3813000159</t>
  </si>
  <si>
    <t>carolina.herreraardiles@fbqf.unt.Edu.ar</t>
  </si>
  <si>
    <t>MOZZI</t>
  </si>
  <si>
    <t>NANCY GRACIELA</t>
  </si>
  <si>
    <t>3815232046</t>
  </si>
  <si>
    <t>Secretaría de Asuntos Académicos</t>
  </si>
  <si>
    <t>academicafau@herrera.unt.edu.ar</t>
  </si>
  <si>
    <t xml:space="preserve">ADRIAN </t>
  </si>
  <si>
    <t>3815027753</t>
  </si>
  <si>
    <t>adriangarzon07@hotmail.com</t>
  </si>
  <si>
    <t>3815240899</t>
  </si>
  <si>
    <t>academico</t>
  </si>
  <si>
    <t>concurso@psicologia.unt.edu.ar</t>
  </si>
  <si>
    <t xml:space="preserve">FLORENCIA SOFÍA </t>
  </si>
  <si>
    <t>3816538645</t>
  </si>
  <si>
    <t xml:space="preserve">Dirección Administrativa </t>
  </si>
  <si>
    <t>florencia.sanna@fbqf.unt.edu.ar</t>
  </si>
  <si>
    <t xml:space="preserve">DAVID RICARDO OCTAVIO </t>
  </si>
  <si>
    <t>3815523128</t>
  </si>
  <si>
    <t>Departamento de Personal y Legajos</t>
  </si>
  <si>
    <t>molinadavid06@gmail.com</t>
  </si>
  <si>
    <t>Apellido</t>
  </si>
  <si>
    <t>Nombre</t>
  </si>
  <si>
    <t>Curso</t>
  </si>
  <si>
    <t>Fecha inicio</t>
  </si>
  <si>
    <t>Resultado</t>
  </si>
  <si>
    <t>UA</t>
  </si>
  <si>
    <t>Brandan</t>
  </si>
  <si>
    <t xml:space="preserve">Jorge Luis </t>
  </si>
  <si>
    <t>Cómo Desarrollarse en Tiempos de Crisis</t>
  </si>
  <si>
    <t>Aprobado</t>
  </si>
  <si>
    <t>Masa</t>
  </si>
  <si>
    <t xml:space="preserve">Teresita </t>
  </si>
  <si>
    <t>Appaz arguello</t>
  </si>
  <si>
    <t>Maria luz</t>
  </si>
  <si>
    <t>Padrós</t>
  </si>
  <si>
    <t>Verónica</t>
  </si>
  <si>
    <t>Arévalo</t>
  </si>
  <si>
    <t>Adriana Alicia</t>
  </si>
  <si>
    <t>Brancato</t>
  </si>
  <si>
    <t>Edith del Carmen</t>
  </si>
  <si>
    <t>Vallejo</t>
  </si>
  <si>
    <t xml:space="preserve">Silvia del Carmen </t>
  </si>
  <si>
    <t>Benites</t>
  </si>
  <si>
    <t>Claudia Patricia</t>
  </si>
  <si>
    <t>Iñigo</t>
  </si>
  <si>
    <t xml:space="preserve">Juan Marcelo </t>
  </si>
  <si>
    <t>Salas</t>
  </si>
  <si>
    <t xml:space="preserve">Gonzalo Matías </t>
  </si>
  <si>
    <t xml:space="preserve">Cordoba </t>
  </si>
  <si>
    <t xml:space="preserve">Cristina Elizabeth </t>
  </si>
  <si>
    <t>Campos</t>
  </si>
  <si>
    <t>Norma Aída</t>
  </si>
  <si>
    <t>Alaniz</t>
  </si>
  <si>
    <t xml:space="preserve">Claudia Noemi </t>
  </si>
  <si>
    <t>Abacca</t>
  </si>
  <si>
    <t xml:space="preserve">Patricia Amalia </t>
  </si>
  <si>
    <t>Construir Nuestra Vida Emocional- Mente</t>
  </si>
  <si>
    <t>Aguero</t>
  </si>
  <si>
    <t>Luis daniel</t>
  </si>
  <si>
    <t>Albarracin Orfali</t>
  </si>
  <si>
    <t>María Laura</t>
  </si>
  <si>
    <t>Amado</t>
  </si>
  <si>
    <t xml:space="preserve">Silvia </t>
  </si>
  <si>
    <t xml:space="preserve">Amado </t>
  </si>
  <si>
    <t>Brand{an</t>
  </si>
  <si>
    <t>Guillermo Raul</t>
  </si>
  <si>
    <t>Cadenas</t>
  </si>
  <si>
    <t>Roberto José</t>
  </si>
  <si>
    <t>Cárdenas</t>
  </si>
  <si>
    <t>Inés Ester</t>
  </si>
  <si>
    <t>Catalan</t>
  </si>
  <si>
    <t>Patricia</t>
  </si>
  <si>
    <t>Chavez</t>
  </si>
  <si>
    <t>Rosa Analía</t>
  </si>
  <si>
    <t>Cuevas</t>
  </si>
  <si>
    <t>Ana Maria</t>
  </si>
  <si>
    <t xml:space="preserve">de la Vega </t>
  </si>
  <si>
    <t xml:space="preserve">María Soledad </t>
  </si>
  <si>
    <t xml:space="preserve">Donamari </t>
  </si>
  <si>
    <t xml:space="preserve">Martín </t>
  </si>
  <si>
    <t>Gómez</t>
  </si>
  <si>
    <t>José Manuel</t>
  </si>
  <si>
    <t>Herrera</t>
  </si>
  <si>
    <t>Silvia Susana</t>
  </si>
  <si>
    <t xml:space="preserve">Juarez </t>
  </si>
  <si>
    <t>Aida</t>
  </si>
  <si>
    <t>Méndez</t>
  </si>
  <si>
    <t>Sergio Manuel</t>
  </si>
  <si>
    <t>Moreno</t>
  </si>
  <si>
    <t xml:space="preserve">Luz Alejandra </t>
  </si>
  <si>
    <t xml:space="preserve">Padilla </t>
  </si>
  <si>
    <t xml:space="preserve">María Eugenia </t>
  </si>
  <si>
    <t>Paredes</t>
  </si>
  <si>
    <t xml:space="preserve">Daiana Sabrina </t>
  </si>
  <si>
    <t xml:space="preserve">Pastorino </t>
  </si>
  <si>
    <t xml:space="preserve">Nina </t>
  </si>
  <si>
    <t>Ramallo</t>
  </si>
  <si>
    <t>Nelly Susana Fatima</t>
  </si>
  <si>
    <t xml:space="preserve">RODRIGUEZ </t>
  </si>
  <si>
    <t xml:space="preserve">Adriana Pamela </t>
  </si>
  <si>
    <t>Rueda</t>
  </si>
  <si>
    <t>Julio luis</t>
  </si>
  <si>
    <t>Salvatierra</t>
  </si>
  <si>
    <t xml:space="preserve">Gabriela Verónica </t>
  </si>
  <si>
    <t>Verasaluce</t>
  </si>
  <si>
    <t>Zuco</t>
  </si>
  <si>
    <t xml:space="preserve">Sofia </t>
  </si>
  <si>
    <t>Arevalo</t>
  </si>
  <si>
    <t>Avila Rizo</t>
  </si>
  <si>
    <t>María Florencia</t>
  </si>
  <si>
    <t>Jorge Luis</t>
  </si>
  <si>
    <t>conde</t>
  </si>
  <si>
    <t>anselmo damián</t>
  </si>
  <si>
    <t xml:space="preserve">Falcón </t>
  </si>
  <si>
    <t xml:space="preserve">Cyntia Melisa </t>
  </si>
  <si>
    <t>Griet</t>
  </si>
  <si>
    <t>Martin</t>
  </si>
  <si>
    <t>Itharte</t>
  </si>
  <si>
    <t>Paula Elizabeth</t>
  </si>
  <si>
    <t>Martinez</t>
  </si>
  <si>
    <t>Jorge Alberto</t>
  </si>
  <si>
    <t xml:space="preserve">Medrano </t>
  </si>
  <si>
    <t>Marilina de los Ángeles</t>
  </si>
  <si>
    <t>Pastorino</t>
  </si>
  <si>
    <t>Nina Fiorella</t>
  </si>
  <si>
    <t>Perez</t>
  </si>
  <si>
    <t>Karina de los Angeles</t>
  </si>
  <si>
    <t>Ribo</t>
  </si>
  <si>
    <t>María Inés</t>
  </si>
  <si>
    <t>Lopez</t>
  </si>
  <si>
    <t>Carolina Graciela</t>
  </si>
  <si>
    <t>Alberto</t>
  </si>
  <si>
    <t>Maria Rosa</t>
  </si>
  <si>
    <t>Albornoz</t>
  </si>
  <si>
    <t>Abel Alberto</t>
  </si>
  <si>
    <t xml:space="preserve">De la Vega </t>
  </si>
  <si>
    <t>María Soledad</t>
  </si>
  <si>
    <t xml:space="preserve">Diaz </t>
  </si>
  <si>
    <t xml:space="preserve">Ana María </t>
  </si>
  <si>
    <t>Gaspar</t>
  </si>
  <si>
    <t>Adriana Silvia</t>
  </si>
  <si>
    <t>Gorena</t>
  </si>
  <si>
    <t>Gorena Antonio</t>
  </si>
  <si>
    <t>Medramo</t>
  </si>
  <si>
    <t>Hugo Roneto</t>
  </si>
  <si>
    <t>Mendoza</t>
  </si>
  <si>
    <t>Silvia Beatriz</t>
  </si>
  <si>
    <t>Monasterio Arroyo</t>
  </si>
  <si>
    <t>Valeria Carolina</t>
  </si>
  <si>
    <t xml:space="preserve">Orquera </t>
  </si>
  <si>
    <t>Oscar René</t>
  </si>
  <si>
    <t>Villalobo</t>
  </si>
  <si>
    <t>Myriam</t>
  </si>
  <si>
    <t xml:space="preserve">Virgolini </t>
  </si>
  <si>
    <t xml:space="preserve">Sandra Ivonne </t>
  </si>
  <si>
    <t>IV Seminario de Extensión</t>
  </si>
  <si>
    <t>09/11/2019</t>
  </si>
  <si>
    <t>Normativas Legales</t>
  </si>
  <si>
    <t>08/11/2019</t>
  </si>
  <si>
    <t>AGUSTINA DEL ROSARIO</t>
  </si>
  <si>
    <t>Construir Juntos Nuestro Eq. De Trab.</t>
  </si>
  <si>
    <t>08/10/2019</t>
  </si>
  <si>
    <t>Elaboracion de Manuales de Procedimientos</t>
  </si>
  <si>
    <t>02/10/2019</t>
  </si>
  <si>
    <t>Funcionalidad Del Sistema GDE</t>
  </si>
  <si>
    <t>01/10/2019</t>
  </si>
  <si>
    <t>20/09/2019</t>
  </si>
  <si>
    <t>CINTYA MELISA</t>
  </si>
  <si>
    <t>Comunic. y trabajo en Equipo</t>
  </si>
  <si>
    <t>24/06/2019</t>
  </si>
  <si>
    <t>Liderazgo e Inteligencia Emocional</t>
  </si>
  <si>
    <t>27/05/2019</t>
  </si>
  <si>
    <t>08/05/2019</t>
  </si>
  <si>
    <t>Formato Marc21 SIGB KOHA</t>
  </si>
  <si>
    <t>22/04/2019</t>
  </si>
  <si>
    <t>09/04/2019</t>
  </si>
  <si>
    <t>08/04/2019</t>
  </si>
  <si>
    <t>Habilidades de liderazgo</t>
  </si>
  <si>
    <t>20/03/2019</t>
  </si>
  <si>
    <t>09/11/2018</t>
  </si>
  <si>
    <t>ASSEF</t>
  </si>
  <si>
    <t>Presentaciones profes.</t>
  </si>
  <si>
    <t>11/10/2018</t>
  </si>
  <si>
    <t>KARINA DE LOS ANGELES</t>
  </si>
  <si>
    <t>10/10/2018</t>
  </si>
  <si>
    <t>Excel Avanzado</t>
  </si>
  <si>
    <t>09/10/2018</t>
  </si>
  <si>
    <t>Word Avanzado</t>
  </si>
  <si>
    <t>08/10/2018</t>
  </si>
  <si>
    <t>Estrategias de cambio…</t>
  </si>
  <si>
    <t>15/08/2018</t>
  </si>
  <si>
    <t>Cursando</t>
  </si>
  <si>
    <t>Trabajar en la Nube</t>
  </si>
  <si>
    <t>09/08/2018</t>
  </si>
  <si>
    <t>Excel Inicial</t>
  </si>
  <si>
    <t>07/08/2018</t>
  </si>
  <si>
    <t>Windows/Word</t>
  </si>
  <si>
    <t>06/08/2018</t>
  </si>
  <si>
    <t>Rendición de Proy SPU</t>
  </si>
  <si>
    <t>21/05/2018</t>
  </si>
  <si>
    <t>Abandonó</t>
  </si>
  <si>
    <t>BD con Excel</t>
  </si>
  <si>
    <t>17/05/2018</t>
  </si>
  <si>
    <t>Nunca vino</t>
  </si>
  <si>
    <t>Ausente</t>
  </si>
  <si>
    <t>16/05/2018</t>
  </si>
  <si>
    <t>15/05/2018</t>
  </si>
  <si>
    <t>14/05/2018</t>
  </si>
  <si>
    <t>NORMA A.</t>
  </si>
  <si>
    <t>20/03/2018</t>
  </si>
  <si>
    <t>VICENTE</t>
  </si>
  <si>
    <t>FABIO RAUL</t>
  </si>
  <si>
    <t>D'ATELLIS</t>
  </si>
  <si>
    <t>LUCIANA SOLEDAD</t>
  </si>
  <si>
    <t>Liderazgo en los Equipos de Trabajo</t>
  </si>
  <si>
    <t xml:space="preserve">BRITO </t>
  </si>
  <si>
    <t>CELIA</t>
  </si>
  <si>
    <t>CAROLINA DEL CARMEN</t>
  </si>
  <si>
    <t>EXCEL INICIAL</t>
  </si>
  <si>
    <t>La Comunicación en los Equipos de Trabajo</t>
  </si>
  <si>
    <t>FRANCK</t>
  </si>
  <si>
    <t>III Sem. de Formación Continua en Ext. Univ.</t>
  </si>
  <si>
    <t>ÁLVAREZ</t>
  </si>
  <si>
    <t>NILDA FÁTIMA ÁLVAREZ</t>
  </si>
  <si>
    <t>APARICIO</t>
  </si>
  <si>
    <t>JUAN DANIEL</t>
  </si>
  <si>
    <t xml:space="preserve">NILDA NOEMÍ </t>
  </si>
  <si>
    <t>MARÍA BELÉN</t>
  </si>
  <si>
    <t>CARRAPIZO</t>
  </si>
  <si>
    <t>EDUARDO MANUE</t>
  </si>
  <si>
    <t xml:space="preserve">CHAYA </t>
  </si>
  <si>
    <t>JAVIERA</t>
  </si>
  <si>
    <t>COLANERI</t>
  </si>
  <si>
    <t>MARIA GLORIA</t>
  </si>
  <si>
    <t>CORIA</t>
  </si>
  <si>
    <t>ALINA</t>
  </si>
  <si>
    <t>SILVANA E.</t>
  </si>
  <si>
    <t>GRIBALDI</t>
  </si>
  <si>
    <t>ROSANA</t>
  </si>
  <si>
    <t>FATIMA MAGDALENA</t>
  </si>
  <si>
    <t>LLAMPA</t>
  </si>
  <si>
    <t>ADRIANA SOLEDAD</t>
  </si>
  <si>
    <t>M. EUGENIA</t>
  </si>
  <si>
    <t>MIOTTI</t>
  </si>
  <si>
    <t>MOISES</t>
  </si>
  <si>
    <t>PAKER</t>
  </si>
  <si>
    <t xml:space="preserve">PÉREZ  </t>
  </si>
  <si>
    <t>QUIÑONES</t>
  </si>
  <si>
    <t xml:space="preserve">RIBO </t>
  </si>
  <si>
    <t xml:space="preserve">MARÍA INÉS </t>
  </si>
  <si>
    <t>NANCY VICTORIA</t>
  </si>
  <si>
    <t>ROBLEDO BARROS</t>
  </si>
  <si>
    <t>JOSÉ LUIS</t>
  </si>
  <si>
    <t>TONELLO</t>
  </si>
  <si>
    <t xml:space="preserve">URSULA </t>
  </si>
  <si>
    <t>VENTURINI</t>
  </si>
  <si>
    <t xml:space="preserve">CECILIA IRENE </t>
  </si>
  <si>
    <t>ZORZIN</t>
  </si>
  <si>
    <t>Vistas y Notificaciones</t>
  </si>
  <si>
    <t>AVILA RIZZO</t>
  </si>
  <si>
    <t>SERGIO RUBÉN</t>
  </si>
  <si>
    <t>MECOZZI</t>
  </si>
  <si>
    <t>Elab. de Manual de Procedimientos y su Implementación</t>
  </si>
  <si>
    <t>PATRICIA A.</t>
  </si>
  <si>
    <t>ALBA GUILLIN</t>
  </si>
  <si>
    <t>GLENDA GABRIELA</t>
  </si>
  <si>
    <t>MARÍA DE LUJÁN</t>
  </si>
  <si>
    <t>RUTH SILVINA</t>
  </si>
  <si>
    <t>GERRA</t>
  </si>
  <si>
    <t>MARÍA INES</t>
  </si>
  <si>
    <t>MÓNICA CATERNIA</t>
  </si>
  <si>
    <t>MATÍAS ANTONIO ALEJANDRO</t>
  </si>
  <si>
    <t>MARÍA PAULA</t>
  </si>
  <si>
    <t>VILLAFAÑE CASTELLÓ</t>
  </si>
  <si>
    <t>MARÍA MARCELA</t>
  </si>
  <si>
    <t>RUTH</t>
  </si>
  <si>
    <t>MARÍA LAURA</t>
  </si>
  <si>
    <t>CLAUDIA VIVIANA L.</t>
  </si>
  <si>
    <t>Construir juntos nuestro Equipo de Trabajo</t>
  </si>
  <si>
    <t>MARIA DE LUJAN</t>
  </si>
  <si>
    <t>MARÍA VERONICA</t>
  </si>
  <si>
    <t>Textos Administrativos</t>
  </si>
  <si>
    <t>CLAUDIA VIVIANA LAURA</t>
  </si>
  <si>
    <t>NASUL</t>
  </si>
  <si>
    <t>YANINA</t>
  </si>
  <si>
    <t>Mentes Predispuestas al cambio</t>
  </si>
  <si>
    <t>LUCRECIA MARIA</t>
  </si>
  <si>
    <t xml:space="preserve">Procesos para definir pautas consensuadas en la Dir. Comunic. Inst. </t>
  </si>
  <si>
    <t>MENDILHARZU</t>
  </si>
  <si>
    <t>JULIO A.</t>
  </si>
  <si>
    <t>Funcionalidad del SIU Diaguita en la UNT</t>
  </si>
  <si>
    <t>IOTTI</t>
  </si>
  <si>
    <t>SILVANA NOEMI</t>
  </si>
  <si>
    <t>RICARDO E.</t>
  </si>
  <si>
    <t>VARELA FRIAS</t>
  </si>
  <si>
    <t>DANIEL MATIAS</t>
  </si>
  <si>
    <t>LUIS SEGUNDO NORBERTO</t>
  </si>
  <si>
    <t>SERGIO MANUEL ERNESTO</t>
  </si>
  <si>
    <t>JOSE ANGEL</t>
  </si>
  <si>
    <t>Inglés A2 Pre-Intermedio</t>
  </si>
  <si>
    <t>INGLÉS NIVEL B1</t>
  </si>
  <si>
    <t>GUILLERMO RAFAEL</t>
  </si>
  <si>
    <t>La Comunicación y el Trabajo en Equipo</t>
  </si>
  <si>
    <t>ADRIANA SILVIA</t>
  </si>
  <si>
    <t>Comunic. En los Equipos de Trabajo - Cine</t>
  </si>
  <si>
    <t>CLAUDIO</t>
  </si>
  <si>
    <t>MARIA SOFIA</t>
  </si>
  <si>
    <t>LIDIA MARIA</t>
  </si>
  <si>
    <t>ELIZABETH</t>
  </si>
  <si>
    <t>CAROLINA MARIA</t>
  </si>
  <si>
    <t>AMILAGA</t>
  </si>
  <si>
    <t>Atención al Público de Mesa de Entrada Univ.</t>
  </si>
  <si>
    <t>ARRIETA</t>
  </si>
  <si>
    <t>CRISTINA SOLEDAD</t>
  </si>
  <si>
    <t>GUSTAVO GABRIEL</t>
  </si>
  <si>
    <t>GRIMA</t>
  </si>
  <si>
    <t>MARIA LUISA</t>
  </si>
  <si>
    <t>GUILLIN</t>
  </si>
  <si>
    <t>GLENDA</t>
  </si>
  <si>
    <t>HAIMOVITCH</t>
  </si>
  <si>
    <t>PABLO CESAR</t>
  </si>
  <si>
    <t xml:space="preserve">SIMON </t>
  </si>
  <si>
    <t>AIME</t>
  </si>
  <si>
    <t>FABIANA BEATRIZ</t>
  </si>
  <si>
    <t xml:space="preserve">VILLAFAÑE </t>
  </si>
  <si>
    <t>SARA ALEJANDRA</t>
  </si>
  <si>
    <t>Ley de Procedimientos Administrativos</t>
  </si>
  <si>
    <t>ARANCIBIA REYNOSO</t>
  </si>
  <si>
    <t>FALCON</t>
  </si>
  <si>
    <t>GERMAN LEONARDO</t>
  </si>
  <si>
    <t>MARIELA NATALIA</t>
  </si>
  <si>
    <t>ZOTTOLI</t>
  </si>
  <si>
    <t>ELEONORA MAGDALENA DEL VALLE</t>
  </si>
  <si>
    <t>Proyectos de Extensión Universitaria</t>
  </si>
  <si>
    <t>MARTA A.</t>
  </si>
  <si>
    <t>LUNA CAZÓN</t>
  </si>
  <si>
    <t>MARTA MONICA MABEL DE FATIMA</t>
  </si>
  <si>
    <t>Atención al Público en Bibliotecas Univ.</t>
  </si>
  <si>
    <t>JUANA C</t>
  </si>
  <si>
    <t xml:space="preserve">GOMEZ  </t>
  </si>
  <si>
    <t>JOSE FERNANDO</t>
  </si>
  <si>
    <t>ALCIRA</t>
  </si>
  <si>
    <t>ARMANDO</t>
  </si>
  <si>
    <t>LUCRECIA</t>
  </si>
  <si>
    <t xml:space="preserve">MENDOZA </t>
  </si>
  <si>
    <t>MOLINILLO</t>
  </si>
  <si>
    <t>XIMENA</t>
  </si>
  <si>
    <t>LUIS ADRIAN</t>
  </si>
  <si>
    <t>IXCHELEILE</t>
  </si>
  <si>
    <t>EUGENIA</t>
  </si>
  <si>
    <t>MENDILARHARZU</t>
  </si>
  <si>
    <t xml:space="preserve">OLEA </t>
  </si>
  <si>
    <t>CAROLINA ELENA</t>
  </si>
  <si>
    <t>MARCELA FABIANA</t>
  </si>
  <si>
    <t>MENDILAHARZU</t>
  </si>
  <si>
    <t>PRADOS BACAREZZA</t>
  </si>
  <si>
    <t>AGÜERO DE LOVEY</t>
  </si>
  <si>
    <t>BETTINA E.</t>
  </si>
  <si>
    <t>Construcción Personal…</t>
  </si>
  <si>
    <t>AVELLANEDA</t>
  </si>
  <si>
    <t>MURATORE LORENZI</t>
  </si>
  <si>
    <t>Redacción de Actos Adminitrativos</t>
  </si>
  <si>
    <t>BETIANA GISELA</t>
  </si>
  <si>
    <t>DOMINETI</t>
  </si>
  <si>
    <t>ALFREDO RUBEN</t>
  </si>
  <si>
    <t xml:space="preserve">MARIANA </t>
  </si>
  <si>
    <t>NOELIA</t>
  </si>
  <si>
    <t>HERNAN</t>
  </si>
  <si>
    <t>SILVANA ALEJANDRA</t>
  </si>
  <si>
    <t xml:space="preserve">VILLALOBO </t>
  </si>
  <si>
    <t>ZAMORANO</t>
  </si>
  <si>
    <t>ABDALA</t>
  </si>
  <si>
    <t>La Voz como instrumento de trabajo</t>
  </si>
  <si>
    <t>Inglés Inicial- A2</t>
  </si>
  <si>
    <t>ROSA ISABEL DEL VALLE</t>
  </si>
  <si>
    <t>MERCEDES CLAUDIA DEL VALLE</t>
  </si>
  <si>
    <t>Inglés Pre-Intermedio</t>
  </si>
  <si>
    <t>CHAYLE</t>
  </si>
  <si>
    <t>PEDRO A.</t>
  </si>
  <si>
    <t>CLAUDIO V.</t>
  </si>
  <si>
    <t>PABLO HERNAN</t>
  </si>
  <si>
    <t>MIENA</t>
  </si>
  <si>
    <t>RAMON MARIANO</t>
  </si>
  <si>
    <t>PROSPERO SORAIRE</t>
  </si>
  <si>
    <t xml:space="preserve">MARIA </t>
  </si>
  <si>
    <t>DAVID H.</t>
  </si>
  <si>
    <t>Herram. para la implementación de procedimientos de Compras en la UNT</t>
  </si>
  <si>
    <t>GOMEZ MARTÍN</t>
  </si>
  <si>
    <t>Herram. para la Gestión de Expdtes en la UNT</t>
  </si>
  <si>
    <t xml:space="preserve">LAURA </t>
  </si>
  <si>
    <t>ROSA ISABEL DEL V.</t>
  </si>
  <si>
    <t>I Seminario de Formacion Continua en Extension Universitaria</t>
  </si>
  <si>
    <t>MONTINAZHA</t>
  </si>
  <si>
    <t>La Comunicación como epifanía del encuentro</t>
  </si>
  <si>
    <t>MARGARITA DEL VALLE</t>
  </si>
  <si>
    <t xml:space="preserve">ROSA </t>
  </si>
  <si>
    <t>REBRA</t>
  </si>
  <si>
    <t>Ceremonial y Protocolo en la UNT</t>
  </si>
  <si>
    <t>ELIDA DE FATIMA</t>
  </si>
  <si>
    <t>LAMMOGIA</t>
  </si>
  <si>
    <t>PASTOR CORDOBA</t>
  </si>
  <si>
    <t>ALFREDO</t>
  </si>
  <si>
    <t>SOLEDAD</t>
  </si>
  <si>
    <t xml:space="preserve">MARCELA </t>
  </si>
  <si>
    <t>Herram. básicas de Comunicación en la UNT</t>
  </si>
  <si>
    <t>GRISELDA E.</t>
  </si>
  <si>
    <t>DEBORAH</t>
  </si>
  <si>
    <t>OSCAR EDUARDO</t>
  </si>
  <si>
    <t>MARIA TERESITA</t>
  </si>
  <si>
    <t>CLAUDIA R.</t>
  </si>
  <si>
    <t xml:space="preserve">NIEVA </t>
  </si>
  <si>
    <t>MATIAS</t>
  </si>
  <si>
    <t>Normativas de Tránsito y Seguridad Vial</t>
  </si>
  <si>
    <t xml:space="preserve">CRUZ </t>
  </si>
  <si>
    <t xml:space="preserve">RAMON </t>
  </si>
  <si>
    <t>REINAGA</t>
  </si>
  <si>
    <t>CESAR ATILIO</t>
  </si>
  <si>
    <t xml:space="preserve">ROMANO  </t>
  </si>
  <si>
    <t>EMANUEL ALEJANDRO</t>
  </si>
  <si>
    <t>Formato MARC21 Bibliográfico</t>
  </si>
  <si>
    <t>ERNESTO EDGARDO</t>
  </si>
  <si>
    <t>Conocimiento y Aceptación Personal</t>
  </si>
  <si>
    <t>MARIA INES RAMOS</t>
  </si>
  <si>
    <t>Coord. de Equipos de Trab- Psicologia</t>
  </si>
  <si>
    <t>Coord. de Equipos de Trab-Cs. Exactas</t>
  </si>
  <si>
    <t>ATILIO</t>
  </si>
  <si>
    <t>BLANCA</t>
  </si>
  <si>
    <t>ALBERTO D.</t>
  </si>
  <si>
    <t>BOGGIATO</t>
  </si>
  <si>
    <t>CESCA</t>
  </si>
  <si>
    <t>MARIO RODOLFO</t>
  </si>
  <si>
    <t>JUAN MATIAS</t>
  </si>
  <si>
    <t>DIFARCO</t>
  </si>
  <si>
    <t>MIGUEL A.</t>
  </si>
  <si>
    <t xml:space="preserve">MIGUEL  </t>
  </si>
  <si>
    <t>HERNANDEZ</t>
  </si>
  <si>
    <t>MARIA R.</t>
  </si>
  <si>
    <t>ABEL</t>
  </si>
  <si>
    <t>HUERTA DE LABASTIDA</t>
  </si>
  <si>
    <t>JAEN</t>
  </si>
  <si>
    <t>MIRTA</t>
  </si>
  <si>
    <t>JIMENEZ SANTILLAN</t>
  </si>
  <si>
    <t>HUGO JUAN CARLOS</t>
  </si>
  <si>
    <t>KATZ</t>
  </si>
  <si>
    <t>MONICA CECILIA</t>
  </si>
  <si>
    <t>LLORENS</t>
  </si>
  <si>
    <t>RAMON E.</t>
  </si>
  <si>
    <t>ESTELA</t>
  </si>
  <si>
    <t>LUCCIONI</t>
  </si>
  <si>
    <t>GRISELDA</t>
  </si>
  <si>
    <t>MANZANO</t>
  </si>
  <si>
    <t>ROBERTO E.</t>
  </si>
  <si>
    <t>AIDA</t>
  </si>
  <si>
    <t>ROSARIO</t>
  </si>
  <si>
    <t>PAGANI</t>
  </si>
  <si>
    <t>PEREZ FILGUEIRAS</t>
  </si>
  <si>
    <t>PICCARDI DE CORIA</t>
  </si>
  <si>
    <t xml:space="preserve">JUAN  </t>
  </si>
  <si>
    <t>SAADE</t>
  </si>
  <si>
    <t>SANCHES LORIA</t>
  </si>
  <si>
    <t>GRACIELA LUCIA</t>
  </si>
  <si>
    <t>XAMENA</t>
  </si>
  <si>
    <t>CARLOS M.</t>
  </si>
  <si>
    <t>OCAMPO</t>
  </si>
  <si>
    <t>Power Point</t>
  </si>
  <si>
    <t>Inglés Inicial</t>
  </si>
  <si>
    <t>LILIANA DEL CARMEN</t>
  </si>
  <si>
    <t>Carrizo</t>
  </si>
  <si>
    <t>Nancy</t>
  </si>
  <si>
    <t>Cervera</t>
  </si>
  <si>
    <t>Alicia Carolina</t>
  </si>
  <si>
    <t>Figueroa</t>
  </si>
  <si>
    <t>Cesar Adrian</t>
  </si>
  <si>
    <t>Grau</t>
  </si>
  <si>
    <t>Jeannette</t>
  </si>
  <si>
    <t>Ibañez</t>
  </si>
  <si>
    <t>Maria Antonia</t>
  </si>
  <si>
    <t>Nieva</t>
  </si>
  <si>
    <t>Maria Daniela</t>
  </si>
  <si>
    <t>Palavecino</t>
  </si>
  <si>
    <t>Gabriela</t>
  </si>
  <si>
    <t>Peralta</t>
  </si>
  <si>
    <t>Mariano Ramon</t>
  </si>
  <si>
    <t>Ramos</t>
  </si>
  <si>
    <t>Agustina del Rosario</t>
  </si>
  <si>
    <t>Dactilografía en PC</t>
  </si>
  <si>
    <t>LUCAS NAHUEL</t>
  </si>
  <si>
    <t xml:space="preserve">ROSA  </t>
  </si>
  <si>
    <t>JOSE F</t>
  </si>
  <si>
    <t>FERNADO</t>
  </si>
  <si>
    <t>Flexibilidad en tiempos de cambio</t>
  </si>
  <si>
    <t>Proced. Especiales de Concursos en las Esc. Medias de la UNT</t>
  </si>
  <si>
    <t>CAINZO</t>
  </si>
  <si>
    <t xml:space="preserve">LILIANA  </t>
  </si>
  <si>
    <t xml:space="preserve">MONTEROS </t>
  </si>
  <si>
    <t xml:space="preserve">REYES </t>
  </si>
  <si>
    <t xml:space="preserve">SUAREZ </t>
  </si>
  <si>
    <t>URTUDEY</t>
  </si>
  <si>
    <t>MARCELA M.</t>
  </si>
  <si>
    <t>CYNTIA M.</t>
  </si>
  <si>
    <t>GLENDA GABRIELA ALBA</t>
  </si>
  <si>
    <t>MARIA JAQUELINE</t>
  </si>
  <si>
    <t>CRISTINA B.</t>
  </si>
  <si>
    <t>RAMIS</t>
  </si>
  <si>
    <t xml:space="preserve">EXCEL INICIAL </t>
  </si>
  <si>
    <t>CAMINO</t>
  </si>
  <si>
    <t>JUAN EDUARDO</t>
  </si>
  <si>
    <t xml:space="preserve">DE LA FUENTE </t>
  </si>
  <si>
    <t>MASTRACHIO</t>
  </si>
  <si>
    <t>ALEJANDRA VERONICA</t>
  </si>
  <si>
    <t>MARCELA T.</t>
  </si>
  <si>
    <t>Atención al Público en Organizaciones</t>
  </si>
  <si>
    <t>Marcela T.</t>
  </si>
  <si>
    <t>MYRIAM MABEL</t>
  </si>
  <si>
    <t>BERNASCONI</t>
  </si>
  <si>
    <t>VIVIANA DEL VALLE</t>
  </si>
  <si>
    <t>CASTRAÑO</t>
  </si>
  <si>
    <t>LARISA MARIA</t>
  </si>
  <si>
    <t>DIAS</t>
  </si>
  <si>
    <t>DONZELI</t>
  </si>
  <si>
    <t>PABLO GERARDO</t>
  </si>
  <si>
    <t>FUENZALIDA</t>
  </si>
  <si>
    <t>DELICIA DEL V.</t>
  </si>
  <si>
    <t>GALINDEZ</t>
  </si>
  <si>
    <t>CELINA CELINA</t>
  </si>
  <si>
    <t>LORCA</t>
  </si>
  <si>
    <t>DANIEL RICARDO</t>
  </si>
  <si>
    <t>MARIA GISELLE</t>
  </si>
  <si>
    <t>JORGELINA PENELOPE</t>
  </si>
  <si>
    <t xml:space="preserve">ROMANO FARIAS </t>
  </si>
  <si>
    <t>ROSALES</t>
  </si>
  <si>
    <t>SWITH</t>
  </si>
  <si>
    <t>JUDITH SILVANA</t>
  </si>
  <si>
    <t>NILDA EVELINA</t>
  </si>
  <si>
    <t>FATIMA DEL VALLE</t>
  </si>
  <si>
    <t>ELIDA DEL VALLE</t>
  </si>
  <si>
    <t>SERGIO ERNESTO MANUEL</t>
  </si>
  <si>
    <t>M. CECILIA</t>
  </si>
  <si>
    <t>HERRERA LANCIOTTI</t>
  </si>
  <si>
    <t>MAMANÍ</t>
  </si>
  <si>
    <t>HERNÁN PABLO</t>
  </si>
  <si>
    <t>POLICHE</t>
  </si>
  <si>
    <t>MANUEL ANTONIO</t>
  </si>
  <si>
    <t xml:space="preserve">RAFLO </t>
  </si>
  <si>
    <t xml:space="preserve">RAMOS </t>
  </si>
  <si>
    <t>ROUGES</t>
  </si>
  <si>
    <t>STORDEUR</t>
  </si>
  <si>
    <t xml:space="preserve">SILVIA  </t>
  </si>
  <si>
    <t>ZEBALLOS</t>
  </si>
  <si>
    <t>HECTOR LEOPOLDO</t>
  </si>
  <si>
    <t>Metodología de la Gestión Documental</t>
  </si>
  <si>
    <t>BRUNO</t>
  </si>
  <si>
    <t>DULOUT</t>
  </si>
  <si>
    <t>FERNANDO JUAN</t>
  </si>
  <si>
    <t>FERNADA BEATRIZ</t>
  </si>
  <si>
    <t>FANCCIOTTI CAMPERO</t>
  </si>
  <si>
    <t>EMILIANO</t>
  </si>
  <si>
    <t>PATRICIA ANDREA DEL VALLE</t>
  </si>
  <si>
    <t>ROBERTO ERNESTO</t>
  </si>
  <si>
    <t>LUPO SALVATIERRA</t>
  </si>
  <si>
    <t>JUAN E.</t>
  </si>
  <si>
    <t>GUILLERMO JOSE</t>
  </si>
  <si>
    <t xml:space="preserve">PEDRAZA </t>
  </si>
  <si>
    <t>PUCAPUCA</t>
  </si>
  <si>
    <t>RAMON GUSTAVO</t>
  </si>
  <si>
    <t xml:space="preserve">GABRIELA </t>
  </si>
  <si>
    <t>ISABEL</t>
  </si>
  <si>
    <t>RICARDO ORLANDO</t>
  </si>
  <si>
    <t>LUCAS FEDERICO</t>
  </si>
  <si>
    <t>RAUL FERNANDO</t>
  </si>
  <si>
    <t>WALTER FERNANDO</t>
  </si>
  <si>
    <t>VALEZ RAMOS</t>
  </si>
  <si>
    <t>EFRAIM EDUARDO</t>
  </si>
  <si>
    <t>Comunicación y Redacción de Notas Periodísticas</t>
  </si>
  <si>
    <t>Adris</t>
  </si>
  <si>
    <t>Pablo</t>
  </si>
  <si>
    <t>Aguirre</t>
  </si>
  <si>
    <t>Deborah Romina</t>
  </si>
  <si>
    <t>Albarracin Orfani</t>
  </si>
  <si>
    <t>Maria Laura</t>
  </si>
  <si>
    <t>Alvares</t>
  </si>
  <si>
    <t>Graciela Beatriz</t>
  </si>
  <si>
    <t>Ardiles</t>
  </si>
  <si>
    <t>Nilda Leonor</t>
  </si>
  <si>
    <t>Borquez Correa</t>
  </si>
  <si>
    <t>Sandra</t>
  </si>
  <si>
    <t>Bursaque</t>
  </si>
  <si>
    <t>Silvia Florencia</t>
  </si>
  <si>
    <t>Carles</t>
  </si>
  <si>
    <t>Mariana</t>
  </si>
  <si>
    <t>Castaño</t>
  </si>
  <si>
    <t>Guillermo</t>
  </si>
  <si>
    <t>Chirre</t>
  </si>
  <si>
    <t>Adrian</t>
  </si>
  <si>
    <t>Comolli</t>
  </si>
  <si>
    <t>Fabian Atilio</t>
  </si>
  <si>
    <t>Conrado</t>
  </si>
  <si>
    <t xml:space="preserve">Luis </t>
  </si>
  <si>
    <t>Correa</t>
  </si>
  <si>
    <t>Luciano Fernando</t>
  </si>
  <si>
    <t>Alejandro</t>
  </si>
  <si>
    <t>fanny lia</t>
  </si>
  <si>
    <t>Ferrero</t>
  </si>
  <si>
    <t>Carlos</t>
  </si>
  <si>
    <t>Formoso</t>
  </si>
  <si>
    <t>Maria Alejandra</t>
  </si>
  <si>
    <t>Garcia Chequer</t>
  </si>
  <si>
    <t>Maria Luciana</t>
  </si>
  <si>
    <t>Guerra</t>
  </si>
  <si>
    <t>Marta Viviana</t>
  </si>
  <si>
    <t xml:space="preserve">Gutierres </t>
  </si>
  <si>
    <t>Claudia</t>
  </si>
  <si>
    <t>Jeger</t>
  </si>
  <si>
    <t>Pablo Hernan</t>
  </si>
  <si>
    <t>Jorrat</t>
  </si>
  <si>
    <t>Juan Esteban</t>
  </si>
  <si>
    <t>Liezun</t>
  </si>
  <si>
    <t>Angelina Ester</t>
  </si>
  <si>
    <t>Moeremans</t>
  </si>
  <si>
    <t>Daniel</t>
  </si>
  <si>
    <t>Olivera</t>
  </si>
  <si>
    <t>Laura Patricia</t>
  </si>
  <si>
    <t>oviedo</t>
  </si>
  <si>
    <t xml:space="preserve">marta  </t>
  </si>
  <si>
    <t>Reynoso Acosta</t>
  </si>
  <si>
    <t>Ernesto</t>
  </si>
  <si>
    <t>Rivas</t>
  </si>
  <si>
    <t>Martin Humberto</t>
  </si>
  <si>
    <t>Rodriguez Vaquero</t>
  </si>
  <si>
    <t>Norberto Jorge</t>
  </si>
  <si>
    <t>salvatierra</t>
  </si>
  <si>
    <t>Marcos</t>
  </si>
  <si>
    <t>Sanna</t>
  </si>
  <si>
    <t>Patricio</t>
  </si>
  <si>
    <t>Scaravino</t>
  </si>
  <si>
    <t>Lisa</t>
  </si>
  <si>
    <t>soria</t>
  </si>
  <si>
    <t>manuel domingo</t>
  </si>
  <si>
    <t>maria emilia</t>
  </si>
  <si>
    <t>Toledo</t>
  </si>
  <si>
    <t>Jose Manuel</t>
  </si>
  <si>
    <t>Ivana Rosalia</t>
  </si>
  <si>
    <t>Villalba</t>
  </si>
  <si>
    <t>Pablo Alejandro</t>
  </si>
  <si>
    <t>Estadísticas con Excel</t>
  </si>
  <si>
    <t>Cerutti de la Cruz</t>
  </si>
  <si>
    <t>Escaño Curia</t>
  </si>
  <si>
    <t>Maria Paola</t>
  </si>
  <si>
    <t>Guzman</t>
  </si>
  <si>
    <t>Jose Enrique</t>
  </si>
  <si>
    <t>Mastracchio</t>
  </si>
  <si>
    <t>Mecozzi</t>
  </si>
  <si>
    <t>Navarro</t>
  </si>
  <si>
    <t>Exequiel</t>
  </si>
  <si>
    <t>Orellana</t>
  </si>
  <si>
    <t>Gladys Roxana</t>
  </si>
  <si>
    <t>Romano</t>
  </si>
  <si>
    <t>Graciela Mabel</t>
  </si>
  <si>
    <t>Salinas Collado</t>
  </si>
  <si>
    <t xml:space="preserve">Rodolfo </t>
  </si>
  <si>
    <t>Ivana</t>
  </si>
  <si>
    <t>Correa Basualdo</t>
  </si>
  <si>
    <t>Lourdes</t>
  </si>
  <si>
    <t>Falcon</t>
  </si>
  <si>
    <t>Cyntia Melisa</t>
  </si>
  <si>
    <t>Rafael Ernesto</t>
  </si>
  <si>
    <t>Gallin</t>
  </si>
  <si>
    <t>Glenda G. Alba</t>
  </si>
  <si>
    <t>Gonzalez</t>
  </si>
  <si>
    <t>Silvana Elizabeth</t>
  </si>
  <si>
    <t>Hael</t>
  </si>
  <si>
    <t>Liquin</t>
  </si>
  <si>
    <t>David Sandro</t>
  </si>
  <si>
    <t>Nasul</t>
  </si>
  <si>
    <t>Yanina</t>
  </si>
  <si>
    <t>Paez</t>
  </si>
  <si>
    <t>Fatima Elizabeth</t>
  </si>
  <si>
    <t>Roldan</t>
  </si>
  <si>
    <t>Adriana Isabel</t>
  </si>
  <si>
    <t>Soria Dominguez</t>
  </si>
  <si>
    <t>Aime L.</t>
  </si>
  <si>
    <t>Agüero</t>
  </si>
  <si>
    <t>Juan Jose</t>
  </si>
  <si>
    <t>Brito</t>
  </si>
  <si>
    <t>dante</t>
  </si>
  <si>
    <t>AliciaCarolina</t>
  </si>
  <si>
    <t>Mamani</t>
  </si>
  <si>
    <t>Ramos Oscar</t>
  </si>
  <si>
    <t>Molina</t>
  </si>
  <si>
    <t>Ana Maria del Valle</t>
  </si>
  <si>
    <t>Ortiz</t>
  </si>
  <si>
    <t>Carlos Gabriel Leandro</t>
  </si>
  <si>
    <t>Quipildor</t>
  </si>
  <si>
    <t>Marcos Emilio</t>
  </si>
  <si>
    <t>Ramis</t>
  </si>
  <si>
    <t>Claudia lorena</t>
  </si>
  <si>
    <t>Rodriguez</t>
  </si>
  <si>
    <t>Federico</t>
  </si>
  <si>
    <t>Sierralta</t>
  </si>
  <si>
    <t>Sergio Enrique</t>
  </si>
  <si>
    <t>Asam</t>
  </si>
  <si>
    <t>Coord. de Equipos de Trabajo - Esc Experimentales</t>
  </si>
  <si>
    <t xml:space="preserve">Bustos </t>
  </si>
  <si>
    <t>Mauricio Andres</t>
  </si>
  <si>
    <t>Cáceres</t>
  </si>
  <si>
    <t>Cainzo</t>
  </si>
  <si>
    <t>Belen</t>
  </si>
  <si>
    <t xml:space="preserve">Gomez </t>
  </si>
  <si>
    <t>Juan Pablo</t>
  </si>
  <si>
    <t>Maziad</t>
  </si>
  <si>
    <t>Alfredo</t>
  </si>
  <si>
    <t>Monteros</t>
  </si>
  <si>
    <t xml:space="preserve">Olea </t>
  </si>
  <si>
    <t>Karina</t>
  </si>
  <si>
    <t>Ostengo</t>
  </si>
  <si>
    <t>Maria Victoria</t>
  </si>
  <si>
    <t>Matias Antonio Alejandro</t>
  </si>
  <si>
    <t>Beatriz</t>
  </si>
  <si>
    <t>Sabbag</t>
  </si>
  <si>
    <t>Paola Gabriela</t>
  </si>
  <si>
    <t>Simón</t>
  </si>
  <si>
    <t>María Fernanda</t>
  </si>
  <si>
    <t>Urtubey</t>
  </si>
  <si>
    <t>Marcela Maria</t>
  </si>
  <si>
    <t>Silvia</t>
  </si>
  <si>
    <t xml:space="preserve">Villalonga </t>
  </si>
  <si>
    <t>Graciela</t>
  </si>
  <si>
    <t>Carga de datos en WINISIS</t>
  </si>
  <si>
    <t>ARACELI LIZ</t>
  </si>
  <si>
    <t>MARIA ADELA</t>
  </si>
  <si>
    <t>SOLBES DE LOPEZ HERNANDEZ</t>
  </si>
  <si>
    <t>DAVID EXEQUIEL</t>
  </si>
  <si>
    <t>BUSAD</t>
  </si>
  <si>
    <t>CHEQUER</t>
  </si>
  <si>
    <t>COOREA BASUALDO</t>
  </si>
  <si>
    <t>ALBERTO  MARCELO</t>
  </si>
  <si>
    <t>POSSE</t>
  </si>
  <si>
    <t>SILVIA EDITH</t>
  </si>
  <si>
    <t>JACQUELINE MARIEL</t>
  </si>
  <si>
    <t>ZURITA</t>
  </si>
  <si>
    <t>SILVIA ALEJANDRA</t>
  </si>
  <si>
    <t>Deboraj Romina</t>
  </si>
  <si>
    <t>Aredes</t>
  </si>
  <si>
    <t>Alejandra</t>
  </si>
  <si>
    <t>Canceco</t>
  </si>
  <si>
    <t>Cesar Silverio</t>
  </si>
  <si>
    <t>Colombres</t>
  </si>
  <si>
    <t>Veronica Maria</t>
  </si>
  <si>
    <t>Greco</t>
  </si>
  <si>
    <t>Claudio Vicente</t>
  </si>
  <si>
    <t>Hernandez Solbes</t>
  </si>
  <si>
    <t>Andrea Fabiola</t>
  </si>
  <si>
    <t>Claudio</t>
  </si>
  <si>
    <t>Romulo</t>
  </si>
  <si>
    <t>Hector Alejandro</t>
  </si>
  <si>
    <t>Rodolfo</t>
  </si>
  <si>
    <t>salinas Collado</t>
  </si>
  <si>
    <t>Venturino</t>
  </si>
  <si>
    <t>Jacqueline</t>
  </si>
  <si>
    <t>Alvarez</t>
  </si>
  <si>
    <t>Arriola</t>
  </si>
  <si>
    <t>Chow</t>
  </si>
  <si>
    <t>Graciela Estela</t>
  </si>
  <si>
    <t>Decima</t>
  </si>
  <si>
    <t>Fatima Natalia</t>
  </si>
  <si>
    <t>Gustavo</t>
  </si>
  <si>
    <t>Frias</t>
  </si>
  <si>
    <t>Veronica Ester</t>
  </si>
  <si>
    <t>Oviedo</t>
  </si>
  <si>
    <t>Fabiana del Carmen</t>
  </si>
  <si>
    <t>Robledo Ruiz</t>
  </si>
  <si>
    <t>Silvana</t>
  </si>
  <si>
    <t>VIDAL</t>
  </si>
  <si>
    <t>Cautelier</t>
  </si>
  <si>
    <t>Ana Daniela</t>
  </si>
  <si>
    <t xml:space="preserve">SARAZA  </t>
  </si>
  <si>
    <t xml:space="preserve">PEDRO  </t>
  </si>
  <si>
    <t>Chemes</t>
  </si>
  <si>
    <t>Carmen</t>
  </si>
  <si>
    <t>Gonzales</t>
  </si>
  <si>
    <t>Sara Antonia</t>
  </si>
  <si>
    <t>SANDRAFATIMA</t>
  </si>
  <si>
    <t>CRITO</t>
  </si>
  <si>
    <t>VICENTE EXEQUIEL</t>
  </si>
  <si>
    <t>NADIA ALEJANDRA</t>
  </si>
  <si>
    <t>ALEJANDRA ELIZABETH</t>
  </si>
  <si>
    <t>FRANCISCA GUILLERMINA</t>
  </si>
  <si>
    <t>SARA</t>
  </si>
  <si>
    <t>Sistema SIU DIAGUITAS</t>
  </si>
  <si>
    <t>Canto</t>
  </si>
  <si>
    <t>Sergio Manuel Ernesto</t>
  </si>
  <si>
    <t>Gomez</t>
  </si>
  <si>
    <t>Hector Hugo</t>
  </si>
  <si>
    <t>Ruben Andres</t>
  </si>
  <si>
    <t>Leguizamon</t>
  </si>
  <si>
    <t>Lorenza del Carmen</t>
  </si>
  <si>
    <t xml:space="preserve">GEORGINA  </t>
  </si>
  <si>
    <t xml:space="preserve">DEBORAH  </t>
  </si>
  <si>
    <t>VENEGAS VEGES</t>
  </si>
  <si>
    <t>Estrategias de Búsqueda de Información científica y biblioráfica en la web</t>
  </si>
  <si>
    <t>AIDA ALICIA</t>
  </si>
  <si>
    <t xml:space="preserve">COLOMBRES  </t>
  </si>
  <si>
    <t>VARONICA MARIA</t>
  </si>
  <si>
    <t xml:space="preserve">MEDINA  </t>
  </si>
  <si>
    <t>La Comunicación en las relaciones humanas-ARQUITECTURA- administrativo</t>
  </si>
  <si>
    <t>BALMACEDA</t>
  </si>
  <si>
    <t>SERGIO ERNESTO</t>
  </si>
  <si>
    <t xml:space="preserve">ALDO  </t>
  </si>
  <si>
    <t>GARZÓN</t>
  </si>
  <si>
    <t>DUILIO MAXIMO</t>
  </si>
  <si>
    <t>LUQUEZ</t>
  </si>
  <si>
    <t xml:space="preserve">NORMA  </t>
  </si>
  <si>
    <t>CARLOS RAMON</t>
  </si>
  <si>
    <t>ROQUE</t>
  </si>
  <si>
    <t xml:space="preserve">NANCY </t>
  </si>
  <si>
    <t>MARIO ROLANDO</t>
  </si>
  <si>
    <t>La Comunicación en las relaciones humanas-ARQUITECTURA- academica</t>
  </si>
  <si>
    <t>LUCIA ELIZABETH</t>
  </si>
  <si>
    <t>CABRERA</t>
  </si>
  <si>
    <t>CASARES</t>
  </si>
  <si>
    <t>MARTA DELIA</t>
  </si>
  <si>
    <t xml:space="preserve">OSCAR  </t>
  </si>
  <si>
    <t>ADRIANA DE FATIMA</t>
  </si>
  <si>
    <t>D´ANDREA</t>
  </si>
  <si>
    <t>HUGO RICARDO</t>
  </si>
  <si>
    <t>CLARA ELIZABETH</t>
  </si>
  <si>
    <t>KANTAROVSKY</t>
  </si>
  <si>
    <t>MABROYRIÑIS</t>
  </si>
  <si>
    <t>MOEY KENS</t>
  </si>
  <si>
    <t>ANA MARIA MARGARITA</t>
  </si>
  <si>
    <t>RISSO</t>
  </si>
  <si>
    <t>REYNALDO</t>
  </si>
  <si>
    <t>ROCHA</t>
  </si>
  <si>
    <t>SABATE</t>
  </si>
  <si>
    <t>Introducción a la Archivística Universitaria</t>
  </si>
  <si>
    <t>CESAR SILVERIO</t>
  </si>
  <si>
    <t>GUEVARA</t>
  </si>
  <si>
    <t>ROMANO NORRIS</t>
  </si>
  <si>
    <t>SALINAS GARMENDI</t>
  </si>
  <si>
    <t>WALTER GUSTAVO</t>
  </si>
  <si>
    <t>ANGELICA DEL M.</t>
  </si>
  <si>
    <t>ROMANO FRIAS</t>
  </si>
  <si>
    <t xml:space="preserve">VALDEZ </t>
  </si>
  <si>
    <t>VANESA LORENA</t>
  </si>
  <si>
    <t>JOSEFINA PENELOPE</t>
  </si>
  <si>
    <t>Pliegos de Bienes y Servicios</t>
  </si>
  <si>
    <t>MARIA E</t>
  </si>
  <si>
    <t>SERGIO JESUS MARIANO</t>
  </si>
  <si>
    <t>D´ATTELLIS</t>
  </si>
  <si>
    <t>FIQUEROA</t>
  </si>
  <si>
    <t>RAMON ALFREDO</t>
  </si>
  <si>
    <t>JUMGMARKER</t>
  </si>
  <si>
    <t>RICARDO H</t>
  </si>
  <si>
    <t xml:space="preserve">SEBASTIAN  </t>
  </si>
  <si>
    <t>ROXANA GRACIELA</t>
  </si>
  <si>
    <t>MARIELA</t>
  </si>
  <si>
    <t>OLEA GUILLIN</t>
  </si>
  <si>
    <t xml:space="preserve">RODRIGUEZ DELGADO </t>
  </si>
  <si>
    <t xml:space="preserve">OLEA  </t>
  </si>
  <si>
    <t xml:space="preserve">DIEGO  </t>
  </si>
  <si>
    <t>IRMA</t>
  </si>
  <si>
    <t>PATRICIA INES</t>
  </si>
  <si>
    <t>CARMENA</t>
  </si>
  <si>
    <t>CECILIA LORENA</t>
  </si>
  <si>
    <t>FATIMA BEATRIZ</t>
  </si>
  <si>
    <t>MARIA MARCELA DEL VALLE</t>
  </si>
  <si>
    <t>ANGELICA DEL MILAGRO</t>
  </si>
  <si>
    <t>ANDRES</t>
  </si>
  <si>
    <t>SILVANA GRACIELA</t>
  </si>
  <si>
    <t>ABASCAL</t>
  </si>
  <si>
    <t>LILIANA DEL VALLE</t>
  </si>
  <si>
    <t>Jornada Integral Rectorado</t>
  </si>
  <si>
    <t>BASBUS</t>
  </si>
  <si>
    <t>MARIA DE LA PAZ</t>
  </si>
  <si>
    <t>MARTINEZ MARQUEZ</t>
  </si>
  <si>
    <t>AGLIANO</t>
  </si>
  <si>
    <t>HUMBERTO</t>
  </si>
  <si>
    <t>La Comunicación en las relaciones humana - FACET</t>
  </si>
  <si>
    <t>ALDERETES</t>
  </si>
  <si>
    <t>JORGE RICARDO ARIEL</t>
  </si>
  <si>
    <t>BATALLA</t>
  </si>
  <si>
    <t>CORERRA</t>
  </si>
  <si>
    <t>YOLANDA BEATRIZ</t>
  </si>
  <si>
    <t xml:space="preserve">ALICIA  </t>
  </si>
  <si>
    <t>CURUBETO DE MONTEROS</t>
  </si>
  <si>
    <t>VANESSA ELIZABETH</t>
  </si>
  <si>
    <t>JIMENEZ VILLAGRA</t>
  </si>
  <si>
    <t xml:space="preserve">MYRIAM  </t>
  </si>
  <si>
    <t>NELLY ROSA</t>
  </si>
  <si>
    <t>DI FARCO</t>
  </si>
  <si>
    <t>ANTONIA DEL VALLE</t>
  </si>
  <si>
    <t>OSCAR GONZALO</t>
  </si>
  <si>
    <t>PEREZ FILGUEIRA</t>
  </si>
  <si>
    <t>Aleman</t>
  </si>
  <si>
    <t>Mariano Nicolas</t>
  </si>
  <si>
    <t>Galvan</t>
  </si>
  <si>
    <t>Jorge Edgardo</t>
  </si>
  <si>
    <t>Gimenez</t>
  </si>
  <si>
    <t xml:space="preserve">Maria Emilia </t>
  </si>
  <si>
    <t>Silvina Natalia</t>
  </si>
  <si>
    <t>Iturbe Retegui</t>
  </si>
  <si>
    <t>Orphee</t>
  </si>
  <si>
    <t>Cecilia</t>
  </si>
  <si>
    <t>Paz</t>
  </si>
  <si>
    <t>Carlos Ruben</t>
  </si>
  <si>
    <t>Romano Farias</t>
  </si>
  <si>
    <t>Federico Miguel</t>
  </si>
  <si>
    <t>Sirombra</t>
  </si>
  <si>
    <t>Martin Gonzalo</t>
  </si>
  <si>
    <t>Dupuy</t>
  </si>
  <si>
    <t>Marcela de Lourdes</t>
  </si>
  <si>
    <t>Espeche</t>
  </si>
  <si>
    <t>Mercedes de Fatima</t>
  </si>
  <si>
    <t>Ana</t>
  </si>
  <si>
    <t>Jarma</t>
  </si>
  <si>
    <t>Carlos Javier</t>
  </si>
  <si>
    <t>Marchisio</t>
  </si>
  <si>
    <t>Medina Avellaneda</t>
  </si>
  <si>
    <t>Ivana Beatriz</t>
  </si>
  <si>
    <t>Livio Exequiel Jose</t>
  </si>
  <si>
    <t>Parrado</t>
  </si>
  <si>
    <t>Diego German</t>
  </si>
  <si>
    <t>Sanchez</t>
  </si>
  <si>
    <t>Romina</t>
  </si>
  <si>
    <t>Serrato</t>
  </si>
  <si>
    <t>Jose Alberto</t>
  </si>
  <si>
    <t xml:space="preserve">Albornoz </t>
  </si>
  <si>
    <t>Ramon Enrique</t>
  </si>
  <si>
    <t>Windows/Word Prebisch</t>
  </si>
  <si>
    <t>Arce</t>
  </si>
  <si>
    <t>Nelida Eugenia</t>
  </si>
  <si>
    <t>Carmena</t>
  </si>
  <si>
    <t>Lucia</t>
  </si>
  <si>
    <t>Coronel</t>
  </si>
  <si>
    <t>Pedro Osvaldo</t>
  </si>
  <si>
    <t>Costilla</t>
  </si>
  <si>
    <t>Enrique Argentino</t>
  </si>
  <si>
    <t xml:space="preserve">Delgado </t>
  </si>
  <si>
    <t>Juan</t>
  </si>
  <si>
    <t>Joya</t>
  </si>
  <si>
    <t>Adriana</t>
  </si>
  <si>
    <t>Lescano</t>
  </si>
  <si>
    <t>Graciela del Valle</t>
  </si>
  <si>
    <t>Rosas</t>
  </si>
  <si>
    <t>Carolina del C.</t>
  </si>
  <si>
    <t xml:space="preserve">Suchan </t>
  </si>
  <si>
    <t>El Desafío de ser Líderes - Herrera</t>
  </si>
  <si>
    <t xml:space="preserve">HERRERA  </t>
  </si>
  <si>
    <t>El Desafío de ser Líderes - Prebisch</t>
  </si>
  <si>
    <t>NUÑEZ CAMPERO</t>
  </si>
  <si>
    <t>VALDECANTOS</t>
  </si>
  <si>
    <t>DATHELIS</t>
  </si>
  <si>
    <t>DEBORAH LUZ</t>
  </si>
  <si>
    <t>La Comunicación y Cultura Organizacional</t>
  </si>
  <si>
    <t>ANGELICA</t>
  </si>
  <si>
    <t>WINISIS Introductorio</t>
  </si>
  <si>
    <t>VANESA ELIZABETH</t>
  </si>
  <si>
    <t xml:space="preserve">ANDREA   </t>
  </si>
  <si>
    <t>LOPEZ CATELLANOS</t>
  </si>
  <si>
    <t>GERARDO ANTONIO</t>
  </si>
  <si>
    <t>Dactilografía en PC/ Prebisch</t>
  </si>
  <si>
    <t>Delgado</t>
  </si>
  <si>
    <t>Juan Ignacio</t>
  </si>
  <si>
    <t>Janut</t>
  </si>
  <si>
    <t>Maria</t>
  </si>
  <si>
    <t>Lecchi</t>
  </si>
  <si>
    <t>Gabriela Ines</t>
  </si>
  <si>
    <t>Paola Alejandra</t>
  </si>
  <si>
    <t>Morales Estrada</t>
  </si>
  <si>
    <t>Oscar Luis</t>
  </si>
  <si>
    <t>Carolina del Carmen</t>
  </si>
  <si>
    <t>Velardez</t>
  </si>
  <si>
    <t>Lucas Mariano</t>
  </si>
  <si>
    <t>Inteligencia Emocional y Modelos Mentales</t>
  </si>
  <si>
    <t>ANDRES ABELINO</t>
  </si>
  <si>
    <t>AMADO FABIAN</t>
  </si>
  <si>
    <t>Inglés Preintermedio</t>
  </si>
  <si>
    <t xml:space="preserve">MERCADO </t>
  </si>
  <si>
    <t>Prácticas de Procedimientos Administrativos</t>
  </si>
  <si>
    <t>GABRIELA SILVANA</t>
  </si>
  <si>
    <t>FERNANDO ENRIQUE</t>
  </si>
  <si>
    <t>BOTTIN RUBIOL</t>
  </si>
  <si>
    <t xml:space="preserve">NATALIA  </t>
  </si>
  <si>
    <t>OLMOS GROSSO</t>
  </si>
  <si>
    <t>PAZ DE ALZABE</t>
  </si>
  <si>
    <t xml:space="preserve">AVILA RIZO  </t>
  </si>
  <si>
    <t>FRANCISCA RAQUEL</t>
  </si>
  <si>
    <t>DAVID A.</t>
  </si>
  <si>
    <t xml:space="preserve">Novedades en el Sistema de Contrataciones de la Administración Pública Nacional </t>
  </si>
  <si>
    <t>BASHUS</t>
  </si>
  <si>
    <t>SERGIO JESUS M.</t>
  </si>
  <si>
    <t xml:space="preserve">DATTELLIS </t>
  </si>
  <si>
    <t xml:space="preserve">FIGUEROA </t>
  </si>
  <si>
    <t>GONZALES</t>
  </si>
  <si>
    <t xml:space="preserve">GUTIERREZ  </t>
  </si>
  <si>
    <t>SILVIA C.</t>
  </si>
  <si>
    <t>GUTO</t>
  </si>
  <si>
    <t>HANLE</t>
  </si>
  <si>
    <t>ROUGE</t>
  </si>
  <si>
    <t>PEDRO E.</t>
  </si>
  <si>
    <t>Prácticas de Catalogación y Clasificación</t>
  </si>
  <si>
    <t xml:space="preserve">AVILA  </t>
  </si>
  <si>
    <t>CURUBETO</t>
  </si>
  <si>
    <t>VIRGINA ROXANA</t>
  </si>
  <si>
    <t>Negociaciones Exitosas</t>
  </si>
  <si>
    <t>LOPEZ ZIGARAM</t>
  </si>
  <si>
    <t>RAQUEL MARIA</t>
  </si>
  <si>
    <t>LEILA ADRIANA</t>
  </si>
  <si>
    <t xml:space="preserve">ROXANA  </t>
  </si>
  <si>
    <t>Gestión de RRHH  para mandos medios y superiores</t>
  </si>
  <si>
    <t>VARASALUCE</t>
  </si>
  <si>
    <t>Arana</t>
  </si>
  <si>
    <t>Victor Guillermo</t>
  </si>
  <si>
    <t>Siu Mapuche</t>
  </si>
  <si>
    <t>Arroyo</t>
  </si>
  <si>
    <t>Ricardo Esteban</t>
  </si>
  <si>
    <t>Boggiatto Pérey</t>
  </si>
  <si>
    <t>María Belén</t>
  </si>
  <si>
    <t>Pedro Pablo</t>
  </si>
  <si>
    <t>Conde</t>
  </si>
  <si>
    <t>Anselmo Damián</t>
  </si>
  <si>
    <t>Galván</t>
  </si>
  <si>
    <t>Ruben Daniel</t>
  </si>
  <si>
    <t>Raquel Enriqueta</t>
  </si>
  <si>
    <t>Guerrero de Ianiero</t>
  </si>
  <si>
    <t>Ofelia Rosa</t>
  </si>
  <si>
    <t>Myriam Lucía</t>
  </si>
  <si>
    <t>Jungmarker</t>
  </si>
  <si>
    <t>Carlos Gustavo</t>
  </si>
  <si>
    <t>Lobo</t>
  </si>
  <si>
    <t>Carolina María</t>
  </si>
  <si>
    <t>Oscar Alfredo</t>
  </si>
  <si>
    <t>Mesón</t>
  </si>
  <si>
    <t>Ana Silvia</t>
  </si>
  <si>
    <t>Miranda</t>
  </si>
  <si>
    <t>Nestor Armando</t>
  </si>
  <si>
    <t>Roberto R.</t>
  </si>
  <si>
    <t>Raful</t>
  </si>
  <si>
    <t>Jorge Mario</t>
  </si>
  <si>
    <t>Robles</t>
  </si>
  <si>
    <t>María Dalmira</t>
  </si>
  <si>
    <t>Sánchez</t>
  </si>
  <si>
    <t>Francisca del Carmen</t>
  </si>
  <si>
    <t>Valdecantos</t>
  </si>
  <si>
    <t>Maria Pia</t>
  </si>
  <si>
    <t>Silvia del Carmen</t>
  </si>
  <si>
    <t>Vitalone</t>
  </si>
  <si>
    <t>Ricardo Marcelo</t>
  </si>
  <si>
    <t>DELA ORDEN</t>
  </si>
  <si>
    <t>FELIX SORIA</t>
  </si>
  <si>
    <t>GEORGINA STELLA</t>
  </si>
  <si>
    <t>MYRIAN MARCELA</t>
  </si>
  <si>
    <t>VARELA FARIAS</t>
  </si>
  <si>
    <t>El Desafío de ser Líderes</t>
  </si>
  <si>
    <t>PEÑALOZA DE TERAN</t>
  </si>
  <si>
    <t xml:space="preserve">SOFIA  </t>
  </si>
  <si>
    <t>Ale Gonzalez</t>
  </si>
  <si>
    <t>Fernando Franco</t>
  </si>
  <si>
    <t>Victor Adrian</t>
  </si>
  <si>
    <t>Aráoz</t>
  </si>
  <si>
    <t>Liliana Noemí</t>
  </si>
  <si>
    <t>María Rosa</t>
  </si>
  <si>
    <t>Barrionuevo</t>
  </si>
  <si>
    <t>Marcos Gabriel</t>
  </si>
  <si>
    <t>Bulacio</t>
  </si>
  <si>
    <t>Julio</t>
  </si>
  <si>
    <t>Karina Paola</t>
  </si>
  <si>
    <t>Cano</t>
  </si>
  <si>
    <t>Maria Gabriela</t>
  </si>
  <si>
    <t>Chaile</t>
  </si>
  <si>
    <t>Felipe Oscar</t>
  </si>
  <si>
    <t>Corvalan</t>
  </si>
  <si>
    <t>Maria Fatima</t>
  </si>
  <si>
    <t>Fanjul</t>
  </si>
  <si>
    <t>Maria Cecilia</t>
  </si>
  <si>
    <t>Garrocho</t>
  </si>
  <si>
    <t>Vicente Ezequiel</t>
  </si>
  <si>
    <t>Valeria del Valle</t>
  </si>
  <si>
    <t>Hance</t>
  </si>
  <si>
    <t>Duilio</t>
  </si>
  <si>
    <t>Ibiri</t>
  </si>
  <si>
    <t>Ramón Alfredo</t>
  </si>
  <si>
    <t>Lezcano</t>
  </si>
  <si>
    <t>Manuel Darío</t>
  </si>
  <si>
    <t>Lobo Peña</t>
  </si>
  <si>
    <t>Maria Soledad</t>
  </si>
  <si>
    <t>López</t>
  </si>
  <si>
    <t>Oliva</t>
  </si>
  <si>
    <t>Claudia de los A.</t>
  </si>
  <si>
    <t>Páez</t>
  </si>
  <si>
    <t>Miguel Angel</t>
  </si>
  <si>
    <t>Parajón</t>
  </si>
  <si>
    <t>Fabiana Alejandra</t>
  </si>
  <si>
    <t>Carlos Arturo</t>
  </si>
  <si>
    <t>Salinas</t>
  </si>
  <si>
    <t>Nora del Valle</t>
  </si>
  <si>
    <t>Veliz</t>
  </si>
  <si>
    <t>Adriana del Valle</t>
  </si>
  <si>
    <t>Guido Salvador</t>
  </si>
  <si>
    <t>María Jaqueline</t>
  </si>
  <si>
    <t>Jose Luis</t>
  </si>
  <si>
    <t>Yañez</t>
  </si>
  <si>
    <t>Pablo Daniel</t>
  </si>
  <si>
    <t>Yelpo</t>
  </si>
  <si>
    <t>Carlos Humberto</t>
  </si>
  <si>
    <t>Zelaya</t>
  </si>
  <si>
    <t>Ernesto Raul</t>
  </si>
  <si>
    <t xml:space="preserve">CORREA  </t>
  </si>
  <si>
    <t>MIRIAN</t>
  </si>
  <si>
    <t>GABRIEL MARCOS</t>
  </si>
  <si>
    <t>Ponce</t>
  </si>
  <si>
    <t>María Beatriz</t>
  </si>
  <si>
    <t>Excel Inicial - ProTrbajo</t>
  </si>
  <si>
    <t>Rodrigo Arreguez</t>
  </si>
  <si>
    <t>Almaraz</t>
  </si>
  <si>
    <t>Sonia noemi</t>
  </si>
  <si>
    <t>Juana Rosa</t>
  </si>
  <si>
    <t>Avila</t>
  </si>
  <si>
    <t>Jorge Daniel</t>
  </si>
  <si>
    <t>Dip</t>
  </si>
  <si>
    <t>Maria Cristina</t>
  </si>
  <si>
    <t>Luciana</t>
  </si>
  <si>
    <t>Pablo Miguel</t>
  </si>
  <si>
    <t>Martin de Ferreyra</t>
  </si>
  <si>
    <t xml:space="preserve">Gloria </t>
  </si>
  <si>
    <t>Montenegros Araos</t>
  </si>
  <si>
    <t>Isabel Aida</t>
  </si>
  <si>
    <t>Alicia Susana</t>
  </si>
  <si>
    <t>Pérez</t>
  </si>
  <si>
    <t>Sara Ramona</t>
  </si>
  <si>
    <t>Rodriguez Condori</t>
  </si>
  <si>
    <t>Jacquelines</t>
  </si>
  <si>
    <t>Vega</t>
  </si>
  <si>
    <t>Matias Emmanuel</t>
  </si>
  <si>
    <t xml:space="preserve">Vega </t>
  </si>
  <si>
    <t>Isabel del Valle</t>
  </si>
  <si>
    <t>MAXIMO</t>
  </si>
  <si>
    <t>MARIA CRSITINA</t>
  </si>
  <si>
    <t>NORA MARIA</t>
  </si>
  <si>
    <t>Acholdo</t>
  </si>
  <si>
    <t>Miguel Ruben</t>
  </si>
  <si>
    <t>La Comunicación en las relaciones humanas - SJ</t>
  </si>
  <si>
    <t>Albarracin</t>
  </si>
  <si>
    <t>Juan de Dios</t>
  </si>
  <si>
    <t>Eduardo Ruben</t>
  </si>
  <si>
    <t>Ayala</t>
  </si>
  <si>
    <t>Ramon Ricardo</t>
  </si>
  <si>
    <t>Bazan</t>
  </si>
  <si>
    <t>Domingo del Jesus</t>
  </si>
  <si>
    <t>Casagrande</t>
  </si>
  <si>
    <t>Julio Cesar</t>
  </si>
  <si>
    <t xml:space="preserve">Miguel A. </t>
  </si>
  <si>
    <t>Cata</t>
  </si>
  <si>
    <t>De la Orden</t>
  </si>
  <si>
    <t>Diaz</t>
  </si>
  <si>
    <t>Silvio Alejandro</t>
  </si>
  <si>
    <t>Walter Hernan</t>
  </si>
  <si>
    <t>Falpentez</t>
  </si>
  <si>
    <t>Maria Encarnacion</t>
  </si>
  <si>
    <t>Fernandez</t>
  </si>
  <si>
    <t>Ruben E.</t>
  </si>
  <si>
    <t>Garcia</t>
  </si>
  <si>
    <t>Juan Angel</t>
  </si>
  <si>
    <t>Imbert</t>
  </si>
  <si>
    <t>Manuel Augusto</t>
  </si>
  <si>
    <t>Ramon Luis</t>
  </si>
  <si>
    <t>Juarez</t>
  </si>
  <si>
    <t>Eduardo Gustavo</t>
  </si>
  <si>
    <t>Lencina</t>
  </si>
  <si>
    <t>Juan Alberto</t>
  </si>
  <si>
    <t>Ruben Ariel</t>
  </si>
  <si>
    <t>Saira Mabel</t>
  </si>
  <si>
    <t>Martensen</t>
  </si>
  <si>
    <t>Mayer</t>
  </si>
  <si>
    <t>Roxana Noemi</t>
  </si>
  <si>
    <t>Medina</t>
  </si>
  <si>
    <t>Luis</t>
  </si>
  <si>
    <t>Angel Daniel</t>
  </si>
  <si>
    <t>Pachado</t>
  </si>
  <si>
    <t xml:space="preserve">Manuel  </t>
  </si>
  <si>
    <t>Palomares</t>
  </si>
  <si>
    <t>Miguel Alberto</t>
  </si>
  <si>
    <t>Pistan</t>
  </si>
  <si>
    <t>Puertas</t>
  </si>
  <si>
    <t>Franco</t>
  </si>
  <si>
    <t>Héctor Amadeo</t>
  </si>
  <si>
    <t>Segura</t>
  </si>
  <si>
    <t>Jose Miguel</t>
  </si>
  <si>
    <t>Sosa</t>
  </si>
  <si>
    <t>Jorge D.</t>
  </si>
  <si>
    <t>Teran Luna</t>
  </si>
  <si>
    <t>Esteban Lucas</t>
  </si>
  <si>
    <t>Tisone</t>
  </si>
  <si>
    <t>Villada</t>
  </si>
  <si>
    <t>Nora Beatriz</t>
  </si>
  <si>
    <t>Villarrubia</t>
  </si>
  <si>
    <t>Felipe</t>
  </si>
  <si>
    <t>Ricardo Americo</t>
  </si>
  <si>
    <t>AYUNTA PAZ</t>
  </si>
  <si>
    <t>La Comunicación en las relaciones humana - PSICO</t>
  </si>
  <si>
    <t>ALFREDO ELECTO</t>
  </si>
  <si>
    <t>CLUA</t>
  </si>
  <si>
    <t>PABLO MARCELO</t>
  </si>
  <si>
    <t>DARUICHE</t>
  </si>
  <si>
    <t>SEBASTIÁN</t>
  </si>
  <si>
    <t>ELSINGER</t>
  </si>
  <si>
    <t>MARTA ALEJANDRA</t>
  </si>
  <si>
    <t>ALCIRA ROSA</t>
  </si>
  <si>
    <t>ADRIAN ALEJANDRO</t>
  </si>
  <si>
    <t>GRAMAJO CHACON</t>
  </si>
  <si>
    <t>FABIO ADRIAN</t>
  </si>
  <si>
    <t>JUAREZ RODRIGUEZ</t>
  </si>
  <si>
    <t>LACCHI</t>
  </si>
  <si>
    <t>MARIO LEONARDO</t>
  </si>
  <si>
    <t>RUZ</t>
  </si>
  <si>
    <t>TABERNERO</t>
  </si>
  <si>
    <t>INES</t>
  </si>
  <si>
    <t>RUBEN ERNESTO</t>
  </si>
  <si>
    <t>RENE ANTONIO</t>
  </si>
  <si>
    <t>HECTOR EDUARDO</t>
  </si>
  <si>
    <t>VICENTE FABIAN</t>
  </si>
  <si>
    <t>HUGO ROQUE</t>
  </si>
  <si>
    <t>MERCEDES YOLANDA</t>
  </si>
  <si>
    <t>Cambio organizacional</t>
  </si>
  <si>
    <t>NORMA NOEMI</t>
  </si>
  <si>
    <t>MERCEDES</t>
  </si>
  <si>
    <t>SAUL RICARDO</t>
  </si>
  <si>
    <t>RODRIGUEA AREAL</t>
  </si>
  <si>
    <t>MARIA MAGADALENA</t>
  </si>
  <si>
    <t>Herram. Tecnológicas para una oficina Virtual</t>
  </si>
  <si>
    <t xml:space="preserve">LAURA  </t>
  </si>
  <si>
    <t>GLADYS LIA</t>
  </si>
  <si>
    <t>Módulo I: Procesamiento Técnico</t>
  </si>
  <si>
    <t>BUSTOS DE DIAZ</t>
  </si>
  <si>
    <t>RITA SONIA</t>
  </si>
  <si>
    <t>BATIANA GISELLA</t>
  </si>
  <si>
    <t xml:space="preserve">MOLINA </t>
  </si>
  <si>
    <t>Coord. De Trabajos en Equipo</t>
  </si>
  <si>
    <t>pereyra</t>
  </si>
  <si>
    <t>mercedes del transito</t>
  </si>
  <si>
    <t>JAQUELINE M.</t>
  </si>
  <si>
    <t>Excel inicial</t>
  </si>
  <si>
    <t>Cristina Beatriz</t>
  </si>
  <si>
    <t>María Zunilda</t>
  </si>
  <si>
    <t>Da´ttellis</t>
  </si>
  <si>
    <t>Maria Florencia</t>
  </si>
  <si>
    <t>Morales</t>
  </si>
  <si>
    <t>Saracho</t>
  </si>
  <si>
    <t>Roberto A.</t>
  </si>
  <si>
    <t>Solorzano</t>
  </si>
  <si>
    <t>Deborah Luz</t>
  </si>
  <si>
    <t xml:space="preserve">ALBORNOZ   </t>
  </si>
  <si>
    <t>Agüera</t>
  </si>
  <si>
    <t>Maria Belen</t>
  </si>
  <si>
    <t>Flores</t>
  </si>
  <si>
    <t>Laura Esther</t>
  </si>
  <si>
    <t>Maria Jose</t>
  </si>
  <si>
    <t>Leguina</t>
  </si>
  <si>
    <t>Raul Ernesto</t>
  </si>
  <si>
    <t>Lucero</t>
  </si>
  <si>
    <t>Pablo Esteban</t>
  </si>
  <si>
    <t>Maria Isidora</t>
  </si>
  <si>
    <t>Vallejo Ortiz</t>
  </si>
  <si>
    <t>Sofía</t>
  </si>
  <si>
    <t>Arnedo</t>
  </si>
  <si>
    <t>Marta Isabel</t>
  </si>
  <si>
    <t>Veronica</t>
  </si>
  <si>
    <t>Lemme</t>
  </si>
  <si>
    <t>Melisa</t>
  </si>
  <si>
    <t>Wexler</t>
  </si>
  <si>
    <t>Liliana</t>
  </si>
  <si>
    <t>Zalduendo</t>
  </si>
  <si>
    <t>Convenio Colectivo de Trabajo</t>
  </si>
  <si>
    <t>LAMÉNDULA</t>
  </si>
  <si>
    <t xml:space="preserve">OLIVA  </t>
  </si>
  <si>
    <t>CLAUDIA DE LOS ANGELES</t>
  </si>
  <si>
    <t>PARAJÓN</t>
  </si>
  <si>
    <t>SAUL RIVARDO</t>
  </si>
  <si>
    <t>La Comunicación en las relaciones humanas RESIDENTES BIOQUIMICA</t>
  </si>
  <si>
    <t>La Comunicación en las relaciones humanas</t>
  </si>
  <si>
    <t>GONZÁLEZ</t>
  </si>
  <si>
    <t xml:space="preserve">RODOLFO  </t>
  </si>
  <si>
    <t>Reglamentos de Concursos Docentes</t>
  </si>
  <si>
    <t>ASÁM</t>
  </si>
  <si>
    <t xml:space="preserve">BUSTOS </t>
  </si>
  <si>
    <t xml:space="preserve">CACERES </t>
  </si>
  <si>
    <t xml:space="preserve">DI CARO </t>
  </si>
  <si>
    <t xml:space="preserve">LEIVA DE ZAMORA </t>
  </si>
  <si>
    <t>MARCELA ISABEL</t>
  </si>
  <si>
    <t>QUITANA</t>
  </si>
  <si>
    <t>RAMÍREZ</t>
  </si>
  <si>
    <t xml:space="preserve">SANCHEZ </t>
  </si>
  <si>
    <t>OLGA</t>
  </si>
  <si>
    <t>La Comunicación en las relaciones humana - HM</t>
  </si>
  <si>
    <t>CRISTIAN OSCAR</t>
  </si>
  <si>
    <t>LIDIA DEL VALLE</t>
  </si>
  <si>
    <t>CANIZO DE CATANIA</t>
  </si>
  <si>
    <t>CERIDONO</t>
  </si>
  <si>
    <t>RODOLFO ALBERTO</t>
  </si>
  <si>
    <t>DE CHAZAL</t>
  </si>
  <si>
    <t>DUILIO GERMAN</t>
  </si>
  <si>
    <t>DIAZ IBARRA</t>
  </si>
  <si>
    <t>JULIO FRANCISCO</t>
  </si>
  <si>
    <t>FENÁNDEZ</t>
  </si>
  <si>
    <t>PETRONA C.</t>
  </si>
  <si>
    <t>HAIRMOVITCH</t>
  </si>
  <si>
    <t>LUIS MIGUEL</t>
  </si>
  <si>
    <t>IBAÑES</t>
  </si>
  <si>
    <t>OSCAR A.</t>
  </si>
  <si>
    <t>MARIO IVÁN</t>
  </si>
  <si>
    <t>MARIO LIZARDO</t>
  </si>
  <si>
    <t>ANTONIO E.</t>
  </si>
  <si>
    <t>CAMILO GERMÁN</t>
  </si>
  <si>
    <t>REYES ROBLEDO</t>
  </si>
  <si>
    <t>VILLARRULIA</t>
  </si>
  <si>
    <t>LORENA PAOLA</t>
  </si>
  <si>
    <t>La Comunicación en las relaciones humanas- DGRU</t>
  </si>
  <si>
    <t>PAOLA A.</t>
  </si>
  <si>
    <t xml:space="preserve">EMILIO </t>
  </si>
  <si>
    <t>KREBS</t>
  </si>
  <si>
    <t>CARLOS RUBÉN</t>
  </si>
  <si>
    <t>ROMERO DE GANIM</t>
  </si>
  <si>
    <t>NÉLIDA DEL VALLE</t>
  </si>
  <si>
    <t>BACARREZZA</t>
  </si>
  <si>
    <t>MANUEL PRADOS</t>
  </si>
  <si>
    <t>IBIRI</t>
  </si>
  <si>
    <t>RAMÓN ALFREDO</t>
  </si>
  <si>
    <t xml:space="preserve">LOBO  </t>
  </si>
  <si>
    <t>NESTOR ARMANDO</t>
  </si>
  <si>
    <t>PAZ DE ALZABÉ</t>
  </si>
  <si>
    <t>PABLO ADRIÁN</t>
  </si>
  <si>
    <t>SALPAZ</t>
  </si>
  <si>
    <t>VALLA</t>
  </si>
  <si>
    <t>La Comunicación en las relaciones humana - EUE</t>
  </si>
  <si>
    <t>DÉCIMA</t>
  </si>
  <si>
    <t>GUSTAVO  GABRIEL</t>
  </si>
  <si>
    <t>RAMÓN A.</t>
  </si>
  <si>
    <t>PABLO NICOLÁS</t>
  </si>
  <si>
    <t>MARCELO SANTOS</t>
  </si>
  <si>
    <t>NEROT</t>
  </si>
  <si>
    <t>OCÓN</t>
  </si>
  <si>
    <t>LAURA</t>
  </si>
  <si>
    <t xml:space="preserve">VALDEZ  </t>
  </si>
  <si>
    <t>La Comunicación en las relaciones humanas- VIRLA</t>
  </si>
  <si>
    <t>ARMISEN</t>
  </si>
  <si>
    <t>NAZHA GRACIELA</t>
  </si>
  <si>
    <t>La Mediación como herramienta en el ambito universitario</t>
  </si>
  <si>
    <t>EDMUNDO</t>
  </si>
  <si>
    <t xml:space="preserve">CASTELLANOS </t>
  </si>
  <si>
    <t xml:space="preserve">ANGELES </t>
  </si>
  <si>
    <t xml:space="preserve">SARAZA VILLANUEVA </t>
  </si>
  <si>
    <t xml:space="preserve">CLAUDIA  </t>
  </si>
  <si>
    <t>Uso correcto de la voz en el ambito laboral</t>
  </si>
  <si>
    <t>ALFARO</t>
  </si>
  <si>
    <t>NILDA FÁTIMA</t>
  </si>
  <si>
    <t>JOSÉ RENÉ</t>
  </si>
  <si>
    <t>AYBAR</t>
  </si>
  <si>
    <t>CERVIÑO</t>
  </si>
  <si>
    <t>ROSA ESTHER</t>
  </si>
  <si>
    <t>ROBERTO JESÚS</t>
  </si>
  <si>
    <t>CECILIA CAROLINA</t>
  </si>
  <si>
    <t>RAÚL ROBERTO</t>
  </si>
  <si>
    <t>JORGELINA</t>
  </si>
  <si>
    <t>KOCSIS ALDERETE</t>
  </si>
  <si>
    <t>PIQUARD</t>
  </si>
  <si>
    <t>CELMIRA NOEMÍ DE FÁTIMA</t>
  </si>
  <si>
    <t>CRISTHIAN</t>
  </si>
  <si>
    <t>CLAUDIA LILIANA</t>
  </si>
  <si>
    <t>Instrumentos Legales de funcionamiento en la UNT</t>
  </si>
  <si>
    <t>ARCE HERNANDEZ</t>
  </si>
  <si>
    <t>LILIANA ESTELA FÁTIMA</t>
  </si>
  <si>
    <t>JULIO GUILLERMO</t>
  </si>
  <si>
    <t>CORREA DE BORQUEZ</t>
  </si>
  <si>
    <t>FIGUEROA DE ALVAREZ COSTAS</t>
  </si>
  <si>
    <t>ELSA</t>
  </si>
  <si>
    <t>RUBÉN ANDRÉS</t>
  </si>
  <si>
    <t>MASAGUER AYBAR</t>
  </si>
  <si>
    <t>NAZUL</t>
  </si>
  <si>
    <t xml:space="preserve">YANINA V. </t>
  </si>
  <si>
    <t xml:space="preserve">MARTA   </t>
  </si>
  <si>
    <t>SASTRE DE PEREIRA</t>
  </si>
  <si>
    <t xml:space="preserve">ARIP ANA MARIA </t>
  </si>
  <si>
    <t>Trabajar en Equipo - BECAS</t>
  </si>
  <si>
    <t xml:space="preserve">CASTRO </t>
  </si>
  <si>
    <t xml:space="preserve">CAUSIN </t>
  </si>
  <si>
    <t xml:space="preserve">MAROGLIO </t>
  </si>
  <si>
    <t>OSCAR FLAVIO</t>
  </si>
  <si>
    <t xml:space="preserve">NOGUERA </t>
  </si>
  <si>
    <t xml:space="preserve">ADRIAN  </t>
  </si>
  <si>
    <t>Redacción de notas periodísticas en la UNT</t>
  </si>
  <si>
    <t>FANNY LIA</t>
  </si>
  <si>
    <t>FEDERICO ROMANO</t>
  </si>
  <si>
    <t>GOMEZ VIERA</t>
  </si>
  <si>
    <t>ROLANDO</t>
  </si>
  <si>
    <t>GRASSETTO</t>
  </si>
  <si>
    <t>MARIA EUGENIA FATIMA</t>
  </si>
  <si>
    <t>MARCOS GABRIEL</t>
  </si>
  <si>
    <t>CRISTINA BEATRIZ</t>
  </si>
  <si>
    <t xml:space="preserve">CERVIÑO </t>
  </si>
  <si>
    <t xml:space="preserve">D'ATTELLIS  </t>
  </si>
  <si>
    <t xml:space="preserve">MARCELO  </t>
  </si>
  <si>
    <t>SAMANIEGO</t>
  </si>
  <si>
    <t>HUGO DANIEL</t>
  </si>
  <si>
    <t>NILDA DEL VALLE</t>
  </si>
  <si>
    <t xml:space="preserve">TERAN DE PEÑALOZA </t>
  </si>
  <si>
    <t>Ybarra</t>
  </si>
  <si>
    <t xml:space="preserve"> María Inés</t>
  </si>
  <si>
    <t>Borkosky</t>
  </si>
  <si>
    <t xml:space="preserve"> Susana</t>
  </si>
  <si>
    <t>Lachenicht, Jorge Andrés</t>
  </si>
  <si>
    <t xml:space="preserve">NAVARRO VELASQUEZ </t>
  </si>
  <si>
    <t>CESAR MARIANO</t>
  </si>
  <si>
    <t>ALBERTO NICOLAS</t>
  </si>
  <si>
    <t>Sesto Cabral, María Eugenia</t>
  </si>
  <si>
    <t xml:space="preserve">VALDESCANTOS  </t>
  </si>
  <si>
    <t xml:space="preserve">ZALDUENDO </t>
  </si>
  <si>
    <t xml:space="preserve">CECILIA </t>
  </si>
  <si>
    <t xml:space="preserve">ARANA </t>
  </si>
  <si>
    <t>Bazán</t>
  </si>
  <si>
    <t xml:space="preserve"> José Luis</t>
  </si>
  <si>
    <t>Susana</t>
  </si>
  <si>
    <t>ALEJANDRA NOEMÍ</t>
  </si>
  <si>
    <t xml:space="preserve">GARROCHO </t>
  </si>
  <si>
    <t>ANGELINA</t>
  </si>
  <si>
    <t>BERTA</t>
  </si>
  <si>
    <t xml:space="preserve">ORLANDI </t>
  </si>
  <si>
    <t xml:space="preserve"> Norma Lis</t>
  </si>
  <si>
    <t xml:space="preserve">VARGAS MARTIN  </t>
  </si>
  <si>
    <t xml:space="preserve">VENTURINO </t>
  </si>
  <si>
    <t>ARAN</t>
  </si>
  <si>
    <t>VÍCTOR GUILLERMO</t>
  </si>
  <si>
    <t xml:space="preserve">GUZMAN </t>
  </si>
  <si>
    <t>NILDA BEATRIZ</t>
  </si>
  <si>
    <t>Calidad en la Atención al Cliente Interno y Externo</t>
  </si>
  <si>
    <t>BOGGIATTO</t>
  </si>
  <si>
    <t>CAULTELIER</t>
  </si>
  <si>
    <t xml:space="preserve">CHAZARRETA </t>
  </si>
  <si>
    <t>SILVINA DEL VALLE</t>
  </si>
  <si>
    <t xml:space="preserve">CORREA </t>
  </si>
  <si>
    <t>MARTIN MATIAS</t>
  </si>
  <si>
    <t>DELGADO DE CRUZ</t>
  </si>
  <si>
    <t xml:space="preserve">ESTRADA </t>
  </si>
  <si>
    <t xml:space="preserve">PATRICIA </t>
  </si>
  <si>
    <t xml:space="preserve">LATINA  </t>
  </si>
  <si>
    <t>ANNA BRUNA</t>
  </si>
  <si>
    <t xml:space="preserve">SILVIA PATRICIA </t>
  </si>
  <si>
    <t xml:space="preserve">DIP </t>
  </si>
  <si>
    <t>RAQUEL NERINA</t>
  </si>
  <si>
    <t xml:space="preserve">SOLER </t>
  </si>
  <si>
    <t>Alavila</t>
  </si>
  <si>
    <t xml:space="preserve"> María Mercedes</t>
  </si>
  <si>
    <t>Arip</t>
  </si>
  <si>
    <t xml:space="preserve"> Ana María</t>
  </si>
  <si>
    <t xml:space="preserve"> María Fernanda</t>
  </si>
  <si>
    <t>Berthalet</t>
  </si>
  <si>
    <t xml:space="preserve"> Marcela Liliana</t>
  </si>
  <si>
    <t>Brizuela</t>
  </si>
  <si>
    <t xml:space="preserve"> Julia Antonia</t>
  </si>
  <si>
    <t>Canizo</t>
  </si>
  <si>
    <t xml:space="preserve"> Margarita</t>
  </si>
  <si>
    <t xml:space="preserve"> María Elen</t>
  </si>
  <si>
    <t>Castillo Alavila</t>
  </si>
  <si>
    <t xml:space="preserve"> Jorge Ignacio</t>
  </si>
  <si>
    <t>Castro</t>
  </si>
  <si>
    <t xml:space="preserve"> Ariel Fernando</t>
  </si>
  <si>
    <t>Cejas</t>
  </si>
  <si>
    <t xml:space="preserve"> Rubén Domingo</t>
  </si>
  <si>
    <t>Cifre</t>
  </si>
  <si>
    <t xml:space="preserve"> Silvia Elizabeth</t>
  </si>
  <si>
    <t>Concha</t>
  </si>
  <si>
    <t xml:space="preserve"> Juan Carlos</t>
  </si>
  <si>
    <t>Juan Carlos</t>
  </si>
  <si>
    <t>Condori</t>
  </si>
  <si>
    <t xml:space="preserve"> Ana Graciela</t>
  </si>
  <si>
    <t>Costas</t>
  </si>
  <si>
    <t xml:space="preserve"> Pedro José</t>
  </si>
  <si>
    <t>Debes</t>
  </si>
  <si>
    <t xml:space="preserve"> María Eugenia</t>
  </si>
  <si>
    <t>del Castillo</t>
  </si>
  <si>
    <t xml:space="preserve"> María Lilian</t>
  </si>
  <si>
    <t xml:space="preserve"> Cristian Abel</t>
  </si>
  <si>
    <t>Di Farco</t>
  </si>
  <si>
    <t xml:space="preserve"> Antonia del Valle</t>
  </si>
  <si>
    <t>Fabio</t>
  </si>
  <si>
    <t xml:space="preserve"> Carla Roxana</t>
  </si>
  <si>
    <t xml:space="preserve"> Carlos Marcelino</t>
  </si>
  <si>
    <t xml:space="preserve"> Carlos Armando</t>
  </si>
  <si>
    <t>Galvez</t>
  </si>
  <si>
    <t xml:space="preserve"> Mirta</t>
  </si>
  <si>
    <t>Giunta</t>
  </si>
  <si>
    <t xml:space="preserve"> María Alejandra</t>
  </si>
  <si>
    <t xml:space="preserve"> Hector Hugo</t>
  </si>
  <si>
    <t xml:space="preserve"> Lucas Alejo</t>
  </si>
  <si>
    <t xml:space="preserve"> Roberto Benito</t>
  </si>
  <si>
    <t>Guzmán</t>
  </si>
  <si>
    <t xml:space="preserve"> Nora Beatriz</t>
  </si>
  <si>
    <t>Hanse</t>
  </si>
  <si>
    <t xml:space="preserve"> Duilio Máximo</t>
  </si>
  <si>
    <t xml:space="preserve"> María Lucía</t>
  </si>
  <si>
    <t>Kocsis Alderete</t>
  </si>
  <si>
    <t xml:space="preserve"> María Cristina</t>
  </si>
  <si>
    <t>Laméndula</t>
  </si>
  <si>
    <t xml:space="preserve"> Lucas Javier</t>
  </si>
  <si>
    <t>Latina</t>
  </si>
  <si>
    <t xml:space="preserve"> nancy Elizabeth</t>
  </si>
  <si>
    <t>Leguizamón</t>
  </si>
  <si>
    <t xml:space="preserve"> Paola Alejandra</t>
  </si>
  <si>
    <t xml:space="preserve"> María José</t>
  </si>
  <si>
    <t xml:space="preserve"> Mariela Adela</t>
  </si>
  <si>
    <t>Muslip</t>
  </si>
  <si>
    <t xml:space="preserve"> Carlos Alberto</t>
  </si>
  <si>
    <t xml:space="preserve"> Daniel Oscar</t>
  </si>
  <si>
    <t xml:space="preserve"> María Verónica</t>
  </si>
  <si>
    <t>Nicosia</t>
  </si>
  <si>
    <t xml:space="preserve"> Patricia Inés</t>
  </si>
  <si>
    <t xml:space="preserve"> Lelia Adriana</t>
  </si>
  <si>
    <t>Parajón Ferullo</t>
  </si>
  <si>
    <t xml:space="preserve"> Mº Gabriela</t>
  </si>
  <si>
    <t>Riba Hernandez</t>
  </si>
  <si>
    <t xml:space="preserve"> Mirian del Carmen</t>
  </si>
  <si>
    <t>Ríos</t>
  </si>
  <si>
    <t>Javier</t>
  </si>
  <si>
    <t xml:space="preserve"> María Dalmira</t>
  </si>
  <si>
    <t>Rodriguez Leal</t>
  </si>
  <si>
    <t xml:space="preserve"> María Gabriela</t>
  </si>
  <si>
    <t>Romero</t>
  </si>
  <si>
    <t xml:space="preserve"> Cintia María</t>
  </si>
  <si>
    <t xml:space="preserve"> Juan Pablo</t>
  </si>
  <si>
    <t xml:space="preserve"> Beatriz Teresa</t>
  </si>
  <si>
    <t xml:space="preserve"> Roberto</t>
  </si>
  <si>
    <t>Soler</t>
  </si>
  <si>
    <t xml:space="preserve"> María Laura</t>
  </si>
  <si>
    <t>Solohaga</t>
  </si>
  <si>
    <t xml:space="preserve"> Angela Zulema</t>
  </si>
  <si>
    <t xml:space="preserve"> Sergio Fabián</t>
  </si>
  <si>
    <t>Suchan</t>
  </si>
  <si>
    <t xml:space="preserve"> Silvia</t>
  </si>
  <si>
    <t>Tarulla</t>
  </si>
  <si>
    <t xml:space="preserve"> Rodolfo Enrique</t>
  </si>
  <si>
    <t>Temkin</t>
  </si>
  <si>
    <t xml:space="preserve"> Silvana</t>
  </si>
  <si>
    <t>Torrejón</t>
  </si>
  <si>
    <t xml:space="preserve"> Mario Orlando</t>
  </si>
  <si>
    <t>Vargas Martín</t>
  </si>
  <si>
    <t xml:space="preserve"> Vanessa Lorena</t>
  </si>
  <si>
    <t>Verratti</t>
  </si>
  <si>
    <t xml:space="preserve"> Ricardo Marcelo</t>
  </si>
  <si>
    <t>Wilde Quesada</t>
  </si>
  <si>
    <t xml:space="preserve"> Ernesto A.</t>
  </si>
  <si>
    <t>Zamora</t>
  </si>
  <si>
    <t xml:space="preserve"> Orestes Omar</t>
  </si>
  <si>
    <t>Zarate</t>
  </si>
  <si>
    <t xml:space="preserve"> Sergio Rubén</t>
  </si>
  <si>
    <t>La Comunicación en las relaciones humanas- BECAS</t>
  </si>
  <si>
    <t>Alcorta</t>
  </si>
  <si>
    <t>Maria Elena</t>
  </si>
  <si>
    <t>Relaciones humanas en el contexto organizacional</t>
  </si>
  <si>
    <t>29 666186</t>
  </si>
  <si>
    <t>Antich</t>
  </si>
  <si>
    <t>Rizza Constanza</t>
  </si>
  <si>
    <t>José Leopoldo</t>
  </si>
  <si>
    <t>2579 8019</t>
  </si>
  <si>
    <t>Cruz</t>
  </si>
  <si>
    <t>Ariel Alberto</t>
  </si>
  <si>
    <t>Ferrín</t>
  </si>
  <si>
    <t>Mariana Carolina</t>
  </si>
  <si>
    <t>Fuad</t>
  </si>
  <si>
    <t>Saguir Pablo</t>
  </si>
  <si>
    <t>Serna Brenda Belen</t>
  </si>
  <si>
    <t>Guinudinik</t>
  </si>
  <si>
    <t>Palacio</t>
  </si>
  <si>
    <t>Nicolás</t>
  </si>
  <si>
    <t>La Comunicación en las relaciones humana - EAS</t>
  </si>
  <si>
    <t>JOSE JUSTO</t>
  </si>
  <si>
    <t>CASERES</t>
  </si>
  <si>
    <t>ARTURO ANTONIO</t>
  </si>
  <si>
    <t xml:space="preserve">AGUILAR </t>
  </si>
  <si>
    <t>JESSICA</t>
  </si>
  <si>
    <t>COCA BALDERRAMA</t>
  </si>
  <si>
    <t>ORLANDO FRANCISCO</t>
  </si>
  <si>
    <t xml:space="preserve">ROSENDI </t>
  </si>
  <si>
    <t>PABLO MIGUEL</t>
  </si>
  <si>
    <t>Inglés Intermedio</t>
  </si>
  <si>
    <t xml:space="preserve">URQUIZA </t>
  </si>
  <si>
    <t xml:space="preserve">VERASALUCE </t>
  </si>
  <si>
    <t>Fotografía</t>
  </si>
  <si>
    <t xml:space="preserve">DE LA VEGA </t>
  </si>
  <si>
    <t>INFANTE</t>
  </si>
  <si>
    <t>LUCIANA BELEN</t>
  </si>
  <si>
    <t>Procesos eficientes - PUNA</t>
  </si>
  <si>
    <t xml:space="preserve">LUCERO </t>
  </si>
  <si>
    <t xml:space="preserve">SALAS </t>
  </si>
  <si>
    <t>FABIANA MARCELA</t>
  </si>
  <si>
    <t>VERÓNICA DEL VALLE</t>
  </si>
  <si>
    <t>Taller recreativo cultural de Folklore</t>
  </si>
  <si>
    <t>MARTIN  DARIO</t>
  </si>
  <si>
    <t>NANCY DEL VALLE</t>
  </si>
  <si>
    <t>CRISTIAN RICARDO</t>
  </si>
  <si>
    <t xml:space="preserve">ROBERTO </t>
  </si>
  <si>
    <t xml:space="preserve">SALVATIEERA </t>
  </si>
  <si>
    <t>MARÍA ISIDORA</t>
  </si>
  <si>
    <t>ABARZA</t>
  </si>
  <si>
    <t>MARTÍN DARÍO</t>
  </si>
  <si>
    <t>CONRRADO LUIS FRANCISCO</t>
  </si>
  <si>
    <t>MARÍA ROSA</t>
  </si>
  <si>
    <t>GABRIEL MAURICIO</t>
  </si>
  <si>
    <t>DÍAZ FONTENLA</t>
  </si>
  <si>
    <t>CECILIA MARÍA</t>
  </si>
  <si>
    <t xml:space="preserve">GÓMEZ </t>
  </si>
  <si>
    <t>HAUTECOEUR</t>
  </si>
  <si>
    <t>MINGOLLA</t>
  </si>
  <si>
    <t>FRANCISCO HUMBERTO</t>
  </si>
  <si>
    <t>RÍOS PONCE</t>
  </si>
  <si>
    <t>IGNACIO</t>
  </si>
  <si>
    <t>SERGIO FABIO</t>
  </si>
  <si>
    <t>TISSERA</t>
  </si>
  <si>
    <t>VILLAGRÁN</t>
  </si>
  <si>
    <t>MARÍA CECILIA</t>
  </si>
  <si>
    <t>Elaboración de Pliegos</t>
  </si>
  <si>
    <t>FABIANA ZULEMA</t>
  </si>
  <si>
    <t>BERENGEL</t>
  </si>
  <si>
    <t>MALENA</t>
  </si>
  <si>
    <t>ALBERTO DANTE</t>
  </si>
  <si>
    <t>HANSE</t>
  </si>
  <si>
    <t>DUILIO MÁXIMO</t>
  </si>
  <si>
    <t>RICARDO HÉCTOR</t>
  </si>
  <si>
    <t>Sistemas Informáticos</t>
  </si>
  <si>
    <t>ALUIS GIMENEZ</t>
  </si>
  <si>
    <t>JULIA ANTONIA</t>
  </si>
  <si>
    <t>MARIA VERÓNICA</t>
  </si>
  <si>
    <t>GUTIERREZ DE CARRIZO</t>
  </si>
  <si>
    <t>ITRURRE RETEGUI</t>
  </si>
  <si>
    <t>MARIA A</t>
  </si>
  <si>
    <t>MARÍA SOLEDAD</t>
  </si>
  <si>
    <t>SEBASTIÁN POOL</t>
  </si>
  <si>
    <t>ESTEFANIA MARÍA EVANGELINA</t>
  </si>
  <si>
    <t>RODOLFO JOSÉ</t>
  </si>
  <si>
    <t>Equipos de Trabajo</t>
  </si>
  <si>
    <t>RUBÉN OSVALDO</t>
  </si>
  <si>
    <t>MARTA INÉS</t>
  </si>
  <si>
    <t>SANDRA FÁTIMA</t>
  </si>
  <si>
    <t>VERÓNICA</t>
  </si>
  <si>
    <t>FERNÁNDEZ</t>
  </si>
  <si>
    <t>GONZÁLEZ CABRERA</t>
  </si>
  <si>
    <t>SANDRA ALEJANDRA</t>
  </si>
  <si>
    <t>SEBASTIÁN ALBERTO</t>
  </si>
  <si>
    <t>MÓNICA ANDREA</t>
  </si>
  <si>
    <t xml:space="preserve">QUINTEROS </t>
  </si>
  <si>
    <t>MARÍA ELENA</t>
  </si>
  <si>
    <t>RUBÉN HUMBERTO</t>
  </si>
  <si>
    <t>MARTÍN ALBERTO</t>
  </si>
  <si>
    <t xml:space="preserve">ESTELA </t>
  </si>
  <si>
    <t xml:space="preserve">VERONICA  </t>
  </si>
  <si>
    <t>BETIANA</t>
  </si>
  <si>
    <t>D`ATTELLIS</t>
  </si>
  <si>
    <t>JOSE ALEJANDRO</t>
  </si>
  <si>
    <t>RAQUEL E</t>
  </si>
  <si>
    <t>HUGO R</t>
  </si>
  <si>
    <t xml:space="preserve">SARA ALEJANDRA </t>
  </si>
  <si>
    <t>MOTHE</t>
  </si>
  <si>
    <t>PEREIRA</t>
  </si>
  <si>
    <t xml:space="preserve">GEORGINA </t>
  </si>
  <si>
    <t>FELIX EDUARDO</t>
  </si>
  <si>
    <t xml:space="preserve">CONCHA OSTENGO </t>
  </si>
  <si>
    <t>MARÍA GABRIELA</t>
  </si>
  <si>
    <t>FERNANDEZ GARVICH</t>
  </si>
  <si>
    <t>ANA PAULINA</t>
  </si>
  <si>
    <t>LIA VIRGINIA</t>
  </si>
  <si>
    <t>HINOJOSA SANDOVAL</t>
  </si>
  <si>
    <t xml:space="preserve">ROXANA </t>
  </si>
  <si>
    <t>GABRIELA INÉS</t>
  </si>
  <si>
    <t>MARTIN DARIO</t>
  </si>
  <si>
    <t xml:space="preserve">ARGAÑARAZ </t>
  </si>
  <si>
    <t>GERARDO  RENE</t>
  </si>
  <si>
    <t>BENO</t>
  </si>
  <si>
    <t>ZOE VIVIANA</t>
  </si>
  <si>
    <t>ADRIANA ELISA</t>
  </si>
  <si>
    <t xml:space="preserve">RIOS PONCE </t>
  </si>
  <si>
    <t>JESUS FEDERICO</t>
  </si>
  <si>
    <t xml:space="preserve">TOLOSA </t>
  </si>
  <si>
    <t>CÉSAR ADRIÁN</t>
  </si>
  <si>
    <t>ZARAZA VILLANUEVA</t>
  </si>
  <si>
    <t>JOSE U</t>
  </si>
  <si>
    <t xml:space="preserve">FERREIRA </t>
  </si>
  <si>
    <t>JOSE CARLOS</t>
  </si>
  <si>
    <t xml:space="preserve">MARIA A </t>
  </si>
  <si>
    <t>RENE</t>
  </si>
  <si>
    <t>CLEOTILDE</t>
  </si>
  <si>
    <t>NAVARRO VELAZQUEZ</t>
  </si>
  <si>
    <t>PEDRO CÉSAR</t>
  </si>
  <si>
    <t>Firma Digital</t>
  </si>
  <si>
    <t xml:space="preserve">AMOROSO  </t>
  </si>
  <si>
    <t>AVILA DE GUARAZ</t>
  </si>
  <si>
    <t>CLOTILDE</t>
  </si>
  <si>
    <t xml:space="preserve">LUIS   </t>
  </si>
  <si>
    <t>COMPAÑ</t>
  </si>
  <si>
    <t>COSTATI</t>
  </si>
  <si>
    <t xml:space="preserve">PAOLA  </t>
  </si>
  <si>
    <t>ELIANA</t>
  </si>
  <si>
    <t>FANCIOTTI CAMPERO</t>
  </si>
  <si>
    <t>JOSE FRANCISCO</t>
  </si>
  <si>
    <t>GRUNAUER</t>
  </si>
  <si>
    <t>PATRICIA ANDREA</t>
  </si>
  <si>
    <t>IGLESIAS GARCIA</t>
  </si>
  <si>
    <t>KARSUNIER</t>
  </si>
  <si>
    <t>KREISEL</t>
  </si>
  <si>
    <t>OLGA LILIANA</t>
  </si>
  <si>
    <t>LOPEZ CASTELLANOS</t>
  </si>
  <si>
    <t>RAUL HORACIO</t>
  </si>
  <si>
    <t xml:space="preserve">MONTESINOS  </t>
  </si>
  <si>
    <t>ADRIAN GUILLERMO</t>
  </si>
  <si>
    <t>SEBASTIAN POOL</t>
  </si>
  <si>
    <t xml:space="preserve">PEDRAZA  </t>
  </si>
  <si>
    <t xml:space="preserve">PEREZ  </t>
  </si>
  <si>
    <t>ENRIQUE EDUARDO</t>
  </si>
  <si>
    <t>PISLE</t>
  </si>
  <si>
    <t>PONCE DE LEON</t>
  </si>
  <si>
    <t>ESTEBAN GABRIEL</t>
  </si>
  <si>
    <t>RIOS PONCE</t>
  </si>
  <si>
    <t>JESUS FEDERICO ANTONIO</t>
  </si>
  <si>
    <t>SEU</t>
  </si>
  <si>
    <t>MAXIMILIANO FELIPE</t>
  </si>
  <si>
    <t>CESAR EDGARDO</t>
  </si>
  <si>
    <t>DANIEL ATURO</t>
  </si>
  <si>
    <t>MARIA ELINA</t>
  </si>
  <si>
    <t xml:space="preserve">VALLEJO  </t>
  </si>
  <si>
    <t>VALLEJO PAESANI</t>
  </si>
  <si>
    <t>VILTE</t>
  </si>
  <si>
    <t>HECTOR LUIS</t>
  </si>
  <si>
    <t>VIRLA</t>
  </si>
  <si>
    <t>EUGENIO MAMBERTO</t>
  </si>
  <si>
    <t>ZOTTOLI DE RIOS</t>
  </si>
  <si>
    <t>Formulación de Proyectos</t>
  </si>
  <si>
    <t xml:space="preserve">GUTIERREZ </t>
  </si>
  <si>
    <t>ROXANA NOEMI GULLERMINA</t>
  </si>
  <si>
    <t xml:space="preserve">PAEZ  </t>
  </si>
  <si>
    <t>VEDELAGO</t>
  </si>
  <si>
    <t>BEVACQUA</t>
  </si>
  <si>
    <t>GIANFRANCO</t>
  </si>
  <si>
    <t>LAUREANO</t>
  </si>
  <si>
    <t>GERARDO RENE</t>
  </si>
  <si>
    <t xml:space="preserve">ELIANA CECILIA </t>
  </si>
  <si>
    <t>Inglés intermedio Alto</t>
  </si>
  <si>
    <t xml:space="preserve">MARIO E </t>
  </si>
  <si>
    <t>ENRIQUE GUSTAVO</t>
  </si>
  <si>
    <t>Inglés intermedio bajo</t>
  </si>
  <si>
    <t>ALEJANDRO FRANCISCO</t>
  </si>
  <si>
    <t xml:space="preserve">RODRIGUEZ  </t>
  </si>
  <si>
    <t>SONIA ALEJANDRA</t>
  </si>
  <si>
    <t xml:space="preserve">MONICA  </t>
  </si>
  <si>
    <t>MONICA M</t>
  </si>
  <si>
    <t>ANDREA F</t>
  </si>
  <si>
    <t>MARÍA DE LAS MERCEDES</t>
  </si>
  <si>
    <t xml:space="preserve">SILVIA ESTELA </t>
  </si>
  <si>
    <t xml:space="preserve">Windows </t>
  </si>
  <si>
    <t xml:space="preserve">Windows+ Word inicial </t>
  </si>
  <si>
    <t>Redacción de actos administrativos</t>
  </si>
  <si>
    <t>Word Intermedio</t>
  </si>
  <si>
    <t>Word Inicial</t>
  </si>
  <si>
    <t>Herramientas para fortalecer la Comunicación</t>
  </si>
  <si>
    <t>Normativas de Concurso Docente</t>
  </si>
  <si>
    <t>Pendiente</t>
  </si>
  <si>
    <t>Id-Curso</t>
  </si>
  <si>
    <t>Programa</t>
  </si>
  <si>
    <r>
      <rPr>
        <sz val="11"/>
        <color rgb="FFC00000"/>
        <rFont val="Arial"/>
        <family val="2"/>
      </rPr>
      <t xml:space="preserve">Carga horaria
</t>
    </r>
    <r>
      <rPr>
        <sz val="9"/>
        <color rgb="FFC00000"/>
        <rFont val="Arial"/>
        <family val="2"/>
      </rPr>
      <t>hs reloj</t>
    </r>
  </si>
  <si>
    <t>Plan del curso</t>
  </si>
  <si>
    <t>Id_Docente</t>
  </si>
  <si>
    <t>Expdte</t>
  </si>
  <si>
    <t>Fecha 
presentación</t>
  </si>
  <si>
    <t>Resolucion</t>
  </si>
  <si>
    <t>Fecha de 
notificación</t>
  </si>
  <si>
    <t>Informática</t>
  </si>
  <si>
    <t>12 hs</t>
  </si>
  <si>
    <t>20 hs</t>
  </si>
  <si>
    <t>Calidad de vida</t>
  </si>
  <si>
    <t>---</t>
  </si>
  <si>
    <t>8 hs</t>
  </si>
  <si>
    <t>492/18</t>
  </si>
  <si>
    <t>721/18</t>
  </si>
  <si>
    <t>Desarrollo de Equipos de Trabajo</t>
  </si>
  <si>
    <t>CONSTRUYENDO CALIDAD EN LA UNT</t>
  </si>
  <si>
    <t>Competencias Para el Liderazgo</t>
  </si>
  <si>
    <t>Sostenimiento de la Calidad de Vida Laboral</t>
  </si>
  <si>
    <t>Normativas Vigentes</t>
  </si>
  <si>
    <t>Normativas Legales en la organización Administrativa de la UNT</t>
  </si>
  <si>
    <t>Mentes Predispuestas al Cambio</t>
  </si>
  <si>
    <t>Inicio</t>
  </si>
  <si>
    <t>Certificado</t>
  </si>
  <si>
    <t>Comenzado</t>
  </si>
  <si>
    <t>Próximo</t>
  </si>
  <si>
    <t>Funcionalidad del Sistema GDE</t>
  </si>
  <si>
    <t>Windows</t>
  </si>
  <si>
    <t>Id-docente</t>
  </si>
  <si>
    <t>Celular</t>
  </si>
  <si>
    <t>González</t>
  </si>
  <si>
    <t>Eugenia Luz</t>
  </si>
  <si>
    <t>id_est</t>
  </si>
  <si>
    <t>Estudios</t>
  </si>
  <si>
    <t>id_Cargo</t>
  </si>
  <si>
    <t>Id_Res</t>
  </si>
  <si>
    <t>Descripción</t>
  </si>
  <si>
    <t>Id_Medio</t>
  </si>
  <si>
    <t>Medio</t>
  </si>
  <si>
    <t>Curso no finalizado</t>
  </si>
  <si>
    <t>Nota</t>
  </si>
  <si>
    <t>Rindió exámen y SI aprobó</t>
  </si>
  <si>
    <t>Web/Mail</t>
  </si>
  <si>
    <t>Rindió exámen y NO aprobó</t>
  </si>
  <si>
    <t>Compañero</t>
  </si>
  <si>
    <t>Vino al menos a una clase</t>
  </si>
  <si>
    <t>Folleto/afiche</t>
  </si>
  <si>
    <t>No vino a ninguna clase</t>
  </si>
  <si>
    <t>Otro</t>
  </si>
  <si>
    <t>Producción</t>
  </si>
  <si>
    <t>El docente no entregó el resultado</t>
  </si>
  <si>
    <t>Primario incompleto</t>
  </si>
  <si>
    <t>Id_sel</t>
  </si>
  <si>
    <t>Cargo</t>
  </si>
  <si>
    <t>anio</t>
  </si>
  <si>
    <t>No Docente</t>
  </si>
  <si>
    <t>Todos</t>
  </si>
  <si>
    <t>Id_Fac</t>
  </si>
  <si>
    <t>Inst. Sup. de Musica</t>
  </si>
  <si>
    <t>Inst. Tecnico de Aguilares</t>
  </si>
  <si>
    <t>Casa Del Estudiante</t>
  </si>
  <si>
    <t>Dir. Auditoria Interna</t>
  </si>
  <si>
    <t>Dir. Gral. Compras</t>
  </si>
  <si>
    <t>Dir. Proteccion Universitaria</t>
  </si>
  <si>
    <t>Graduados</t>
  </si>
  <si>
    <t>Ismunt</t>
  </si>
  <si>
    <t>Jefa De Area</t>
  </si>
  <si>
    <t>Museo Casa Historica De La Independencia</t>
  </si>
  <si>
    <t>Parque Sierra De San Javier</t>
  </si>
  <si>
    <t>Proteccion Universitaria</t>
  </si>
  <si>
    <t>Puedes</t>
  </si>
  <si>
    <t>Puna</t>
  </si>
  <si>
    <t>Residencias Universitarias</t>
  </si>
  <si>
    <t>Tesoreria</t>
  </si>
  <si>
    <t>La Comunic. Interna en los Eq de Trab.</t>
  </si>
  <si>
    <t>ALVARADO</t>
  </si>
  <si>
    <t>MAYRA ALEJANDRA</t>
  </si>
  <si>
    <t>mairy.a.alvarado90@gmail.com</t>
  </si>
  <si>
    <t>3816257313</t>
  </si>
  <si>
    <t>HORCO MOLLE</t>
  </si>
  <si>
    <t>GUARDAFAUNA</t>
  </si>
  <si>
    <t>ARAUJO</t>
  </si>
  <si>
    <t xml:space="preserve">GABRIELA INÉS </t>
  </si>
  <si>
    <t>giaraujo20@alumnos.csnat.unt.edu.ar</t>
  </si>
  <si>
    <t>3815417909</t>
  </si>
  <si>
    <t>CASAS CAU JULIA</t>
  </si>
  <si>
    <t>MARIA ROMINA</t>
  </si>
  <si>
    <t>romiccj@gmaol.com</t>
  </si>
  <si>
    <t>3815709496</t>
  </si>
  <si>
    <t>CEBE</t>
  </si>
  <si>
    <t xml:space="preserve">AGUSTIN </t>
  </si>
  <si>
    <t>agustincebe@gmail.com</t>
  </si>
  <si>
    <t>3814739405</t>
  </si>
  <si>
    <t>CORREA URIBURU</t>
  </si>
  <si>
    <t xml:space="preserve">VICTORIA MARIA </t>
  </si>
  <si>
    <t>vcorreauriburu@gmail.com</t>
  </si>
  <si>
    <t>3816648667</t>
  </si>
  <si>
    <t xml:space="preserve">IBARRA </t>
  </si>
  <si>
    <t xml:space="preserve">CINTIA ANALÍA </t>
  </si>
  <si>
    <t>ibarracinanalia@gmail.com</t>
  </si>
  <si>
    <t>3814637160</t>
  </si>
  <si>
    <t xml:space="preserve">Profesorado en Ciencias Biológicas </t>
  </si>
  <si>
    <t>LASTRA</t>
  </si>
  <si>
    <t>carolinalastra21@gmail.com</t>
  </si>
  <si>
    <t>3816532257</t>
  </si>
  <si>
    <t>Licenciatura en Ciencias Biologicas</t>
  </si>
  <si>
    <t xml:space="preserve">CARLOS JOSÉ ALEJANDRO </t>
  </si>
  <si>
    <t>correodeivanov2@gmail.com</t>
  </si>
  <si>
    <t>3816229519</t>
  </si>
  <si>
    <t>pazjosefrancisco17@gmail.com</t>
  </si>
  <si>
    <t>3813624556</t>
  </si>
  <si>
    <t>RODRIGUEZ GARRO</t>
  </si>
  <si>
    <t>rominarodriguezgarro77@gmail.com</t>
  </si>
  <si>
    <t>3865312371</t>
  </si>
  <si>
    <t>Profesora de Ciencias Biológicas</t>
  </si>
  <si>
    <t xml:space="preserve">ROJAS PAZ </t>
  </si>
  <si>
    <t xml:space="preserve">IGNACIO </t>
  </si>
  <si>
    <t>rojaspazig@hotmail.com</t>
  </si>
  <si>
    <t>3815449706</t>
  </si>
  <si>
    <t>GUADAFAUNA</t>
  </si>
  <si>
    <t>RUIZ CUELLAR</t>
  </si>
  <si>
    <t>MELINA CELESTE</t>
  </si>
  <si>
    <t>mcruizcuellar20@alumnos.csnat.unt.edu.ar</t>
  </si>
  <si>
    <t>3814388654</t>
  </si>
  <si>
    <t>Documentos en Word y Drive</t>
  </si>
  <si>
    <t>ACUÑA BOSS</t>
  </si>
  <si>
    <t>SOLANA</t>
  </si>
  <si>
    <t xml:space="preserve">Solacuboss08@gmail.com </t>
  </si>
  <si>
    <t>3815649561</t>
  </si>
  <si>
    <t>JULIO LUIS</t>
  </si>
  <si>
    <t>julepe29@hotmail.com</t>
  </si>
  <si>
    <t>3814577551</t>
  </si>
  <si>
    <t>BOLART</t>
  </si>
  <si>
    <t>MILAGRO</t>
  </si>
  <si>
    <t>milagrobolart29@gmail.com</t>
  </si>
  <si>
    <t>Excel Intermedio</t>
  </si>
  <si>
    <t xml:space="preserve">Gabriel </t>
  </si>
  <si>
    <t>alba guillin</t>
  </si>
  <si>
    <t xml:space="preserve">glenda gabriela </t>
  </si>
  <si>
    <t>Huerta</t>
  </si>
  <si>
    <t xml:space="preserve">Maria Claudia Huerta </t>
  </si>
  <si>
    <t xml:space="preserve">Marcelo Raúl </t>
  </si>
  <si>
    <t xml:space="preserve">Maria Noelia </t>
  </si>
  <si>
    <t xml:space="preserve">Deolinda Azucena </t>
  </si>
  <si>
    <t>Puentedura</t>
  </si>
  <si>
    <t>Antonella Lorena</t>
  </si>
  <si>
    <t xml:space="preserve">Lucas Alejandro </t>
  </si>
  <si>
    <t>Yesica Noelia</t>
  </si>
  <si>
    <t>Viltes</t>
  </si>
  <si>
    <t>Gustavo Exequiel</t>
  </si>
  <si>
    <t>Deolindaponce64@gmail.com</t>
  </si>
  <si>
    <t>Servicio Generales</t>
  </si>
  <si>
    <t>noemol87@gmail.com</t>
  </si>
  <si>
    <t>Lic en rrhh</t>
  </si>
  <si>
    <t>Personal y legajos</t>
  </si>
  <si>
    <t>viltesgustavo01@gmail.com</t>
  </si>
  <si>
    <t>Quinta Agronomica</t>
  </si>
  <si>
    <t>JTP/Aux. Doc.</t>
  </si>
  <si>
    <t>yesicasopena@gmail.com</t>
  </si>
  <si>
    <t xml:space="preserve">Ingeniera Agrónoma </t>
  </si>
  <si>
    <t xml:space="preserve">Zoología Agrícola </t>
  </si>
  <si>
    <t>Gabrieldp1991@gmail.com</t>
  </si>
  <si>
    <t>Sec. Ciencia, Arte e Innovación Tecnológica(Rec)</t>
  </si>
  <si>
    <t>Becas</t>
  </si>
  <si>
    <t>ruedajulio947@gmail.com</t>
  </si>
  <si>
    <t>Perito mercantil</t>
  </si>
  <si>
    <t>Servicios generales</t>
  </si>
  <si>
    <t>claudiah@fm.unt.edu.ar</t>
  </si>
  <si>
    <t xml:space="preserve">Lic. En Gestión Universitaria </t>
  </si>
  <si>
    <t>Unidad de Práctica Final Obligatoria 6to. Y 7mo.</t>
  </si>
  <si>
    <t>lukasss.romulo@gmail.com</t>
  </si>
  <si>
    <t xml:space="preserve">Técnico maestro mayor de obras </t>
  </si>
  <si>
    <t xml:space="preserve">Servicios generales </t>
  </si>
  <si>
    <t>marceloraullizarraga@gmail.com</t>
  </si>
  <si>
    <t xml:space="preserve">Centro </t>
  </si>
  <si>
    <t>03814311909</t>
  </si>
  <si>
    <t>jflores@herrera.unt.edu.ar</t>
  </si>
  <si>
    <t>Bachiller</t>
  </si>
  <si>
    <t>Ciencias Exactas y Tecnologia</t>
  </si>
  <si>
    <t>Departamento de Construcciones y obras civiles</t>
  </si>
  <si>
    <t>antonellapuentedura@fm.unt.edu.ar</t>
  </si>
  <si>
    <t>Unidad de Práctica Final Obligatoria</t>
  </si>
  <si>
    <t xml:space="preserve">glendaalba1@gmail.com </t>
  </si>
  <si>
    <t>Sec. Asuntos Estudiantiles (Rec)</t>
  </si>
  <si>
    <t xml:space="preserve">Complejos Dickens </t>
  </si>
  <si>
    <t xml:space="preserve">no hay </t>
  </si>
  <si>
    <t>Maestra enseñanza primaria y jardin</t>
  </si>
  <si>
    <t>Bachiller con orientacion docente en manualidades</t>
  </si>
  <si>
    <t>Arquitecta-Magister en Historia de la Arquit y Urb Lat</t>
  </si>
  <si>
    <t>TSGU/ TS en ComInter</t>
  </si>
  <si>
    <t>AGUILAR PEREZ</t>
  </si>
  <si>
    <t>BACAS</t>
  </si>
  <si>
    <t>BELTRAN</t>
  </si>
  <si>
    <t>BENITES TAPIA</t>
  </si>
  <si>
    <t>CARLES</t>
  </si>
  <si>
    <t>COLLADO</t>
  </si>
  <si>
    <t>CÓRDOBA</t>
  </si>
  <si>
    <t>DAGE</t>
  </si>
  <si>
    <t>FANJUL</t>
  </si>
  <si>
    <t>FERRARI</t>
  </si>
  <si>
    <t>FICOSECO</t>
  </si>
  <si>
    <t>GALLARDO</t>
  </si>
  <si>
    <t>GJUGUM</t>
  </si>
  <si>
    <t>GUILLEN</t>
  </si>
  <si>
    <t>ILUMINATO</t>
  </si>
  <si>
    <t>IVRCOVICH</t>
  </si>
  <si>
    <t>LIEZUN</t>
  </si>
  <si>
    <t>MARTÍNEZ CARABAJAL</t>
  </si>
  <si>
    <t>MONJES</t>
  </si>
  <si>
    <t>Neiman</t>
  </si>
  <si>
    <t>NIELSEN HILLEN</t>
  </si>
  <si>
    <t>NUÑEZ CARABAJAL</t>
  </si>
  <si>
    <t>ROJAS PAZ</t>
  </si>
  <si>
    <t>SAID</t>
  </si>
  <si>
    <t>SCHARGORODSKY</t>
  </si>
  <si>
    <t>SERVETTO</t>
  </si>
  <si>
    <t>SUSANICH</t>
  </si>
  <si>
    <t>TREJO</t>
  </si>
  <si>
    <t>VAZQUES</t>
  </si>
  <si>
    <t>VILLOLDO</t>
  </si>
  <si>
    <t>ZOLORZANO</t>
  </si>
  <si>
    <t>Sopena</t>
  </si>
  <si>
    <t>Díaz Pinto</t>
  </si>
  <si>
    <t>Lizárraga</t>
  </si>
  <si>
    <t>Acuña Boss</t>
  </si>
  <si>
    <t>Solana</t>
  </si>
  <si>
    <t>Sergio Daniel</t>
  </si>
  <si>
    <t>Balcells</t>
  </si>
  <si>
    <t>Matías Javier</t>
  </si>
  <si>
    <t xml:space="preserve">Brandan </t>
  </si>
  <si>
    <t xml:space="preserve">Jorge luis </t>
  </si>
  <si>
    <t xml:space="preserve">Mariela nerina </t>
  </si>
  <si>
    <t>Cristian Alejandro</t>
  </si>
  <si>
    <t xml:space="preserve">Kocsis </t>
  </si>
  <si>
    <t xml:space="preserve">Maria Cristina </t>
  </si>
  <si>
    <t xml:space="preserve">Leiva </t>
  </si>
  <si>
    <t xml:space="preserve">Patricia Lucrecia </t>
  </si>
  <si>
    <t xml:space="preserve">Silvia Vanesa </t>
  </si>
  <si>
    <t>Mariela antonia</t>
  </si>
  <si>
    <t>Parajon</t>
  </si>
  <si>
    <t>fabiana alejandra</t>
  </si>
  <si>
    <t>Word y Drive</t>
  </si>
  <si>
    <t>Ale Sleiman</t>
  </si>
  <si>
    <t xml:space="preserve">Álvarez </t>
  </si>
  <si>
    <t xml:space="preserve">Monica Beatriz </t>
  </si>
  <si>
    <t xml:space="preserve">Gabriel Gonzalo </t>
  </si>
  <si>
    <t>Maria florencia</t>
  </si>
  <si>
    <t>Garcia del Moral</t>
  </si>
  <si>
    <t>Mariangeles</t>
  </si>
  <si>
    <t>Haro Ledesma</t>
  </si>
  <si>
    <t xml:space="preserve">Muñoz Arrieta </t>
  </si>
  <si>
    <t xml:space="preserve">María de los Ángeles </t>
  </si>
  <si>
    <t xml:space="preserve">Emilse Elizabeth </t>
  </si>
  <si>
    <t>Silva</t>
  </si>
  <si>
    <t>Evangelina</t>
  </si>
  <si>
    <t xml:space="preserve">Laila </t>
  </si>
  <si>
    <t xml:space="preserve">Torino </t>
  </si>
  <si>
    <t>Torres</t>
  </si>
  <si>
    <t>Vargas</t>
  </si>
  <si>
    <t>Valeria Raquel</t>
  </si>
  <si>
    <t>Excel y Drive</t>
  </si>
  <si>
    <t>Cassara</t>
  </si>
  <si>
    <t>Paola Cristina</t>
  </si>
  <si>
    <t>Cecchin</t>
  </si>
  <si>
    <t>Chamorro</t>
  </si>
  <si>
    <t>Mayra daiana</t>
  </si>
  <si>
    <t>Betiana</t>
  </si>
  <si>
    <t>Cinthya Ernestina</t>
  </si>
  <si>
    <t>Jerez</t>
  </si>
  <si>
    <t>German</t>
  </si>
  <si>
    <t>Pacheco</t>
  </si>
  <si>
    <t>María Celeste</t>
  </si>
  <si>
    <t>Quesada</t>
  </si>
  <si>
    <t>Alvarado</t>
  </si>
  <si>
    <t>Mayra Alejandra</t>
  </si>
  <si>
    <t>Araujo</t>
  </si>
  <si>
    <t xml:space="preserve">Gabriela Inés </t>
  </si>
  <si>
    <t>Casas Cau Julia</t>
  </si>
  <si>
    <t>Maria Romina</t>
  </si>
  <si>
    <t>Cebe</t>
  </si>
  <si>
    <t xml:space="preserve">Agustin </t>
  </si>
  <si>
    <t>Elena del carmen</t>
  </si>
  <si>
    <t>Correa Uriburu</t>
  </si>
  <si>
    <t xml:space="preserve">Victoria Maria </t>
  </si>
  <si>
    <t>Fuensalida</t>
  </si>
  <si>
    <t>Erika Mabel</t>
  </si>
  <si>
    <t xml:space="preserve">Ibarra </t>
  </si>
  <si>
    <t xml:space="preserve">Cintia Analía </t>
  </si>
  <si>
    <t>Juliá</t>
  </si>
  <si>
    <t>LAGUNA</t>
  </si>
  <si>
    <t>Nicolas</t>
  </si>
  <si>
    <t>Lastra</t>
  </si>
  <si>
    <t>Carolina</t>
  </si>
  <si>
    <t xml:space="preserve">López </t>
  </si>
  <si>
    <t xml:space="preserve">Ana Paula </t>
  </si>
  <si>
    <t>Diego Martin</t>
  </si>
  <si>
    <t xml:space="preserve">Morales </t>
  </si>
  <si>
    <t xml:space="preserve">Carlos José Alejandro </t>
  </si>
  <si>
    <t>Moreta</t>
  </si>
  <si>
    <t>José Francisco</t>
  </si>
  <si>
    <t>Gabriel Federico</t>
  </si>
  <si>
    <t>Rodriguez Garro</t>
  </si>
  <si>
    <t xml:space="preserve">Rojas Paz </t>
  </si>
  <si>
    <t xml:space="preserve">Ignacio </t>
  </si>
  <si>
    <t>Rotger</t>
  </si>
  <si>
    <t>Ana Sofía</t>
  </si>
  <si>
    <t>Ruiz Cuellar</t>
  </si>
  <si>
    <t>Melina Celeste</t>
  </si>
  <si>
    <t>Tannure</t>
  </si>
  <si>
    <t>Florencia</t>
  </si>
  <si>
    <t xml:space="preserve">Ypa </t>
  </si>
  <si>
    <t xml:space="preserve">Agustina </t>
  </si>
  <si>
    <t>Comunicación Interna</t>
  </si>
  <si>
    <t xml:space="preserve">Adad Santillan </t>
  </si>
  <si>
    <t xml:space="preserve">Adriana Noelia </t>
  </si>
  <si>
    <t>Ahumada</t>
  </si>
  <si>
    <t>Alexis</t>
  </si>
  <si>
    <t xml:space="preserve">Albarracin Galvan </t>
  </si>
  <si>
    <t xml:space="preserve">Constanza Melina </t>
  </si>
  <si>
    <t xml:space="preserve">Aragon </t>
  </si>
  <si>
    <t xml:space="preserve">Sergio Fabián </t>
  </si>
  <si>
    <t xml:space="preserve">Arévalo </t>
  </si>
  <si>
    <t xml:space="preserve">Adriana Alicia </t>
  </si>
  <si>
    <t>Bejas</t>
  </si>
  <si>
    <t>Maricel Alejandra</t>
  </si>
  <si>
    <t xml:space="preserve">Carrizo </t>
  </si>
  <si>
    <t>Maria Ayelen</t>
  </si>
  <si>
    <t xml:space="preserve">Córdoba </t>
  </si>
  <si>
    <t>Noelia Susana</t>
  </si>
  <si>
    <t>Fernando René</t>
  </si>
  <si>
    <t>Feres</t>
  </si>
  <si>
    <t>GARCIA GONZALEZ</t>
  </si>
  <si>
    <t>MARIA SALECIA</t>
  </si>
  <si>
    <t xml:space="preserve">Huerta </t>
  </si>
  <si>
    <t xml:space="preserve">María Claudia </t>
  </si>
  <si>
    <t>Juan Marcelo</t>
  </si>
  <si>
    <t xml:space="preserve">Jiménez </t>
  </si>
  <si>
    <t xml:space="preserve">Blanca Pamela </t>
  </si>
  <si>
    <t>Lorca</t>
  </si>
  <si>
    <t xml:space="preserve">Cecilia Maria </t>
  </si>
  <si>
    <t>Maciel Talavera</t>
  </si>
  <si>
    <t>Maria Luisa</t>
  </si>
  <si>
    <t>Mansilla</t>
  </si>
  <si>
    <t>Lisa Bettina</t>
  </si>
  <si>
    <t>Victor Hugo</t>
  </si>
  <si>
    <t xml:space="preserve">Muñoz Bravo </t>
  </si>
  <si>
    <t xml:space="preserve">Sandra Ruth </t>
  </si>
  <si>
    <t xml:space="preserve">Gustavo </t>
  </si>
  <si>
    <t>Neirot</t>
  </si>
  <si>
    <t>Nestor</t>
  </si>
  <si>
    <t xml:space="preserve">Karina de los Angeles </t>
  </si>
  <si>
    <t>Pidutti</t>
  </si>
  <si>
    <t xml:space="preserve">Agostina María </t>
  </si>
  <si>
    <t>Rimarso</t>
  </si>
  <si>
    <t>Cristian</t>
  </si>
  <si>
    <t xml:space="preserve">Rodriguez Vaquero </t>
  </si>
  <si>
    <t xml:space="preserve">Raul Eduardo </t>
  </si>
  <si>
    <t xml:space="preserve">Romano Farias </t>
  </si>
  <si>
    <t xml:space="preserve">Gladis Susana </t>
  </si>
  <si>
    <t>Saleme</t>
  </si>
  <si>
    <t>Martín Leopoldo</t>
  </si>
  <si>
    <t xml:space="preserve">Savino </t>
  </si>
  <si>
    <t>Lina</t>
  </si>
  <si>
    <t>Singh</t>
  </si>
  <si>
    <t xml:space="preserve">Fernando José </t>
  </si>
  <si>
    <t>Trejo</t>
  </si>
  <si>
    <t>Alejandro Dario</t>
  </si>
  <si>
    <t>Urueña</t>
  </si>
  <si>
    <t>Camila</t>
  </si>
  <si>
    <t>Wilde</t>
  </si>
  <si>
    <t xml:space="preserve">Fernando </t>
  </si>
  <si>
    <t>Búsqueda bibliográficas</t>
  </si>
  <si>
    <t>Argañaraz</t>
  </si>
  <si>
    <t>Luis Guillermo</t>
  </si>
  <si>
    <t xml:space="preserve">Benó </t>
  </si>
  <si>
    <t xml:space="preserve">Yanina Fernanda </t>
  </si>
  <si>
    <t xml:space="preserve">Chamorro </t>
  </si>
  <si>
    <t>Mayra Daiana</t>
  </si>
  <si>
    <t>Betiana Gisela</t>
  </si>
  <si>
    <t xml:space="preserve">Díaz </t>
  </si>
  <si>
    <t xml:space="preserve">Fernando Rene </t>
  </si>
  <si>
    <t xml:space="preserve">Joaquín </t>
  </si>
  <si>
    <t xml:space="preserve">Pacheco </t>
  </si>
  <si>
    <t xml:space="preserve">Pablo Martin </t>
  </si>
  <si>
    <t xml:space="preserve">Romero </t>
  </si>
  <si>
    <t>Roberto antonio</t>
  </si>
  <si>
    <t xml:space="preserve">Trejo </t>
  </si>
  <si>
    <t>camila</t>
  </si>
  <si>
    <t xml:space="preserve">Díaz Pinto </t>
  </si>
  <si>
    <t xml:space="preserve">Lizárraga </t>
  </si>
  <si>
    <t xml:space="preserve">Romulo </t>
  </si>
  <si>
    <t xml:space="preserve">Sopena </t>
  </si>
  <si>
    <t>Olga Beatriz</t>
  </si>
  <si>
    <t>Blanco</t>
  </si>
  <si>
    <t>Gabriela Maria</t>
  </si>
  <si>
    <t>Brandán</t>
  </si>
  <si>
    <t>Lucas Gabriel</t>
  </si>
  <si>
    <t>Camargo</t>
  </si>
  <si>
    <t>Sara Lia</t>
  </si>
  <si>
    <t>Chaya</t>
  </si>
  <si>
    <t>María Eugenia</t>
  </si>
  <si>
    <t>Gabriel Gonzalo</t>
  </si>
  <si>
    <t>Fernández</t>
  </si>
  <si>
    <t>María Lucía</t>
  </si>
  <si>
    <t>Luis Joaquín</t>
  </si>
  <si>
    <t>Lucas Alejo</t>
  </si>
  <si>
    <t>Silvia vanesa</t>
  </si>
  <si>
    <t>Maria Antonella</t>
  </si>
  <si>
    <t>Angel Nicolas</t>
  </si>
  <si>
    <t>Alfredo Gustavo</t>
  </si>
  <si>
    <t>Medrano</t>
  </si>
  <si>
    <t>Hugo Roberto</t>
  </si>
  <si>
    <t>Erika Giselle</t>
  </si>
  <si>
    <t>Morales Abujder</t>
  </si>
  <si>
    <t>Eggder miguel</t>
  </si>
  <si>
    <t>Murillo</t>
  </si>
  <si>
    <t>Esteban</t>
  </si>
  <si>
    <t>Nazar</t>
  </si>
  <si>
    <t>María Alejandra</t>
  </si>
  <si>
    <t>Parraga</t>
  </si>
  <si>
    <t>Rosa Isabel del Valle</t>
  </si>
  <si>
    <t>Pereyra</t>
  </si>
  <si>
    <t>Silvana Cecilia</t>
  </si>
  <si>
    <t>Reynoso</t>
  </si>
  <si>
    <t>Diego Dario</t>
  </si>
  <si>
    <t>Rodrigo</t>
  </si>
  <si>
    <t>Luciano Javier</t>
  </si>
  <si>
    <t>Ruffolo</t>
  </si>
  <si>
    <t>Sily</t>
  </si>
  <si>
    <t>Patricia leonor</t>
  </si>
  <si>
    <t>Camila Urueña</t>
  </si>
  <si>
    <t>Walther Virla</t>
  </si>
  <si>
    <t>Jorge Horacio</t>
  </si>
  <si>
    <t>Zamorano Janut</t>
  </si>
  <si>
    <t>María Natalia</t>
  </si>
  <si>
    <t>Liderazgo</t>
  </si>
  <si>
    <t>Matias</t>
  </si>
  <si>
    <t>Jorge luis</t>
  </si>
  <si>
    <t>Pomo</t>
  </si>
  <si>
    <t>Quiroga</t>
  </si>
  <si>
    <t>María Gabriela</t>
  </si>
  <si>
    <t>Gisela</t>
  </si>
  <si>
    <t>Ruiz</t>
  </si>
  <si>
    <t>Estelita del Carmen</t>
  </si>
  <si>
    <t>Simon</t>
  </si>
  <si>
    <t>Maria Fernanda</t>
  </si>
  <si>
    <t>sotelo</t>
  </si>
  <si>
    <t>daniela fernanda</t>
  </si>
  <si>
    <t>Villacís Postigo</t>
  </si>
  <si>
    <t>Fernando</t>
  </si>
  <si>
    <t>Zeballos Raselli</t>
  </si>
  <si>
    <t>María Belen</t>
  </si>
  <si>
    <t>Aguilar</t>
  </si>
  <si>
    <t>Fátima Imelda</t>
  </si>
  <si>
    <t>Mercedes  Maria</t>
  </si>
  <si>
    <t xml:space="preserve">Albornoz Grimald </t>
  </si>
  <si>
    <t xml:space="preserve">Paula Denise </t>
  </si>
  <si>
    <t xml:space="preserve">Ale Sleiman </t>
  </si>
  <si>
    <t xml:space="preserve">Alejandro Arturo </t>
  </si>
  <si>
    <t xml:space="preserve">Argañaraz </t>
  </si>
  <si>
    <t>Clara Maria</t>
  </si>
  <si>
    <t>Matías</t>
  </si>
  <si>
    <t xml:space="preserve">Bravo Schiavone </t>
  </si>
  <si>
    <t>Martin Osvaldo</t>
  </si>
  <si>
    <t>Bustos Valdez</t>
  </si>
  <si>
    <t xml:space="preserve">Roberto Leandro </t>
  </si>
  <si>
    <t>Carranza</t>
  </si>
  <si>
    <t>Hector Jesus</t>
  </si>
  <si>
    <t>Cerasuolo</t>
  </si>
  <si>
    <t xml:space="preserve">Marina Fátima </t>
  </si>
  <si>
    <t>Chazarreta</t>
  </si>
  <si>
    <t>Sabrina Jael</t>
  </si>
  <si>
    <t xml:space="preserve">Díaz Soria </t>
  </si>
  <si>
    <t xml:space="preserve">María José </t>
  </si>
  <si>
    <t xml:space="preserve">Dominetti </t>
  </si>
  <si>
    <t>Ana Valeria</t>
  </si>
  <si>
    <t xml:space="preserve">María Laura </t>
  </si>
  <si>
    <t>Santiago</t>
  </si>
  <si>
    <t>Benjamin</t>
  </si>
  <si>
    <t xml:space="preserve">Jerez </t>
  </si>
  <si>
    <t xml:space="preserve">German Leonardo </t>
  </si>
  <si>
    <t>Jimenez</t>
  </si>
  <si>
    <t>Enrique Ricardo</t>
  </si>
  <si>
    <t xml:space="preserve">Lammoglia </t>
  </si>
  <si>
    <t>Andrea</t>
  </si>
  <si>
    <t>Facundo</t>
  </si>
  <si>
    <t>Lischinsky</t>
  </si>
  <si>
    <t>Diego</t>
  </si>
  <si>
    <t xml:space="preserve">Lobo </t>
  </si>
  <si>
    <t>Sebastian waldino</t>
  </si>
  <si>
    <t xml:space="preserve">María Guadalupe </t>
  </si>
  <si>
    <t xml:space="preserve">Elena Beatriz </t>
  </si>
  <si>
    <t xml:space="preserve">Martinez </t>
  </si>
  <si>
    <t>Natalia María Eugenia</t>
  </si>
  <si>
    <t xml:space="preserve">Navarro </t>
  </si>
  <si>
    <t xml:space="preserve">Horacio </t>
  </si>
  <si>
    <t>Navarro Velásquez</t>
  </si>
  <si>
    <t>César Mariano</t>
  </si>
  <si>
    <t>Nuñez</t>
  </si>
  <si>
    <t>Maria Celia</t>
  </si>
  <si>
    <t>Ortega</t>
  </si>
  <si>
    <t>Beatriz Irene</t>
  </si>
  <si>
    <t xml:space="preserve">Rivero Colombres </t>
  </si>
  <si>
    <t xml:space="preserve">Santiago </t>
  </si>
  <si>
    <t>Gisela noemi</t>
  </si>
  <si>
    <t xml:space="preserve">Vallejo Ortiz </t>
  </si>
  <si>
    <t xml:space="preserve">Claudia </t>
  </si>
  <si>
    <t>Textos administrativos</t>
  </si>
  <si>
    <t>Acosta</t>
  </si>
  <si>
    <t xml:space="preserve">Constanza María </t>
  </si>
  <si>
    <t>Héctor Leopoldo</t>
  </si>
  <si>
    <t xml:space="preserve">Almaraz </t>
  </si>
  <si>
    <t xml:space="preserve">Sandro Marcelo </t>
  </si>
  <si>
    <t xml:space="preserve">Almiirón </t>
  </si>
  <si>
    <t>Claudia vanesa</t>
  </si>
  <si>
    <t>Aranda</t>
  </si>
  <si>
    <t>Luis Alfredo</t>
  </si>
  <si>
    <t>Benó</t>
  </si>
  <si>
    <t xml:space="preserve">Cassara </t>
  </si>
  <si>
    <t xml:space="preserve">Paola Cristina </t>
  </si>
  <si>
    <t xml:space="preserve">Mayra daiana </t>
  </si>
  <si>
    <t>diaz bucci</t>
  </si>
  <si>
    <t>victor manuel</t>
  </si>
  <si>
    <t>Garzon</t>
  </si>
  <si>
    <t xml:space="preserve">María Julieta </t>
  </si>
  <si>
    <t>Tomás Roberto Javier</t>
  </si>
  <si>
    <t xml:space="preserve">Guerra </t>
  </si>
  <si>
    <t xml:space="preserve">Viviana </t>
  </si>
  <si>
    <t>Haro</t>
  </si>
  <si>
    <t>María Noelia</t>
  </si>
  <si>
    <t xml:space="preserve">Ibáñez </t>
  </si>
  <si>
    <t>Jozami</t>
  </si>
  <si>
    <t>Andrea Carolina</t>
  </si>
  <si>
    <t xml:space="preserve">Cristian Alejandro </t>
  </si>
  <si>
    <t>Kocsis</t>
  </si>
  <si>
    <t xml:space="preserve">Mendoza </t>
  </si>
  <si>
    <t xml:space="preserve">Silvia Beatriz </t>
  </si>
  <si>
    <t>Merin</t>
  </si>
  <si>
    <t xml:space="preserve">Maria Silvina </t>
  </si>
  <si>
    <t xml:space="preserve">Maria noelia </t>
  </si>
  <si>
    <t>David Ricardo Octavio</t>
  </si>
  <si>
    <t>Valeria</t>
  </si>
  <si>
    <t>Ríos Ponce</t>
  </si>
  <si>
    <t xml:space="preserve">Rodríguez </t>
  </si>
  <si>
    <t xml:space="preserve">Patricia </t>
  </si>
  <si>
    <t>Roldán</t>
  </si>
  <si>
    <t>José Rodrigo</t>
  </si>
  <si>
    <t>José Luis</t>
  </si>
  <si>
    <t>Rueda Brunotto</t>
  </si>
  <si>
    <t>Rodrigo Gabriel</t>
  </si>
  <si>
    <t>Silvera Estevez</t>
  </si>
  <si>
    <t>María José</t>
  </si>
  <si>
    <t>Suarez</t>
  </si>
  <si>
    <t xml:space="preserve">Maria Victoria de los Ángeles </t>
  </si>
  <si>
    <t>Torres Vega</t>
  </si>
  <si>
    <t>Matías Agustín</t>
  </si>
  <si>
    <t>Valdez</t>
  </si>
  <si>
    <t>Roxana</t>
  </si>
  <si>
    <t>valdez jaén</t>
  </si>
  <si>
    <t>javier</t>
  </si>
  <si>
    <t>Vargas Martin</t>
  </si>
  <si>
    <t>Vanessa</t>
  </si>
  <si>
    <t xml:space="preserve">Villagrán </t>
  </si>
  <si>
    <t xml:space="preserve">Ana Maria </t>
  </si>
  <si>
    <t>Sofia</t>
  </si>
  <si>
    <t>BUSTOS ALBORNOZ</t>
  </si>
  <si>
    <t>ANA LUZ</t>
  </si>
  <si>
    <t>IVANA ARACELI</t>
  </si>
  <si>
    <t>CARIIZO REYES</t>
  </si>
  <si>
    <t>DOMINGO CARLOS DANTE</t>
  </si>
  <si>
    <t>LUCIA LILIANA</t>
  </si>
  <si>
    <t>MAYER</t>
  </si>
  <si>
    <t>MANUEL BAUTISTA</t>
  </si>
  <si>
    <t>GABRIELA A</t>
  </si>
  <si>
    <t>ALBANO M</t>
  </si>
  <si>
    <t>Constanza María</t>
  </si>
  <si>
    <t>Arquez</t>
  </si>
  <si>
    <t>David alejandro</t>
  </si>
  <si>
    <t>Fátima del Valle</t>
  </si>
  <si>
    <t>Johana Marcela</t>
  </si>
  <si>
    <t>basualdo</t>
  </si>
  <si>
    <t>Leandro</t>
  </si>
  <si>
    <t>Benavente</t>
  </si>
  <si>
    <t>Elida de Fatima</t>
  </si>
  <si>
    <t>Jorge Ignacio</t>
  </si>
  <si>
    <t>Demetri</t>
  </si>
  <si>
    <t>Carlos Alberto</t>
  </si>
  <si>
    <t>Jose Gustavo</t>
  </si>
  <si>
    <t>Díaz Fassola</t>
  </si>
  <si>
    <t>Adrian Ramiro</t>
  </si>
  <si>
    <t>Filipi</t>
  </si>
  <si>
    <t>Noelia Soledad</t>
  </si>
  <si>
    <t>Galias</t>
  </si>
  <si>
    <t>Emannuel David</t>
  </si>
  <si>
    <t>Fabio Daniel</t>
  </si>
  <si>
    <t>Humsjo</t>
  </si>
  <si>
    <t>Sergio Ruben</t>
  </si>
  <si>
    <t>Jiménez</t>
  </si>
  <si>
    <t>María Elena</t>
  </si>
  <si>
    <t>Liatto</t>
  </si>
  <si>
    <t>Carlos Martin</t>
  </si>
  <si>
    <t>Montilla</t>
  </si>
  <si>
    <t>Agustina maría Elena</t>
  </si>
  <si>
    <t>Moreno Ferullo</t>
  </si>
  <si>
    <t>Melany</t>
  </si>
  <si>
    <t>Juan José</t>
  </si>
  <si>
    <t>Maria Celeste</t>
  </si>
  <si>
    <t>Norma L.</t>
  </si>
  <si>
    <t>Raflo</t>
  </si>
  <si>
    <t>Flavia Belén</t>
  </si>
  <si>
    <t>Maria Marcela Del Valle</t>
  </si>
  <si>
    <t>Robledo</t>
  </si>
  <si>
    <t>Ricardo Daniel</t>
  </si>
  <si>
    <t>Rodríguez</t>
  </si>
  <si>
    <t>Andrés Nicolás</t>
  </si>
  <si>
    <t>Fernando Nicolás</t>
  </si>
  <si>
    <t>Sotelo</t>
  </si>
  <si>
    <t>Daniela</t>
  </si>
  <si>
    <t>Teseira</t>
  </si>
  <si>
    <t>Constanza Felicitas</t>
  </si>
  <si>
    <t>Villagra</t>
  </si>
  <si>
    <t>Olga Graciela</t>
  </si>
  <si>
    <t>Comunicación y Trabajo Equipo</t>
  </si>
  <si>
    <t>Arias Cassará</t>
  </si>
  <si>
    <t>Maria Lucrecia</t>
  </si>
  <si>
    <t>Danilovich</t>
  </si>
  <si>
    <t>Mariana Elizabeth</t>
  </si>
  <si>
    <t>Carolina Elizabeth del Valle</t>
  </si>
  <si>
    <t>Gil</t>
  </si>
  <si>
    <t>Diego Mauricio</t>
  </si>
  <si>
    <t>EXEQUIEL ELÍAS</t>
  </si>
  <si>
    <t>Lezama</t>
  </si>
  <si>
    <t>José Osvaldo Guy</t>
  </si>
  <si>
    <t>Manzur</t>
  </si>
  <si>
    <t>Marilina</t>
  </si>
  <si>
    <t>Merlini</t>
  </si>
  <si>
    <t>Ivana Micaela</t>
  </si>
  <si>
    <t>Rocha</t>
  </si>
  <si>
    <t>ROSS</t>
  </si>
  <si>
    <t>GLORIA ROMINA</t>
  </si>
  <si>
    <t>Sesto Cabral</t>
  </si>
  <si>
    <t>Tapia</t>
  </si>
  <si>
    <t>Pablo Ezequiel</t>
  </si>
  <si>
    <t>Torres Carro</t>
  </si>
  <si>
    <t>FERNANDO JESUS</t>
  </si>
  <si>
    <t>albarracin</t>
  </si>
  <si>
    <t>juan</t>
  </si>
  <si>
    <t>cesar rodolfo</t>
  </si>
  <si>
    <t>julio</t>
  </si>
  <si>
    <t>juarez</t>
  </si>
  <si>
    <t>jose antonio</t>
  </si>
  <si>
    <t>mamani</t>
  </si>
  <si>
    <t>manuel</t>
  </si>
  <si>
    <t>medina</t>
  </si>
  <si>
    <t>rafael</t>
  </si>
  <si>
    <t>ortiz</t>
  </si>
  <si>
    <t>hugo alfredo</t>
  </si>
  <si>
    <t>polijio</t>
  </si>
  <si>
    <t>daniel hernan</t>
  </si>
  <si>
    <t>zamora</t>
  </si>
  <si>
    <t>margarita</t>
  </si>
  <si>
    <t>ELENA DEL CARMEN</t>
  </si>
  <si>
    <t>ERIKA MABEL</t>
  </si>
  <si>
    <t>MORETA</t>
  </si>
  <si>
    <t>GABRIEL FEDERICO</t>
  </si>
  <si>
    <t>Albero</t>
  </si>
  <si>
    <t>Albornos</t>
  </si>
  <si>
    <t>Cáceres Mendoza</t>
  </si>
  <si>
    <t>Diaz Pinto</t>
  </si>
  <si>
    <t>Gonzalez Campero</t>
  </si>
  <si>
    <t>Guanco</t>
  </si>
  <si>
    <t>Ibañez Fernandez</t>
  </si>
  <si>
    <t>Juárez</t>
  </si>
  <si>
    <t>Lanciotti Herrera</t>
  </si>
  <si>
    <t>Lizarraga</t>
  </si>
  <si>
    <t>Mamani Baldasaria</t>
  </si>
  <si>
    <t>Nacusse</t>
  </si>
  <si>
    <t>Nallar</t>
  </si>
  <si>
    <t>Nieto</t>
  </si>
  <si>
    <t>Ocon Morata</t>
  </si>
  <si>
    <t>Paolantonio</t>
  </si>
  <si>
    <t>Martín Miguel</t>
  </si>
  <si>
    <t>Ana Laura</t>
  </si>
  <si>
    <t>Nilda Valeria</t>
  </si>
  <si>
    <t>Cristian Daniel</t>
  </si>
  <si>
    <t>Valentina</t>
  </si>
  <si>
    <t>Gabriel</t>
  </si>
  <si>
    <t>Sofia Luciana</t>
  </si>
  <si>
    <t>Pablo German</t>
  </si>
  <si>
    <t>Cynthia Eliana</t>
  </si>
  <si>
    <t>Liliana Verónica</t>
  </si>
  <si>
    <t>Myriam Melina</t>
  </si>
  <si>
    <t>Franco Tomás</t>
  </si>
  <si>
    <t>Daniel Eduardo</t>
  </si>
  <si>
    <t>Roque José</t>
  </si>
  <si>
    <t>Roque Javier</t>
  </si>
  <si>
    <t>Pablo Ismael</t>
  </si>
  <si>
    <t>Ben Altabef</t>
  </si>
  <si>
    <t>Mauricio Javier</t>
  </si>
  <si>
    <t>Emilia Agustina</t>
  </si>
  <si>
    <t>Luis Alejandro</t>
  </si>
  <si>
    <t>Lourdes Nelida</t>
  </si>
  <si>
    <t>Lautaro Benjamin</t>
  </si>
  <si>
    <t>Deolinda Azucena</t>
  </si>
  <si>
    <t>Solange Abigail</t>
  </si>
  <si>
    <t>Leornardo Exequiel</t>
  </si>
  <si>
    <t>Lucas Alejandro</t>
  </si>
  <si>
    <t>Andrea Daniela</t>
  </si>
  <si>
    <t>Marcos Javier</t>
  </si>
  <si>
    <t>Conociendo la UNT</t>
  </si>
  <si>
    <t xml:space="preserve">Definir pautas consensuadas DirComInst. </t>
  </si>
  <si>
    <t>Elab. de Manual de Proced. y su Implem.</t>
  </si>
  <si>
    <t>Desarrollo de compet' y habilid' liderazgo</t>
  </si>
  <si>
    <t>Desarrollo de compet' y Habilid' liderazgo</t>
  </si>
  <si>
    <t>Desaprobado</t>
  </si>
  <si>
    <t>No asistió</t>
  </si>
  <si>
    <t>No aplica</t>
  </si>
  <si>
    <t>No requiere nota final</t>
  </si>
  <si>
    <t>Registrado</t>
  </si>
  <si>
    <t xml:space="preserve">ÁLVAREZ </t>
  </si>
  <si>
    <t xml:space="preserve">MONICA BEATRIZ </t>
  </si>
  <si>
    <t>10/06/1970</t>
  </si>
  <si>
    <t>54</t>
  </si>
  <si>
    <t>3814623066</t>
  </si>
  <si>
    <t>Catedrade semiologia y clinica estomatologica</t>
  </si>
  <si>
    <t>16</t>
  </si>
  <si>
    <t>Od.monicabalvarez@gmail.com</t>
  </si>
  <si>
    <t>Florcifalcon98@gmail.com</t>
  </si>
  <si>
    <t>EVANGELINA</t>
  </si>
  <si>
    <t>19/01/1974</t>
  </si>
  <si>
    <t>51</t>
  </si>
  <si>
    <t>3816333304</t>
  </si>
  <si>
    <t>Lic.enfermeria</t>
  </si>
  <si>
    <t xml:space="preserve">Docencia, investigación en enfermería </t>
  </si>
  <si>
    <t>evangelinabeatrizsilva@gmail.com</t>
  </si>
  <si>
    <t xml:space="preserve">TORINO </t>
  </si>
  <si>
    <t>14/12/1967</t>
  </si>
  <si>
    <t>57</t>
  </si>
  <si>
    <t>3815544065</t>
  </si>
  <si>
    <t>Programador de sistenas</t>
  </si>
  <si>
    <t>Catedra Rotatorio Clinica Medica</t>
  </si>
  <si>
    <t xml:space="preserve">Jotorino@fm.unt.edu.ar </t>
  </si>
  <si>
    <t>20/04/1971</t>
  </si>
  <si>
    <t>53</t>
  </si>
  <si>
    <t>3815513336</t>
  </si>
  <si>
    <t>Fotografa</t>
  </si>
  <si>
    <t>Inst. de Matemáticas</t>
  </si>
  <si>
    <t>gracielamabeltorres20@gmail.com</t>
  </si>
  <si>
    <t>32</t>
  </si>
  <si>
    <t>zelayateran.unt@gmail.com</t>
  </si>
  <si>
    <t>14/11/1984</t>
  </si>
  <si>
    <t>40</t>
  </si>
  <si>
    <t>3815773289</t>
  </si>
  <si>
    <t>Médica Veterinaria</t>
  </si>
  <si>
    <t>Reserva Experimental Horco Molle</t>
  </si>
  <si>
    <t>elenacorrea@csnat.unt.edu.ar</t>
  </si>
  <si>
    <t>2/06/1989</t>
  </si>
  <si>
    <t>35</t>
  </si>
  <si>
    <t>3815900917</t>
  </si>
  <si>
    <t>erikafuensalida@csnat.unt.edu.ar</t>
  </si>
  <si>
    <t>JULIÁ</t>
  </si>
  <si>
    <t>6/11/1968</t>
  </si>
  <si>
    <t>56</t>
  </si>
  <si>
    <t>3815751449</t>
  </si>
  <si>
    <t>Lic. en Biología Orientación Zoología</t>
  </si>
  <si>
    <t xml:space="preserve">jupaju@csnat.unt.edu.ar </t>
  </si>
  <si>
    <t>14/12/1995</t>
  </si>
  <si>
    <t>29</t>
  </si>
  <si>
    <t>3815046417</t>
  </si>
  <si>
    <t>Nicolaslaguna95@gmail.com</t>
  </si>
  <si>
    <t>ANA SOFÍA</t>
  </si>
  <si>
    <t>3815296823</t>
  </si>
  <si>
    <t>sofiarotger230@gmail.com</t>
  </si>
  <si>
    <t>TANNURE</t>
  </si>
  <si>
    <t>29/12/1995</t>
  </si>
  <si>
    <t>3814654178</t>
  </si>
  <si>
    <t>florenciatannure@gmail.com</t>
  </si>
  <si>
    <t xml:space="preserve">YPA </t>
  </si>
  <si>
    <t xml:space="preserve">AGUSTINA </t>
  </si>
  <si>
    <t>18/02/1996</t>
  </si>
  <si>
    <t>28</t>
  </si>
  <si>
    <t>3814482647</t>
  </si>
  <si>
    <t xml:space="preserve">Licenciatura en ciencias biológicas </t>
  </si>
  <si>
    <t>agusypa18@gmail.com</t>
  </si>
  <si>
    <t>29/06/1973</t>
  </si>
  <si>
    <t>3815350000</t>
  </si>
  <si>
    <t>Profesorado Nivel Inicial</t>
  </si>
  <si>
    <t>Direccion Gral. Protecciíon Universitaria</t>
  </si>
  <si>
    <t>karina_cecchin@hotmail.com</t>
  </si>
  <si>
    <t xml:space="preserve">MAYRA DAIANA </t>
  </si>
  <si>
    <t>24/05/1993</t>
  </si>
  <si>
    <t>31</t>
  </si>
  <si>
    <t>3814026171</t>
  </si>
  <si>
    <t xml:space="preserve">Diseñadora textil e indumentaria </t>
  </si>
  <si>
    <t xml:space="preserve">Mesa de entradas </t>
  </si>
  <si>
    <t>Maydaiana60@gmail.com</t>
  </si>
  <si>
    <t xml:space="preserve">MARÍA CELESTE </t>
  </si>
  <si>
    <t>17/06/1991</t>
  </si>
  <si>
    <t>33</t>
  </si>
  <si>
    <t>3815113081</t>
  </si>
  <si>
    <t xml:space="preserve">Préstamo </t>
  </si>
  <si>
    <t>mcelepaez12@gmail.com</t>
  </si>
  <si>
    <t xml:space="preserve">QUIPILDOR </t>
  </si>
  <si>
    <t xml:space="preserve">MARCOS EMILIO </t>
  </si>
  <si>
    <t>1/04/1987</t>
  </si>
  <si>
    <t>37</t>
  </si>
  <si>
    <t>3816464369</t>
  </si>
  <si>
    <t xml:space="preserve">Mantenimiento </t>
  </si>
  <si>
    <t>kipituc0104@gmail.com</t>
  </si>
  <si>
    <t xml:space="preserve">BUSTOS ALBORNOZ </t>
  </si>
  <si>
    <t xml:space="preserve">ANA LUZ </t>
  </si>
  <si>
    <t>3/07/1987</t>
  </si>
  <si>
    <t>3814781648</t>
  </si>
  <si>
    <t>Perito Mercantil</t>
  </si>
  <si>
    <t>Dirección general de construcción universitaria</t>
  </si>
  <si>
    <t>analuz87@gmail.com</t>
  </si>
  <si>
    <t xml:space="preserve">IVANNA ARACELI </t>
  </si>
  <si>
    <t>9/06/1997</t>
  </si>
  <si>
    <t>27</t>
  </si>
  <si>
    <t>3816334106</t>
  </si>
  <si>
    <t xml:space="preserve">Técnica Mecánica Electricista </t>
  </si>
  <si>
    <t>Rendición de cuentas</t>
  </si>
  <si>
    <t>aracelicampos12@gmail.com</t>
  </si>
  <si>
    <t>CARRIZO REYES</t>
  </si>
  <si>
    <t>DOMINGO CARLOS DANTRE</t>
  </si>
  <si>
    <t>1/07/1975</t>
  </si>
  <si>
    <t>49</t>
  </si>
  <si>
    <t>3815010557</t>
  </si>
  <si>
    <t>ADMINISTRATIVA COMPRAS</t>
  </si>
  <si>
    <t>HEMEREGILDO@HOTMAIL.COM</t>
  </si>
  <si>
    <t>25/07/1996</t>
  </si>
  <si>
    <t>3816449435</t>
  </si>
  <si>
    <t>Contador público nacional</t>
  </si>
  <si>
    <t xml:space="preserve">Construcciones universitarias </t>
  </si>
  <si>
    <t xml:space="preserve">Lucializondo0@gmail.com </t>
  </si>
  <si>
    <t>FERNANDO JOSE</t>
  </si>
  <si>
    <t>28/06/1976</t>
  </si>
  <si>
    <t>48</t>
  </si>
  <si>
    <t>03816682340</t>
  </si>
  <si>
    <t>Dirección General de Construcciones Universitarias</t>
  </si>
  <si>
    <t>fernog2001@yahoo.com.ar</t>
  </si>
  <si>
    <t>MARTÍN MIGUEL</t>
  </si>
  <si>
    <t>Dir. Gral. Comisiones</t>
  </si>
  <si>
    <t>martinahumada@gmail.com</t>
  </si>
  <si>
    <t xml:space="preserve">ALBERO </t>
  </si>
  <si>
    <t>analauraalbero@gmail.com</t>
  </si>
  <si>
    <t>ALBORNOS</t>
  </si>
  <si>
    <t>NILDA VALERIA</t>
  </si>
  <si>
    <t>albornozvaleria@gmail.com</t>
  </si>
  <si>
    <t>CRISTIAN DANIEL</t>
  </si>
  <si>
    <t>britocristiandaniel@gmail.com</t>
  </si>
  <si>
    <t>CÁCERES MENDOZA</t>
  </si>
  <si>
    <t>Dir. Gestión de Calidad</t>
  </si>
  <si>
    <t>valentina.caceres@webmail.unt.edu.ar</t>
  </si>
  <si>
    <t>GONZALEZ CAMPERO</t>
  </si>
  <si>
    <t>SOFIA LUCIANA</t>
  </si>
  <si>
    <t>gonzalezsofis56@gmail.com</t>
  </si>
  <si>
    <t>PABLO GERMAN</t>
  </si>
  <si>
    <t>3813526689</t>
  </si>
  <si>
    <t>pabloguanco839@gmail.com</t>
  </si>
  <si>
    <t>IBAÑEZ FERNANDEZ</t>
  </si>
  <si>
    <t>CYNTHIA ELIANA</t>
  </si>
  <si>
    <t>fernandezcyn23@gmail.com</t>
  </si>
  <si>
    <t>LILIANA VERÓNICA</t>
  </si>
  <si>
    <t>veronica.juarez@filount.edu.ar</t>
  </si>
  <si>
    <t>LANCIOTTI HERRERA</t>
  </si>
  <si>
    <t>MYRIAM MELINA</t>
  </si>
  <si>
    <t>myriamlanciotti95@gmail.com</t>
  </si>
  <si>
    <t>FRANCO TOMÁS</t>
  </si>
  <si>
    <t>Dir.Gestión ed Calidad</t>
  </si>
  <si>
    <t>franco.lizarraga@webmail.unt.edu.ar</t>
  </si>
  <si>
    <t>daniellopezuthier@gmail.com</t>
  </si>
  <si>
    <t>MAMANI BALDASARIA</t>
  </si>
  <si>
    <t>ROQUE JOSÉ</t>
  </si>
  <si>
    <t>dipepe@hotmail.com</t>
  </si>
  <si>
    <t>ROQUE JAVIER</t>
  </si>
  <si>
    <t>Organica III</t>
  </si>
  <si>
    <t>roquejaviermendoza014@gmail.com</t>
  </si>
  <si>
    <t>NACUSSE</t>
  </si>
  <si>
    <t>PABLO ISMAEL</t>
  </si>
  <si>
    <t>pabloi.nacusse@webmail.unt.edu.ar</t>
  </si>
  <si>
    <t>MAURICIO JAVIER</t>
  </si>
  <si>
    <t xml:space="preserve"> Central</t>
  </si>
  <si>
    <t>mauriciojaviernieto046@gmail.com</t>
  </si>
  <si>
    <t>NALLAR</t>
  </si>
  <si>
    <t>BEN ALTABEF</t>
  </si>
  <si>
    <t>nallareli@gmail.com</t>
  </si>
  <si>
    <t>OCON MORATA</t>
  </si>
  <si>
    <t>EMILIA AGUSTINA</t>
  </si>
  <si>
    <t>ocon148@gmail.com</t>
  </si>
  <si>
    <t>LOURDES NELIDA</t>
  </si>
  <si>
    <t>lourdespaolantonio</t>
  </si>
  <si>
    <t>LAUTARO BENJAMIN</t>
  </si>
  <si>
    <t>ciudadela442@gmail.com</t>
  </si>
  <si>
    <t>lorocristian@gmail.com</t>
  </si>
  <si>
    <t>SOLANGE ABIGAIL</t>
  </si>
  <si>
    <t>solangerobles93@gmail.com</t>
  </si>
  <si>
    <t>LEONARDO EXEQUIEL</t>
  </si>
  <si>
    <t>roldanleonardo56@gmail.com</t>
  </si>
  <si>
    <t>LUCAS ALEJANDRO</t>
  </si>
  <si>
    <t xml:space="preserve">ANDREA DANIELA </t>
  </si>
  <si>
    <t>daniela.ums2210@gmail.com</t>
  </si>
  <si>
    <t>MARCOS JAVIER</t>
  </si>
  <si>
    <t>mvelardez@ct.unt.edu.ar</t>
  </si>
  <si>
    <t>FÁTIMA IMELDA</t>
  </si>
  <si>
    <t>26/03/0064</t>
  </si>
  <si>
    <t>60</t>
  </si>
  <si>
    <t>3815440102</t>
  </si>
  <si>
    <t>Cátedra de Neurología</t>
  </si>
  <si>
    <t>fátimaaguilar1964@gmail.com</t>
  </si>
  <si>
    <t xml:space="preserve">CLARA MARÍA </t>
  </si>
  <si>
    <t>28/05/1994</t>
  </si>
  <si>
    <t>3813432374</t>
  </si>
  <si>
    <t xml:space="preserve">Humanidades y Ciencias Sociales </t>
  </si>
  <si>
    <t xml:space="preserve">Arganarazc666@fm.unt.edu.ar </t>
  </si>
  <si>
    <t xml:space="preserve">BRAVO SCHIAVONE </t>
  </si>
  <si>
    <t>23/09/2023</t>
  </si>
  <si>
    <t>3814143682</t>
  </si>
  <si>
    <t xml:space="preserve">Técnico Universitario Fotografía </t>
  </si>
  <si>
    <t xml:space="preserve">Mesa de Entradas </t>
  </si>
  <si>
    <t>mbravo@fm.unt.edu.ar</t>
  </si>
  <si>
    <t>BUSTOS VALDEZ</t>
  </si>
  <si>
    <t xml:space="preserve">ROBERTO LEANDRO </t>
  </si>
  <si>
    <t>8/11/1986</t>
  </si>
  <si>
    <t>38</t>
  </si>
  <si>
    <t>3814472423</t>
  </si>
  <si>
    <t xml:space="preserve">Médico </t>
  </si>
  <si>
    <t xml:space="preserve">Sec Asuntos Estudiantiles </t>
  </si>
  <si>
    <t>leandrobustos2@fm.unt.edu.ar</t>
  </si>
  <si>
    <t>SABRINA JAEL</t>
  </si>
  <si>
    <t>9/10/2001</t>
  </si>
  <si>
    <t>23</t>
  </si>
  <si>
    <t>3816487919</t>
  </si>
  <si>
    <t xml:space="preserve">Técnico en gestión económica, jurídica y contable. </t>
  </si>
  <si>
    <t xml:space="preserve">Cátedra de Metodología de la Investigación </t>
  </si>
  <si>
    <t>sabrinajaelchazarreta@fm.unt.edu.ar</t>
  </si>
  <si>
    <t>8/10/1991</t>
  </si>
  <si>
    <t>3815099337</t>
  </si>
  <si>
    <t>Santiagoherrera1671@fm.unt.edu.ar</t>
  </si>
  <si>
    <t>BENJAMIN</t>
  </si>
  <si>
    <t>6/07/1983</t>
  </si>
  <si>
    <t>41</t>
  </si>
  <si>
    <t>3813513207</t>
  </si>
  <si>
    <t>Biologia</t>
  </si>
  <si>
    <t>benjaduro@gmail.com</t>
  </si>
  <si>
    <t>18/05/1971</t>
  </si>
  <si>
    <t>156281535</t>
  </si>
  <si>
    <t>Medicina Infanto Juvenil 1</t>
  </si>
  <si>
    <t>enriquejimenez1801@gmail.com</t>
  </si>
  <si>
    <t>27/01/1983</t>
  </si>
  <si>
    <t>42</t>
  </si>
  <si>
    <t>3816264248</t>
  </si>
  <si>
    <t>perito mercantil</t>
  </si>
  <si>
    <t>Juarezf@fm.unt.edu.ar</t>
  </si>
  <si>
    <t>LEGUIZAMÓN</t>
  </si>
  <si>
    <t>FACUNDO</t>
  </si>
  <si>
    <t>3/01/1990</t>
  </si>
  <si>
    <t>3816301807</t>
  </si>
  <si>
    <t>Técnico Superior en Higiene y Seguridad del Trabajo</t>
  </si>
  <si>
    <t>Junta Electoral</t>
  </si>
  <si>
    <t>fleguizamon7@gmail.com</t>
  </si>
  <si>
    <t>LISCHINSKY</t>
  </si>
  <si>
    <t>22/07/1988</t>
  </si>
  <si>
    <t>3816757421</t>
  </si>
  <si>
    <t xml:space="preserve">Lic. Educación fisica </t>
  </si>
  <si>
    <t>dlischinsky20@gmail.com</t>
  </si>
  <si>
    <t xml:space="preserve">SEBASTIAN WALDINO </t>
  </si>
  <si>
    <t>3814063705</t>
  </si>
  <si>
    <t xml:space="preserve">PSICOLOGO </t>
  </si>
  <si>
    <t xml:space="preserve">Dirección de Medios y Comunicación Institucional </t>
  </si>
  <si>
    <t>27/11/1993</t>
  </si>
  <si>
    <t>3814721644</t>
  </si>
  <si>
    <t>MLM92907@GMAIL.COM</t>
  </si>
  <si>
    <t xml:space="preserve">MARTINEZ </t>
  </si>
  <si>
    <t>NATALIA MARÍA EUGENIA</t>
  </si>
  <si>
    <t>12/11/1979</t>
  </si>
  <si>
    <t>45</t>
  </si>
  <si>
    <t>3815390381</t>
  </si>
  <si>
    <t>Procuradora</t>
  </si>
  <si>
    <t>Titulo de Posgrado</t>
  </si>
  <si>
    <t>nataliamartinez@fm.unt.edu.ar</t>
  </si>
  <si>
    <t xml:space="preserve">NAVARRO </t>
  </si>
  <si>
    <t xml:space="preserve">HORACIO </t>
  </si>
  <si>
    <t>3/02/1991</t>
  </si>
  <si>
    <t>34</t>
  </si>
  <si>
    <t>3814197936</t>
  </si>
  <si>
    <t xml:space="preserve">Bachillerato </t>
  </si>
  <si>
    <t>horaciorn.hn@gmail.com</t>
  </si>
  <si>
    <t>29/09/1969</t>
  </si>
  <si>
    <t>55</t>
  </si>
  <si>
    <t>3816268224</t>
  </si>
  <si>
    <t>Tecnica Superior  en Gestiön Univeria</t>
  </si>
  <si>
    <t>mariacelia69@fm.unt.edu.ar</t>
  </si>
  <si>
    <t xml:space="preserve">RIVERO COLOMBRES </t>
  </si>
  <si>
    <t xml:space="preserve">SANTIAGO </t>
  </si>
  <si>
    <t>5/03/1982</t>
  </si>
  <si>
    <t>3815814204</t>
  </si>
  <si>
    <t>santirivero@fm.unt.edu.ar</t>
  </si>
  <si>
    <t>GISELA NOEMI</t>
  </si>
  <si>
    <t>6/03/1990</t>
  </si>
  <si>
    <t>3815726350</t>
  </si>
  <si>
    <t xml:space="preserve">Secretaria Académica </t>
  </si>
  <si>
    <t xml:space="preserve">giselromano6@gmail.com </t>
  </si>
  <si>
    <t>17/04/1980</t>
  </si>
  <si>
    <t>44</t>
  </si>
  <si>
    <t>3815736485</t>
  </si>
  <si>
    <t>Esp. En GIRSU</t>
  </si>
  <si>
    <t>valeriavega.174@gmail.com</t>
  </si>
  <si>
    <t xml:space="preserve">ALBARRACIN GALVAN </t>
  </si>
  <si>
    <t xml:space="preserve">CONSTANZA MELINA </t>
  </si>
  <si>
    <t>25/05/1992</t>
  </si>
  <si>
    <t xml:space="preserve">Odontóloga </t>
  </si>
  <si>
    <t>Cátedra de Legal</t>
  </si>
  <si>
    <t>constanza.melina@hotmail.com</t>
  </si>
  <si>
    <t>MARICEL ALEJANDRA</t>
  </si>
  <si>
    <t>4/04/1971</t>
  </si>
  <si>
    <t>3816783948</t>
  </si>
  <si>
    <t>maricelbejas@gmail.com</t>
  </si>
  <si>
    <t>MARIA AYELEN</t>
  </si>
  <si>
    <t>22/01/1997</t>
  </si>
  <si>
    <t>3815510048</t>
  </si>
  <si>
    <t>macarrizo@csnat.unt.edu.ar</t>
  </si>
  <si>
    <t>FERES</t>
  </si>
  <si>
    <t>17/09/1992</t>
  </si>
  <si>
    <t>3865626894</t>
  </si>
  <si>
    <t>Ingeniero Agrónomo</t>
  </si>
  <si>
    <t>Botánica General</t>
  </si>
  <si>
    <t>federicoferes44@gmail.com</t>
  </si>
  <si>
    <t>25/04/1979</t>
  </si>
  <si>
    <t>3814666629</t>
  </si>
  <si>
    <t>Odontologo - Especialista en Protesis e Implantologia oral</t>
  </si>
  <si>
    <t>Legal y Forencw</t>
  </si>
  <si>
    <t>salecia@hotmail.com</t>
  </si>
  <si>
    <t xml:space="preserve">JIMÉNEZ </t>
  </si>
  <si>
    <t xml:space="preserve">BLANCA PAMELA </t>
  </si>
  <si>
    <t>3813539865</t>
  </si>
  <si>
    <t xml:space="preserve">Profesora de economía </t>
  </si>
  <si>
    <t>pj4266563@gmail.com</t>
  </si>
  <si>
    <t>26/06/1990</t>
  </si>
  <si>
    <t>3815855830</t>
  </si>
  <si>
    <t xml:space="preserve">Bioquímica </t>
  </si>
  <si>
    <t>Cecilialorca43@gmail.com</t>
  </si>
  <si>
    <t>MACIEL TALAVERA</t>
  </si>
  <si>
    <t>16/08/2023</t>
  </si>
  <si>
    <t>93816407290</t>
  </si>
  <si>
    <t>Centro de Información Geo Biolólogica del NOA</t>
  </si>
  <si>
    <t>mlmaciel@lillo.org.ar</t>
  </si>
  <si>
    <t>LISA BETTINA</t>
  </si>
  <si>
    <t>lisabeti70@gmail.com</t>
  </si>
  <si>
    <t xml:space="preserve">MUÑOZ BRAVO </t>
  </si>
  <si>
    <t xml:space="preserve">SANDRA RUTH </t>
  </si>
  <si>
    <t>12/12/1969</t>
  </si>
  <si>
    <t>3814478180</t>
  </si>
  <si>
    <t xml:space="preserve">sandraruth12@hotmail.com </t>
  </si>
  <si>
    <t xml:space="preserve">GUSTAVO </t>
  </si>
  <si>
    <t>22/08/1969</t>
  </si>
  <si>
    <t>3815876918</t>
  </si>
  <si>
    <t>labandadetuhermana@hotmail.com</t>
  </si>
  <si>
    <t>PIDUTTI</t>
  </si>
  <si>
    <t xml:space="preserve">AGOSTINA MARÍA </t>
  </si>
  <si>
    <t>29/11/1991</t>
  </si>
  <si>
    <t>3815602502</t>
  </si>
  <si>
    <t xml:space="preserve">Bioquimica </t>
  </si>
  <si>
    <t xml:space="preserve">Catedra de bacteriologia </t>
  </si>
  <si>
    <t>agospidutti@gmail.com</t>
  </si>
  <si>
    <t xml:space="preserve">RODRIGUEZ VAQUERO </t>
  </si>
  <si>
    <t xml:space="preserve">RAUL EDUARDO </t>
  </si>
  <si>
    <t>30/05/1979</t>
  </si>
  <si>
    <t>3814020111</t>
  </si>
  <si>
    <t xml:space="preserve">Ing Zootecnista </t>
  </si>
  <si>
    <t>Producción Animal</t>
  </si>
  <si>
    <t xml:space="preserve">r.rodriguezvaquero@gmail.com </t>
  </si>
  <si>
    <t xml:space="preserve">GLADIS SUSANA </t>
  </si>
  <si>
    <t>3/06/1984</t>
  </si>
  <si>
    <t>3804328168</t>
  </si>
  <si>
    <t xml:space="preserve">Lic. En Administración y Gestión en Instituciones de Educación Superior </t>
  </si>
  <si>
    <t xml:space="preserve">romerogladis20@gmail.com </t>
  </si>
  <si>
    <t>MARTÍN LEOPOLDO</t>
  </si>
  <si>
    <t>5/06/1978</t>
  </si>
  <si>
    <t>46</t>
  </si>
  <si>
    <t>5493816397220</t>
  </si>
  <si>
    <t>Programador Universitario</t>
  </si>
  <si>
    <t>msaleme@lillo.org.ar</t>
  </si>
  <si>
    <t xml:space="preserve">SAVINO </t>
  </si>
  <si>
    <t>LINA</t>
  </si>
  <si>
    <t>6/10/1987</t>
  </si>
  <si>
    <t>3815036917</t>
  </si>
  <si>
    <t xml:space="preserve">Ingeniero Zootecnista </t>
  </si>
  <si>
    <t>Departamento Producción Animal</t>
  </si>
  <si>
    <t xml:space="preserve">Linasavinosema@gmail.com </t>
  </si>
  <si>
    <t>SINGH</t>
  </si>
  <si>
    <t xml:space="preserve">FERNANDO JOSÉ </t>
  </si>
  <si>
    <t>27/04/1971</t>
  </si>
  <si>
    <t>3815849346</t>
  </si>
  <si>
    <t xml:space="preserve">Biofísica </t>
  </si>
  <si>
    <t>fernandojsingh@gmail.com</t>
  </si>
  <si>
    <t>CAMILA</t>
  </si>
  <si>
    <t>3814464621</t>
  </si>
  <si>
    <t>camipsico97@gmail.com</t>
  </si>
  <si>
    <t>HÉCTOR LEOPOLDO</t>
  </si>
  <si>
    <t>7/01/1976</t>
  </si>
  <si>
    <t>3816411890</t>
  </si>
  <si>
    <t>Departamento personal</t>
  </si>
  <si>
    <t>hectorleopoldo871@gmail.com</t>
  </si>
  <si>
    <t xml:space="preserve">ALMIIRÓN </t>
  </si>
  <si>
    <t>CLAUDIA VANESA</t>
  </si>
  <si>
    <t>7/04/1985</t>
  </si>
  <si>
    <t>39</t>
  </si>
  <si>
    <t>3816594042</t>
  </si>
  <si>
    <t xml:space="preserve">Vanesaalmiron979@gmail.com </t>
  </si>
  <si>
    <t xml:space="preserve">YANINA FERNANDA </t>
  </si>
  <si>
    <t>3814904606</t>
  </si>
  <si>
    <t xml:space="preserve">Departamento Personal </t>
  </si>
  <si>
    <t>Febeno@csnat.unt.edu.ar</t>
  </si>
  <si>
    <t>DIAZ BUCCI</t>
  </si>
  <si>
    <t>VICTOR MANUEL</t>
  </si>
  <si>
    <t>1/01/1985</t>
  </si>
  <si>
    <t>3815526378</t>
  </si>
  <si>
    <t xml:space="preserve">bachiller </t>
  </si>
  <si>
    <t>junta electoral</t>
  </si>
  <si>
    <t>elbabyman@hotmail.com</t>
  </si>
  <si>
    <t>TOMÁS ROBERTO JAVIER</t>
  </si>
  <si>
    <t>13/04/1979</t>
  </si>
  <si>
    <t>3813620371</t>
  </si>
  <si>
    <t>Profesor de Historia</t>
  </si>
  <si>
    <t>Direccion de Extension</t>
  </si>
  <si>
    <t>Trjgomez@herrera.unt.edu.ar</t>
  </si>
  <si>
    <t>MERIN</t>
  </si>
  <si>
    <t xml:space="preserve">MARIA SILVINA </t>
  </si>
  <si>
    <t>3816444162</t>
  </si>
  <si>
    <t xml:space="preserve">Economia y gestion de las organizaciones </t>
  </si>
  <si>
    <t>Mesa de Entrada</t>
  </si>
  <si>
    <t>silvinamerin95@gmail.com</t>
  </si>
  <si>
    <t>22/05/1986</t>
  </si>
  <si>
    <t>3816995432</t>
  </si>
  <si>
    <t>fede22.frp@gmail.com</t>
  </si>
  <si>
    <t xml:space="preserve">ROLDÁN </t>
  </si>
  <si>
    <t xml:space="preserve">JOSÉ RODRIGO </t>
  </si>
  <si>
    <t>8/09/2000</t>
  </si>
  <si>
    <t>24</t>
  </si>
  <si>
    <t>3816416471</t>
  </si>
  <si>
    <t xml:space="preserve">Economía </t>
  </si>
  <si>
    <t xml:space="preserve">Tesorería </t>
  </si>
  <si>
    <t xml:space="preserve">rodrigoroldan@csnat.unt.edu.ar </t>
  </si>
  <si>
    <t xml:space="preserve">JOSÉ LUIS </t>
  </si>
  <si>
    <t>30/04/1968</t>
  </si>
  <si>
    <t>3815946473</t>
  </si>
  <si>
    <t xml:space="preserve">Bachiller </t>
  </si>
  <si>
    <t xml:space="preserve">Jlrol@csnat.unt.edu.ar </t>
  </si>
  <si>
    <t>SILVERA ESTEVEZ</t>
  </si>
  <si>
    <t xml:space="preserve">ESTELITA DEL CARMEN </t>
  </si>
  <si>
    <t>26/02/1976</t>
  </si>
  <si>
    <t>3815344866</t>
  </si>
  <si>
    <t>Perita Mercantil</t>
  </si>
  <si>
    <t>Botanica</t>
  </si>
  <si>
    <t>eruiz@lillo.org.ar</t>
  </si>
  <si>
    <t>ARIAS CASSARÁ</t>
  </si>
  <si>
    <t>26/01/1983</t>
  </si>
  <si>
    <t>3813017829</t>
  </si>
  <si>
    <t>Lic.en Biotecnología</t>
  </si>
  <si>
    <t>INBIOFAL_Química Orgánica</t>
  </si>
  <si>
    <t>maria.ariascassara@fbqf.unt.edu.ar</t>
  </si>
  <si>
    <t>CAROLINA ELIZABETH DEL VALLE</t>
  </si>
  <si>
    <t>21/12/1982</t>
  </si>
  <si>
    <t>3813001608</t>
  </si>
  <si>
    <t xml:space="preserve">Lic en Biotecnología-Doctora en Cs. Químicas </t>
  </si>
  <si>
    <t>INBIOFAL_Instituto de Química Orgánica</t>
  </si>
  <si>
    <t>carolina.galvez@fbqf.unt.edu.ar</t>
  </si>
  <si>
    <t>GIL</t>
  </si>
  <si>
    <t>DIEGO MAURICIO</t>
  </si>
  <si>
    <t>2/07/1981</t>
  </si>
  <si>
    <t>43</t>
  </si>
  <si>
    <t>3816648550</t>
  </si>
  <si>
    <t>Doctor en Ciencias Químicas</t>
  </si>
  <si>
    <t>diegomauriciogil@gmail.com</t>
  </si>
  <si>
    <t>12/06/1989</t>
  </si>
  <si>
    <t>3814780479</t>
  </si>
  <si>
    <t xml:space="preserve">Lic. en Biotecnologia - Dr. en Ciencias Biologicas </t>
  </si>
  <si>
    <t>INBIOFAL_Biotecnología Farmaceutica y Alimentaria</t>
  </si>
  <si>
    <t>exequieleliasgonzalez@gmail.com</t>
  </si>
  <si>
    <t>LEZAMA</t>
  </si>
  <si>
    <t>JOSÉ OSVALDO GUY</t>
  </si>
  <si>
    <t>5/11/1987</t>
  </si>
  <si>
    <t>3816334963</t>
  </si>
  <si>
    <t>INBIOFAL_Química</t>
  </si>
  <si>
    <t>guy.lezama@gmail.com</t>
  </si>
  <si>
    <t>MARILINA</t>
  </si>
  <si>
    <t>24/11/1982</t>
  </si>
  <si>
    <t>+543863695757</t>
  </si>
  <si>
    <t>Lic. en Biotecnología</t>
  </si>
  <si>
    <t>INBIOFAL_Becarios</t>
  </si>
  <si>
    <t>marilinamanzur@hotmail.com</t>
  </si>
  <si>
    <t>MERLINI</t>
  </si>
  <si>
    <t>19/07/1991</t>
  </si>
  <si>
    <t>3816460150</t>
  </si>
  <si>
    <t xml:space="preserve">Licenciada en biotecnología </t>
  </si>
  <si>
    <t xml:space="preserve">INBIOFAL_Ciencias Química </t>
  </si>
  <si>
    <t xml:space="preserve">cami_merlini@hotmail.com </t>
  </si>
  <si>
    <t>IVANA MICAELA</t>
  </si>
  <si>
    <t>28/09/1993</t>
  </si>
  <si>
    <t>3815647267</t>
  </si>
  <si>
    <t>Lic. en Biotecnologia</t>
  </si>
  <si>
    <t>INFIOBAL_Becaria doctoral (investigacion)</t>
  </si>
  <si>
    <t>ivanamicaela28@gmail.com</t>
  </si>
  <si>
    <t>13/10/1984</t>
  </si>
  <si>
    <t>3815698378</t>
  </si>
  <si>
    <t>INBIFAL_Química Orgánica</t>
  </si>
  <si>
    <t>rochamarian@gmail.com</t>
  </si>
  <si>
    <t>10/03/1979</t>
  </si>
  <si>
    <t>3814447241</t>
  </si>
  <si>
    <t>Farmacéutica-Dra. en Bioquímica</t>
  </si>
  <si>
    <t>INBIOFAL_Laboratorio de Enfermedades Crónicas</t>
  </si>
  <si>
    <t>romiross23@yahoo.com.ar</t>
  </si>
  <si>
    <t>SESTO CABRAL</t>
  </si>
  <si>
    <t xml:space="preserve">MARÍA EUGENIA </t>
  </si>
  <si>
    <t>18/07/2022</t>
  </si>
  <si>
    <t>3814143210</t>
  </si>
  <si>
    <t>Farmacéutica, Lic en Química, Esp en Docencia Superior Universitaria, Dra en CS Químicas, Prof de Yoga</t>
  </si>
  <si>
    <t>INBIOFAL_Biotecnología Farmacéutica y Alimentaria</t>
  </si>
  <si>
    <t>eugenia.sestocabral@gmail.com</t>
  </si>
  <si>
    <t xml:space="preserve">PABLO EZEQUIEL </t>
  </si>
  <si>
    <t>21/08/1991</t>
  </si>
  <si>
    <t>03814449764</t>
  </si>
  <si>
    <t xml:space="preserve">INBIOFAL_Investigación </t>
  </si>
  <si>
    <t>pablotapia2108@gmail.com</t>
  </si>
  <si>
    <t>DÍAZ FASSOLA</t>
  </si>
  <si>
    <t>ADRIAN RAMIRO</t>
  </si>
  <si>
    <t>9/03/1976</t>
  </si>
  <si>
    <t>03814178865</t>
  </si>
  <si>
    <t xml:space="preserve">Profesor en Educación Física </t>
  </si>
  <si>
    <t>Cátedra de Handball</t>
  </si>
  <si>
    <t>proferamirodf@gmail.com</t>
  </si>
  <si>
    <t xml:space="preserve">FILIPI </t>
  </si>
  <si>
    <t xml:space="preserve">NOELIA SOLEDAD </t>
  </si>
  <si>
    <t>2/11/1988</t>
  </si>
  <si>
    <t>2/11/1988	3816227823</t>
  </si>
  <si>
    <t xml:space="preserve">Profesorado de Educación Física </t>
  </si>
  <si>
    <t xml:space="preserve">Dirección económico financiera </t>
  </si>
  <si>
    <t>profesolefilipi@gmail.com</t>
  </si>
  <si>
    <t>GALIAS</t>
  </si>
  <si>
    <t>EMANNUEL DAVID</t>
  </si>
  <si>
    <t>24/08/1978</t>
  </si>
  <si>
    <t>3816350229</t>
  </si>
  <si>
    <t xml:space="preserve">Secretaria de Extensión </t>
  </si>
  <si>
    <t>emannuelgalias@gmail.com</t>
  </si>
  <si>
    <t>LIATTO</t>
  </si>
  <si>
    <t>CARLOS MARTIN</t>
  </si>
  <si>
    <t>27/06/1994</t>
  </si>
  <si>
    <t>3815122106</t>
  </si>
  <si>
    <t>Profesor de Educacion Fisica</t>
  </si>
  <si>
    <t>Direccion Alumnos</t>
  </si>
  <si>
    <t>martin1994liatto@gmail.com</t>
  </si>
  <si>
    <t>MORENO FERULLO</t>
  </si>
  <si>
    <t>MELANY</t>
  </si>
  <si>
    <t>20/09/1990</t>
  </si>
  <si>
    <t>3816303932</t>
  </si>
  <si>
    <t>melany.morenof@gmail.com</t>
  </si>
  <si>
    <t>NAZAR</t>
  </si>
  <si>
    <t xml:space="preserve">MARÍA ALEJANDRA </t>
  </si>
  <si>
    <t>2/07/1992</t>
  </si>
  <si>
    <t>3815249386</t>
  </si>
  <si>
    <t xml:space="preserve">Profesora de educación física </t>
  </si>
  <si>
    <t>malejandranazar@gmail.com</t>
  </si>
  <si>
    <t xml:space="preserve">ORTEGA </t>
  </si>
  <si>
    <t xml:space="preserve">JUAN JOSÉ </t>
  </si>
  <si>
    <t>4/11/1964</t>
  </si>
  <si>
    <t>3815289793</t>
  </si>
  <si>
    <t xml:space="preserve">Dirección alumnos </t>
  </si>
  <si>
    <t>docjuanjoortega@gmail.com</t>
  </si>
  <si>
    <t xml:space="preserve">FERNANDO NICOLÁS </t>
  </si>
  <si>
    <t>21/06/1978</t>
  </si>
  <si>
    <t>3814755084</t>
  </si>
  <si>
    <t xml:space="preserve">Profesor en Educación física </t>
  </si>
  <si>
    <t xml:space="preserve">Fútbol </t>
  </si>
  <si>
    <t>nicosanchezelf@gmail.com</t>
  </si>
  <si>
    <t>TESEIRA</t>
  </si>
  <si>
    <t xml:space="preserve">CONSTANZA FELICITAS </t>
  </si>
  <si>
    <t>4/06/1999</t>
  </si>
  <si>
    <t>25</t>
  </si>
  <si>
    <t>3813314083</t>
  </si>
  <si>
    <t xml:space="preserve">Licenciada en Terapia Ocupacional </t>
  </si>
  <si>
    <t xml:space="preserve">Secretaría Académica </t>
  </si>
  <si>
    <t>feliteseirac@gmail.com</t>
  </si>
  <si>
    <t>Maria de los Angeles</t>
  </si>
  <si>
    <t>Nilda Fátima</t>
  </si>
  <si>
    <t>Böttcher</t>
  </si>
  <si>
    <t>Sabina Andrea</t>
  </si>
  <si>
    <t>Cabrera</t>
  </si>
  <si>
    <t>Melina Luciana</t>
  </si>
  <si>
    <t>Cardinale</t>
  </si>
  <si>
    <t>Marcela de Fatima</t>
  </si>
  <si>
    <t>Ariel Fernando</t>
  </si>
  <si>
    <t>Catalán Prina</t>
  </si>
  <si>
    <t>Alejandra noemi</t>
  </si>
  <si>
    <t>Dupuy salto</t>
  </si>
  <si>
    <t>Falcón</t>
  </si>
  <si>
    <t>García Santillán</t>
  </si>
  <si>
    <t>Guchea</t>
  </si>
  <si>
    <t>María Silvia</t>
  </si>
  <si>
    <t>Hilal</t>
  </si>
  <si>
    <t>Jere</t>
  </si>
  <si>
    <t>Germán Leonardo</t>
  </si>
  <si>
    <t>Paula Andrea</t>
  </si>
  <si>
    <t>Marisa Liliana</t>
  </si>
  <si>
    <t>Alejandro Elio</t>
  </si>
  <si>
    <t>Luna</t>
  </si>
  <si>
    <t>Masaguer</t>
  </si>
  <si>
    <t>Ana Teresita</t>
  </si>
  <si>
    <t>Molinillo Romero</t>
  </si>
  <si>
    <t>Ximena Constanza</t>
  </si>
  <si>
    <t>Maria Andrea</t>
  </si>
  <si>
    <t>Palou miceli</t>
  </si>
  <si>
    <t>Pedro Gabriel</t>
  </si>
  <si>
    <t>Mercedes Josefina</t>
  </si>
  <si>
    <t>Reynoso Trujillo</t>
  </si>
  <si>
    <t>Santillán</t>
  </si>
  <si>
    <t>María Paula</t>
  </si>
  <si>
    <t>VALDEZ JAÉN</t>
  </si>
  <si>
    <t>Valla</t>
  </si>
  <si>
    <t>Sandra Fabiana</t>
  </si>
  <si>
    <t>María marcela</t>
  </si>
  <si>
    <t>Zelaya Teran</t>
  </si>
  <si>
    <t>Cecilia Gabriela</t>
  </si>
  <si>
    <t>La Importancia de la Inteligenica Emocional en las Organizaciones</t>
  </si>
  <si>
    <t>27/01/0024</t>
  </si>
  <si>
    <t>patoabak@gmail.com</t>
  </si>
  <si>
    <t>angelesalbarracin1419@gmail.com</t>
  </si>
  <si>
    <t>Laualbarracin@csnat.unt.edu.ar</t>
  </si>
  <si>
    <t>nilda.alvarez@fbqf.unt.edu.ar</t>
  </si>
  <si>
    <t>sergioaragon@eue.unt.edu.ar</t>
  </si>
  <si>
    <t>gabiblancotuc@gmail.com</t>
  </si>
  <si>
    <t>Bottchersabina26@gmail.com</t>
  </si>
  <si>
    <t>melinalcabrera@gmail.com</t>
  </si>
  <si>
    <t>cardinalemarcela@gmail.com</t>
  </si>
  <si>
    <t>afc6127@gmail.com ferca2003@hotmail.com</t>
  </si>
  <si>
    <t>fercita45@gmail.com</t>
  </si>
  <si>
    <t>acervera737@gmail.com</t>
  </si>
  <si>
    <t>lourdesar2014@gmail.com</t>
  </si>
  <si>
    <t>marianagsantillan@gmail.com</t>
  </si>
  <si>
    <t>mariasilviaguchea@gmail.com</t>
  </si>
  <si>
    <t>martinhilal@yahoo.com.ar</t>
  </si>
  <si>
    <t>jmi-1983-69@outlook.com</t>
  </si>
  <si>
    <t>marisaj525@gmail.com</t>
  </si>
  <si>
    <t>alejandroeliolobo@gmail.com</t>
  </si>
  <si>
    <t>Lunita_375@hotmail.com</t>
  </si>
  <si>
    <t>marilynamed@hotmail.com.ar</t>
  </si>
  <si>
    <t>andyoliva1985@gmail.com</t>
  </si>
  <si>
    <t>Pedro.palou@fbqf.unt.edu.ar</t>
  </si>
  <si>
    <t>carlosreynosotrujillo@gmail.com</t>
  </si>
  <si>
    <t>mpaulassc@gmail.com</t>
  </si>
  <si>
    <t>mariajose.silvera@gmail.com</t>
  </si>
  <si>
    <t>jvj23@hotmail.com</t>
  </si>
  <si>
    <t>sandrafvalla@gmail.com</t>
  </si>
  <si>
    <t>vanessa.vargasmartin@fbqf.unt.edu.ar</t>
  </si>
  <si>
    <t>silsusyver@gmail.com</t>
  </si>
  <si>
    <t>horaciovirla@gmail.com</t>
  </si>
  <si>
    <t>Marceza33@hotmail.com</t>
  </si>
  <si>
    <t>Lic en Artes</t>
  </si>
  <si>
    <t>Estudiante de licenciatura en gestion universitaria</t>
  </si>
  <si>
    <t>Abogada</t>
  </si>
  <si>
    <t>Licenciado en Enfermería</t>
  </si>
  <si>
    <t>Orientación a seguridad pública</t>
  </si>
  <si>
    <t>Prof de Ciencias Biologicas</t>
  </si>
  <si>
    <t>Licenciada en Ciencias Biológicas</t>
  </si>
  <si>
    <t>Técnico Agropecuario</t>
  </si>
  <si>
    <t>Polimodal en Cs Sociales</t>
  </si>
  <si>
    <t>BACHILLER</t>
  </si>
  <si>
    <t>Profesorado de economía</t>
  </si>
  <si>
    <t>T. S. Gestión Universitaria</t>
  </si>
  <si>
    <t>Profesora para la EGB 3 y Educación Polimodal en Lengua</t>
  </si>
  <si>
    <t>Odontologo</t>
  </si>
  <si>
    <t>Técnico superior en obras viales</t>
  </si>
  <si>
    <t>Secundario</t>
  </si>
  <si>
    <t>Asistente dental</t>
  </si>
  <si>
    <t>Licenciada</t>
  </si>
  <si>
    <t>Prof. Ciencias Jurídicas y Contables. Y lic en gestion educativa</t>
  </si>
  <si>
    <t>Profesora de Danza Contemporánea</t>
  </si>
  <si>
    <t>Técnico superior en Comercio exterior y Aduanas</t>
  </si>
  <si>
    <t>Exonomia y gestión de las organizaciones</t>
  </si>
  <si>
    <t>Profesora en Educación Diferencial</t>
  </si>
  <si>
    <t>Arquitecto</t>
  </si>
  <si>
    <t>Tecnico en Gestion Económica, Juridica y Contable</t>
  </si>
  <si>
    <t>Técnico en Gestión Universitaria</t>
  </si>
  <si>
    <t>Especialista en Docencia Universitaria</t>
  </si>
  <si>
    <t>Fotografía e Inglés</t>
  </si>
  <si>
    <t>Lic en Comercialización</t>
  </si>
  <si>
    <t>Ingeniero en Sistemas de Información</t>
  </si>
  <si>
    <t>Tec en RRHH</t>
  </si>
  <si>
    <t>Sec. Gestión y Comunicación Institucional (Rec)</t>
  </si>
  <si>
    <t>TSGU -Fonoaudiologa</t>
  </si>
  <si>
    <t>Secretaría</t>
  </si>
  <si>
    <t>Direccion de Ambiente</t>
  </si>
  <si>
    <t>Asesoria letrada</t>
  </si>
  <si>
    <t>Centro de Simulación clínica</t>
  </si>
  <si>
    <t>Programas de Prevención</t>
  </si>
  <si>
    <t>Técnico/Profesional</t>
  </si>
  <si>
    <t>Materias Basicas</t>
  </si>
  <si>
    <t>Bioterio</t>
  </si>
  <si>
    <t>Escuela Sarmiento</t>
  </si>
  <si>
    <t>Fisiología</t>
  </si>
  <si>
    <t>Administración</t>
  </si>
  <si>
    <t>Depto Contable</t>
  </si>
  <si>
    <t>Idem</t>
  </si>
  <si>
    <t>No docente</t>
  </si>
  <si>
    <t>Sección alumnos</t>
  </si>
  <si>
    <t>Dirección de ambiente</t>
  </si>
  <si>
    <t>Lengua I, III y Literatura II</t>
  </si>
  <si>
    <t>Cátedra anatomia</t>
  </si>
  <si>
    <t>Mesa de Entrada de la FAZyV</t>
  </si>
  <si>
    <t>Economato</t>
  </si>
  <si>
    <t>Servicio de Higiene y Seguridad en el Trabajo</t>
  </si>
  <si>
    <t>Programa acción afirmativa</t>
  </si>
  <si>
    <t>Dirección Administrativa y contable</t>
  </si>
  <si>
    <t>Dpto Alumnos</t>
  </si>
  <si>
    <t>Docencia</t>
  </si>
  <si>
    <t>Dirección Administrativa</t>
  </si>
  <si>
    <t>Tecnica</t>
  </si>
  <si>
    <t>Auditoría salud mental</t>
  </si>
  <si>
    <t>Secretaría Administrativa</t>
  </si>
  <si>
    <t>Departamento Técnico Convenios</t>
  </si>
  <si>
    <t>DIRECCIÓN MESA DE ENTRADAS</t>
  </si>
  <si>
    <t>Contable</t>
  </si>
  <si>
    <t>Secretaría Academica</t>
  </si>
  <si>
    <t>BECAS</t>
  </si>
  <si>
    <t>Sec. Planeamiento, Gestión de Proy. y Obras (Rec)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</si>
</sst>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\ _€_-;\-* #,##0.00\ _€_-;_-* &quot;-&quot;??\ _€_-;_-@_-"/>
    <numFmt numFmtId="164" formatCode="dd/mm/yy"/>
    <numFmt numFmtId="165" formatCode="_-* #,##0.00\ [$€]_-;\-* #,##0.00\ [$€]_-;_-* &quot;-&quot;??\ [$€]_-;_-@_-"/>
    <numFmt numFmtId="166" formatCode="dd/mm/yy;@"/>
    <numFmt numFmtId="167" formatCode="_-* #,##0\ _€_-;\-* #,##0\ _€_-;_-* &quot;-&quot;??\ _€_-;_-@_-"/>
    <numFmt numFmtId="168" formatCode="dd\-mm\-yy;@"/>
  </numFmts>
  <fonts count="4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C00000"/>
      <name val="Arial"/>
      <family val="2"/>
    </font>
    <font>
      <sz val="11"/>
      <name val="Calibri"/>
      <family val="2"/>
      <scheme val="minor"/>
    </font>
    <font>
      <sz val="11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8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62"/>
      <name val="Cambria"/>
      <family val="1"/>
    </font>
    <font>
      <sz val="10"/>
      <name val="Verdana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9"/>
      <color rgb="FFC0000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indexed="44"/>
        <bgColor indexed="44"/>
      </patternFill>
    </fill>
    <fill>
      <patternFill patternType="lightUp">
        <fgColor indexed="9"/>
        <bgColor indexed="29"/>
      </patternFill>
    </fill>
    <fill>
      <patternFill patternType="solid">
        <fgColor indexed="31"/>
        <bgColor indexed="31"/>
      </patternFill>
    </fill>
    <fill>
      <patternFill patternType="solid">
        <fgColor indexed="27"/>
        <bgColor indexed="27"/>
      </patternFill>
    </fill>
    <fill>
      <patternFill patternType="solid">
        <fgColor indexed="55"/>
        <bgColor indexed="55"/>
      </patternFill>
    </fill>
    <fill>
      <patternFill patternType="solid">
        <fgColor indexed="22"/>
        <bgColor indexed="22"/>
      </patternFill>
    </fill>
    <fill>
      <patternFill patternType="lightUp">
        <fgColor indexed="9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2"/>
        <bgColor indexed="42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auto="1"/>
      </right>
      <top style="medium">
        <color theme="0" tint="-0.499984740745262"/>
      </top>
      <bottom style="thin">
        <color auto="1"/>
      </bottom>
      <diagonal/>
    </border>
    <border>
      <left style="thin">
        <color auto="1"/>
      </left>
      <right style="medium">
        <color theme="0" tint="-0.499984740745262"/>
      </right>
      <top style="medium">
        <color theme="0" tint="-0.499984740745262"/>
      </top>
      <bottom style="thin">
        <color auto="1"/>
      </bottom>
      <diagonal/>
    </border>
    <border>
      <left/>
      <right/>
      <top style="medium">
        <color theme="0" tint="-0.499984740745262"/>
      </top>
      <bottom/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</borders>
  <cellStyleXfs count="35">
    <xf numFmtId="0" fontId="0" fillId="0" borderId="0"/>
    <xf numFmtId="0" fontId="23" fillId="0" borderId="0"/>
    <xf numFmtId="0" fontId="20" fillId="0" borderId="0"/>
    <xf numFmtId="0" fontId="30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4" fillId="19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5" borderId="0" applyNumberFormat="0" applyBorder="0" applyAlignment="0" applyProtection="0"/>
    <xf numFmtId="0" fontId="26" fillId="18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5" fillId="20" borderId="0" applyNumberFormat="0" applyBorder="0" applyAlignment="0" applyProtection="0"/>
    <xf numFmtId="0" fontId="26" fillId="19" borderId="0" applyNumberFormat="0" applyBorder="0" applyAlignment="0" applyProtection="0"/>
    <xf numFmtId="0" fontId="26" fillId="17" borderId="0" applyNumberFormat="0" applyBorder="0" applyAlignment="0" applyProtection="0"/>
    <xf numFmtId="0" fontId="26" fillId="15" borderId="0" applyNumberFormat="0" applyBorder="0" applyAlignment="0" applyProtection="0"/>
    <xf numFmtId="165" fontId="28" fillId="0" borderId="0" applyFont="0" applyFill="0" applyBorder="0" applyAlignment="0" applyProtection="0"/>
    <xf numFmtId="0" fontId="20" fillId="0" borderId="0"/>
    <xf numFmtId="0" fontId="23" fillId="0" borderId="0"/>
    <xf numFmtId="0" fontId="26" fillId="12" borderId="0" applyNumberFormat="0" applyBorder="0" applyAlignment="0" applyProtection="0"/>
    <xf numFmtId="0" fontId="24" fillId="10" borderId="0" applyNumberFormat="0" applyBorder="0" applyAlignment="0" applyProtection="0"/>
    <xf numFmtId="0" fontId="25" fillId="16" borderId="0" applyNumberFormat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4" borderId="0" applyNumberFormat="0" applyBorder="0" applyAlignment="0" applyProtection="0"/>
    <xf numFmtId="0" fontId="26" fillId="13" borderId="0" applyNumberFormat="0" applyBorder="0" applyAlignment="0" applyProtection="0"/>
    <xf numFmtId="0" fontId="26" fillId="12" borderId="0" applyNumberFormat="0" applyBorder="0" applyAlignment="0" applyProtection="0"/>
    <xf numFmtId="0" fontId="25" fillId="11" borderId="0" applyNumberFormat="0" applyBorder="0" applyAlignment="0" applyProtection="0"/>
    <xf numFmtId="0" fontId="27" fillId="0" borderId="0" applyNumberFormat="0" applyFill="0" applyBorder="0" applyAlignment="0" applyProtection="0"/>
    <xf numFmtId="9" fontId="23" fillId="0" borderId="0" applyFont="0" applyFill="0" applyBorder="0" applyAlignment="0" applyProtection="0"/>
    <xf numFmtId="0" fontId="24" fillId="10" borderId="0" applyNumberFormat="0" applyBorder="0" applyAlignment="0" applyProtection="0"/>
    <xf numFmtId="0" fontId="22" fillId="0" borderId="0"/>
    <xf numFmtId="0" fontId="14" fillId="0" borderId="0" applyNumberFormat="0" applyFill="0" applyBorder="0" applyAlignment="0" applyProtection="0"/>
    <xf numFmtId="43" fontId="23" fillId="0" borderId="0" applyFont="0" applyFill="0" applyBorder="0" applyAlignment="0" applyProtection="0"/>
  </cellStyleXfs>
  <cellXfs count="271">
    <xf numFmtId="0" fontId="0" fillId="0" borderId="0" xfId="0"/>
    <xf numFmtId="0" fontId="23" fillId="0" borderId="0" xfId="1"/>
    <xf numFmtId="0" fontId="11" fillId="2" borderId="0" xfId="1" applyFont="1" applyFill="1" applyAlignment="1">
      <alignment horizontal="center" vertical="center"/>
    </xf>
    <xf numFmtId="0" fontId="23" fillId="2" borderId="0" xfId="1" applyFill="1"/>
    <xf numFmtId="0" fontId="12" fillId="0" borderId="0" xfId="0" applyFont="1" applyAlignment="1">
      <alignment horizontal="left"/>
    </xf>
    <xf numFmtId="0" fontId="0" fillId="0" borderId="0" xfId="1" applyFont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13" fillId="4" borderId="1" xfId="1" applyFont="1" applyFill="1" applyBorder="1" applyAlignment="1">
      <alignment horizontal="center" vertical="center"/>
    </xf>
    <xf numFmtId="0" fontId="14" fillId="0" borderId="0" xfId="33"/>
    <xf numFmtId="0" fontId="23" fillId="5" borderId="0" xfId="1" applyFill="1"/>
    <xf numFmtId="14" fontId="23" fillId="0" borderId="0" xfId="1" applyNumberFormat="1"/>
    <xf numFmtId="0" fontId="13" fillId="4" borderId="1" xfId="1" applyFont="1" applyFill="1" applyBorder="1" applyAlignment="1">
      <alignment horizontal="center" vertical="center" wrapText="1"/>
    </xf>
    <xf numFmtId="0" fontId="0" fillId="0" borderId="0" xfId="1" applyFont="1" applyAlignment="1">
      <alignment horizontal="center"/>
    </xf>
    <xf numFmtId="14" fontId="13" fillId="4" borderId="1" xfId="1" applyNumberFormat="1" applyFont="1" applyFill="1" applyBorder="1" applyAlignment="1">
      <alignment horizontal="center" vertical="center" wrapText="1"/>
    </xf>
    <xf numFmtId="0" fontId="0" fillId="0" borderId="0" xfId="1" applyFont="1" applyAlignment="1">
      <alignment horizontal="right"/>
    </xf>
    <xf numFmtId="0" fontId="23" fillId="0" borderId="0" xfId="1" applyAlignment="1">
      <alignment horizontal="right"/>
    </xf>
    <xf numFmtId="0" fontId="23" fillId="0" borderId="0" xfId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23" fillId="0" borderId="1" xfId="1" applyBorder="1" applyAlignment="1">
      <alignment horizontal="right"/>
    </xf>
    <xf numFmtId="0" fontId="23" fillId="0" borderId="1" xfId="1" applyBorder="1" applyAlignment="1">
      <alignment horizontal="left"/>
    </xf>
    <xf numFmtId="0" fontId="0" fillId="0" borderId="0" xfId="1" applyFont="1" applyAlignment="1">
      <alignment horizontal="left"/>
    </xf>
    <xf numFmtId="0" fontId="12" fillId="0" borderId="0" xfId="0" applyFont="1" applyAlignment="1">
      <alignment horizontal="right"/>
    </xf>
    <xf numFmtId="0" fontId="20" fillId="0" borderId="0" xfId="2"/>
    <xf numFmtId="0" fontId="21" fillId="9" borderId="1" xfId="0" applyFont="1" applyFill="1" applyBorder="1"/>
    <xf numFmtId="0" fontId="0" fillId="0" borderId="0" xfId="1" quotePrefix="1" applyFont="1"/>
    <xf numFmtId="0" fontId="0" fillId="0" borderId="1" xfId="1" applyFont="1" applyBorder="1" applyAlignment="1">
      <alignment horizontal="left"/>
    </xf>
    <xf numFmtId="3" fontId="0" fillId="6" borderId="0" xfId="0" applyNumberFormat="1" applyFill="1" applyAlignment="1">
      <alignment horizontal="right"/>
    </xf>
    <xf numFmtId="3" fontId="0" fillId="0" borderId="0" xfId="0" applyNumberFormat="1" applyAlignment="1">
      <alignment horizontal="right"/>
    </xf>
    <xf numFmtId="0" fontId="23" fillId="5" borderId="0" xfId="1" applyFill="1" applyAlignment="1">
      <alignment horizontal="left"/>
    </xf>
    <xf numFmtId="0" fontId="23" fillId="5" borderId="0" xfId="1" applyFill="1" applyAlignment="1">
      <alignment horizontal="right"/>
    </xf>
    <xf numFmtId="166" fontId="23" fillId="0" borderId="0" xfId="1" applyNumberFormat="1" applyAlignment="1">
      <alignment horizontal="right"/>
    </xf>
    <xf numFmtId="166" fontId="23" fillId="5" borderId="0" xfId="1" applyNumberFormat="1" applyFill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/>
    <xf numFmtId="1" fontId="33" fillId="3" borderId="0" xfId="0" applyNumberFormat="1" applyFont="1" applyFill="1" applyAlignment="1">
      <alignment horizontal="center" vertical="center"/>
    </xf>
    <xf numFmtId="0" fontId="33" fillId="3" borderId="0" xfId="0" applyFont="1" applyFill="1" applyAlignment="1">
      <alignment horizontal="center" vertical="center"/>
    </xf>
    <xf numFmtId="168" fontId="33" fillId="3" borderId="0" xfId="0" applyNumberFormat="1" applyFont="1" applyFill="1" applyAlignment="1">
      <alignment horizontal="right" vertical="center"/>
    </xf>
    <xf numFmtId="167" fontId="33" fillId="3" borderId="0" xfId="34" applyNumberFormat="1" applyFont="1" applyFill="1" applyAlignment="1">
      <alignment horizontal="left" vertical="center" indent="2"/>
    </xf>
    <xf numFmtId="0" fontId="33" fillId="3" borderId="0" xfId="0" applyFont="1" applyFill="1" applyAlignment="1">
      <alignment horizontal="right" vertical="center"/>
    </xf>
    <xf numFmtId="0" fontId="33" fillId="3" borderId="0" xfId="0" applyFont="1" applyFill="1" applyAlignment="1">
      <alignment horizontal="left" vertical="center"/>
    </xf>
    <xf numFmtId="0" fontId="34" fillId="0" borderId="0" xfId="0" applyFont="1"/>
    <xf numFmtId="1" fontId="34" fillId="0" borderId="0" xfId="0" applyNumberFormat="1" applyFont="1" applyAlignment="1">
      <alignment horizontal="right"/>
    </xf>
    <xf numFmtId="168" fontId="34" fillId="0" borderId="0" xfId="19" applyNumberFormat="1" applyFont="1" applyAlignment="1">
      <alignment horizontal="right"/>
    </xf>
    <xf numFmtId="167" fontId="34" fillId="0" borderId="0" xfId="34" applyNumberFormat="1" applyFont="1" applyAlignment="1">
      <alignment horizontal="left" indent="2"/>
    </xf>
    <xf numFmtId="0" fontId="34" fillId="0" borderId="0" xfId="0" applyFont="1" applyAlignment="1">
      <alignment horizontal="right"/>
    </xf>
    <xf numFmtId="0" fontId="34" fillId="8" borderId="0" xfId="0" applyFont="1" applyFill="1"/>
    <xf numFmtId="0" fontId="34" fillId="0" borderId="0" xfId="0" applyFont="1" applyAlignment="1">
      <alignment horizontal="left"/>
    </xf>
    <xf numFmtId="0" fontId="35" fillId="0" borderId="0" xfId="5" applyFont="1" applyAlignment="1" applyProtection="1">
      <alignment horizontal="left"/>
    </xf>
    <xf numFmtId="0" fontId="34" fillId="0" borderId="0" xfId="0" applyFont="1" applyAlignment="1">
      <alignment horizontal="left" vertical="center"/>
    </xf>
    <xf numFmtId="0" fontId="34" fillId="0" borderId="0" xfId="0" applyFont="1" applyAlignment="1">
      <alignment horizontal="center"/>
    </xf>
    <xf numFmtId="0" fontId="34" fillId="0" borderId="0" xfId="2" applyFont="1" applyAlignment="1">
      <alignment horizontal="left" vertical="center" wrapText="1"/>
    </xf>
    <xf numFmtId="0" fontId="34" fillId="0" borderId="0" xfId="2" applyFont="1" applyAlignment="1">
      <alignment horizontal="right"/>
    </xf>
    <xf numFmtId="0" fontId="34" fillId="0" borderId="0" xfId="5" applyFont="1" applyAlignment="1" applyProtection="1">
      <alignment horizontal="left"/>
    </xf>
    <xf numFmtId="0" fontId="10" fillId="0" borderId="0" xfId="0" applyFont="1"/>
    <xf numFmtId="1" fontId="34" fillId="0" borderId="0" xfId="4" applyNumberFormat="1" applyFont="1" applyAlignment="1">
      <alignment horizontal="right"/>
    </xf>
    <xf numFmtId="0" fontId="34" fillId="0" borderId="0" xfId="19" applyFont="1"/>
    <xf numFmtId="0" fontId="34" fillId="0" borderId="0" xfId="19" applyFont="1" applyAlignment="1">
      <alignment horizontal="left"/>
    </xf>
    <xf numFmtId="0" fontId="34" fillId="0" borderId="0" xfId="19" applyFont="1" applyAlignment="1">
      <alignment horizontal="right"/>
    </xf>
    <xf numFmtId="1" fontId="34" fillId="0" borderId="0" xfId="19" applyNumberFormat="1" applyFont="1" applyAlignment="1">
      <alignment horizontal="right"/>
    </xf>
    <xf numFmtId="0" fontId="34" fillId="0" borderId="0" xfId="0" applyFont="1" applyAlignment="1">
      <alignment horizontal="left" vertical="center" wrapText="1"/>
    </xf>
    <xf numFmtId="1" fontId="34" fillId="0" borderId="0" xfId="2" applyNumberFormat="1" applyFont="1" applyAlignment="1">
      <alignment horizontal="right"/>
    </xf>
    <xf numFmtId="0" fontId="34" fillId="0" borderId="0" xfId="2" applyFont="1" applyAlignment="1">
      <alignment wrapText="1"/>
    </xf>
    <xf numFmtId="168" fontId="34" fillId="0" borderId="0" xfId="0" applyNumberFormat="1" applyFont="1" applyAlignment="1">
      <alignment horizontal="right"/>
    </xf>
    <xf numFmtId="14" fontId="34" fillId="0" borderId="0" xfId="0" applyNumberFormat="1" applyFont="1"/>
    <xf numFmtId="14" fontId="34" fillId="0" borderId="0" xfId="0" applyNumberFormat="1" applyFont="1" applyAlignment="1">
      <alignment horizontal="left"/>
    </xf>
    <xf numFmtId="0" fontId="35" fillId="0" borderId="0" xfId="5" applyFont="1" applyAlignment="1" applyProtection="1"/>
    <xf numFmtId="0" fontId="34" fillId="0" borderId="0" xfId="0" applyFont="1" applyAlignment="1">
      <alignment horizontal="right" vertical="center"/>
    </xf>
    <xf numFmtId="14" fontId="34" fillId="0" borderId="0" xfId="0" applyNumberFormat="1" applyFont="1" applyAlignment="1">
      <alignment horizontal="right"/>
    </xf>
    <xf numFmtId="1" fontId="34" fillId="5" borderId="0" xfId="0" applyNumberFormat="1" applyFont="1" applyFill="1" applyAlignment="1">
      <alignment horizontal="right"/>
    </xf>
    <xf numFmtId="1" fontId="34" fillId="0" borderId="0" xfId="0" applyNumberFormat="1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35" fillId="0" borderId="0" xfId="5" applyFont="1" applyAlignment="1" applyProtection="1">
      <alignment horizontal="left" vertical="center"/>
    </xf>
    <xf numFmtId="0" fontId="36" fillId="0" borderId="0" xfId="33" applyFont="1" applyAlignment="1">
      <alignment horizontal="left"/>
    </xf>
    <xf numFmtId="0" fontId="35" fillId="0" borderId="0" xfId="5" applyFont="1" applyAlignment="1" applyProtection="1">
      <alignment horizontal="left" wrapText="1"/>
    </xf>
    <xf numFmtId="0" fontId="10" fillId="0" borderId="0" xfId="0" applyFont="1" applyFill="1" applyAlignment="1"/>
    <xf numFmtId="0" fontId="10" fillId="21" borderId="0" xfId="0" applyFont="1" applyFill="1" applyAlignment="1"/>
    <xf numFmtId="168" fontId="10" fillId="21" borderId="0" xfId="0" applyNumberFormat="1" applyFont="1" applyFill="1" applyAlignment="1">
      <alignment horizontal="right"/>
    </xf>
    <xf numFmtId="0" fontId="10" fillId="21" borderId="0" xfId="0" applyFont="1" applyFill="1" applyAlignment="1">
      <alignment horizontal="left"/>
    </xf>
    <xf numFmtId="168" fontId="10" fillId="0" borderId="0" xfId="0" applyNumberFormat="1" applyFont="1" applyFill="1" applyAlignment="1">
      <alignment horizontal="right"/>
    </xf>
    <xf numFmtId="0" fontId="10" fillId="0" borderId="0" xfId="0" quotePrefix="1" applyFont="1" applyFill="1" applyAlignment="1"/>
    <xf numFmtId="0" fontId="23" fillId="0" borderId="0" xfId="1" applyFill="1"/>
    <xf numFmtId="0" fontId="9" fillId="0" borderId="6" xfId="1" applyFont="1" applyFill="1" applyBorder="1" applyAlignment="1">
      <alignment horizontal="right"/>
    </xf>
    <xf numFmtId="0" fontId="9" fillId="0" borderId="2" xfId="1" applyFont="1" applyFill="1" applyBorder="1" applyAlignment="1">
      <alignment horizontal="left"/>
    </xf>
    <xf numFmtId="0" fontId="37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right"/>
    </xf>
    <xf numFmtId="0" fontId="9" fillId="0" borderId="2" xfId="0" applyFont="1" applyFill="1" applyBorder="1" applyAlignment="1">
      <alignment horizontal="left" wrapText="1"/>
    </xf>
    <xf numFmtId="168" fontId="9" fillId="0" borderId="2" xfId="1" applyNumberFormat="1" applyFont="1" applyFill="1" applyBorder="1" applyAlignment="1">
      <alignment horizontal="right"/>
    </xf>
    <xf numFmtId="0" fontId="9" fillId="0" borderId="0" xfId="0" applyFont="1" applyFill="1"/>
    <xf numFmtId="0" fontId="9" fillId="0" borderId="0" xfId="1" applyFont="1" applyFill="1"/>
    <xf numFmtId="3" fontId="9" fillId="0" borderId="6" xfId="0" applyNumberFormat="1" applyFont="1" applyFill="1" applyBorder="1" applyAlignment="1">
      <alignment horizontal="right"/>
    </xf>
    <xf numFmtId="0" fontId="34" fillId="0" borderId="2" xfId="0" applyFont="1" applyFill="1" applyBorder="1" applyAlignment="1">
      <alignment horizontal="center" vertical="center"/>
    </xf>
    <xf numFmtId="0" fontId="9" fillId="0" borderId="2" xfId="1" applyFont="1" applyFill="1" applyBorder="1" applyAlignment="1">
      <alignment horizontal="center" vertical="center"/>
    </xf>
    <xf numFmtId="168" fontId="9" fillId="0" borderId="2" xfId="0" applyNumberFormat="1" applyFont="1" applyFill="1" applyBorder="1" applyAlignment="1">
      <alignment horizontal="right"/>
    </xf>
    <xf numFmtId="0" fontId="34" fillId="0" borderId="2" xfId="0" applyFont="1" applyFill="1" applyBorder="1" applyAlignment="1">
      <alignment horizontal="left"/>
    </xf>
    <xf numFmtId="0" fontId="34" fillId="0" borderId="6" xfId="1" applyNumberFormat="1" applyFont="1" applyFill="1" applyBorder="1" applyAlignment="1">
      <alignment horizontal="right"/>
    </xf>
    <xf numFmtId="0" fontId="9" fillId="0" borderId="2" xfId="0" applyFont="1" applyFill="1" applyBorder="1" applyAlignment="1">
      <alignment horizontal="left" vertical="center"/>
    </xf>
    <xf numFmtId="0" fontId="9" fillId="0" borderId="6" xfId="0" applyNumberFormat="1" applyFont="1" applyFill="1" applyBorder="1" applyAlignment="1">
      <alignment horizontal="right" wrapText="1"/>
    </xf>
    <xf numFmtId="0" fontId="9" fillId="0" borderId="6" xfId="0" applyNumberFormat="1" applyFont="1" applyFill="1" applyBorder="1" applyAlignment="1">
      <alignment horizontal="right"/>
    </xf>
    <xf numFmtId="0" fontId="37" fillId="0" borderId="6" xfId="0" applyFont="1" applyFill="1" applyBorder="1" applyAlignment="1">
      <alignment horizontal="right" wrapText="1"/>
    </xf>
    <xf numFmtId="0" fontId="37" fillId="0" borderId="2" xfId="0" applyFont="1" applyFill="1" applyBorder="1" applyAlignment="1">
      <alignment horizontal="left" wrapText="1"/>
    </xf>
    <xf numFmtId="166" fontId="9" fillId="0" borderId="2" xfId="1" applyNumberFormat="1" applyFont="1" applyFill="1" applyBorder="1" applyAlignment="1">
      <alignment horizontal="left"/>
    </xf>
    <xf numFmtId="0" fontId="34" fillId="0" borderId="2" xfId="0" applyFont="1" applyFill="1" applyBorder="1" applyAlignment="1">
      <alignment horizontal="left" wrapText="1"/>
    </xf>
    <xf numFmtId="0" fontId="9" fillId="0" borderId="0" xfId="1" applyFont="1" applyFill="1" applyAlignment="1">
      <alignment horizontal="right"/>
    </xf>
    <xf numFmtId="0" fontId="9" fillId="0" borderId="0" xfId="1" applyFont="1" applyFill="1" applyAlignment="1">
      <alignment horizontal="left"/>
    </xf>
    <xf numFmtId="168" fontId="9" fillId="0" borderId="0" xfId="1" applyNumberFormat="1" applyFont="1" applyFill="1" applyAlignment="1">
      <alignment horizontal="right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right"/>
    </xf>
    <xf numFmtId="0" fontId="34" fillId="0" borderId="0" xfId="0" applyFont="1" applyFill="1" applyAlignment="1">
      <alignment horizontal="right"/>
    </xf>
    <xf numFmtId="0" fontId="34" fillId="0" borderId="0" xfId="0" applyFont="1" applyFill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0" xfId="0" applyFont="1" applyFill="1" applyAlignment="1">
      <alignment horizontal="right" vertical="center"/>
    </xf>
    <xf numFmtId="0" fontId="9" fillId="0" borderId="0" xfId="0" applyFont="1" applyFill="1" applyAlignment="1">
      <alignment horizontal="left" vertical="center"/>
    </xf>
    <xf numFmtId="164" fontId="37" fillId="0" borderId="0" xfId="1" applyNumberFormat="1" applyFont="1" applyFill="1" applyAlignment="1">
      <alignment horizontal="left"/>
    </xf>
    <xf numFmtId="0" fontId="33" fillId="0" borderId="0" xfId="1" applyFont="1" applyFill="1" applyAlignment="1">
      <alignment horizontal="center" vertical="center"/>
    </xf>
    <xf numFmtId="168" fontId="9" fillId="0" borderId="0" xfId="0" applyNumberFormat="1" applyFont="1" applyFill="1" applyAlignment="1">
      <alignment horizontal="right"/>
    </xf>
    <xf numFmtId="0" fontId="11" fillId="2" borderId="8" xfId="1" applyFont="1" applyFill="1" applyBorder="1" applyAlignment="1">
      <alignment horizontal="center" vertical="center"/>
    </xf>
    <xf numFmtId="0" fontId="11" fillId="2" borderId="9" xfId="1" applyFont="1" applyFill="1" applyBorder="1" applyAlignment="1">
      <alignment horizontal="center" vertical="center"/>
    </xf>
    <xf numFmtId="0" fontId="23" fillId="0" borderId="10" xfId="1" applyBorder="1"/>
    <xf numFmtId="0" fontId="23" fillId="0" borderId="11" xfId="1" applyBorder="1"/>
    <xf numFmtId="0" fontId="23" fillId="0" borderId="12" xfId="1" applyBorder="1"/>
    <xf numFmtId="0" fontId="23" fillId="0" borderId="13" xfId="1" applyBorder="1"/>
    <xf numFmtId="0" fontId="11" fillId="2" borderId="14" xfId="1" applyFont="1" applyFill="1" applyBorder="1" applyAlignment="1">
      <alignment horizontal="center" vertical="center"/>
    </xf>
    <xf numFmtId="0" fontId="11" fillId="2" borderId="15" xfId="1" applyFont="1" applyFill="1" applyBorder="1" applyAlignment="1">
      <alignment horizontal="center" vertical="center"/>
    </xf>
    <xf numFmtId="0" fontId="11" fillId="2" borderId="16" xfId="1" applyFont="1" applyFill="1" applyBorder="1" applyAlignment="1">
      <alignment horizontal="center" vertical="center"/>
    </xf>
    <xf numFmtId="0" fontId="0" fillId="0" borderId="0" xfId="1" applyFont="1" applyBorder="1"/>
    <xf numFmtId="0" fontId="0" fillId="0" borderId="11" xfId="1" applyFont="1" applyBorder="1"/>
    <xf numFmtId="0" fontId="23" fillId="0" borderId="0" xfId="1" applyBorder="1" applyAlignment="1">
      <alignment vertical="center"/>
    </xf>
    <xf numFmtId="0" fontId="0" fillId="0" borderId="11" xfId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9" fillId="0" borderId="17" xfId="1" applyFont="1" applyBorder="1"/>
    <xf numFmtId="0" fontId="9" fillId="0" borderId="13" xfId="1" applyFont="1" applyBorder="1"/>
    <xf numFmtId="0" fontId="0" fillId="0" borderId="11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3" xfId="0" applyBorder="1" applyAlignment="1">
      <alignment vertical="center" wrapText="1"/>
    </xf>
    <xf numFmtId="0" fontId="11" fillId="2" borderId="18" xfId="1" applyFont="1" applyFill="1" applyBorder="1" applyAlignment="1">
      <alignment horizontal="center" vertical="center"/>
    </xf>
    <xf numFmtId="0" fontId="23" fillId="0" borderId="19" xfId="1" applyBorder="1"/>
    <xf numFmtId="0" fontId="23" fillId="0" borderId="20" xfId="1" applyBorder="1"/>
    <xf numFmtId="168" fontId="8" fillId="0" borderId="2" xfId="1" applyNumberFormat="1" applyFont="1" applyFill="1" applyBorder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34" fillId="0" borderId="0" xfId="0" applyNumberFormat="1" applyFont="1" applyAlignment="1">
      <alignment horizontal="right"/>
    </xf>
    <xf numFmtId="0" fontId="34" fillId="0" borderId="0" xfId="0" applyNumberFormat="1" applyFont="1"/>
    <xf numFmtId="0" fontId="34" fillId="0" borderId="0" xfId="0" applyNumberFormat="1" applyFont="1" applyAlignment="1">
      <alignment horizontal="center"/>
    </xf>
    <xf numFmtId="0" fontId="34" fillId="0" borderId="0" xfId="19" applyNumberFormat="1" applyFont="1" applyAlignment="1">
      <alignment horizontal="right"/>
    </xf>
    <xf numFmtId="0" fontId="7" fillId="0" borderId="0" xfId="1" applyFont="1" applyFill="1" applyBorder="1" applyAlignment="1">
      <alignment horizontal="right"/>
    </xf>
    <xf numFmtId="0" fontId="23" fillId="0" borderId="2" xfId="1" applyBorder="1" applyAlignment="1">
      <alignment horizontal="right"/>
    </xf>
    <xf numFmtId="0" fontId="34" fillId="0" borderId="0" xfId="1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0" fontId="0" fillId="6" borderId="2" xfId="0" applyFill="1" applyBorder="1" applyAlignment="1">
      <alignment horizontal="right"/>
    </xf>
    <xf numFmtId="3" fontId="7" fillId="0" borderId="0" xfId="0" applyNumberFormat="1" applyFon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7" fillId="0" borderId="0" xfId="0" applyNumberFormat="1" applyFont="1" applyFill="1" applyBorder="1" applyAlignment="1">
      <alignment horizontal="right" wrapText="1"/>
    </xf>
    <xf numFmtId="0" fontId="0" fillId="0" borderId="0" xfId="0" applyBorder="1" applyAlignment="1">
      <alignment horizontal="right"/>
    </xf>
    <xf numFmtId="0" fontId="23" fillId="0" borderId="0" xfId="1" applyBorder="1" applyAlignment="1">
      <alignment horizontal="right"/>
    </xf>
    <xf numFmtId="0" fontId="23" fillId="0" borderId="21" xfId="1" applyBorder="1" applyAlignment="1">
      <alignment horizontal="right"/>
    </xf>
    <xf numFmtId="0" fontId="15" fillId="0" borderId="2" xfId="0" applyFont="1" applyBorder="1" applyAlignment="1">
      <alignment horizontal="right" vertical="center"/>
    </xf>
    <xf numFmtId="0" fontId="12" fillId="0" borderId="1" xfId="0" applyFont="1" applyBorder="1" applyAlignment="1">
      <alignment horizontal="right"/>
    </xf>
    <xf numFmtId="0" fontId="37" fillId="0" borderId="0" xfId="0" applyFont="1" applyFill="1" applyBorder="1" applyAlignment="1">
      <alignment horizontal="right" wrapText="1"/>
    </xf>
    <xf numFmtId="0" fontId="0" fillId="6" borderId="0" xfId="0" applyFill="1" applyBorder="1" applyAlignment="1">
      <alignment horizontal="right"/>
    </xf>
    <xf numFmtId="0" fontId="7" fillId="0" borderId="0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 wrapText="1"/>
    </xf>
    <xf numFmtId="0" fontId="23" fillId="0" borderId="2" xfId="1" applyBorder="1" applyAlignment="1">
      <alignment horizontal="left"/>
    </xf>
    <xf numFmtId="0" fontId="9" fillId="0" borderId="0" xfId="1" applyFont="1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/>
    </xf>
    <xf numFmtId="0" fontId="0" fillId="0" borderId="2" xfId="1" applyFont="1" applyBorder="1" applyAlignment="1">
      <alignment horizontal="left"/>
    </xf>
    <xf numFmtId="0" fontId="0" fillId="0" borderId="2" xfId="0" applyBorder="1" applyAlignment="1">
      <alignment horizontal="left"/>
    </xf>
    <xf numFmtId="166" fontId="9" fillId="0" borderId="0" xfId="1" applyNumberFormat="1" applyFont="1" applyFill="1" applyBorder="1" applyAlignment="1">
      <alignment horizontal="left"/>
    </xf>
    <xf numFmtId="0" fontId="37" fillId="0" borderId="0" xfId="0" applyFont="1" applyFill="1" applyBorder="1" applyAlignment="1">
      <alignment horizontal="left" wrapText="1"/>
    </xf>
    <xf numFmtId="0" fontId="0" fillId="0" borderId="0" xfId="0" applyBorder="1" applyAlignment="1">
      <alignment horizontal="left"/>
    </xf>
    <xf numFmtId="0" fontId="23" fillId="0" borderId="0" xfId="1" applyBorder="1" applyAlignment="1">
      <alignment horizontal="left"/>
    </xf>
    <xf numFmtId="0" fontId="7" fillId="0" borderId="0" xfId="0" applyFont="1" applyFill="1" applyBorder="1" applyAlignment="1">
      <alignment horizontal="left" wrapText="1"/>
    </xf>
    <xf numFmtId="0" fontId="0" fillId="0" borderId="21" xfId="1" applyFont="1" applyBorder="1" applyAlignment="1">
      <alignment horizontal="left"/>
    </xf>
    <xf numFmtId="0" fontId="15" fillId="0" borderId="2" xfId="0" applyFont="1" applyBorder="1" applyAlignment="1">
      <alignment horizontal="left" vertical="center"/>
    </xf>
    <xf numFmtId="164" fontId="16" fillId="0" borderId="2" xfId="1" applyNumberFormat="1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37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 wrapText="1"/>
    </xf>
    <xf numFmtId="0" fontId="0" fillId="6" borderId="0" xfId="0" applyFill="1" applyBorder="1" applyAlignment="1">
      <alignment horizontal="left"/>
    </xf>
    <xf numFmtId="0" fontId="0" fillId="0" borderId="0" xfId="1" applyFont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17" fillId="0" borderId="2" xfId="0" applyFont="1" applyBorder="1" applyAlignment="1">
      <alignment horizontal="left"/>
    </xf>
    <xf numFmtId="0" fontId="0" fillId="0" borderId="2" xfId="1" applyFont="1" applyBorder="1"/>
    <xf numFmtId="0" fontId="23" fillId="0" borderId="2" xfId="1" applyBorder="1"/>
    <xf numFmtId="0" fontId="0" fillId="6" borderId="2" xfId="0" applyFill="1" applyBorder="1"/>
    <xf numFmtId="0" fontId="7" fillId="0" borderId="0" xfId="1" applyFont="1" applyFill="1" applyBorder="1" applyAlignment="1">
      <alignment horizontal="left"/>
    </xf>
    <xf numFmtId="0" fontId="0" fillId="0" borderId="21" xfId="1" applyFont="1" applyBorder="1"/>
    <xf numFmtId="0" fontId="0" fillId="0" borderId="2" xfId="0" applyBorder="1"/>
    <xf numFmtId="166" fontId="23" fillId="0" borderId="2" xfId="1" applyNumberFormat="1" applyBorder="1" applyAlignment="1">
      <alignment horizontal="right"/>
    </xf>
    <xf numFmtId="166" fontId="0" fillId="0" borderId="2" xfId="1" applyNumberFormat="1" applyFont="1" applyBorder="1" applyAlignment="1">
      <alignment horizontal="right"/>
    </xf>
    <xf numFmtId="166" fontId="0" fillId="0" borderId="21" xfId="0" applyNumberFormat="1" applyBorder="1"/>
    <xf numFmtId="166" fontId="9" fillId="0" borderId="0" xfId="1" applyNumberFormat="1" applyFont="1" applyFill="1" applyBorder="1" applyAlignment="1">
      <alignment horizontal="right"/>
    </xf>
    <xf numFmtId="166" fontId="7" fillId="0" borderId="0" xfId="1" applyNumberFormat="1" applyFont="1" applyFill="1" applyBorder="1" applyAlignment="1">
      <alignment horizontal="right"/>
    </xf>
    <xf numFmtId="166" fontId="9" fillId="0" borderId="0" xfId="0" applyNumberFormat="1" applyFont="1" applyFill="1" applyBorder="1" applyAlignment="1">
      <alignment horizontal="right"/>
    </xf>
    <xf numFmtId="166" fontId="8" fillId="0" borderId="0" xfId="1" applyNumberFormat="1" applyFont="1" applyFill="1" applyBorder="1" applyAlignment="1">
      <alignment horizontal="right"/>
    </xf>
    <xf numFmtId="0" fontId="6" fillId="0" borderId="0" xfId="0" applyFont="1" applyFill="1" applyBorder="1" applyAlignment="1">
      <alignment horizontal="left" wrapText="1"/>
    </xf>
    <xf numFmtId="0" fontId="33" fillId="7" borderId="0" xfId="1" applyFont="1" applyFill="1" applyAlignment="1">
      <alignment horizontal="right" vertical="center"/>
    </xf>
    <xf numFmtId="0" fontId="33" fillId="7" borderId="0" xfId="1" applyFont="1" applyFill="1" applyAlignment="1">
      <alignment horizontal="left" vertical="center"/>
    </xf>
    <xf numFmtId="0" fontId="33" fillId="7" borderId="0" xfId="1" applyFont="1" applyFill="1" applyAlignment="1">
      <alignment vertical="center"/>
    </xf>
    <xf numFmtId="166" fontId="33" fillId="7" borderId="0" xfId="1" applyNumberFormat="1" applyFont="1" applyFill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9" fillId="0" borderId="3" xfId="1" applyFont="1" applyFill="1" applyBorder="1" applyAlignment="1">
      <alignment horizontal="right"/>
    </xf>
    <xf numFmtId="0" fontId="9" fillId="0" borderId="4" xfId="1" applyFont="1" applyFill="1" applyBorder="1" applyAlignment="1">
      <alignment horizontal="left"/>
    </xf>
    <xf numFmtId="168" fontId="9" fillId="0" borderId="4" xfId="1" applyNumberFormat="1" applyFont="1" applyFill="1" applyBorder="1" applyAlignment="1">
      <alignment horizontal="right"/>
    </xf>
    <xf numFmtId="0" fontId="9" fillId="0" borderId="4" xfId="0" applyFont="1" applyFill="1" applyBorder="1" applyAlignment="1">
      <alignment horizontal="center" vertical="center"/>
    </xf>
    <xf numFmtId="0" fontId="9" fillId="0" borderId="0" xfId="0" applyFont="1" applyFill="1" applyBorder="1"/>
    <xf numFmtId="0" fontId="38" fillId="4" borderId="2" xfId="1" applyFont="1" applyFill="1" applyBorder="1" applyAlignment="1">
      <alignment horizontal="left"/>
    </xf>
    <xf numFmtId="0" fontId="9" fillId="0" borderId="4" xfId="0" applyFont="1" applyFill="1" applyBorder="1" applyAlignment="1">
      <alignment horizontal="left" wrapText="1"/>
    </xf>
    <xf numFmtId="0" fontId="38" fillId="4" borderId="2" xfId="1" applyFont="1" applyFill="1" applyBorder="1" applyAlignment="1">
      <alignment horizontal="right"/>
    </xf>
    <xf numFmtId="1" fontId="9" fillId="0" borderId="5" xfId="0" applyNumberFormat="1" applyFont="1" applyFill="1" applyBorder="1" applyAlignment="1">
      <alignment horizontal="right"/>
    </xf>
    <xf numFmtId="0" fontId="8" fillId="0" borderId="0" xfId="0" applyFont="1" applyFill="1" applyAlignment="1">
      <alignment horizontal="right"/>
    </xf>
    <xf numFmtId="1" fontId="9" fillId="0" borderId="7" xfId="0" applyNumberFormat="1" applyFont="1" applyFill="1" applyBorder="1" applyAlignment="1">
      <alignment horizontal="right"/>
    </xf>
    <xf numFmtId="0" fontId="8" fillId="0" borderId="0" xfId="1" applyFont="1" applyFill="1" applyAlignment="1">
      <alignment horizontal="right"/>
    </xf>
    <xf numFmtId="1" fontId="9" fillId="0" borderId="0" xfId="0" applyNumberFormat="1" applyFont="1" applyFill="1" applyAlignment="1">
      <alignment horizontal="right"/>
    </xf>
    <xf numFmtId="0" fontId="4" fillId="0" borderId="2" xfId="1" applyFont="1" applyFill="1" applyBorder="1" applyAlignment="1">
      <alignment horizontal="left"/>
    </xf>
    <xf numFmtId="0" fontId="4" fillId="0" borderId="21" xfId="1" applyFont="1" applyFill="1" applyBorder="1" applyAlignment="1">
      <alignment horizontal="left"/>
    </xf>
    <xf numFmtId="0" fontId="4" fillId="0" borderId="2" xfId="1" applyFont="1" applyFill="1" applyBorder="1" applyAlignment="1">
      <alignment horizontal="right"/>
    </xf>
    <xf numFmtId="0" fontId="4" fillId="0" borderId="2" xfId="0" applyFont="1" applyFill="1" applyBorder="1" applyAlignment="1">
      <alignment horizontal="left" wrapText="1"/>
    </xf>
    <xf numFmtId="166" fontId="4" fillId="0" borderId="2" xfId="1" applyNumberFormat="1" applyFont="1" applyFill="1" applyBorder="1" applyAlignment="1">
      <alignment horizontal="right"/>
    </xf>
    <xf numFmtId="0" fontId="4" fillId="0" borderId="21" xfId="1" applyFont="1" applyFill="1" applyBorder="1" applyAlignment="1">
      <alignment horizontal="right"/>
    </xf>
    <xf numFmtId="0" fontId="4" fillId="0" borderId="21" xfId="0" applyFont="1" applyFill="1" applyBorder="1" applyAlignment="1">
      <alignment horizontal="left" wrapText="1"/>
    </xf>
    <xf numFmtId="166" fontId="4" fillId="0" borderId="21" xfId="1" applyNumberFormat="1" applyFont="1" applyFill="1" applyBorder="1" applyAlignment="1">
      <alignment horizontal="right"/>
    </xf>
    <xf numFmtId="0" fontId="34" fillId="5" borderId="0" xfId="0" applyFont="1" applyFill="1"/>
    <xf numFmtId="168" fontId="34" fillId="5" borderId="0" xfId="19" applyNumberFormat="1" applyFont="1" applyFill="1" applyAlignment="1">
      <alignment horizontal="right"/>
    </xf>
    <xf numFmtId="167" fontId="34" fillId="5" borderId="0" xfId="34" applyNumberFormat="1" applyFont="1" applyFill="1" applyAlignment="1">
      <alignment horizontal="left" indent="2"/>
    </xf>
    <xf numFmtId="0" fontId="34" fillId="5" borderId="0" xfId="0" applyFont="1" applyFill="1" applyAlignment="1">
      <alignment horizontal="right"/>
    </xf>
    <xf numFmtId="0" fontId="34" fillId="5" borderId="0" xfId="0" applyFont="1" applyFill="1" applyAlignment="1">
      <alignment horizontal="left"/>
    </xf>
    <xf numFmtId="0" fontId="14" fillId="0" borderId="0" xfId="33" applyBorder="1" applyAlignment="1">
      <alignment horizontal="right" wrapText="1"/>
    </xf>
    <xf numFmtId="0" fontId="35" fillId="0" borderId="1" xfId="5" applyFont="1" applyBorder="1" applyAlignment="1" applyProtection="1">
      <alignment horizontal="left"/>
    </xf>
    <xf numFmtId="0" fontId="12" fillId="5" borderId="0" xfId="0" applyFont="1" applyFill="1"/>
    <xf numFmtId="0" fontId="3" fillId="0" borderId="6" xfId="1" applyFont="1" applyFill="1" applyBorder="1" applyAlignment="1">
      <alignment horizontal="right"/>
    </xf>
    <xf numFmtId="0" fontId="3" fillId="0" borderId="2" xfId="1" applyFont="1" applyFill="1" applyBorder="1" applyAlignment="1">
      <alignment horizontal="left"/>
    </xf>
    <xf numFmtId="168" fontId="3" fillId="0" borderId="2" xfId="1" applyNumberFormat="1" applyFont="1" applyFill="1" applyBorder="1" applyAlignment="1">
      <alignment horizontal="right"/>
    </xf>
    <xf numFmtId="0" fontId="3" fillId="0" borderId="2" xfId="0" applyFont="1" applyFill="1" applyBorder="1" applyAlignment="1">
      <alignment horizontal="center" vertical="center"/>
    </xf>
    <xf numFmtId="1" fontId="3" fillId="0" borderId="7" xfId="0" applyNumberFormat="1" applyFont="1" applyFill="1" applyBorder="1" applyAlignment="1">
      <alignment horizontal="right"/>
    </xf>
    <xf numFmtId="0" fontId="3" fillId="0" borderId="0" xfId="0" applyNumberFormat="1" applyFont="1" applyFill="1" applyAlignment="1">
      <alignment horizontal="right"/>
    </xf>
    <xf numFmtId="0" fontId="3" fillId="0" borderId="23" xfId="1" applyFont="1" applyFill="1" applyBorder="1" applyAlignment="1">
      <alignment horizontal="right"/>
    </xf>
    <xf numFmtId="0" fontId="3" fillId="0" borderId="21" xfId="1" applyFont="1" applyFill="1" applyBorder="1" applyAlignment="1">
      <alignment horizontal="left"/>
    </xf>
    <xf numFmtId="1" fontId="3" fillId="0" borderId="22" xfId="0" applyNumberFormat="1" applyFont="1" applyFill="1" applyBorder="1" applyAlignment="1">
      <alignment horizontal="right"/>
    </xf>
    <xf numFmtId="0" fontId="3" fillId="0" borderId="0" xfId="0" applyNumberFormat="1" applyFont="1" applyFill="1" applyBorder="1" applyAlignment="1">
      <alignment horizontal="right"/>
    </xf>
    <xf numFmtId="0" fontId="3" fillId="22" borderId="0" xfId="0" applyFont="1" applyFill="1"/>
    <xf numFmtId="0" fontId="0" fillId="0" borderId="0" xfId="0" applyFill="1"/>
    <xf numFmtId="164" fontId="0" fillId="0" borderId="0" xfId="0" applyNumberFormat="1" applyFill="1"/>
    <xf numFmtId="14" fontId="0" fillId="0" borderId="0" xfId="0" applyNumberFormat="1" applyFill="1"/>
    <xf numFmtId="0" fontId="0" fillId="0" borderId="0" xfId="1" applyFont="1" applyFill="1"/>
    <xf numFmtId="164" fontId="23" fillId="0" borderId="0" xfId="1" applyNumberFormat="1" applyFill="1"/>
    <xf numFmtId="0" fontId="39" fillId="4" borderId="1" xfId="1" applyFont="1" applyFill="1" applyBorder="1" applyAlignment="1">
      <alignment horizontal="center" vertical="center"/>
    </xf>
    <xf numFmtId="0" fontId="23" fillId="23" borderId="0" xfId="1" applyFill="1"/>
    <xf numFmtId="0" fontId="0" fillId="23" borderId="0" xfId="0" applyFill="1"/>
    <xf numFmtId="164" fontId="0" fillId="23" borderId="0" xfId="0" applyNumberFormat="1" applyFill="1"/>
    <xf numFmtId="0" fontId="2" fillId="0" borderId="0" xfId="1" applyFont="1" applyFill="1"/>
    <xf numFmtId="0" fontId="1" fillId="0" borderId="2" xfId="1" applyFont="1" applyFill="1" applyBorder="1" applyAlignment="1">
      <alignment horizontal="left"/>
    </xf>
    <xf numFmtId="0" fontId="1" fillId="0" borderId="0" xfId="0" applyFont="1"/>
    <xf numFmtId="0" fontId="1" fillId="22" borderId="0" xfId="0" applyFont="1" applyFill="1"/>
    <xf numFmtId="0" fontId="12" fillId="22" borderId="0" xfId="0" applyFont="1" applyFill="1" applyAlignment="1">
      <alignment horizontal="left"/>
    </xf>
    <xf numFmtId="0" fontId="1" fillId="22" borderId="0" xfId="1" applyNumberFormat="1" applyFont="1" applyFill="1" applyBorder="1" applyAlignment="1"/>
    <xf numFmtId="0" fontId="0" fillId="24" borderId="0" xfId="0" applyFill="1"/>
    <xf numFmtId="0" fontId="18" fillId="24" borderId="0" xfId="0" applyFont="1" applyFill="1"/>
    <xf numFmtId="0" fontId="19" fillId="24" borderId="0" xfId="0" applyFont="1" applyFill="1"/>
  </cellXfs>
  <cellStyles count="35">
    <cellStyle name="Énfasis 1" xfId="13"/>
    <cellStyle name="Énfasis 2" xfId="28"/>
    <cellStyle name="Énfasis 3" xfId="22"/>
    <cellStyle name="Énfasis1 - 20%" xfId="27"/>
    <cellStyle name="Énfasis1 - 40%" xfId="12"/>
    <cellStyle name="Énfasis1 - 60%" xfId="21"/>
    <cellStyle name="Énfasis2 - 20%" xfId="15"/>
    <cellStyle name="Énfasis2 - 40%" xfId="16"/>
    <cellStyle name="Énfasis2 - 60%" xfId="25"/>
    <cellStyle name="Énfasis3 - 20%" xfId="11"/>
    <cellStyle name="Énfasis3 - 40%" xfId="10"/>
    <cellStyle name="Énfasis3 - 60%" xfId="24"/>
    <cellStyle name="Énfasis4 - 20%" xfId="20"/>
    <cellStyle name="Énfasis4 - 40%" xfId="9"/>
    <cellStyle name="Énfasis4 - 60%" xfId="23"/>
    <cellStyle name="Énfasis5 - 20%" xfId="26"/>
    <cellStyle name="Énfasis5 - 40%" xfId="8"/>
    <cellStyle name="Énfasis5 - 60%" xfId="31"/>
    <cellStyle name="Énfasis6 - 20%" xfId="7"/>
    <cellStyle name="Énfasis6 - 40%" xfId="14"/>
    <cellStyle name="Énfasis6 - 60%" xfId="6"/>
    <cellStyle name="Euro" xfId="17"/>
    <cellStyle name="Hipervínculo" xfId="33" builtinId="8"/>
    <cellStyle name="Hipervínculo 2" xfId="5"/>
    <cellStyle name="Hipervínculo 3" xfId="3"/>
    <cellStyle name="Millares" xfId="34" builtinId="3"/>
    <cellStyle name="Millares 2" xfId="4"/>
    <cellStyle name="Normal" xfId="0" builtinId="0"/>
    <cellStyle name="Normal 2" xfId="2"/>
    <cellStyle name="Normal 2 2" xfId="1"/>
    <cellStyle name="Normal 3" xfId="19"/>
    <cellStyle name="Normal 4" xfId="18"/>
    <cellStyle name="Porcentaje 2" xfId="30"/>
    <cellStyle name="TableStyleLight1" xfId="32"/>
    <cellStyle name="Título de hoja" xfId="29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/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68" formatCode="dd\-mm\-yy;@"/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bgColor auto="1"/>
        </patternFill>
      </fill>
    </dxf>
    <dxf>
      <border outline="0">
        <bottom style="thin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/>
      </border>
    </dxf>
    <dxf>
      <font>
        <color theme="7" tint="0.59996337778862885"/>
      </font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border outline="0">
        <bottom style="thin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fill>
        <patternFill patternType="solid">
          <fgColor indexed="64"/>
          <bgColor theme="2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FFCC"/>
      <color rgb="FFD38583"/>
      <color rgb="FFCC706E"/>
      <color rgb="FFCE7674"/>
      <color rgb="FFFFCC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3</xdr:row>
      <xdr:rowOff>161925</xdr:rowOff>
    </xdr:from>
    <xdr:to>
      <xdr:col>5</xdr:col>
      <xdr:colOff>421566</xdr:colOff>
      <xdr:row>15</xdr:row>
      <xdr:rowOff>76199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47774" y="371475"/>
          <a:ext cx="4364917" cy="325754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</xdr:col>
      <xdr:colOff>438150</xdr:colOff>
      <xdr:row>9</xdr:row>
      <xdr:rowOff>85725</xdr:rowOff>
    </xdr:from>
    <xdr:ext cx="1007327" cy="264560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181350" y="2438400"/>
          <a:ext cx="100711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050" b="1">
              <a:solidFill>
                <a:schemeClr val="tx1">
                  <a:lumMod val="75000"/>
                  <a:lumOff val="25000"/>
                </a:schemeClr>
              </a:solidFill>
            </a:rPr>
            <a:t>Consultas por: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6</xdr:row>
          <xdr:rowOff>19050</xdr:rowOff>
        </xdr:from>
        <xdr:to>
          <xdr:col>4</xdr:col>
          <xdr:colOff>19050</xdr:colOff>
          <xdr:row>7</xdr:row>
          <xdr:rowOff>142875</xdr:rowOff>
        </xdr:to>
        <xdr:sp macro="" textlink="">
          <xdr:nvSpPr>
            <xdr:cNvPr id="1025" name="btnInscripc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</xdr:row>
          <xdr:rowOff>28575</xdr:rowOff>
        </xdr:from>
        <xdr:to>
          <xdr:col>4</xdr:col>
          <xdr:colOff>1457325</xdr:colOff>
          <xdr:row>7</xdr:row>
          <xdr:rowOff>123825</xdr:rowOff>
        </xdr:to>
        <xdr:sp macro="" textlink="">
          <xdr:nvSpPr>
            <xdr:cNvPr id="1026" name="btnAsistenci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11</xdr:row>
          <xdr:rowOff>66675</xdr:rowOff>
        </xdr:from>
        <xdr:to>
          <xdr:col>4</xdr:col>
          <xdr:colOff>28575</xdr:colOff>
          <xdr:row>13</xdr:row>
          <xdr:rowOff>76200</xdr:rowOff>
        </xdr:to>
        <xdr:sp macro="" textlink="">
          <xdr:nvSpPr>
            <xdr:cNvPr id="1027" name="btnConsult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</xdr:row>
          <xdr:rowOff>66675</xdr:rowOff>
        </xdr:from>
        <xdr:to>
          <xdr:col>4</xdr:col>
          <xdr:colOff>1457325</xdr:colOff>
          <xdr:row>13</xdr:row>
          <xdr:rowOff>76200</xdr:rowOff>
        </xdr:to>
        <xdr:sp macro="" textlink="">
          <xdr:nvSpPr>
            <xdr:cNvPr id="1028" name="btnFaculta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123825</xdr:colOff>
      <xdr:row>3</xdr:row>
      <xdr:rowOff>428625</xdr:rowOff>
    </xdr:from>
    <xdr:to>
      <xdr:col>5</xdr:col>
      <xdr:colOff>42492</xdr:colOff>
      <xdr:row>5</xdr:row>
      <xdr:rowOff>17593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638175"/>
          <a:ext cx="3442917" cy="817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586740</xdr:colOff>
      <xdr:row>700</xdr:row>
      <xdr:rowOff>0</xdr:rowOff>
    </xdr:from>
    <xdr:ext cx="184731" cy="26456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49490" y="59359800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s-ES"/>
        </a:p>
      </xdr:txBody>
    </xdr:sp>
    <xdr:clientData/>
  </xdr:oneCellAnchor>
  <xdr:oneCellAnchor>
    <xdr:from>
      <xdr:col>12</xdr:col>
      <xdr:colOff>577215</xdr:colOff>
      <xdr:row>700</xdr:row>
      <xdr:rowOff>0</xdr:rowOff>
    </xdr:from>
    <xdr:ext cx="184731" cy="264560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8588990" y="59359800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s-ES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180975</xdr:rowOff>
        </xdr:from>
        <xdr:to>
          <xdr:col>10</xdr:col>
          <xdr:colOff>38100</xdr:colOff>
          <xdr:row>3</xdr:row>
          <xdr:rowOff>171450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por Fecha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647700</xdr:colOff>
      <xdr:row>3</xdr:row>
      <xdr:rowOff>133349</xdr:rowOff>
    </xdr:from>
    <xdr:ext cx="2905125" cy="609013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229725" y="675640"/>
          <a:ext cx="2905125" cy="609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En CURSO</a:t>
          </a:r>
          <a:r>
            <a:rPr lang="es-ES" sz="1100" baseline="0"/>
            <a:t> elige de la lista desplegable</a:t>
          </a:r>
        </a:p>
        <a:p>
          <a:r>
            <a:rPr lang="es-ES" sz="1100" baseline="0"/>
            <a:t>ID_CURSO se carga según el curso elegido</a:t>
          </a:r>
        </a:p>
        <a:p>
          <a:r>
            <a:rPr lang="es-ES" sz="1100" baseline="0"/>
            <a:t>Inicio se carga manualmente según cornograma</a:t>
          </a:r>
          <a:endParaRPr lang="es-ES" sz="1100"/>
        </a:p>
      </xdr:txBody>
    </xdr:sp>
    <xdr:clientData/>
  </xdr:oneCellAnchor>
</xdr:wsDr>
</file>

<file path=xl/tables/table1.xml><?xml version="1.0" encoding="utf-8"?>
<table xmlns="http://schemas.openxmlformats.org/spreadsheetml/2006/main" id="2" name="Tabla2" displayName="Tabla2" ref="A1:E8110" totalsRowShown="0" headerRowDxfId="23" tableBorderDxfId="22">
  <autoFilter ref="A1:E8110">
    <filterColumn colId="4">
      <filters>
        <dateGroupItem year="2024" dateTimeGrouping="year"/>
      </filters>
    </filterColumn>
  </autoFilter>
  <sortState ref="A2:E8065">
    <sortCondition descending="1" ref="E2:E8065"/>
    <sortCondition ref="D2:D8065"/>
    <sortCondition ref="A2:A8065"/>
  </sortState>
  <tableColumns count="5">
    <tableColumn id="1" name="DNI" dataDxfId="21" dataCellStyle="Normal 2 2"/>
    <tableColumn id="2" name="Apellido" dataDxfId="20"/>
    <tableColumn id="3" name="Nombre" dataDxfId="19"/>
    <tableColumn id="4" name="Curso" dataDxfId="18" dataCellStyle="Normal 2 2"/>
    <tableColumn id="5" name="Fecha inicio" dataDxfId="17" dataCellStyle="Normal 2 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H2013" totalsRowShown="0" headerRowDxfId="15" dataDxfId="13" headerRowBorderDxfId="14" tableBorderDxfId="12" totalsRowBorderDxfId="11" headerRowCellStyle="Normal 2 2">
  <autoFilter ref="A1:H2013">
    <filterColumn colId="4">
      <filters>
        <dateGroupItem year="2024" month="10" dateTimeGrouping="month"/>
      </filters>
    </filterColumn>
  </autoFilter>
  <sortState ref="A2:H1968">
    <sortCondition descending="1" ref="E2:E1968"/>
    <sortCondition ref="D2:D1968"/>
    <sortCondition ref="B2:B1968"/>
    <sortCondition ref="C2:C1968"/>
  </sortState>
  <tableColumns count="8">
    <tableColumn id="1" name="DNI" dataDxfId="10" dataCellStyle="Normal 2 2"/>
    <tableColumn id="2" name="Apellido" dataDxfId="9" dataCellStyle="Normal 2 2"/>
    <tableColumn id="3" name="Nombre" dataDxfId="8" dataCellStyle="Normal 2 2"/>
    <tableColumn id="4" name="Curso" dataDxfId="7" dataCellStyle="Normal 2 2"/>
    <tableColumn id="5" name="Fecha inicio" dataDxfId="6" dataCellStyle="Normal 2 2"/>
    <tableColumn id="6" name="Resultado" dataDxfId="5"/>
    <tableColumn id="7" name="UA" dataDxfId="4">
      <calculatedColumnFormula>IFERROR(INDEX(unidad,MATCH(VLOOKUP(A2,alum,9,0),unidad2,0),1),"sin dato")</calculatedColumnFormula>
    </tableColumn>
    <tableColumn id="9" name="Registrado" dataDxfId="3">
      <calculatedColumnFormula>IFERROR(VLOOKUP(A2,alum,1,0),"999")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A1:B90" totalsRowShown="0" headerRowDxfId="2" headerRowCellStyle="Normal 2 2">
  <autoFilter ref="A1:B90"/>
  <tableColumns count="2">
    <tableColumn id="1" name="Id_Fac" dataDxfId="1"/>
    <tableColumn id="2" name="Facultad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mailto:maurock52@gmail.com" TargetMode="External"/><Relationship Id="rId21" Type="http://schemas.openxmlformats.org/officeDocument/2006/relationships/hyperlink" Target="mailto:lulammpaez@hotmail.com" TargetMode="External"/><Relationship Id="rId170" Type="http://schemas.openxmlformats.org/officeDocument/2006/relationships/hyperlink" Target="mailto:investigacionenfermeria@hotmail.com" TargetMode="External"/><Relationship Id="rId268" Type="http://schemas.openxmlformats.org/officeDocument/2006/relationships/hyperlink" Target="mailto:gabrielarodriguezleal@hotmail.com" TargetMode="External"/><Relationship Id="rId475" Type="http://schemas.openxmlformats.org/officeDocument/2006/relationships/hyperlink" Target="mailto:claudiaval2015@gmail.com" TargetMode="External"/><Relationship Id="rId682" Type="http://schemas.openxmlformats.org/officeDocument/2006/relationships/hyperlink" Target="mailto:nadiaabad@live.com" TargetMode="External"/><Relationship Id="rId128" Type="http://schemas.openxmlformats.org/officeDocument/2006/relationships/hyperlink" Target="mailto:fernanda_c.i@hotmail.com" TargetMode="External"/><Relationship Id="rId335" Type="http://schemas.openxmlformats.org/officeDocument/2006/relationships/hyperlink" Target="mailto:crodriguez@herrera.unt.edu.ar" TargetMode="External"/><Relationship Id="rId542" Type="http://schemas.openxmlformats.org/officeDocument/2006/relationships/hyperlink" Target="mailto:nadiaabad@live.com" TargetMode="External"/><Relationship Id="rId987" Type="http://schemas.openxmlformats.org/officeDocument/2006/relationships/hyperlink" Target="mailto:lopezgra_03@yahoo.com.ar" TargetMode="External"/><Relationship Id="rId1172" Type="http://schemas.openxmlformats.org/officeDocument/2006/relationships/hyperlink" Target="mailto:luis.gon.1963@gmail.com" TargetMode="External"/><Relationship Id="rId402" Type="http://schemas.openxmlformats.org/officeDocument/2006/relationships/hyperlink" Target="mailto:carosantilli@gmail.com" TargetMode="External"/><Relationship Id="rId847" Type="http://schemas.openxmlformats.org/officeDocument/2006/relationships/hyperlink" Target="mailto:mamoreno@rectorado.unt.edu.ar" TargetMode="External"/><Relationship Id="rId1032" Type="http://schemas.openxmlformats.org/officeDocument/2006/relationships/hyperlink" Target="mailto:Flavaque@hotmail.com" TargetMode="External"/><Relationship Id="rId1477" Type="http://schemas.openxmlformats.org/officeDocument/2006/relationships/hyperlink" Target="mailto:atilio.carranza@gmail.com" TargetMode="External"/><Relationship Id="rId1684" Type="http://schemas.openxmlformats.org/officeDocument/2006/relationships/hyperlink" Target="mailto:gualaguirre@hotmail.com" TargetMode="External"/><Relationship Id="rId707" Type="http://schemas.openxmlformats.org/officeDocument/2006/relationships/hyperlink" Target="mailto:nadiaabad@live.com" TargetMode="External"/><Relationship Id="rId914" Type="http://schemas.openxmlformats.org/officeDocument/2006/relationships/hyperlink" Target="mailto:claudia_mastracchio@hotmail.com" TargetMode="External"/><Relationship Id="rId1337" Type="http://schemas.openxmlformats.org/officeDocument/2006/relationships/hyperlink" Target="mailto:negufolk@hotmail.com" TargetMode="External"/><Relationship Id="rId1544" Type="http://schemas.openxmlformats.org/officeDocument/2006/relationships/hyperlink" Target="mailto:valeriabiazzo@gmail.com" TargetMode="External"/><Relationship Id="rId43" Type="http://schemas.openxmlformats.org/officeDocument/2006/relationships/hyperlink" Target="mailto:easpellegrino@gmail.com" TargetMode="External"/><Relationship Id="rId1404" Type="http://schemas.openxmlformats.org/officeDocument/2006/relationships/hyperlink" Target="mailto:vemacol@hotmail.com" TargetMode="External"/><Relationship Id="rId1611" Type="http://schemas.openxmlformats.org/officeDocument/2006/relationships/hyperlink" Target="mailto:lisandroargiro@gmail.com" TargetMode="External"/><Relationship Id="rId192" Type="http://schemas.openxmlformats.org/officeDocument/2006/relationships/hyperlink" Target="mailto:juares_sd@hotmail.com" TargetMode="External"/><Relationship Id="rId1709" Type="http://schemas.openxmlformats.org/officeDocument/2006/relationships/hyperlink" Target="mailto:lozanotuc@gmail.com" TargetMode="External"/><Relationship Id="rId497" Type="http://schemas.openxmlformats.org/officeDocument/2006/relationships/hyperlink" Target="mailto:nadiaabad@live.com" TargetMode="External"/><Relationship Id="rId357" Type="http://schemas.openxmlformats.org/officeDocument/2006/relationships/hyperlink" Target="mailto:angelpalomino79@yahoo.com.ar" TargetMode="External"/><Relationship Id="rId1194" Type="http://schemas.openxmlformats.org/officeDocument/2006/relationships/hyperlink" Target="mailto:anitamglemos@gmail.com" TargetMode="External"/><Relationship Id="rId217" Type="http://schemas.openxmlformats.org/officeDocument/2006/relationships/hyperlink" Target="mailto:cinsaucedo@hotmail.com" TargetMode="External"/><Relationship Id="rId564" Type="http://schemas.openxmlformats.org/officeDocument/2006/relationships/hyperlink" Target="mailto:nadiaabad@live.com" TargetMode="External"/><Relationship Id="rId771" Type="http://schemas.openxmlformats.org/officeDocument/2006/relationships/hyperlink" Target="mailto:nadiaabad@live.com" TargetMode="External"/><Relationship Id="rId869" Type="http://schemas.openxmlformats.org/officeDocument/2006/relationships/hyperlink" Target="mailto:enfermeria_ocupacional@yahoo.com.ar" TargetMode="External"/><Relationship Id="rId1499" Type="http://schemas.openxmlformats.org/officeDocument/2006/relationships/hyperlink" Target="mailto:vircanceco@hotmail.com" TargetMode="External"/><Relationship Id="rId424" Type="http://schemas.openxmlformats.org/officeDocument/2006/relationships/hyperlink" Target="mailto:dsolorzano@rectorado.unt.edu.ar" TargetMode="External"/><Relationship Id="rId631" Type="http://schemas.openxmlformats.org/officeDocument/2006/relationships/hyperlink" Target="mailto:nadiaabad@live.com" TargetMode="External"/><Relationship Id="rId729" Type="http://schemas.openxmlformats.org/officeDocument/2006/relationships/hyperlink" Target="mailto:nadiaabad@live.com" TargetMode="External"/><Relationship Id="rId1054" Type="http://schemas.openxmlformats.org/officeDocument/2006/relationships/hyperlink" Target="mailto:sekar@ct.unt.edu.ar" TargetMode="External"/><Relationship Id="rId1261" Type="http://schemas.openxmlformats.org/officeDocument/2006/relationships/hyperlink" Target="mailto:rmflores@rectorado.unt.edu.ar" TargetMode="External"/><Relationship Id="rId1359" Type="http://schemas.openxmlformats.org/officeDocument/2006/relationships/hyperlink" Target="mailto:eugeniadebes@hotmail.com" TargetMode="External"/><Relationship Id="rId936" Type="http://schemas.openxmlformats.org/officeDocument/2006/relationships/hyperlink" Target="mailto:krlammaria@gmail.com" TargetMode="External"/><Relationship Id="rId1121" Type="http://schemas.openxmlformats.org/officeDocument/2006/relationships/hyperlink" Target="mailto:diecfi@herrera.unt.edu.ar" TargetMode="External"/><Relationship Id="rId1219" Type="http://schemas.openxmlformats.org/officeDocument/2006/relationships/hyperlink" Target="mailto:piagarmendia@gmail.com" TargetMode="External"/><Relationship Id="rId1566" Type="http://schemas.openxmlformats.org/officeDocument/2006/relationships/hyperlink" Target="mailto:vihuba39@gmail.com" TargetMode="External"/><Relationship Id="rId65" Type="http://schemas.openxmlformats.org/officeDocument/2006/relationships/hyperlink" Target="mailto:francoorellanatuc@gmail.com" TargetMode="External"/><Relationship Id="rId1426" Type="http://schemas.openxmlformats.org/officeDocument/2006/relationships/hyperlink" Target="mailto:analiachavez.rectorado@gmail.com" TargetMode="External"/><Relationship Id="rId1633" Type="http://schemas.openxmlformats.org/officeDocument/2006/relationships/hyperlink" Target="mailto:einath.apel@hotmail.com" TargetMode="External"/><Relationship Id="rId1700" Type="http://schemas.openxmlformats.org/officeDocument/2006/relationships/hyperlink" Target="mailto:nacosta2002@hotmail.com" TargetMode="External"/><Relationship Id="rId281" Type="http://schemas.openxmlformats.org/officeDocument/2006/relationships/hyperlink" Target="mailto:povallenatalia_@hotmail.com.ar" TargetMode="External"/><Relationship Id="rId141" Type="http://schemas.openxmlformats.org/officeDocument/2006/relationships/hyperlink" Target="mailto:rodolfosuccar@arnet.com.ar" TargetMode="External"/><Relationship Id="rId379" Type="http://schemas.openxmlformats.org/officeDocument/2006/relationships/hyperlink" Target="mailto:noe_reyes85@hotmail.com" TargetMode="External"/><Relationship Id="rId586" Type="http://schemas.openxmlformats.org/officeDocument/2006/relationships/hyperlink" Target="mailto:nadiaabad@live.com" TargetMode="External"/><Relationship Id="rId793" Type="http://schemas.openxmlformats.org/officeDocument/2006/relationships/hyperlink" Target="mailto:nadiaabad@live.com" TargetMode="External"/><Relationship Id="rId7" Type="http://schemas.openxmlformats.org/officeDocument/2006/relationships/hyperlink" Target="mailto:rossinicolas@hotmail.com" TargetMode="External"/><Relationship Id="rId239" Type="http://schemas.openxmlformats.org/officeDocument/2006/relationships/hyperlink" Target="mailto:mvergara@fbqf.unt.edu.ar" TargetMode="External"/><Relationship Id="rId446" Type="http://schemas.openxmlformats.org/officeDocument/2006/relationships/hyperlink" Target="mailto:luis-man@outlook.com.ar" TargetMode="External"/><Relationship Id="rId653" Type="http://schemas.openxmlformats.org/officeDocument/2006/relationships/hyperlink" Target="mailto:nadiaabad@live.com" TargetMode="External"/><Relationship Id="rId1076" Type="http://schemas.openxmlformats.org/officeDocument/2006/relationships/hyperlink" Target="mailto:ivanjeger@gmail.com" TargetMode="External"/><Relationship Id="rId1283" Type="http://schemas.openxmlformats.org/officeDocument/2006/relationships/hyperlink" Target="mailto:feniksilvina@gmail.com&#160;" TargetMode="External"/><Relationship Id="rId1490" Type="http://schemas.openxmlformats.org/officeDocument/2006/relationships/hyperlink" Target="mailto:mariselcanseco3@yahoo.com.a" TargetMode="External"/><Relationship Id="rId306" Type="http://schemas.openxmlformats.org/officeDocument/2006/relationships/hyperlink" Target="mailto:laura15578@hotmail.com.ar" TargetMode="External"/><Relationship Id="rId860" Type="http://schemas.openxmlformats.org/officeDocument/2006/relationships/hyperlink" Target="mailto:enriquehugomontenegro@yahoo.com.ar" TargetMode="External"/><Relationship Id="rId958" Type="http://schemas.openxmlformats.org/officeDocument/2006/relationships/hyperlink" Target="mailto:lucasluna111@gmail.com" TargetMode="External"/><Relationship Id="rId1143" Type="http://schemas.openxmlformats.org/officeDocument/2006/relationships/hyperlink" Target="mailto:claudiovgreco@hotmail.com" TargetMode="External"/><Relationship Id="rId1588" Type="http://schemas.openxmlformats.org/officeDocument/2006/relationships/hyperlink" Target="mailto:constanzamaugier@hotmail.com" TargetMode="External"/><Relationship Id="rId87" Type="http://schemas.openxmlformats.org/officeDocument/2006/relationships/hyperlink" Target="mailto:saagsu@gmail.com" TargetMode="External"/><Relationship Id="rId513" Type="http://schemas.openxmlformats.org/officeDocument/2006/relationships/hyperlink" Target="mailto:nadiaabad@live.com" TargetMode="External"/><Relationship Id="rId720" Type="http://schemas.openxmlformats.org/officeDocument/2006/relationships/hyperlink" Target="mailto:nadiaabad@live.com" TargetMode="External"/><Relationship Id="rId818" Type="http://schemas.openxmlformats.org/officeDocument/2006/relationships/hyperlink" Target="mailto:mmt_ar@yahoo.com.ar" TargetMode="External"/><Relationship Id="rId1350" Type="http://schemas.openxmlformats.org/officeDocument/2006/relationships/hyperlink" Target="mailto:paodellarocca@gmail.com" TargetMode="External"/><Relationship Id="rId1448" Type="http://schemas.openxmlformats.org/officeDocument/2006/relationships/hyperlink" Target="mailto:fcerasuolo@gamil.com" TargetMode="External"/><Relationship Id="rId1655" Type="http://schemas.openxmlformats.org/officeDocument/2006/relationships/hyperlink" Target="mailto:emy_1815@hotmail.com" TargetMode="External"/><Relationship Id="rId1003" Type="http://schemas.openxmlformats.org/officeDocument/2006/relationships/hyperlink" Target="mailto:vlis@arnet.com.ar" TargetMode="External"/><Relationship Id="rId1210" Type="http://schemas.openxmlformats.org/officeDocument/2006/relationships/hyperlink" Target="mailto:candelariagl9@gmail.com" TargetMode="External"/><Relationship Id="rId1308" Type="http://schemas.openxmlformats.org/officeDocument/2006/relationships/hyperlink" Target="mailto:roxanacine@gmail.com" TargetMode="External"/><Relationship Id="rId1515" Type="http://schemas.openxmlformats.org/officeDocument/2006/relationships/hyperlink" Target="mailto:nenina_44@hotmail.com" TargetMode="External"/><Relationship Id="rId14" Type="http://schemas.openxmlformats.org/officeDocument/2006/relationships/hyperlink" Target="mailto:juancarlossaabsaleme@yahoo.com.ar" TargetMode="External"/><Relationship Id="rId163" Type="http://schemas.openxmlformats.org/officeDocument/2006/relationships/hyperlink" Target="mailto:franciscomarcostorres@gmail.com" TargetMode="External"/><Relationship Id="rId370" Type="http://schemas.openxmlformats.org/officeDocument/2006/relationships/hyperlink" Target="mailto:plaza-adriana@hotmail.com" TargetMode="External"/><Relationship Id="rId230" Type="http://schemas.openxmlformats.org/officeDocument/2006/relationships/hyperlink" Target="mailto:draanaliasoria@arnet.com.ar" TargetMode="External"/><Relationship Id="rId468" Type="http://schemas.openxmlformats.org/officeDocument/2006/relationships/hyperlink" Target="mailto:avargas.cpn@gmail.com" TargetMode="External"/><Relationship Id="rId675" Type="http://schemas.openxmlformats.org/officeDocument/2006/relationships/hyperlink" Target="mailto:nadiaabad@live.com" TargetMode="External"/><Relationship Id="rId882" Type="http://schemas.openxmlformats.org/officeDocument/2006/relationships/hyperlink" Target="mailto:anamariamentz@hotmail.com" TargetMode="External"/><Relationship Id="rId1098" Type="http://schemas.openxmlformats.org/officeDocument/2006/relationships/hyperlink" Target="mailto:lvholgado@yahoo.com" TargetMode="External"/><Relationship Id="rId328" Type="http://schemas.openxmlformats.org/officeDocument/2006/relationships/hyperlink" Target="mailto:fervillacis@gmail.com" TargetMode="External"/><Relationship Id="rId535" Type="http://schemas.openxmlformats.org/officeDocument/2006/relationships/hyperlink" Target="mailto:nadiaabad@live.com" TargetMode="External"/><Relationship Id="rId742" Type="http://schemas.openxmlformats.org/officeDocument/2006/relationships/hyperlink" Target="mailto:nadiaabad@live.com" TargetMode="External"/><Relationship Id="rId1165" Type="http://schemas.openxmlformats.org/officeDocument/2006/relationships/hyperlink" Target="mailto:asigo@hotmail.com" TargetMode="External"/><Relationship Id="rId1372" Type="http://schemas.openxmlformats.org/officeDocument/2006/relationships/hyperlink" Target="mailto:ccuezzo@gmail.com" TargetMode="External"/><Relationship Id="rId602" Type="http://schemas.openxmlformats.org/officeDocument/2006/relationships/hyperlink" Target="mailto:nadiaabad@live.com" TargetMode="External"/><Relationship Id="rId1025" Type="http://schemas.openxmlformats.org/officeDocument/2006/relationships/hyperlink" Target="mailto:cyntylefe@hotmail.com" TargetMode="External"/><Relationship Id="rId1232" Type="http://schemas.openxmlformats.org/officeDocument/2006/relationships/hyperlink" Target="mailto:lg436688@gmail.com" TargetMode="External"/><Relationship Id="rId1677" Type="http://schemas.openxmlformats.org/officeDocument/2006/relationships/hyperlink" Target="mailto:nicodalberti1@gmail.com" TargetMode="External"/><Relationship Id="rId907" Type="http://schemas.openxmlformats.org/officeDocument/2006/relationships/hyperlink" Target="mailto:eavm_mama@hotmail.com" TargetMode="External"/><Relationship Id="rId1537" Type="http://schemas.openxmlformats.org/officeDocument/2006/relationships/hyperlink" Target="mailto:investigaciones@psicologia.unt.edu.ar" TargetMode="External"/><Relationship Id="rId36" Type="http://schemas.openxmlformats.org/officeDocument/2006/relationships/hyperlink" Target="mailto:sebadekano@hotmail.com" TargetMode="External"/><Relationship Id="rId1604" Type="http://schemas.openxmlformats.org/officeDocument/2006/relationships/hyperlink" Target="mailto:Marfearip@arnet.com.ar" TargetMode="External"/><Relationship Id="rId185" Type="http://schemas.openxmlformats.org/officeDocument/2006/relationships/hyperlink" Target="mailto:scacho2003@yahoo.com.ar" TargetMode="External"/><Relationship Id="rId392" Type="http://schemas.openxmlformats.org/officeDocument/2006/relationships/hyperlink" Target="mailto:tejerina.gabriela78@gmail.com" TargetMode="External"/><Relationship Id="rId697" Type="http://schemas.openxmlformats.org/officeDocument/2006/relationships/hyperlink" Target="mailto:nadiaabad@live.com" TargetMode="External"/><Relationship Id="rId252" Type="http://schemas.openxmlformats.org/officeDocument/2006/relationships/hyperlink" Target="mailto:concursos_faunt@hotmail.com" TargetMode="External"/><Relationship Id="rId1187" Type="http://schemas.openxmlformats.org/officeDocument/2006/relationships/hyperlink" Target="mailto:raquelg_16@hotmail.com" TargetMode="External"/><Relationship Id="rId112" Type="http://schemas.openxmlformats.org/officeDocument/2006/relationships/hyperlink" Target="mailto:leliapaez2009@hotmail.com" TargetMode="External"/><Relationship Id="rId557" Type="http://schemas.openxmlformats.org/officeDocument/2006/relationships/hyperlink" Target="mailto:nadiaabad@live.com" TargetMode="External"/><Relationship Id="rId764" Type="http://schemas.openxmlformats.org/officeDocument/2006/relationships/hyperlink" Target="mailto:nadiaabad@live.com" TargetMode="External"/><Relationship Id="rId971" Type="http://schemas.openxmlformats.org/officeDocument/2006/relationships/hyperlink" Target="mailto:jclmarquez56@gmail.com" TargetMode="External"/><Relationship Id="rId1394" Type="http://schemas.openxmlformats.org/officeDocument/2006/relationships/hyperlink" Target="mailto:scorral@herrera.unt.edu.ar" TargetMode="External"/><Relationship Id="rId1699" Type="http://schemas.openxmlformats.org/officeDocument/2006/relationships/hyperlink" Target="mailto:niac62@hotmail.com" TargetMode="External"/><Relationship Id="rId417" Type="http://schemas.openxmlformats.org/officeDocument/2006/relationships/hyperlink" Target="mailto:pablosebsaavedra@hotmail.com" TargetMode="External"/><Relationship Id="rId624" Type="http://schemas.openxmlformats.org/officeDocument/2006/relationships/hyperlink" Target="mailto:nadiaabad@live.com" TargetMode="External"/><Relationship Id="rId831" Type="http://schemas.openxmlformats.org/officeDocument/2006/relationships/hyperlink" Target="mailto:mariange000@hotmail.com" TargetMode="External"/><Relationship Id="rId1047" Type="http://schemas.openxmlformats.org/officeDocument/2006/relationships/hyperlink" Target="mailto:mkocsis@herrera.unt.edu.ar" TargetMode="External"/><Relationship Id="rId1254" Type="http://schemas.openxmlformats.org/officeDocument/2006/relationships/hyperlink" Target="mailto:mariajuliaf03@gmail.com" TargetMode="External"/><Relationship Id="rId1461" Type="http://schemas.openxmlformats.org/officeDocument/2006/relationships/hyperlink" Target="mailto:lucho_trc@hotmail.com" TargetMode="External"/><Relationship Id="rId929" Type="http://schemas.openxmlformats.org/officeDocument/2006/relationships/hyperlink" Target="mailto:depto.concursos@filo.unt.edu.ar" TargetMode="External"/><Relationship Id="rId1114" Type="http://schemas.openxmlformats.org/officeDocument/2006/relationships/hyperlink" Target="mailto:bettinahere@hotmail.com" TargetMode="External"/><Relationship Id="rId1321" Type="http://schemas.openxmlformats.org/officeDocument/2006/relationships/hyperlink" Target="mailto:martin_matias77@hotmail.com" TargetMode="External"/><Relationship Id="rId1559" Type="http://schemas.openxmlformats.org/officeDocument/2006/relationships/hyperlink" Target="mailto:rograbejas@hotmail.com" TargetMode="External"/><Relationship Id="rId58" Type="http://schemas.openxmlformats.org/officeDocument/2006/relationships/hyperlink" Target="mailto:mariaventurino68@hotmail.com" TargetMode="External"/><Relationship Id="rId1419" Type="http://schemas.openxmlformats.org/officeDocument/2006/relationships/hyperlink" Target="mailto:aruclem@gmail.com" TargetMode="External"/><Relationship Id="rId1626" Type="http://schemas.openxmlformats.org/officeDocument/2006/relationships/hyperlink" Target="mailto:deec@herrera.unt.edu.ar" TargetMode="External"/><Relationship Id="rId274" Type="http://schemas.openxmlformats.org/officeDocument/2006/relationships/hyperlink" Target="mailto:mapiavaldecantos@hotmail.com" TargetMode="External"/><Relationship Id="rId481" Type="http://schemas.openxmlformats.org/officeDocument/2006/relationships/hyperlink" Target="mailto:norabeatrizvillada@gmail.com" TargetMode="External"/><Relationship Id="rId134" Type="http://schemas.openxmlformats.org/officeDocument/2006/relationships/hyperlink" Target="mailto:aperalta@csnat.unt.edu.ar" TargetMode="External"/><Relationship Id="rId579" Type="http://schemas.openxmlformats.org/officeDocument/2006/relationships/hyperlink" Target="mailto:nadiaabad@live.com" TargetMode="External"/><Relationship Id="rId786" Type="http://schemas.openxmlformats.org/officeDocument/2006/relationships/hyperlink" Target="mailto:nadiaabad@live.com" TargetMode="External"/><Relationship Id="rId993" Type="http://schemas.openxmlformats.org/officeDocument/2006/relationships/hyperlink" Target="mailto:solelobo@hotmail.com" TargetMode="External"/><Relationship Id="rId341" Type="http://schemas.openxmlformats.org/officeDocument/2006/relationships/hyperlink" Target="mailto:lm_suarez1421@hotmail.com" TargetMode="External"/><Relationship Id="rId439" Type="http://schemas.openxmlformats.org/officeDocument/2006/relationships/hyperlink" Target="mailto:ariscala@ct.unt.edu.ar" TargetMode="External"/><Relationship Id="rId646" Type="http://schemas.openxmlformats.org/officeDocument/2006/relationships/hyperlink" Target="mailto:nadiaabad@live.com" TargetMode="External"/><Relationship Id="rId1069" Type="http://schemas.openxmlformats.org/officeDocument/2006/relationships/hyperlink" Target="mailto:mariajd1711@hotmail.com" TargetMode="External"/><Relationship Id="rId1276" Type="http://schemas.openxmlformats.org/officeDocument/2006/relationships/hyperlink" Target="mailto:pfigueroa703@gmail.com" TargetMode="External"/><Relationship Id="rId1483" Type="http://schemas.openxmlformats.org/officeDocument/2006/relationships/hyperlink" Target="mailto:sergiocanto@hotmail.com" TargetMode="External"/><Relationship Id="rId201" Type="http://schemas.openxmlformats.org/officeDocument/2006/relationships/hyperlink" Target="mailto:manueldarioolmoslezcano@hotmail.com" TargetMode="External"/><Relationship Id="rId506" Type="http://schemas.openxmlformats.org/officeDocument/2006/relationships/hyperlink" Target="mailto:nadiaabad@live.com" TargetMode="External"/><Relationship Id="rId853" Type="http://schemas.openxmlformats.org/officeDocument/2006/relationships/hyperlink" Target="mailto:osccareldecano_pr@hotmail.com" TargetMode="External"/><Relationship Id="rId1136" Type="http://schemas.openxmlformats.org/officeDocument/2006/relationships/hyperlink" Target="mailto:leoguillen19@hotmail.com" TargetMode="External"/><Relationship Id="rId1690" Type="http://schemas.openxmlformats.org/officeDocument/2006/relationships/hyperlink" Target="mailto:carlos.aguero@hotmail.com" TargetMode="External"/><Relationship Id="rId713" Type="http://schemas.openxmlformats.org/officeDocument/2006/relationships/hyperlink" Target="mailto:nadiaabad@live.com" TargetMode="External"/><Relationship Id="rId920" Type="http://schemas.openxmlformats.org/officeDocument/2006/relationships/hyperlink" Target="mailto:nataliagisellemartinez@gmail.com" TargetMode="External"/><Relationship Id="rId1343" Type="http://schemas.openxmlformats.org/officeDocument/2006/relationships/hyperlink" Target="mailto:ignaciodelgado07@hotmail.com" TargetMode="External"/><Relationship Id="rId1550" Type="http://schemas.openxmlformats.org/officeDocument/2006/relationships/hyperlink" Target="mailto:aleberardi@hotmail.com" TargetMode="External"/><Relationship Id="rId1648" Type="http://schemas.openxmlformats.org/officeDocument/2006/relationships/hyperlink" Target="mailto:martitaalfonso@hotmail.com" TargetMode="External"/><Relationship Id="rId1203" Type="http://schemas.openxmlformats.org/officeDocument/2006/relationships/hyperlink" Target="mailto:gus_505_@hotmail.com" TargetMode="External"/><Relationship Id="rId1410" Type="http://schemas.openxmlformats.org/officeDocument/2006/relationships/hyperlink" Target="mailto:motherboy2002@hotmail.com" TargetMode="External"/><Relationship Id="rId1508" Type="http://schemas.openxmlformats.org/officeDocument/2006/relationships/hyperlink" Target="mailto:icampero@rectorado.unt.edu.ar" TargetMode="External"/><Relationship Id="rId296" Type="http://schemas.openxmlformats.org/officeDocument/2006/relationships/hyperlink" Target="mailto:daniedos@hotmail.com" TargetMode="External"/><Relationship Id="rId156" Type="http://schemas.openxmlformats.org/officeDocument/2006/relationships/hyperlink" Target="mailto:mlpacheco_3@hotmail.com" TargetMode="External"/><Relationship Id="rId363" Type="http://schemas.openxmlformats.org/officeDocument/2006/relationships/hyperlink" Target="mailto:cscro@face.unt.edu.ar" TargetMode="External"/><Relationship Id="rId570" Type="http://schemas.openxmlformats.org/officeDocument/2006/relationships/hyperlink" Target="mailto:nadiaabad@live.com" TargetMode="External"/><Relationship Id="rId223" Type="http://schemas.openxmlformats.org/officeDocument/2006/relationships/hyperlink" Target="mailto:bmrivero@hotmail.com" TargetMode="External"/><Relationship Id="rId430" Type="http://schemas.openxmlformats.org/officeDocument/2006/relationships/hyperlink" Target="mailto:mariaventurino68@hotmail.com" TargetMode="External"/><Relationship Id="rId668" Type="http://schemas.openxmlformats.org/officeDocument/2006/relationships/hyperlink" Target="mailto:nadiaabad@live.com" TargetMode="External"/><Relationship Id="rId875" Type="http://schemas.openxmlformats.org/officeDocument/2006/relationships/hyperlink" Target="mailto:silviamesurado@hotmail.com" TargetMode="External"/><Relationship Id="rId1060" Type="http://schemas.openxmlformats.org/officeDocument/2006/relationships/hyperlink" Target="mailto:edugujuarez@hotmail.com" TargetMode="External"/><Relationship Id="rId1298" Type="http://schemas.openxmlformats.org/officeDocument/2006/relationships/hyperlink" Target="mailto:gbfarias16@gmail.com" TargetMode="External"/><Relationship Id="rId528" Type="http://schemas.openxmlformats.org/officeDocument/2006/relationships/hyperlink" Target="mailto:nadiaabad@live.com" TargetMode="External"/><Relationship Id="rId735" Type="http://schemas.openxmlformats.org/officeDocument/2006/relationships/hyperlink" Target="mailto:nadiaabad@live.com" TargetMode="External"/><Relationship Id="rId942" Type="http://schemas.openxmlformats.org/officeDocument/2006/relationships/hyperlink" Target="mailto:Claudia_manes@hotmail.com" TargetMode="External"/><Relationship Id="rId1158" Type="http://schemas.openxmlformats.org/officeDocument/2006/relationships/hyperlink" Target="mailto:sgor@herrera.unt.edu.ar" TargetMode="External"/><Relationship Id="rId1365" Type="http://schemas.openxmlformats.org/officeDocument/2006/relationships/hyperlink" Target="mailto:adrian516@arnet.com.ar" TargetMode="External"/><Relationship Id="rId1572" Type="http://schemas.openxmlformats.org/officeDocument/2006/relationships/hyperlink" Target="mailto:institucional@tucuman-conicet.gov.ar" TargetMode="External"/><Relationship Id="rId1018" Type="http://schemas.openxmlformats.org/officeDocument/2006/relationships/hyperlink" Target="mailto:marceleiva@hotmail.com" TargetMode="External"/><Relationship Id="rId1225" Type="http://schemas.openxmlformats.org/officeDocument/2006/relationships/hyperlink" Target="mailto:nonygareca@hotmail.com" TargetMode="External"/><Relationship Id="rId1432" Type="http://schemas.openxmlformats.org/officeDocument/2006/relationships/hyperlink" Target="mailto:eduardochavarria93@yahoo.com.ar" TargetMode="External"/><Relationship Id="rId71" Type="http://schemas.openxmlformats.org/officeDocument/2006/relationships/hyperlink" Target="mailto:saenzmariana14@gmail.com" TargetMode="External"/><Relationship Id="rId802" Type="http://schemas.openxmlformats.org/officeDocument/2006/relationships/hyperlink" Target="mailto:jimenaarancibiaa2@gmail.com" TargetMode="External"/><Relationship Id="rId29" Type="http://schemas.openxmlformats.org/officeDocument/2006/relationships/hyperlink" Target="mailto:economato@face.unt.edu.ar" TargetMode="External"/><Relationship Id="rId178" Type="http://schemas.openxmlformats.org/officeDocument/2006/relationships/hyperlink" Target="mailto:astancanelli@dirinfo.unt.edu.ar" TargetMode="External"/><Relationship Id="rId385" Type="http://schemas.openxmlformats.org/officeDocument/2006/relationships/hyperlink" Target="mailto:ia_roldan@hotmail.com" TargetMode="External"/><Relationship Id="rId592" Type="http://schemas.openxmlformats.org/officeDocument/2006/relationships/hyperlink" Target="mailto:nadiaabad@live.com" TargetMode="External"/><Relationship Id="rId245" Type="http://schemas.openxmlformats.org/officeDocument/2006/relationships/hyperlink" Target="mailto:abelquintana77@hotmail.com" TargetMode="External"/><Relationship Id="rId452" Type="http://schemas.openxmlformats.org/officeDocument/2006/relationships/hyperlink" Target="mailto:liliana82serpico@autlook.com" TargetMode="External"/><Relationship Id="rId897" Type="http://schemas.openxmlformats.org/officeDocument/2006/relationships/hyperlink" Target="mailto:veitor.orlans@hotmail.com" TargetMode="External"/><Relationship Id="rId1082" Type="http://schemas.openxmlformats.org/officeDocument/2006/relationships/hyperlink" Target="mailto:ruthjerez@gmail.com" TargetMode="External"/><Relationship Id="rId105" Type="http://schemas.openxmlformats.org/officeDocument/2006/relationships/hyperlink" Target="mailto:mrareal@fbqf.unt.edu.ar" TargetMode="External"/><Relationship Id="rId312" Type="http://schemas.openxmlformats.org/officeDocument/2006/relationships/hyperlink" Target="mailto:mabelromano@gmail.com" TargetMode="External"/><Relationship Id="rId757" Type="http://schemas.openxmlformats.org/officeDocument/2006/relationships/hyperlink" Target="mailto:nadiaabad@live.com" TargetMode="External"/><Relationship Id="rId964" Type="http://schemas.openxmlformats.org/officeDocument/2006/relationships/hyperlink" Target="mailto:margaritalotti@arnet.com.ar" TargetMode="External"/><Relationship Id="rId1387" Type="http://schemas.openxmlformats.org/officeDocument/2006/relationships/hyperlink" Target="mailto:josencorrea@hotmail.com" TargetMode="External"/><Relationship Id="rId1594" Type="http://schemas.openxmlformats.org/officeDocument/2006/relationships/hyperlink" Target="mailto:isarro202@hotmail.com" TargetMode="External"/><Relationship Id="rId93" Type="http://schemas.openxmlformats.org/officeDocument/2006/relationships/hyperlink" Target="mailto:pablod0719@hotmail.com" TargetMode="External"/><Relationship Id="rId617" Type="http://schemas.openxmlformats.org/officeDocument/2006/relationships/hyperlink" Target="mailto:nadiaabad@live.com" TargetMode="External"/><Relationship Id="rId824" Type="http://schemas.openxmlformats.org/officeDocument/2006/relationships/hyperlink" Target="mailto:isanasca@gmail.com" TargetMode="External"/><Relationship Id="rId1247" Type="http://schemas.openxmlformats.org/officeDocument/2006/relationships/hyperlink" Target="mailto:nelyo_85_@hotmail.com" TargetMode="External"/><Relationship Id="rId1454" Type="http://schemas.openxmlformats.org/officeDocument/2006/relationships/hyperlink" Target="mailto:jorcastellanos@hotmail.com" TargetMode="External"/><Relationship Id="rId1661" Type="http://schemas.openxmlformats.org/officeDocument/2006/relationships/hyperlink" Target="mailto:mdh@ct.unt.edu.ar" TargetMode="External"/><Relationship Id="rId1107" Type="http://schemas.openxmlformats.org/officeDocument/2006/relationships/hyperlink" Target="mailto:hernandezandre@live.com.ar" TargetMode="External"/><Relationship Id="rId1314" Type="http://schemas.openxmlformats.org/officeDocument/2006/relationships/hyperlink" Target="mailto:paolaescanocuria@gmail.com" TargetMode="External"/><Relationship Id="rId1521" Type="http://schemas.openxmlformats.org/officeDocument/2006/relationships/hyperlink" Target="mailto:nalejandra7@hotmail.com" TargetMode="External"/><Relationship Id="rId1619" Type="http://schemas.openxmlformats.org/officeDocument/2006/relationships/hyperlink" Target="mailto:biblio@fm.unt.edu.ar" TargetMode="External"/><Relationship Id="rId20" Type="http://schemas.openxmlformats.org/officeDocument/2006/relationships/hyperlink" Target="mailto:nataliavalladares25@gmail.com" TargetMode="External"/><Relationship Id="rId267" Type="http://schemas.openxmlformats.org/officeDocument/2006/relationships/hyperlink" Target="mailto:lilianawexler@gmail.com" TargetMode="External"/><Relationship Id="rId474" Type="http://schemas.openxmlformats.org/officeDocument/2006/relationships/hyperlink" Target="mailto:gabrielapalavecino@outlook.com" TargetMode="External"/><Relationship Id="rId127" Type="http://schemas.openxmlformats.org/officeDocument/2006/relationships/hyperlink" Target="mailto:mvorceremis@rectorado.unt.edu.ar" TargetMode="External"/><Relationship Id="rId681" Type="http://schemas.openxmlformats.org/officeDocument/2006/relationships/hyperlink" Target="mailto:nadiaabad@live.com" TargetMode="External"/><Relationship Id="rId779" Type="http://schemas.openxmlformats.org/officeDocument/2006/relationships/hyperlink" Target="mailto:nadiaabad@live.com" TargetMode="External"/><Relationship Id="rId986" Type="http://schemas.openxmlformats.org/officeDocument/2006/relationships/hyperlink" Target="mailto:lopez.luciairene@yahoo.com.ar" TargetMode="External"/><Relationship Id="rId334" Type="http://schemas.openxmlformats.org/officeDocument/2006/relationships/hyperlink" Target="mailto:sportillo@herrera.unt.edu.ar" TargetMode="External"/><Relationship Id="rId541" Type="http://schemas.openxmlformats.org/officeDocument/2006/relationships/hyperlink" Target="mailto:nadiaabad@live.com" TargetMode="External"/><Relationship Id="rId639" Type="http://schemas.openxmlformats.org/officeDocument/2006/relationships/hyperlink" Target="mailto:nadiaabad@live.com" TargetMode="External"/><Relationship Id="rId1171" Type="http://schemas.openxmlformats.org/officeDocument/2006/relationships/hyperlink" Target="mailto:guille1902@hotmail.com" TargetMode="External"/><Relationship Id="rId1269" Type="http://schemas.openxmlformats.org/officeDocument/2006/relationships/hyperlink" Target="mailto:ref_figueroa@yahoo.com.ar" TargetMode="External"/><Relationship Id="rId1476" Type="http://schemas.openxmlformats.org/officeDocument/2006/relationships/hyperlink" Target="mailto:terecardozo@gmail.com" TargetMode="External"/><Relationship Id="rId401" Type="http://schemas.openxmlformats.org/officeDocument/2006/relationships/hyperlink" Target="mailto:guillerolon02@gmail.com" TargetMode="External"/><Relationship Id="rId846" Type="http://schemas.openxmlformats.org/officeDocument/2006/relationships/hyperlink" Target="mailto:carolinamoreno_garcia@yahoo.com.ar" TargetMode="External"/><Relationship Id="rId1031" Type="http://schemas.openxmlformats.org/officeDocument/2006/relationships/hyperlink" Target="mailto:martaelascano@hotmail.com" TargetMode="External"/><Relationship Id="rId1129" Type="http://schemas.openxmlformats.org/officeDocument/2006/relationships/hyperlink" Target="mailto:lussianasg@gmail.com" TargetMode="External"/><Relationship Id="rId1683" Type="http://schemas.openxmlformats.org/officeDocument/2006/relationships/hyperlink" Target="mailto:deborahaguirre@live.com.ar" TargetMode="External"/><Relationship Id="rId706" Type="http://schemas.openxmlformats.org/officeDocument/2006/relationships/hyperlink" Target="mailto:nadiaabad@live.com" TargetMode="External"/><Relationship Id="rId913" Type="http://schemas.openxmlformats.org/officeDocument/2006/relationships/hyperlink" Target="mailto:rdanielmedina@gmail.com" TargetMode="External"/><Relationship Id="rId1336" Type="http://schemas.openxmlformats.org/officeDocument/2006/relationships/hyperlink" Target="mailto:beatrizguisone@hotmail.com" TargetMode="External"/><Relationship Id="rId1543" Type="http://schemas.openxmlformats.org/officeDocument/2006/relationships/hyperlink" Target="mailto:mbork@arnet.com.ar" TargetMode="External"/><Relationship Id="rId42" Type="http://schemas.openxmlformats.org/officeDocument/2006/relationships/hyperlink" Target="mailto:doctohumanidades@gmail.com" TargetMode="External"/><Relationship Id="rId1403" Type="http://schemas.openxmlformats.org/officeDocument/2006/relationships/hyperlink" Target="mailto:gelucontreras@hotmail.com" TargetMode="External"/><Relationship Id="rId1610" Type="http://schemas.openxmlformats.org/officeDocument/2006/relationships/hyperlink" Target="mailto:juan_f18_8@hotmail.com" TargetMode="External"/><Relationship Id="rId191" Type="http://schemas.openxmlformats.org/officeDocument/2006/relationships/hyperlink" Target="mailto:natyromesa@hotmail.com" TargetMode="External"/><Relationship Id="rId1708" Type="http://schemas.openxmlformats.org/officeDocument/2006/relationships/hyperlink" Target="mailto:nadiaabad@live.com" TargetMode="External"/><Relationship Id="rId289" Type="http://schemas.openxmlformats.org/officeDocument/2006/relationships/hyperlink" Target="mailto:danieltorielli@gmail.com" TargetMode="External"/><Relationship Id="rId496" Type="http://schemas.openxmlformats.org/officeDocument/2006/relationships/hyperlink" Target="mailto:nadiaabad@live.com" TargetMode="External"/><Relationship Id="rId149" Type="http://schemas.openxmlformats.org/officeDocument/2006/relationships/hyperlink" Target="mailto:marianaorce@yahoo.com.ar" TargetMode="External"/><Relationship Id="rId356" Type="http://schemas.openxmlformats.org/officeDocument/2006/relationships/hyperlink" Target="mailto:msr_monique@hotmail.com" TargetMode="External"/><Relationship Id="rId563" Type="http://schemas.openxmlformats.org/officeDocument/2006/relationships/hyperlink" Target="mailto:nadiaabad@live.com" TargetMode="External"/><Relationship Id="rId770" Type="http://schemas.openxmlformats.org/officeDocument/2006/relationships/hyperlink" Target="mailto:nadiaabad@live.com" TargetMode="External"/><Relationship Id="rId1193" Type="http://schemas.openxmlformats.org/officeDocument/2006/relationships/hyperlink" Target="mailto:viviegomez@hotmail.com" TargetMode="External"/><Relationship Id="rId216" Type="http://schemas.openxmlformats.org/officeDocument/2006/relationships/hyperlink" Target="mailto:eugeniadebes@hotmail.com.ar" TargetMode="External"/><Relationship Id="rId423" Type="http://schemas.openxmlformats.org/officeDocument/2006/relationships/hyperlink" Target="mailto:mtula@rectorado.unt.edu.ar" TargetMode="External"/><Relationship Id="rId868" Type="http://schemas.openxmlformats.org/officeDocument/2006/relationships/hyperlink" Target="mailto:lucremirande@live.com.ar" TargetMode="External"/><Relationship Id="rId1053" Type="http://schemas.openxmlformats.org/officeDocument/2006/relationships/hyperlink" Target="mailto:gloriaklyver@yahoo.com.ar" TargetMode="External"/><Relationship Id="rId1260" Type="http://schemas.openxmlformats.org/officeDocument/2006/relationships/hyperlink" Target="mailto:ulisesflores25@hotmail.com" TargetMode="External"/><Relationship Id="rId1498" Type="http://schemas.openxmlformats.org/officeDocument/2006/relationships/hyperlink" Target="mailto:lucascanceco6@gmail.com" TargetMode="External"/><Relationship Id="rId630" Type="http://schemas.openxmlformats.org/officeDocument/2006/relationships/hyperlink" Target="mailto:nadiaabad@live.com" TargetMode="External"/><Relationship Id="rId728" Type="http://schemas.openxmlformats.org/officeDocument/2006/relationships/hyperlink" Target="mailto:nadiaabad@live.com" TargetMode="External"/><Relationship Id="rId935" Type="http://schemas.openxmlformats.org/officeDocument/2006/relationships/hyperlink" Target="mailto:aulas@psicologia.unt.edu.ar" TargetMode="External"/><Relationship Id="rId1358" Type="http://schemas.openxmlformats.org/officeDocument/2006/relationships/hyperlink" Target="mailto:ggdecima@hotmail.com" TargetMode="External"/><Relationship Id="rId1565" Type="http://schemas.openxmlformats.org/officeDocument/2006/relationships/hyperlink" Target="mailto:luiselcampeon2011@hotmail.com" TargetMode="External"/><Relationship Id="rId64" Type="http://schemas.openxmlformats.org/officeDocument/2006/relationships/hyperlink" Target="mailto:proftomasrios@gmail.com" TargetMode="External"/><Relationship Id="rId1120" Type="http://schemas.openxmlformats.org/officeDocument/2006/relationships/hyperlink" Target="mailto:noe_mercurio@hotmail.com" TargetMode="External"/><Relationship Id="rId1218" Type="http://schemas.openxmlformats.org/officeDocument/2006/relationships/hyperlink" Target="mailto:agustinagarnica84@gmail.com" TargetMode="External"/><Relationship Id="rId1425" Type="http://schemas.openxmlformats.org/officeDocument/2006/relationships/hyperlink" Target="mailto:nadiachiappino@hotmail.com" TargetMode="External"/><Relationship Id="rId1632" Type="http://schemas.openxmlformats.org/officeDocument/2006/relationships/hyperlink" Target="mailto:andradamaria@gmail.com" TargetMode="External"/><Relationship Id="rId280" Type="http://schemas.openxmlformats.org/officeDocument/2006/relationships/hyperlink" Target="mailto:ana_27_lia@hotmail.com" TargetMode="External"/><Relationship Id="rId140" Type="http://schemas.openxmlformats.org/officeDocument/2006/relationships/hyperlink" Target="mailto:waldinash@yahoo.com.ar" TargetMode="External"/><Relationship Id="rId378" Type="http://schemas.openxmlformats.org/officeDocument/2006/relationships/hyperlink" Target="mailto:li5539@hotmail.com" TargetMode="External"/><Relationship Id="rId585" Type="http://schemas.openxmlformats.org/officeDocument/2006/relationships/hyperlink" Target="mailto:nadiaabad@live.com" TargetMode="External"/><Relationship Id="rId792" Type="http://schemas.openxmlformats.org/officeDocument/2006/relationships/hyperlink" Target="mailto:nadiaabad@live.com" TargetMode="External"/><Relationship Id="rId6" Type="http://schemas.openxmlformats.org/officeDocument/2006/relationships/hyperlink" Target="mailto:bodyromanonorri@hotmail.com" TargetMode="External"/><Relationship Id="rId238" Type="http://schemas.openxmlformats.org/officeDocument/2006/relationships/hyperlink" Target="mailto:alejandro.olivencia@gmail.com" TargetMode="External"/><Relationship Id="rId445" Type="http://schemas.openxmlformats.org/officeDocument/2006/relationships/hyperlink" Target="mailto:mariabeatrizsalarea@hotmail.com" TargetMode="External"/><Relationship Id="rId652" Type="http://schemas.openxmlformats.org/officeDocument/2006/relationships/hyperlink" Target="mailto:nadiaabad@live.com" TargetMode="External"/><Relationship Id="rId1075" Type="http://schemas.openxmlformats.org/officeDocument/2006/relationships/hyperlink" Target="mailto:alejandrosebastianjatib@live.com" TargetMode="External"/><Relationship Id="rId1282" Type="http://schemas.openxmlformats.org/officeDocument/2006/relationships/hyperlink" Target="mailto:gachi.fer4978@gmail.com" TargetMode="External"/><Relationship Id="rId305" Type="http://schemas.openxmlformats.org/officeDocument/2006/relationships/hyperlink" Target="mailto:epalomar@rectorado.unt.edu.ar" TargetMode="External"/><Relationship Id="rId512" Type="http://schemas.openxmlformats.org/officeDocument/2006/relationships/hyperlink" Target="mailto:nadiaabad@live.com" TargetMode="External"/><Relationship Id="rId957" Type="http://schemas.openxmlformats.org/officeDocument/2006/relationships/hyperlink" Target="mailto:marcosluce@hotmail.com" TargetMode="External"/><Relationship Id="rId1142" Type="http://schemas.openxmlformats.org/officeDocument/2006/relationships/hyperlink" Target="mailto:sicrigufe@yahoo.com.ar" TargetMode="External"/><Relationship Id="rId1587" Type="http://schemas.openxmlformats.org/officeDocument/2006/relationships/hyperlink" Target="mailto:roxana_augier@hotmail.com" TargetMode="External"/><Relationship Id="rId86" Type="http://schemas.openxmlformats.org/officeDocument/2006/relationships/hyperlink" Target="mailto:pablompacheco@csnat.unt.edu.ar" TargetMode="External"/><Relationship Id="rId817" Type="http://schemas.openxmlformats.org/officeDocument/2006/relationships/hyperlink" Target="mailto:navarrov@fm.unt.edu.ar" TargetMode="External"/><Relationship Id="rId1002" Type="http://schemas.openxmlformats.org/officeDocument/2006/relationships/hyperlink" Target="mailto:malizarraga83@hotmail.com" TargetMode="External"/><Relationship Id="rId1447" Type="http://schemas.openxmlformats.org/officeDocument/2006/relationships/hyperlink" Target="mailto:rom_tafi@hotmail.com" TargetMode="External"/><Relationship Id="rId1654" Type="http://schemas.openxmlformats.org/officeDocument/2006/relationships/hyperlink" Target="mailto:mariano_edu@hotmail.com" TargetMode="External"/><Relationship Id="rId1307" Type="http://schemas.openxmlformats.org/officeDocument/2006/relationships/hyperlink" Target="mailto:mariela9_2@hotmail.com" TargetMode="External"/><Relationship Id="rId1514" Type="http://schemas.openxmlformats.org/officeDocument/2006/relationships/hyperlink" Target="mailto:edu_locopito@hotmail.com" TargetMode="External"/><Relationship Id="rId13" Type="http://schemas.openxmlformats.org/officeDocument/2006/relationships/hyperlink" Target="mailto:ritoledo61@gmail.com" TargetMode="External"/><Relationship Id="rId162" Type="http://schemas.openxmlformats.org/officeDocument/2006/relationships/hyperlink" Target="mailto:rikicsna@gmail.com" TargetMode="External"/><Relationship Id="rId467" Type="http://schemas.openxmlformats.org/officeDocument/2006/relationships/hyperlink" Target="mailto:pedroguillermoveliz@gmail.com" TargetMode="External"/><Relationship Id="rId1097" Type="http://schemas.openxmlformats.org/officeDocument/2006/relationships/hyperlink" Target="mailto:albertiabarra@hotmail.com" TargetMode="External"/><Relationship Id="rId674" Type="http://schemas.openxmlformats.org/officeDocument/2006/relationships/hyperlink" Target="mailto:nadiaabad@live.com" TargetMode="External"/><Relationship Id="rId881" Type="http://schemas.openxmlformats.org/officeDocument/2006/relationships/hyperlink" Target="mailto:deleadm@psicologia.unt.edu.ar" TargetMode="External"/><Relationship Id="rId979" Type="http://schemas.openxmlformats.org/officeDocument/2006/relationships/hyperlink" Target="mailto:tatitalopez@hotmail.com" TargetMode="External"/><Relationship Id="rId327" Type="http://schemas.openxmlformats.org/officeDocument/2006/relationships/hyperlink" Target="mailto:patoolmos21@yahoo.com.ar" TargetMode="External"/><Relationship Id="rId534" Type="http://schemas.openxmlformats.org/officeDocument/2006/relationships/hyperlink" Target="mailto:nadiaabad@live.com" TargetMode="External"/><Relationship Id="rId741" Type="http://schemas.openxmlformats.org/officeDocument/2006/relationships/hyperlink" Target="mailto:nadiaabad@live.com" TargetMode="External"/><Relationship Id="rId839" Type="http://schemas.openxmlformats.org/officeDocument/2006/relationships/hyperlink" Target="mailto:mmorfil@herrera.unt.edu.ar" TargetMode="External"/><Relationship Id="rId1164" Type="http://schemas.openxmlformats.org/officeDocument/2006/relationships/hyperlink" Target="mailto:asigo@hotmail.com" TargetMode="External"/><Relationship Id="rId1371" Type="http://schemas.openxmlformats.org/officeDocument/2006/relationships/hyperlink" Target="mailto:ana_mariacuevas@hotmail.com" TargetMode="External"/><Relationship Id="rId1469" Type="http://schemas.openxmlformats.org/officeDocument/2006/relationships/hyperlink" Target="mailto:sercar@csnat.unt.edu.ar" TargetMode="External"/><Relationship Id="rId601" Type="http://schemas.openxmlformats.org/officeDocument/2006/relationships/hyperlink" Target="mailto:nadiaabad@live.com" TargetMode="External"/><Relationship Id="rId1024" Type="http://schemas.openxmlformats.org/officeDocument/2006/relationships/hyperlink" Target="mailto:mvledezma@gmail.com" TargetMode="External"/><Relationship Id="rId1231" Type="http://schemas.openxmlformats.org/officeDocument/2006/relationships/hyperlink" Target="mailto:negufolk@hotmail.com" TargetMode="External"/><Relationship Id="rId1676" Type="http://schemas.openxmlformats.org/officeDocument/2006/relationships/hyperlink" Target="mailto:conradoalara@gmail.com" TargetMode="External"/><Relationship Id="rId906" Type="http://schemas.openxmlformats.org/officeDocument/2006/relationships/hyperlink" Target="mailto:acantelier@herrera.unt.edu.ar" TargetMode="External"/><Relationship Id="rId1329" Type="http://schemas.openxmlformats.org/officeDocument/2006/relationships/hyperlink" Target="mailto:secdecana@psicologia.unt.edu.ar" TargetMode="External"/><Relationship Id="rId1536" Type="http://schemas.openxmlformats.org/officeDocument/2006/relationships/hyperlink" Target="mailto:amaliagranelli@gmail.com" TargetMode="External"/><Relationship Id="rId35" Type="http://schemas.openxmlformats.org/officeDocument/2006/relationships/hyperlink" Target="mailto:charlyreynoso@gmail.com" TargetMode="External"/><Relationship Id="rId1603" Type="http://schemas.openxmlformats.org/officeDocument/2006/relationships/hyperlink" Target="mailto:aripanamaria@gmail.com" TargetMode="External"/><Relationship Id="rId184" Type="http://schemas.openxmlformats.org/officeDocument/2006/relationships/hyperlink" Target="mailto:fernandojustinianorodriguez@hotmail.com" TargetMode="External"/><Relationship Id="rId391" Type="http://schemas.openxmlformats.org/officeDocument/2006/relationships/hyperlink" Target="mailto:debip20@yahoo.com.ar" TargetMode="External"/><Relationship Id="rId251" Type="http://schemas.openxmlformats.org/officeDocument/2006/relationships/hyperlink" Target="mailto:cerpacu@yahoo.com.ar" TargetMode="External"/><Relationship Id="rId489" Type="http://schemas.openxmlformats.org/officeDocument/2006/relationships/hyperlink" Target="mailto:maritasujeros@hotmail.com" TargetMode="External"/><Relationship Id="rId696" Type="http://schemas.openxmlformats.org/officeDocument/2006/relationships/hyperlink" Target="mailto:nadiaabad@live.com" TargetMode="External"/><Relationship Id="rId349" Type="http://schemas.openxmlformats.org/officeDocument/2006/relationships/hyperlink" Target="mailto:prof-jmz@hotmail.com" TargetMode="External"/><Relationship Id="rId556" Type="http://schemas.openxmlformats.org/officeDocument/2006/relationships/hyperlink" Target="mailto:nadiaabad@live.com" TargetMode="External"/><Relationship Id="rId763" Type="http://schemas.openxmlformats.org/officeDocument/2006/relationships/hyperlink" Target="mailto:nadiaabad@live.com" TargetMode="External"/><Relationship Id="rId1186" Type="http://schemas.openxmlformats.org/officeDocument/2006/relationships/hyperlink" Target="mailto:silvinanataliagomez@gmail.com" TargetMode="External"/><Relationship Id="rId1393" Type="http://schemas.openxmlformats.org/officeDocument/2006/relationships/hyperlink" Target="mailto:charles.corrado@gmail.com" TargetMode="External"/><Relationship Id="rId111" Type="http://schemas.openxmlformats.org/officeDocument/2006/relationships/hyperlink" Target="mailto:corphee@fbqf.unt.edu.ar" TargetMode="External"/><Relationship Id="rId209" Type="http://schemas.openxmlformats.org/officeDocument/2006/relationships/hyperlink" Target="mailto:walter01_sg@hotmail.com" TargetMode="External"/><Relationship Id="rId416" Type="http://schemas.openxmlformats.org/officeDocument/2006/relationships/hyperlink" Target="mailto:andriu_sc@hotmail.com&#160;" TargetMode="External"/><Relationship Id="rId970" Type="http://schemas.openxmlformats.org/officeDocument/2006/relationships/hyperlink" Target="mailto:opondal@lillo.org.ar" TargetMode="External"/><Relationship Id="rId1046" Type="http://schemas.openxmlformats.org/officeDocument/2006/relationships/hyperlink" Target="mailto:smlatina05@gmail.com" TargetMode="External"/><Relationship Id="rId1253" Type="http://schemas.openxmlformats.org/officeDocument/2006/relationships/hyperlink" Target="mailto:eafranco15@aol.com" TargetMode="External"/><Relationship Id="rId1698" Type="http://schemas.openxmlformats.org/officeDocument/2006/relationships/hyperlink" Target="mailto:calolo340@hotmail.com" TargetMode="External"/><Relationship Id="rId623" Type="http://schemas.openxmlformats.org/officeDocument/2006/relationships/hyperlink" Target="mailto:nadiaabad@live.com" TargetMode="External"/><Relationship Id="rId830" Type="http://schemas.openxmlformats.org/officeDocument/2006/relationships/hyperlink" Target="mailto:murillojuanchi@gmail.com" TargetMode="External"/><Relationship Id="rId928" Type="http://schemas.openxmlformats.org/officeDocument/2006/relationships/hyperlink" Target="mailto:gatobtb@gmail.com" TargetMode="External"/><Relationship Id="rId1460" Type="http://schemas.openxmlformats.org/officeDocument/2006/relationships/hyperlink" Target="mailto:marcoscassara@yahoo.com.ar" TargetMode="External"/><Relationship Id="rId1558" Type="http://schemas.openxmlformats.org/officeDocument/2006/relationships/hyperlink" Target="mailto:melybelizan@hotmail.com" TargetMode="External"/><Relationship Id="rId57" Type="http://schemas.openxmlformats.org/officeDocument/2006/relationships/hyperlink" Target="mailto:estefi48@hotmail.com" TargetMode="External"/><Relationship Id="rId1113" Type="http://schemas.openxmlformats.org/officeDocument/2006/relationships/hyperlink" Target="mailto:luishernandezsolbes@hotmail.com" TargetMode="External"/><Relationship Id="rId1320" Type="http://schemas.openxmlformats.org/officeDocument/2006/relationships/hyperlink" Target="mailto:rosana.dominguez@hotmail.com" TargetMode="External"/><Relationship Id="rId1418" Type="http://schemas.openxmlformats.org/officeDocument/2006/relationships/hyperlink" Target="mailto:jjcisterna@yahoo.com" TargetMode="External"/><Relationship Id="rId1625" Type="http://schemas.openxmlformats.org/officeDocument/2006/relationships/hyperlink" Target="mailto:aragondechebaia@yahoo.com.ar" TargetMode="External"/><Relationship Id="rId273" Type="http://schemas.openxmlformats.org/officeDocument/2006/relationships/hyperlink" Target="mailto:adrianapaez@yahoo.com" TargetMode="External"/><Relationship Id="rId480" Type="http://schemas.openxmlformats.org/officeDocument/2006/relationships/hyperlink" Target="mailto:mpauserra@gmail.com" TargetMode="External"/><Relationship Id="rId133" Type="http://schemas.openxmlformats.org/officeDocument/2006/relationships/hyperlink" Target="mailto:ssarris@herrera.unt.edu.ar" TargetMode="External"/><Relationship Id="rId340" Type="http://schemas.openxmlformats.org/officeDocument/2006/relationships/hyperlink" Target="mailto:sastreclara@hotmail.com" TargetMode="External"/><Relationship Id="rId578" Type="http://schemas.openxmlformats.org/officeDocument/2006/relationships/hyperlink" Target="mailto:nadiaabad@live.com" TargetMode="External"/><Relationship Id="rId785" Type="http://schemas.openxmlformats.org/officeDocument/2006/relationships/hyperlink" Target="mailto:nadiaabad@live.com" TargetMode="External"/><Relationship Id="rId992" Type="http://schemas.openxmlformats.org/officeDocument/2006/relationships/hyperlink" Target="mailto:luisabrahan@hotmail.com" TargetMode="External"/><Relationship Id="rId200" Type="http://schemas.openxmlformats.org/officeDocument/2006/relationships/hyperlink" Target="mailto:mhtorres75@yahoo.com.ar" TargetMode="External"/><Relationship Id="rId438" Type="http://schemas.openxmlformats.org/officeDocument/2006/relationships/hyperlink" Target="mailto:asalvatierra@ct.unt.edu.ar" TargetMode="External"/><Relationship Id="rId645" Type="http://schemas.openxmlformats.org/officeDocument/2006/relationships/hyperlink" Target="mailto:nadiaabad@live.com" TargetMode="External"/><Relationship Id="rId852" Type="http://schemas.openxmlformats.org/officeDocument/2006/relationships/hyperlink" Target="mailto:lu_morales@hotmail.com" TargetMode="External"/><Relationship Id="rId1068" Type="http://schemas.openxmlformats.org/officeDocument/2006/relationships/hyperlink" Target="mailto:mari_jimenez81@hotmail.com" TargetMode="External"/><Relationship Id="rId1275" Type="http://schemas.openxmlformats.org/officeDocument/2006/relationships/hyperlink" Target="mailto:eugearisti@hotmail.com" TargetMode="External"/><Relationship Id="rId1482" Type="http://schemas.openxmlformats.org/officeDocument/2006/relationships/hyperlink" Target="mailto:arturocarrasco78@yahoo.com.ar" TargetMode="External"/><Relationship Id="rId505" Type="http://schemas.openxmlformats.org/officeDocument/2006/relationships/hyperlink" Target="mailto:nadiaabad@live.com" TargetMode="External"/><Relationship Id="rId712" Type="http://schemas.openxmlformats.org/officeDocument/2006/relationships/hyperlink" Target="mailto:nadiaabad@live.com" TargetMode="External"/><Relationship Id="rId1135" Type="http://schemas.openxmlformats.org/officeDocument/2006/relationships/hyperlink" Target="mailto:marvir_8@hotmail.com" TargetMode="External"/><Relationship Id="rId1342" Type="http://schemas.openxmlformats.org/officeDocument/2006/relationships/hyperlink" Target="mailto:wdiaz@fbqf.unt.edu.ar" TargetMode="External"/><Relationship Id="rId79" Type="http://schemas.openxmlformats.org/officeDocument/2006/relationships/hyperlink" Target="mailto:jcrigazzio.eue@hotmail.com" TargetMode="External"/><Relationship Id="rId1202" Type="http://schemas.openxmlformats.org/officeDocument/2006/relationships/hyperlink" Target="mailto:chito_boby@hotmail.com" TargetMode="External"/><Relationship Id="rId1647" Type="http://schemas.openxmlformats.org/officeDocument/2006/relationships/hyperlink" Target="mailto:alvarezva@hotmail.com" TargetMode="External"/><Relationship Id="rId1507" Type="http://schemas.openxmlformats.org/officeDocument/2006/relationships/hyperlink" Target="mailto:eas@eas.unt.edu.ar" TargetMode="External"/><Relationship Id="rId295" Type="http://schemas.openxmlformats.org/officeDocument/2006/relationships/hyperlink" Target="mailto:dgp_decano@hotmail.com.ar" TargetMode="External"/><Relationship Id="rId155" Type="http://schemas.openxmlformats.org/officeDocument/2006/relationships/hyperlink" Target="mailto:comunicaciones@psicologia.unt.edu.ar" TargetMode="External"/><Relationship Id="rId362" Type="http://schemas.openxmlformats.org/officeDocument/2006/relationships/hyperlink" Target="mailto:informes@derecho.unt.edu.ar" TargetMode="External"/><Relationship Id="rId1297" Type="http://schemas.openxmlformats.org/officeDocument/2006/relationships/hyperlink" Target="mailto:julianafc93@hotmail.com" TargetMode="External"/><Relationship Id="rId222" Type="http://schemas.openxmlformats.org/officeDocument/2006/relationships/hyperlink" Target="mailto:sos_933@hotmail.com" TargetMode="External"/><Relationship Id="rId667" Type="http://schemas.openxmlformats.org/officeDocument/2006/relationships/hyperlink" Target="mailto:nadiaabad@live.com" TargetMode="External"/><Relationship Id="rId874" Type="http://schemas.openxmlformats.org/officeDocument/2006/relationships/hyperlink" Target="mailto:alejandraunt@yahoo.com.ar" TargetMode="External"/><Relationship Id="rId527" Type="http://schemas.openxmlformats.org/officeDocument/2006/relationships/hyperlink" Target="mailto:nadiaabad@live.com" TargetMode="External"/><Relationship Id="rId734" Type="http://schemas.openxmlformats.org/officeDocument/2006/relationships/hyperlink" Target="mailto:nadiaabad@live.com" TargetMode="External"/><Relationship Id="rId941" Type="http://schemas.openxmlformats.org/officeDocument/2006/relationships/hyperlink" Target="mailto:gracieladevillalba001@yahoo.com.ar" TargetMode="External"/><Relationship Id="rId1157" Type="http://schemas.openxmlformats.org/officeDocument/2006/relationships/hyperlink" Target="mailto:octavio_calderon@hotmail.com" TargetMode="External"/><Relationship Id="rId1364" Type="http://schemas.openxmlformats.org/officeDocument/2006/relationships/hyperlink" Target="mailto:ricardodeazarloza@yahoo.com.ar" TargetMode="External"/><Relationship Id="rId1571" Type="http://schemas.openxmlformats.org/officeDocument/2006/relationships/hyperlink" Target="mailto:barrazanancy@hotmail.com" TargetMode="External"/><Relationship Id="rId70" Type="http://schemas.openxmlformats.org/officeDocument/2006/relationships/hyperlink" Target="mailto:marcelagsanchez@hotmail.com" TargetMode="External"/><Relationship Id="rId801" Type="http://schemas.openxmlformats.org/officeDocument/2006/relationships/hyperlink" Target="mailto:nadiaabad@live.com" TargetMode="External"/><Relationship Id="rId1017" Type="http://schemas.openxmlformats.org/officeDocument/2006/relationships/hyperlink" Target="mailto:lilianalema_07@hotmail.com" TargetMode="External"/><Relationship Id="rId1224" Type="http://schemas.openxmlformats.org/officeDocument/2006/relationships/hyperlink" Target="mailto:brendaqserna@hotmail.com" TargetMode="External"/><Relationship Id="rId1431" Type="http://schemas.openxmlformats.org/officeDocument/2006/relationships/hyperlink" Target="mailto:schazarreta@herrera.unt.edu.ar" TargetMode="External"/><Relationship Id="rId1669" Type="http://schemas.openxmlformats.org/officeDocument/2006/relationships/hyperlink" Target="mailto:m.alarcon540@gmail.com" TargetMode="External"/><Relationship Id="rId1529" Type="http://schemas.openxmlformats.org/officeDocument/2006/relationships/hyperlink" Target="mailto:juliobulacio@hotmail.com" TargetMode="External"/><Relationship Id="rId28" Type="http://schemas.openxmlformats.org/officeDocument/2006/relationships/hyperlink" Target="mailto:daiana567@hotmail.com" TargetMode="External"/><Relationship Id="rId177" Type="http://schemas.openxmlformats.org/officeDocument/2006/relationships/hyperlink" Target="mailto:anavalladares@rectorado.unt.edu.ar" TargetMode="External"/><Relationship Id="rId384" Type="http://schemas.openxmlformats.org/officeDocument/2006/relationships/hyperlink" Target="mailto:vrunco@live.com.ar" TargetMode="External"/><Relationship Id="rId591" Type="http://schemas.openxmlformats.org/officeDocument/2006/relationships/hyperlink" Target="mailto:nadiaabad@live.com" TargetMode="External"/><Relationship Id="rId244" Type="http://schemas.openxmlformats.org/officeDocument/2006/relationships/hyperlink" Target="mailto:marcevare2006@hotmail.com" TargetMode="External"/><Relationship Id="rId689" Type="http://schemas.openxmlformats.org/officeDocument/2006/relationships/hyperlink" Target="mailto:nadiaabad@live.com" TargetMode="External"/><Relationship Id="rId896" Type="http://schemas.openxmlformats.org/officeDocument/2006/relationships/hyperlink" Target="mailto:rmenchini@hotmail.com" TargetMode="External"/><Relationship Id="rId1081" Type="http://schemas.openxmlformats.org/officeDocument/2006/relationships/hyperlink" Target="mailto:javieresjim@hotmail.com" TargetMode="External"/><Relationship Id="rId451" Type="http://schemas.openxmlformats.org/officeDocument/2006/relationships/hyperlink" Target="mailto:hyelpo@hotmail.com" TargetMode="External"/><Relationship Id="rId549" Type="http://schemas.openxmlformats.org/officeDocument/2006/relationships/hyperlink" Target="mailto:nadiaabad@live.com" TargetMode="External"/><Relationship Id="rId756" Type="http://schemas.openxmlformats.org/officeDocument/2006/relationships/hyperlink" Target="mailto:nadiaabad@live.com" TargetMode="External"/><Relationship Id="rId1179" Type="http://schemas.openxmlformats.org/officeDocument/2006/relationships/hyperlink" Target="mailto:waltergomez-@hotmail.com" TargetMode="External"/><Relationship Id="rId1386" Type="http://schemas.openxmlformats.org/officeDocument/2006/relationships/hyperlink" Target="mailto:iregar@volsinectis.com.ar" TargetMode="External"/><Relationship Id="rId1593" Type="http://schemas.openxmlformats.org/officeDocument/2006/relationships/hyperlink" Target="mailto:ptbiblcet@herrera.unt.edu.ar" TargetMode="External"/><Relationship Id="rId104" Type="http://schemas.openxmlformats.org/officeDocument/2006/relationships/hyperlink" Target="mailto:ryustefontana@gmail.com" TargetMode="External"/><Relationship Id="rId311" Type="http://schemas.openxmlformats.org/officeDocument/2006/relationships/hyperlink" Target="mailto:mariavictorianunez@hotmail.com" TargetMode="External"/><Relationship Id="rId409" Type="http://schemas.openxmlformats.org/officeDocument/2006/relationships/hyperlink" Target="mailto:mtrodri29@yahoo.com.ar" TargetMode="External"/><Relationship Id="rId963" Type="http://schemas.openxmlformats.org/officeDocument/2006/relationships/hyperlink" Target="mailto:mariacarolinamaggio@gmail.com" TargetMode="External"/><Relationship Id="rId1039" Type="http://schemas.openxmlformats.org/officeDocument/2006/relationships/hyperlink" Target="mailto:clatinavidal@gmail.com" TargetMode="External"/><Relationship Id="rId1246" Type="http://schemas.openxmlformats.org/officeDocument/2006/relationships/hyperlink" Target="mailto:galvanjorge24@yahoo.com.ar" TargetMode="External"/><Relationship Id="rId92" Type="http://schemas.openxmlformats.org/officeDocument/2006/relationships/hyperlink" Target="mailto:chunchip@hotmail.com" TargetMode="External"/><Relationship Id="rId616" Type="http://schemas.openxmlformats.org/officeDocument/2006/relationships/hyperlink" Target="mailto:nadiaabad@live.com" TargetMode="External"/><Relationship Id="rId823" Type="http://schemas.openxmlformats.org/officeDocument/2006/relationships/hyperlink" Target="mailto:nadolnynorma@yahoo.com.ar" TargetMode="External"/><Relationship Id="rId1453" Type="http://schemas.openxmlformats.org/officeDocument/2006/relationships/hyperlink" Target="mailto:karicatania@hotmail.com" TargetMode="External"/><Relationship Id="rId1660" Type="http://schemas.openxmlformats.org/officeDocument/2006/relationships/hyperlink" Target="mailto:malenaalcorta@hotmail.com" TargetMode="External"/><Relationship Id="rId1106" Type="http://schemas.openxmlformats.org/officeDocument/2006/relationships/hyperlink" Target="mailto:exenet_55@hotmail.com" TargetMode="External"/><Relationship Id="rId1313" Type="http://schemas.openxmlformats.org/officeDocument/2006/relationships/hyperlink" Target="mailto:luisalfredo.esteban@gmail.com" TargetMode="External"/><Relationship Id="rId1520" Type="http://schemas.openxmlformats.org/officeDocument/2006/relationships/hyperlink" Target="mailto:verobustos67@hotmail.com" TargetMode="External"/><Relationship Id="rId1618" Type="http://schemas.openxmlformats.org/officeDocument/2006/relationships/hyperlink" Target="mailto:aida.soraya.89@gmail.com" TargetMode="External"/><Relationship Id="rId199" Type="http://schemas.openxmlformats.org/officeDocument/2006/relationships/hyperlink" Target="mailto:pabloyaneztuc@hotmail.com" TargetMode="External"/><Relationship Id="rId266" Type="http://schemas.openxmlformats.org/officeDocument/2006/relationships/hyperlink" Target="mailto:flor_05_35@hotmail.com" TargetMode="External"/><Relationship Id="rId473" Type="http://schemas.openxmlformats.org/officeDocument/2006/relationships/hyperlink" Target="mailto:rzelaya@csnat.unt.edu.ar" TargetMode="External"/><Relationship Id="rId680" Type="http://schemas.openxmlformats.org/officeDocument/2006/relationships/hyperlink" Target="mailto:nadiaabad@live.com" TargetMode="External"/><Relationship Id="rId126" Type="http://schemas.openxmlformats.org/officeDocument/2006/relationships/hyperlink" Target="mailto:danielarl_negro@live.com.ar" TargetMode="External"/><Relationship Id="rId333" Type="http://schemas.openxmlformats.org/officeDocument/2006/relationships/hyperlink" Target="mailto:mportillo@herrera.unt.edu.ar" TargetMode="External"/><Relationship Id="rId540" Type="http://schemas.openxmlformats.org/officeDocument/2006/relationships/hyperlink" Target="mailto:nadiaabad@live.com" TargetMode="External"/><Relationship Id="rId778" Type="http://schemas.openxmlformats.org/officeDocument/2006/relationships/hyperlink" Target="mailto:nadiaabad@live.com" TargetMode="External"/><Relationship Id="rId985" Type="http://schemas.openxmlformats.org/officeDocument/2006/relationships/hyperlink" Target="mailto:sebastianwlopez@gmail.com" TargetMode="External"/><Relationship Id="rId1170" Type="http://schemas.openxmlformats.org/officeDocument/2006/relationships/hyperlink" Target="mailto:inesgonzalez2011@hotmail.com" TargetMode="External"/><Relationship Id="rId638" Type="http://schemas.openxmlformats.org/officeDocument/2006/relationships/hyperlink" Target="mailto:nadiaabad@live.com" TargetMode="External"/><Relationship Id="rId845" Type="http://schemas.openxmlformats.org/officeDocument/2006/relationships/hyperlink" Target="mailto:arqluciernaga@hotmail.com" TargetMode="External"/><Relationship Id="rId1030" Type="http://schemas.openxmlformats.org/officeDocument/2006/relationships/hyperlink" Target="mailto:freddylanciotti@gmail.com" TargetMode="External"/><Relationship Id="rId1268" Type="http://schemas.openxmlformats.org/officeDocument/2006/relationships/hyperlink" Target="mailto:karolyne80_1@hotmail.com" TargetMode="External"/><Relationship Id="rId1475" Type="http://schemas.openxmlformats.org/officeDocument/2006/relationships/hyperlink" Target="mailto:dptocomprasfaz@faz.unt.edu.ar" TargetMode="External"/><Relationship Id="rId1682" Type="http://schemas.openxmlformats.org/officeDocument/2006/relationships/hyperlink" Target="mailto:jardinbotanico@lillo.org.ar" TargetMode="External"/><Relationship Id="rId400" Type="http://schemas.openxmlformats.org/officeDocument/2006/relationships/hyperlink" Target="mailto:genarosanchez3@gmail.com" TargetMode="External"/><Relationship Id="rId705" Type="http://schemas.openxmlformats.org/officeDocument/2006/relationships/hyperlink" Target="mailto:nadiaabad@live.com" TargetMode="External"/><Relationship Id="rId1128" Type="http://schemas.openxmlformats.org/officeDocument/2006/relationships/hyperlink" Target="mailto:rguzman@herrera.unt.edu.ar" TargetMode="External"/><Relationship Id="rId1335" Type="http://schemas.openxmlformats.org/officeDocument/2006/relationships/hyperlink" Target="mailto:julietadiezojeda@derecho.unt.edu.ar" TargetMode="External"/><Relationship Id="rId1542" Type="http://schemas.openxmlformats.org/officeDocument/2006/relationships/hyperlink" Target="mailto:edborquez@hotmail.com&#160;" TargetMode="External"/><Relationship Id="rId912" Type="http://schemas.openxmlformats.org/officeDocument/2006/relationships/hyperlink" Target="mailto:medinamariela@hotmail.es" TargetMode="External"/><Relationship Id="rId41" Type="http://schemas.openxmlformats.org/officeDocument/2006/relationships/hyperlink" Target="mailto:maricrisselis@gmail.com" TargetMode="External"/><Relationship Id="rId1402" Type="http://schemas.openxmlformats.org/officeDocument/2006/relationships/hyperlink" Target="mailto:mikaconti@hotmail.com" TargetMode="External"/><Relationship Id="rId1707" Type="http://schemas.openxmlformats.org/officeDocument/2006/relationships/hyperlink" Target="mailto:martin17_2@msn.com" TargetMode="External"/><Relationship Id="rId190" Type="http://schemas.openxmlformats.org/officeDocument/2006/relationships/hyperlink" Target="mailto:ignaccio_87@hotmail.com" TargetMode="External"/><Relationship Id="rId288" Type="http://schemas.openxmlformats.org/officeDocument/2006/relationships/hyperlink" Target="mailto:danielatorielli@hotmail.com" TargetMode="External"/><Relationship Id="rId495" Type="http://schemas.openxmlformats.org/officeDocument/2006/relationships/hyperlink" Target="mailto:nadiaabad@live.com" TargetMode="External"/><Relationship Id="rId148" Type="http://schemas.openxmlformats.org/officeDocument/2006/relationships/hyperlink" Target="mailto:sfsosa@gmail.com" TargetMode="External"/><Relationship Id="rId355" Type="http://schemas.openxmlformats.org/officeDocument/2006/relationships/hyperlink" Target="mailto:hectorgruiz@hotmail.com" TargetMode="External"/><Relationship Id="rId562" Type="http://schemas.openxmlformats.org/officeDocument/2006/relationships/hyperlink" Target="mailto:nadiaabad@live.com" TargetMode="External"/><Relationship Id="rId1192" Type="http://schemas.openxmlformats.org/officeDocument/2006/relationships/hyperlink" Target="mailto:gabriel251091@hotmail.com" TargetMode="External"/><Relationship Id="rId215" Type="http://schemas.openxmlformats.org/officeDocument/2006/relationships/hyperlink" Target="mailto:robertov.schoefer@gmail.com" TargetMode="External"/><Relationship Id="rId422" Type="http://schemas.openxmlformats.org/officeDocument/2006/relationships/hyperlink" Target="mailto:lauruffolo@hotmail.com" TargetMode="External"/><Relationship Id="rId867" Type="http://schemas.openxmlformats.org/officeDocument/2006/relationships/hyperlink" Target="mailto:salemab_20@hotmail.com" TargetMode="External"/><Relationship Id="rId1052" Type="http://schemas.openxmlformats.org/officeDocument/2006/relationships/hyperlink" Target="mailto:iru.kolling@gmail.com" TargetMode="External"/><Relationship Id="rId1497" Type="http://schemas.openxmlformats.org/officeDocument/2006/relationships/hyperlink" Target="mailto:elena54ar@gmail.com" TargetMode="External"/><Relationship Id="rId727" Type="http://schemas.openxmlformats.org/officeDocument/2006/relationships/hyperlink" Target="mailto:nadiaabad@live.com" TargetMode="External"/><Relationship Id="rId934" Type="http://schemas.openxmlformats.org/officeDocument/2006/relationships/hyperlink" Target="mailto:fam_19@hotmail.com" TargetMode="External"/><Relationship Id="rId1357" Type="http://schemas.openxmlformats.org/officeDocument/2006/relationships/hyperlink" Target="mailto:fatima_decima@hotmail.com" TargetMode="External"/><Relationship Id="rId1564" Type="http://schemas.openxmlformats.org/officeDocument/2006/relationships/hyperlink" Target="mailto:elmochojuan@hotmail.com" TargetMode="External"/><Relationship Id="rId63" Type="http://schemas.openxmlformats.org/officeDocument/2006/relationships/hyperlink" Target="mailto:carlitarubio@hotmail.com" TargetMode="External"/><Relationship Id="rId1217" Type="http://schemas.openxmlformats.org/officeDocument/2006/relationships/hyperlink" Target="mailto:jfgdelsolar@hotmail.com" TargetMode="External"/><Relationship Id="rId1424" Type="http://schemas.openxmlformats.org/officeDocument/2006/relationships/hyperlink" Target="mailto:javierachaya@hotmail.com" TargetMode="External"/><Relationship Id="rId1631" Type="http://schemas.openxmlformats.org/officeDocument/2006/relationships/hyperlink" Target="mailto:apichela@face.unt.edu.ar" TargetMode="External"/><Relationship Id="rId377" Type="http://schemas.openxmlformats.org/officeDocument/2006/relationships/hyperlink" Target="mailto:luciana_oliva15@hotmail.com" TargetMode="External"/><Relationship Id="rId584" Type="http://schemas.openxmlformats.org/officeDocument/2006/relationships/hyperlink" Target="mailto:nadiaabad@live.com" TargetMode="External"/><Relationship Id="rId5" Type="http://schemas.openxmlformats.org/officeDocument/2006/relationships/hyperlink" Target="mailto:susy1022_1@hotmail.com" TargetMode="External"/><Relationship Id="rId237" Type="http://schemas.openxmlformats.org/officeDocument/2006/relationships/hyperlink" Target="mailto:adrianasaleme@hotmail.com" TargetMode="External"/><Relationship Id="rId791" Type="http://schemas.openxmlformats.org/officeDocument/2006/relationships/hyperlink" Target="mailto:nadiaabad@live.com" TargetMode="External"/><Relationship Id="rId889" Type="http://schemas.openxmlformats.org/officeDocument/2006/relationships/hyperlink" Target="mailto:dolores_medina@yahoo.com.ar" TargetMode="External"/><Relationship Id="rId1074" Type="http://schemas.openxmlformats.org/officeDocument/2006/relationships/hyperlink" Target="mailto:rauljandar@hotmail.com" TargetMode="External"/><Relationship Id="rId444" Type="http://schemas.openxmlformats.org/officeDocument/2006/relationships/hyperlink" Target="mailto:soriamemilia@gmail.com" TargetMode="External"/><Relationship Id="rId651" Type="http://schemas.openxmlformats.org/officeDocument/2006/relationships/hyperlink" Target="mailto:nadiaabad@live.com" TargetMode="External"/><Relationship Id="rId749" Type="http://schemas.openxmlformats.org/officeDocument/2006/relationships/hyperlink" Target="mailto:nadiaabad@live.com" TargetMode="External"/><Relationship Id="rId1281" Type="http://schemas.openxmlformats.org/officeDocument/2006/relationships/hyperlink" Target="mailto:afariasm59@gmail.com" TargetMode="External"/><Relationship Id="rId1379" Type="http://schemas.openxmlformats.org/officeDocument/2006/relationships/hyperlink" Target="mailto:andreacorti_asunt@hotmail.com" TargetMode="External"/><Relationship Id="rId1586" Type="http://schemas.openxmlformats.org/officeDocument/2006/relationships/hyperlink" Target="mailto:rocioausterlitz@hotmail.com" TargetMode="External"/><Relationship Id="rId304" Type="http://schemas.openxmlformats.org/officeDocument/2006/relationships/hyperlink" Target="mailto:carito13_10@hotmail.com" TargetMode="External"/><Relationship Id="rId511" Type="http://schemas.openxmlformats.org/officeDocument/2006/relationships/hyperlink" Target="mailto:nadiaabad@live.com" TargetMode="External"/><Relationship Id="rId609" Type="http://schemas.openxmlformats.org/officeDocument/2006/relationships/hyperlink" Target="mailto:nadiaabad@live.com" TargetMode="External"/><Relationship Id="rId956" Type="http://schemas.openxmlformats.org/officeDocument/2006/relationships/hyperlink" Target="mailto:pabloestebanl@hotmail.com" TargetMode="External"/><Relationship Id="rId1141" Type="http://schemas.openxmlformats.org/officeDocument/2006/relationships/hyperlink" Target="mailto:peguaraz@gmail.com" TargetMode="External"/><Relationship Id="rId1239" Type="http://schemas.openxmlformats.org/officeDocument/2006/relationships/hyperlink" Target="mailto:Clarisagalves@hotmail.com" TargetMode="External"/><Relationship Id="rId85" Type="http://schemas.openxmlformats.org/officeDocument/2006/relationships/hyperlink" Target="mailto:silvanakarinaolea@gmail.com" TargetMode="External"/><Relationship Id="rId816" Type="http://schemas.openxmlformats.org/officeDocument/2006/relationships/hyperlink" Target="mailto:pvn_19@hotmail.com" TargetMode="External"/><Relationship Id="rId1001" Type="http://schemas.openxmlformats.org/officeDocument/2006/relationships/hyperlink" Target="mailto:gustavollabra@gmail.com" TargetMode="External"/><Relationship Id="rId1446" Type="http://schemas.openxmlformats.org/officeDocument/2006/relationships/hyperlink" Target="mailto:adrianacatoia@hotmail.com" TargetMode="External"/><Relationship Id="rId1653" Type="http://schemas.openxmlformats.org/officeDocument/2006/relationships/hyperlink" Target="mailto:sandro12almaraz@gmail.com" TargetMode="External"/><Relationship Id="rId1306" Type="http://schemas.openxmlformats.org/officeDocument/2006/relationships/hyperlink" Target="mailto:mbestol@hotmail.com" TargetMode="External"/><Relationship Id="rId1513" Type="http://schemas.openxmlformats.org/officeDocument/2006/relationships/hyperlink" Target="mailto:luisgcalazza@hotmail.com" TargetMode="External"/><Relationship Id="rId12" Type="http://schemas.openxmlformats.org/officeDocument/2006/relationships/hyperlink" Target="mailto:rominadsuccar@hotmal.com" TargetMode="External"/><Relationship Id="rId161" Type="http://schemas.openxmlformats.org/officeDocument/2006/relationships/hyperlink" Target="mailto:mariarosatdegomez@arnet.com.ar" TargetMode="External"/><Relationship Id="rId399" Type="http://schemas.openxmlformats.org/officeDocument/2006/relationships/hyperlink" Target="mailto:su_ruizh@arnet.com.ar" TargetMode="External"/><Relationship Id="rId259" Type="http://schemas.openxmlformats.org/officeDocument/2006/relationships/hyperlink" Target="mailto:sabatemariafernanda@gmail.com" TargetMode="External"/><Relationship Id="rId466" Type="http://schemas.openxmlformats.org/officeDocument/2006/relationships/hyperlink" Target="mailto:epalomar@herrera.unt.edu.ar" TargetMode="External"/><Relationship Id="rId673" Type="http://schemas.openxmlformats.org/officeDocument/2006/relationships/hyperlink" Target="mailto:nadiaabad@live.com" TargetMode="External"/><Relationship Id="rId880" Type="http://schemas.openxmlformats.org/officeDocument/2006/relationships/hyperlink" Target="mailto:stellamerletti@hotmail.com" TargetMode="External"/><Relationship Id="rId1096" Type="http://schemas.openxmlformats.org/officeDocument/2006/relationships/hyperlink" Target="mailto:Silardo@gmail.com" TargetMode="External"/><Relationship Id="rId119" Type="http://schemas.openxmlformats.org/officeDocument/2006/relationships/hyperlink" Target="mailto:beasanna@hotmail.com" TargetMode="External"/><Relationship Id="rId326" Type="http://schemas.openxmlformats.org/officeDocument/2006/relationships/hyperlink" Target="mailto:luchoo_04@hotmail.com" TargetMode="External"/><Relationship Id="rId533" Type="http://schemas.openxmlformats.org/officeDocument/2006/relationships/hyperlink" Target="mailto:nadiaabad@live.com" TargetMode="External"/><Relationship Id="rId978" Type="http://schemas.openxmlformats.org/officeDocument/2006/relationships/hyperlink" Target="mailto:rlnnallar@hotmail.com" TargetMode="External"/><Relationship Id="rId1163" Type="http://schemas.openxmlformats.org/officeDocument/2006/relationships/hyperlink" Target="mailto:luckgordillo@hotmail.com" TargetMode="External"/><Relationship Id="rId1370" Type="http://schemas.openxmlformats.org/officeDocument/2006/relationships/hyperlink" Target="mailto:vanecurubeto@hotmail.com" TargetMode="External"/><Relationship Id="rId740" Type="http://schemas.openxmlformats.org/officeDocument/2006/relationships/hyperlink" Target="mailto:nadiaabad@live.com" TargetMode="External"/><Relationship Id="rId838" Type="http://schemas.openxmlformats.org/officeDocument/2006/relationships/hyperlink" Target="mailto:lauramoya@csnat.unt.edu.ar" TargetMode="External"/><Relationship Id="rId1023" Type="http://schemas.openxmlformats.org/officeDocument/2006/relationships/hyperlink" Target="mailto:pato_l_65@hotmail.com" TargetMode="External"/><Relationship Id="rId1468" Type="http://schemas.openxmlformats.org/officeDocument/2006/relationships/hyperlink" Target="mailto:ncarrizo2016@gmail.com" TargetMode="External"/><Relationship Id="rId1675" Type="http://schemas.openxmlformats.org/officeDocument/2006/relationships/hyperlink" Target="mailto:mralberto@fbqf.unt.edu.ar" TargetMode="External"/><Relationship Id="rId600" Type="http://schemas.openxmlformats.org/officeDocument/2006/relationships/hyperlink" Target="mailto:nadiaabad@live.com" TargetMode="External"/><Relationship Id="rId1230" Type="http://schemas.openxmlformats.org/officeDocument/2006/relationships/hyperlink" Target="mailto:angelesigarzabal@hotmail.com" TargetMode="External"/><Relationship Id="rId1328" Type="http://schemas.openxmlformats.org/officeDocument/2006/relationships/hyperlink" Target="mailto:danielarnedo@hotmail.com" TargetMode="External"/><Relationship Id="rId1535" Type="http://schemas.openxmlformats.org/officeDocument/2006/relationships/hyperlink" Target="mailto:osbretones@hotmail.com" TargetMode="External"/><Relationship Id="rId905" Type="http://schemas.openxmlformats.org/officeDocument/2006/relationships/hyperlink" Target="mailto:bioing@herrera.unt.edu.ar" TargetMode="External"/><Relationship Id="rId34" Type="http://schemas.openxmlformats.org/officeDocument/2006/relationships/hyperlink" Target="mailto:joserodolfo.08.jrs@gmail.com" TargetMode="External"/><Relationship Id="rId1602" Type="http://schemas.openxmlformats.org/officeDocument/2006/relationships/hyperlink" Target="mailto:marisabelar@hotmail.com" TargetMode="External"/><Relationship Id="rId183" Type="http://schemas.openxmlformats.org/officeDocument/2006/relationships/hyperlink" Target="mailto:rodriguezjc41@yahoo.com" TargetMode="External"/><Relationship Id="rId390" Type="http://schemas.openxmlformats.org/officeDocument/2006/relationships/hyperlink" Target="mailto:mirianriba@gmail.com" TargetMode="External"/><Relationship Id="rId250" Type="http://schemas.openxmlformats.org/officeDocument/2006/relationships/hyperlink" Target="mailto:pau-olivera@hotmail.com" TargetMode="External"/><Relationship Id="rId488" Type="http://schemas.openxmlformats.org/officeDocument/2006/relationships/hyperlink" Target="mailto:serentuc@ct.unt.edu.ar" TargetMode="External"/><Relationship Id="rId695" Type="http://schemas.openxmlformats.org/officeDocument/2006/relationships/hyperlink" Target="mailto:nadiaabad@live.com" TargetMode="External"/><Relationship Id="rId110" Type="http://schemas.openxmlformats.org/officeDocument/2006/relationships/hyperlink" Target="mailto:angelespere@hotmail.com" TargetMode="External"/><Relationship Id="rId348" Type="http://schemas.openxmlformats.org/officeDocument/2006/relationships/hyperlink" Target="mailto:maritopoggi@hotmail.com" TargetMode="External"/><Relationship Id="rId555" Type="http://schemas.openxmlformats.org/officeDocument/2006/relationships/hyperlink" Target="mailto:nadiaabad@live.com" TargetMode="External"/><Relationship Id="rId762" Type="http://schemas.openxmlformats.org/officeDocument/2006/relationships/hyperlink" Target="mailto:nadiaabad@live.com" TargetMode="External"/><Relationship Id="rId1185" Type="http://schemas.openxmlformats.org/officeDocument/2006/relationships/hyperlink" Target="mailto:gabrielagc713@gmail.com" TargetMode="External"/><Relationship Id="rId1392" Type="http://schemas.openxmlformats.org/officeDocument/2006/relationships/hyperlink" Target="mailto:jcorrea@herrera.nnt.edu.ar" TargetMode="External"/><Relationship Id="rId208" Type="http://schemas.openxmlformats.org/officeDocument/2006/relationships/hyperlink" Target="mailto:marea63@hotmail.com" TargetMode="External"/><Relationship Id="rId415" Type="http://schemas.openxmlformats.org/officeDocument/2006/relationships/hyperlink" Target="mailto:hmarceloreyes@gmail.com" TargetMode="External"/><Relationship Id="rId622" Type="http://schemas.openxmlformats.org/officeDocument/2006/relationships/hyperlink" Target="mailto:nadiaabad@live.com" TargetMode="External"/><Relationship Id="rId1045" Type="http://schemas.openxmlformats.org/officeDocument/2006/relationships/hyperlink" Target="mailto:mlavergne@herrera.unt.edu.ar" TargetMode="External"/><Relationship Id="rId1252" Type="http://schemas.openxmlformats.org/officeDocument/2006/relationships/hyperlink" Target="mailto:gusfuentes@gmail.com" TargetMode="External"/><Relationship Id="rId1697" Type="http://schemas.openxmlformats.org/officeDocument/2006/relationships/hyperlink" Target="mailto:elena-quint@live.com.ar" TargetMode="External"/><Relationship Id="rId927" Type="http://schemas.openxmlformats.org/officeDocument/2006/relationships/hyperlink" Target="mailto:ramarti13@hotmail.com" TargetMode="External"/><Relationship Id="rId1112" Type="http://schemas.openxmlformats.org/officeDocument/2006/relationships/hyperlink" Target="mailto:rubenherrera07@yahoo.com.ar" TargetMode="External"/><Relationship Id="rId1557" Type="http://schemas.openxmlformats.org/officeDocument/2006/relationships/hyperlink" Target="mailto:bellavillamiguel@hotmail.com" TargetMode="External"/><Relationship Id="rId56" Type="http://schemas.openxmlformats.org/officeDocument/2006/relationships/hyperlink" Target="mailto:jomasan1@hotmail.com" TargetMode="External"/><Relationship Id="rId1417" Type="http://schemas.openxmlformats.org/officeDocument/2006/relationships/hyperlink" Target="mailto:mecindira@hotmail.com" TargetMode="External"/><Relationship Id="rId1624" Type="http://schemas.openxmlformats.org/officeDocument/2006/relationships/hyperlink" Target="mailto:elearaoz@hotmail.com" TargetMode="External"/><Relationship Id="rId272" Type="http://schemas.openxmlformats.org/officeDocument/2006/relationships/hyperlink" Target="mailto:eno1970@hotmail.com" TargetMode="External"/><Relationship Id="rId577" Type="http://schemas.openxmlformats.org/officeDocument/2006/relationships/hyperlink" Target="mailto:nadiaabad@live.com" TargetMode="External"/><Relationship Id="rId132" Type="http://schemas.openxmlformats.org/officeDocument/2006/relationships/hyperlink" Target="mailto:eavillafa&#241;e@yahoo.com.ar" TargetMode="External"/><Relationship Id="rId784" Type="http://schemas.openxmlformats.org/officeDocument/2006/relationships/hyperlink" Target="mailto:nadiaabad@live.com" TargetMode="External"/><Relationship Id="rId991" Type="http://schemas.openxmlformats.org/officeDocument/2006/relationships/hyperlink" Target="mailto:pvn_19@hotmail.com" TargetMode="External"/><Relationship Id="rId1067" Type="http://schemas.openxmlformats.org/officeDocument/2006/relationships/hyperlink" Target="mailto:mercedesjuarez@hotmail.com.es" TargetMode="External"/><Relationship Id="rId437" Type="http://schemas.openxmlformats.org/officeDocument/2006/relationships/hyperlink" Target="mailto:dvarela@ct.unt.edu.ar" TargetMode="External"/><Relationship Id="rId644" Type="http://schemas.openxmlformats.org/officeDocument/2006/relationships/hyperlink" Target="mailto:nadiaabad@live.com" TargetMode="External"/><Relationship Id="rId851" Type="http://schemas.openxmlformats.org/officeDocument/2006/relationships/hyperlink" Target="mailto:yonyu_15@hotmail.com" TargetMode="External"/><Relationship Id="rId1274" Type="http://schemas.openxmlformats.org/officeDocument/2006/relationships/hyperlink" Target="mailto:elprimo_bruno@hotmail.com" TargetMode="External"/><Relationship Id="rId1481" Type="http://schemas.openxmlformats.org/officeDocument/2006/relationships/hyperlink" Target="mailto:mjaybar@fbqf.unt.edu.ar" TargetMode="External"/><Relationship Id="rId1579" Type="http://schemas.openxmlformats.org/officeDocument/2006/relationships/hyperlink" Target="mailto:bertailarion@hotmail.com" TargetMode="External"/><Relationship Id="rId504" Type="http://schemas.openxmlformats.org/officeDocument/2006/relationships/hyperlink" Target="mailto:nadiaabad@live.com" TargetMode="External"/><Relationship Id="rId711" Type="http://schemas.openxmlformats.org/officeDocument/2006/relationships/hyperlink" Target="mailto:nadiaabad@live.com" TargetMode="External"/><Relationship Id="rId949" Type="http://schemas.openxmlformats.org/officeDocument/2006/relationships/hyperlink" Target="mailto:mpmalmierca@eue.unt.edu.ar" TargetMode="External"/><Relationship Id="rId1134" Type="http://schemas.openxmlformats.org/officeDocument/2006/relationships/hyperlink" Target="mailto:mvivianaguerra@gmail.com" TargetMode="External"/><Relationship Id="rId1341" Type="http://schemas.openxmlformats.org/officeDocument/2006/relationships/hyperlink" Target="mailto:fdiaz@herrera.unt.edu.ar" TargetMode="External"/><Relationship Id="rId78" Type="http://schemas.openxmlformats.org/officeDocument/2006/relationships/hyperlink" Target="mailto:srobledo@fm.unt.edu" TargetMode="External"/><Relationship Id="rId809" Type="http://schemas.openxmlformats.org/officeDocument/2006/relationships/hyperlink" Target="mailto:julionieva50@gmail.com" TargetMode="External"/><Relationship Id="rId1201" Type="http://schemas.openxmlformats.org/officeDocument/2006/relationships/hyperlink" Target="mailto:virgiglem@hotmail.com" TargetMode="External"/><Relationship Id="rId1439" Type="http://schemas.openxmlformats.org/officeDocument/2006/relationships/hyperlink" Target="mailto:melaniecejas@hotmail.com" TargetMode="External"/><Relationship Id="rId1646" Type="http://schemas.openxmlformats.org/officeDocument/2006/relationships/hyperlink" Target="mailto:ilum@herrera.unt.edu.ar" TargetMode="External"/><Relationship Id="rId1506" Type="http://schemas.openxmlformats.org/officeDocument/2006/relationships/hyperlink" Target="mailto:jopecaceres@hotmail.com" TargetMode="External"/><Relationship Id="rId294" Type="http://schemas.openxmlformats.org/officeDocument/2006/relationships/hyperlink" Target="mailto:sirombra@gmail.com" TargetMode="External"/><Relationship Id="rId154" Type="http://schemas.openxmlformats.org/officeDocument/2006/relationships/hyperlink" Target="mailto:clavivisa@hotmail.com" TargetMode="External"/><Relationship Id="rId361" Type="http://schemas.openxmlformats.org/officeDocument/2006/relationships/hyperlink" Target="mailto:acarolinasalas@hotmail.com" TargetMode="External"/><Relationship Id="rId599" Type="http://schemas.openxmlformats.org/officeDocument/2006/relationships/hyperlink" Target="mailto:nadiaabad@live.com" TargetMode="External"/><Relationship Id="rId459" Type="http://schemas.openxmlformats.org/officeDocument/2006/relationships/hyperlink" Target="mailto:sesizalduendo@hotmail.com" TargetMode="External"/><Relationship Id="rId666" Type="http://schemas.openxmlformats.org/officeDocument/2006/relationships/hyperlink" Target="mailto:nadiaabad@live.com" TargetMode="External"/><Relationship Id="rId873" Type="http://schemas.openxmlformats.org/officeDocument/2006/relationships/hyperlink" Target="mailto:jcmolina_3@hotmail.com" TargetMode="External"/><Relationship Id="rId1089" Type="http://schemas.openxmlformats.org/officeDocument/2006/relationships/hyperlink" Target="mailto:meisaya@fbqf.unt.edu.ar" TargetMode="External"/><Relationship Id="rId1296" Type="http://schemas.openxmlformats.org/officeDocument/2006/relationships/hyperlink" Target="mailto:fmiriam@arnet.com.ar" TargetMode="External"/><Relationship Id="rId221" Type="http://schemas.openxmlformats.org/officeDocument/2006/relationships/hyperlink" Target="mailto:adriantolosa2004@hotmail.com" TargetMode="External"/><Relationship Id="rId319" Type="http://schemas.openxmlformats.org/officeDocument/2006/relationships/hyperlink" Target="mailto:vgpistone@hotmail.com" TargetMode="External"/><Relationship Id="rId526" Type="http://schemas.openxmlformats.org/officeDocument/2006/relationships/hyperlink" Target="mailto:nadiaabad@live.com" TargetMode="External"/><Relationship Id="rId1156" Type="http://schemas.openxmlformats.org/officeDocument/2006/relationships/hyperlink" Target="mailto:mgonzalezwaisman@gmail.com" TargetMode="External"/><Relationship Id="rId1363" Type="http://schemas.openxmlformats.org/officeDocument/2006/relationships/hyperlink" Target="mailto:florencia_6804@hotmail.com" TargetMode="External"/><Relationship Id="rId733" Type="http://schemas.openxmlformats.org/officeDocument/2006/relationships/hyperlink" Target="mailto:nadiaabad@live.com" TargetMode="External"/><Relationship Id="rId940" Type="http://schemas.openxmlformats.org/officeDocument/2006/relationships/hyperlink" Target="mailto:susana_margaria@yahoo.com.ar" TargetMode="External"/><Relationship Id="rId1016" Type="http://schemas.openxmlformats.org/officeDocument/2006/relationships/hyperlink" Target="mailto:marcelegui@gmail.com" TargetMode="External"/><Relationship Id="rId1570" Type="http://schemas.openxmlformats.org/officeDocument/2006/relationships/hyperlink" Target="mailto:carlosbarrientos23@hotmail.com" TargetMode="External"/><Relationship Id="rId1668" Type="http://schemas.openxmlformats.org/officeDocument/2006/relationships/hyperlink" Target="mailto:glen-da2010@hotmail.com" TargetMode="External"/><Relationship Id="rId800" Type="http://schemas.openxmlformats.org/officeDocument/2006/relationships/hyperlink" Target="mailto:nadiaabad@live.com" TargetMode="External"/><Relationship Id="rId1223" Type="http://schemas.openxmlformats.org/officeDocument/2006/relationships/hyperlink" Target="mailto:biblioteca@psicologia.unt.edu.ar" TargetMode="External"/><Relationship Id="rId1430" Type="http://schemas.openxmlformats.org/officeDocument/2006/relationships/hyperlink" Target="mailto:mchirino@herrera.unt.edu.ar" TargetMode="External"/><Relationship Id="rId1528" Type="http://schemas.openxmlformats.org/officeDocument/2006/relationships/hyperlink" Target="mailto:Sandrafbrunotto@yahoo.com.ar" TargetMode="External"/><Relationship Id="rId27" Type="http://schemas.openxmlformats.org/officeDocument/2006/relationships/hyperlink" Target="mailto:me_rebo@hotmail.com" TargetMode="External"/><Relationship Id="rId176" Type="http://schemas.openxmlformats.org/officeDocument/2006/relationships/hyperlink" Target="mailto:joserene09@hotmail.com" TargetMode="External"/><Relationship Id="rId383" Type="http://schemas.openxmlformats.org/officeDocument/2006/relationships/hyperlink" Target="mailto:constuperez@hotmail.com" TargetMode="External"/><Relationship Id="rId590" Type="http://schemas.openxmlformats.org/officeDocument/2006/relationships/hyperlink" Target="mailto:nadiaabad@live.com" TargetMode="External"/><Relationship Id="rId243" Type="http://schemas.openxmlformats.org/officeDocument/2006/relationships/hyperlink" Target="mailto:laura@ct.unt.edu.ar" TargetMode="External"/><Relationship Id="rId450" Type="http://schemas.openxmlformats.org/officeDocument/2006/relationships/hyperlink" Target="mailto:fsaavedra@csnat.unt.edu.ar" TargetMode="External"/><Relationship Id="rId688" Type="http://schemas.openxmlformats.org/officeDocument/2006/relationships/hyperlink" Target="mailto:nadiaabad@live.com" TargetMode="External"/><Relationship Id="rId895" Type="http://schemas.openxmlformats.org/officeDocument/2006/relationships/hyperlink" Target="mailto:carolina_am87@hotmail.com" TargetMode="External"/><Relationship Id="rId1080" Type="http://schemas.openxmlformats.org/officeDocument/2006/relationships/hyperlink" Target="mailto:poljeger@hotmail.com" TargetMode="External"/><Relationship Id="rId103" Type="http://schemas.openxmlformats.org/officeDocument/2006/relationships/hyperlink" Target="mailto:consejodeescuelas@gmail.com" TargetMode="External"/><Relationship Id="rId310" Type="http://schemas.openxmlformats.org/officeDocument/2006/relationships/hyperlink" Target="mailto:federicoromano27@hotmail.com" TargetMode="External"/><Relationship Id="rId548" Type="http://schemas.openxmlformats.org/officeDocument/2006/relationships/hyperlink" Target="mailto:nadiaabad@live.com" TargetMode="External"/><Relationship Id="rId755" Type="http://schemas.openxmlformats.org/officeDocument/2006/relationships/hyperlink" Target="mailto:nadiaabad@live.com" TargetMode="External"/><Relationship Id="rId962" Type="http://schemas.openxmlformats.org/officeDocument/2006/relationships/hyperlink" Target="mailto:javierlucero3@hotmail.com" TargetMode="External"/><Relationship Id="rId1178" Type="http://schemas.openxmlformats.org/officeDocument/2006/relationships/hyperlink" Target="mailto:asigo@hotmail.com" TargetMode="External"/><Relationship Id="rId1385" Type="http://schemas.openxmlformats.org/officeDocument/2006/relationships/hyperlink" Target="mailto:lucascorreabasualdo@live.com.ar" TargetMode="External"/><Relationship Id="rId1592" Type="http://schemas.openxmlformats.org/officeDocument/2006/relationships/hyperlink" Target="mailto:chochi_astudillo@hotmail.com" TargetMode="External"/><Relationship Id="rId91" Type="http://schemas.openxmlformats.org/officeDocument/2006/relationships/hyperlink" Target="mailto:nikymery238@gmail.com" TargetMode="External"/><Relationship Id="rId408" Type="http://schemas.openxmlformats.org/officeDocument/2006/relationships/hyperlink" Target="mailto:mirta_sosa@hotmail.com" TargetMode="External"/><Relationship Id="rId615" Type="http://schemas.openxmlformats.org/officeDocument/2006/relationships/hyperlink" Target="mailto:nadiaabad@live.com" TargetMode="External"/><Relationship Id="rId822" Type="http://schemas.openxmlformats.org/officeDocument/2006/relationships/hyperlink" Target="mailto:mcnavarro@fbqf.unt.edu.ar" TargetMode="External"/><Relationship Id="rId1038" Type="http://schemas.openxmlformats.org/officeDocument/2006/relationships/hyperlink" Target="mailto:clazarte2010@gmail.com" TargetMode="External"/><Relationship Id="rId1245" Type="http://schemas.openxmlformats.org/officeDocument/2006/relationships/hyperlink" Target="mailto:galvanjorge24@yahoo.com.ar" TargetMode="External"/><Relationship Id="rId1452" Type="http://schemas.openxmlformats.org/officeDocument/2006/relationships/hyperlink" Target="mailto:danielapcatania@yahoo.com.ar" TargetMode="External"/><Relationship Id="rId254" Type="http://schemas.openxmlformats.org/officeDocument/2006/relationships/hyperlink" Target="mailto:ignaciorob_dis@hotmail.com" TargetMode="External"/><Relationship Id="rId699" Type="http://schemas.openxmlformats.org/officeDocument/2006/relationships/hyperlink" Target="mailto:nadiaabad@live.com" TargetMode="External"/><Relationship Id="rId1091" Type="http://schemas.openxmlformats.org/officeDocument/2006/relationships/hyperlink" Target="mailto:Angelesigarzabal@hotmail.com" TargetMode="External"/><Relationship Id="rId1105" Type="http://schemas.openxmlformats.org/officeDocument/2006/relationships/hyperlink" Target="mailto:despacho@cine.unt.ar" TargetMode="External"/><Relationship Id="rId1312" Type="http://schemas.openxmlformats.org/officeDocument/2006/relationships/hyperlink" Target="mailto:julitoestequin@hotmail.com" TargetMode="External"/><Relationship Id="rId49" Type="http://schemas.openxmlformats.org/officeDocument/2006/relationships/hyperlink" Target="mailto:ier@csnat.unt.edu.ar" TargetMode="External"/><Relationship Id="rId114" Type="http://schemas.openxmlformats.org/officeDocument/2006/relationships/hyperlink" Target="mailto:pastranarichi@hotmail.com" TargetMode="External"/><Relationship Id="rId461" Type="http://schemas.openxmlformats.org/officeDocument/2006/relationships/hyperlink" Target="mailto:reynoso-acosta@hotmail.com" TargetMode="External"/><Relationship Id="rId559" Type="http://schemas.openxmlformats.org/officeDocument/2006/relationships/hyperlink" Target="mailto:nadiaabad@live.com" TargetMode="External"/><Relationship Id="rId766" Type="http://schemas.openxmlformats.org/officeDocument/2006/relationships/hyperlink" Target="mailto:nadiaabad@live.com" TargetMode="External"/><Relationship Id="rId1189" Type="http://schemas.openxmlformats.org/officeDocument/2006/relationships/hyperlink" Target="mailto:tonygomez1369@gmail.com" TargetMode="External"/><Relationship Id="rId1396" Type="http://schemas.openxmlformats.org/officeDocument/2006/relationships/hyperlink" Target="mailto:fcorrales@fbqf.unt.edu.ar" TargetMode="External"/><Relationship Id="rId1617" Type="http://schemas.openxmlformats.org/officeDocument/2006/relationships/hyperlink" Target="mailto:geonoelia@hotmail.com" TargetMode="External"/><Relationship Id="rId198" Type="http://schemas.openxmlformats.org/officeDocument/2006/relationships/hyperlink" Target="mailto:miguelpaez2010@live.com" TargetMode="External"/><Relationship Id="rId321" Type="http://schemas.openxmlformats.org/officeDocument/2006/relationships/hyperlink" Target="mailto:maviepadilla@hotmail.com" TargetMode="External"/><Relationship Id="rId419" Type="http://schemas.openxmlformats.org/officeDocument/2006/relationships/hyperlink" Target="mailto:frammcooscariz@outloof.com" TargetMode="External"/><Relationship Id="rId626" Type="http://schemas.openxmlformats.org/officeDocument/2006/relationships/hyperlink" Target="mailto:nadiaabad@live.com" TargetMode="External"/><Relationship Id="rId973" Type="http://schemas.openxmlformats.org/officeDocument/2006/relationships/hyperlink" Target="mailto:jujolo84@gmail.com" TargetMode="External"/><Relationship Id="rId1049" Type="http://schemas.openxmlformats.org/officeDocument/2006/relationships/hyperlink" Target="mailto:carlosraco@hotmail.com" TargetMode="External"/><Relationship Id="rId1256" Type="http://schemas.openxmlformats.org/officeDocument/2006/relationships/hyperlink" Target="mailto:dda@cine.unt.edu.ar" TargetMode="External"/><Relationship Id="rId833" Type="http://schemas.openxmlformats.org/officeDocument/2006/relationships/hyperlink" Target="mailto:alemoyano25@hotmail.com" TargetMode="External"/><Relationship Id="rId1116" Type="http://schemas.openxmlformats.org/officeDocument/2006/relationships/hyperlink" Target="mailto:sherrera@herrera.unt.edu.ar" TargetMode="External"/><Relationship Id="rId1463" Type="http://schemas.openxmlformats.org/officeDocument/2006/relationships/hyperlink" Target="mailto:cpucastellanos@yahoo.com.ar" TargetMode="External"/><Relationship Id="rId1670" Type="http://schemas.openxmlformats.org/officeDocument/2006/relationships/hyperlink" Target="mailto:alealbanotoledo@gmail.com" TargetMode="External"/><Relationship Id="rId265" Type="http://schemas.openxmlformats.org/officeDocument/2006/relationships/hyperlink" Target="mailto:decafau@harrera.unt.edu.ar" TargetMode="External"/><Relationship Id="rId472" Type="http://schemas.openxmlformats.org/officeDocument/2006/relationships/hyperlink" Target="mailto:paolasabbag@gmail.com" TargetMode="External"/><Relationship Id="rId900" Type="http://schemas.openxmlformats.org/officeDocument/2006/relationships/hyperlink" Target="mailto:martinjosemedina1979@hotmail.com" TargetMode="External"/><Relationship Id="rId1323" Type="http://schemas.openxmlformats.org/officeDocument/2006/relationships/hyperlink" Target="mailto:martindezeta@gmail.com" TargetMode="External"/><Relationship Id="rId1530" Type="http://schemas.openxmlformats.org/officeDocument/2006/relationships/hyperlink" Target="mailto:mcbrito@rectorado.unt.edu.ar" TargetMode="External"/><Relationship Id="rId1628" Type="http://schemas.openxmlformats.org/officeDocument/2006/relationships/hyperlink" Target="mailto:crisaraoz1@hotmail.com" TargetMode="External"/><Relationship Id="rId125" Type="http://schemas.openxmlformats.org/officeDocument/2006/relationships/hyperlink" Target="mailto:xrosyta@hotmail.com" TargetMode="External"/><Relationship Id="rId332" Type="http://schemas.openxmlformats.org/officeDocument/2006/relationships/hyperlink" Target="mailto:sofiazucu@hotmail.com" TargetMode="External"/><Relationship Id="rId777" Type="http://schemas.openxmlformats.org/officeDocument/2006/relationships/hyperlink" Target="mailto:nadiaabad@live.com" TargetMode="External"/><Relationship Id="rId984" Type="http://schemas.openxmlformats.org/officeDocument/2006/relationships/hyperlink" Target="mailto:jorgel_nf_@hotmail.com" TargetMode="External"/><Relationship Id="rId637" Type="http://schemas.openxmlformats.org/officeDocument/2006/relationships/hyperlink" Target="mailto:nadiaabad@live.com" TargetMode="External"/><Relationship Id="rId844" Type="http://schemas.openxmlformats.org/officeDocument/2006/relationships/hyperlink" Target="mailto:remoreno@dirinfo.unt.edu.ar" TargetMode="External"/><Relationship Id="rId1267" Type="http://schemas.openxmlformats.org/officeDocument/2006/relationships/hyperlink" Target="mailto:jofigueroa78@hotmail.com" TargetMode="External"/><Relationship Id="rId1474" Type="http://schemas.openxmlformats.org/officeDocument/2006/relationships/hyperlink" Target="mailto:marianacarlesmichel@gmail.com" TargetMode="External"/><Relationship Id="rId1681" Type="http://schemas.openxmlformats.org/officeDocument/2006/relationships/hyperlink" Target="mailto:joyita263@hotmail.com" TargetMode="External"/><Relationship Id="rId276" Type="http://schemas.openxmlformats.org/officeDocument/2006/relationships/hyperlink" Target="mailto:hugoponce85@hotmail.com" TargetMode="External"/><Relationship Id="rId483" Type="http://schemas.openxmlformats.org/officeDocument/2006/relationships/hyperlink" Target="mailto:javi_rojas75@hotmail.com" TargetMode="External"/><Relationship Id="rId690" Type="http://schemas.openxmlformats.org/officeDocument/2006/relationships/hyperlink" Target="mailto:nadiaabad@live.com" TargetMode="External"/><Relationship Id="rId704" Type="http://schemas.openxmlformats.org/officeDocument/2006/relationships/hyperlink" Target="mailto:nadiaabad@live.com" TargetMode="External"/><Relationship Id="rId911" Type="http://schemas.openxmlformats.org/officeDocument/2006/relationships/hyperlink" Target="mailto:mmechetti@herrera.unt.edu.ar" TargetMode="External"/><Relationship Id="rId1127" Type="http://schemas.openxmlformats.org/officeDocument/2006/relationships/hyperlink" Target="mailto:rubiagorda@yahoo.com.ar" TargetMode="External"/><Relationship Id="rId1334" Type="http://schemas.openxmlformats.org/officeDocument/2006/relationships/hyperlink" Target="mailto:jdiez0205@yahoo.com.ar" TargetMode="External"/><Relationship Id="rId1541" Type="http://schemas.openxmlformats.org/officeDocument/2006/relationships/hyperlink" Target="mailto:danielabrandan@filo.unt.edu.ar" TargetMode="External"/><Relationship Id="rId40" Type="http://schemas.openxmlformats.org/officeDocument/2006/relationships/hyperlink" Target="mailto:mariana_santilli@hotmail.com" TargetMode="External"/><Relationship Id="rId136" Type="http://schemas.openxmlformats.org/officeDocument/2006/relationships/hyperlink" Target="mailto:doris_restom@hotmail.com" TargetMode="External"/><Relationship Id="rId343" Type="http://schemas.openxmlformats.org/officeDocument/2006/relationships/hyperlink" Target="mailto:marielaevangelina@hotmail.com" TargetMode="External"/><Relationship Id="rId550" Type="http://schemas.openxmlformats.org/officeDocument/2006/relationships/hyperlink" Target="mailto:nadiaabad@live.com" TargetMode="External"/><Relationship Id="rId788" Type="http://schemas.openxmlformats.org/officeDocument/2006/relationships/hyperlink" Target="mailto:nadiaabad@live.com" TargetMode="External"/><Relationship Id="rId995" Type="http://schemas.openxmlformats.org/officeDocument/2006/relationships/hyperlink" Target="mailto:lobopaz@hotmail.com" TargetMode="External"/><Relationship Id="rId1180" Type="http://schemas.openxmlformats.org/officeDocument/2006/relationships/hyperlink" Target="mailto:jmgomezurrutia@gmail.com" TargetMode="External"/><Relationship Id="rId1401" Type="http://schemas.openxmlformats.org/officeDocument/2006/relationships/hyperlink" Target="mailto:josecontreras5@hotmail.com" TargetMode="External"/><Relationship Id="rId1639" Type="http://schemas.openxmlformats.org/officeDocument/2006/relationships/hyperlink" Target="mailto:arielg65@hotmail.com" TargetMode="External"/><Relationship Id="rId203" Type="http://schemas.openxmlformats.org/officeDocument/2006/relationships/hyperlink" Target="mailto:paularanieri@hotmail.com" TargetMode="External"/><Relationship Id="rId648" Type="http://schemas.openxmlformats.org/officeDocument/2006/relationships/hyperlink" Target="mailto:nadiaabad@live.com" TargetMode="External"/><Relationship Id="rId855" Type="http://schemas.openxmlformats.org/officeDocument/2006/relationships/hyperlink" Target="mailto:calberto822@hotmail.com" TargetMode="External"/><Relationship Id="rId1040" Type="http://schemas.openxmlformats.org/officeDocument/2006/relationships/hyperlink" Target="mailto:fflorlaf@hotmail.com" TargetMode="External"/><Relationship Id="rId1278" Type="http://schemas.openxmlformats.org/officeDocument/2006/relationships/hyperlink" Target="mailto:soleadff@gmail.com" TargetMode="External"/><Relationship Id="rId1485" Type="http://schemas.openxmlformats.org/officeDocument/2006/relationships/hyperlink" Target="mailto:nazhacaram@yahoo.com.ar" TargetMode="External"/><Relationship Id="rId1692" Type="http://schemas.openxmlformats.org/officeDocument/2006/relationships/hyperlink" Target="mailto:mechitaag@hotmail.com" TargetMode="External"/><Relationship Id="rId1706" Type="http://schemas.openxmlformats.org/officeDocument/2006/relationships/hyperlink" Target="mailto:mavalce@fm.unt.edu.ar" TargetMode="External"/><Relationship Id="rId287" Type="http://schemas.openxmlformats.org/officeDocument/2006/relationships/hyperlink" Target="mailto:gcarmen2855@gmail.com" TargetMode="External"/><Relationship Id="rId410" Type="http://schemas.openxmlformats.org/officeDocument/2006/relationships/hyperlink" Target="mailto:mstambole@hotmail.com" TargetMode="External"/><Relationship Id="rId494" Type="http://schemas.openxmlformats.org/officeDocument/2006/relationships/hyperlink" Target="mailto:nadiaabad@live.com" TargetMode="External"/><Relationship Id="rId508" Type="http://schemas.openxmlformats.org/officeDocument/2006/relationships/hyperlink" Target="mailto:nadiaabad@live.com" TargetMode="External"/><Relationship Id="rId715" Type="http://schemas.openxmlformats.org/officeDocument/2006/relationships/hyperlink" Target="mailto:nadiaabad@live.com" TargetMode="External"/><Relationship Id="rId922" Type="http://schemas.openxmlformats.org/officeDocument/2006/relationships/hyperlink" Target="mailto:susanaalzogaray@hotmail.com" TargetMode="External"/><Relationship Id="rId1138" Type="http://schemas.openxmlformats.org/officeDocument/2006/relationships/hyperlink" Target="mailto:mariateresa_u.n.t@hotmail.com" TargetMode="External"/><Relationship Id="rId1345" Type="http://schemas.openxmlformats.org/officeDocument/2006/relationships/hyperlink" Target="mailto:maritadicaro@hotmail.com" TargetMode="External"/><Relationship Id="rId1552" Type="http://schemas.openxmlformats.org/officeDocument/2006/relationships/hyperlink" Target="mailto:giannirey@hotmail.com" TargetMode="External"/><Relationship Id="rId147" Type="http://schemas.openxmlformats.org/officeDocument/2006/relationships/hyperlink" Target="mailto:javier_rios_mc@hotmail.com" TargetMode="External"/><Relationship Id="rId354" Type="http://schemas.openxmlformats.org/officeDocument/2006/relationships/hyperlink" Target="mailto:ptartalo@ita.unt.edu.ar" TargetMode="External"/><Relationship Id="rId799" Type="http://schemas.openxmlformats.org/officeDocument/2006/relationships/hyperlink" Target="mailto:nadiaabad@live.com" TargetMode="External"/><Relationship Id="rId1191" Type="http://schemas.openxmlformats.org/officeDocument/2006/relationships/hyperlink" Target="mailto:lucas_ag1@hotmail.com" TargetMode="External"/><Relationship Id="rId1205" Type="http://schemas.openxmlformats.org/officeDocument/2006/relationships/hyperlink" Target="mailto:elizabethgloriosso@yahoo.com.ar" TargetMode="External"/><Relationship Id="rId51" Type="http://schemas.openxmlformats.org/officeDocument/2006/relationships/hyperlink" Target="mailto:vrptger@herrera.unt.edu.ar" TargetMode="External"/><Relationship Id="rId561" Type="http://schemas.openxmlformats.org/officeDocument/2006/relationships/hyperlink" Target="mailto:nadiaabad@live.com" TargetMode="External"/><Relationship Id="rId659" Type="http://schemas.openxmlformats.org/officeDocument/2006/relationships/hyperlink" Target="mailto:nadiaabad@live.com" TargetMode="External"/><Relationship Id="rId866" Type="http://schemas.openxmlformats.org/officeDocument/2006/relationships/hyperlink" Target="mailto:elgueto@outlook.com" TargetMode="External"/><Relationship Id="rId1289" Type="http://schemas.openxmlformats.org/officeDocument/2006/relationships/hyperlink" Target="mailto:eugifernandez@yahoo.com.ar" TargetMode="External"/><Relationship Id="rId1412" Type="http://schemas.openxmlformats.org/officeDocument/2006/relationships/hyperlink" Target="mailto:anaco@csnat.unt.edu.ar" TargetMode="External"/><Relationship Id="rId1496" Type="http://schemas.openxmlformats.org/officeDocument/2006/relationships/hyperlink" Target="mailto:cascan2000@yahoo.com.ar" TargetMode="External"/><Relationship Id="rId214" Type="http://schemas.openxmlformats.org/officeDocument/2006/relationships/hyperlink" Target="mailto:rominatorasso@gmail.com" TargetMode="External"/><Relationship Id="rId298" Type="http://schemas.openxmlformats.org/officeDocument/2006/relationships/hyperlink" Target="mailto:davidurue&#241;a1@hotmail.com" TargetMode="External"/><Relationship Id="rId421" Type="http://schemas.openxmlformats.org/officeDocument/2006/relationships/hyperlink" Target="mailto:cecijanut@hotmail.com" TargetMode="External"/><Relationship Id="rId519" Type="http://schemas.openxmlformats.org/officeDocument/2006/relationships/hyperlink" Target="mailto:nadiaabad@live.com" TargetMode="External"/><Relationship Id="rId1051" Type="http://schemas.openxmlformats.org/officeDocument/2006/relationships/hyperlink" Target="mailto:carlosraco@hotmail.com" TargetMode="External"/><Relationship Id="rId1149" Type="http://schemas.openxmlformats.org/officeDocument/2006/relationships/hyperlink" Target="mailto:mgriet@rectorado.unt.edu.ar" TargetMode="External"/><Relationship Id="rId1356" Type="http://schemas.openxmlformats.org/officeDocument/2006/relationships/hyperlink" Target="mailto:monicaciancio@hotmail.com" TargetMode="External"/><Relationship Id="rId158" Type="http://schemas.openxmlformats.org/officeDocument/2006/relationships/hyperlink" Target="mailto:el.negropaulo@hotmail.com" TargetMode="External"/><Relationship Id="rId726" Type="http://schemas.openxmlformats.org/officeDocument/2006/relationships/hyperlink" Target="mailto:nadiaabad@live.com" TargetMode="External"/><Relationship Id="rId933" Type="http://schemas.openxmlformats.org/officeDocument/2006/relationships/hyperlink" Target="mailto:mmarquetti@herrera.unt.edu.ar" TargetMode="External"/><Relationship Id="rId1009" Type="http://schemas.openxmlformats.org/officeDocument/2006/relationships/hyperlink" Target="mailto:florlencina_87@hotmail.com" TargetMode="External"/><Relationship Id="rId1563" Type="http://schemas.openxmlformats.org/officeDocument/2006/relationships/hyperlink" Target="mailto:vale.gym@gmail.com" TargetMode="External"/><Relationship Id="rId62" Type="http://schemas.openxmlformats.org/officeDocument/2006/relationships/hyperlink" Target="mailto:ana_liazalazar@hotmail.com" TargetMode="External"/><Relationship Id="rId365" Type="http://schemas.openxmlformats.org/officeDocument/2006/relationships/hyperlink" Target="mailto:ivana.vallejo@hotmail.com" TargetMode="External"/><Relationship Id="rId572" Type="http://schemas.openxmlformats.org/officeDocument/2006/relationships/hyperlink" Target="mailto:nadiaabad@live.com" TargetMode="External"/><Relationship Id="rId1216" Type="http://schemas.openxmlformats.org/officeDocument/2006/relationships/hyperlink" Target="mailto:gauszulma@gmail.com" TargetMode="External"/><Relationship Id="rId1423" Type="http://schemas.openxmlformats.org/officeDocument/2006/relationships/hyperlink" Target="mailto:vaanechimale@hotmail.com" TargetMode="External"/><Relationship Id="rId1630" Type="http://schemas.openxmlformats.org/officeDocument/2006/relationships/hyperlink" Target="mailto:jacquelineapas64@gmail.com" TargetMode="External"/><Relationship Id="rId225" Type="http://schemas.openxmlformats.org/officeDocument/2006/relationships/hyperlink" Target="mailto:estela_rey2007@yahoo.com.ar" TargetMode="External"/><Relationship Id="rId432" Type="http://schemas.openxmlformats.org/officeDocument/2006/relationships/hyperlink" Target="mailto:ders07@hotmail.com" TargetMode="External"/><Relationship Id="rId877" Type="http://schemas.openxmlformats.org/officeDocument/2006/relationships/hyperlink" Target="mailto:normamentz@hotmail.com" TargetMode="External"/><Relationship Id="rId1062" Type="http://schemas.openxmlformats.org/officeDocument/2006/relationships/hyperlink" Target="mailto:lucianojorrat@gmail.com" TargetMode="External"/><Relationship Id="rId737" Type="http://schemas.openxmlformats.org/officeDocument/2006/relationships/hyperlink" Target="mailto:nadiaabad@live.com" TargetMode="External"/><Relationship Id="rId944" Type="http://schemas.openxmlformats.org/officeDocument/2006/relationships/hyperlink" Target="mailto:tanovirla@yahoo.com" TargetMode="External"/><Relationship Id="rId1367" Type="http://schemas.openxmlformats.org/officeDocument/2006/relationships/hyperlink" Target="mailto:clausmile-77@hotmail,com" TargetMode="External"/><Relationship Id="rId1574" Type="http://schemas.openxmlformats.org/officeDocument/2006/relationships/hyperlink" Target="mailto:altheaazul@yahoo.com.ar" TargetMode="External"/><Relationship Id="rId73" Type="http://schemas.openxmlformats.org/officeDocument/2006/relationships/hyperlink" Target="mailto:maricrisselis@gmail.com" TargetMode="External"/><Relationship Id="rId169" Type="http://schemas.openxmlformats.org/officeDocument/2006/relationships/hyperlink" Target="mailto:esterojo@live.com.ar" TargetMode="External"/><Relationship Id="rId376" Type="http://schemas.openxmlformats.org/officeDocument/2006/relationships/hyperlink" Target="mailto:dentsol@hotmail.com" TargetMode="External"/><Relationship Id="rId583" Type="http://schemas.openxmlformats.org/officeDocument/2006/relationships/hyperlink" Target="mailto:nadiaabad@live.com" TargetMode="External"/><Relationship Id="rId790" Type="http://schemas.openxmlformats.org/officeDocument/2006/relationships/hyperlink" Target="mailto:nadiaabad@live.com" TargetMode="External"/><Relationship Id="rId804" Type="http://schemas.openxmlformats.org/officeDocument/2006/relationships/hyperlink" Target="mailto:guillonoguera1977@gmail.com" TargetMode="External"/><Relationship Id="rId1227" Type="http://schemas.openxmlformats.org/officeDocument/2006/relationships/hyperlink" Target="mailto:lucianachequer@gmail.com" TargetMode="External"/><Relationship Id="rId1434" Type="http://schemas.openxmlformats.org/officeDocument/2006/relationships/hyperlink" Target="mailto:sandra_bulnes@hotmail.com" TargetMode="External"/><Relationship Id="rId1641" Type="http://schemas.openxmlformats.org/officeDocument/2006/relationships/hyperlink" Target="mailto:nalves@herrera.unt.edu.ar" TargetMode="External"/><Relationship Id="rId4" Type="http://schemas.openxmlformats.org/officeDocument/2006/relationships/hyperlink" Target="mailto:rtony_suarez@hotmail.com" TargetMode="External"/><Relationship Id="rId236" Type="http://schemas.openxmlformats.org/officeDocument/2006/relationships/hyperlink" Target="mailto:alejandravillafa&#241;e6@hotmail.com" TargetMode="External"/><Relationship Id="rId443" Type="http://schemas.openxmlformats.org/officeDocument/2006/relationships/hyperlink" Target="mailto:sofia.prados@dirinfo.unt.edu.ar" TargetMode="External"/><Relationship Id="rId650" Type="http://schemas.openxmlformats.org/officeDocument/2006/relationships/hyperlink" Target="mailto:nadiaabad@live.com" TargetMode="External"/><Relationship Id="rId888" Type="http://schemas.openxmlformats.org/officeDocument/2006/relationships/hyperlink" Target="mailto:hugor.medrano14@gmail.com" TargetMode="External"/><Relationship Id="rId1073" Type="http://schemas.openxmlformats.org/officeDocument/2006/relationships/hyperlink" Target="mailto:siblings@live.com.ar" TargetMode="External"/><Relationship Id="rId1280" Type="http://schemas.openxmlformats.org/officeDocument/2006/relationships/hyperlink" Target="mailto:nadiaabad@live.com" TargetMode="External"/><Relationship Id="rId1501" Type="http://schemas.openxmlformats.org/officeDocument/2006/relationships/hyperlink" Target="mailto:vero_camp@hotmail.com" TargetMode="External"/><Relationship Id="rId303" Type="http://schemas.openxmlformats.org/officeDocument/2006/relationships/hyperlink" Target="mailto:silvitas2000@gmail.com" TargetMode="External"/><Relationship Id="rId748" Type="http://schemas.openxmlformats.org/officeDocument/2006/relationships/hyperlink" Target="mailto:nadiaabad@live.com" TargetMode="External"/><Relationship Id="rId955" Type="http://schemas.openxmlformats.org/officeDocument/2006/relationships/hyperlink" Target="mailto:joseluquepalacio@hotmail.com" TargetMode="External"/><Relationship Id="rId1140" Type="http://schemas.openxmlformats.org/officeDocument/2006/relationships/hyperlink" Target="mailto:gringa_guaraz@hotmail.com" TargetMode="External"/><Relationship Id="rId1378" Type="http://schemas.openxmlformats.org/officeDocument/2006/relationships/hyperlink" Target="mailto:andreacristofari@yahoo.com.ar" TargetMode="External"/><Relationship Id="rId1585" Type="http://schemas.openxmlformats.org/officeDocument/2006/relationships/hyperlink" Target="mailto:javierbatalla78@hotmail.com" TargetMode="External"/><Relationship Id="rId84" Type="http://schemas.openxmlformats.org/officeDocument/2006/relationships/hyperlink" Target="mailto:magabypara@hotmail.com" TargetMode="External"/><Relationship Id="rId387" Type="http://schemas.openxmlformats.org/officeDocument/2006/relationships/hyperlink" Target="mailto:carlosfacet@hotmail.com" TargetMode="External"/><Relationship Id="rId510" Type="http://schemas.openxmlformats.org/officeDocument/2006/relationships/hyperlink" Target="mailto:nadiaabad@live.com" TargetMode="External"/><Relationship Id="rId594" Type="http://schemas.openxmlformats.org/officeDocument/2006/relationships/hyperlink" Target="mailto:nadiaabad@live.com" TargetMode="External"/><Relationship Id="rId608" Type="http://schemas.openxmlformats.org/officeDocument/2006/relationships/hyperlink" Target="mailto:nadiaabad@live.com" TargetMode="External"/><Relationship Id="rId815" Type="http://schemas.openxmlformats.org/officeDocument/2006/relationships/hyperlink" Target="mailto:cecilianazur@hotmail.com" TargetMode="External"/><Relationship Id="rId1238" Type="http://schemas.openxmlformats.org/officeDocument/2006/relationships/hyperlink" Target="mailto:clarisagalves@hotmail.com" TargetMode="External"/><Relationship Id="rId1445" Type="http://schemas.openxmlformats.org/officeDocument/2006/relationships/hyperlink" Target="mailto:lcerasuolo@hotmail.com" TargetMode="External"/><Relationship Id="rId1652" Type="http://schemas.openxmlformats.org/officeDocument/2006/relationships/hyperlink" Target="mailto:juanalmaraz753@hotmail.com" TargetMode="External"/><Relationship Id="rId247" Type="http://schemas.openxmlformats.org/officeDocument/2006/relationships/hyperlink" Target="mailto:esrojas_84@hotmail.com" TargetMode="External"/><Relationship Id="rId899" Type="http://schemas.openxmlformats.org/officeDocument/2006/relationships/hyperlink" Target="mailto:poquitotele@hotmail.com" TargetMode="External"/><Relationship Id="rId1000" Type="http://schemas.openxmlformats.org/officeDocument/2006/relationships/hyperlink" Target="mailto:mariaalizondo@hotmail.com" TargetMode="External"/><Relationship Id="rId1084" Type="http://schemas.openxmlformats.org/officeDocument/2006/relationships/hyperlink" Target="mailto:silviaisrailev@gmail.com" TargetMode="External"/><Relationship Id="rId1305" Type="http://schemas.openxmlformats.org/officeDocument/2006/relationships/hyperlink" Target="mailto:febyestrada@hotmail.com" TargetMode="External"/><Relationship Id="rId107" Type="http://schemas.openxmlformats.org/officeDocument/2006/relationships/hyperlink" Target="mailto:subrearte22@gmail.com" TargetMode="External"/><Relationship Id="rId454" Type="http://schemas.openxmlformats.org/officeDocument/2006/relationships/hyperlink" Target="mailto:hectoryeyeroldan@hotmail.com" TargetMode="External"/><Relationship Id="rId661" Type="http://schemas.openxmlformats.org/officeDocument/2006/relationships/hyperlink" Target="mailto:nadiaabad@live.com" TargetMode="External"/><Relationship Id="rId759" Type="http://schemas.openxmlformats.org/officeDocument/2006/relationships/hyperlink" Target="mailto:nadiaabad@live.com" TargetMode="External"/><Relationship Id="rId966" Type="http://schemas.openxmlformats.org/officeDocument/2006/relationships/hyperlink" Target="mailto:alejandrolorefice@hotmail.com" TargetMode="External"/><Relationship Id="rId1291" Type="http://schemas.openxmlformats.org/officeDocument/2006/relationships/hyperlink" Target="mailto:eugifernandez@yahoo.com.ar" TargetMode="External"/><Relationship Id="rId1389" Type="http://schemas.openxmlformats.org/officeDocument/2006/relationships/hyperlink" Target="mailto:czeballos@fbqf.unt.edu.ar" TargetMode="External"/><Relationship Id="rId1512" Type="http://schemas.openxmlformats.org/officeDocument/2006/relationships/hyperlink" Target="mailto:jcalvo@dirinfo.unt.edu.ar" TargetMode="External"/><Relationship Id="rId1596" Type="http://schemas.openxmlformats.org/officeDocument/2006/relationships/hyperlink" Target="mailto:sonia@ct.unt.edu.ar" TargetMode="External"/><Relationship Id="rId11" Type="http://schemas.openxmlformats.org/officeDocument/2006/relationships/hyperlink" Target="mailto:fernandarodelgado@hotmail.com" TargetMode="External"/><Relationship Id="rId314" Type="http://schemas.openxmlformats.org/officeDocument/2006/relationships/hyperlink" Target="mailto:sanchezloriacm@yahoo.com.ar" TargetMode="External"/><Relationship Id="rId398" Type="http://schemas.openxmlformats.org/officeDocument/2006/relationships/hyperlink" Target="mailto:carmentorrente57@gmail.com" TargetMode="External"/><Relationship Id="rId521" Type="http://schemas.openxmlformats.org/officeDocument/2006/relationships/hyperlink" Target="mailto:nadiaabad@live.com" TargetMode="External"/><Relationship Id="rId619" Type="http://schemas.openxmlformats.org/officeDocument/2006/relationships/hyperlink" Target="mailto:nadiaabad@live.com" TargetMode="External"/><Relationship Id="rId1151" Type="http://schemas.openxmlformats.org/officeDocument/2006/relationships/hyperlink" Target="mailto:jgrau@herrera.unt.edu.ar" TargetMode="External"/><Relationship Id="rId1249" Type="http://schemas.openxmlformats.org/officeDocument/2006/relationships/hyperlink" Target="mailto:adriantukman@hotmail.com" TargetMode="External"/><Relationship Id="rId95" Type="http://schemas.openxmlformats.org/officeDocument/2006/relationships/hyperlink" Target="mailto:lili.juarez.09@gmail.com" TargetMode="External"/><Relationship Id="rId160" Type="http://schemas.openxmlformats.org/officeDocument/2006/relationships/hyperlink" Target="mailto:estudiososa@gmail.com" TargetMode="External"/><Relationship Id="rId826" Type="http://schemas.openxmlformats.org/officeDocument/2006/relationships/hyperlink" Target="mailto:dnavarro@herrera.unt.edu.ar" TargetMode="External"/><Relationship Id="rId1011" Type="http://schemas.openxmlformats.org/officeDocument/2006/relationships/hyperlink" Target="mailto:marialenis@gmail.com" TargetMode="External"/><Relationship Id="rId1109" Type="http://schemas.openxmlformats.org/officeDocument/2006/relationships/hyperlink" Target="mailto:mylan2006@hotmail.com" TargetMode="External"/><Relationship Id="rId1456" Type="http://schemas.openxmlformats.org/officeDocument/2006/relationships/hyperlink" Target="mailto:mcarrizo@ct.unt.edu.ar" TargetMode="External"/><Relationship Id="rId1663" Type="http://schemas.openxmlformats.org/officeDocument/2006/relationships/hyperlink" Target="mailto:loletucuman@yahoo.com.ar" TargetMode="External"/><Relationship Id="rId258" Type="http://schemas.openxmlformats.org/officeDocument/2006/relationships/hyperlink" Target="mailto:robljo@hotmail.com" TargetMode="External"/><Relationship Id="rId465" Type="http://schemas.openxmlformats.org/officeDocument/2006/relationships/hyperlink" Target="mailto:oscar-orquera@hotmail.com" TargetMode="External"/><Relationship Id="rId672" Type="http://schemas.openxmlformats.org/officeDocument/2006/relationships/hyperlink" Target="mailto:nadiaabad@live.com" TargetMode="External"/><Relationship Id="rId1095" Type="http://schemas.openxmlformats.org/officeDocument/2006/relationships/hyperlink" Target="mailto:jribarra@rectorado.unt.edu.ar" TargetMode="External"/><Relationship Id="rId1316" Type="http://schemas.openxmlformats.org/officeDocument/2006/relationships/hyperlink" Target="mailto:eaescano@gmail.com" TargetMode="External"/><Relationship Id="rId1523" Type="http://schemas.openxmlformats.org/officeDocument/2006/relationships/hyperlink" Target="mailto:marcelabusab@hotmail.com" TargetMode="External"/><Relationship Id="rId22" Type="http://schemas.openxmlformats.org/officeDocument/2006/relationships/hyperlink" Target="mailto:tenorresta@yahoo.com.ar" TargetMode="External"/><Relationship Id="rId118" Type="http://schemas.openxmlformats.org/officeDocument/2006/relationships/hyperlink" Target="mailto:joshua976@hotmail.com" TargetMode="External"/><Relationship Id="rId325" Type="http://schemas.openxmlformats.org/officeDocument/2006/relationships/hyperlink" Target="mailto:rsalinascollado@hotmail.com" TargetMode="External"/><Relationship Id="rId532" Type="http://schemas.openxmlformats.org/officeDocument/2006/relationships/hyperlink" Target="mailto:nadiaabad@live.com" TargetMode="External"/><Relationship Id="rId977" Type="http://schemas.openxmlformats.org/officeDocument/2006/relationships/hyperlink" Target="mailto:jjlopez@csnat.unt.edu.ar" TargetMode="External"/><Relationship Id="rId1162" Type="http://schemas.openxmlformats.org/officeDocument/2006/relationships/hyperlink" Target="mailto:marijo_gonza@hotmail.com" TargetMode="External"/><Relationship Id="rId171" Type="http://schemas.openxmlformats.org/officeDocument/2006/relationships/hyperlink" Target="mailto:antonisgo@hotmail.com" TargetMode="External"/><Relationship Id="rId837" Type="http://schemas.openxmlformats.org/officeDocument/2006/relationships/hyperlink" Target="mailto:mariaeugeniamoya@yahoo.com.ar" TargetMode="External"/><Relationship Id="rId1022" Type="http://schemas.openxmlformats.org/officeDocument/2006/relationships/hyperlink" Target="mailto:paolegui_24@hotmail.com" TargetMode="External"/><Relationship Id="rId1467" Type="http://schemas.openxmlformats.org/officeDocument/2006/relationships/hyperlink" Target="mailto:sanpedrodecolalao@gamil.com" TargetMode="External"/><Relationship Id="rId1674" Type="http://schemas.openxmlformats.org/officeDocument/2006/relationships/hyperlink" Target="mailto:aidatuc@hotmail.com" TargetMode="External"/><Relationship Id="rId269" Type="http://schemas.openxmlformats.org/officeDocument/2006/relationships/hyperlink" Target="mailto:verosua73@hotmail.com" TargetMode="External"/><Relationship Id="rId476" Type="http://schemas.openxmlformats.org/officeDocument/2006/relationships/hyperlink" Target="mailto:carlosfacdef@hotmail.com" TargetMode="External"/><Relationship Id="rId683" Type="http://schemas.openxmlformats.org/officeDocument/2006/relationships/hyperlink" Target="mailto:nadiaabad@live.com" TargetMode="External"/><Relationship Id="rId890" Type="http://schemas.openxmlformats.org/officeDocument/2006/relationships/hyperlink" Target="mailto:mariamena@csnat.unt.edu.ar" TargetMode="External"/><Relationship Id="rId904" Type="http://schemas.openxmlformats.org/officeDocument/2006/relationships/hyperlink" Target="mailto:nelidamedina@yahoo.com" TargetMode="External"/><Relationship Id="rId1327" Type="http://schemas.openxmlformats.org/officeDocument/2006/relationships/hyperlink" Target="mailto:durso.marcela@gmail.com" TargetMode="External"/><Relationship Id="rId1534" Type="http://schemas.openxmlformats.org/officeDocument/2006/relationships/hyperlink" Target="mailto:hbt0000@gmail.com" TargetMode="External"/><Relationship Id="rId33" Type="http://schemas.openxmlformats.org/officeDocument/2006/relationships/hyperlink" Target="mailto:pia.saenz48@gmail.com" TargetMode="External"/><Relationship Id="rId129" Type="http://schemas.openxmlformats.org/officeDocument/2006/relationships/hyperlink" Target="mailto:alejandravpadilla@hotmail.com" TargetMode="External"/><Relationship Id="rId336" Type="http://schemas.openxmlformats.org/officeDocument/2006/relationships/hyperlink" Target="mailto:csueldo@herrera.unt.edu.ar" TargetMode="External"/><Relationship Id="rId543" Type="http://schemas.openxmlformats.org/officeDocument/2006/relationships/hyperlink" Target="mailto:nadiaabad@live.com" TargetMode="External"/><Relationship Id="rId988" Type="http://schemas.openxmlformats.org/officeDocument/2006/relationships/hyperlink" Target="mailto:jjlopez@csnat.unt.edu.ar" TargetMode="External"/><Relationship Id="rId1173" Type="http://schemas.openxmlformats.org/officeDocument/2006/relationships/hyperlink" Target="mailto:carlaandreagonzalez@hotmail.com" TargetMode="External"/><Relationship Id="rId1380" Type="http://schemas.openxmlformats.org/officeDocument/2006/relationships/hyperlink" Target="mailto:faticorvalan@hotmail.com" TargetMode="External"/><Relationship Id="rId1601" Type="http://schemas.openxmlformats.org/officeDocument/2006/relationships/hyperlink" Target="mailto:arnedocarlosdaniel@gmail.com" TargetMode="External"/><Relationship Id="rId182" Type="http://schemas.openxmlformats.org/officeDocument/2006/relationships/hyperlink" Target="mailto:danielrey.nada@hotmail.com" TargetMode="External"/><Relationship Id="rId403" Type="http://schemas.openxmlformats.org/officeDocument/2006/relationships/hyperlink" Target="mailto:luchi102793@gmail.com" TargetMode="External"/><Relationship Id="rId750" Type="http://schemas.openxmlformats.org/officeDocument/2006/relationships/hyperlink" Target="mailto:nadiaabad@live.com" TargetMode="External"/><Relationship Id="rId848" Type="http://schemas.openxmlformats.org/officeDocument/2006/relationships/hyperlink" Target="mailto:mermoreno_4@hotmail.com" TargetMode="External"/><Relationship Id="rId1033" Type="http://schemas.openxmlformats.org/officeDocument/2006/relationships/hyperlink" Target="mailto:martaelascano@hotmail.com" TargetMode="External"/><Relationship Id="rId1478" Type="http://schemas.openxmlformats.org/officeDocument/2006/relationships/hyperlink" Target="mailto:andrea_j_carmona@hotmail.com" TargetMode="External"/><Relationship Id="rId1685" Type="http://schemas.openxmlformats.org/officeDocument/2006/relationships/hyperlink" Target="mailto:vivi_vero@hotmail.com.ar" TargetMode="External"/><Relationship Id="rId487" Type="http://schemas.openxmlformats.org/officeDocument/2006/relationships/hyperlink" Target="mailto:agustinaramos09@hotmail.com" TargetMode="External"/><Relationship Id="rId610" Type="http://schemas.openxmlformats.org/officeDocument/2006/relationships/hyperlink" Target="mailto:nadiaabad@live.com" TargetMode="External"/><Relationship Id="rId694" Type="http://schemas.openxmlformats.org/officeDocument/2006/relationships/hyperlink" Target="mailto:nadiaabad@live.com" TargetMode="External"/><Relationship Id="rId708" Type="http://schemas.openxmlformats.org/officeDocument/2006/relationships/hyperlink" Target="mailto:nadiaabad@live.com" TargetMode="External"/><Relationship Id="rId915" Type="http://schemas.openxmlformats.org/officeDocument/2006/relationships/hyperlink" Target="mailto:flor_m20@hotmail.com" TargetMode="External"/><Relationship Id="rId1240" Type="http://schemas.openxmlformats.org/officeDocument/2006/relationships/hyperlink" Target="mailto:rudgalvan@yahoo.com.ar" TargetMode="External"/><Relationship Id="rId1338" Type="http://schemas.openxmlformats.org/officeDocument/2006/relationships/hyperlink" Target="mailto:alejandragisela88@hotmail.com" TargetMode="External"/><Relationship Id="rId1545" Type="http://schemas.openxmlformats.org/officeDocument/2006/relationships/hyperlink" Target="mailto:marcela_bicjana@yahoo.com.ar" TargetMode="External"/><Relationship Id="rId347" Type="http://schemas.openxmlformats.org/officeDocument/2006/relationships/hyperlink" Target="mailto:gruiz@herrera.unt.edu.ar" TargetMode="External"/><Relationship Id="rId999" Type="http://schemas.openxmlformats.org/officeDocument/2006/relationships/hyperlink" Target="mailto:maritalizz99@gmail.com" TargetMode="External"/><Relationship Id="rId1100" Type="http://schemas.openxmlformats.org/officeDocument/2006/relationships/hyperlink" Target="mailto:rodolfo.hillen@hotmail.com" TargetMode="External"/><Relationship Id="rId1184" Type="http://schemas.openxmlformats.org/officeDocument/2006/relationships/hyperlink" Target="mailto:kharolyn18@hotmail.com" TargetMode="External"/><Relationship Id="rId1405" Type="http://schemas.openxmlformats.org/officeDocument/2006/relationships/hyperlink" Target="mailto:juancarlosconcha@hotmail.com" TargetMode="External"/><Relationship Id="rId44" Type="http://schemas.openxmlformats.org/officeDocument/2006/relationships/hyperlink" Target="mailto:inesilvatj@hotmail.com" TargetMode="External"/><Relationship Id="rId554" Type="http://schemas.openxmlformats.org/officeDocument/2006/relationships/hyperlink" Target="mailto:nadiaabad@live.com" TargetMode="External"/><Relationship Id="rId761" Type="http://schemas.openxmlformats.org/officeDocument/2006/relationships/hyperlink" Target="mailto:nadiaabad@live.com" TargetMode="External"/><Relationship Id="rId859" Type="http://schemas.openxmlformats.org/officeDocument/2006/relationships/hyperlink" Target="mailto:habilidadespv@gmail.com" TargetMode="External"/><Relationship Id="rId1391" Type="http://schemas.openxmlformats.org/officeDocument/2006/relationships/hyperlink" Target="mailto:mcorrea@herrera.unt.edu.ar" TargetMode="External"/><Relationship Id="rId1489" Type="http://schemas.openxmlformats.org/officeDocument/2006/relationships/hyperlink" Target="mailto:gusjavcarabajal@hotmail.com" TargetMode="External"/><Relationship Id="rId1612" Type="http://schemas.openxmlformats.org/officeDocument/2006/relationships/hyperlink" Target="mailto:mauricioargiroucr@gmail.com" TargetMode="External"/><Relationship Id="rId1696" Type="http://schemas.openxmlformats.org/officeDocument/2006/relationships/hyperlink" Target="mailto:sofiaguero@gmail.com" TargetMode="External"/><Relationship Id="rId193" Type="http://schemas.openxmlformats.org/officeDocument/2006/relationships/hyperlink" Target="mailto:cyn.romina@hotmail.com" TargetMode="External"/><Relationship Id="rId207" Type="http://schemas.openxmlformats.org/officeDocument/2006/relationships/hyperlink" Target="mailto:mocaranzazavalia@gmail.com" TargetMode="External"/><Relationship Id="rId414" Type="http://schemas.openxmlformats.org/officeDocument/2006/relationships/hyperlink" Target="mailto:veromi2002@hotmail.com" TargetMode="External"/><Relationship Id="rId498" Type="http://schemas.openxmlformats.org/officeDocument/2006/relationships/hyperlink" Target="mailto:nadiaabad@live.com" TargetMode="External"/><Relationship Id="rId621" Type="http://schemas.openxmlformats.org/officeDocument/2006/relationships/hyperlink" Target="mailto:nadiaabad@live.com" TargetMode="External"/><Relationship Id="rId1044" Type="http://schemas.openxmlformats.org/officeDocument/2006/relationships/hyperlink" Target="mailto:adrianalammoglia83@gmail.com" TargetMode="External"/><Relationship Id="rId1251" Type="http://schemas.openxmlformats.org/officeDocument/2006/relationships/hyperlink" Target="mailto:adriantukman@hotmail.com" TargetMode="External"/><Relationship Id="rId1349" Type="http://schemas.openxmlformats.org/officeDocument/2006/relationships/hyperlink" Target="mailto:dda@cine.unt.edu.ar" TargetMode="External"/><Relationship Id="rId260" Type="http://schemas.openxmlformats.org/officeDocument/2006/relationships/hyperlink" Target="mailto:analiavtula@gamil.com" TargetMode="External"/><Relationship Id="rId719" Type="http://schemas.openxmlformats.org/officeDocument/2006/relationships/hyperlink" Target="mailto:nadiaabad@live.com" TargetMode="External"/><Relationship Id="rId926" Type="http://schemas.openxmlformats.org/officeDocument/2006/relationships/hyperlink" Target="mailto:nicomarttin@hotmail.com" TargetMode="External"/><Relationship Id="rId1111" Type="http://schemas.openxmlformats.org/officeDocument/2006/relationships/hyperlink" Target="mailto:eduhmartinez07@yahoo.com.ar" TargetMode="External"/><Relationship Id="rId1556" Type="http://schemas.openxmlformats.org/officeDocument/2006/relationships/hyperlink" Target="mailto:jbellone73@gmail.com" TargetMode="External"/><Relationship Id="rId55" Type="http://schemas.openxmlformats.org/officeDocument/2006/relationships/hyperlink" Target="mailto:rosamd@csnat.unt.edu.ar" TargetMode="External"/><Relationship Id="rId120" Type="http://schemas.openxmlformats.org/officeDocument/2006/relationships/hyperlink" Target="mailto:daniel_paliza2@hotmail.com" TargetMode="External"/><Relationship Id="rId358" Type="http://schemas.openxmlformats.org/officeDocument/2006/relationships/hyperlink" Target="mailto:soriaburgos2000@hotmail.com" TargetMode="External"/><Relationship Id="rId565" Type="http://schemas.openxmlformats.org/officeDocument/2006/relationships/hyperlink" Target="mailto:nadiaabad@live.com" TargetMode="External"/><Relationship Id="rId772" Type="http://schemas.openxmlformats.org/officeDocument/2006/relationships/hyperlink" Target="mailto:nadiaabad@live.com" TargetMode="External"/><Relationship Id="rId1195" Type="http://schemas.openxmlformats.org/officeDocument/2006/relationships/hyperlink" Target="mailto:maximogomez66@hotmail.com" TargetMode="External"/><Relationship Id="rId1209" Type="http://schemas.openxmlformats.org/officeDocument/2006/relationships/hyperlink" Target="mailto:jessyngimenez@hotmail.com" TargetMode="External"/><Relationship Id="rId1416" Type="http://schemas.openxmlformats.org/officeDocument/2006/relationships/hyperlink" Target="mailto:aacsa23@gmail.com" TargetMode="External"/><Relationship Id="rId1623" Type="http://schemas.openxmlformats.org/officeDocument/2006/relationships/hyperlink" Target="mailto:punaunt@hotmail.com" TargetMode="External"/><Relationship Id="rId218" Type="http://schemas.openxmlformats.org/officeDocument/2006/relationships/hyperlink" Target="mailto:nurquiza@fbqf.unt.edu.ar" TargetMode="External"/><Relationship Id="rId425" Type="http://schemas.openxmlformats.org/officeDocument/2006/relationships/hyperlink" Target="mailto:elizabeth.478@gmail.com" TargetMode="External"/><Relationship Id="rId632" Type="http://schemas.openxmlformats.org/officeDocument/2006/relationships/hyperlink" Target="mailto:nadiaabad@live.com" TargetMode="External"/><Relationship Id="rId1055" Type="http://schemas.openxmlformats.org/officeDocument/2006/relationships/hyperlink" Target="mailto:ejuarez53@hotmail.com" TargetMode="External"/><Relationship Id="rId1262" Type="http://schemas.openxmlformats.org/officeDocument/2006/relationships/hyperlink" Target="mailto:jc8492@gmail.com" TargetMode="External"/><Relationship Id="rId271" Type="http://schemas.openxmlformats.org/officeDocument/2006/relationships/hyperlink" Target="mailto:secretariahcd@asunt.org.ar" TargetMode="External"/><Relationship Id="rId937" Type="http://schemas.openxmlformats.org/officeDocument/2006/relationships/hyperlink" Target="mailto:lucremirande@live.com.ar" TargetMode="External"/><Relationship Id="rId1122" Type="http://schemas.openxmlformats.org/officeDocument/2006/relationships/hyperlink" Target="mailto:mariajosehael@gmail.com" TargetMode="External"/><Relationship Id="rId1567" Type="http://schemas.openxmlformats.org/officeDocument/2006/relationships/hyperlink" Target="mailto:barrosjulia@hotmail.com" TargetMode="External"/><Relationship Id="rId66" Type="http://schemas.openxmlformats.org/officeDocument/2006/relationships/hyperlink" Target="mailto:gtorresin@hotmail.com" TargetMode="External"/><Relationship Id="rId131" Type="http://schemas.openxmlformats.org/officeDocument/2006/relationships/hyperlink" Target="mailto:jcvarel@yahoo.com.ar" TargetMode="External"/><Relationship Id="rId369" Type="http://schemas.openxmlformats.org/officeDocument/2006/relationships/hyperlink" Target="mailto:rodriguezvaquero_arq@yahoo.com.ar" TargetMode="External"/><Relationship Id="rId576" Type="http://schemas.openxmlformats.org/officeDocument/2006/relationships/hyperlink" Target="mailto:nadiaabad@live.com" TargetMode="External"/><Relationship Id="rId783" Type="http://schemas.openxmlformats.org/officeDocument/2006/relationships/hyperlink" Target="mailto:nadiaabad@live.com" TargetMode="External"/><Relationship Id="rId990" Type="http://schemas.openxmlformats.org/officeDocument/2006/relationships/hyperlink" Target="mailto:publifaz@yahoo.com.ar" TargetMode="External"/><Relationship Id="rId1427" Type="http://schemas.openxmlformats.org/officeDocument/2006/relationships/hyperlink" Target="mailto:juanachava56@hotmail.com" TargetMode="External"/><Relationship Id="rId1634" Type="http://schemas.openxmlformats.org/officeDocument/2006/relationships/hyperlink" Target="mailto:anaapas@fbqf.unt.edu.ar" TargetMode="External"/><Relationship Id="rId229" Type="http://schemas.openxmlformats.org/officeDocument/2006/relationships/hyperlink" Target="mailto:ana_cvc8@hotmail.com" TargetMode="External"/><Relationship Id="rId436" Type="http://schemas.openxmlformats.org/officeDocument/2006/relationships/hyperlink" Target="mailto:gerardorea@hotmail.com" TargetMode="External"/><Relationship Id="rId643" Type="http://schemas.openxmlformats.org/officeDocument/2006/relationships/hyperlink" Target="mailto:nadiaabad@live.com" TargetMode="External"/><Relationship Id="rId1066" Type="http://schemas.openxmlformats.org/officeDocument/2006/relationships/hyperlink" Target="mailto:hugojuarez.62@Gmail.com" TargetMode="External"/><Relationship Id="rId1273" Type="http://schemas.openxmlformats.org/officeDocument/2006/relationships/hyperlink" Target="mailto:puna@se.unt.edu.ar" TargetMode="External"/><Relationship Id="rId1480" Type="http://schemas.openxmlformats.org/officeDocument/2006/relationships/hyperlink" Target="mailto:bull55@hotmail.com" TargetMode="External"/><Relationship Id="rId850" Type="http://schemas.openxmlformats.org/officeDocument/2006/relationships/hyperlink" Target="mailto:danielamoreno01@gmail.com" TargetMode="External"/><Relationship Id="rId948" Type="http://schemas.openxmlformats.org/officeDocument/2006/relationships/hyperlink" Target="mailto:dmamani@rectorado.unt.edu.ar" TargetMode="External"/><Relationship Id="rId1133" Type="http://schemas.openxmlformats.org/officeDocument/2006/relationships/hyperlink" Target="mailto:aguerrero@herrera.unt.edu.ar" TargetMode="External"/><Relationship Id="rId1578" Type="http://schemas.openxmlformats.org/officeDocument/2006/relationships/hyperlink" Target="mailto:tomasbarber52@hotmail.com" TargetMode="External"/><Relationship Id="rId1701" Type="http://schemas.openxmlformats.org/officeDocument/2006/relationships/hyperlink" Target="mailto:concursos@fm.unt.edu.ar" TargetMode="External"/><Relationship Id="rId77" Type="http://schemas.openxmlformats.org/officeDocument/2006/relationships/hyperlink" Target="mailto:javieruruena2016@gmail.com" TargetMode="External"/><Relationship Id="rId282" Type="http://schemas.openxmlformats.org/officeDocument/2006/relationships/hyperlink" Target="mailto:elena_quint@live.com.ar" TargetMode="External"/><Relationship Id="rId503" Type="http://schemas.openxmlformats.org/officeDocument/2006/relationships/hyperlink" Target="mailto:nadiaabad@live.com" TargetMode="External"/><Relationship Id="rId587" Type="http://schemas.openxmlformats.org/officeDocument/2006/relationships/hyperlink" Target="mailto:nadiaabad@live.com" TargetMode="External"/><Relationship Id="rId710" Type="http://schemas.openxmlformats.org/officeDocument/2006/relationships/hyperlink" Target="mailto:nadiaabad@live.com" TargetMode="External"/><Relationship Id="rId808" Type="http://schemas.openxmlformats.org/officeDocument/2006/relationships/hyperlink" Target="mailto:silviamendoza632@hotmail.com" TargetMode="External"/><Relationship Id="rId1340" Type="http://schemas.openxmlformats.org/officeDocument/2006/relationships/hyperlink" Target="mailto:dias.felixesteban@gmail.com" TargetMode="External"/><Relationship Id="rId1438" Type="http://schemas.openxmlformats.org/officeDocument/2006/relationships/hyperlink" Target="mailto:ccecchin1980@gmail.com" TargetMode="External"/><Relationship Id="rId1645" Type="http://schemas.openxmlformats.org/officeDocument/2006/relationships/hyperlink" Target="mailto:alvarezfer@gmail.com" TargetMode="External"/><Relationship Id="rId8" Type="http://schemas.openxmlformats.org/officeDocument/2006/relationships/hyperlink" Target="mailto:princesaso@hotmail.com" TargetMode="External"/><Relationship Id="rId142" Type="http://schemas.openxmlformats.org/officeDocument/2006/relationships/hyperlink" Target="mailto:eldani_86@hotmail.es" TargetMode="External"/><Relationship Id="rId447" Type="http://schemas.openxmlformats.org/officeDocument/2006/relationships/hyperlink" Target="mailto:alciraserrato@gmail.com" TargetMode="External"/><Relationship Id="rId794" Type="http://schemas.openxmlformats.org/officeDocument/2006/relationships/hyperlink" Target="mailto:nadiaabad@live.com" TargetMode="External"/><Relationship Id="rId1077" Type="http://schemas.openxmlformats.org/officeDocument/2006/relationships/hyperlink" Target="mailto:carlosraco@hotmail.com" TargetMode="External"/><Relationship Id="rId1200" Type="http://schemas.openxmlformats.org/officeDocument/2006/relationships/hyperlink" Target="mailto:cyberamigoargentino@gmail.com" TargetMode="External"/><Relationship Id="rId654" Type="http://schemas.openxmlformats.org/officeDocument/2006/relationships/hyperlink" Target="mailto:nadiaabad@live.com" TargetMode="External"/><Relationship Id="rId861" Type="http://schemas.openxmlformats.org/officeDocument/2006/relationships/hyperlink" Target="mailto:smontenegro@puedes.unt.edu.ar" TargetMode="External"/><Relationship Id="rId959" Type="http://schemas.openxmlformats.org/officeDocument/2006/relationships/hyperlink" Target="mailto:lucasluna111@gmail.com" TargetMode="External"/><Relationship Id="rId1284" Type="http://schemas.openxmlformats.org/officeDocument/2006/relationships/hyperlink" Target="mailto:danielfelipemaza@outlook.com" TargetMode="External"/><Relationship Id="rId1491" Type="http://schemas.openxmlformats.org/officeDocument/2006/relationships/hyperlink" Target="mailto:comunicaciones@cine.unt.edu.ar" TargetMode="External"/><Relationship Id="rId1505" Type="http://schemas.openxmlformats.org/officeDocument/2006/relationships/hyperlink" Target="mailto:luissncampero@hotmail.com" TargetMode="External"/><Relationship Id="rId1589" Type="http://schemas.openxmlformats.org/officeDocument/2006/relationships/hyperlink" Target="mailto:susanarubis@hotmail.com" TargetMode="External"/><Relationship Id="rId1712" Type="http://schemas.openxmlformats.org/officeDocument/2006/relationships/drawing" Target="../drawings/drawing2.xml"/><Relationship Id="rId293" Type="http://schemas.openxmlformats.org/officeDocument/2006/relationships/hyperlink" Target="mailto:mesa-odontologia@rectoradount.edu.ar" TargetMode="External"/><Relationship Id="rId307" Type="http://schemas.openxmlformats.org/officeDocument/2006/relationships/hyperlink" Target="mailto:silvinazulli@hotmail.com" TargetMode="External"/><Relationship Id="rId514" Type="http://schemas.openxmlformats.org/officeDocument/2006/relationships/hyperlink" Target="mailto:nadiaabad@live.com" TargetMode="External"/><Relationship Id="rId721" Type="http://schemas.openxmlformats.org/officeDocument/2006/relationships/hyperlink" Target="mailto:nadiaabad@live.com" TargetMode="External"/><Relationship Id="rId1144" Type="http://schemas.openxmlformats.org/officeDocument/2006/relationships/hyperlink" Target="mailto:ramirogrimaldi@gmail.com" TargetMode="External"/><Relationship Id="rId1351" Type="http://schemas.openxmlformats.org/officeDocument/2006/relationships/hyperlink" Target="mailto:dcarolinadelvalle@yahoo.com" TargetMode="External"/><Relationship Id="rId1449" Type="http://schemas.openxmlformats.org/officeDocument/2006/relationships/hyperlink" Target="mailto:fernandocayu@hotmail.com" TargetMode="External"/><Relationship Id="rId88" Type="http://schemas.openxmlformats.org/officeDocument/2006/relationships/hyperlink" Target="mailto:silvitas18@yahoo.com.ar" TargetMode="External"/><Relationship Id="rId153" Type="http://schemas.openxmlformats.org/officeDocument/2006/relationships/hyperlink" Target="mailto:nataliavilloldo@hotmail.com" TargetMode="External"/><Relationship Id="rId360" Type="http://schemas.openxmlformats.org/officeDocument/2006/relationships/hyperlink" Target="mailto:marisapgdominguez@hotmail.com" TargetMode="External"/><Relationship Id="rId598" Type="http://schemas.openxmlformats.org/officeDocument/2006/relationships/hyperlink" Target="mailto:nadiaabad@live.com" TargetMode="External"/><Relationship Id="rId819" Type="http://schemas.openxmlformats.org/officeDocument/2006/relationships/hyperlink" Target="mailto:rmverona@hotmail.com" TargetMode="External"/><Relationship Id="rId1004" Type="http://schemas.openxmlformats.org/officeDocument/2006/relationships/hyperlink" Target="mailto:martinamarcela293@hotmail.com" TargetMode="External"/><Relationship Id="rId1211" Type="http://schemas.openxmlformats.org/officeDocument/2006/relationships/hyperlink" Target="mailto:raquelgiannini@yahoo.com.ar" TargetMode="External"/><Relationship Id="rId1656" Type="http://schemas.openxmlformats.org/officeDocument/2006/relationships/hyperlink" Target="mailto:monicamabelpereyra2011@hotmail.com" TargetMode="External"/><Relationship Id="rId220" Type="http://schemas.openxmlformats.org/officeDocument/2006/relationships/hyperlink" Target="mailto:claudiaval2012@hotmail.com" TargetMode="External"/><Relationship Id="rId458" Type="http://schemas.openxmlformats.org/officeDocument/2006/relationships/hyperlink" Target="mailto:davider68@hotmail.com" TargetMode="External"/><Relationship Id="rId665" Type="http://schemas.openxmlformats.org/officeDocument/2006/relationships/hyperlink" Target="mailto:nadiaabad@live.com" TargetMode="External"/><Relationship Id="rId872" Type="http://schemas.openxmlformats.org/officeDocument/2006/relationships/hyperlink" Target="mailto:armandomiranda@hotmail.com" TargetMode="External"/><Relationship Id="rId1088" Type="http://schemas.openxmlformats.org/officeDocument/2006/relationships/hyperlink" Target="mailto:marulopez@face.unt.edu.ar" TargetMode="External"/><Relationship Id="rId1295" Type="http://schemas.openxmlformats.org/officeDocument/2006/relationships/hyperlink" Target="mailto:mari_led@hotmail.com" TargetMode="External"/><Relationship Id="rId1309" Type="http://schemas.openxmlformats.org/officeDocument/2006/relationships/hyperlink" Target="mailto:liesper@yahoo.com.ar" TargetMode="External"/><Relationship Id="rId1516" Type="http://schemas.openxmlformats.org/officeDocument/2006/relationships/hyperlink" Target="mailto:blascajal@hotmail.com" TargetMode="External"/><Relationship Id="rId15" Type="http://schemas.openxmlformats.org/officeDocument/2006/relationships/hyperlink" Target="mailto:oms36@hotmail.com" TargetMode="External"/><Relationship Id="rId318" Type="http://schemas.openxmlformats.org/officeDocument/2006/relationships/hyperlink" Target="mailto:maxipedraza@hotmail.com" TargetMode="External"/><Relationship Id="rId525" Type="http://schemas.openxmlformats.org/officeDocument/2006/relationships/hyperlink" Target="mailto:nadiaabad@live.com" TargetMode="External"/><Relationship Id="rId732" Type="http://schemas.openxmlformats.org/officeDocument/2006/relationships/hyperlink" Target="mailto:nadiaabad@live.com" TargetMode="External"/><Relationship Id="rId1155" Type="http://schemas.openxmlformats.org/officeDocument/2006/relationships/hyperlink" Target="mailto:mgonzalez@herrera.unt.edu.ar" TargetMode="External"/><Relationship Id="rId1362" Type="http://schemas.openxmlformats.org/officeDocument/2006/relationships/hyperlink" Target="mailto:crubendelaorden@gmail.com" TargetMode="External"/><Relationship Id="rId99" Type="http://schemas.openxmlformats.org/officeDocument/2006/relationships/hyperlink" Target="mailto:veronicarueck@gmail.com" TargetMode="External"/><Relationship Id="rId164" Type="http://schemas.openxmlformats.org/officeDocument/2006/relationships/hyperlink" Target="mailto:leonor-ramirez@hotmail.com" TargetMode="External"/><Relationship Id="rId371" Type="http://schemas.openxmlformats.org/officeDocument/2006/relationships/hyperlink" Target="mailto:rodolfotarulla@hotmail.com" TargetMode="External"/><Relationship Id="rId1015" Type="http://schemas.openxmlformats.org/officeDocument/2006/relationships/hyperlink" Target="mailto:natuuchyy@gmail.com" TargetMode="External"/><Relationship Id="rId1222" Type="http://schemas.openxmlformats.org/officeDocument/2006/relationships/hyperlink" Target="mailto:grmanmorals@gmail.com" TargetMode="External"/><Relationship Id="rId1667" Type="http://schemas.openxmlformats.org/officeDocument/2006/relationships/hyperlink" Target="mailto:miguelangel736@hotmail.com" TargetMode="External"/><Relationship Id="rId469" Type="http://schemas.openxmlformats.org/officeDocument/2006/relationships/hyperlink" Target="mailto:adriveliz@gmail.com" TargetMode="External"/><Relationship Id="rId676" Type="http://schemas.openxmlformats.org/officeDocument/2006/relationships/hyperlink" Target="mailto:nadiaabad@live.com" TargetMode="External"/><Relationship Id="rId883" Type="http://schemas.openxmlformats.org/officeDocument/2006/relationships/hyperlink" Target="mailto:pablomartinmercado@yahoo.com.ar" TargetMode="External"/><Relationship Id="rId1099" Type="http://schemas.openxmlformats.org/officeDocument/2006/relationships/hyperlink" Target="mailto:mai_unt_1962@hotmail.com" TargetMode="External"/><Relationship Id="rId1527" Type="http://schemas.openxmlformats.org/officeDocument/2006/relationships/hyperlink" Target="mailto:elianabrunello@hotmail.com" TargetMode="External"/><Relationship Id="rId26" Type="http://schemas.openxmlformats.org/officeDocument/2006/relationships/hyperlink" Target="mailto:lauruffolo@hotmail.com" TargetMode="External"/><Relationship Id="rId231" Type="http://schemas.openxmlformats.org/officeDocument/2006/relationships/hyperlink" Target="mailto:isapatorojas@ciudad.com.ar" TargetMode="External"/><Relationship Id="rId329" Type="http://schemas.openxmlformats.org/officeDocument/2006/relationships/hyperlink" Target="mailto:mercedespreyra@csnat.unt.edu.ar" TargetMode="External"/><Relationship Id="rId536" Type="http://schemas.openxmlformats.org/officeDocument/2006/relationships/hyperlink" Target="mailto:nadiaabad@live.com" TargetMode="External"/><Relationship Id="rId1166" Type="http://schemas.openxmlformats.org/officeDocument/2006/relationships/hyperlink" Target="mailto:silvanag_15@hotmail.com" TargetMode="External"/><Relationship Id="rId1373" Type="http://schemas.openxmlformats.org/officeDocument/2006/relationships/hyperlink" Target="mailto:iresava@hotmail.com" TargetMode="External"/><Relationship Id="rId175" Type="http://schemas.openxmlformats.org/officeDocument/2006/relationships/hyperlink" Target="mailto:macelabusab@hotmail.com" TargetMode="External"/><Relationship Id="rId743" Type="http://schemas.openxmlformats.org/officeDocument/2006/relationships/hyperlink" Target="mailto:nadiaabad@live.com" TargetMode="External"/><Relationship Id="rId950" Type="http://schemas.openxmlformats.org/officeDocument/2006/relationships/hyperlink" Target="mailto:mlmalica1@gmail.com" TargetMode="External"/><Relationship Id="rId1026" Type="http://schemas.openxmlformats.org/officeDocument/2006/relationships/hyperlink" Target="mailto:flopitatuc@hotmail.com" TargetMode="External"/><Relationship Id="rId1580" Type="http://schemas.openxmlformats.org/officeDocument/2006/relationships/hyperlink" Target="mailto:gbaldasaria@gmail.com" TargetMode="External"/><Relationship Id="rId1678" Type="http://schemas.openxmlformats.org/officeDocument/2006/relationships/hyperlink" Target="mailto:toto_0101@hotmail.com" TargetMode="External"/><Relationship Id="rId382" Type="http://schemas.openxmlformats.org/officeDocument/2006/relationships/hyperlink" Target="mailto:claudiaramosdepulido@gmail.com" TargetMode="External"/><Relationship Id="rId603" Type="http://schemas.openxmlformats.org/officeDocument/2006/relationships/hyperlink" Target="mailto:nadiaabad@live.com" TargetMode="External"/><Relationship Id="rId687" Type="http://schemas.openxmlformats.org/officeDocument/2006/relationships/hyperlink" Target="mailto:nadiaabad@live.com" TargetMode="External"/><Relationship Id="rId810" Type="http://schemas.openxmlformats.org/officeDocument/2006/relationships/hyperlink" Target="mailto:jonieva26@gmail.com" TargetMode="External"/><Relationship Id="rId908" Type="http://schemas.openxmlformats.org/officeDocument/2006/relationships/hyperlink" Target="mailto:merilau81@hotmail.com" TargetMode="External"/><Relationship Id="rId1233" Type="http://schemas.openxmlformats.org/officeDocument/2006/relationships/hyperlink" Target="mailto:lgsanna@hotmail.com" TargetMode="External"/><Relationship Id="rId1440" Type="http://schemas.openxmlformats.org/officeDocument/2006/relationships/hyperlink" Target="mailto:rolocecchin@hotmail.com" TargetMode="External"/><Relationship Id="rId1538" Type="http://schemas.openxmlformats.org/officeDocument/2006/relationships/hyperlink" Target="mailto:edithbrancato@hotmail.com" TargetMode="External"/><Relationship Id="rId242" Type="http://schemas.openxmlformats.org/officeDocument/2006/relationships/hyperlink" Target="mailto:zolloliderios@hotmail.com" TargetMode="External"/><Relationship Id="rId894" Type="http://schemas.openxmlformats.org/officeDocument/2006/relationships/hyperlink" Target="mailto:marianelida@yahoo.com.ar" TargetMode="External"/><Relationship Id="rId1177" Type="http://schemas.openxmlformats.org/officeDocument/2006/relationships/hyperlink" Target="mailto:levelmusic2015@gmail.com" TargetMode="External"/><Relationship Id="rId1300" Type="http://schemas.openxmlformats.org/officeDocument/2006/relationships/hyperlink" Target="mailto:lfagre@face.unt.edu.ar" TargetMode="External"/><Relationship Id="rId37" Type="http://schemas.openxmlformats.org/officeDocument/2006/relationships/hyperlink" Target="mailto:spensotti@face.unt.edu.ar" TargetMode="External"/><Relationship Id="rId102" Type="http://schemas.openxmlformats.org/officeDocument/2006/relationships/hyperlink" Target="mailto:victorias_1977@hotmail.com" TargetMode="External"/><Relationship Id="rId547" Type="http://schemas.openxmlformats.org/officeDocument/2006/relationships/hyperlink" Target="mailto:nadiaabad@live.com" TargetMode="External"/><Relationship Id="rId754" Type="http://schemas.openxmlformats.org/officeDocument/2006/relationships/hyperlink" Target="mailto:nadiaabad@live.com" TargetMode="External"/><Relationship Id="rId961" Type="http://schemas.openxmlformats.org/officeDocument/2006/relationships/hyperlink" Target="mailto:jluna@puedes.unt.edu.ar" TargetMode="External"/><Relationship Id="rId1384" Type="http://schemas.openxmlformats.org/officeDocument/2006/relationships/hyperlink" Target="mailto:nancylorenacorrea@yahoo.com.ar" TargetMode="External"/><Relationship Id="rId1591" Type="http://schemas.openxmlformats.org/officeDocument/2006/relationships/hyperlink" Target="mailto:veronicaastorgaladetto@hotmail.com" TargetMode="External"/><Relationship Id="rId1605" Type="http://schemas.openxmlformats.org/officeDocument/2006/relationships/hyperlink" Target="mailto:juanarip@hotmail.com" TargetMode="External"/><Relationship Id="rId1689" Type="http://schemas.openxmlformats.org/officeDocument/2006/relationships/hyperlink" Target="mailto:luisaguero80@hotmail.com" TargetMode="External"/><Relationship Id="rId90" Type="http://schemas.openxmlformats.org/officeDocument/2006/relationships/hyperlink" Target="mailto:rolorn@gmail.com" TargetMode="External"/><Relationship Id="rId186" Type="http://schemas.openxmlformats.org/officeDocument/2006/relationships/hyperlink" Target="mailto:gsalpaz@yahoo.com.ar" TargetMode="External"/><Relationship Id="rId393" Type="http://schemas.openxmlformats.org/officeDocument/2006/relationships/hyperlink" Target="mailto:sildatorrejon@gmail.com" TargetMode="External"/><Relationship Id="rId407" Type="http://schemas.openxmlformats.org/officeDocument/2006/relationships/hyperlink" Target="mailto:marpal96@hotmail.com" TargetMode="External"/><Relationship Id="rId614" Type="http://schemas.openxmlformats.org/officeDocument/2006/relationships/hyperlink" Target="mailto:nadiaabad@live.com" TargetMode="External"/><Relationship Id="rId821" Type="http://schemas.openxmlformats.org/officeDocument/2006/relationships/hyperlink" Target="mailto:sonkosilvia@hotmail.com" TargetMode="External"/><Relationship Id="rId1037" Type="http://schemas.openxmlformats.org/officeDocument/2006/relationships/hyperlink" Target="mailto:punaescuela@hotmail.com" TargetMode="External"/><Relationship Id="rId1244" Type="http://schemas.openxmlformats.org/officeDocument/2006/relationships/hyperlink" Target="mailto:sergallo@tucbbs.com.ar" TargetMode="External"/><Relationship Id="rId1451" Type="http://schemas.openxmlformats.org/officeDocument/2006/relationships/hyperlink" Target="mailto:san_grey@hotmail.com" TargetMode="External"/><Relationship Id="rId253" Type="http://schemas.openxmlformats.org/officeDocument/2006/relationships/hyperlink" Target="mailto:alumnos@derecho.unt.edu.ar" TargetMode="External"/><Relationship Id="rId460" Type="http://schemas.openxmlformats.org/officeDocument/2006/relationships/hyperlink" Target="mailto:ronydtucuman@gmail.com" TargetMode="External"/><Relationship Id="rId698" Type="http://schemas.openxmlformats.org/officeDocument/2006/relationships/hyperlink" Target="mailto:nadiaabad@live.com" TargetMode="External"/><Relationship Id="rId919" Type="http://schemas.openxmlformats.org/officeDocument/2006/relationships/hyperlink" Target="mailto:lacandidaerendida@hotmail.com" TargetMode="External"/><Relationship Id="rId1090" Type="http://schemas.openxmlformats.org/officeDocument/2006/relationships/hyperlink" Target="mailto:deleadm@psicologia.unt.edu.ar" TargetMode="External"/><Relationship Id="rId1104" Type="http://schemas.openxmlformats.org/officeDocument/2006/relationships/hyperlink" Target="mailto:mfh_facdef@hotmail.com" TargetMode="External"/><Relationship Id="rId1311" Type="http://schemas.openxmlformats.org/officeDocument/2006/relationships/hyperlink" Target="mailto:alfredocosio66@gmail.com" TargetMode="External"/><Relationship Id="rId1549" Type="http://schemas.openxmlformats.org/officeDocument/2006/relationships/hyperlink" Target="mailto:aleberrizbeitia@hotmail.com" TargetMode="External"/><Relationship Id="rId48" Type="http://schemas.openxmlformats.org/officeDocument/2006/relationships/hyperlink" Target="mailto:poncecarena@hotmail.com" TargetMode="External"/><Relationship Id="rId113" Type="http://schemas.openxmlformats.org/officeDocument/2006/relationships/hyperlink" Target="mailto:asauvage@gmail.com" TargetMode="External"/><Relationship Id="rId320" Type="http://schemas.openxmlformats.org/officeDocument/2006/relationships/hyperlink" Target="mailto:athenas919@hotmail.com" TargetMode="External"/><Relationship Id="rId558" Type="http://schemas.openxmlformats.org/officeDocument/2006/relationships/hyperlink" Target="mailto:nadiaabad@live.com" TargetMode="External"/><Relationship Id="rId765" Type="http://schemas.openxmlformats.org/officeDocument/2006/relationships/hyperlink" Target="mailto:nadiaabad@live.com" TargetMode="External"/><Relationship Id="rId972" Type="http://schemas.openxmlformats.org/officeDocument/2006/relationships/hyperlink" Target="mailto:nalau_ar@hotmail.com" TargetMode="External"/><Relationship Id="rId1188" Type="http://schemas.openxmlformats.org/officeDocument/2006/relationships/hyperlink" Target="mailto:jose_2_84@hotmail.com" TargetMode="External"/><Relationship Id="rId1395" Type="http://schemas.openxmlformats.org/officeDocument/2006/relationships/hyperlink" Target="mailto:peteronho@hotmail.com" TargetMode="External"/><Relationship Id="rId1409" Type="http://schemas.openxmlformats.org/officeDocument/2006/relationships/hyperlink" Target="mailto:gaconcha@hotmail.com" TargetMode="External"/><Relationship Id="rId1616" Type="http://schemas.openxmlformats.org/officeDocument/2006/relationships/hyperlink" Target="mailto:geonoelia@hotmail.com" TargetMode="External"/><Relationship Id="rId197" Type="http://schemas.openxmlformats.org/officeDocument/2006/relationships/hyperlink" Target="mailto:eruiz@herrera.unt.edu.ar" TargetMode="External"/><Relationship Id="rId418" Type="http://schemas.openxmlformats.org/officeDocument/2006/relationships/hyperlink" Target="mailto:roblesnviviana@gmail.com&#160;" TargetMode="External"/><Relationship Id="rId625" Type="http://schemas.openxmlformats.org/officeDocument/2006/relationships/hyperlink" Target="mailto:nadiaabad@live.com" TargetMode="External"/><Relationship Id="rId832" Type="http://schemas.openxmlformats.org/officeDocument/2006/relationships/hyperlink" Target="mailto:bettinahere@hotmail.com" TargetMode="External"/><Relationship Id="rId1048" Type="http://schemas.openxmlformats.org/officeDocument/2006/relationships/hyperlink" Target="mailto:andrea_khouri@hotmail.com" TargetMode="External"/><Relationship Id="rId1255" Type="http://schemas.openxmlformats.org/officeDocument/2006/relationships/hyperlink" Target="mailto:aleformoso@yahoo.com" TargetMode="External"/><Relationship Id="rId1462" Type="http://schemas.openxmlformats.org/officeDocument/2006/relationships/hyperlink" Target="mailto:jjlopez@csnat.unt.edu.ar" TargetMode="External"/><Relationship Id="rId264" Type="http://schemas.openxmlformats.org/officeDocument/2006/relationships/hyperlink" Target="mailto:decafau@harrera.unt.edu.ar" TargetMode="External"/><Relationship Id="rId471" Type="http://schemas.openxmlformats.org/officeDocument/2006/relationships/hyperlink" Target="mailto:federicoquesada87@gmail.com" TargetMode="External"/><Relationship Id="rId1115" Type="http://schemas.openxmlformats.org/officeDocument/2006/relationships/hyperlink" Target="mailto:sonia1273@hotmail.com" TargetMode="External"/><Relationship Id="rId1322" Type="http://schemas.openxmlformats.org/officeDocument/2006/relationships/hyperlink" Target="mailto:dumitfabian@hotmail.com" TargetMode="External"/><Relationship Id="rId59" Type="http://schemas.openxmlformats.org/officeDocument/2006/relationships/hyperlink" Target="mailto:carmenf_vargas@hotmail.com" TargetMode="External"/><Relationship Id="rId124" Type="http://schemas.openxmlformats.org/officeDocument/2006/relationships/hyperlink" Target="mailto:maximiliano_soria5@hotmail.com" TargetMode="External"/><Relationship Id="rId569" Type="http://schemas.openxmlformats.org/officeDocument/2006/relationships/hyperlink" Target="mailto:nadiaabad@live.com" TargetMode="External"/><Relationship Id="rId776" Type="http://schemas.openxmlformats.org/officeDocument/2006/relationships/hyperlink" Target="mailto:nadiaabad@live.com" TargetMode="External"/><Relationship Id="rId983" Type="http://schemas.openxmlformats.org/officeDocument/2006/relationships/hyperlink" Target="mailto:juanpablopez@gmail.com" TargetMode="External"/><Relationship Id="rId1199" Type="http://schemas.openxmlformats.org/officeDocument/2006/relationships/hyperlink" Target="mailto:mgomez@fbqf.unt.edu.ar" TargetMode="External"/><Relationship Id="rId1627" Type="http://schemas.openxmlformats.org/officeDocument/2006/relationships/hyperlink" Target="mailto:aranaguillermo@hotmail.com" TargetMode="External"/><Relationship Id="rId331" Type="http://schemas.openxmlformats.org/officeDocument/2006/relationships/hyperlink" Target="mailto:mabelzappella14@hotmail.com" TargetMode="External"/><Relationship Id="rId429" Type="http://schemas.openxmlformats.org/officeDocument/2006/relationships/hyperlink" Target="mailto:japeralta@gmail.com" TargetMode="External"/><Relationship Id="rId636" Type="http://schemas.openxmlformats.org/officeDocument/2006/relationships/hyperlink" Target="mailto:nadiaabad@live.com" TargetMode="External"/><Relationship Id="rId1059" Type="http://schemas.openxmlformats.org/officeDocument/2006/relationships/hyperlink" Target="mailto:dirpersonal_aida@hotmail.com" TargetMode="External"/><Relationship Id="rId1266" Type="http://schemas.openxmlformats.org/officeDocument/2006/relationships/hyperlink" Target="mailto:caf000075@gmail.com" TargetMode="External"/><Relationship Id="rId1473" Type="http://schemas.openxmlformats.org/officeDocument/2006/relationships/hyperlink" Target="mailto:sucordisco@hotmail.com" TargetMode="External"/><Relationship Id="rId843" Type="http://schemas.openxmlformats.org/officeDocument/2006/relationships/hyperlink" Target="mailto:guillomosqueira@hotmail.com" TargetMode="External"/><Relationship Id="rId1126" Type="http://schemas.openxmlformats.org/officeDocument/2006/relationships/hyperlink" Target="mailto:jguzman@herrera.unt.edu.ar" TargetMode="External"/><Relationship Id="rId1680" Type="http://schemas.openxmlformats.org/officeDocument/2006/relationships/hyperlink" Target="mailto:juliooffi@hotmail.com" TargetMode="External"/><Relationship Id="rId275" Type="http://schemas.openxmlformats.org/officeDocument/2006/relationships/hyperlink" Target="mailto:caojeda50@hotmail.com" TargetMode="External"/><Relationship Id="rId482" Type="http://schemas.openxmlformats.org/officeDocument/2006/relationships/hyperlink" Target="mailto:matosas2016@hotmail.com" TargetMode="External"/><Relationship Id="rId703" Type="http://schemas.openxmlformats.org/officeDocument/2006/relationships/hyperlink" Target="mailto:nadiaabad@live.com" TargetMode="External"/><Relationship Id="rId910" Type="http://schemas.openxmlformats.org/officeDocument/2006/relationships/hyperlink" Target="mailto:maritam100@hotmail.com" TargetMode="External"/><Relationship Id="rId1333" Type="http://schemas.openxmlformats.org/officeDocument/2006/relationships/hyperlink" Target="mailto:alenavilela@hotmail.com" TargetMode="External"/><Relationship Id="rId1540" Type="http://schemas.openxmlformats.org/officeDocument/2006/relationships/hyperlink" Target="mailto:planeamiento@rectorado.unt.edu.ar" TargetMode="External"/><Relationship Id="rId1638" Type="http://schemas.openxmlformats.org/officeDocument/2006/relationships/hyperlink" Target="mailto:nadia.amarillo@gmail.com" TargetMode="External"/><Relationship Id="rId135" Type="http://schemas.openxmlformats.org/officeDocument/2006/relationships/hyperlink" Target="mailto:diegorsalas@hotmail.com" TargetMode="External"/><Relationship Id="rId342" Type="http://schemas.openxmlformats.org/officeDocument/2006/relationships/hyperlink" Target="mailto:dariosalas@hotmail.es" TargetMode="External"/><Relationship Id="rId787" Type="http://schemas.openxmlformats.org/officeDocument/2006/relationships/hyperlink" Target="mailto:nadiaabad@live.com" TargetMode="External"/><Relationship Id="rId994" Type="http://schemas.openxmlformats.org/officeDocument/2006/relationships/hyperlink" Target="mailto:hcruzlobo@hotmail.com" TargetMode="External"/><Relationship Id="rId1400" Type="http://schemas.openxmlformats.org/officeDocument/2006/relationships/hyperlink" Target="mailto:cladine_mk@hotmail.com" TargetMode="External"/><Relationship Id="rId202" Type="http://schemas.openxmlformats.org/officeDocument/2006/relationships/hyperlink" Target="mailto:rafulj@hotmail.com" TargetMode="External"/><Relationship Id="rId647" Type="http://schemas.openxmlformats.org/officeDocument/2006/relationships/hyperlink" Target="mailto:nadiaabad@live.com" TargetMode="External"/><Relationship Id="rId854" Type="http://schemas.openxmlformats.org/officeDocument/2006/relationships/hyperlink" Target="mailto:mariarosa17@gmail.com" TargetMode="External"/><Relationship Id="rId1277" Type="http://schemas.openxmlformats.org/officeDocument/2006/relationships/hyperlink" Target="mailto:juanf_usado@hotmail.com" TargetMode="External"/><Relationship Id="rId1484" Type="http://schemas.openxmlformats.org/officeDocument/2006/relationships/hyperlink" Target="mailto:carabajalteresita@gmail.com" TargetMode="External"/><Relationship Id="rId1691" Type="http://schemas.openxmlformats.org/officeDocument/2006/relationships/hyperlink" Target="mailto:zairadechazal@hotmail.com" TargetMode="External"/><Relationship Id="rId1705" Type="http://schemas.openxmlformats.org/officeDocument/2006/relationships/hyperlink" Target="mailto:mandy_theone@hotmail.com" TargetMode="External"/><Relationship Id="rId286" Type="http://schemas.openxmlformats.org/officeDocument/2006/relationships/hyperlink" Target="mailto:aolmos@herrera.unt.adu.ar" TargetMode="External"/><Relationship Id="rId493" Type="http://schemas.openxmlformats.org/officeDocument/2006/relationships/hyperlink" Target="mailto:nadiaabad@live.com" TargetMode="External"/><Relationship Id="rId507" Type="http://schemas.openxmlformats.org/officeDocument/2006/relationships/hyperlink" Target="mailto:nadiaabad@live.com" TargetMode="External"/><Relationship Id="rId714" Type="http://schemas.openxmlformats.org/officeDocument/2006/relationships/hyperlink" Target="mailto:nadiaabad@live.com" TargetMode="External"/><Relationship Id="rId921" Type="http://schemas.openxmlformats.org/officeDocument/2006/relationships/hyperlink" Target="mailto:luis.marcelo.martino@gmail.com" TargetMode="External"/><Relationship Id="rId1137" Type="http://schemas.openxmlformats.org/officeDocument/2006/relationships/hyperlink" Target="mailto:pguaraz@e_tic.com.ar" TargetMode="External"/><Relationship Id="rId1344" Type="http://schemas.openxmlformats.org/officeDocument/2006/relationships/hyperlink" Target="mailto:maludi72@gmail.com" TargetMode="External"/><Relationship Id="rId1551" Type="http://schemas.openxmlformats.org/officeDocument/2006/relationships/hyperlink" Target="mailto:marcelaberthalet@hotmail.com" TargetMode="External"/><Relationship Id="rId50" Type="http://schemas.openxmlformats.org/officeDocument/2006/relationships/hyperlink" Target="mailto:alberto.sessato1@hotmail.com" TargetMode="External"/><Relationship Id="rId146" Type="http://schemas.openxmlformats.org/officeDocument/2006/relationships/hyperlink" Target="mailto:julioargentin10@hotmail.com" TargetMode="External"/><Relationship Id="rId353" Type="http://schemas.openxmlformats.org/officeDocument/2006/relationships/hyperlink" Target="mailto:tarulliroque@hotmail.com" TargetMode="External"/><Relationship Id="rId560" Type="http://schemas.openxmlformats.org/officeDocument/2006/relationships/hyperlink" Target="mailto:nadiaabad@live.com" TargetMode="External"/><Relationship Id="rId798" Type="http://schemas.openxmlformats.org/officeDocument/2006/relationships/hyperlink" Target="mailto:nadiaabad@live.com" TargetMode="External"/><Relationship Id="rId1190" Type="http://schemas.openxmlformats.org/officeDocument/2006/relationships/hyperlink" Target="mailto:silvinagnatalia33@hotmail.com" TargetMode="External"/><Relationship Id="rId1204" Type="http://schemas.openxmlformats.org/officeDocument/2006/relationships/hyperlink" Target="mailto:anitagse@hotmail.com" TargetMode="External"/><Relationship Id="rId1411" Type="http://schemas.openxmlformats.org/officeDocument/2006/relationships/hyperlink" Target="mailto:cesareduardoponce@yahoo.com.ar" TargetMode="External"/><Relationship Id="rId1649" Type="http://schemas.openxmlformats.org/officeDocument/2006/relationships/hyperlink" Target="mailto:almironjorgeluis@gmail.com" TargetMode="External"/><Relationship Id="rId213" Type="http://schemas.openxmlformats.org/officeDocument/2006/relationships/hyperlink" Target="mailto:magraval1@yahoo.com.ar" TargetMode="External"/><Relationship Id="rId420" Type="http://schemas.openxmlformats.org/officeDocument/2006/relationships/hyperlink" Target="mailto:maturodriguez31@gmail.com" TargetMode="External"/><Relationship Id="rId658" Type="http://schemas.openxmlformats.org/officeDocument/2006/relationships/hyperlink" Target="mailto:nadiaabad@live.com" TargetMode="External"/><Relationship Id="rId865" Type="http://schemas.openxmlformats.org/officeDocument/2006/relationships/hyperlink" Target="mailto:mariaemilia_236@hotmail.com" TargetMode="External"/><Relationship Id="rId1050" Type="http://schemas.openxmlformats.org/officeDocument/2006/relationships/hyperlink" Target="mailto:juantuc@hotmail.com" TargetMode="External"/><Relationship Id="rId1288" Type="http://schemas.openxmlformats.org/officeDocument/2006/relationships/hyperlink" Target="mailto:fernandezvirginiaroxana@gmail.com" TargetMode="External"/><Relationship Id="rId1495" Type="http://schemas.openxmlformats.org/officeDocument/2006/relationships/hyperlink" Target="mailto:capaz69@hotmail.com" TargetMode="External"/><Relationship Id="rId1509" Type="http://schemas.openxmlformats.org/officeDocument/2006/relationships/hyperlink" Target="mailto:kikikarmera@hotmail.com" TargetMode="External"/><Relationship Id="rId297" Type="http://schemas.openxmlformats.org/officeDocument/2006/relationships/hyperlink" Target="mailto:manuelsaavedra1@hotmail.com" TargetMode="External"/><Relationship Id="rId518" Type="http://schemas.openxmlformats.org/officeDocument/2006/relationships/hyperlink" Target="mailto:nadiaabad@live.com" TargetMode="External"/><Relationship Id="rId725" Type="http://schemas.openxmlformats.org/officeDocument/2006/relationships/hyperlink" Target="mailto:nadiaabad@live.com" TargetMode="External"/><Relationship Id="rId932" Type="http://schemas.openxmlformats.org/officeDocument/2006/relationships/hyperlink" Target="mailto:silviamarin01@gmail.com" TargetMode="External"/><Relationship Id="rId1148" Type="http://schemas.openxmlformats.org/officeDocument/2006/relationships/hyperlink" Target="mailto:federicoenriqueg@hotmail.com" TargetMode="External"/><Relationship Id="rId1355" Type="http://schemas.openxmlformats.org/officeDocument/2006/relationships/hyperlink" Target="mailto:cpiquard@herrera.unt.edu.ar" TargetMode="External"/><Relationship Id="rId1562" Type="http://schemas.openxmlformats.org/officeDocument/2006/relationships/hyperlink" Target="mailto:luis_alfr@hotmail.com" TargetMode="External"/><Relationship Id="rId157" Type="http://schemas.openxmlformats.org/officeDocument/2006/relationships/hyperlink" Target="mailto:prensa@webmail.filo.unt.edu.ar" TargetMode="External"/><Relationship Id="rId364" Type="http://schemas.openxmlformats.org/officeDocument/2006/relationships/hyperlink" Target="mailto:villarezequiel@hotmail.com" TargetMode="External"/><Relationship Id="rId1008" Type="http://schemas.openxmlformats.org/officeDocument/2006/relationships/hyperlink" Target="mailto:soledad_lera@hotmail.com.ar" TargetMode="External"/><Relationship Id="rId1215" Type="http://schemas.openxmlformats.org/officeDocument/2006/relationships/hyperlink" Target="mailto:dom124@hotmail.com" TargetMode="External"/><Relationship Id="rId1422" Type="http://schemas.openxmlformats.org/officeDocument/2006/relationships/hyperlink" Target="mailto:elycifre@hotmail.com" TargetMode="External"/><Relationship Id="rId61" Type="http://schemas.openxmlformats.org/officeDocument/2006/relationships/hyperlink" Target="mailto:grissyt_1026@hotmail.com" TargetMode="External"/><Relationship Id="rId571" Type="http://schemas.openxmlformats.org/officeDocument/2006/relationships/hyperlink" Target="mailto:nadiaabad@live.com" TargetMode="External"/><Relationship Id="rId669" Type="http://schemas.openxmlformats.org/officeDocument/2006/relationships/hyperlink" Target="mailto:nadiaabad@live.com" TargetMode="External"/><Relationship Id="rId876" Type="http://schemas.openxmlformats.org/officeDocument/2006/relationships/hyperlink" Target="mailto:pmercado@gmail.com" TargetMode="External"/><Relationship Id="rId1299" Type="http://schemas.openxmlformats.org/officeDocument/2006/relationships/hyperlink" Target="mailto:ely_cotty125@hotmail.com" TargetMode="External"/><Relationship Id="rId19" Type="http://schemas.openxmlformats.org/officeDocument/2006/relationships/hyperlink" Target="mailto:solnoeliaar@gmail.com" TargetMode="External"/><Relationship Id="rId224" Type="http://schemas.openxmlformats.org/officeDocument/2006/relationships/hyperlink" Target="mailto:zalazarjuanandres@hotmail.com" TargetMode="External"/><Relationship Id="rId431" Type="http://schemas.openxmlformats.org/officeDocument/2006/relationships/hyperlink" Target="mailto:laura15578@hotmail.com" TargetMode="External"/><Relationship Id="rId529" Type="http://schemas.openxmlformats.org/officeDocument/2006/relationships/hyperlink" Target="mailto:nadiaabad@live.com" TargetMode="External"/><Relationship Id="rId736" Type="http://schemas.openxmlformats.org/officeDocument/2006/relationships/hyperlink" Target="mailto:nadiaabad@live.com" TargetMode="External"/><Relationship Id="rId1061" Type="http://schemas.openxmlformats.org/officeDocument/2006/relationships/hyperlink" Target="mailto:jjorrat@posgrado.unt.edu.ar" TargetMode="External"/><Relationship Id="rId1159" Type="http://schemas.openxmlformats.org/officeDocument/2006/relationships/hyperlink" Target="mailto:esteban_20000@hotmail.com" TargetMode="External"/><Relationship Id="rId1366" Type="http://schemas.openxmlformats.org/officeDocument/2006/relationships/hyperlink" Target="mailto:cdcuozzo@hotmail.com" TargetMode="External"/><Relationship Id="rId168" Type="http://schemas.openxmlformats.org/officeDocument/2006/relationships/hyperlink" Target="mailto:roa_pato06@hotmail.com" TargetMode="External"/><Relationship Id="rId943" Type="http://schemas.openxmlformats.org/officeDocument/2006/relationships/hyperlink" Target="mailto:gmansilla@herrera.unt.edu.ar" TargetMode="External"/><Relationship Id="rId1019" Type="http://schemas.openxmlformats.org/officeDocument/2006/relationships/hyperlink" Target="mailto:mleiva@unt.edu.ar" TargetMode="External"/><Relationship Id="rId1573" Type="http://schemas.openxmlformats.org/officeDocument/2006/relationships/hyperlink" Target="mailto:josebarbieri78@gmail.com" TargetMode="External"/><Relationship Id="rId72" Type="http://schemas.openxmlformats.org/officeDocument/2006/relationships/hyperlink" Target="mailto:gvazquez@dirinfo.unt.edu.ar" TargetMode="External"/><Relationship Id="rId375" Type="http://schemas.openxmlformats.org/officeDocument/2006/relationships/hyperlink" Target="mailto:eugeniasalvat@hotmail.com" TargetMode="External"/><Relationship Id="rId582" Type="http://schemas.openxmlformats.org/officeDocument/2006/relationships/hyperlink" Target="mailto:nadiaabad@live.com" TargetMode="External"/><Relationship Id="rId803" Type="http://schemas.openxmlformats.org/officeDocument/2006/relationships/hyperlink" Target="mailto:leyesan@hotmail.com" TargetMode="External"/><Relationship Id="rId1226" Type="http://schemas.openxmlformats.org/officeDocument/2006/relationships/hyperlink" Target="mailto:juliarom03@hotmail.com" TargetMode="External"/><Relationship Id="rId1433" Type="http://schemas.openxmlformats.org/officeDocument/2006/relationships/hyperlink" Target="mailto:zoe-vach@live.com.ar" TargetMode="External"/><Relationship Id="rId1640" Type="http://schemas.openxmlformats.org/officeDocument/2006/relationships/hyperlink" Target="mailto:veroalzo76@gmail.com" TargetMode="External"/><Relationship Id="rId3" Type="http://schemas.openxmlformats.org/officeDocument/2006/relationships/hyperlink" Target="mailto:sramallo10@gmail.com" TargetMode="External"/><Relationship Id="rId235" Type="http://schemas.openxmlformats.org/officeDocument/2006/relationships/hyperlink" Target="mailto:info@juliopantoja.com.ar" TargetMode="External"/><Relationship Id="rId442" Type="http://schemas.openxmlformats.org/officeDocument/2006/relationships/hyperlink" Target="mailto:hgusrodriguez@outlook.com" TargetMode="External"/><Relationship Id="rId887" Type="http://schemas.openxmlformats.org/officeDocument/2006/relationships/hyperlink" Target="mailto:smendez@rectorado.unt.edu.ar" TargetMode="External"/><Relationship Id="rId1072" Type="http://schemas.openxmlformats.org/officeDocument/2006/relationships/hyperlink" Target="mailto:personal_unt@dirinfo.unt.edu.ar" TargetMode="External"/><Relationship Id="rId1500" Type="http://schemas.openxmlformats.org/officeDocument/2006/relationships/hyperlink" Target="mailto:camposameliac@gmail.com" TargetMode="External"/><Relationship Id="rId302" Type="http://schemas.openxmlformats.org/officeDocument/2006/relationships/hyperlink" Target="mailto:pms_20@hotmail.com" TargetMode="External"/><Relationship Id="rId747" Type="http://schemas.openxmlformats.org/officeDocument/2006/relationships/hyperlink" Target="mailto:nadiaabad@live.com" TargetMode="External"/><Relationship Id="rId954" Type="http://schemas.openxmlformats.org/officeDocument/2006/relationships/hyperlink" Target="mailto:hdms_80@hotmail.com" TargetMode="External"/><Relationship Id="rId1377" Type="http://schemas.openxmlformats.org/officeDocument/2006/relationships/hyperlink" Target="mailto:rcruz@fbqf.unt.edu.ar" TargetMode="External"/><Relationship Id="rId1584" Type="http://schemas.openxmlformats.org/officeDocument/2006/relationships/hyperlink" Target="mailto:flopi79@yahoo.com.ar" TargetMode="External"/><Relationship Id="rId83" Type="http://schemas.openxmlformats.org/officeDocument/2006/relationships/hyperlink" Target="mailto:gsalpaz@yahoo.com.ar" TargetMode="External"/><Relationship Id="rId179" Type="http://schemas.openxmlformats.org/officeDocument/2006/relationships/hyperlink" Target="mailto:magui.zamora@hotmail.com" TargetMode="External"/><Relationship Id="rId386" Type="http://schemas.openxmlformats.org/officeDocument/2006/relationships/hyperlink" Target="mailto:analui07@hotmail.com" TargetMode="External"/><Relationship Id="rId593" Type="http://schemas.openxmlformats.org/officeDocument/2006/relationships/hyperlink" Target="mailto:nadiaabad@live.com" TargetMode="External"/><Relationship Id="rId607" Type="http://schemas.openxmlformats.org/officeDocument/2006/relationships/hyperlink" Target="mailto:nadiaabad@live.com" TargetMode="External"/><Relationship Id="rId814" Type="http://schemas.openxmlformats.org/officeDocument/2006/relationships/hyperlink" Target="mailto:nestorn@hotmail.es" TargetMode="External"/><Relationship Id="rId1237" Type="http://schemas.openxmlformats.org/officeDocument/2006/relationships/hyperlink" Target="mailto:alejo14_14@hotmail.com" TargetMode="External"/><Relationship Id="rId1444" Type="http://schemas.openxmlformats.org/officeDocument/2006/relationships/hyperlink" Target="mailto:adcautelier@herrera.unt.edu.ar" TargetMode="External"/><Relationship Id="rId1651" Type="http://schemas.openxmlformats.org/officeDocument/2006/relationships/hyperlink" Target="mailto:jardinbotanico.lillo@hotmail.com" TargetMode="External"/><Relationship Id="rId246" Type="http://schemas.openxmlformats.org/officeDocument/2006/relationships/hyperlink" Target="mailto:academic@herrera.unt.edu.ar" TargetMode="External"/><Relationship Id="rId453" Type="http://schemas.openxmlformats.org/officeDocument/2006/relationships/hyperlink" Target="mailto:marcela6121@gmail.com" TargetMode="External"/><Relationship Id="rId660" Type="http://schemas.openxmlformats.org/officeDocument/2006/relationships/hyperlink" Target="mailto:nadiaabad@live.com" TargetMode="External"/><Relationship Id="rId898" Type="http://schemas.openxmlformats.org/officeDocument/2006/relationships/hyperlink" Target="mailto:jmedina@herrera.unt.edu.ar" TargetMode="External"/><Relationship Id="rId1083" Type="http://schemas.openxmlformats.org/officeDocument/2006/relationships/hyperlink" Target="mailto:nd.iturbe@gmail.com" TargetMode="External"/><Relationship Id="rId1290" Type="http://schemas.openxmlformats.org/officeDocument/2006/relationships/hyperlink" Target="mailto:secretaria.artesp@gmail.com" TargetMode="External"/><Relationship Id="rId1304" Type="http://schemas.openxmlformats.org/officeDocument/2006/relationships/hyperlink" Target="mailto:mestrada136@hotmail.com" TargetMode="External"/><Relationship Id="rId1511" Type="http://schemas.openxmlformats.org/officeDocument/2006/relationships/hyperlink" Target="mailto:antonieta1@hotmail.com.ar" TargetMode="External"/><Relationship Id="rId106" Type="http://schemas.openxmlformats.org/officeDocument/2006/relationships/hyperlink" Target="mailto:adriplasencia@htmail.com" TargetMode="External"/><Relationship Id="rId313" Type="http://schemas.openxmlformats.org/officeDocument/2006/relationships/hyperlink" Target="mailto:nanpony@live.com.ar" TargetMode="External"/><Relationship Id="rId758" Type="http://schemas.openxmlformats.org/officeDocument/2006/relationships/hyperlink" Target="mailto:nadiaabad@live.com" TargetMode="External"/><Relationship Id="rId965" Type="http://schemas.openxmlformats.org/officeDocument/2006/relationships/hyperlink" Target="mailto:analozano_09@hotmail.com" TargetMode="External"/><Relationship Id="rId1150" Type="http://schemas.openxmlformats.org/officeDocument/2006/relationships/hyperlink" Target="mailto:mariana_gray@hotmail.com" TargetMode="External"/><Relationship Id="rId1388" Type="http://schemas.openxmlformats.org/officeDocument/2006/relationships/hyperlink" Target="mailto:Josecorrea_22@hotmail.com" TargetMode="External"/><Relationship Id="rId1595" Type="http://schemas.openxmlformats.org/officeDocument/2006/relationships/hyperlink" Target="mailto:asamderetes@yahoo.com.ar" TargetMode="External"/><Relationship Id="rId1609" Type="http://schemas.openxmlformats.org/officeDocument/2006/relationships/hyperlink" Target="mailto:lucrearias_@hotmail.com" TargetMode="External"/><Relationship Id="rId10" Type="http://schemas.openxmlformats.org/officeDocument/2006/relationships/hyperlink" Target="mailto:lalu12048@hotmail.com" TargetMode="External"/><Relationship Id="rId94" Type="http://schemas.openxmlformats.org/officeDocument/2006/relationships/hyperlink" Target="mailto:mvillalobo@herrera.unt.edu.ar" TargetMode="External"/><Relationship Id="rId397" Type="http://schemas.openxmlformats.org/officeDocument/2006/relationships/hyperlink" Target="mailto:habilidadespv@gmail.com" TargetMode="External"/><Relationship Id="rId520" Type="http://schemas.openxmlformats.org/officeDocument/2006/relationships/hyperlink" Target="mailto:nadiaabad@live.com" TargetMode="External"/><Relationship Id="rId618" Type="http://schemas.openxmlformats.org/officeDocument/2006/relationships/hyperlink" Target="mailto:nadiaabad@live.com" TargetMode="External"/><Relationship Id="rId825" Type="http://schemas.openxmlformats.org/officeDocument/2006/relationships/hyperlink" Target="mailto:aldof66pescadeport@hotmail.com" TargetMode="External"/><Relationship Id="rId1248" Type="http://schemas.openxmlformats.org/officeDocument/2006/relationships/hyperlink" Target="mailto:marce-gallo@hotmail.com" TargetMode="External"/><Relationship Id="rId1455" Type="http://schemas.openxmlformats.org/officeDocument/2006/relationships/hyperlink" Target="mailto:castanio.guillermo@gmail.com" TargetMode="External"/><Relationship Id="rId1662" Type="http://schemas.openxmlformats.org/officeDocument/2006/relationships/hyperlink" Target="mailto:roxanaalbornoz@yahoo.com.ar" TargetMode="External"/><Relationship Id="rId257" Type="http://schemas.openxmlformats.org/officeDocument/2006/relationships/hyperlink" Target="mailto:federico.soler99@hotmail.com" TargetMode="External"/><Relationship Id="rId464" Type="http://schemas.openxmlformats.org/officeDocument/2006/relationships/hyperlink" Target="mailto:valentinarouges@hotmail.com" TargetMode="External"/><Relationship Id="rId1010" Type="http://schemas.openxmlformats.org/officeDocument/2006/relationships/hyperlink" Target="mailto:guillodk@live.com" TargetMode="External"/><Relationship Id="rId1094" Type="http://schemas.openxmlformats.org/officeDocument/2006/relationships/hyperlink" Target="mailto:ribiri@rectorado.unt.edu.ar" TargetMode="External"/><Relationship Id="rId1108" Type="http://schemas.openxmlformats.org/officeDocument/2006/relationships/hyperlink" Target="mailto:joseherrera@fm.unt.edu.ar" TargetMode="External"/><Relationship Id="rId1315" Type="http://schemas.openxmlformats.org/officeDocument/2006/relationships/hyperlink" Target="mailto:manuelescarlata@gmail.com" TargetMode="External"/><Relationship Id="rId117" Type="http://schemas.openxmlformats.org/officeDocument/2006/relationships/hyperlink" Target="mailto:solarismr@hotmail.com" TargetMode="External"/><Relationship Id="rId671" Type="http://schemas.openxmlformats.org/officeDocument/2006/relationships/hyperlink" Target="mailto:nadiaabad@live.com" TargetMode="External"/><Relationship Id="rId769" Type="http://schemas.openxmlformats.org/officeDocument/2006/relationships/hyperlink" Target="mailto:nadiaabad@live.com" TargetMode="External"/><Relationship Id="rId976" Type="http://schemas.openxmlformats.org/officeDocument/2006/relationships/hyperlink" Target="mailto:rlmnallar@hotmail.com" TargetMode="External"/><Relationship Id="rId1399" Type="http://schemas.openxmlformats.org/officeDocument/2006/relationships/hyperlink" Target="mailto:nildaadrianacorbalan@yahoo.com.ar" TargetMode="External"/><Relationship Id="rId324" Type="http://schemas.openxmlformats.org/officeDocument/2006/relationships/hyperlink" Target="mailto:penelope25.89@gmail.com" TargetMode="External"/><Relationship Id="rId531" Type="http://schemas.openxmlformats.org/officeDocument/2006/relationships/hyperlink" Target="mailto:nadiaabad@live.com" TargetMode="External"/><Relationship Id="rId629" Type="http://schemas.openxmlformats.org/officeDocument/2006/relationships/hyperlink" Target="mailto:nadiaabad@live.com" TargetMode="External"/><Relationship Id="rId1161" Type="http://schemas.openxmlformats.org/officeDocument/2006/relationships/hyperlink" Target="mailto:aligobo229@yahoo.com.ar" TargetMode="External"/><Relationship Id="rId1259" Type="http://schemas.openxmlformats.org/officeDocument/2006/relationships/hyperlink" Target="mailto:josemaria_one@yahoo.com.ar" TargetMode="External"/><Relationship Id="rId1466" Type="http://schemas.openxmlformats.org/officeDocument/2006/relationships/hyperlink" Target="mailto:marinafcarrizo01@hotmail.com" TargetMode="External"/><Relationship Id="rId836" Type="http://schemas.openxmlformats.org/officeDocument/2006/relationships/hyperlink" Target="mailto:axelfet6868@gmail.com" TargetMode="External"/><Relationship Id="rId1021" Type="http://schemas.openxmlformats.org/officeDocument/2006/relationships/hyperlink" Target="mailto:adrimoch@hotmail.com" TargetMode="External"/><Relationship Id="rId1119" Type="http://schemas.openxmlformats.org/officeDocument/2006/relationships/hyperlink" Target="mailto:malauraharo@gmail.com" TargetMode="External"/><Relationship Id="rId1673" Type="http://schemas.openxmlformats.org/officeDocument/2006/relationships/hyperlink" Target="mailto:alejandra_albarracin7@hotmail.com" TargetMode="External"/><Relationship Id="rId903" Type="http://schemas.openxmlformats.org/officeDocument/2006/relationships/hyperlink" Target="mailto:yonimazzucco@hotmail.com" TargetMode="External"/><Relationship Id="rId1326" Type="http://schemas.openxmlformats.org/officeDocument/2006/relationships/hyperlink" Target="mailto:valeriadominetti@live.com.ar" TargetMode="External"/><Relationship Id="rId1533" Type="http://schemas.openxmlformats.org/officeDocument/2006/relationships/hyperlink" Target="mailto:mceliabravo@hotmail.com" TargetMode="External"/><Relationship Id="rId32" Type="http://schemas.openxmlformats.org/officeDocument/2006/relationships/hyperlink" Target="mailto:metallica_toro@hotmail.com" TargetMode="External"/><Relationship Id="rId1600" Type="http://schemas.openxmlformats.org/officeDocument/2006/relationships/hyperlink" Target="mailto:miguel.armoa.dl@gmail.com" TargetMode="External"/><Relationship Id="rId181" Type="http://schemas.openxmlformats.org/officeDocument/2006/relationships/hyperlink" Target="mailto:edusand38@hotmail.com" TargetMode="External"/><Relationship Id="rId279" Type="http://schemas.openxmlformats.org/officeDocument/2006/relationships/hyperlink" Target="mailto:lilianapetracca@hotmail.com" TargetMode="External"/><Relationship Id="rId486" Type="http://schemas.openxmlformats.org/officeDocument/2006/relationships/hyperlink" Target="mailto:cheloq91@gmail.com" TargetMode="External"/><Relationship Id="rId693" Type="http://schemas.openxmlformats.org/officeDocument/2006/relationships/hyperlink" Target="mailto:nadiaabad@live.com" TargetMode="External"/><Relationship Id="rId139" Type="http://schemas.openxmlformats.org/officeDocument/2006/relationships/hyperlink" Target="mailto:fsanchez@herrera.unt.edu.ar" TargetMode="External"/><Relationship Id="rId346" Type="http://schemas.openxmlformats.org/officeDocument/2006/relationships/hyperlink" Target="mailto:unzagaj@yahoo.com.ar" TargetMode="External"/><Relationship Id="rId553" Type="http://schemas.openxmlformats.org/officeDocument/2006/relationships/hyperlink" Target="mailto:nadiaabad@live.com" TargetMode="External"/><Relationship Id="rId760" Type="http://schemas.openxmlformats.org/officeDocument/2006/relationships/hyperlink" Target="mailto:nadiaabad@live.com" TargetMode="External"/><Relationship Id="rId998" Type="http://schemas.openxmlformats.org/officeDocument/2006/relationships/hyperlink" Target="mailto:pedesinterra22@gmail.com" TargetMode="External"/><Relationship Id="rId1183" Type="http://schemas.openxmlformats.org/officeDocument/2006/relationships/hyperlink" Target="mailto:marcosaugustogomezbalceda@gmail.com" TargetMode="External"/><Relationship Id="rId1390" Type="http://schemas.openxmlformats.org/officeDocument/2006/relationships/hyperlink" Target="mailto:joco-2008@hotmail.com" TargetMode="External"/><Relationship Id="rId206" Type="http://schemas.openxmlformats.org/officeDocument/2006/relationships/hyperlink" Target="mailto:gabysacca@hotmail.com" TargetMode="External"/><Relationship Id="rId413" Type="http://schemas.openxmlformats.org/officeDocument/2006/relationships/hyperlink" Target="mailto:danieleloso_75@hotmail.com" TargetMode="External"/><Relationship Id="rId858" Type="http://schemas.openxmlformats.org/officeDocument/2006/relationships/hyperlink" Target="mailto:monteronorma@gmail.com" TargetMode="External"/><Relationship Id="rId1043" Type="http://schemas.openxmlformats.org/officeDocument/2006/relationships/hyperlink" Target="mailto:irelai@hotmail.com" TargetMode="External"/><Relationship Id="rId1488" Type="http://schemas.openxmlformats.org/officeDocument/2006/relationships/hyperlink" Target="mailto:oscarcardozo@yahoo.com" TargetMode="External"/><Relationship Id="rId1695" Type="http://schemas.openxmlformats.org/officeDocument/2006/relationships/hyperlink" Target="mailto:beluss14@hotmail.com" TargetMode="External"/><Relationship Id="rId620" Type="http://schemas.openxmlformats.org/officeDocument/2006/relationships/hyperlink" Target="mailto:nadiaabad@live.com" TargetMode="External"/><Relationship Id="rId718" Type="http://schemas.openxmlformats.org/officeDocument/2006/relationships/hyperlink" Target="mailto:nadiaabad@live.com" TargetMode="External"/><Relationship Id="rId925" Type="http://schemas.openxmlformats.org/officeDocument/2006/relationships/hyperlink" Target="mailto:vhmjana@hotmail.com" TargetMode="External"/><Relationship Id="rId1250" Type="http://schemas.openxmlformats.org/officeDocument/2006/relationships/hyperlink" Target="mailto:pablofuad@hotmail.com" TargetMode="External"/><Relationship Id="rId1348" Type="http://schemas.openxmlformats.org/officeDocument/2006/relationships/hyperlink" Target="mailto:delgadocristian_@hotmail.com" TargetMode="External"/><Relationship Id="rId1555" Type="http://schemas.openxmlformats.org/officeDocument/2006/relationships/hyperlink" Target="mailto:anabemsch@hotmail.com" TargetMode="External"/><Relationship Id="rId1110" Type="http://schemas.openxmlformats.org/officeDocument/2006/relationships/hyperlink" Target="mailto:agusheredia2809@gmail.com" TargetMode="External"/><Relationship Id="rId1208" Type="http://schemas.openxmlformats.org/officeDocument/2006/relationships/hyperlink" Target="mailto:magiunta@hotmail.com" TargetMode="External"/><Relationship Id="rId1415" Type="http://schemas.openxmlformats.org/officeDocument/2006/relationships/hyperlink" Target="mailto:jufercon@hotmail.com" TargetMode="External"/><Relationship Id="rId54" Type="http://schemas.openxmlformats.org/officeDocument/2006/relationships/hyperlink" Target="mailto:marcosperez_1977@yahoo.com.ar" TargetMode="External"/><Relationship Id="rId1622" Type="http://schemas.openxmlformats.org/officeDocument/2006/relationships/hyperlink" Target="mailto:andre_araoz@live.com.ar" TargetMode="External"/><Relationship Id="rId270" Type="http://schemas.openxmlformats.org/officeDocument/2006/relationships/hyperlink" Target="mailto:mzelaya_16@hotmail.com" TargetMode="External"/><Relationship Id="rId130" Type="http://schemas.openxmlformats.org/officeDocument/2006/relationships/hyperlink" Target="mailto:esrojas_84@hotmail.com" TargetMode="External"/><Relationship Id="rId368" Type="http://schemas.openxmlformats.org/officeDocument/2006/relationships/hyperlink" Target="mailto:josetoledo2357@hotmail.com" TargetMode="External"/><Relationship Id="rId575" Type="http://schemas.openxmlformats.org/officeDocument/2006/relationships/hyperlink" Target="mailto:nadiaabad@live.com" TargetMode="External"/><Relationship Id="rId782" Type="http://schemas.openxmlformats.org/officeDocument/2006/relationships/hyperlink" Target="mailto:nadiaabad@live.com" TargetMode="External"/><Relationship Id="rId228" Type="http://schemas.openxmlformats.org/officeDocument/2006/relationships/hyperlink" Target="mailto:pablo_aq80@yahoo.com.ar" TargetMode="External"/><Relationship Id="rId435" Type="http://schemas.openxmlformats.org/officeDocument/2006/relationships/hyperlink" Target="mailto:emmanuel_31_93@hotmail.com" TargetMode="External"/><Relationship Id="rId642" Type="http://schemas.openxmlformats.org/officeDocument/2006/relationships/hyperlink" Target="mailto:nadiaabad@live.com" TargetMode="External"/><Relationship Id="rId1065" Type="http://schemas.openxmlformats.org/officeDocument/2006/relationships/hyperlink" Target="mailto:hugojuarez.62@gmail.com" TargetMode="External"/><Relationship Id="rId1272" Type="http://schemas.openxmlformats.org/officeDocument/2006/relationships/hyperlink" Target="mailto:elsa_fac@yahoo.com.ar" TargetMode="External"/><Relationship Id="rId502" Type="http://schemas.openxmlformats.org/officeDocument/2006/relationships/hyperlink" Target="mailto:nadiaabad@live.com" TargetMode="External"/><Relationship Id="rId947" Type="http://schemas.openxmlformats.org/officeDocument/2006/relationships/hyperlink" Target="mailto:davidjuanmansilla@hotmail.com" TargetMode="External"/><Relationship Id="rId1132" Type="http://schemas.openxmlformats.org/officeDocument/2006/relationships/hyperlink" Target="mailto:mviviguerra@gmail.com" TargetMode="External"/><Relationship Id="rId1577" Type="http://schemas.openxmlformats.org/officeDocument/2006/relationships/hyperlink" Target="mailto:baldivia-diego@hotmail.com.ar" TargetMode="External"/><Relationship Id="rId76" Type="http://schemas.openxmlformats.org/officeDocument/2006/relationships/hyperlink" Target="mailto:mmolinillo63@hotmail.com" TargetMode="External"/><Relationship Id="rId807" Type="http://schemas.openxmlformats.org/officeDocument/2006/relationships/hyperlink" Target="mailto:dani_nieva@hotmail.com" TargetMode="External"/><Relationship Id="rId1437" Type="http://schemas.openxmlformats.org/officeDocument/2006/relationships/hyperlink" Target="mailto:chamorrobetiana@gmail.com" TargetMode="External"/><Relationship Id="rId1644" Type="http://schemas.openxmlformats.org/officeDocument/2006/relationships/hyperlink" Target="mailto:augustoalvarez1@hotmail.com" TargetMode="External"/><Relationship Id="rId1504" Type="http://schemas.openxmlformats.org/officeDocument/2006/relationships/hyperlink" Target="mailto:estebancampero2414@hotmail.com" TargetMode="External"/><Relationship Id="rId1711" Type="http://schemas.openxmlformats.org/officeDocument/2006/relationships/printerSettings" Target="../printerSettings/printerSettings1.bin"/><Relationship Id="rId292" Type="http://schemas.openxmlformats.org/officeDocument/2006/relationships/hyperlink" Target="mailto:sebaniro@gmail.com" TargetMode="External"/><Relationship Id="rId597" Type="http://schemas.openxmlformats.org/officeDocument/2006/relationships/hyperlink" Target="mailto:nadiaabad@live.com" TargetMode="External"/><Relationship Id="rId152" Type="http://schemas.openxmlformats.org/officeDocument/2006/relationships/hyperlink" Target="mailto:nickito55@hotmail.com" TargetMode="External"/><Relationship Id="rId457" Type="http://schemas.openxmlformats.org/officeDocument/2006/relationships/hyperlink" Target="mailto:faquinteros@herrera.unt.edu.ar" TargetMode="External"/><Relationship Id="rId1087" Type="http://schemas.openxmlformats.org/officeDocument/2006/relationships/hyperlink" Target="mailto:nd.iturbe@gmail.com" TargetMode="External"/><Relationship Id="rId1294" Type="http://schemas.openxmlformats.org/officeDocument/2006/relationships/hyperlink" Target="mailto:cfernandez@herrera.unt.edu.ar" TargetMode="External"/><Relationship Id="rId664" Type="http://schemas.openxmlformats.org/officeDocument/2006/relationships/hyperlink" Target="mailto:nadiaabad@live.com" TargetMode="External"/><Relationship Id="rId871" Type="http://schemas.openxmlformats.org/officeDocument/2006/relationships/hyperlink" Target="mailto:mariaeugeniamoya@yahoo.com.ar" TargetMode="External"/><Relationship Id="rId969" Type="http://schemas.openxmlformats.org/officeDocument/2006/relationships/hyperlink" Target="mailto:mariae.lopez@odontologia.unt.edu.ar" TargetMode="External"/><Relationship Id="rId1599" Type="http://schemas.openxmlformats.org/officeDocument/2006/relationships/hyperlink" Target="mailto:asisgustavo706@gmail.com" TargetMode="External"/><Relationship Id="rId317" Type="http://schemas.openxmlformats.org/officeDocument/2006/relationships/hyperlink" Target="mailto:emilse61@hotmail.com" TargetMode="External"/><Relationship Id="rId524" Type="http://schemas.openxmlformats.org/officeDocument/2006/relationships/hyperlink" Target="mailto:nadiaabad@live.com" TargetMode="External"/><Relationship Id="rId731" Type="http://schemas.openxmlformats.org/officeDocument/2006/relationships/hyperlink" Target="mailto:nadiaabad@live.com" TargetMode="External"/><Relationship Id="rId1154" Type="http://schemas.openxmlformats.org/officeDocument/2006/relationships/hyperlink" Target="mailto:nadiaabad@live.com" TargetMode="External"/><Relationship Id="rId1361" Type="http://schemas.openxmlformats.org/officeDocument/2006/relationships/hyperlink" Target="mailto:lucasdl62@hotmail.com" TargetMode="External"/><Relationship Id="rId1459" Type="http://schemas.openxmlformats.org/officeDocument/2006/relationships/hyperlink" Target="mailto:ecartagena@fbqf.unt.edu.ar" TargetMode="External"/><Relationship Id="rId98" Type="http://schemas.openxmlformats.org/officeDocument/2006/relationships/hyperlink" Target="mailto:julia_silva91@hotmail.com" TargetMode="External"/><Relationship Id="rId829" Type="http://schemas.openxmlformats.org/officeDocument/2006/relationships/hyperlink" Target="mailto:mariange000@hotmail.com" TargetMode="External"/><Relationship Id="rId1014" Type="http://schemas.openxmlformats.org/officeDocument/2006/relationships/hyperlink" Target="mailto:carmendesoria@gmail.com" TargetMode="External"/><Relationship Id="rId1221" Type="http://schemas.openxmlformats.org/officeDocument/2006/relationships/hyperlink" Target="mailto:constanzagp@ct.unt.edu.ar" TargetMode="External"/><Relationship Id="rId1666" Type="http://schemas.openxmlformats.org/officeDocument/2006/relationships/hyperlink" Target="mailto:galli_albornoz@hotmail.com" TargetMode="External"/><Relationship Id="rId1319" Type="http://schemas.openxmlformats.org/officeDocument/2006/relationships/hyperlink" Target="mailto:LASRANIS@HOTMAIL.COM" TargetMode="External"/><Relationship Id="rId1526" Type="http://schemas.openxmlformats.org/officeDocument/2006/relationships/hyperlink" Target="mailto:mabru22@hotmail.com" TargetMode="External"/><Relationship Id="rId25" Type="http://schemas.openxmlformats.org/officeDocument/2006/relationships/hyperlink" Target="mailto:mmsalaslopez@gmail.com" TargetMode="External"/><Relationship Id="rId174" Type="http://schemas.openxmlformats.org/officeDocument/2006/relationships/hyperlink" Target="mailto:carozottola@yahoo.com.ar" TargetMode="External"/><Relationship Id="rId381" Type="http://schemas.openxmlformats.org/officeDocument/2006/relationships/hyperlink" Target="mailto:luciasaldano@hotmail.com" TargetMode="External"/><Relationship Id="rId241" Type="http://schemas.openxmlformats.org/officeDocument/2006/relationships/hyperlink" Target="mailto:vitasuper@hotmail.com" TargetMode="External"/><Relationship Id="rId479" Type="http://schemas.openxmlformats.org/officeDocument/2006/relationships/hyperlink" Target="mailto:biblcet@herrera.unt.edu.ar" TargetMode="External"/><Relationship Id="rId686" Type="http://schemas.openxmlformats.org/officeDocument/2006/relationships/hyperlink" Target="mailto:nadiaabad@live.com" TargetMode="External"/><Relationship Id="rId893" Type="http://schemas.openxmlformats.org/officeDocument/2006/relationships/hyperlink" Target="mailto:lilianamendez_40@hotmail.com" TargetMode="External"/><Relationship Id="rId339" Type="http://schemas.openxmlformats.org/officeDocument/2006/relationships/hyperlink" Target="mailto:sebasanchez@face.unt.edu.ar" TargetMode="External"/><Relationship Id="rId546" Type="http://schemas.openxmlformats.org/officeDocument/2006/relationships/hyperlink" Target="mailto:nadiaabad@live.com" TargetMode="External"/><Relationship Id="rId753" Type="http://schemas.openxmlformats.org/officeDocument/2006/relationships/hyperlink" Target="mailto:nadiaabad@live.com" TargetMode="External"/><Relationship Id="rId1176" Type="http://schemas.openxmlformats.org/officeDocument/2006/relationships/hyperlink" Target="mailto:lourdesgomezurrutia@gmail.com" TargetMode="External"/><Relationship Id="rId1383" Type="http://schemas.openxmlformats.org/officeDocument/2006/relationships/hyperlink" Target="mailto:lucorrea@live.com.ar" TargetMode="External"/><Relationship Id="rId101" Type="http://schemas.openxmlformats.org/officeDocument/2006/relationships/hyperlink" Target="mailto:pesaravi@gmail.com" TargetMode="External"/><Relationship Id="rId406" Type="http://schemas.openxmlformats.org/officeDocument/2006/relationships/hyperlink" Target="mailto:Pau.scarso@gmail.com" TargetMode="External"/><Relationship Id="rId960" Type="http://schemas.openxmlformats.org/officeDocument/2006/relationships/hyperlink" Target="mailto:diego-cirujaxsiempre@hotmail.com" TargetMode="External"/><Relationship Id="rId1036" Type="http://schemas.openxmlformats.org/officeDocument/2006/relationships/hyperlink" Target="mailto:msoria@herrera.unt.edu.ar" TargetMode="External"/><Relationship Id="rId1243" Type="http://schemas.openxmlformats.org/officeDocument/2006/relationships/hyperlink" Target="mailto:ceciliaaymara@hotmail.com" TargetMode="External"/><Relationship Id="rId1590" Type="http://schemas.openxmlformats.org/officeDocument/2006/relationships/hyperlink" Target="mailto:belenauad@yahoo.com.ar" TargetMode="External"/><Relationship Id="rId1688" Type="http://schemas.openxmlformats.org/officeDocument/2006/relationships/hyperlink" Target="mailto:alejandra_aguilar_20@hotmail.com" TargetMode="External"/><Relationship Id="rId613" Type="http://schemas.openxmlformats.org/officeDocument/2006/relationships/hyperlink" Target="mailto:nadiaabad@live.com" TargetMode="External"/><Relationship Id="rId820" Type="http://schemas.openxmlformats.org/officeDocument/2006/relationships/hyperlink" Target="mailto:cnieva@herrera.unt.edu.ar" TargetMode="External"/><Relationship Id="rId918" Type="http://schemas.openxmlformats.org/officeDocument/2006/relationships/hyperlink" Target="mailto:jorgelealmartinez@gmail.com" TargetMode="External"/><Relationship Id="rId1450" Type="http://schemas.openxmlformats.org/officeDocument/2006/relationships/hyperlink" Target="mailto:bchahar@fbqf.unt.edu.ar" TargetMode="External"/><Relationship Id="rId1548" Type="http://schemas.openxmlformats.org/officeDocument/2006/relationships/hyperlink" Target="mailto:aleberardi@hotmail.com" TargetMode="External"/><Relationship Id="rId1103" Type="http://schemas.openxmlformats.org/officeDocument/2006/relationships/hyperlink" Target="mailto:mlabastida@herrera.unt.edu.ar" TargetMode="External"/><Relationship Id="rId1310" Type="http://schemas.openxmlformats.org/officeDocument/2006/relationships/hyperlink" Target="mailto:patriciaespert@yahoo.com" TargetMode="External"/><Relationship Id="rId1408" Type="http://schemas.openxmlformats.org/officeDocument/2006/relationships/hyperlink" Target="mailto:condedamian23@yahoo.com" TargetMode="External"/><Relationship Id="rId47" Type="http://schemas.openxmlformats.org/officeDocument/2006/relationships/hyperlink" Target="mailto:ernesto.piazza@une.unt.edu.ar" TargetMode="External"/><Relationship Id="rId1615" Type="http://schemas.openxmlformats.org/officeDocument/2006/relationships/hyperlink" Target="mailto:gaby_si@hotmail.com" TargetMode="External"/><Relationship Id="rId196" Type="http://schemas.openxmlformats.org/officeDocument/2006/relationships/hyperlink" Target="mailto:gladys.vega@hotmail.com" TargetMode="External"/><Relationship Id="rId263" Type="http://schemas.openxmlformats.org/officeDocument/2006/relationships/hyperlink" Target="mailto:andywheeler@hotmail.com" TargetMode="External"/><Relationship Id="rId470" Type="http://schemas.openxmlformats.org/officeDocument/2006/relationships/hyperlink" Target="mailto:matiaspaez_2@hotmail.com" TargetMode="External"/><Relationship Id="rId123" Type="http://schemas.openxmlformats.org/officeDocument/2006/relationships/hyperlink" Target="mailto:mabri_78@hotmail.com" TargetMode="External"/><Relationship Id="rId330" Type="http://schemas.openxmlformats.org/officeDocument/2006/relationships/hyperlink" Target="mailto:jpoch@rectorado.unt.edu.ar" TargetMode="External"/><Relationship Id="rId568" Type="http://schemas.openxmlformats.org/officeDocument/2006/relationships/hyperlink" Target="mailto:nadiaabad@live.com" TargetMode="External"/><Relationship Id="rId775" Type="http://schemas.openxmlformats.org/officeDocument/2006/relationships/hyperlink" Target="mailto:nadiaabad@live.com" TargetMode="External"/><Relationship Id="rId982" Type="http://schemas.openxmlformats.org/officeDocument/2006/relationships/hyperlink" Target="mailto:sainlo2003@yahoo.com.ar" TargetMode="External"/><Relationship Id="rId1198" Type="http://schemas.openxmlformats.org/officeDocument/2006/relationships/hyperlink" Target="mailto:juanpgomez@arnet.com.ar" TargetMode="External"/><Relationship Id="rId428" Type="http://schemas.openxmlformats.org/officeDocument/2006/relationships/hyperlink" Target="mailto:caroservetto@gmail.com" TargetMode="External"/><Relationship Id="rId635" Type="http://schemas.openxmlformats.org/officeDocument/2006/relationships/hyperlink" Target="mailto:nadiaabad@live.com" TargetMode="External"/><Relationship Id="rId842" Type="http://schemas.openxmlformats.org/officeDocument/2006/relationships/hyperlink" Target="mailto:mickymothe@hotmail.com" TargetMode="External"/><Relationship Id="rId1058" Type="http://schemas.openxmlformats.org/officeDocument/2006/relationships/hyperlink" Target="mailto:neritojuarez535@gmail.com" TargetMode="External"/><Relationship Id="rId1265" Type="http://schemas.openxmlformats.org/officeDocument/2006/relationships/hyperlink" Target="mailto:gunyfigueroa@hotmail.com" TargetMode="External"/><Relationship Id="rId1472" Type="http://schemas.openxmlformats.org/officeDocument/2006/relationships/hyperlink" Target="mailto:hlcarreras@yahoo.com.ar" TargetMode="External"/><Relationship Id="rId702" Type="http://schemas.openxmlformats.org/officeDocument/2006/relationships/hyperlink" Target="mailto:nadiaabad@live.com" TargetMode="External"/><Relationship Id="rId1125" Type="http://schemas.openxmlformats.org/officeDocument/2006/relationships/hyperlink" Target="mailto:gguzman@ct.unt.edu.ar" TargetMode="External"/><Relationship Id="rId1332" Type="http://schemas.openxmlformats.org/officeDocument/2006/relationships/hyperlink" Target="mailto:nerinap66@hotmail.com" TargetMode="External"/><Relationship Id="rId69" Type="http://schemas.openxmlformats.org/officeDocument/2006/relationships/hyperlink" Target="mailto:lv4211@gmail.com" TargetMode="External"/><Relationship Id="rId1637" Type="http://schemas.openxmlformats.org/officeDocument/2006/relationships/hyperlink" Target="mailto:Luzappazarguello@yahoo.com.ar" TargetMode="External"/><Relationship Id="rId1704" Type="http://schemas.openxmlformats.org/officeDocument/2006/relationships/hyperlink" Target="mailto:nicoacevedo1@hotmail.com" TargetMode="External"/><Relationship Id="rId285" Type="http://schemas.openxmlformats.org/officeDocument/2006/relationships/hyperlink" Target="mailto:msalas@herrera.unt.edu.ar" TargetMode="External"/><Relationship Id="rId492" Type="http://schemas.openxmlformats.org/officeDocument/2006/relationships/hyperlink" Target="mailto:nadiaabad@live.com" TargetMode="External"/><Relationship Id="rId797" Type="http://schemas.openxmlformats.org/officeDocument/2006/relationships/hyperlink" Target="mailto:nadiaabad@live.com" TargetMode="External"/><Relationship Id="rId145" Type="http://schemas.openxmlformats.org/officeDocument/2006/relationships/hyperlink" Target="mailto:marilueuge_69@hotmail.com" TargetMode="External"/><Relationship Id="rId352" Type="http://schemas.openxmlformats.org/officeDocument/2006/relationships/hyperlink" Target="mailto:danielprieto1@hotmail.com" TargetMode="External"/><Relationship Id="rId1287" Type="http://schemas.openxmlformats.org/officeDocument/2006/relationships/hyperlink" Target="mailto:cecifariasunt@hotmail.com" TargetMode="External"/><Relationship Id="rId212" Type="http://schemas.openxmlformats.org/officeDocument/2006/relationships/hyperlink" Target="mailto:martiqu@hotmail.com" TargetMode="External"/><Relationship Id="rId657" Type="http://schemas.openxmlformats.org/officeDocument/2006/relationships/hyperlink" Target="mailto:nadiaabad@live.com" TargetMode="External"/><Relationship Id="rId864" Type="http://schemas.openxmlformats.org/officeDocument/2006/relationships/hyperlink" Target="mailto:jmontero@csnat.unt.edu.ar" TargetMode="External"/><Relationship Id="rId1494" Type="http://schemas.openxmlformats.org/officeDocument/2006/relationships/hyperlink" Target="mailto:ccanevaro@yahoo.com.ar" TargetMode="External"/><Relationship Id="rId517" Type="http://schemas.openxmlformats.org/officeDocument/2006/relationships/hyperlink" Target="mailto:nadiaabad@live.com" TargetMode="External"/><Relationship Id="rId724" Type="http://schemas.openxmlformats.org/officeDocument/2006/relationships/hyperlink" Target="mailto:nadiaabad@live.com" TargetMode="External"/><Relationship Id="rId931" Type="http://schemas.openxmlformats.org/officeDocument/2006/relationships/hyperlink" Target="mailto:fmaroglio@gmail.com" TargetMode="External"/><Relationship Id="rId1147" Type="http://schemas.openxmlformats.org/officeDocument/2006/relationships/hyperlink" Target="mailto:ramirogrimaldi@gmail.com" TargetMode="External"/><Relationship Id="rId1354" Type="http://schemas.openxmlformats.org/officeDocument/2006/relationships/hyperlink" Target="mailto:marilidelcastillo@yahoo.com.ar" TargetMode="External"/><Relationship Id="rId1561" Type="http://schemas.openxmlformats.org/officeDocument/2006/relationships/hyperlink" Target="mailto:rowenalia_57belen@hotmail.com" TargetMode="External"/><Relationship Id="rId60" Type="http://schemas.openxmlformats.org/officeDocument/2006/relationships/hyperlink" Target="mailto:valeriaraquelvargas@gmail.com" TargetMode="External"/><Relationship Id="rId1007" Type="http://schemas.openxmlformats.org/officeDocument/2006/relationships/hyperlink" Target="mailto:martitalescano@hotmail.com" TargetMode="External"/><Relationship Id="rId1214" Type="http://schemas.openxmlformats.org/officeDocument/2006/relationships/hyperlink" Target="mailto:estigerez@hotmail.com" TargetMode="External"/><Relationship Id="rId1421" Type="http://schemas.openxmlformats.org/officeDocument/2006/relationships/hyperlink" Target="mailto:mmocisneros@hotmail.com" TargetMode="External"/><Relationship Id="rId1659" Type="http://schemas.openxmlformats.org/officeDocument/2006/relationships/hyperlink" Target="mailto:suaponce@hotmail.com" TargetMode="External"/><Relationship Id="rId1519" Type="http://schemas.openxmlformats.org/officeDocument/2006/relationships/hyperlink" Target="mailto:cabreracarlagostina@hotmail.com" TargetMode="External"/><Relationship Id="rId18" Type="http://schemas.openxmlformats.org/officeDocument/2006/relationships/hyperlink" Target="mailto:belen_titis@hotmail.com" TargetMode="External"/><Relationship Id="rId167" Type="http://schemas.openxmlformats.org/officeDocument/2006/relationships/hyperlink" Target="mailto:marta391956@hotmail.com" TargetMode="External"/><Relationship Id="rId374" Type="http://schemas.openxmlformats.org/officeDocument/2006/relationships/hyperlink" Target="mailto:fredyortega@gmail.com" TargetMode="External"/><Relationship Id="rId581" Type="http://schemas.openxmlformats.org/officeDocument/2006/relationships/hyperlink" Target="mailto:nadiaabad@live.com" TargetMode="External"/><Relationship Id="rId234" Type="http://schemas.openxmlformats.org/officeDocument/2006/relationships/hyperlink" Target="mailto:moniruffino@hotmail.com" TargetMode="External"/><Relationship Id="rId679" Type="http://schemas.openxmlformats.org/officeDocument/2006/relationships/hyperlink" Target="mailto:nadiaabad@live.com" TargetMode="External"/><Relationship Id="rId886" Type="http://schemas.openxmlformats.org/officeDocument/2006/relationships/hyperlink" Target="mailto:animendieta@hotmail.com" TargetMode="External"/><Relationship Id="rId2" Type="http://schemas.openxmlformats.org/officeDocument/2006/relationships/hyperlink" Target="mailto:k_ro1377@hotmail.com" TargetMode="External"/><Relationship Id="rId441" Type="http://schemas.openxmlformats.org/officeDocument/2006/relationships/hyperlink" Target="mailto:marceurtu@gmail.com" TargetMode="External"/><Relationship Id="rId539" Type="http://schemas.openxmlformats.org/officeDocument/2006/relationships/hyperlink" Target="mailto:nadiaabad@live.com" TargetMode="External"/><Relationship Id="rId746" Type="http://schemas.openxmlformats.org/officeDocument/2006/relationships/hyperlink" Target="mailto:nadiaabad@live.com" TargetMode="External"/><Relationship Id="rId1071" Type="http://schemas.openxmlformats.org/officeDocument/2006/relationships/hyperlink" Target="mailto:rjimenez@herrera.unt.edu.ar" TargetMode="External"/><Relationship Id="rId1169" Type="http://schemas.openxmlformats.org/officeDocument/2006/relationships/hyperlink" Target="mailto:hugonzalez518@hotmail.com" TargetMode="External"/><Relationship Id="rId1376" Type="http://schemas.openxmlformats.org/officeDocument/2006/relationships/hyperlink" Target="mailto:nitoelzano@hotmail.com" TargetMode="External"/><Relationship Id="rId1583" Type="http://schemas.openxmlformats.org/officeDocument/2006/relationships/hyperlink" Target="mailto:carla_avila@live.com.ar" TargetMode="External"/><Relationship Id="rId301" Type="http://schemas.openxmlformats.org/officeDocument/2006/relationships/hyperlink" Target="mailto:amsales@fbqf.unt.edu.ar" TargetMode="External"/><Relationship Id="rId953" Type="http://schemas.openxmlformats.org/officeDocument/2006/relationships/hyperlink" Target="mailto:aglugones@gmail.com" TargetMode="External"/><Relationship Id="rId1029" Type="http://schemas.openxmlformats.org/officeDocument/2006/relationships/hyperlink" Target="mailto:alazarte@face.unt.edu.ar" TargetMode="External"/><Relationship Id="rId1236" Type="http://schemas.openxmlformats.org/officeDocument/2006/relationships/hyperlink" Target="mailto:fernandogt_91@hotmail.com" TargetMode="External"/><Relationship Id="rId82" Type="http://schemas.openxmlformats.org/officeDocument/2006/relationships/hyperlink" Target="mailto:juanpi.tp@gmail.com" TargetMode="External"/><Relationship Id="rId606" Type="http://schemas.openxmlformats.org/officeDocument/2006/relationships/hyperlink" Target="mailto:nadiaabad@live.com" TargetMode="External"/><Relationship Id="rId813" Type="http://schemas.openxmlformats.org/officeDocument/2006/relationships/hyperlink" Target="mailto:julioneiman-@hotmail.com" TargetMode="External"/><Relationship Id="rId1443" Type="http://schemas.openxmlformats.org/officeDocument/2006/relationships/hyperlink" Target="mailto:causin@unt.edu.ar" TargetMode="External"/><Relationship Id="rId1650" Type="http://schemas.openxmlformats.org/officeDocument/2006/relationships/hyperlink" Target="mailto:almironjorgeluis@gmail.com" TargetMode="External"/><Relationship Id="rId1303" Type="http://schemas.openxmlformats.org/officeDocument/2006/relationships/hyperlink" Target="mailto:mercedesfatimaespeche@hotmail.com" TargetMode="External"/><Relationship Id="rId1510" Type="http://schemas.openxmlformats.org/officeDocument/2006/relationships/hyperlink" Target="mailto:salica211@hotmail.com" TargetMode="External"/><Relationship Id="rId1608" Type="http://schemas.openxmlformats.org/officeDocument/2006/relationships/hyperlink" Target="mailto:marias@fbqf.unt.edu.ar" TargetMode="External"/><Relationship Id="rId189" Type="http://schemas.openxmlformats.org/officeDocument/2006/relationships/hyperlink" Target="mailto:mazeballos03@yahoo.com.ar" TargetMode="External"/><Relationship Id="rId396" Type="http://schemas.openxmlformats.org/officeDocument/2006/relationships/hyperlink" Target="mailto:mvaldezramos@gmail.com" TargetMode="External"/><Relationship Id="rId256" Type="http://schemas.openxmlformats.org/officeDocument/2006/relationships/hyperlink" Target="mailto:esarris@herrera.unt.edu.ar" TargetMode="External"/><Relationship Id="rId463" Type="http://schemas.openxmlformats.org/officeDocument/2006/relationships/hyperlink" Target="mailto:sandravirgolini@hotmail.com" TargetMode="External"/><Relationship Id="rId670" Type="http://schemas.openxmlformats.org/officeDocument/2006/relationships/hyperlink" Target="mailto:nadiaabad@live.com" TargetMode="External"/><Relationship Id="rId1093" Type="http://schemas.openxmlformats.org/officeDocument/2006/relationships/hyperlink" Target="mailto:claudiajara4@gmail.com" TargetMode="External"/><Relationship Id="rId116" Type="http://schemas.openxmlformats.org/officeDocument/2006/relationships/hyperlink" Target="mailto:anavictoriarobles@yahoo.com.ar" TargetMode="External"/><Relationship Id="rId323" Type="http://schemas.openxmlformats.org/officeDocument/2006/relationships/hyperlink" Target="mailto:etrinejo@lillo.org.ar" TargetMode="External"/><Relationship Id="rId530" Type="http://schemas.openxmlformats.org/officeDocument/2006/relationships/hyperlink" Target="mailto:nadiaabad@live.com" TargetMode="External"/><Relationship Id="rId768" Type="http://schemas.openxmlformats.org/officeDocument/2006/relationships/hyperlink" Target="mailto:nadiaabad@live.com" TargetMode="External"/><Relationship Id="rId975" Type="http://schemas.openxmlformats.org/officeDocument/2006/relationships/hyperlink" Target="mailto:apl026@yahoo.com.ar" TargetMode="External"/><Relationship Id="rId1160" Type="http://schemas.openxmlformats.org/officeDocument/2006/relationships/hyperlink" Target="mailto:sil_ver03@hotmail.com" TargetMode="External"/><Relationship Id="rId1398" Type="http://schemas.openxmlformats.org/officeDocument/2006/relationships/hyperlink" Target="mailto:cordobahugo@live.com" TargetMode="External"/><Relationship Id="rId628" Type="http://schemas.openxmlformats.org/officeDocument/2006/relationships/hyperlink" Target="mailto:nadiaabad@live.com" TargetMode="External"/><Relationship Id="rId835" Type="http://schemas.openxmlformats.org/officeDocument/2006/relationships/hyperlink" Target="mailto:matildemurga@hotmail.com" TargetMode="External"/><Relationship Id="rId1258" Type="http://schemas.openxmlformats.org/officeDocument/2006/relationships/hyperlink" Target="mailto:carlitosflores32@hotmail.com" TargetMode="External"/><Relationship Id="rId1465" Type="http://schemas.openxmlformats.org/officeDocument/2006/relationships/hyperlink" Target="mailto:chelito_unt@hotmail.com" TargetMode="External"/><Relationship Id="rId1672" Type="http://schemas.openxmlformats.org/officeDocument/2006/relationships/hyperlink" Target="mailto:mavi_alarcon@hotmail.com" TargetMode="External"/><Relationship Id="rId1020" Type="http://schemas.openxmlformats.org/officeDocument/2006/relationships/hyperlink" Target="mailto:guadalupeleguizamon@hotmail.com" TargetMode="External"/><Relationship Id="rId1118" Type="http://schemas.openxmlformats.org/officeDocument/2006/relationships/hyperlink" Target="mailto:haroeugenia@hotmail.com" TargetMode="External"/><Relationship Id="rId1325" Type="http://schemas.openxmlformats.org/officeDocument/2006/relationships/hyperlink" Target="mailto:doraocarlos@hotmail.com" TargetMode="External"/><Relationship Id="rId1532" Type="http://schemas.openxmlformats.org/officeDocument/2006/relationships/hyperlink" Target="mailto:osilviamado@hotmail.com" TargetMode="External"/><Relationship Id="rId902" Type="http://schemas.openxmlformats.org/officeDocument/2006/relationships/hyperlink" Target="mailto:safamedina@hotmail.com" TargetMode="External"/><Relationship Id="rId31" Type="http://schemas.openxmlformats.org/officeDocument/2006/relationships/hyperlink" Target="mailto:mao@iclaro.com.ar" TargetMode="External"/><Relationship Id="rId180" Type="http://schemas.openxmlformats.org/officeDocument/2006/relationships/hyperlink" Target="mailto:aperezfilgueira@herrera.unt.edu.ar" TargetMode="External"/><Relationship Id="rId278" Type="http://schemas.openxmlformats.org/officeDocument/2006/relationships/hyperlink" Target="mailto:mquinteros@fbqf.unt.edu.ar" TargetMode="External"/><Relationship Id="rId485" Type="http://schemas.openxmlformats.org/officeDocument/2006/relationships/hyperlink" Target="mailto:sebastianpnunez@gmail.com" TargetMode="External"/><Relationship Id="rId692" Type="http://schemas.openxmlformats.org/officeDocument/2006/relationships/hyperlink" Target="mailto:nadiaabad@live.com" TargetMode="External"/><Relationship Id="rId138" Type="http://schemas.openxmlformats.org/officeDocument/2006/relationships/hyperlink" Target="mailto:mrrodriguez@face.unt.edu.ar" TargetMode="External"/><Relationship Id="rId345" Type="http://schemas.openxmlformats.org/officeDocument/2006/relationships/hyperlink" Target="mailto:pmvillalonga@yahoo.com.ar" TargetMode="External"/><Relationship Id="rId552" Type="http://schemas.openxmlformats.org/officeDocument/2006/relationships/hyperlink" Target="mailto:nadiaabad@live.com" TargetMode="External"/><Relationship Id="rId997" Type="http://schemas.openxmlformats.org/officeDocument/2006/relationships/hyperlink" Target="mailto:heber_lobato@yahoo.com.ar" TargetMode="External"/><Relationship Id="rId1182" Type="http://schemas.openxmlformats.org/officeDocument/2006/relationships/hyperlink" Target="mailto:hgomez@fbqf.unt.edu.ar" TargetMode="External"/><Relationship Id="rId205" Type="http://schemas.openxmlformats.org/officeDocument/2006/relationships/hyperlink" Target="mailto:suisanchez@yahoo.com.ar" TargetMode="External"/><Relationship Id="rId412" Type="http://schemas.openxmlformats.org/officeDocument/2006/relationships/hyperlink" Target="mailto:ds_suarez@hotmail.com" TargetMode="External"/><Relationship Id="rId857" Type="http://schemas.openxmlformats.org/officeDocument/2006/relationships/hyperlink" Target="mailto:mariadelcarmenmonti@hotmail.com" TargetMode="External"/><Relationship Id="rId1042" Type="http://schemas.openxmlformats.org/officeDocument/2006/relationships/hyperlink" Target="mailto:mclagarrigue@fbqf.unt.edu.ar" TargetMode="External"/><Relationship Id="rId1487" Type="http://schemas.openxmlformats.org/officeDocument/2006/relationships/hyperlink" Target="mailto:memicapuano@hotmail.com" TargetMode="External"/><Relationship Id="rId1694" Type="http://schemas.openxmlformats.org/officeDocument/2006/relationships/hyperlink" Target="mailto:juanjoaguero@hotmail.com" TargetMode="External"/><Relationship Id="rId717" Type="http://schemas.openxmlformats.org/officeDocument/2006/relationships/hyperlink" Target="mailto:nadiaabad@live.com" TargetMode="External"/><Relationship Id="rId924" Type="http://schemas.openxmlformats.org/officeDocument/2006/relationships/hyperlink" Target="mailto:v_martinez97@yahoo.com.ar" TargetMode="External"/><Relationship Id="rId1347" Type="http://schemas.openxmlformats.org/officeDocument/2006/relationships/hyperlink" Target="mailto:ignaciodelgado687@hotmail.com" TargetMode="External"/><Relationship Id="rId1554" Type="http://schemas.openxmlformats.org/officeDocument/2006/relationships/hyperlink" Target="mailto:becascomunic@gmail.com" TargetMode="External"/><Relationship Id="rId53" Type="http://schemas.openxmlformats.org/officeDocument/2006/relationships/hyperlink" Target="mailto:rikyteran@gmail.com" TargetMode="External"/><Relationship Id="rId1207" Type="http://schemas.openxmlformats.org/officeDocument/2006/relationships/hyperlink" Target="mailto:soniagjugum@hotmail.com" TargetMode="External"/><Relationship Id="rId1414" Type="http://schemas.openxmlformats.org/officeDocument/2006/relationships/hyperlink" Target="mailto:jufercon@hotmail.com" TargetMode="External"/><Relationship Id="rId1621" Type="http://schemas.openxmlformats.org/officeDocument/2006/relationships/hyperlink" Target="mailto:secretariacoordinacion@filo.unt.edu.ar" TargetMode="External"/><Relationship Id="rId367" Type="http://schemas.openxmlformats.org/officeDocument/2006/relationships/hyperlink" Target="mailto:ngn_09@hotmail.com" TargetMode="External"/><Relationship Id="rId574" Type="http://schemas.openxmlformats.org/officeDocument/2006/relationships/hyperlink" Target="mailto:nadiaabad@live.com" TargetMode="External"/><Relationship Id="rId227" Type="http://schemas.openxmlformats.org/officeDocument/2006/relationships/hyperlink" Target="mailto:amaria-vh@hotmail.com" TargetMode="External"/><Relationship Id="rId781" Type="http://schemas.openxmlformats.org/officeDocument/2006/relationships/hyperlink" Target="mailto:nadiaabad@live.com" TargetMode="External"/><Relationship Id="rId879" Type="http://schemas.openxmlformats.org/officeDocument/2006/relationships/hyperlink" Target="mailto:vanessavargasmartin@hotmail.com" TargetMode="External"/><Relationship Id="rId434" Type="http://schemas.openxmlformats.org/officeDocument/2006/relationships/hyperlink" Target="mailto:valemv23@gmail.com" TargetMode="External"/><Relationship Id="rId641" Type="http://schemas.openxmlformats.org/officeDocument/2006/relationships/hyperlink" Target="mailto:nadiaabad@live.com" TargetMode="External"/><Relationship Id="rId739" Type="http://schemas.openxmlformats.org/officeDocument/2006/relationships/hyperlink" Target="mailto:nadiaabad@live.com" TargetMode="External"/><Relationship Id="rId1064" Type="http://schemas.openxmlformats.org/officeDocument/2006/relationships/hyperlink" Target="mailto:gra_001@hotmail.com" TargetMode="External"/><Relationship Id="rId1271" Type="http://schemas.openxmlformats.org/officeDocument/2006/relationships/hyperlink" Target="mailto:ferrero-duhart@arnet.com.ar" TargetMode="External"/><Relationship Id="rId1369" Type="http://schemas.openxmlformats.org/officeDocument/2006/relationships/hyperlink" Target="mailto:andycutin@gmail.com" TargetMode="External"/><Relationship Id="rId1576" Type="http://schemas.openxmlformats.org/officeDocument/2006/relationships/hyperlink" Target="mailto:mgbarba59@yahoo.com.ar" TargetMode="External"/><Relationship Id="rId501" Type="http://schemas.openxmlformats.org/officeDocument/2006/relationships/hyperlink" Target="mailto:nadiaabad@live.com" TargetMode="External"/><Relationship Id="rId946" Type="http://schemas.openxmlformats.org/officeDocument/2006/relationships/hyperlink" Target="mailto:maximamani@gmail.com" TargetMode="External"/><Relationship Id="rId1131" Type="http://schemas.openxmlformats.org/officeDocument/2006/relationships/hyperlink" Target="mailto:clavigu@hotmail.com" TargetMode="External"/><Relationship Id="rId1229" Type="http://schemas.openxmlformats.org/officeDocument/2006/relationships/hyperlink" Target="mailto:garciamarianab@outlook.com" TargetMode="External"/><Relationship Id="rId75" Type="http://schemas.openxmlformats.org/officeDocument/2006/relationships/hyperlink" Target="mailto:carito_13_13@hotmail.com" TargetMode="External"/><Relationship Id="rId806" Type="http://schemas.openxmlformats.org/officeDocument/2006/relationships/hyperlink" Target="mailto:adriangnoguera1@gmail.com" TargetMode="External"/><Relationship Id="rId1436" Type="http://schemas.openxmlformats.org/officeDocument/2006/relationships/hyperlink" Target="mailto:jeechamorro@hotmail.com" TargetMode="External"/><Relationship Id="rId1643" Type="http://schemas.openxmlformats.org/officeDocument/2006/relationships/hyperlink" Target="mailto:joserene09@hotmail.com" TargetMode="External"/><Relationship Id="rId1503" Type="http://schemas.openxmlformats.org/officeDocument/2006/relationships/hyperlink" Target="mailto:micampero@hotmail.com" TargetMode="External"/><Relationship Id="rId1710" Type="http://schemas.openxmlformats.org/officeDocument/2006/relationships/hyperlink" Target="mailto:veronica.juarez@filount.edu.ar" TargetMode="External"/><Relationship Id="rId291" Type="http://schemas.openxmlformats.org/officeDocument/2006/relationships/hyperlink" Target="mailto:danielpino131@yahoo.com" TargetMode="External"/><Relationship Id="rId151" Type="http://schemas.openxmlformats.org/officeDocument/2006/relationships/hyperlink" Target="mailto:soleta02@hotmail.com" TargetMode="External"/><Relationship Id="rId389" Type="http://schemas.openxmlformats.org/officeDocument/2006/relationships/hyperlink" Target="mailto:alinamrodri@gmail.com" TargetMode="External"/><Relationship Id="rId596" Type="http://schemas.openxmlformats.org/officeDocument/2006/relationships/hyperlink" Target="mailto:nadiaabad@live.com" TargetMode="External"/><Relationship Id="rId249" Type="http://schemas.openxmlformats.org/officeDocument/2006/relationships/hyperlink" Target="mailto:nancyerosolin@hotmail.com" TargetMode="External"/><Relationship Id="rId456" Type="http://schemas.openxmlformats.org/officeDocument/2006/relationships/hyperlink" Target="mailto:ixchelvacaflor@hotmail.com" TargetMode="External"/><Relationship Id="rId663" Type="http://schemas.openxmlformats.org/officeDocument/2006/relationships/hyperlink" Target="mailto:nadiaabad@live.com" TargetMode="External"/><Relationship Id="rId870" Type="http://schemas.openxmlformats.org/officeDocument/2006/relationships/hyperlink" Target="mailto:ana.mariamolina@hotmail.com.ar" TargetMode="External"/><Relationship Id="rId1086" Type="http://schemas.openxmlformats.org/officeDocument/2006/relationships/hyperlink" Target="mailto:sandravivianaiturre@yahoo.com.ar" TargetMode="External"/><Relationship Id="rId1293" Type="http://schemas.openxmlformats.org/officeDocument/2006/relationships/hyperlink" Target="mailto:fernandez231@hotmail.com" TargetMode="External"/><Relationship Id="rId109" Type="http://schemas.openxmlformats.org/officeDocument/2006/relationships/hyperlink" Target="mailto:caroromero64@arnet.com.ar" TargetMode="External"/><Relationship Id="rId316" Type="http://schemas.openxmlformats.org/officeDocument/2006/relationships/hyperlink" Target="mailto:hectoryerjeroldan@hotmail.com" TargetMode="External"/><Relationship Id="rId523" Type="http://schemas.openxmlformats.org/officeDocument/2006/relationships/hyperlink" Target="mailto:nadiaabad@live.com" TargetMode="External"/><Relationship Id="rId968" Type="http://schemas.openxmlformats.org/officeDocument/2006/relationships/hyperlink" Target="mailto:silvialopezdemartin@hotmail.com" TargetMode="External"/><Relationship Id="rId1153" Type="http://schemas.openxmlformats.org/officeDocument/2006/relationships/hyperlink" Target="mailto:magdigraciano672009@gmail.com" TargetMode="External"/><Relationship Id="rId1598" Type="http://schemas.openxmlformats.org/officeDocument/2006/relationships/hyperlink" Target="mailto:rolandoassad@yahoo.com" TargetMode="External"/><Relationship Id="rId97" Type="http://schemas.openxmlformats.org/officeDocument/2006/relationships/hyperlink" Target="mailto:avillagran@herrera.unt.edu.ar" TargetMode="External"/><Relationship Id="rId730" Type="http://schemas.openxmlformats.org/officeDocument/2006/relationships/hyperlink" Target="mailto:nadiaabad@live.com" TargetMode="External"/><Relationship Id="rId828" Type="http://schemas.openxmlformats.org/officeDocument/2006/relationships/hyperlink" Target="mailto:muslipcarlos@gmail.com" TargetMode="External"/><Relationship Id="rId1013" Type="http://schemas.openxmlformats.org/officeDocument/2006/relationships/hyperlink" Target="mailto:comunicafount@hotmail.com" TargetMode="External"/><Relationship Id="rId1360" Type="http://schemas.openxmlformats.org/officeDocument/2006/relationships/hyperlink" Target="mailto:rsalinascollado@hotmail.com" TargetMode="External"/><Relationship Id="rId1458" Type="http://schemas.openxmlformats.org/officeDocument/2006/relationships/hyperlink" Target="mailto:bullss@hotmail.com" TargetMode="External"/><Relationship Id="rId1665" Type="http://schemas.openxmlformats.org/officeDocument/2006/relationships/hyperlink" Target="mailto:cuemifm@gmail.com" TargetMode="External"/><Relationship Id="rId1220" Type="http://schemas.openxmlformats.org/officeDocument/2006/relationships/hyperlink" Target="mailto:ezequiel-construcciones@hotmail.com" TargetMode="External"/><Relationship Id="rId1318" Type="http://schemas.openxmlformats.org/officeDocument/2006/relationships/hyperlink" Target="mailto:maxidonzelli2@gmail.com" TargetMode="External"/><Relationship Id="rId1525" Type="http://schemas.openxmlformats.org/officeDocument/2006/relationships/hyperlink" Target="mailto:marianoburgos@argentina.com" TargetMode="External"/><Relationship Id="rId24" Type="http://schemas.openxmlformats.org/officeDocument/2006/relationships/hyperlink" Target="mailto:simon.fernanda@hotmail.com" TargetMode="External"/><Relationship Id="rId173" Type="http://schemas.openxmlformats.org/officeDocument/2006/relationships/hyperlink" Target="mailto:luisscamar1461@hotmail.com" TargetMode="External"/><Relationship Id="rId380" Type="http://schemas.openxmlformats.org/officeDocument/2006/relationships/hyperlink" Target="mailto:parajonfabianaalejandra@gmail.com" TargetMode="External"/><Relationship Id="rId240" Type="http://schemas.openxmlformats.org/officeDocument/2006/relationships/hyperlink" Target="mailto:vierapatricia@yahoo.com.ar" TargetMode="External"/><Relationship Id="rId478" Type="http://schemas.openxmlformats.org/officeDocument/2006/relationships/hyperlink" Target="mailto:psteves88@gmail.com" TargetMode="External"/><Relationship Id="rId685" Type="http://schemas.openxmlformats.org/officeDocument/2006/relationships/hyperlink" Target="mailto:nadiaabad@live.com" TargetMode="External"/><Relationship Id="rId892" Type="http://schemas.openxmlformats.org/officeDocument/2006/relationships/hyperlink" Target="mailto:ivana_685@hotmail.com" TargetMode="External"/><Relationship Id="rId100" Type="http://schemas.openxmlformats.org/officeDocument/2006/relationships/hyperlink" Target="mailto:georginarodriguezleal@hotmail.com" TargetMode="External"/><Relationship Id="rId338" Type="http://schemas.openxmlformats.org/officeDocument/2006/relationships/hyperlink" Target="mailto:compras@face.unt.edu.ar" TargetMode="External"/><Relationship Id="rId545" Type="http://schemas.openxmlformats.org/officeDocument/2006/relationships/hyperlink" Target="mailto:nadiaabad@live.com" TargetMode="External"/><Relationship Id="rId752" Type="http://schemas.openxmlformats.org/officeDocument/2006/relationships/hyperlink" Target="mailto:nadiaabad@live.com" TargetMode="External"/><Relationship Id="rId1175" Type="http://schemas.openxmlformats.org/officeDocument/2006/relationships/hyperlink" Target="mailto:carla_andrea_gonzalez@hotmail.com" TargetMode="External"/><Relationship Id="rId1382" Type="http://schemas.openxmlformats.org/officeDocument/2006/relationships/hyperlink" Target="mailto:lcorrea@live.com" TargetMode="External"/><Relationship Id="rId405" Type="http://schemas.openxmlformats.org/officeDocument/2006/relationships/hyperlink" Target="mailto:rikysobral8@gmail.com" TargetMode="External"/><Relationship Id="rId612" Type="http://schemas.openxmlformats.org/officeDocument/2006/relationships/hyperlink" Target="mailto:nadiaabad@live.com" TargetMode="External"/><Relationship Id="rId1035" Type="http://schemas.openxmlformats.org/officeDocument/2006/relationships/hyperlink" Target="mailto:nel_26_66@hotmail.com" TargetMode="External"/><Relationship Id="rId1242" Type="http://schemas.openxmlformats.org/officeDocument/2006/relationships/hyperlink" Target="mailto:mfuentes@fbqf.unt.edu.ar" TargetMode="External"/><Relationship Id="rId1687" Type="http://schemas.openxmlformats.org/officeDocument/2006/relationships/hyperlink" Target="mailto:avaguilera@hotmail.com" TargetMode="External"/><Relationship Id="rId917" Type="http://schemas.openxmlformats.org/officeDocument/2006/relationships/hyperlink" Target="mailto:mema@fbqf.unt.edu.ar" TargetMode="External"/><Relationship Id="rId1102" Type="http://schemas.openxmlformats.org/officeDocument/2006/relationships/hyperlink" Target="mailto:olgavi_43@hotmail.com" TargetMode="External"/><Relationship Id="rId1547" Type="http://schemas.openxmlformats.org/officeDocument/2006/relationships/hyperlink" Target="mailto:paolaboggiatto@hotamil.com" TargetMode="External"/><Relationship Id="rId46" Type="http://schemas.openxmlformats.org/officeDocument/2006/relationships/hyperlink" Target="mailto:tabuencajuanm@gmail.com" TargetMode="External"/><Relationship Id="rId1407" Type="http://schemas.openxmlformats.org/officeDocument/2006/relationships/hyperlink" Target="mailto:gcolombresgarmendia@hotmail.com" TargetMode="External"/><Relationship Id="rId1614" Type="http://schemas.openxmlformats.org/officeDocument/2006/relationships/hyperlink" Target="mailto:ma_arga&#241;araz@hotmail.com" TargetMode="External"/><Relationship Id="rId195" Type="http://schemas.openxmlformats.org/officeDocument/2006/relationships/hyperlink" Target="mailto:macristinaquesada17@yahoo.com.ar" TargetMode="External"/><Relationship Id="rId262" Type="http://schemas.openxmlformats.org/officeDocument/2006/relationships/hyperlink" Target="mailto:educa.informatica@gmail.com" TargetMode="External"/><Relationship Id="rId567" Type="http://schemas.openxmlformats.org/officeDocument/2006/relationships/hyperlink" Target="mailto:nadiaabad@live.com" TargetMode="External"/><Relationship Id="rId1197" Type="http://schemas.openxmlformats.org/officeDocument/2006/relationships/hyperlink" Target="mailto:claudiagomezlt@gmail.com" TargetMode="External"/><Relationship Id="rId122" Type="http://schemas.openxmlformats.org/officeDocument/2006/relationships/hyperlink" Target="mailto:athenas919@hotmail.com" TargetMode="External"/><Relationship Id="rId774" Type="http://schemas.openxmlformats.org/officeDocument/2006/relationships/hyperlink" Target="mailto:nadiaabad@live.com" TargetMode="External"/><Relationship Id="rId981" Type="http://schemas.openxmlformats.org/officeDocument/2006/relationships/hyperlink" Target="mailto:pato.lo@live.com" TargetMode="External"/><Relationship Id="rId1057" Type="http://schemas.openxmlformats.org/officeDocument/2006/relationships/hyperlink" Target="mailto:crocante@hotmail.com" TargetMode="External"/><Relationship Id="rId427" Type="http://schemas.openxmlformats.org/officeDocument/2006/relationships/hyperlink" Target="mailto:tiradorhmatias@hotmail.com" TargetMode="External"/><Relationship Id="rId634" Type="http://schemas.openxmlformats.org/officeDocument/2006/relationships/hyperlink" Target="mailto:nadiaabad@live.com" TargetMode="External"/><Relationship Id="rId841" Type="http://schemas.openxmlformats.org/officeDocument/2006/relationships/hyperlink" Target="mailto:carolinamoya@gmail.com" TargetMode="External"/><Relationship Id="rId1264" Type="http://schemas.openxmlformats.org/officeDocument/2006/relationships/hyperlink" Target="mailto:noelia_fierro@hotmail.com" TargetMode="External"/><Relationship Id="rId1471" Type="http://schemas.openxmlformats.org/officeDocument/2006/relationships/hyperlink" Target="mailto:zunildacarrizo@yahoo.com.ar" TargetMode="External"/><Relationship Id="rId1569" Type="http://schemas.openxmlformats.org/officeDocument/2006/relationships/hyperlink" Target="mailto:jose16barrionuevo@gmail.com" TargetMode="External"/><Relationship Id="rId701" Type="http://schemas.openxmlformats.org/officeDocument/2006/relationships/hyperlink" Target="mailto:nadiaabad@live.com" TargetMode="External"/><Relationship Id="rId939" Type="http://schemas.openxmlformats.org/officeDocument/2006/relationships/hyperlink" Target="mailto:hmarchisio@hotmail.com" TargetMode="External"/><Relationship Id="rId1124" Type="http://schemas.openxmlformats.org/officeDocument/2006/relationships/hyperlink" Target="mailto:joseguzzi@hotmail.com" TargetMode="External"/><Relationship Id="rId1331" Type="http://schemas.openxmlformats.org/officeDocument/2006/relationships/hyperlink" Target="mailto:dip.roberto@gmail.com" TargetMode="External"/><Relationship Id="rId68" Type="http://schemas.openxmlformats.org/officeDocument/2006/relationships/hyperlink" Target="mailto:matisalas@hotmail.com" TargetMode="External"/><Relationship Id="rId1429" Type="http://schemas.openxmlformats.org/officeDocument/2006/relationships/hyperlink" Target="mailto:juanachava56@hotmail.com" TargetMode="External"/><Relationship Id="rId1636" Type="http://schemas.openxmlformats.org/officeDocument/2006/relationships/hyperlink" Target="mailto:sapichela@fbqf.unt.edu.ar" TargetMode="External"/><Relationship Id="rId1703" Type="http://schemas.openxmlformats.org/officeDocument/2006/relationships/hyperlink" Target="mailto:gabriela.acosta@filo.unt.edu.ar" TargetMode="External"/><Relationship Id="rId284" Type="http://schemas.openxmlformats.org/officeDocument/2006/relationships/hyperlink" Target="mailto:vperalta@herrera.unt.edu.ar" TargetMode="External"/><Relationship Id="rId491" Type="http://schemas.openxmlformats.org/officeDocument/2006/relationships/hyperlink" Target="mailto:nadiaabad@live.com" TargetMode="External"/><Relationship Id="rId144" Type="http://schemas.openxmlformats.org/officeDocument/2006/relationships/hyperlink" Target="mailto:muny2601@yahoo.com.ar" TargetMode="External"/><Relationship Id="rId589" Type="http://schemas.openxmlformats.org/officeDocument/2006/relationships/hyperlink" Target="mailto:nadiaabad@live.com" TargetMode="External"/><Relationship Id="rId796" Type="http://schemas.openxmlformats.org/officeDocument/2006/relationships/hyperlink" Target="mailto:nadiaabad@live.com" TargetMode="External"/><Relationship Id="rId351" Type="http://schemas.openxmlformats.org/officeDocument/2006/relationships/hyperlink" Target="mailto:marcelaveronicavaquero@gmail.com" TargetMode="External"/><Relationship Id="rId449" Type="http://schemas.openxmlformats.org/officeDocument/2006/relationships/hyperlink" Target="mailto:jpsanch@gmail.com" TargetMode="External"/><Relationship Id="rId656" Type="http://schemas.openxmlformats.org/officeDocument/2006/relationships/hyperlink" Target="mailto:nadiaabad@live.com" TargetMode="External"/><Relationship Id="rId863" Type="http://schemas.openxmlformats.org/officeDocument/2006/relationships/hyperlink" Target="mailto:agusmontilla@hotmail.com" TargetMode="External"/><Relationship Id="rId1079" Type="http://schemas.openxmlformats.org/officeDocument/2006/relationships/hyperlink" Target="mailto:jorabel2002@hotmail.com" TargetMode="External"/><Relationship Id="rId1286" Type="http://schemas.openxmlformats.org/officeDocument/2006/relationships/hyperlink" Target="mailto:ce-fer@hotmail.com" TargetMode="External"/><Relationship Id="rId1493" Type="http://schemas.openxmlformats.org/officeDocument/2006/relationships/hyperlink" Target="mailto:scano2171@gmail.com" TargetMode="External"/><Relationship Id="rId211" Type="http://schemas.openxmlformats.org/officeDocument/2006/relationships/hyperlink" Target="mailto:elda.serrano@hotmail.com" TargetMode="External"/><Relationship Id="rId309" Type="http://schemas.openxmlformats.org/officeDocument/2006/relationships/hyperlink" Target="mailto:fatiepaez_69@hotmail.com.ar" TargetMode="External"/><Relationship Id="rId516" Type="http://schemas.openxmlformats.org/officeDocument/2006/relationships/hyperlink" Target="mailto:nadiaabad@live.com" TargetMode="External"/><Relationship Id="rId1146" Type="http://schemas.openxmlformats.org/officeDocument/2006/relationships/hyperlink" Target="mailto:mgriet@rectorado.unt.edu.ar" TargetMode="External"/><Relationship Id="rId723" Type="http://schemas.openxmlformats.org/officeDocument/2006/relationships/hyperlink" Target="mailto:nadiaabad@live.com" TargetMode="External"/><Relationship Id="rId930" Type="http://schemas.openxmlformats.org/officeDocument/2006/relationships/hyperlink" Target="mailto:claudiamaristany@gmail.com" TargetMode="External"/><Relationship Id="rId1006" Type="http://schemas.openxmlformats.org/officeDocument/2006/relationships/hyperlink" Target="mailto:ptartalo@ita.unt.edu.ar" TargetMode="External"/><Relationship Id="rId1353" Type="http://schemas.openxmlformats.org/officeDocument/2006/relationships/hyperlink" Target="mailto:anamarialeona@hotmail.com" TargetMode="External"/><Relationship Id="rId1560" Type="http://schemas.openxmlformats.org/officeDocument/2006/relationships/hyperlink" Target="mailto:mcristinabelen@hotmail.com" TargetMode="External"/><Relationship Id="rId1658" Type="http://schemas.openxmlformats.org/officeDocument/2006/relationships/hyperlink" Target="mailto:danielfalderete@live.com.ar" TargetMode="External"/><Relationship Id="rId1213" Type="http://schemas.openxmlformats.org/officeDocument/2006/relationships/hyperlink" Target="mailto:silgaspar08@gmail.com" TargetMode="External"/><Relationship Id="rId1420" Type="http://schemas.openxmlformats.org/officeDocument/2006/relationships/hyperlink" Target="mailto:viviegomez@hotmail.com" TargetMode="External"/><Relationship Id="rId1518" Type="http://schemas.openxmlformats.org/officeDocument/2006/relationships/hyperlink" Target="mailto:mesadeentrada@psicologia.unt.edu.ar" TargetMode="External"/><Relationship Id="rId17" Type="http://schemas.openxmlformats.org/officeDocument/2006/relationships/hyperlink" Target="mailto:cristinaosores1@hotmail.com" TargetMode="External"/><Relationship Id="rId166" Type="http://schemas.openxmlformats.org/officeDocument/2006/relationships/hyperlink" Target="mailto:alesusanich_1@hotmail.com" TargetMode="External"/><Relationship Id="rId373" Type="http://schemas.openxmlformats.org/officeDocument/2006/relationships/hyperlink" Target="mailto:javizvital@gmail.com" TargetMode="External"/><Relationship Id="rId580" Type="http://schemas.openxmlformats.org/officeDocument/2006/relationships/hyperlink" Target="mailto:nadiaabad@live.com" TargetMode="External"/><Relationship Id="rId1" Type="http://schemas.openxmlformats.org/officeDocument/2006/relationships/hyperlink" Target="mailto:pattosuarez@hotmail.com" TargetMode="External"/><Relationship Id="rId233" Type="http://schemas.openxmlformats.org/officeDocument/2006/relationships/hyperlink" Target="mailto:aprchal@gmail.com" TargetMode="External"/><Relationship Id="rId440" Type="http://schemas.openxmlformats.org/officeDocument/2006/relationships/hyperlink" Target="mailto:cprietogalo@gmail.com" TargetMode="External"/><Relationship Id="rId678" Type="http://schemas.openxmlformats.org/officeDocument/2006/relationships/hyperlink" Target="mailto:nadiaabad@live.com" TargetMode="External"/><Relationship Id="rId885" Type="http://schemas.openxmlformats.org/officeDocument/2006/relationships/hyperlink" Target="mailto:personal_unt@dirinfo.unt.edu.ar" TargetMode="External"/><Relationship Id="rId1070" Type="http://schemas.openxmlformats.org/officeDocument/2006/relationships/hyperlink" Target="mailto:amemarcejuarez@gmail.com" TargetMode="External"/><Relationship Id="rId300" Type="http://schemas.openxmlformats.org/officeDocument/2006/relationships/hyperlink" Target="mailto:elrusoroby@hotmail.com" TargetMode="External"/><Relationship Id="rId538" Type="http://schemas.openxmlformats.org/officeDocument/2006/relationships/hyperlink" Target="mailto:nadiaabad@live.com" TargetMode="External"/><Relationship Id="rId745" Type="http://schemas.openxmlformats.org/officeDocument/2006/relationships/hyperlink" Target="mailto:nadiaabad@live.com" TargetMode="External"/><Relationship Id="rId952" Type="http://schemas.openxmlformats.org/officeDocument/2006/relationships/hyperlink" Target="mailto:titulos@cine.unt.edu.ar" TargetMode="External"/><Relationship Id="rId1168" Type="http://schemas.openxmlformats.org/officeDocument/2006/relationships/hyperlink" Target="mailto:eugeluz@gmail.com" TargetMode="External"/><Relationship Id="rId1375" Type="http://schemas.openxmlformats.org/officeDocument/2006/relationships/hyperlink" Target="mailto:Arieltop_990@hotmail.com" TargetMode="External"/><Relationship Id="rId1582" Type="http://schemas.openxmlformats.org/officeDocument/2006/relationships/hyperlink" Target="mailto:juan.bagur@gmail.com" TargetMode="External"/><Relationship Id="rId81" Type="http://schemas.openxmlformats.org/officeDocument/2006/relationships/hyperlink" Target="mailto:chine010@hotmail.com" TargetMode="External"/><Relationship Id="rId605" Type="http://schemas.openxmlformats.org/officeDocument/2006/relationships/hyperlink" Target="mailto:nadiaabad@live.com" TargetMode="External"/><Relationship Id="rId812" Type="http://schemas.openxmlformats.org/officeDocument/2006/relationships/hyperlink" Target="mailto:hugonavas@yahoo.com" TargetMode="External"/><Relationship Id="rId1028" Type="http://schemas.openxmlformats.org/officeDocument/2006/relationships/hyperlink" Target="mailto:mabel.lazcano@gmail.com" TargetMode="External"/><Relationship Id="rId1235" Type="http://schemas.openxmlformats.org/officeDocument/2006/relationships/hyperlink" Target="mailto:garciafernando21@gmail.com" TargetMode="External"/><Relationship Id="rId1442" Type="http://schemas.openxmlformats.org/officeDocument/2006/relationships/hyperlink" Target="mailto:ochaile@hotmail.com" TargetMode="External"/><Relationship Id="rId1302" Type="http://schemas.openxmlformats.org/officeDocument/2006/relationships/hyperlink" Target="mailto:veroestevez37@gmail.com" TargetMode="External"/><Relationship Id="rId39" Type="http://schemas.openxmlformats.org/officeDocument/2006/relationships/hyperlink" Target="mailto:pachi_tuc@hotmail.com" TargetMode="External"/><Relationship Id="rId1607" Type="http://schemas.openxmlformats.org/officeDocument/2006/relationships/hyperlink" Target="mailto:jlapacho@hotmail.com" TargetMode="External"/><Relationship Id="rId188" Type="http://schemas.openxmlformats.org/officeDocument/2006/relationships/hyperlink" Target="mailto:mupulido@face.unt.edu.ar" TargetMode="External"/><Relationship Id="rId395" Type="http://schemas.openxmlformats.org/officeDocument/2006/relationships/hyperlink" Target="mailto:ana.carolina.oliva@hotmail.com" TargetMode="External"/><Relationship Id="rId255" Type="http://schemas.openxmlformats.org/officeDocument/2006/relationships/hyperlink" Target="mailto:gracielamaria_22@yahoo.com.ar" TargetMode="External"/><Relationship Id="rId462" Type="http://schemas.openxmlformats.org/officeDocument/2006/relationships/hyperlink" Target="mailto:malorenapalavecino@hotmail.com" TargetMode="External"/><Relationship Id="rId1092" Type="http://schemas.openxmlformats.org/officeDocument/2006/relationships/hyperlink" Target="mailto:arquibarradaniel@yahoo.com.ar" TargetMode="External"/><Relationship Id="rId1397" Type="http://schemas.openxmlformats.org/officeDocument/2006/relationships/hyperlink" Target="mailto:toralfredo@hotmail.com" TargetMode="External"/><Relationship Id="rId115" Type="http://schemas.openxmlformats.org/officeDocument/2006/relationships/hyperlink" Target="mailto:pumavaldez@hotmail.com" TargetMode="External"/><Relationship Id="rId322" Type="http://schemas.openxmlformats.org/officeDocument/2006/relationships/hyperlink" Target="mailto:estudiomp2000@yahoo.com.ar" TargetMode="External"/><Relationship Id="rId767" Type="http://schemas.openxmlformats.org/officeDocument/2006/relationships/hyperlink" Target="mailto:nadiaabad@live.com" TargetMode="External"/><Relationship Id="rId974" Type="http://schemas.openxmlformats.org/officeDocument/2006/relationships/hyperlink" Target="mailto:palermolucia28@gmail.com" TargetMode="External"/><Relationship Id="rId627" Type="http://schemas.openxmlformats.org/officeDocument/2006/relationships/hyperlink" Target="mailto:nadiaabad@live.com" TargetMode="External"/><Relationship Id="rId834" Type="http://schemas.openxmlformats.org/officeDocument/2006/relationships/hyperlink" Target="mailto:prensavirla@gmail.com" TargetMode="External"/><Relationship Id="rId1257" Type="http://schemas.openxmlformats.org/officeDocument/2006/relationships/hyperlink" Target="mailto:lau873@hotmail.com" TargetMode="External"/><Relationship Id="rId1464" Type="http://schemas.openxmlformats.org/officeDocument/2006/relationships/hyperlink" Target="mailto:paola.cassara09@gmail.com" TargetMode="External"/><Relationship Id="rId1671" Type="http://schemas.openxmlformats.org/officeDocument/2006/relationships/hyperlink" Target="mailto:mariaalavila@hotmail.com" TargetMode="External"/><Relationship Id="rId901" Type="http://schemas.openxmlformats.org/officeDocument/2006/relationships/hyperlink" Target="mailto:vcitor.orlans@hotmail.com" TargetMode="External"/><Relationship Id="rId1117" Type="http://schemas.openxmlformats.org/officeDocument/2006/relationships/hyperlink" Target="mailto:analuciaheredia25@gmail.com" TargetMode="External"/><Relationship Id="rId1324" Type="http://schemas.openxmlformats.org/officeDocument/2006/relationships/hyperlink" Target="mailto:d.d.unzapa@gmail.com" TargetMode="External"/><Relationship Id="rId1531" Type="http://schemas.openxmlformats.org/officeDocument/2006/relationships/hyperlink" Target="mailto:cecilia535@hotmail.com" TargetMode="External"/><Relationship Id="rId30" Type="http://schemas.openxmlformats.org/officeDocument/2006/relationships/hyperlink" Target="mailto:clau.oliva74@gmail.com" TargetMode="External"/><Relationship Id="rId1629" Type="http://schemas.openxmlformats.org/officeDocument/2006/relationships/hyperlink" Target="mailto:julioapas1402@gmail.com" TargetMode="External"/><Relationship Id="rId277" Type="http://schemas.openxmlformats.org/officeDocument/2006/relationships/hyperlink" Target="mailto:rudyk@fbqf.unt.edu.ar" TargetMode="External"/><Relationship Id="rId484" Type="http://schemas.openxmlformats.org/officeDocument/2006/relationships/hyperlink" Target="mailto:pilinperez@gmail.com" TargetMode="External"/><Relationship Id="rId137" Type="http://schemas.openxmlformats.org/officeDocument/2006/relationships/hyperlink" Target="mailto:s_zarate@hotmail.com" TargetMode="External"/><Relationship Id="rId344" Type="http://schemas.openxmlformats.org/officeDocument/2006/relationships/hyperlink" Target="mailto:marlu.zor@gmail.com" TargetMode="External"/><Relationship Id="rId691" Type="http://schemas.openxmlformats.org/officeDocument/2006/relationships/hyperlink" Target="mailto:nadiaabad@live.com" TargetMode="External"/><Relationship Id="rId789" Type="http://schemas.openxmlformats.org/officeDocument/2006/relationships/hyperlink" Target="mailto:nadiaabad@live.com" TargetMode="External"/><Relationship Id="rId996" Type="http://schemas.openxmlformats.org/officeDocument/2006/relationships/hyperlink" Target="mailto:raquellobo49@yahoo.com.ar" TargetMode="External"/><Relationship Id="rId551" Type="http://schemas.openxmlformats.org/officeDocument/2006/relationships/hyperlink" Target="mailto:nadiaabad@live.com" TargetMode="External"/><Relationship Id="rId649" Type="http://schemas.openxmlformats.org/officeDocument/2006/relationships/hyperlink" Target="mailto:nadiaabad@live.com" TargetMode="External"/><Relationship Id="rId856" Type="http://schemas.openxmlformats.org/officeDocument/2006/relationships/hyperlink" Target="mailto:ricamore18@hotmail.com" TargetMode="External"/><Relationship Id="rId1181" Type="http://schemas.openxmlformats.org/officeDocument/2006/relationships/hyperlink" Target="mailto:alita332@hotmail.com" TargetMode="External"/><Relationship Id="rId1279" Type="http://schemas.openxmlformats.org/officeDocument/2006/relationships/hyperlink" Target="mailto:haustein70@hotmail.com" TargetMode="External"/><Relationship Id="rId1486" Type="http://schemas.openxmlformats.org/officeDocument/2006/relationships/hyperlink" Target="mailto:elnacapp@hotmail.com" TargetMode="External"/><Relationship Id="rId204" Type="http://schemas.openxmlformats.org/officeDocument/2006/relationships/hyperlink" Target="mailto:ingrasn@yahoo.com.ar" TargetMode="External"/><Relationship Id="rId411" Type="http://schemas.openxmlformats.org/officeDocument/2006/relationships/hyperlink" Target="mailto:alfer@tucbbs.com.ar" TargetMode="External"/><Relationship Id="rId509" Type="http://schemas.openxmlformats.org/officeDocument/2006/relationships/hyperlink" Target="mailto:nadiaabad@live.com" TargetMode="External"/><Relationship Id="rId1041" Type="http://schemas.openxmlformats.org/officeDocument/2006/relationships/hyperlink" Target="mailto:javierlaredo28@hotmail.com" TargetMode="External"/><Relationship Id="rId1139" Type="http://schemas.openxmlformats.org/officeDocument/2006/relationships/hyperlink" Target="mailto:afel03@hotmail.com" TargetMode="External"/><Relationship Id="rId1346" Type="http://schemas.openxmlformats.org/officeDocument/2006/relationships/hyperlink" Target="mailto:rauleduardodelgado@gmail.com" TargetMode="External"/><Relationship Id="rId1693" Type="http://schemas.openxmlformats.org/officeDocument/2006/relationships/hyperlink" Target="mailto:bettylovey.32@gmail.com" TargetMode="External"/><Relationship Id="rId716" Type="http://schemas.openxmlformats.org/officeDocument/2006/relationships/hyperlink" Target="mailto:nadiaabad@live.com" TargetMode="External"/><Relationship Id="rId923" Type="http://schemas.openxmlformats.org/officeDocument/2006/relationships/hyperlink" Target="mailto:martinezsilviadelvalle@gmail.com" TargetMode="External"/><Relationship Id="rId1553" Type="http://schemas.openxmlformats.org/officeDocument/2006/relationships/hyperlink" Target="mailto:cabeno@csnat.unt.edu.ar" TargetMode="External"/><Relationship Id="rId52" Type="http://schemas.openxmlformats.org/officeDocument/2006/relationships/hyperlink" Target="mailto:adrivoso@hotmail.com" TargetMode="External"/><Relationship Id="rId1206" Type="http://schemas.openxmlformats.org/officeDocument/2006/relationships/hyperlink" Target="mailto:rgleser@gamil.com" TargetMode="External"/><Relationship Id="rId1413" Type="http://schemas.openxmlformats.org/officeDocument/2006/relationships/hyperlink" Target="mailto:anaco@csnat.unt.edu.ar" TargetMode="External"/><Relationship Id="rId1620" Type="http://schemas.openxmlformats.org/officeDocument/2006/relationships/hyperlink" Target="mailto:carce123@hotmail.com" TargetMode="External"/><Relationship Id="rId299" Type="http://schemas.openxmlformats.org/officeDocument/2006/relationships/hyperlink" Target="mailto:marcosvargas669@hotmail.com" TargetMode="External"/><Relationship Id="rId159" Type="http://schemas.openxmlformats.org/officeDocument/2006/relationships/hyperlink" Target="mailto:recorturr@hotmail.com" TargetMode="External"/><Relationship Id="rId366" Type="http://schemas.openxmlformats.org/officeDocument/2006/relationships/hyperlink" Target="mailto:sannapatricio@gmail.com" TargetMode="External"/><Relationship Id="rId573" Type="http://schemas.openxmlformats.org/officeDocument/2006/relationships/hyperlink" Target="mailto:nadiaabad@live.com" TargetMode="External"/><Relationship Id="rId780" Type="http://schemas.openxmlformats.org/officeDocument/2006/relationships/hyperlink" Target="mailto:nadiaabad@live.com" TargetMode="External"/><Relationship Id="rId226" Type="http://schemas.openxmlformats.org/officeDocument/2006/relationships/hyperlink" Target="mailto:maria_vaca65@hotmail.com" TargetMode="External"/><Relationship Id="rId433" Type="http://schemas.openxmlformats.org/officeDocument/2006/relationships/hyperlink" Target="mailto:mtrvblasco596@gmail.com" TargetMode="External"/><Relationship Id="rId878" Type="http://schemas.openxmlformats.org/officeDocument/2006/relationships/hyperlink" Target="mailto:teresitamendilaharzu@gmail.com" TargetMode="External"/><Relationship Id="rId1063" Type="http://schemas.openxmlformats.org/officeDocument/2006/relationships/hyperlink" Target="mailto:ajoya3@hotmail.com" TargetMode="External"/><Relationship Id="rId1270" Type="http://schemas.openxmlformats.org/officeDocument/2006/relationships/hyperlink" Target="mailto:arfigueroa@herrera.unt.edu.ar" TargetMode="External"/><Relationship Id="rId640" Type="http://schemas.openxmlformats.org/officeDocument/2006/relationships/hyperlink" Target="mailto:nadiaabad@live.com" TargetMode="External"/><Relationship Id="rId738" Type="http://schemas.openxmlformats.org/officeDocument/2006/relationships/hyperlink" Target="mailto:nadiaabad@live.com" TargetMode="External"/><Relationship Id="rId945" Type="http://schemas.openxmlformats.org/officeDocument/2006/relationships/hyperlink" Target="mailto:rbmanrique@hotmail.com" TargetMode="External"/><Relationship Id="rId1368" Type="http://schemas.openxmlformats.org/officeDocument/2006/relationships/hyperlink" Target="mailto:antitodavid@gmail.com" TargetMode="External"/><Relationship Id="rId1575" Type="http://schemas.openxmlformats.org/officeDocument/2006/relationships/hyperlink" Target="mailto:dgderuy@yahoo.com.ar" TargetMode="External"/><Relationship Id="rId74" Type="http://schemas.openxmlformats.org/officeDocument/2006/relationships/hyperlink" Target="mailto:noeriva@hotmail.com" TargetMode="External"/><Relationship Id="rId500" Type="http://schemas.openxmlformats.org/officeDocument/2006/relationships/hyperlink" Target="mailto:nadiaabad@live.com" TargetMode="External"/><Relationship Id="rId805" Type="http://schemas.openxmlformats.org/officeDocument/2006/relationships/hyperlink" Target="mailto:moni_helen55@hotmail.com" TargetMode="External"/><Relationship Id="rId1130" Type="http://schemas.openxmlformats.org/officeDocument/2006/relationships/hyperlink" Target="mailto:galiciadelvalle@yahoo.com.ar" TargetMode="External"/><Relationship Id="rId1228" Type="http://schemas.openxmlformats.org/officeDocument/2006/relationships/hyperlink" Target="mailto:angiegarciadelmoral@gmail.com" TargetMode="External"/><Relationship Id="rId1435" Type="http://schemas.openxmlformats.org/officeDocument/2006/relationships/hyperlink" Target="mailto:silvana_chaile@yahoo.com.ar" TargetMode="External"/><Relationship Id="rId1642" Type="http://schemas.openxmlformats.org/officeDocument/2006/relationships/hyperlink" Target="mailto:aalvillos@hotmail.com" TargetMode="External"/><Relationship Id="rId1502" Type="http://schemas.openxmlformats.org/officeDocument/2006/relationships/hyperlink" Target="mailto:icpc_pedagogia@yahoo.com.ar" TargetMode="External"/><Relationship Id="rId290" Type="http://schemas.openxmlformats.org/officeDocument/2006/relationships/hyperlink" Target="mailto:deec@herrera.unt.edu.ar" TargetMode="External"/><Relationship Id="rId388" Type="http://schemas.openxmlformats.org/officeDocument/2006/relationships/hyperlink" Target="mailto:diosa_6967@hotmail.com" TargetMode="External"/><Relationship Id="rId150" Type="http://schemas.openxmlformats.org/officeDocument/2006/relationships/hyperlink" Target="mailto:maserrano@rectorado.unt.edu.ar" TargetMode="External"/><Relationship Id="rId595" Type="http://schemas.openxmlformats.org/officeDocument/2006/relationships/hyperlink" Target="mailto:nadiaabad@live.com" TargetMode="External"/><Relationship Id="rId248" Type="http://schemas.openxmlformats.org/officeDocument/2006/relationships/hyperlink" Target="mailto:alrodriguez@eve.unt.edu.ar" TargetMode="External"/><Relationship Id="rId455" Type="http://schemas.openxmlformats.org/officeDocument/2006/relationships/hyperlink" Target="mailto:davidtoledo1982@hotmail.com" TargetMode="External"/><Relationship Id="rId662" Type="http://schemas.openxmlformats.org/officeDocument/2006/relationships/hyperlink" Target="mailto:nadiaabad@live.com" TargetMode="External"/><Relationship Id="rId1085" Type="http://schemas.openxmlformats.org/officeDocument/2006/relationships/hyperlink" Target="mailto:keniacervi&#241;o@hotmail.com" TargetMode="External"/><Relationship Id="rId1292" Type="http://schemas.openxmlformats.org/officeDocument/2006/relationships/hyperlink" Target="mailto:pfernandez@herrera.unt.edu.ar" TargetMode="External"/><Relationship Id="rId108" Type="http://schemas.openxmlformats.org/officeDocument/2006/relationships/hyperlink" Target="mailto:yoliva@uolsinecti.com.ar" TargetMode="External"/><Relationship Id="rId315" Type="http://schemas.openxmlformats.org/officeDocument/2006/relationships/hyperlink" Target="mailto:martintaddei@gmail.com" TargetMode="External"/><Relationship Id="rId522" Type="http://schemas.openxmlformats.org/officeDocument/2006/relationships/hyperlink" Target="mailto:nadiaabad@live.com" TargetMode="External"/><Relationship Id="rId967" Type="http://schemas.openxmlformats.org/officeDocument/2006/relationships/hyperlink" Target="mailto:juanmlopezmarquez@gmail.com" TargetMode="External"/><Relationship Id="rId1152" Type="http://schemas.openxmlformats.org/officeDocument/2006/relationships/hyperlink" Target="mailto:cecigraneros@gmail.com" TargetMode="External"/><Relationship Id="rId1597" Type="http://schemas.openxmlformats.org/officeDocument/2006/relationships/hyperlink" Target="mailto:serbenegas@hotmail.com" TargetMode="External"/><Relationship Id="rId96" Type="http://schemas.openxmlformats.org/officeDocument/2006/relationships/hyperlink" Target="mailto:despachoacademico@psicologia.unt.edu.ar" TargetMode="External"/><Relationship Id="rId827" Type="http://schemas.openxmlformats.org/officeDocument/2006/relationships/hyperlink" Target="mailto:gabrielnadal@live.com" TargetMode="External"/><Relationship Id="rId1012" Type="http://schemas.openxmlformats.org/officeDocument/2006/relationships/hyperlink" Target="mailto:adrianalettier@hotmail.com" TargetMode="External"/><Relationship Id="rId1457" Type="http://schemas.openxmlformats.org/officeDocument/2006/relationships/hyperlink" Target="mailto:luciacasta&#241;otuc@gmail.com" TargetMode="External"/><Relationship Id="rId1664" Type="http://schemas.openxmlformats.org/officeDocument/2006/relationships/hyperlink" Target="mailto:ludaniz@yahoo.com.ar" TargetMode="External"/><Relationship Id="rId1317" Type="http://schemas.openxmlformats.org/officeDocument/2006/relationships/hyperlink" Target="mailto:belen.egues@gmail.com" TargetMode="External"/><Relationship Id="rId1524" Type="http://schemas.openxmlformats.org/officeDocument/2006/relationships/hyperlink" Target="mailto:carlosbulacios76@gmail.com" TargetMode="External"/><Relationship Id="rId23" Type="http://schemas.openxmlformats.org/officeDocument/2006/relationships/hyperlink" Target="mailto:aortigoz@eue.unt.edu.ar" TargetMode="External"/><Relationship Id="rId172" Type="http://schemas.openxmlformats.org/officeDocument/2006/relationships/hyperlink" Target="mailto:gryalfaro@yahoo.com.ar" TargetMode="External"/><Relationship Id="rId477" Type="http://schemas.openxmlformats.org/officeDocument/2006/relationships/hyperlink" Target="mailto:mmariainestorres@gmail.com" TargetMode="External"/><Relationship Id="rId684" Type="http://schemas.openxmlformats.org/officeDocument/2006/relationships/hyperlink" Target="mailto:nadiaabad@live.com" TargetMode="External"/><Relationship Id="rId337" Type="http://schemas.openxmlformats.org/officeDocument/2006/relationships/hyperlink" Target="mailto:aimeeli.182@hotmail.com" TargetMode="External"/><Relationship Id="rId891" Type="http://schemas.openxmlformats.org/officeDocument/2006/relationships/hyperlink" Target="mailto:adrimed1503@live.com.ar" TargetMode="External"/><Relationship Id="rId989" Type="http://schemas.openxmlformats.org/officeDocument/2006/relationships/hyperlink" Target="mailto:jlisandrolopez@hotmail.com" TargetMode="External"/><Relationship Id="rId544" Type="http://schemas.openxmlformats.org/officeDocument/2006/relationships/hyperlink" Target="mailto:nadiaabad@live.com" TargetMode="External"/><Relationship Id="rId751" Type="http://schemas.openxmlformats.org/officeDocument/2006/relationships/hyperlink" Target="mailto:nadiaabad@live.com" TargetMode="External"/><Relationship Id="rId849" Type="http://schemas.openxmlformats.org/officeDocument/2006/relationships/hyperlink" Target="mailto:paquito128@hotmail.com" TargetMode="External"/><Relationship Id="rId1174" Type="http://schemas.openxmlformats.org/officeDocument/2006/relationships/hyperlink" Target="mailto:nhoquita@gmail.com.ar" TargetMode="External"/><Relationship Id="rId1381" Type="http://schemas.openxmlformats.org/officeDocument/2006/relationships/hyperlink" Target="mailto:costaspedro@yahoo.com.ar" TargetMode="External"/><Relationship Id="rId1479" Type="http://schemas.openxmlformats.org/officeDocument/2006/relationships/hyperlink" Target="mailto:mercedesjuarez@hotmail.com.es" TargetMode="External"/><Relationship Id="rId1686" Type="http://schemas.openxmlformats.org/officeDocument/2006/relationships/hyperlink" Target="mailto:rcpa@fbqf.unt.edu.ar" TargetMode="External"/><Relationship Id="rId404" Type="http://schemas.openxmlformats.org/officeDocument/2006/relationships/hyperlink" Target="mailto:inesribo@fbqf.unt.edu.ar" TargetMode="External"/><Relationship Id="rId611" Type="http://schemas.openxmlformats.org/officeDocument/2006/relationships/hyperlink" Target="mailto:nadiaabad@live.com" TargetMode="External"/><Relationship Id="rId1034" Type="http://schemas.openxmlformats.org/officeDocument/2006/relationships/hyperlink" Target="mailto:claudio.laredo@gmail.com" TargetMode="External"/><Relationship Id="rId1241" Type="http://schemas.openxmlformats.org/officeDocument/2006/relationships/hyperlink" Target="mailto:margafot@gmail.com" TargetMode="External"/><Relationship Id="rId1339" Type="http://schemas.openxmlformats.org/officeDocument/2006/relationships/hyperlink" Target="mailto:ingeadiaz@gmail.com" TargetMode="External"/><Relationship Id="rId709" Type="http://schemas.openxmlformats.org/officeDocument/2006/relationships/hyperlink" Target="mailto:nadiaabad@live.com" TargetMode="External"/><Relationship Id="rId916" Type="http://schemas.openxmlformats.org/officeDocument/2006/relationships/hyperlink" Target="mailto:cmarti@fm.unt.edu.ar" TargetMode="External"/><Relationship Id="rId1101" Type="http://schemas.openxmlformats.org/officeDocument/2006/relationships/hyperlink" Target="mailto:taniherrero@gmail.com" TargetMode="External"/><Relationship Id="rId1546" Type="http://schemas.openxmlformats.org/officeDocument/2006/relationships/hyperlink" Target="mailto:araceliblasco@gmail.com" TargetMode="External"/><Relationship Id="rId45" Type="http://schemas.openxmlformats.org/officeDocument/2006/relationships/hyperlink" Target="mailto:direccion@cine.unt.edu.ar" TargetMode="External"/><Relationship Id="rId1406" Type="http://schemas.openxmlformats.org/officeDocument/2006/relationships/hyperlink" Target="mailto:jufercon@hotmail.com" TargetMode="External"/><Relationship Id="rId1613" Type="http://schemas.openxmlformats.org/officeDocument/2006/relationships/hyperlink" Target="mailto:nildanoemiarias@gmail.com" TargetMode="External"/><Relationship Id="rId194" Type="http://schemas.openxmlformats.org/officeDocument/2006/relationships/hyperlink" Target="mailto:ptricia.a.rodriguez@hotmail.com" TargetMode="External"/><Relationship Id="rId261" Type="http://schemas.openxmlformats.org/officeDocument/2006/relationships/hyperlink" Target="mailto:angelasolohaga@hotmail.com" TargetMode="External"/><Relationship Id="rId499" Type="http://schemas.openxmlformats.org/officeDocument/2006/relationships/hyperlink" Target="mailto:nadiaabad@live.com" TargetMode="External"/><Relationship Id="rId359" Type="http://schemas.openxmlformats.org/officeDocument/2006/relationships/hyperlink" Target="mailto:dsebastianperez@hotmail.com" TargetMode="External"/><Relationship Id="rId566" Type="http://schemas.openxmlformats.org/officeDocument/2006/relationships/hyperlink" Target="mailto:nadiaabad@live.com" TargetMode="External"/><Relationship Id="rId773" Type="http://schemas.openxmlformats.org/officeDocument/2006/relationships/hyperlink" Target="mailto:nadiaabad@live.com" TargetMode="External"/><Relationship Id="rId1196" Type="http://schemas.openxmlformats.org/officeDocument/2006/relationships/hyperlink" Target="mailto:jorgelina_j@yahoo.com" TargetMode="External"/><Relationship Id="rId121" Type="http://schemas.openxmlformats.org/officeDocument/2006/relationships/hyperlink" Target="mailto:fabicop@yahho.com.ar" TargetMode="External"/><Relationship Id="rId219" Type="http://schemas.openxmlformats.org/officeDocument/2006/relationships/hyperlink" Target="mailto:nrobles@herrera.unt.edu.ar" TargetMode="External"/><Relationship Id="rId426" Type="http://schemas.openxmlformats.org/officeDocument/2006/relationships/hyperlink" Target="mailto:serranomarcelo2@hotmail.com" TargetMode="External"/><Relationship Id="rId633" Type="http://schemas.openxmlformats.org/officeDocument/2006/relationships/hyperlink" Target="mailto:nadiaabad@live.com" TargetMode="External"/><Relationship Id="rId980" Type="http://schemas.openxmlformats.org/officeDocument/2006/relationships/hyperlink" Target="mailto:alejandrolorefice@hotmail.com" TargetMode="External"/><Relationship Id="rId1056" Type="http://schemas.openxmlformats.org/officeDocument/2006/relationships/hyperlink" Target="mailto:sjuarez@rectorado.unt.edu.ar" TargetMode="External"/><Relationship Id="rId1263" Type="http://schemas.openxmlformats.org/officeDocument/2006/relationships/hyperlink" Target="mailto:cucuana2002@hotmail.com" TargetMode="External"/><Relationship Id="rId840" Type="http://schemas.openxmlformats.org/officeDocument/2006/relationships/hyperlink" Target="mailto:fmoron@herrera.unt.edu.ar" TargetMode="External"/><Relationship Id="rId938" Type="http://schemas.openxmlformats.org/officeDocument/2006/relationships/hyperlink" Target="mailto:pmarchisio@fbqf.unt.edu.ar" TargetMode="External"/><Relationship Id="rId1470" Type="http://schemas.openxmlformats.org/officeDocument/2006/relationships/hyperlink" Target="mailto:zunildacarrizo@yahoo.com.ar" TargetMode="External"/><Relationship Id="rId1568" Type="http://schemas.openxmlformats.org/officeDocument/2006/relationships/hyperlink" Target="mailto:johanabarrionuevo@gmail.com" TargetMode="External"/><Relationship Id="rId67" Type="http://schemas.openxmlformats.org/officeDocument/2006/relationships/hyperlink" Target="mailto:mica_90_12@hotmail.com" TargetMode="External"/><Relationship Id="rId700" Type="http://schemas.openxmlformats.org/officeDocument/2006/relationships/hyperlink" Target="mailto:nadiaabad@live.com" TargetMode="External"/><Relationship Id="rId1123" Type="http://schemas.openxmlformats.org/officeDocument/2006/relationships/hyperlink" Target="mailto:mlaurahael@gmail.com" TargetMode="External"/><Relationship Id="rId1330" Type="http://schemas.openxmlformats.org/officeDocument/2006/relationships/hyperlink" Target="mailto:becascomunic@gmail.com" TargetMode="External"/><Relationship Id="rId1428" Type="http://schemas.openxmlformats.org/officeDocument/2006/relationships/hyperlink" Target="mailto:nataliachazarreta13@gmail.com" TargetMode="External"/><Relationship Id="rId1635" Type="http://schemas.openxmlformats.org/officeDocument/2006/relationships/hyperlink" Target="mailto:cotyyantich@hotmail.com" TargetMode="External"/><Relationship Id="rId1702" Type="http://schemas.openxmlformats.org/officeDocument/2006/relationships/hyperlink" Target="mailto:arice56@hotmail.com" TargetMode="External"/><Relationship Id="rId283" Type="http://schemas.openxmlformats.org/officeDocument/2006/relationships/hyperlink" Target="mailto:elenrio05@yahoo.com" TargetMode="External"/><Relationship Id="rId490" Type="http://schemas.openxmlformats.org/officeDocument/2006/relationships/hyperlink" Target="mailto:nadiaabad@live.com" TargetMode="External"/><Relationship Id="rId143" Type="http://schemas.openxmlformats.org/officeDocument/2006/relationships/hyperlink" Target="mailto:lilianainesperez@hotmail.com" TargetMode="External"/><Relationship Id="rId350" Type="http://schemas.openxmlformats.org/officeDocument/2006/relationships/hyperlink" Target="mailto:jmzelarayan@hotmail.com" TargetMode="External"/><Relationship Id="rId588" Type="http://schemas.openxmlformats.org/officeDocument/2006/relationships/hyperlink" Target="mailto:nadiaabad@live.com" TargetMode="External"/><Relationship Id="rId795" Type="http://schemas.openxmlformats.org/officeDocument/2006/relationships/hyperlink" Target="mailto:nadiaabad@live.com" TargetMode="External"/><Relationship Id="rId9" Type="http://schemas.openxmlformats.org/officeDocument/2006/relationships/hyperlink" Target="mailto:velizca@hotmail.com" TargetMode="External"/><Relationship Id="rId210" Type="http://schemas.openxmlformats.org/officeDocument/2006/relationships/hyperlink" Target="mailto:powell.jaime@gmail.com" TargetMode="External"/><Relationship Id="rId448" Type="http://schemas.openxmlformats.org/officeDocument/2006/relationships/hyperlink" Target="mailto:claudiavazquez1911@gmail.com" TargetMode="External"/><Relationship Id="rId655" Type="http://schemas.openxmlformats.org/officeDocument/2006/relationships/hyperlink" Target="mailto:nadiaabad@live.com" TargetMode="External"/><Relationship Id="rId862" Type="http://schemas.openxmlformats.org/officeDocument/2006/relationships/hyperlink" Target="mailto:chechumonjes@hotmail.com" TargetMode="External"/><Relationship Id="rId1078" Type="http://schemas.openxmlformats.org/officeDocument/2006/relationships/hyperlink" Target="mailto:javierja@argentina.com" TargetMode="External"/><Relationship Id="rId1285" Type="http://schemas.openxmlformats.org/officeDocument/2006/relationships/hyperlink" Target="mailto:ailen_mf@hotmail.com" TargetMode="External"/><Relationship Id="rId1492" Type="http://schemas.openxmlformats.org/officeDocument/2006/relationships/hyperlink" Target="mailto:natyanizo0@hotmail.com" TargetMode="External"/><Relationship Id="rId308" Type="http://schemas.openxmlformats.org/officeDocument/2006/relationships/hyperlink" Target="mailto:patricia_saracco@hotmail.com" TargetMode="External"/><Relationship Id="rId515" Type="http://schemas.openxmlformats.org/officeDocument/2006/relationships/hyperlink" Target="mailto:nadiaabad@live.com" TargetMode="External"/><Relationship Id="rId722" Type="http://schemas.openxmlformats.org/officeDocument/2006/relationships/hyperlink" Target="mailto:nadiaabad@live.com" TargetMode="External"/><Relationship Id="rId1145" Type="http://schemas.openxmlformats.org/officeDocument/2006/relationships/hyperlink" Target="mailto:cargrau2009@hotmail.com" TargetMode="External"/><Relationship Id="rId1352" Type="http://schemas.openxmlformats.org/officeDocument/2006/relationships/hyperlink" Target="mailto:maje_60@hotmail.com" TargetMode="External"/><Relationship Id="rId89" Type="http://schemas.openxmlformats.org/officeDocument/2006/relationships/hyperlink" Target="mailto:alberto.serrato1@hotmail.com" TargetMode="External"/><Relationship Id="rId1005" Type="http://schemas.openxmlformats.org/officeDocument/2006/relationships/hyperlink" Target="mailto:fatimalezcano@yahoo.com.ar" TargetMode="External"/><Relationship Id="rId1212" Type="http://schemas.openxmlformats.org/officeDocument/2006/relationships/hyperlink" Target="mailto:julygarzon@yahoo.com.ar" TargetMode="External"/><Relationship Id="rId1657" Type="http://schemas.openxmlformats.org/officeDocument/2006/relationships/hyperlink" Target="mailto:a_norma_@hotmail.com" TargetMode="External"/><Relationship Id="rId1517" Type="http://schemas.openxmlformats.org/officeDocument/2006/relationships/hyperlink" Target="mailto:nuevoalberto@yahoo.com.ar" TargetMode="External"/><Relationship Id="rId16" Type="http://schemas.openxmlformats.org/officeDocument/2006/relationships/hyperlink" Target="mailto:mabelsalinas55@hotmail.com" TargetMode="External"/><Relationship Id="rId165" Type="http://schemas.openxmlformats.org/officeDocument/2006/relationships/hyperlink" Target="mailto:carolina.gor@gmail.com" TargetMode="External"/><Relationship Id="rId372" Type="http://schemas.openxmlformats.org/officeDocument/2006/relationships/hyperlink" Target="mailto:ruty_130@hotmail.com" TargetMode="External"/><Relationship Id="rId677" Type="http://schemas.openxmlformats.org/officeDocument/2006/relationships/hyperlink" Target="mailto:nadiaabad@live.com" TargetMode="External"/><Relationship Id="rId232" Type="http://schemas.openxmlformats.org/officeDocument/2006/relationships/hyperlink" Target="mailto:cj_rodri@yahoo.com.ar" TargetMode="External"/><Relationship Id="rId884" Type="http://schemas.openxmlformats.org/officeDocument/2006/relationships/hyperlink" Target="mailto:silviamendoza632@hotmail.com" TargetMode="External"/><Relationship Id="rId537" Type="http://schemas.openxmlformats.org/officeDocument/2006/relationships/hyperlink" Target="mailto:nadiaabad@live.com" TargetMode="External"/><Relationship Id="rId744" Type="http://schemas.openxmlformats.org/officeDocument/2006/relationships/hyperlink" Target="mailto:nadiaabad@live.com" TargetMode="External"/><Relationship Id="rId951" Type="http://schemas.openxmlformats.org/officeDocument/2006/relationships/hyperlink" Target="mailto:aa_maldonado@hotmail.com" TargetMode="External"/><Relationship Id="rId1167" Type="http://schemas.openxmlformats.org/officeDocument/2006/relationships/hyperlink" Target="mailto:gonzalez_alvaro88@hotmail.com" TargetMode="External"/><Relationship Id="rId1374" Type="http://schemas.openxmlformats.org/officeDocument/2006/relationships/hyperlink" Target="mailto:Sandra_cunio@hotmail.com" TargetMode="External"/><Relationship Id="rId1581" Type="http://schemas.openxmlformats.org/officeDocument/2006/relationships/hyperlink" Target="mailto:jbachur07@hotmail.com" TargetMode="External"/><Relationship Id="rId1679" Type="http://schemas.openxmlformats.org/officeDocument/2006/relationships/hyperlink" Target="mailto:andresajalla@hotmail.com" TargetMode="External"/><Relationship Id="rId80" Type="http://schemas.openxmlformats.org/officeDocument/2006/relationships/hyperlink" Target="mailto:liliana.pedraza@hotmail.com" TargetMode="External"/><Relationship Id="rId604" Type="http://schemas.openxmlformats.org/officeDocument/2006/relationships/hyperlink" Target="mailto:nadiaabad@live.com" TargetMode="External"/><Relationship Id="rId811" Type="http://schemas.openxmlformats.org/officeDocument/2006/relationships/hyperlink" Target="mailto:patricianieva@argentina.com" TargetMode="External"/><Relationship Id="rId1027" Type="http://schemas.openxmlformats.org/officeDocument/2006/relationships/hyperlink" Target="mailto:dojozen2002@hotmail.com" TargetMode="External"/><Relationship Id="rId1234" Type="http://schemas.openxmlformats.org/officeDocument/2006/relationships/hyperlink" Target="mailto:geoljuan@gmail.com" TargetMode="External"/><Relationship Id="rId1441" Type="http://schemas.openxmlformats.org/officeDocument/2006/relationships/hyperlink" Target="mailto:monicazon@hotmail.com" TargetMode="External"/><Relationship Id="rId909" Type="http://schemas.openxmlformats.org/officeDocument/2006/relationships/hyperlink" Target="mailto:maylore77@yahoo.com.ar" TargetMode="External"/><Relationship Id="rId1301" Type="http://schemas.openxmlformats.org/officeDocument/2006/relationships/hyperlink" Target="mailto:sebastianesper@yahoo.com.ar" TargetMode="External"/><Relationship Id="rId1539" Type="http://schemas.openxmlformats.org/officeDocument/2006/relationships/hyperlink" Target="mailto:martamariabotlini@gmail.com" TargetMode="External"/><Relationship Id="rId38" Type="http://schemas.openxmlformats.org/officeDocument/2006/relationships/hyperlink" Target="mailto:mariacristinatetta@hotmail.com" TargetMode="External"/><Relationship Id="rId1606" Type="http://schemas.openxmlformats.org/officeDocument/2006/relationships/hyperlink" Target="mailto:fearismendi@hotmail.com" TargetMode="External"/><Relationship Id="rId187" Type="http://schemas.openxmlformats.org/officeDocument/2006/relationships/hyperlink" Target="mailto:marcela.tolosa@hotmail.com" TargetMode="External"/><Relationship Id="rId394" Type="http://schemas.openxmlformats.org/officeDocument/2006/relationships/hyperlink" Target="mailto:monanni@fbqf.unt.edu.ar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eugeluz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10"/>
  <sheetViews>
    <sheetView workbookViewId="0"/>
  </sheetViews>
  <sheetFormatPr baseColWidth="10" defaultColWidth="11.42578125" defaultRowHeight="12.75"/>
  <cols>
    <col min="1" max="16384" width="11.42578125" style="27"/>
  </cols>
  <sheetData>
    <row r="1" spans="1:1" ht="15">
      <c r="A1" s="28"/>
    </row>
    <row r="2" spans="1:1" ht="15">
      <c r="A2" s="22"/>
    </row>
    <row r="3" spans="1:1" ht="15">
      <c r="A3" s="22"/>
    </row>
    <row r="4" spans="1:1" ht="15">
      <c r="A4" s="22"/>
    </row>
    <row r="5" spans="1:1" ht="15">
      <c r="A5" s="22"/>
    </row>
    <row r="6" spans="1:1" ht="15">
      <c r="A6" s="22"/>
    </row>
    <row r="7" spans="1:1" ht="15">
      <c r="A7" s="22"/>
    </row>
    <row r="8" spans="1:1" ht="15">
      <c r="A8" s="22"/>
    </row>
    <row r="9" spans="1:1" ht="15">
      <c r="A9" s="22"/>
    </row>
    <row r="10" spans="1:1" ht="15">
      <c r="A10" s="22"/>
    </row>
  </sheetData>
  <sortState ref="A2:A10">
    <sortCondition ref="A1"/>
  </sortState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E2:H22"/>
  <sheetViews>
    <sheetView showGridLines="0" tabSelected="1" workbookViewId="0">
      <selection activeCell="G9" sqref="G9"/>
    </sheetView>
  </sheetViews>
  <sheetFormatPr baseColWidth="10" defaultColWidth="11" defaultRowHeight="15"/>
  <cols>
    <col min="1" max="1" width="14" style="268" customWidth="1"/>
    <col min="2" max="4" width="11" style="268"/>
    <col min="5" max="5" width="30.85546875" style="268" customWidth="1"/>
    <col min="6" max="16384" width="11" style="268"/>
  </cols>
  <sheetData>
    <row r="2" spans="8:8" ht="1.5" customHeight="1"/>
    <row r="3" spans="8:8" hidden="1"/>
    <row r="4" spans="8:8" ht="81.75" customHeight="1"/>
    <row r="6" spans="8:8" ht="23.25">
      <c r="H6" s="269"/>
    </row>
    <row r="7" spans="8:8" ht="23.25">
      <c r="H7" s="269"/>
    </row>
    <row r="22" spans="5:5">
      <c r="E22" s="270"/>
    </row>
  </sheetData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8" r:id="rId3" name="btnFacultad">
          <controlPr defaultSize="0" altText="" r:id="rId4">
            <anchor moveWithCells="1">
              <from>
                <xdr:col>4</xdr:col>
                <xdr:colOff>266700</xdr:colOff>
                <xdr:row>11</xdr:row>
                <xdr:rowOff>66675</xdr:rowOff>
              </from>
              <to>
                <xdr:col>4</xdr:col>
                <xdr:colOff>1457325</xdr:colOff>
                <xdr:row>13</xdr:row>
                <xdr:rowOff>76200</xdr:rowOff>
              </to>
            </anchor>
          </controlPr>
        </control>
      </mc:Choice>
      <mc:Fallback>
        <control shapeId="1028" r:id="rId3" name="btnFacultad"/>
      </mc:Fallback>
    </mc:AlternateContent>
    <mc:AlternateContent xmlns:mc="http://schemas.openxmlformats.org/markup-compatibility/2006">
      <mc:Choice Requires="x14">
        <control shapeId="1027" r:id="rId5" name="btnConsulta">
          <controlPr defaultSize="0" altText="" r:id="rId6">
            <anchor moveWithCells="1">
              <from>
                <xdr:col>2</xdr:col>
                <xdr:colOff>304800</xdr:colOff>
                <xdr:row>11</xdr:row>
                <xdr:rowOff>66675</xdr:rowOff>
              </from>
              <to>
                <xdr:col>4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1027" r:id="rId5" name="btnConsulta"/>
      </mc:Fallback>
    </mc:AlternateContent>
    <mc:AlternateContent xmlns:mc="http://schemas.openxmlformats.org/markup-compatibility/2006">
      <mc:Choice Requires="x14">
        <control shapeId="1026" r:id="rId7" name="btnAsistencia">
          <controlPr defaultSize="0" altText="" r:id="rId8">
            <anchor moveWithCells="1">
              <from>
                <xdr:col>4</xdr:col>
                <xdr:colOff>266700</xdr:colOff>
                <xdr:row>6</xdr:row>
                <xdr:rowOff>28575</xdr:rowOff>
              </from>
              <to>
                <xdr:col>4</xdr:col>
                <xdr:colOff>1457325</xdr:colOff>
                <xdr:row>7</xdr:row>
                <xdr:rowOff>123825</xdr:rowOff>
              </to>
            </anchor>
          </controlPr>
        </control>
      </mc:Choice>
      <mc:Fallback>
        <control shapeId="1026" r:id="rId7" name="btnAsistencia"/>
      </mc:Fallback>
    </mc:AlternateContent>
    <mc:AlternateContent xmlns:mc="http://schemas.openxmlformats.org/markup-compatibility/2006">
      <mc:Choice Requires="x14">
        <control shapeId="1025" r:id="rId9" name="btnInscripcion">
          <controlPr defaultSize="0" altText="" r:id="rId10">
            <anchor moveWithCells="1">
              <from>
                <xdr:col>2</xdr:col>
                <xdr:colOff>295275</xdr:colOff>
                <xdr:row>6</xdr:row>
                <xdr:rowOff>19050</xdr:rowOff>
              </from>
              <to>
                <xdr:col>4</xdr:col>
                <xdr:colOff>19050</xdr:colOff>
                <xdr:row>7</xdr:row>
                <xdr:rowOff>142875</xdr:rowOff>
              </to>
            </anchor>
          </controlPr>
        </control>
      </mc:Choice>
      <mc:Fallback>
        <control shapeId="1025" r:id="rId9" name="btnInscripc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U2362"/>
  <sheetViews>
    <sheetView zoomScale="85" zoomScaleNormal="85" workbookViewId="0">
      <pane ySplit="1" topLeftCell="A2" activePane="bottomLeft" state="frozen"/>
      <selection activeCell="G1" sqref="G1"/>
      <selection pane="bottomLeft" activeCell="I2253" sqref="I2253"/>
    </sheetView>
  </sheetViews>
  <sheetFormatPr baseColWidth="10" defaultColWidth="11.42578125" defaultRowHeight="15"/>
  <cols>
    <col min="1" max="1" width="13.28515625" style="47" bestFit="1" customWidth="1"/>
    <col min="2" max="2" width="28.42578125" style="46" bestFit="1" customWidth="1"/>
    <col min="3" max="3" width="33.85546875" style="46" bestFit="1" customWidth="1"/>
    <col min="4" max="4" width="10.85546875" style="48" bestFit="1" customWidth="1"/>
    <col min="5" max="5" width="16.42578125" style="49" customWidth="1"/>
    <col min="6" max="6" width="26.42578125" style="50" bestFit="1" customWidth="1"/>
    <col min="7" max="7" width="24.28515625" style="51" bestFit="1" customWidth="1"/>
    <col min="8" max="8" width="51" style="52" customWidth="1"/>
    <col min="9" max="9" width="44.28515625" style="52" bestFit="1" customWidth="1"/>
    <col min="10" max="10" width="84.7109375" style="46" bestFit="1" customWidth="1"/>
    <col min="11" max="11" width="40.140625" style="46" bestFit="1" customWidth="1"/>
    <col min="12" max="12" width="27.7109375" style="46" bestFit="1" customWidth="1"/>
    <col min="13" max="13" width="63.7109375" style="52" bestFit="1" customWidth="1"/>
    <col min="14" max="14" width="31.42578125" style="46" bestFit="1" customWidth="1"/>
    <col min="15" max="15" width="19.5703125" style="46" bestFit="1" customWidth="1"/>
    <col min="16" max="16" width="51" style="46" bestFit="1" customWidth="1"/>
    <col min="17" max="17" width="19.85546875" style="46" bestFit="1" customWidth="1"/>
    <col min="18" max="19" width="18.140625" style="46" bestFit="1" customWidth="1"/>
    <col min="20" max="21" width="21.85546875" style="46" bestFit="1" customWidth="1"/>
    <col min="22" max="16384" width="11.42578125" style="46"/>
  </cols>
  <sheetData>
    <row r="1" spans="1:21">
      <c r="A1" s="40" t="s">
        <v>0</v>
      </c>
      <c r="B1" s="41" t="s">
        <v>1</v>
      </c>
      <c r="C1" s="41" t="s">
        <v>2</v>
      </c>
      <c r="D1" s="42" t="s">
        <v>3</v>
      </c>
      <c r="E1" s="43" t="s">
        <v>4</v>
      </c>
      <c r="F1" s="44" t="s">
        <v>5</v>
      </c>
      <c r="G1" s="41" t="s">
        <v>6</v>
      </c>
      <c r="H1" s="45" t="s">
        <v>7</v>
      </c>
      <c r="I1" s="41" t="s">
        <v>8</v>
      </c>
      <c r="J1" s="41" t="s">
        <v>9</v>
      </c>
      <c r="K1" s="41" t="s">
        <v>10</v>
      </c>
      <c r="L1" s="41" t="s">
        <v>11</v>
      </c>
      <c r="M1" s="45" t="s">
        <v>12</v>
      </c>
      <c r="N1" s="41" t="s">
        <v>13</v>
      </c>
      <c r="O1" s="41" t="s">
        <v>14</v>
      </c>
      <c r="P1" s="41" t="s">
        <v>15</v>
      </c>
      <c r="Q1" s="41" t="s">
        <v>16</v>
      </c>
      <c r="R1" s="41" t="s">
        <v>17</v>
      </c>
      <c r="S1" s="41" t="s">
        <v>18</v>
      </c>
      <c r="T1" s="41" t="s">
        <v>19</v>
      </c>
      <c r="U1" s="41" t="s">
        <v>20</v>
      </c>
    </row>
    <row r="2" spans="1:21">
      <c r="A2" s="47">
        <v>476737</v>
      </c>
      <c r="B2" s="46" t="s">
        <v>2231</v>
      </c>
      <c r="C2" s="52" t="s">
        <v>959</v>
      </c>
      <c r="D2" s="48">
        <v>16021</v>
      </c>
      <c r="E2" s="49">
        <f t="shared" ref="E2:E7" ca="1" si="0">IF(D2="","",YEARFRAC(D2,TODAY(),1))</f>
        <v>82.633812457221083</v>
      </c>
      <c r="F2" s="50">
        <v>154404709</v>
      </c>
      <c r="G2" s="51" t="s">
        <v>23</v>
      </c>
      <c r="I2" s="52" t="s">
        <v>3956</v>
      </c>
      <c r="J2" s="46" t="s">
        <v>3968</v>
      </c>
      <c r="M2" s="53" t="s">
        <v>3969</v>
      </c>
      <c r="N2" s="55">
        <v>4215375</v>
      </c>
      <c r="O2" s="55"/>
    </row>
    <row r="3" spans="1:21">
      <c r="A3" s="47">
        <v>1070804</v>
      </c>
      <c r="B3" s="46" t="s">
        <v>1283</v>
      </c>
      <c r="C3" s="52" t="s">
        <v>27</v>
      </c>
      <c r="D3" s="48">
        <v>19253</v>
      </c>
      <c r="E3" s="49">
        <f t="shared" ca="1" si="0"/>
        <v>73.784405344235964</v>
      </c>
      <c r="F3" s="50">
        <v>156813506</v>
      </c>
      <c r="G3" s="51" t="s">
        <v>23</v>
      </c>
      <c r="I3" s="59" t="s">
        <v>908</v>
      </c>
      <c r="J3" s="46" t="s">
        <v>1284</v>
      </c>
      <c r="M3" s="53" t="s">
        <v>1285</v>
      </c>
      <c r="N3" s="55">
        <v>4247752</v>
      </c>
      <c r="O3" s="55">
        <v>7065</v>
      </c>
    </row>
    <row r="4" spans="1:21">
      <c r="A4" s="60">
        <v>1231878</v>
      </c>
      <c r="B4" s="61" t="s">
        <v>2586</v>
      </c>
      <c r="C4" s="62" t="s">
        <v>2587</v>
      </c>
      <c r="D4" s="48">
        <v>21390</v>
      </c>
      <c r="E4" s="49">
        <f t="shared" ca="1" si="0"/>
        <v>67.934965478930252</v>
      </c>
      <c r="F4" s="63">
        <v>156406058</v>
      </c>
      <c r="G4" s="51" t="s">
        <v>23</v>
      </c>
      <c r="I4" s="59" t="s">
        <v>908</v>
      </c>
      <c r="J4" s="61" t="s">
        <v>2588</v>
      </c>
      <c r="K4" s="61"/>
      <c r="L4" s="61"/>
      <c r="M4" s="53" t="s">
        <v>2589</v>
      </c>
      <c r="N4" s="55"/>
      <c r="O4" s="55"/>
    </row>
    <row r="5" spans="1:21">
      <c r="A5" s="47">
        <v>2073625</v>
      </c>
      <c r="B5" s="46" t="s">
        <v>350</v>
      </c>
      <c r="C5" s="52" t="s">
        <v>2557</v>
      </c>
      <c r="E5" s="49" t="str">
        <f t="shared" ca="1" si="0"/>
        <v/>
      </c>
      <c r="F5" s="50">
        <v>155663957</v>
      </c>
      <c r="G5" s="51" t="s">
        <v>23</v>
      </c>
      <c r="I5" s="59" t="s">
        <v>908</v>
      </c>
      <c r="J5" s="46" t="s">
        <v>2558</v>
      </c>
      <c r="M5" s="53" t="s">
        <v>2559</v>
      </c>
      <c r="N5" s="55"/>
      <c r="O5" s="55"/>
    </row>
    <row r="6" spans="1:21">
      <c r="A6" s="47">
        <v>2498288</v>
      </c>
      <c r="B6" s="46" t="s">
        <v>293</v>
      </c>
      <c r="C6" s="46" t="s">
        <v>296</v>
      </c>
      <c r="D6" s="48">
        <v>28051</v>
      </c>
      <c r="E6" s="49">
        <f t="shared" ca="1" si="0"/>
        <v>49.696800515353232</v>
      </c>
      <c r="F6" s="50">
        <v>155758917</v>
      </c>
      <c r="G6" s="51" t="s">
        <v>86</v>
      </c>
      <c r="I6" s="52" t="s">
        <v>24</v>
      </c>
      <c r="J6" s="46" t="s">
        <v>297</v>
      </c>
      <c r="M6" s="53" t="s">
        <v>295</v>
      </c>
      <c r="N6" s="46" t="s">
        <v>298</v>
      </c>
    </row>
    <row r="7" spans="1:21">
      <c r="A7" s="47">
        <v>2506919</v>
      </c>
      <c r="B7" s="46" t="s">
        <v>842</v>
      </c>
      <c r="C7" s="46" t="s">
        <v>843</v>
      </c>
      <c r="D7" s="48" t="s">
        <v>52</v>
      </c>
      <c r="E7" s="49" t="str">
        <f t="shared" ca="1" si="0"/>
        <v/>
      </c>
      <c r="F7" s="151">
        <v>3815377781</v>
      </c>
      <c r="G7" s="51" t="s">
        <v>70</v>
      </c>
      <c r="H7" s="52" t="s">
        <v>833</v>
      </c>
      <c r="I7" s="52" t="s">
        <v>808</v>
      </c>
      <c r="J7" s="46" t="s">
        <v>52</v>
      </c>
      <c r="K7" s="46" t="s">
        <v>159</v>
      </c>
      <c r="L7" s="152">
        <v>0</v>
      </c>
      <c r="M7" s="52" t="s">
        <v>844</v>
      </c>
      <c r="N7" s="46" t="s">
        <v>52</v>
      </c>
      <c r="O7" s="152">
        <v>7189</v>
      </c>
      <c r="P7" s="46" t="s">
        <v>59</v>
      </c>
      <c r="Q7" s="46" t="s">
        <v>60</v>
      </c>
      <c r="R7" s="46" t="s">
        <v>61</v>
      </c>
      <c r="S7" s="46" t="s">
        <v>62</v>
      </c>
      <c r="T7" s="46" t="s">
        <v>12</v>
      </c>
      <c r="U7" s="46" t="s">
        <v>63</v>
      </c>
    </row>
    <row r="8" spans="1:21">
      <c r="A8" s="47">
        <v>2644616</v>
      </c>
      <c r="B8" s="46" t="s">
        <v>1538</v>
      </c>
      <c r="C8" s="46" t="s">
        <v>2675</v>
      </c>
      <c r="D8" s="48" t="s">
        <v>52</v>
      </c>
      <c r="E8" s="49" t="s">
        <v>52</v>
      </c>
      <c r="F8" s="50" t="s">
        <v>52</v>
      </c>
      <c r="G8" s="51" t="s">
        <v>52</v>
      </c>
      <c r="H8" s="52" t="s">
        <v>52</v>
      </c>
      <c r="I8" s="52" t="s">
        <v>24</v>
      </c>
      <c r="J8" s="46" t="s">
        <v>52</v>
      </c>
      <c r="K8" s="46" t="s">
        <v>52</v>
      </c>
      <c r="L8" s="46" t="s">
        <v>546</v>
      </c>
      <c r="M8" s="52" t="s">
        <v>9459</v>
      </c>
      <c r="N8" s="46" t="s">
        <v>52</v>
      </c>
      <c r="O8" s="46" t="s">
        <v>52</v>
      </c>
      <c r="P8" s="46" t="s">
        <v>59</v>
      </c>
      <c r="Q8" s="46" t="s">
        <v>60</v>
      </c>
      <c r="R8" s="46" t="s">
        <v>61</v>
      </c>
      <c r="S8" s="46" t="s">
        <v>62</v>
      </c>
      <c r="T8" s="46" t="s">
        <v>12</v>
      </c>
      <c r="U8" s="46" t="s">
        <v>63</v>
      </c>
    </row>
    <row r="9" spans="1:21">
      <c r="A9" s="47">
        <v>3724605</v>
      </c>
      <c r="B9" s="46" t="s">
        <v>6369</v>
      </c>
      <c r="C9" s="52" t="s">
        <v>783</v>
      </c>
      <c r="D9" s="48">
        <v>14019</v>
      </c>
      <c r="E9" s="49">
        <f t="shared" ref="E9:E72" ca="1" si="1">IF(D9="","",YEARFRAC(D9,TODAY(),1))</f>
        <v>88.11566739471499</v>
      </c>
      <c r="G9" s="51" t="s">
        <v>23</v>
      </c>
      <c r="I9" s="52" t="s">
        <v>23</v>
      </c>
      <c r="M9" s="58" t="s">
        <v>25</v>
      </c>
      <c r="N9" s="55"/>
      <c r="O9" s="55"/>
    </row>
    <row r="10" spans="1:21">
      <c r="A10" s="47">
        <v>4256432</v>
      </c>
      <c r="B10" s="46" t="s">
        <v>8793</v>
      </c>
      <c r="C10" s="52" t="s">
        <v>6194</v>
      </c>
      <c r="E10" s="49" t="str">
        <f t="shared" ca="1" si="1"/>
        <v/>
      </c>
      <c r="F10" s="50">
        <v>155194429</v>
      </c>
      <c r="G10" s="51" t="s">
        <v>23</v>
      </c>
      <c r="I10" s="52" t="s">
        <v>23</v>
      </c>
      <c r="M10" s="58" t="s">
        <v>25</v>
      </c>
      <c r="N10" s="55"/>
      <c r="O10" s="55"/>
    </row>
    <row r="11" spans="1:21">
      <c r="A11" s="47">
        <v>4284639</v>
      </c>
      <c r="B11" s="46" t="s">
        <v>5388</v>
      </c>
      <c r="C11" s="52" t="s">
        <v>3907</v>
      </c>
      <c r="D11" s="48">
        <v>18955</v>
      </c>
      <c r="E11" s="49">
        <f t="shared" ca="1" si="1"/>
        <v>74.600958247775495</v>
      </c>
      <c r="G11" s="51" t="s">
        <v>141</v>
      </c>
      <c r="I11" s="52" t="s">
        <v>5304</v>
      </c>
      <c r="J11" s="46" t="s">
        <v>2869</v>
      </c>
      <c r="M11" s="58" t="s">
        <v>25</v>
      </c>
      <c r="N11" s="55">
        <v>4107223</v>
      </c>
      <c r="O11" s="55"/>
    </row>
    <row r="12" spans="1:21">
      <c r="A12" s="47">
        <v>4433298</v>
      </c>
      <c r="B12" s="46" t="s">
        <v>4739</v>
      </c>
      <c r="C12" s="52" t="s">
        <v>4740</v>
      </c>
      <c r="E12" s="49" t="str">
        <f t="shared" ca="1" si="1"/>
        <v/>
      </c>
      <c r="F12" s="50">
        <v>154066762</v>
      </c>
      <c r="G12" s="51" t="s">
        <v>23</v>
      </c>
      <c r="I12" s="65" t="s">
        <v>4708</v>
      </c>
      <c r="J12" s="46" t="s">
        <v>4741</v>
      </c>
      <c r="M12" s="53" t="s">
        <v>4742</v>
      </c>
      <c r="N12" s="55"/>
      <c r="O12" s="55"/>
    </row>
    <row r="13" spans="1:21">
      <c r="A13" s="47">
        <v>4767556</v>
      </c>
      <c r="B13" s="46" t="s">
        <v>1798</v>
      </c>
      <c r="C13" s="52" t="s">
        <v>274</v>
      </c>
      <c r="D13" s="48">
        <v>16179</v>
      </c>
      <c r="E13" s="49">
        <f t="shared" ca="1" si="1"/>
        <v>82.200554162818307</v>
      </c>
      <c r="F13" s="50">
        <v>155433225</v>
      </c>
      <c r="G13" s="51" t="s">
        <v>23</v>
      </c>
      <c r="I13" s="52" t="s">
        <v>1657</v>
      </c>
      <c r="M13" s="53" t="s">
        <v>1799</v>
      </c>
      <c r="N13" s="55" t="s">
        <v>1800</v>
      </c>
      <c r="O13" s="55"/>
    </row>
    <row r="14" spans="1:21">
      <c r="A14" s="47">
        <v>4779912</v>
      </c>
      <c r="B14" s="46" t="s">
        <v>1018</v>
      </c>
      <c r="C14" s="52" t="s">
        <v>1019</v>
      </c>
      <c r="D14" s="48">
        <v>16329</v>
      </c>
      <c r="E14" s="49">
        <f t="shared" ca="1" si="1"/>
        <v>81.789879931389365</v>
      </c>
      <c r="G14" s="51" t="s">
        <v>70</v>
      </c>
      <c r="I14" s="59" t="s">
        <v>908</v>
      </c>
      <c r="J14" s="46" t="s">
        <v>762</v>
      </c>
      <c r="M14" s="53" t="s">
        <v>1020</v>
      </c>
      <c r="N14" s="55"/>
      <c r="O14" s="55"/>
    </row>
    <row r="15" spans="1:21">
      <c r="A15" s="47">
        <v>4998711</v>
      </c>
      <c r="B15" s="46" t="s">
        <v>6137</v>
      </c>
      <c r="C15" s="52" t="s">
        <v>6138</v>
      </c>
      <c r="E15" s="49" t="str">
        <f t="shared" ca="1" si="1"/>
        <v/>
      </c>
      <c r="F15" s="50">
        <v>154471989</v>
      </c>
      <c r="G15" s="51" t="s">
        <v>70</v>
      </c>
      <c r="I15" s="52" t="s">
        <v>23</v>
      </c>
      <c r="J15" s="46" t="s">
        <v>6139</v>
      </c>
      <c r="M15" s="53" t="s">
        <v>6140</v>
      </c>
      <c r="N15" s="55">
        <v>4226482</v>
      </c>
      <c r="O15" s="55"/>
    </row>
    <row r="16" spans="1:21">
      <c r="A16" s="47">
        <v>5072905</v>
      </c>
      <c r="B16" s="46" t="s">
        <v>1637</v>
      </c>
      <c r="C16" s="52" t="s">
        <v>6426</v>
      </c>
      <c r="D16" s="48">
        <v>16318</v>
      </c>
      <c r="E16" s="49">
        <f t="shared" ca="1" si="1"/>
        <v>81.819996041694154</v>
      </c>
      <c r="G16" s="51" t="s">
        <v>70</v>
      </c>
      <c r="I16" s="52" t="s">
        <v>23</v>
      </c>
      <c r="J16" s="46" t="s">
        <v>111</v>
      </c>
      <c r="M16" s="53" t="s">
        <v>6427</v>
      </c>
      <c r="N16" s="55">
        <v>4324997</v>
      </c>
      <c r="O16" s="55"/>
    </row>
    <row r="17" spans="1:15">
      <c r="A17" s="47">
        <v>5096960</v>
      </c>
      <c r="B17" s="46" t="s">
        <v>6075</v>
      </c>
      <c r="C17" s="52" t="s">
        <v>6076</v>
      </c>
      <c r="E17" s="49" t="str">
        <f t="shared" ca="1" si="1"/>
        <v/>
      </c>
      <c r="G17" s="51" t="s">
        <v>23</v>
      </c>
      <c r="I17" s="52" t="s">
        <v>23</v>
      </c>
      <c r="J17" s="46" t="s">
        <v>38</v>
      </c>
      <c r="M17" s="58" t="s">
        <v>25</v>
      </c>
      <c r="N17" s="55">
        <v>4107278</v>
      </c>
      <c r="O17" s="55"/>
    </row>
    <row r="18" spans="1:15">
      <c r="A18" s="47">
        <v>5148908</v>
      </c>
      <c r="B18" s="46" t="s">
        <v>4323</v>
      </c>
      <c r="C18" s="52" t="s">
        <v>922</v>
      </c>
      <c r="D18" s="48">
        <v>16725</v>
      </c>
      <c r="E18" s="49">
        <f t="shared" ca="1" si="1"/>
        <v>80.707712854757929</v>
      </c>
      <c r="F18" s="50">
        <v>156053916</v>
      </c>
      <c r="G18" s="51" t="s">
        <v>23</v>
      </c>
      <c r="I18" s="52" t="s">
        <v>4245</v>
      </c>
      <c r="J18" s="46" t="s">
        <v>417</v>
      </c>
      <c r="M18" s="58" t="s">
        <v>25</v>
      </c>
      <c r="N18" s="55"/>
      <c r="O18" s="55"/>
    </row>
    <row r="19" spans="1:15">
      <c r="A19" s="47">
        <v>5151017</v>
      </c>
      <c r="B19" s="46" t="s">
        <v>6227</v>
      </c>
      <c r="C19" s="52" t="s">
        <v>1748</v>
      </c>
      <c r="E19" s="49" t="str">
        <f t="shared" ca="1" si="1"/>
        <v/>
      </c>
      <c r="F19" s="50">
        <v>154793305</v>
      </c>
      <c r="G19" s="51" t="s">
        <v>23</v>
      </c>
      <c r="I19" s="52" t="s">
        <v>23</v>
      </c>
      <c r="J19" s="46" t="s">
        <v>6228</v>
      </c>
      <c r="M19" s="58" t="s">
        <v>25</v>
      </c>
      <c r="N19" s="55" t="s">
        <v>5926</v>
      </c>
      <c r="O19" s="55"/>
    </row>
    <row r="20" spans="1:15">
      <c r="A20" s="47">
        <v>5192175</v>
      </c>
      <c r="B20" s="46" t="s">
        <v>629</v>
      </c>
      <c r="C20" s="52" t="s">
        <v>427</v>
      </c>
      <c r="E20" s="49" t="str">
        <f t="shared" ca="1" si="1"/>
        <v/>
      </c>
      <c r="G20" s="51" t="s">
        <v>141</v>
      </c>
      <c r="I20" s="52" t="s">
        <v>1497</v>
      </c>
      <c r="J20" s="46" t="s">
        <v>1517</v>
      </c>
      <c r="M20" s="53" t="s">
        <v>1518</v>
      </c>
      <c r="N20" s="55">
        <v>4214464</v>
      </c>
      <c r="O20" s="55"/>
    </row>
    <row r="21" spans="1:15">
      <c r="A21" s="47">
        <v>5192178</v>
      </c>
      <c r="B21" s="46" t="s">
        <v>1519</v>
      </c>
      <c r="C21" s="52" t="s">
        <v>1520</v>
      </c>
      <c r="D21" s="48">
        <v>17057</v>
      </c>
      <c r="E21" s="49">
        <f t="shared" ca="1" si="1"/>
        <v>79.798073347980392</v>
      </c>
      <c r="G21" s="51" t="s">
        <v>23</v>
      </c>
      <c r="I21" s="52" t="s">
        <v>1497</v>
      </c>
      <c r="J21" s="46" t="s">
        <v>946</v>
      </c>
      <c r="M21" s="53" t="s">
        <v>1518</v>
      </c>
      <c r="N21" s="55">
        <v>4239456</v>
      </c>
      <c r="O21" s="55"/>
    </row>
    <row r="22" spans="1:15">
      <c r="A22" s="47">
        <v>5260641</v>
      </c>
      <c r="B22" s="46" t="s">
        <v>5529</v>
      </c>
      <c r="C22" s="52" t="s">
        <v>1681</v>
      </c>
      <c r="D22" s="48">
        <v>16961</v>
      </c>
      <c r="E22" s="49">
        <f t="shared" ca="1" si="1"/>
        <v>80.060909244549592</v>
      </c>
      <c r="F22" s="50">
        <v>155180094</v>
      </c>
      <c r="G22" s="51" t="s">
        <v>23</v>
      </c>
      <c r="I22" s="52" t="s">
        <v>5494</v>
      </c>
      <c r="J22" s="46" t="s">
        <v>5530</v>
      </c>
      <c r="M22" s="53" t="s">
        <v>5531</v>
      </c>
      <c r="N22" s="55" t="s">
        <v>5532</v>
      </c>
      <c r="O22" s="55"/>
    </row>
    <row r="23" spans="1:15">
      <c r="A23" s="47">
        <v>5335925</v>
      </c>
      <c r="B23" s="46" t="s">
        <v>730</v>
      </c>
      <c r="C23" s="52" t="s">
        <v>2176</v>
      </c>
      <c r="E23" s="49" t="str">
        <f t="shared" ca="1" si="1"/>
        <v/>
      </c>
      <c r="F23" s="50">
        <v>154779792</v>
      </c>
      <c r="G23" s="51" t="s">
        <v>23</v>
      </c>
      <c r="I23" s="52" t="s">
        <v>1881</v>
      </c>
      <c r="J23" s="46" t="s">
        <v>2177</v>
      </c>
      <c r="M23" s="58" t="s">
        <v>25</v>
      </c>
      <c r="N23" s="55">
        <v>4107577</v>
      </c>
      <c r="O23" s="55">
        <v>577</v>
      </c>
    </row>
    <row r="24" spans="1:15">
      <c r="A24" s="47">
        <v>5396119</v>
      </c>
      <c r="B24" s="46" t="s">
        <v>5085</v>
      </c>
      <c r="C24" s="52" t="s">
        <v>5086</v>
      </c>
      <c r="E24" s="49" t="str">
        <f t="shared" ca="1" si="1"/>
        <v/>
      </c>
      <c r="F24" s="50">
        <v>154762624</v>
      </c>
      <c r="G24" s="51" t="s">
        <v>23</v>
      </c>
      <c r="I24" s="65" t="s">
        <v>4954</v>
      </c>
      <c r="J24" s="46" t="s">
        <v>38</v>
      </c>
      <c r="M24" s="53" t="s">
        <v>5087</v>
      </c>
      <c r="N24" s="55">
        <v>4211388</v>
      </c>
      <c r="O24" s="55"/>
    </row>
    <row r="25" spans="1:15">
      <c r="A25" s="47">
        <v>5396878</v>
      </c>
      <c r="B25" s="46" t="s">
        <v>5425</v>
      </c>
      <c r="C25" s="52" t="s">
        <v>5019</v>
      </c>
      <c r="D25" s="48">
        <v>17683</v>
      </c>
      <c r="E25" s="49">
        <f t="shared" ca="1" si="1"/>
        <v>78.082827932767287</v>
      </c>
      <c r="F25" s="50">
        <v>155020631</v>
      </c>
      <c r="G25" s="51" t="s">
        <v>23</v>
      </c>
      <c r="I25" s="52" t="s">
        <v>23</v>
      </c>
      <c r="J25" s="46" t="s">
        <v>6402</v>
      </c>
      <c r="M25" s="53" t="s">
        <v>6403</v>
      </c>
      <c r="N25" s="55"/>
      <c r="O25" s="55"/>
    </row>
    <row r="26" spans="1:15">
      <c r="A26" s="47">
        <v>5398210</v>
      </c>
      <c r="B26" s="46" t="s">
        <v>5364</v>
      </c>
      <c r="C26" s="52" t="s">
        <v>5365</v>
      </c>
      <c r="D26" s="48">
        <v>17830</v>
      </c>
      <c r="E26" s="49">
        <f t="shared" ca="1" si="1"/>
        <v>77.680367354011437</v>
      </c>
      <c r="F26" s="50">
        <v>154745080</v>
      </c>
      <c r="G26" s="51" t="s">
        <v>23</v>
      </c>
      <c r="I26" s="52" t="s">
        <v>5304</v>
      </c>
      <c r="M26" s="53" t="s">
        <v>5366</v>
      </c>
      <c r="N26" s="55"/>
      <c r="O26" s="55"/>
    </row>
    <row r="27" spans="1:15">
      <c r="A27" s="47">
        <v>5468456</v>
      </c>
      <c r="B27" s="46" t="s">
        <v>144</v>
      </c>
      <c r="C27" s="52" t="s">
        <v>3433</v>
      </c>
      <c r="E27" s="49" t="str">
        <f t="shared" ca="1" si="1"/>
        <v/>
      </c>
      <c r="F27" s="50">
        <v>155267820</v>
      </c>
      <c r="G27" s="51" t="s">
        <v>70</v>
      </c>
      <c r="I27" s="52" t="s">
        <v>3427</v>
      </c>
      <c r="J27" s="46" t="s">
        <v>1030</v>
      </c>
      <c r="M27" s="53" t="s">
        <v>3434</v>
      </c>
      <c r="N27" s="55">
        <v>4310968</v>
      </c>
      <c r="O27" s="55"/>
    </row>
    <row r="28" spans="1:15">
      <c r="A28" s="47">
        <v>5576652</v>
      </c>
      <c r="B28" s="46" t="s">
        <v>918</v>
      </c>
      <c r="C28" s="52" t="s">
        <v>919</v>
      </c>
      <c r="E28" s="49" t="str">
        <f t="shared" ca="1" si="1"/>
        <v/>
      </c>
      <c r="F28" s="50">
        <v>155199295</v>
      </c>
      <c r="G28" s="51" t="s">
        <v>70</v>
      </c>
      <c r="I28" s="59" t="s">
        <v>908</v>
      </c>
      <c r="J28" s="46" t="s">
        <v>224</v>
      </c>
      <c r="M28" s="53" t="s">
        <v>920</v>
      </c>
      <c r="N28" s="55">
        <v>4311044</v>
      </c>
      <c r="O28" s="55"/>
    </row>
    <row r="29" spans="1:15">
      <c r="A29" s="66">
        <v>5576875</v>
      </c>
      <c r="B29" s="67" t="s">
        <v>371</v>
      </c>
      <c r="C29" s="52" t="s">
        <v>372</v>
      </c>
      <c r="E29" s="49" t="str">
        <f t="shared" ca="1" si="1"/>
        <v/>
      </c>
      <c r="F29" s="57">
        <v>3816825485</v>
      </c>
      <c r="G29" s="51" t="s">
        <v>23</v>
      </c>
      <c r="I29" s="52" t="s">
        <v>24</v>
      </c>
      <c r="M29" s="53" t="s">
        <v>373</v>
      </c>
      <c r="N29" s="55"/>
      <c r="O29" s="55"/>
    </row>
    <row r="30" spans="1:15">
      <c r="A30" s="47">
        <v>5665687</v>
      </c>
      <c r="B30" s="46" t="s">
        <v>8790</v>
      </c>
      <c r="C30" s="52" t="s">
        <v>2973</v>
      </c>
      <c r="D30" s="48">
        <v>17215</v>
      </c>
      <c r="E30" s="49">
        <f t="shared" ca="1" si="1"/>
        <v>79.364818617385353</v>
      </c>
      <c r="F30" s="50">
        <v>155306482</v>
      </c>
      <c r="G30" s="51" t="s">
        <v>23</v>
      </c>
      <c r="I30" s="52" t="s">
        <v>2926</v>
      </c>
      <c r="J30" s="46" t="s">
        <v>316</v>
      </c>
      <c r="M30" s="53" t="s">
        <v>2974</v>
      </c>
      <c r="N30" s="55"/>
      <c r="O30" s="55"/>
    </row>
    <row r="31" spans="1:15">
      <c r="A31" s="47">
        <v>5727022</v>
      </c>
      <c r="B31" s="46" t="s">
        <v>6445</v>
      </c>
      <c r="C31" s="52" t="s">
        <v>2184</v>
      </c>
      <c r="E31" s="49" t="str">
        <f t="shared" ca="1" si="1"/>
        <v/>
      </c>
      <c r="G31" s="51" t="s">
        <v>23</v>
      </c>
      <c r="I31" s="52" t="s">
        <v>23</v>
      </c>
      <c r="M31" s="58" t="s">
        <v>25</v>
      </c>
      <c r="N31" s="55"/>
      <c r="O31" s="55"/>
    </row>
    <row r="32" spans="1:15">
      <c r="A32" s="47">
        <v>5727424</v>
      </c>
      <c r="B32" s="46" t="s">
        <v>3557</v>
      </c>
      <c r="C32" s="52" t="s">
        <v>3558</v>
      </c>
      <c r="E32" s="49" t="str">
        <f t="shared" ca="1" si="1"/>
        <v/>
      </c>
      <c r="F32" s="50">
        <v>155179921</v>
      </c>
      <c r="G32" s="51" t="s">
        <v>70</v>
      </c>
      <c r="I32" s="52" t="s">
        <v>3555</v>
      </c>
      <c r="J32" s="46" t="s">
        <v>2300</v>
      </c>
      <c r="M32" s="53" t="s">
        <v>3559</v>
      </c>
      <c r="N32" s="55" t="s">
        <v>3560</v>
      </c>
      <c r="O32" s="55"/>
    </row>
    <row r="33" spans="1:15">
      <c r="A33" s="47">
        <v>5727588</v>
      </c>
      <c r="B33" s="46" t="s">
        <v>2259</v>
      </c>
      <c r="C33" s="52" t="s">
        <v>2260</v>
      </c>
      <c r="D33" s="48">
        <v>17509</v>
      </c>
      <c r="E33" s="49">
        <f t="shared" ca="1" si="1"/>
        <v>78.559890485968509</v>
      </c>
      <c r="G33" s="51" t="s">
        <v>23</v>
      </c>
      <c r="I33" s="52" t="s">
        <v>1881</v>
      </c>
      <c r="J33" s="46" t="s">
        <v>1284</v>
      </c>
      <c r="M33" s="53" t="s">
        <v>2261</v>
      </c>
      <c r="N33" s="55"/>
      <c r="O33" s="55"/>
    </row>
    <row r="34" spans="1:15">
      <c r="A34" s="47">
        <v>5727590</v>
      </c>
      <c r="B34" s="46" t="s">
        <v>1527</v>
      </c>
      <c r="C34" s="52" t="s">
        <v>922</v>
      </c>
      <c r="D34" s="48">
        <v>17548</v>
      </c>
      <c r="E34" s="49">
        <f t="shared" ca="1" si="1"/>
        <v>78.452434586726739</v>
      </c>
      <c r="F34" s="50">
        <v>155146899</v>
      </c>
      <c r="G34" s="51" t="s">
        <v>70</v>
      </c>
      <c r="I34" s="52" t="s">
        <v>1497</v>
      </c>
      <c r="J34" s="46" t="s">
        <v>668</v>
      </c>
      <c r="M34" s="58" t="s">
        <v>25</v>
      </c>
      <c r="N34" s="55">
        <v>4239456</v>
      </c>
      <c r="O34" s="55"/>
    </row>
    <row r="35" spans="1:15">
      <c r="A35" s="47">
        <v>5727594</v>
      </c>
      <c r="B35" s="46" t="s">
        <v>1135</v>
      </c>
      <c r="C35" s="52" t="s">
        <v>1136</v>
      </c>
      <c r="D35" s="48">
        <v>17533</v>
      </c>
      <c r="E35" s="49">
        <f t="shared" ca="1" si="1"/>
        <v>78.49350199272223</v>
      </c>
      <c r="F35" s="50">
        <v>154125008</v>
      </c>
      <c r="G35" s="51" t="s">
        <v>23</v>
      </c>
      <c r="I35" s="59" t="s">
        <v>908</v>
      </c>
      <c r="J35" s="46" t="s">
        <v>645</v>
      </c>
      <c r="M35" s="53" t="s">
        <v>1137</v>
      </c>
      <c r="N35" s="55"/>
      <c r="O35" s="55"/>
    </row>
    <row r="36" spans="1:15">
      <c r="A36" s="64">
        <v>5772320</v>
      </c>
      <c r="B36" s="61" t="s">
        <v>240</v>
      </c>
      <c r="C36" s="62" t="s">
        <v>241</v>
      </c>
      <c r="D36" s="48">
        <v>17507</v>
      </c>
      <c r="E36" s="49">
        <f t="shared" ca="1" si="1"/>
        <v>78.565366187542779</v>
      </c>
      <c r="F36" s="63">
        <v>154140471</v>
      </c>
      <c r="G36" s="51" t="s">
        <v>23</v>
      </c>
      <c r="I36" s="52" t="s">
        <v>24</v>
      </c>
      <c r="J36" s="61" t="s">
        <v>48</v>
      </c>
      <c r="K36" s="61"/>
      <c r="L36" s="61"/>
      <c r="M36" s="58" t="s">
        <v>25</v>
      </c>
      <c r="N36" s="55"/>
      <c r="O36" s="55"/>
    </row>
    <row r="37" spans="1:15">
      <c r="A37" s="47">
        <v>5779059</v>
      </c>
      <c r="B37" s="46" t="s">
        <v>1823</v>
      </c>
      <c r="C37" s="52" t="s">
        <v>6373</v>
      </c>
      <c r="D37" s="48">
        <v>17542</v>
      </c>
      <c r="E37" s="49">
        <f t="shared" ca="1" si="1"/>
        <v>78.468861549124938</v>
      </c>
      <c r="F37" s="50">
        <v>154163411</v>
      </c>
      <c r="G37" s="51" t="s">
        <v>23</v>
      </c>
      <c r="I37" s="52" t="s">
        <v>23</v>
      </c>
      <c r="M37" s="58" t="s">
        <v>25</v>
      </c>
      <c r="N37" s="55"/>
      <c r="O37" s="55"/>
    </row>
    <row r="38" spans="1:15">
      <c r="A38" s="47">
        <v>5951539</v>
      </c>
      <c r="B38" s="46" t="s">
        <v>5834</v>
      </c>
      <c r="C38" s="52" t="s">
        <v>5835</v>
      </c>
      <c r="D38" s="48">
        <v>17875</v>
      </c>
      <c r="E38" s="49">
        <f t="shared" ca="1" si="1"/>
        <v>77.557165136024949</v>
      </c>
      <c r="F38" s="50">
        <v>156038034</v>
      </c>
      <c r="G38" s="51" t="s">
        <v>23</v>
      </c>
      <c r="I38" s="52" t="s">
        <v>5826</v>
      </c>
      <c r="J38" s="46" t="s">
        <v>48</v>
      </c>
      <c r="M38" s="53" t="s">
        <v>5836</v>
      </c>
      <c r="N38" s="55"/>
      <c r="O38" s="55"/>
    </row>
    <row r="39" spans="1:15">
      <c r="A39" s="47">
        <v>5955870</v>
      </c>
      <c r="B39" s="46" t="s">
        <v>690</v>
      </c>
      <c r="C39" s="52" t="s">
        <v>832</v>
      </c>
      <c r="D39" s="48">
        <v>18187</v>
      </c>
      <c r="E39" s="49">
        <f t="shared" ca="1" si="1"/>
        <v>76.704973849555969</v>
      </c>
      <c r="G39" s="51" t="s">
        <v>23</v>
      </c>
      <c r="I39" s="52" t="s">
        <v>1881</v>
      </c>
      <c r="J39" s="55" t="s">
        <v>2080</v>
      </c>
      <c r="K39" s="55"/>
      <c r="L39" s="55"/>
      <c r="M39" s="58" t="s">
        <v>25</v>
      </c>
      <c r="N39" s="55"/>
      <c r="O39" s="55"/>
    </row>
    <row r="40" spans="1:15">
      <c r="A40" s="47">
        <v>5997121</v>
      </c>
      <c r="B40" s="46" t="s">
        <v>8783</v>
      </c>
      <c r="C40" s="52" t="s">
        <v>465</v>
      </c>
      <c r="E40" s="49" t="str">
        <f t="shared" ca="1" si="1"/>
        <v/>
      </c>
      <c r="F40" s="50">
        <v>4244485</v>
      </c>
      <c r="G40" s="51" t="s">
        <v>23</v>
      </c>
      <c r="I40" s="52" t="s">
        <v>594</v>
      </c>
      <c r="J40" s="55"/>
      <c r="K40" s="55"/>
      <c r="L40" s="55"/>
      <c r="M40" s="58" t="s">
        <v>25</v>
      </c>
      <c r="N40" s="55"/>
      <c r="O40" s="55"/>
    </row>
    <row r="41" spans="1:15">
      <c r="A41" s="47">
        <v>6039413</v>
      </c>
      <c r="B41" s="46" t="s">
        <v>6179</v>
      </c>
      <c r="C41" s="52" t="s">
        <v>6180</v>
      </c>
      <c r="D41" s="48">
        <v>17915</v>
      </c>
      <c r="E41" s="49">
        <f t="shared" ca="1" si="1"/>
        <v>77.449682333532252</v>
      </c>
      <c r="F41" s="50">
        <v>156782504</v>
      </c>
      <c r="G41" s="51" t="s">
        <v>23</v>
      </c>
      <c r="I41" s="52" t="s">
        <v>23</v>
      </c>
      <c r="M41" s="58" t="s">
        <v>25</v>
      </c>
      <c r="N41" s="55"/>
      <c r="O41" s="55"/>
    </row>
    <row r="42" spans="1:15">
      <c r="A42" s="47">
        <v>6048992</v>
      </c>
      <c r="B42" s="46" t="s">
        <v>347</v>
      </c>
      <c r="C42" s="46" t="s">
        <v>348</v>
      </c>
      <c r="E42" s="49" t="str">
        <f t="shared" ca="1" si="1"/>
        <v/>
      </c>
      <c r="F42" s="50">
        <v>15485186</v>
      </c>
      <c r="G42" s="51" t="s">
        <v>23</v>
      </c>
      <c r="I42" s="52" t="s">
        <v>24</v>
      </c>
      <c r="J42" s="46" t="s">
        <v>224</v>
      </c>
      <c r="M42" s="53" t="s">
        <v>349</v>
      </c>
    </row>
    <row r="43" spans="1:15">
      <c r="A43" s="47">
        <v>6054376</v>
      </c>
      <c r="B43" s="46" t="s">
        <v>4580</v>
      </c>
      <c r="C43" s="52" t="s">
        <v>116</v>
      </c>
      <c r="E43" s="49" t="str">
        <f t="shared" ca="1" si="1"/>
        <v/>
      </c>
      <c r="F43" s="50">
        <v>154016129</v>
      </c>
      <c r="G43" s="51" t="s">
        <v>23</v>
      </c>
      <c r="I43" s="52" t="s">
        <v>5494</v>
      </c>
      <c r="J43" s="46" t="s">
        <v>2869</v>
      </c>
      <c r="M43" s="58" t="s">
        <v>25</v>
      </c>
      <c r="N43" s="55">
        <v>4246942</v>
      </c>
      <c r="O43" s="55"/>
    </row>
    <row r="44" spans="1:15">
      <c r="A44" s="47">
        <v>6054524</v>
      </c>
      <c r="B44" s="46" t="s">
        <v>1509</v>
      </c>
      <c r="C44" s="52" t="s">
        <v>600</v>
      </c>
      <c r="D44" s="48">
        <v>18111</v>
      </c>
      <c r="E44" s="49">
        <f t="shared" ca="1" si="1"/>
        <v>76.913054161255232</v>
      </c>
      <c r="G44" s="51" t="s">
        <v>141</v>
      </c>
      <c r="I44" s="52" t="s">
        <v>1497</v>
      </c>
      <c r="J44" s="46" t="s">
        <v>1510</v>
      </c>
      <c r="M44" s="53" t="s">
        <v>1511</v>
      </c>
      <c r="N44" s="55">
        <v>4330633</v>
      </c>
      <c r="O44" s="55">
        <v>202</v>
      </c>
    </row>
    <row r="45" spans="1:15">
      <c r="A45" s="47">
        <v>6054612</v>
      </c>
      <c r="B45" s="46" t="s">
        <v>1823</v>
      </c>
      <c r="C45" s="52" t="s">
        <v>2256</v>
      </c>
      <c r="D45" s="48">
        <v>18117</v>
      </c>
      <c r="E45" s="49">
        <f t="shared" ca="1" si="1"/>
        <v>76.896626768226341</v>
      </c>
      <c r="F45" s="50">
        <v>155144501</v>
      </c>
      <c r="G45" s="51" t="s">
        <v>23</v>
      </c>
      <c r="I45" s="52" t="s">
        <v>1881</v>
      </c>
      <c r="J45" s="46" t="s">
        <v>2257</v>
      </c>
      <c r="M45" s="53" t="s">
        <v>2258</v>
      </c>
      <c r="N45" s="55">
        <v>4107589</v>
      </c>
      <c r="O45" s="55">
        <v>7589</v>
      </c>
    </row>
    <row r="46" spans="1:15">
      <c r="A46" s="47">
        <v>6054662</v>
      </c>
      <c r="B46" s="46" t="s">
        <v>6202</v>
      </c>
      <c r="C46" s="52" t="s">
        <v>6203</v>
      </c>
      <c r="D46" s="48">
        <v>18003</v>
      </c>
      <c r="E46" s="49">
        <f t="shared" ca="1" si="1"/>
        <v>77.20874723577522</v>
      </c>
      <c r="F46" s="50">
        <v>154386696</v>
      </c>
      <c r="G46" s="51" t="s">
        <v>23</v>
      </c>
      <c r="I46" s="52" t="s">
        <v>23</v>
      </c>
      <c r="J46" s="46" t="s">
        <v>470</v>
      </c>
      <c r="M46" s="53" t="s">
        <v>6204</v>
      </c>
      <c r="N46" s="55">
        <v>4247762</v>
      </c>
      <c r="O46" s="55"/>
    </row>
    <row r="47" spans="1:15">
      <c r="A47" s="47">
        <v>6133918</v>
      </c>
      <c r="B47" s="46" t="s">
        <v>2422</v>
      </c>
      <c r="C47" s="52" t="s">
        <v>1736</v>
      </c>
      <c r="D47" s="48">
        <v>18222</v>
      </c>
      <c r="E47" s="49">
        <f t="shared" ca="1" si="1"/>
        <v>76.609147390220798</v>
      </c>
      <c r="G47" s="51" t="s">
        <v>23</v>
      </c>
      <c r="I47" s="52" t="s">
        <v>3427</v>
      </c>
      <c r="J47" s="46" t="s">
        <v>316</v>
      </c>
      <c r="M47" s="53" t="s">
        <v>3464</v>
      </c>
      <c r="N47" s="55"/>
      <c r="O47" s="55"/>
    </row>
    <row r="48" spans="1:15">
      <c r="A48" s="47">
        <v>6147140</v>
      </c>
      <c r="B48" s="46" t="s">
        <v>3657</v>
      </c>
      <c r="C48" s="52" t="s">
        <v>4272</v>
      </c>
      <c r="E48" s="49" t="str">
        <f t="shared" ca="1" si="1"/>
        <v/>
      </c>
      <c r="G48" s="51" t="s">
        <v>70</v>
      </c>
      <c r="I48" s="52" t="s">
        <v>4245</v>
      </c>
      <c r="J48" s="46" t="s">
        <v>816</v>
      </c>
      <c r="M48" s="58" t="s">
        <v>25</v>
      </c>
      <c r="N48" s="55">
        <v>4217353</v>
      </c>
      <c r="O48" s="55"/>
    </row>
    <row r="49" spans="1:15">
      <c r="A49" s="47">
        <v>6147633</v>
      </c>
      <c r="B49" s="46" t="s">
        <v>300</v>
      </c>
      <c r="C49" s="46" t="s">
        <v>301</v>
      </c>
      <c r="D49" s="48">
        <v>17986</v>
      </c>
      <c r="E49" s="49">
        <f t="shared" ca="1" si="1"/>
        <v>77.255291516023732</v>
      </c>
      <c r="F49" s="50">
        <v>154148486</v>
      </c>
      <c r="G49" s="51" t="s">
        <v>23</v>
      </c>
      <c r="I49" s="52" t="s">
        <v>24</v>
      </c>
      <c r="J49" s="46" t="s">
        <v>302</v>
      </c>
      <c r="M49" s="53" t="s">
        <v>303</v>
      </c>
    </row>
    <row r="50" spans="1:15">
      <c r="A50" s="47">
        <v>6184002</v>
      </c>
      <c r="B50" s="46" t="s">
        <v>5429</v>
      </c>
      <c r="C50" s="52" t="s">
        <v>5430</v>
      </c>
      <c r="D50" s="48">
        <v>17257</v>
      </c>
      <c r="E50" s="49">
        <f t="shared" ca="1" si="1"/>
        <v>79.249828884325808</v>
      </c>
      <c r="G50" s="51" t="s">
        <v>23</v>
      </c>
      <c r="I50" s="52" t="s">
        <v>5304</v>
      </c>
      <c r="J50" s="46" t="s">
        <v>2874</v>
      </c>
      <c r="M50" s="58" t="s">
        <v>25</v>
      </c>
      <c r="N50" s="55"/>
      <c r="O50" s="55"/>
    </row>
    <row r="51" spans="1:15">
      <c r="A51" s="47">
        <v>6298688</v>
      </c>
      <c r="B51" s="46" t="s">
        <v>2138</v>
      </c>
      <c r="C51" s="52" t="s">
        <v>2139</v>
      </c>
      <c r="D51" s="48">
        <v>18645</v>
      </c>
      <c r="E51" s="49">
        <f t="shared" ca="1" si="1"/>
        <v>75.449691991786452</v>
      </c>
      <c r="G51" s="51" t="s">
        <v>23</v>
      </c>
      <c r="I51" s="52" t="s">
        <v>1881</v>
      </c>
      <c r="J51" s="46" t="s">
        <v>2140</v>
      </c>
      <c r="M51" s="53" t="s">
        <v>2141</v>
      </c>
      <c r="N51" s="55">
        <v>4364093</v>
      </c>
      <c r="O51" s="55">
        <v>7740</v>
      </c>
    </row>
    <row r="52" spans="1:15">
      <c r="A52" s="47">
        <v>6300617</v>
      </c>
      <c r="B52" s="46" t="s">
        <v>8797</v>
      </c>
      <c r="C52" s="52" t="s">
        <v>4037</v>
      </c>
      <c r="D52" s="48">
        <v>16482</v>
      </c>
      <c r="E52" s="49">
        <f t="shared" ca="1" si="1"/>
        <v>81.373021702838059</v>
      </c>
      <c r="F52" s="50">
        <v>154951115</v>
      </c>
      <c r="G52" s="51" t="s">
        <v>23</v>
      </c>
      <c r="I52" s="52" t="s">
        <v>3999</v>
      </c>
      <c r="J52" s="46" t="s">
        <v>4038</v>
      </c>
      <c r="M52" s="53" t="s">
        <v>4039</v>
      </c>
      <c r="N52" s="55"/>
      <c r="O52" s="55"/>
    </row>
    <row r="53" spans="1:15">
      <c r="A53" s="47">
        <v>6352626</v>
      </c>
      <c r="B53" s="46" t="s">
        <v>3603</v>
      </c>
      <c r="C53" s="52" t="s">
        <v>3604</v>
      </c>
      <c r="D53" s="48">
        <v>18588</v>
      </c>
      <c r="E53" s="49">
        <f t="shared" ca="1" si="1"/>
        <v>75.606421561655523</v>
      </c>
      <c r="F53" s="50">
        <v>156496761</v>
      </c>
      <c r="G53" s="51" t="s">
        <v>23</v>
      </c>
      <c r="I53" s="52" t="s">
        <v>3555</v>
      </c>
      <c r="M53" s="53" t="s">
        <v>3605</v>
      </c>
      <c r="N53" s="55"/>
      <c r="O53" s="55"/>
    </row>
    <row r="54" spans="1:15">
      <c r="A54" s="47">
        <v>6352635</v>
      </c>
      <c r="B54" s="46" t="s">
        <v>2036</v>
      </c>
      <c r="C54" s="52" t="s">
        <v>2037</v>
      </c>
      <c r="D54" s="48">
        <v>18259</v>
      </c>
      <c r="E54" s="49">
        <f t="shared" ca="1" si="1"/>
        <v>76.507845133209315</v>
      </c>
      <c r="F54" s="50">
        <v>155708204</v>
      </c>
      <c r="G54" s="51" t="s">
        <v>23</v>
      </c>
      <c r="I54" s="52" t="s">
        <v>1881</v>
      </c>
      <c r="J54" s="46" t="s">
        <v>1970</v>
      </c>
      <c r="M54" s="53" t="s">
        <v>2038</v>
      </c>
      <c r="N54" s="55"/>
      <c r="O54" s="55"/>
    </row>
    <row r="55" spans="1:15">
      <c r="A55" s="47">
        <v>6355444</v>
      </c>
      <c r="B55" s="46" t="s">
        <v>601</v>
      </c>
      <c r="C55" s="52" t="s">
        <v>1921</v>
      </c>
      <c r="D55" s="48">
        <v>18325</v>
      </c>
      <c r="E55" s="49">
        <f t="shared" ca="1" si="1"/>
        <v>76.326482719385581</v>
      </c>
      <c r="F55" s="50">
        <v>155717893</v>
      </c>
      <c r="G55" s="51" t="s">
        <v>23</v>
      </c>
      <c r="I55" s="52" t="s">
        <v>1881</v>
      </c>
      <c r="J55" s="55"/>
      <c r="K55" s="55"/>
      <c r="L55" s="55"/>
      <c r="M55" s="58" t="s">
        <v>25</v>
      </c>
      <c r="N55" s="55"/>
      <c r="O55" s="55"/>
    </row>
    <row r="56" spans="1:15">
      <c r="A56" s="47">
        <v>6437113</v>
      </c>
      <c r="B56" s="46" t="s">
        <v>2026</v>
      </c>
      <c r="C56" s="52" t="s">
        <v>4310</v>
      </c>
      <c r="D56" s="48">
        <v>18660</v>
      </c>
      <c r="E56" s="49">
        <f t="shared" ca="1" si="1"/>
        <v>75.408624229979466</v>
      </c>
      <c r="F56" s="50">
        <v>154739302</v>
      </c>
      <c r="G56" s="51" t="s">
        <v>23</v>
      </c>
      <c r="I56" s="52" t="s">
        <v>4245</v>
      </c>
      <c r="M56" s="53" t="s">
        <v>4311</v>
      </c>
      <c r="N56" s="55"/>
      <c r="O56" s="55"/>
    </row>
    <row r="57" spans="1:15">
      <c r="A57" s="47">
        <v>6468936</v>
      </c>
      <c r="B57" s="46" t="s">
        <v>144</v>
      </c>
      <c r="C57" s="52" t="s">
        <v>3433</v>
      </c>
      <c r="D57" s="48">
        <v>17422</v>
      </c>
      <c r="E57" s="49">
        <f t="shared" ca="1" si="1"/>
        <v>78.798083504449011</v>
      </c>
      <c r="F57" s="50">
        <v>155267820</v>
      </c>
      <c r="G57" s="51" t="s">
        <v>23</v>
      </c>
      <c r="I57" s="52" t="s">
        <v>4245</v>
      </c>
      <c r="J57" s="46" t="s">
        <v>1004</v>
      </c>
      <c r="M57" s="53" t="s">
        <v>3434</v>
      </c>
      <c r="N57" s="55"/>
      <c r="O57" s="55"/>
    </row>
    <row r="58" spans="1:15">
      <c r="A58" s="47">
        <v>6491025</v>
      </c>
      <c r="B58" s="46" t="s">
        <v>5049</v>
      </c>
      <c r="C58" s="52" t="s">
        <v>5050</v>
      </c>
      <c r="E58" s="49" t="str">
        <f t="shared" ca="1" si="1"/>
        <v/>
      </c>
      <c r="F58" s="50">
        <v>154140946</v>
      </c>
      <c r="G58" s="51" t="s">
        <v>23</v>
      </c>
      <c r="I58" s="65" t="s">
        <v>4954</v>
      </c>
      <c r="J58" s="46" t="s">
        <v>234</v>
      </c>
      <c r="M58" s="58" t="s">
        <v>25</v>
      </c>
      <c r="N58" s="55">
        <v>4975970</v>
      </c>
      <c r="O58" s="55"/>
    </row>
    <row r="59" spans="1:15">
      <c r="A59" s="47">
        <v>6546050</v>
      </c>
      <c r="B59" s="46" t="s">
        <v>4153</v>
      </c>
      <c r="C59" s="52" t="s">
        <v>4398</v>
      </c>
      <c r="D59" s="48">
        <v>18603</v>
      </c>
      <c r="E59" s="49">
        <f t="shared" ca="1" si="1"/>
        <v>75.56535343478879</v>
      </c>
      <c r="G59" s="51" t="s">
        <v>23</v>
      </c>
      <c r="I59" s="52" t="s">
        <v>4245</v>
      </c>
      <c r="J59" s="46" t="s">
        <v>800</v>
      </c>
      <c r="M59" s="53" t="s">
        <v>4399</v>
      </c>
      <c r="N59" s="55"/>
      <c r="O59" s="55"/>
    </row>
    <row r="60" spans="1:15">
      <c r="A60" s="47">
        <v>6558388</v>
      </c>
      <c r="B60" s="46" t="s">
        <v>6254</v>
      </c>
      <c r="C60" s="52" t="s">
        <v>6255</v>
      </c>
      <c r="D60" s="48">
        <v>18522</v>
      </c>
      <c r="E60" s="49">
        <f t="shared" ca="1" si="1"/>
        <v>75.787121319869144</v>
      </c>
      <c r="G60" s="51" t="s">
        <v>23</v>
      </c>
      <c r="I60" s="52" t="s">
        <v>23</v>
      </c>
      <c r="J60" s="46" t="s">
        <v>6256</v>
      </c>
      <c r="M60" s="53" t="s">
        <v>6257</v>
      </c>
      <c r="N60" s="55"/>
      <c r="O60" s="55"/>
    </row>
    <row r="61" spans="1:15">
      <c r="A61" s="47">
        <v>7072606</v>
      </c>
      <c r="B61" s="46" t="s">
        <v>240</v>
      </c>
      <c r="C61" s="52" t="s">
        <v>2062</v>
      </c>
      <c r="D61" s="48">
        <v>14328</v>
      </c>
      <c r="E61" s="49">
        <f t="shared" ca="1" si="1"/>
        <v>87.26899383983573</v>
      </c>
      <c r="F61" s="50">
        <v>154884133</v>
      </c>
      <c r="G61" s="51" t="s">
        <v>23</v>
      </c>
      <c r="I61" s="52" t="s">
        <v>1881</v>
      </c>
      <c r="J61" s="46" t="s">
        <v>2063</v>
      </c>
      <c r="M61" s="53" t="s">
        <v>2064</v>
      </c>
      <c r="N61" s="55">
        <v>4364093</v>
      </c>
      <c r="O61" s="55">
        <v>7791</v>
      </c>
    </row>
    <row r="62" spans="1:15">
      <c r="A62" s="47">
        <v>7628733</v>
      </c>
      <c r="B62" s="46" t="s">
        <v>1027</v>
      </c>
      <c r="C62" s="52" t="s">
        <v>27</v>
      </c>
      <c r="E62" s="49" t="str">
        <f t="shared" ca="1" si="1"/>
        <v/>
      </c>
      <c r="G62" s="51" t="s">
        <v>54</v>
      </c>
      <c r="I62" s="59" t="s">
        <v>908</v>
      </c>
      <c r="J62" s="46" t="s">
        <v>982</v>
      </c>
      <c r="M62" s="58" t="s">
        <v>25</v>
      </c>
      <c r="N62" s="55">
        <v>4247752</v>
      </c>
      <c r="O62" s="55">
        <v>7098</v>
      </c>
    </row>
    <row r="63" spans="1:15">
      <c r="A63" s="47">
        <v>7653009</v>
      </c>
      <c r="B63" s="46" t="s">
        <v>850</v>
      </c>
      <c r="C63" s="52" t="s">
        <v>365</v>
      </c>
      <c r="E63" s="49" t="str">
        <f t="shared" ca="1" si="1"/>
        <v/>
      </c>
      <c r="F63" s="50">
        <v>4364144</v>
      </c>
      <c r="G63" s="51" t="s">
        <v>23</v>
      </c>
      <c r="I63" s="52" t="s">
        <v>2778</v>
      </c>
      <c r="J63" s="55"/>
      <c r="K63" s="55"/>
      <c r="L63" s="55"/>
      <c r="M63" s="58" t="s">
        <v>25</v>
      </c>
      <c r="N63" s="55"/>
      <c r="O63" s="55"/>
    </row>
    <row r="64" spans="1:15">
      <c r="A64" s="47">
        <v>7797203</v>
      </c>
      <c r="B64" s="46" t="s">
        <v>1588</v>
      </c>
      <c r="C64" s="52" t="s">
        <v>1589</v>
      </c>
      <c r="D64" s="48">
        <v>18165</v>
      </c>
      <c r="E64" s="49">
        <f t="shared" ca="1" si="1"/>
        <v>76.765207623995224</v>
      </c>
      <c r="G64" s="51" t="s">
        <v>37</v>
      </c>
      <c r="I64" s="52" t="s">
        <v>1497</v>
      </c>
      <c r="J64" s="46" t="s">
        <v>1590</v>
      </c>
      <c r="M64" s="58" t="s">
        <v>25</v>
      </c>
      <c r="N64" s="55"/>
      <c r="O64" s="55"/>
    </row>
    <row r="65" spans="1:15">
      <c r="A65" s="47">
        <v>7838665</v>
      </c>
      <c r="B65" s="46" t="s">
        <v>685</v>
      </c>
      <c r="C65" s="52" t="s">
        <v>686</v>
      </c>
      <c r="D65" s="48">
        <v>18229</v>
      </c>
      <c r="E65" s="49">
        <f t="shared" ca="1" si="1"/>
        <v>76.589982098353758</v>
      </c>
      <c r="G65" s="51" t="s">
        <v>54</v>
      </c>
      <c r="I65" s="52" t="s">
        <v>594</v>
      </c>
      <c r="J65" s="46" t="s">
        <v>38</v>
      </c>
      <c r="M65" s="58" t="s">
        <v>25</v>
      </c>
      <c r="N65" s="55"/>
      <c r="O65" s="55"/>
    </row>
    <row r="66" spans="1:15">
      <c r="A66" s="47">
        <v>7884222</v>
      </c>
      <c r="B66" s="46" t="s">
        <v>2422</v>
      </c>
      <c r="C66" s="52" t="s">
        <v>3963</v>
      </c>
      <c r="D66" s="48">
        <v>18088</v>
      </c>
      <c r="E66" s="49">
        <f t="shared" ca="1" si="1"/>
        <v>76.976025834532635</v>
      </c>
      <c r="G66" s="51" t="s">
        <v>23</v>
      </c>
      <c r="I66" s="52" t="s">
        <v>3956</v>
      </c>
      <c r="M66" s="53" t="s">
        <v>3964</v>
      </c>
      <c r="N66" s="55">
        <v>4220629</v>
      </c>
      <c r="O66" s="55"/>
    </row>
    <row r="67" spans="1:15">
      <c r="A67" s="47">
        <v>7884825</v>
      </c>
      <c r="B67" s="46" t="s">
        <v>4615</v>
      </c>
      <c r="C67" s="52" t="s">
        <v>4616</v>
      </c>
      <c r="E67" s="49" t="str">
        <f t="shared" ca="1" si="1"/>
        <v/>
      </c>
      <c r="G67" s="51" t="s">
        <v>23</v>
      </c>
      <c r="I67" s="52" t="s">
        <v>4499</v>
      </c>
      <c r="M67" s="53" t="s">
        <v>4617</v>
      </c>
      <c r="N67" s="55"/>
      <c r="O67" s="55"/>
    </row>
    <row r="68" spans="1:15">
      <c r="A68" s="47">
        <v>7998101</v>
      </c>
      <c r="B68" s="46" t="s">
        <v>2119</v>
      </c>
      <c r="C68" s="52" t="s">
        <v>687</v>
      </c>
      <c r="D68" s="48">
        <v>17501</v>
      </c>
      <c r="E68" s="49">
        <f t="shared" ca="1" si="1"/>
        <v>78.581793292265573</v>
      </c>
      <c r="F68" s="50">
        <v>154792388</v>
      </c>
      <c r="G68" s="51" t="s">
        <v>23</v>
      </c>
      <c r="I68" s="52" t="s">
        <v>1881</v>
      </c>
      <c r="J68" s="46" t="s">
        <v>1970</v>
      </c>
      <c r="M68" s="53" t="s">
        <v>2120</v>
      </c>
      <c r="N68" s="55"/>
      <c r="O68" s="55"/>
    </row>
    <row r="69" spans="1:15">
      <c r="A69" s="47">
        <v>8004828</v>
      </c>
      <c r="B69" s="46" t="s">
        <v>1244</v>
      </c>
      <c r="C69" s="52" t="s">
        <v>1672</v>
      </c>
      <c r="D69" s="48">
        <v>18242</v>
      </c>
      <c r="E69" s="49">
        <f t="shared" ca="1" si="1"/>
        <v>76.554389413457827</v>
      </c>
      <c r="F69" s="50">
        <v>154443337</v>
      </c>
      <c r="G69" s="51" t="s">
        <v>23</v>
      </c>
      <c r="I69" s="52" t="s">
        <v>3166</v>
      </c>
      <c r="J69" s="46" t="s">
        <v>3272</v>
      </c>
      <c r="M69" s="53" t="s">
        <v>3273</v>
      </c>
      <c r="N69" s="55">
        <v>4006858</v>
      </c>
      <c r="O69" s="55">
        <v>55</v>
      </c>
    </row>
    <row r="70" spans="1:15">
      <c r="A70" s="47">
        <v>8056932</v>
      </c>
      <c r="B70" s="46" t="s">
        <v>1032</v>
      </c>
      <c r="C70" s="52" t="s">
        <v>153</v>
      </c>
      <c r="D70" s="48">
        <v>16818</v>
      </c>
      <c r="E70" s="49">
        <f t="shared" ca="1" si="1"/>
        <v>80.452425215480815</v>
      </c>
      <c r="G70" s="51" t="s">
        <v>23</v>
      </c>
      <c r="I70" s="52" t="s">
        <v>3166</v>
      </c>
      <c r="M70" s="58" t="s">
        <v>25</v>
      </c>
      <c r="N70" s="55">
        <v>4252697</v>
      </c>
      <c r="O70" s="55"/>
    </row>
    <row r="71" spans="1:15">
      <c r="A71" s="47">
        <v>8057007</v>
      </c>
      <c r="B71" s="46" t="s">
        <v>195</v>
      </c>
      <c r="C71" s="52" t="s">
        <v>198</v>
      </c>
      <c r="E71" s="49" t="str">
        <f t="shared" ca="1" si="1"/>
        <v/>
      </c>
      <c r="G71" s="51" t="s">
        <v>23</v>
      </c>
      <c r="I71" s="52" t="s">
        <v>24</v>
      </c>
      <c r="M71" s="58" t="s">
        <v>25</v>
      </c>
      <c r="N71" s="55"/>
      <c r="O71" s="55"/>
    </row>
    <row r="72" spans="1:15">
      <c r="A72" s="47">
        <v>8067474</v>
      </c>
      <c r="B72" s="69" t="s">
        <v>723</v>
      </c>
      <c r="C72" s="52" t="s">
        <v>6324</v>
      </c>
      <c r="D72" s="48">
        <v>17617</v>
      </c>
      <c r="E72" s="49">
        <f t="shared" ca="1" si="1"/>
        <v>78.263524519147467</v>
      </c>
      <c r="G72" s="51" t="s">
        <v>141</v>
      </c>
      <c r="I72" s="52" t="s">
        <v>23</v>
      </c>
      <c r="J72" s="46" t="s">
        <v>6325</v>
      </c>
      <c r="M72" s="53" t="s">
        <v>6326</v>
      </c>
      <c r="N72" s="55"/>
      <c r="O72" s="55"/>
    </row>
    <row r="73" spans="1:15">
      <c r="A73" s="47">
        <v>8084502</v>
      </c>
      <c r="B73" s="46" t="s">
        <v>4384</v>
      </c>
      <c r="C73" s="52" t="s">
        <v>4385</v>
      </c>
      <c r="E73" s="49" t="str">
        <f t="shared" ref="E73:E136" ca="1" si="2">IF(D73="","",YEARFRAC(D73,TODAY(),1))</f>
        <v/>
      </c>
      <c r="G73" s="51" t="s">
        <v>141</v>
      </c>
      <c r="I73" s="52" t="s">
        <v>4245</v>
      </c>
      <c r="J73" s="46" t="s">
        <v>4386</v>
      </c>
      <c r="M73" s="53" t="s">
        <v>4387</v>
      </c>
      <c r="N73" s="55" t="s">
        <v>4388</v>
      </c>
      <c r="O73" s="55"/>
    </row>
    <row r="74" spans="1:15">
      <c r="A74" s="47">
        <v>8089814</v>
      </c>
      <c r="B74" s="46" t="s">
        <v>3237</v>
      </c>
      <c r="C74" s="52" t="s">
        <v>3238</v>
      </c>
      <c r="D74" s="48">
        <v>16626</v>
      </c>
      <c r="E74" s="49">
        <f t="shared" ca="1" si="2"/>
        <v>80.978764607679466</v>
      </c>
      <c r="F74" s="50">
        <v>156044144</v>
      </c>
      <c r="G74" s="51" t="s">
        <v>23</v>
      </c>
      <c r="I74" s="52" t="s">
        <v>3166</v>
      </c>
      <c r="J74" s="46" t="s">
        <v>3239</v>
      </c>
      <c r="M74" s="53" t="s">
        <v>3240</v>
      </c>
      <c r="N74" s="55" t="s">
        <v>3241</v>
      </c>
      <c r="O74" s="55"/>
    </row>
    <row r="75" spans="1:15">
      <c r="A75" s="47">
        <v>8093179</v>
      </c>
      <c r="B75" s="46" t="s">
        <v>26</v>
      </c>
      <c r="C75" s="52" t="s">
        <v>27</v>
      </c>
      <c r="D75" s="48">
        <v>16870</v>
      </c>
      <c r="E75" s="49">
        <f t="shared" ca="1" si="2"/>
        <v>80.31005577150583</v>
      </c>
      <c r="F75" s="50">
        <v>155949837</v>
      </c>
      <c r="G75" s="51" t="s">
        <v>23</v>
      </c>
      <c r="I75" s="52" t="s">
        <v>24</v>
      </c>
      <c r="J75" s="46" t="s">
        <v>28</v>
      </c>
      <c r="M75" s="53" t="s">
        <v>29</v>
      </c>
      <c r="N75" s="55"/>
      <c r="O75" s="55"/>
    </row>
    <row r="76" spans="1:15">
      <c r="A76" s="47">
        <v>8285972</v>
      </c>
      <c r="B76" s="46" t="s">
        <v>2039</v>
      </c>
      <c r="C76" s="46" t="s">
        <v>2040</v>
      </c>
      <c r="E76" s="49" t="str">
        <f t="shared" ca="1" si="2"/>
        <v/>
      </c>
      <c r="F76" s="50">
        <v>156254890</v>
      </c>
      <c r="G76" s="51" t="s">
        <v>23</v>
      </c>
      <c r="I76" s="52" t="s">
        <v>1881</v>
      </c>
      <c r="M76" s="53" t="s">
        <v>2041</v>
      </c>
    </row>
    <row r="77" spans="1:15">
      <c r="A77" s="47">
        <v>8294143</v>
      </c>
      <c r="B77" s="46" t="s">
        <v>4364</v>
      </c>
      <c r="C77" s="52" t="s">
        <v>4365</v>
      </c>
      <c r="D77" s="48">
        <v>18469</v>
      </c>
      <c r="E77" s="49">
        <f t="shared" ca="1" si="2"/>
        <v>75.932228701464936</v>
      </c>
      <c r="F77" s="50">
        <v>155949514</v>
      </c>
      <c r="G77" s="51" t="s">
        <v>23</v>
      </c>
      <c r="I77" s="52" t="s">
        <v>4245</v>
      </c>
      <c r="J77" s="46" t="s">
        <v>4366</v>
      </c>
      <c r="M77" s="53" t="s">
        <v>4367</v>
      </c>
      <c r="N77" s="55"/>
      <c r="O77" s="55"/>
    </row>
    <row r="78" spans="1:15">
      <c r="A78" s="47">
        <v>8395767</v>
      </c>
      <c r="B78" s="46" t="s">
        <v>146</v>
      </c>
      <c r="C78" s="52" t="s">
        <v>1704</v>
      </c>
      <c r="D78" s="48">
        <v>18619</v>
      </c>
      <c r="E78" s="49">
        <f t="shared" ca="1" si="2"/>
        <v>75.521547432797604</v>
      </c>
      <c r="F78" s="50">
        <v>155245613</v>
      </c>
      <c r="G78" s="51" t="s">
        <v>23</v>
      </c>
      <c r="I78" s="52" t="s">
        <v>1657</v>
      </c>
      <c r="J78" s="46" t="s">
        <v>1030</v>
      </c>
      <c r="M78" s="53" t="s">
        <v>1705</v>
      </c>
      <c r="N78" s="55">
        <v>4107258</v>
      </c>
      <c r="O78" s="55">
        <v>7173</v>
      </c>
    </row>
    <row r="79" spans="1:15">
      <c r="A79" s="47">
        <v>8518876</v>
      </c>
      <c r="B79" s="46" t="s">
        <v>6247</v>
      </c>
      <c r="C79" s="52" t="s">
        <v>296</v>
      </c>
      <c r="D79" s="48">
        <v>18649</v>
      </c>
      <c r="E79" s="49">
        <f t="shared" ca="1" si="2"/>
        <v>75.438740588637913</v>
      </c>
      <c r="G79" s="51" t="s">
        <v>23</v>
      </c>
      <c r="I79" s="52" t="s">
        <v>23</v>
      </c>
      <c r="J79" s="46" t="s">
        <v>38</v>
      </c>
      <c r="M79" s="58" t="s">
        <v>25</v>
      </c>
      <c r="N79" s="55"/>
      <c r="O79" s="55"/>
    </row>
    <row r="80" spans="1:15">
      <c r="A80" s="47">
        <v>8564573</v>
      </c>
      <c r="B80" s="46" t="s">
        <v>364</v>
      </c>
      <c r="C80" s="52" t="s">
        <v>3254</v>
      </c>
      <c r="D80" s="48">
        <v>18772</v>
      </c>
      <c r="E80" s="49">
        <f t="shared" ca="1" si="2"/>
        <v>75.101984941820675</v>
      </c>
      <c r="G80" s="51" t="s">
        <v>23</v>
      </c>
      <c r="I80" s="52" t="s">
        <v>3166</v>
      </c>
      <c r="J80" s="46" t="s">
        <v>2089</v>
      </c>
      <c r="M80" s="58" t="s">
        <v>25</v>
      </c>
      <c r="N80" s="55"/>
      <c r="O80" s="55"/>
    </row>
    <row r="81" spans="1:15">
      <c r="A81" s="47">
        <v>10012417</v>
      </c>
      <c r="B81" s="46" t="s">
        <v>1126</v>
      </c>
      <c r="C81" s="52" t="s">
        <v>1127</v>
      </c>
      <c r="D81" s="48">
        <v>18949</v>
      </c>
      <c r="E81" s="49">
        <f t="shared" ca="1" si="2"/>
        <v>74.617385352498289</v>
      </c>
      <c r="F81" s="50">
        <v>155885146</v>
      </c>
      <c r="G81" s="51" t="s">
        <v>23</v>
      </c>
      <c r="I81" s="59" t="s">
        <v>908</v>
      </c>
      <c r="J81" s="46" t="s">
        <v>762</v>
      </c>
      <c r="M81" s="53" t="s">
        <v>1128</v>
      </c>
      <c r="N81" s="55">
        <v>4247752</v>
      </c>
      <c r="O81" s="55">
        <v>7099</v>
      </c>
    </row>
    <row r="82" spans="1:15">
      <c r="A82" s="47">
        <v>10012551</v>
      </c>
      <c r="B82" s="46" t="s">
        <v>327</v>
      </c>
      <c r="C82" s="52" t="s">
        <v>584</v>
      </c>
      <c r="E82" s="49" t="str">
        <f t="shared" ca="1" si="2"/>
        <v/>
      </c>
      <c r="G82" s="51" t="s">
        <v>37</v>
      </c>
      <c r="I82" s="52" t="s">
        <v>23</v>
      </c>
      <c r="J82" s="46" t="s">
        <v>6285</v>
      </c>
      <c r="M82" s="53" t="s">
        <v>6286</v>
      </c>
      <c r="N82" s="55" t="s">
        <v>6287</v>
      </c>
      <c r="O82" s="55"/>
    </row>
    <row r="83" spans="1:15">
      <c r="A83" s="47">
        <v>10012573</v>
      </c>
      <c r="B83" s="46" t="s">
        <v>218</v>
      </c>
      <c r="C83" s="52" t="s">
        <v>6150</v>
      </c>
      <c r="E83" s="49" t="str">
        <f t="shared" ca="1" si="2"/>
        <v/>
      </c>
      <c r="F83" s="50">
        <v>155078524</v>
      </c>
      <c r="G83" s="51" t="s">
        <v>23</v>
      </c>
      <c r="I83" s="52" t="s">
        <v>23</v>
      </c>
      <c r="M83" s="53" t="s">
        <v>6151</v>
      </c>
      <c r="N83" s="55"/>
      <c r="O83" s="55"/>
    </row>
    <row r="84" spans="1:15">
      <c r="A84" s="66">
        <v>10012689</v>
      </c>
      <c r="B84" s="67" t="s">
        <v>285</v>
      </c>
      <c r="C84" s="52" t="s">
        <v>286</v>
      </c>
      <c r="D84" s="48">
        <v>18826</v>
      </c>
      <c r="E84" s="49">
        <f t="shared" ca="1" si="2"/>
        <v>74.954140999315541</v>
      </c>
      <c r="F84" s="57"/>
      <c r="G84" s="51" t="s">
        <v>23</v>
      </c>
      <c r="I84" s="52" t="s">
        <v>24</v>
      </c>
      <c r="M84" s="58" t="s">
        <v>25</v>
      </c>
      <c r="N84" s="55"/>
      <c r="O84" s="55"/>
    </row>
    <row r="85" spans="1:15">
      <c r="A85" s="66">
        <v>10012924</v>
      </c>
      <c r="B85" s="67" t="s">
        <v>342</v>
      </c>
      <c r="C85" s="52" t="s">
        <v>343</v>
      </c>
      <c r="D85" s="48">
        <v>18745</v>
      </c>
      <c r="E85" s="49">
        <f t="shared" ca="1" si="2"/>
        <v>75.175906913073234</v>
      </c>
      <c r="F85" s="57">
        <v>3814471369</v>
      </c>
      <c r="G85" s="51" t="s">
        <v>23</v>
      </c>
      <c r="I85" s="52" t="s">
        <v>24</v>
      </c>
      <c r="M85" s="53" t="s">
        <v>344</v>
      </c>
      <c r="N85" s="55"/>
      <c r="O85" s="55"/>
    </row>
    <row r="86" spans="1:15">
      <c r="A86" s="47">
        <v>10013189</v>
      </c>
      <c r="B86" s="46" t="s">
        <v>595</v>
      </c>
      <c r="C86" s="46" t="s">
        <v>3644</v>
      </c>
      <c r="E86" s="49" t="str">
        <f t="shared" ca="1" si="2"/>
        <v/>
      </c>
      <c r="F86" s="50">
        <v>156315791</v>
      </c>
      <c r="G86" s="51" t="s">
        <v>23</v>
      </c>
      <c r="I86" s="52" t="s">
        <v>3630</v>
      </c>
      <c r="M86" s="53" t="s">
        <v>3645</v>
      </c>
    </row>
    <row r="87" spans="1:15">
      <c r="A87" s="47">
        <v>10016709</v>
      </c>
      <c r="B87" s="46" t="s">
        <v>1190</v>
      </c>
      <c r="C87" s="52" t="s">
        <v>2205</v>
      </c>
      <c r="D87" s="48">
        <v>18901</v>
      </c>
      <c r="E87" s="49">
        <f t="shared" ca="1" si="2"/>
        <v>74.748802190280628</v>
      </c>
      <c r="G87" s="51" t="s">
        <v>23</v>
      </c>
      <c r="I87" s="52" t="s">
        <v>1881</v>
      </c>
      <c r="J87" s="46" t="s">
        <v>2206</v>
      </c>
      <c r="M87" s="58" t="s">
        <v>25</v>
      </c>
      <c r="N87" s="55"/>
      <c r="O87" s="55"/>
    </row>
    <row r="88" spans="1:15">
      <c r="A88" s="47">
        <v>10125551</v>
      </c>
      <c r="B88" s="46" t="s">
        <v>327</v>
      </c>
      <c r="C88" s="52" t="s">
        <v>584</v>
      </c>
      <c r="D88" s="48">
        <v>19053</v>
      </c>
      <c r="E88" s="49">
        <f t="shared" ca="1" si="2"/>
        <v>74.33197050449003</v>
      </c>
      <c r="F88" s="50">
        <v>154777511</v>
      </c>
      <c r="G88" s="51" t="s">
        <v>23</v>
      </c>
      <c r="I88" s="52" t="s">
        <v>23</v>
      </c>
      <c r="J88" s="46" t="s">
        <v>38</v>
      </c>
      <c r="M88" s="58" t="s">
        <v>25</v>
      </c>
      <c r="N88" s="55">
        <v>4107283</v>
      </c>
      <c r="O88" s="55">
        <v>7283</v>
      </c>
    </row>
    <row r="89" spans="1:15">
      <c r="A89" s="60">
        <v>10178573</v>
      </c>
      <c r="B89" s="61" t="s">
        <v>2121</v>
      </c>
      <c r="C89" s="62" t="s">
        <v>5431</v>
      </c>
      <c r="E89" s="49" t="str">
        <f t="shared" ca="1" si="2"/>
        <v/>
      </c>
      <c r="F89" s="63">
        <v>154149875</v>
      </c>
      <c r="G89" s="51" t="s">
        <v>23</v>
      </c>
      <c r="I89" s="52" t="s">
        <v>23</v>
      </c>
      <c r="J89" s="61"/>
      <c r="K89" s="61"/>
      <c r="L89" s="61"/>
      <c r="M89" s="58" t="s">
        <v>25</v>
      </c>
      <c r="N89" s="55"/>
      <c r="O89" s="55"/>
    </row>
    <row r="90" spans="1:15">
      <c r="A90" s="47">
        <v>10218763</v>
      </c>
      <c r="B90" s="46" t="s">
        <v>428</v>
      </c>
      <c r="C90" s="52" t="s">
        <v>6349</v>
      </c>
      <c r="D90" s="48">
        <v>19049</v>
      </c>
      <c r="E90" s="49">
        <f t="shared" ca="1" si="2"/>
        <v>74.34292180769512</v>
      </c>
      <c r="F90" s="50">
        <v>155365533</v>
      </c>
      <c r="G90" s="51" t="s">
        <v>23</v>
      </c>
      <c r="I90" s="52" t="s">
        <v>23</v>
      </c>
      <c r="J90" s="46" t="s">
        <v>6350</v>
      </c>
      <c r="M90" s="53" t="s">
        <v>6351</v>
      </c>
      <c r="N90" s="55"/>
      <c r="O90" s="55"/>
    </row>
    <row r="91" spans="1:15">
      <c r="A91" s="47">
        <v>10219536</v>
      </c>
      <c r="B91" s="46" t="s">
        <v>2939</v>
      </c>
      <c r="C91" s="52" t="s">
        <v>2184</v>
      </c>
      <c r="D91" s="48">
        <v>18983</v>
      </c>
      <c r="E91" s="49">
        <f t="shared" ca="1" si="2"/>
        <v>74.524298425735793</v>
      </c>
      <c r="F91" s="50">
        <v>154120712</v>
      </c>
      <c r="G91" s="51" t="s">
        <v>70</v>
      </c>
      <c r="I91" s="52" t="s">
        <v>2926</v>
      </c>
      <c r="M91" s="53" t="s">
        <v>2940</v>
      </c>
      <c r="N91" s="55"/>
      <c r="O91" s="55"/>
    </row>
    <row r="92" spans="1:15">
      <c r="A92" s="47">
        <v>10219547</v>
      </c>
      <c r="B92" s="46" t="s">
        <v>1194</v>
      </c>
      <c r="C92" s="46" t="s">
        <v>1191</v>
      </c>
      <c r="E92" s="49" t="str">
        <f t="shared" ca="1" si="2"/>
        <v/>
      </c>
      <c r="F92" s="50">
        <v>155756022</v>
      </c>
      <c r="G92" s="51" t="s">
        <v>23</v>
      </c>
      <c r="I92" s="59" t="s">
        <v>908</v>
      </c>
      <c r="J92" s="46" t="s">
        <v>224</v>
      </c>
      <c r="M92" s="58" t="s">
        <v>25</v>
      </c>
      <c r="O92" s="46">
        <v>7062</v>
      </c>
    </row>
    <row r="93" spans="1:15">
      <c r="A93" s="47">
        <v>10219959</v>
      </c>
      <c r="B93" s="46" t="s">
        <v>1291</v>
      </c>
      <c r="C93" s="46" t="s">
        <v>1292</v>
      </c>
      <c r="D93" s="48">
        <v>19097</v>
      </c>
      <c r="E93" s="49">
        <f t="shared" ca="1" si="2"/>
        <v>74.211506169234141</v>
      </c>
      <c r="F93" s="50">
        <v>154181215</v>
      </c>
      <c r="G93" s="51" t="s">
        <v>23</v>
      </c>
      <c r="I93" s="59" t="s">
        <v>908</v>
      </c>
      <c r="J93" s="46" t="s">
        <v>1293</v>
      </c>
      <c r="M93" s="53" t="s">
        <v>1294</v>
      </c>
      <c r="N93" s="46">
        <v>4247752</v>
      </c>
      <c r="O93" s="46">
        <v>7015</v>
      </c>
    </row>
    <row r="94" spans="1:15">
      <c r="A94" s="47">
        <v>10220069</v>
      </c>
      <c r="B94" s="46" t="s">
        <v>994</v>
      </c>
      <c r="C94" s="52" t="s">
        <v>365</v>
      </c>
      <c r="D94" s="48">
        <v>19261</v>
      </c>
      <c r="E94" s="49">
        <f t="shared" ca="1" si="2"/>
        <v>73.762502737825798</v>
      </c>
      <c r="F94" s="50">
        <v>155119047</v>
      </c>
      <c r="G94" s="51" t="s">
        <v>23</v>
      </c>
      <c r="I94" s="59" t="s">
        <v>908</v>
      </c>
      <c r="J94" s="46" t="s">
        <v>995</v>
      </c>
      <c r="M94" s="58" t="s">
        <v>25</v>
      </c>
      <c r="N94" s="55">
        <v>4247752</v>
      </c>
      <c r="O94" s="55">
        <v>7069</v>
      </c>
    </row>
    <row r="95" spans="1:15">
      <c r="A95" s="47">
        <v>10220216</v>
      </c>
      <c r="B95" s="46" t="s">
        <v>1216</v>
      </c>
      <c r="C95" s="52" t="s">
        <v>2244</v>
      </c>
      <c r="D95" s="48">
        <v>18792</v>
      </c>
      <c r="E95" s="49">
        <f t="shared" ca="1" si="2"/>
        <v>75.047227926078023</v>
      </c>
      <c r="F95" s="50">
        <v>154572571</v>
      </c>
      <c r="G95" s="51" t="s">
        <v>70</v>
      </c>
      <c r="I95" s="52" t="s">
        <v>2926</v>
      </c>
      <c r="M95" s="58" t="s">
        <v>25</v>
      </c>
      <c r="N95" s="55"/>
      <c r="O95" s="55"/>
    </row>
    <row r="96" spans="1:15">
      <c r="A96" s="47">
        <v>10220323</v>
      </c>
      <c r="B96" s="46" t="s">
        <v>3651</v>
      </c>
      <c r="C96" s="52" t="s">
        <v>3652</v>
      </c>
      <c r="D96" s="48">
        <v>19105</v>
      </c>
      <c r="E96" s="49">
        <f t="shared" ca="1" si="2"/>
        <v>74.189603562823976</v>
      </c>
      <c r="F96" s="50">
        <v>156421093</v>
      </c>
      <c r="G96" s="51" t="s">
        <v>23</v>
      </c>
      <c r="I96" s="52" t="s">
        <v>3630</v>
      </c>
      <c r="J96" s="46" t="s">
        <v>3653</v>
      </c>
      <c r="M96" s="53" t="s">
        <v>3654</v>
      </c>
      <c r="N96" s="55">
        <v>4222143</v>
      </c>
      <c r="O96" s="55">
        <v>7447</v>
      </c>
    </row>
    <row r="97" spans="1:15">
      <c r="A97" s="47">
        <v>10220816</v>
      </c>
      <c r="B97" s="46" t="s">
        <v>5846</v>
      </c>
      <c r="C97" s="52" t="s">
        <v>5847</v>
      </c>
      <c r="D97" s="48">
        <v>19193</v>
      </c>
      <c r="E97" s="49">
        <f t="shared" ca="1" si="2"/>
        <v>73.948674892312184</v>
      </c>
      <c r="F97" s="50">
        <v>155517249</v>
      </c>
      <c r="G97" s="51" t="s">
        <v>23</v>
      </c>
      <c r="I97" s="52" t="s">
        <v>5826</v>
      </c>
      <c r="M97" s="53" t="s">
        <v>5848</v>
      </c>
      <c r="N97" s="55"/>
      <c r="O97" s="55"/>
    </row>
    <row r="98" spans="1:15">
      <c r="A98" s="47">
        <v>10221705</v>
      </c>
      <c r="B98" s="46" t="s">
        <v>226</v>
      </c>
      <c r="C98" s="46" t="s">
        <v>2052</v>
      </c>
      <c r="D98" s="48">
        <v>19656</v>
      </c>
      <c r="E98" s="49">
        <f t="shared" ca="1" si="2"/>
        <v>72.683069409501257</v>
      </c>
      <c r="F98" s="50">
        <v>155431676</v>
      </c>
      <c r="G98" s="51" t="s">
        <v>352</v>
      </c>
      <c r="I98" s="52" t="s">
        <v>1881</v>
      </c>
      <c r="M98" s="58" t="s">
        <v>25</v>
      </c>
      <c r="N98" s="46">
        <v>4364093</v>
      </c>
      <c r="O98" s="46">
        <v>7751</v>
      </c>
    </row>
    <row r="99" spans="1:15">
      <c r="A99" s="47">
        <v>10349270</v>
      </c>
      <c r="B99" s="46" t="s">
        <v>5536</v>
      </c>
      <c r="C99" s="52" t="s">
        <v>5537</v>
      </c>
      <c r="E99" s="49" t="str">
        <f t="shared" ca="1" si="2"/>
        <v/>
      </c>
      <c r="G99" s="51" t="s">
        <v>23</v>
      </c>
      <c r="I99" s="52" t="s">
        <v>5494</v>
      </c>
      <c r="J99" s="46" t="s">
        <v>5538</v>
      </c>
      <c r="M99" s="58" t="s">
        <v>25</v>
      </c>
      <c r="N99" s="55">
        <v>4221692</v>
      </c>
      <c r="O99" s="55"/>
    </row>
    <row r="100" spans="1:15">
      <c r="A100" s="47">
        <v>10429165</v>
      </c>
      <c r="B100" s="46" t="s">
        <v>811</v>
      </c>
      <c r="C100" s="52" t="s">
        <v>465</v>
      </c>
      <c r="D100" s="48">
        <v>19200</v>
      </c>
      <c r="E100" s="49">
        <f t="shared" ca="1" si="2"/>
        <v>73.929510111703294</v>
      </c>
      <c r="F100" s="50">
        <v>155114022</v>
      </c>
      <c r="G100" s="51" t="s">
        <v>23</v>
      </c>
      <c r="I100" s="52" t="s">
        <v>3555</v>
      </c>
      <c r="J100" s="46" t="s">
        <v>3313</v>
      </c>
      <c r="M100" s="58" t="s">
        <v>25</v>
      </c>
      <c r="N100" s="55">
        <v>4211071</v>
      </c>
      <c r="O100" s="55" t="s">
        <v>3580</v>
      </c>
    </row>
    <row r="101" spans="1:15">
      <c r="A101" s="47">
        <v>10430001</v>
      </c>
      <c r="B101" s="46" t="s">
        <v>1823</v>
      </c>
      <c r="C101" s="52" t="s">
        <v>5711</v>
      </c>
      <c r="E101" s="49" t="str">
        <f t="shared" ca="1" si="2"/>
        <v/>
      </c>
      <c r="F101" s="50">
        <v>155645855</v>
      </c>
      <c r="G101" s="51" t="s">
        <v>70</v>
      </c>
      <c r="I101" s="52" t="s">
        <v>5494</v>
      </c>
      <c r="M101" s="53" t="s">
        <v>5712</v>
      </c>
      <c r="N101" s="55"/>
      <c r="O101" s="55"/>
    </row>
    <row r="102" spans="1:15">
      <c r="A102" s="66">
        <v>10552418</v>
      </c>
      <c r="B102" s="67" t="s">
        <v>270</v>
      </c>
      <c r="C102" s="52" t="s">
        <v>271</v>
      </c>
      <c r="E102" s="49" t="str">
        <f t="shared" ca="1" si="2"/>
        <v/>
      </c>
      <c r="F102" s="57"/>
      <c r="G102" s="51" t="s">
        <v>23</v>
      </c>
      <c r="I102" s="52" t="s">
        <v>24</v>
      </c>
      <c r="M102" s="53" t="s">
        <v>272</v>
      </c>
      <c r="N102" s="55"/>
      <c r="O102" s="55"/>
    </row>
    <row r="103" spans="1:15">
      <c r="A103" s="47">
        <v>10556181</v>
      </c>
      <c r="B103" s="46" t="s">
        <v>1795</v>
      </c>
      <c r="C103" s="55" t="s">
        <v>1796</v>
      </c>
      <c r="D103" s="48">
        <v>19188</v>
      </c>
      <c r="E103" s="49">
        <f t="shared" ca="1" si="2"/>
        <v>73.962364021318535</v>
      </c>
      <c r="F103" s="50">
        <v>156229240</v>
      </c>
      <c r="G103" s="51" t="s">
        <v>70</v>
      </c>
      <c r="I103" s="52" t="s">
        <v>1657</v>
      </c>
      <c r="J103" s="46" t="s">
        <v>263</v>
      </c>
      <c r="M103" s="53" t="s">
        <v>1797</v>
      </c>
    </row>
    <row r="104" spans="1:15">
      <c r="A104" s="47">
        <v>10556377</v>
      </c>
      <c r="B104" s="46" t="s">
        <v>3622</v>
      </c>
      <c r="C104" s="46" t="s">
        <v>6006</v>
      </c>
      <c r="D104" s="48">
        <v>19304</v>
      </c>
      <c r="E104" s="49">
        <f t="shared" ca="1" si="2"/>
        <v>73.644776228371171</v>
      </c>
      <c r="F104" s="50">
        <v>155026047</v>
      </c>
      <c r="G104" s="51" t="s">
        <v>23</v>
      </c>
      <c r="I104" s="52" t="s">
        <v>23</v>
      </c>
      <c r="J104" s="46" t="s">
        <v>6007</v>
      </c>
      <c r="M104" s="58" t="s">
        <v>25</v>
      </c>
      <c r="N104" s="46">
        <v>4247752</v>
      </c>
      <c r="O104" s="46">
        <v>7118</v>
      </c>
    </row>
    <row r="105" spans="1:15">
      <c r="A105" s="47">
        <v>10556438</v>
      </c>
      <c r="B105" s="46" t="s">
        <v>2475</v>
      </c>
      <c r="C105" s="52" t="s">
        <v>2476</v>
      </c>
      <c r="D105" s="48">
        <v>23137</v>
      </c>
      <c r="E105" s="49">
        <f t="shared" ca="1" si="2"/>
        <v>63.15126625598905</v>
      </c>
      <c r="F105" s="50">
        <v>155021167</v>
      </c>
      <c r="G105" s="51" t="s">
        <v>23</v>
      </c>
      <c r="I105" s="59" t="s">
        <v>908</v>
      </c>
      <c r="J105" s="46" t="s">
        <v>2477</v>
      </c>
      <c r="M105" s="53" t="s">
        <v>2478</v>
      </c>
      <c r="N105" s="55"/>
      <c r="O105" s="55"/>
    </row>
    <row r="106" spans="1:15">
      <c r="A106" s="47">
        <v>10581640</v>
      </c>
      <c r="B106" s="46" t="s">
        <v>659</v>
      </c>
      <c r="C106" s="46" t="s">
        <v>922</v>
      </c>
      <c r="D106" s="48">
        <v>19293</v>
      </c>
      <c r="E106" s="49">
        <f t="shared" ca="1" si="2"/>
        <v>73.67489231218515</v>
      </c>
      <c r="F106" s="50">
        <v>155418758</v>
      </c>
      <c r="G106" s="51" t="s">
        <v>70</v>
      </c>
      <c r="I106" s="59" t="s">
        <v>908</v>
      </c>
      <c r="J106" s="46" t="s">
        <v>762</v>
      </c>
      <c r="M106" s="53" t="s">
        <v>1070</v>
      </c>
      <c r="N106" s="46">
        <v>4247752</v>
      </c>
      <c r="O106" s="46">
        <v>7083</v>
      </c>
    </row>
    <row r="107" spans="1:15">
      <c r="A107" s="47">
        <v>10582171</v>
      </c>
      <c r="B107" s="46" t="s">
        <v>44</v>
      </c>
      <c r="C107" s="52" t="s">
        <v>45</v>
      </c>
      <c r="D107" s="48">
        <v>19308</v>
      </c>
      <c r="E107" s="49">
        <f t="shared" ca="1" si="2"/>
        <v>73.633824925166095</v>
      </c>
      <c r="F107" s="50">
        <v>156048195</v>
      </c>
      <c r="G107" s="51" t="s">
        <v>23</v>
      </c>
      <c r="I107" s="52" t="s">
        <v>24</v>
      </c>
      <c r="J107" s="46" t="s">
        <v>31</v>
      </c>
      <c r="M107" s="53" t="s">
        <v>46</v>
      </c>
      <c r="N107" s="55"/>
      <c r="O107" s="55"/>
    </row>
    <row r="108" spans="1:15">
      <c r="A108" s="47">
        <v>10645222</v>
      </c>
      <c r="B108" s="46" t="s">
        <v>3732</v>
      </c>
      <c r="C108" s="52" t="s">
        <v>2196</v>
      </c>
      <c r="D108" s="48">
        <v>19426</v>
      </c>
      <c r="E108" s="49">
        <f t="shared" ca="1" si="2"/>
        <v>73.312786739677378</v>
      </c>
      <c r="F108" s="50">
        <v>154175943</v>
      </c>
      <c r="G108" s="51" t="s">
        <v>23</v>
      </c>
      <c r="I108" s="52" t="s">
        <v>3630</v>
      </c>
      <c r="J108" s="46" t="s">
        <v>2477</v>
      </c>
      <c r="M108" s="53" t="s">
        <v>3733</v>
      </c>
      <c r="N108" s="55"/>
      <c r="O108" s="55"/>
    </row>
    <row r="109" spans="1:15">
      <c r="A109" s="47">
        <v>10645299</v>
      </c>
      <c r="B109" s="46" t="s">
        <v>1531</v>
      </c>
      <c r="C109" s="52" t="s">
        <v>1532</v>
      </c>
      <c r="D109" s="48">
        <v>19186</v>
      </c>
      <c r="E109" s="49">
        <f t="shared" ca="1" si="2"/>
        <v>73.967839672921073</v>
      </c>
      <c r="F109" s="50">
        <v>155824002</v>
      </c>
      <c r="G109" s="51" t="s">
        <v>23</v>
      </c>
      <c r="I109" s="52" t="s">
        <v>1497</v>
      </c>
      <c r="J109" s="46" t="s">
        <v>1533</v>
      </c>
      <c r="M109" s="58" t="s">
        <v>25</v>
      </c>
      <c r="N109" s="55">
        <v>4330633</v>
      </c>
      <c r="O109" s="55">
        <v>202</v>
      </c>
    </row>
    <row r="110" spans="1:15">
      <c r="A110" s="47">
        <v>10645469</v>
      </c>
      <c r="B110" s="46" t="s">
        <v>2243</v>
      </c>
      <c r="C110" s="52" t="s">
        <v>2244</v>
      </c>
      <c r="D110" s="48">
        <v>19419</v>
      </c>
      <c r="E110" s="49">
        <f t="shared" ca="1" si="2"/>
        <v>73.331952049726212</v>
      </c>
      <c r="F110" s="50">
        <v>153020119</v>
      </c>
      <c r="G110" s="51" t="s">
        <v>23</v>
      </c>
      <c r="I110" s="52" t="s">
        <v>1881</v>
      </c>
      <c r="M110" s="53" t="s">
        <v>2245</v>
      </c>
      <c r="N110" s="55" t="s">
        <v>2246</v>
      </c>
      <c r="O110" s="55"/>
    </row>
    <row r="111" spans="1:15">
      <c r="A111" s="47">
        <v>10708218</v>
      </c>
      <c r="B111" s="46" t="s">
        <v>5037</v>
      </c>
      <c r="C111" s="52" t="s">
        <v>5038</v>
      </c>
      <c r="D111" s="48">
        <v>19453</v>
      </c>
      <c r="E111" s="49">
        <f t="shared" ca="1" si="2"/>
        <v>73.238863400917566</v>
      </c>
      <c r="F111" s="50">
        <v>156404405</v>
      </c>
      <c r="G111" s="51" t="s">
        <v>23</v>
      </c>
      <c r="I111" s="65" t="s">
        <v>4954</v>
      </c>
      <c r="M111" s="53" t="s">
        <v>5039</v>
      </c>
      <c r="N111" s="55"/>
      <c r="O111" s="55"/>
    </row>
    <row r="112" spans="1:15">
      <c r="A112" s="47">
        <v>10708291</v>
      </c>
      <c r="B112" s="46" t="s">
        <v>734</v>
      </c>
      <c r="C112" s="52" t="s">
        <v>5103</v>
      </c>
      <c r="D112" s="48">
        <v>19483</v>
      </c>
      <c r="E112" s="49">
        <f t="shared" ca="1" si="2"/>
        <v>73.156726357851127</v>
      </c>
      <c r="G112" s="51" t="s">
        <v>23</v>
      </c>
      <c r="I112" s="65" t="s">
        <v>4954</v>
      </c>
      <c r="M112" s="58" t="s">
        <v>25</v>
      </c>
      <c r="N112" s="55">
        <v>4303138</v>
      </c>
      <c r="O112" s="55"/>
    </row>
    <row r="113" spans="1:15">
      <c r="A113" s="47">
        <v>10708297</v>
      </c>
      <c r="B113" s="46" t="s">
        <v>1592</v>
      </c>
      <c r="C113" s="52" t="s">
        <v>1593</v>
      </c>
      <c r="D113" s="48">
        <v>19372</v>
      </c>
      <c r="E113" s="49">
        <f t="shared" ca="1" si="2"/>
        <v>73.460633417196988</v>
      </c>
      <c r="F113" s="50">
        <v>154476039</v>
      </c>
      <c r="G113" s="51" t="s">
        <v>23</v>
      </c>
      <c r="I113" s="52" t="s">
        <v>1497</v>
      </c>
      <c r="J113" s="46" t="s">
        <v>1594</v>
      </c>
      <c r="M113" s="53" t="s">
        <v>1595</v>
      </c>
      <c r="N113" s="55"/>
      <c r="O113" s="55"/>
    </row>
    <row r="114" spans="1:15">
      <c r="A114" s="60">
        <v>10708351</v>
      </c>
      <c r="B114" s="61" t="s">
        <v>3304</v>
      </c>
      <c r="C114" s="62" t="s">
        <v>3305</v>
      </c>
      <c r="D114" s="48">
        <v>19317</v>
      </c>
      <c r="E114" s="49">
        <f t="shared" ca="1" si="2"/>
        <v>73.609184492954668</v>
      </c>
      <c r="F114" s="63"/>
      <c r="G114" s="51" t="s">
        <v>23</v>
      </c>
      <c r="I114" s="52" t="s">
        <v>3287</v>
      </c>
      <c r="J114" s="61" t="s">
        <v>3306</v>
      </c>
      <c r="K114" s="61"/>
      <c r="L114" s="61"/>
      <c r="M114" s="58" t="s">
        <v>25</v>
      </c>
      <c r="N114" s="55"/>
      <c r="O114" s="55"/>
    </row>
    <row r="115" spans="1:15">
      <c r="A115" s="47">
        <v>10712261</v>
      </c>
      <c r="B115" s="46" t="s">
        <v>1793</v>
      </c>
      <c r="C115" s="52" t="s">
        <v>3592</v>
      </c>
      <c r="D115" s="48">
        <v>19318</v>
      </c>
      <c r="E115" s="49">
        <f t="shared" ca="1" si="2"/>
        <v>73.606446667153392</v>
      </c>
      <c r="F115" s="50">
        <v>154629626</v>
      </c>
      <c r="G115" s="51" t="s">
        <v>23</v>
      </c>
      <c r="I115" s="52" t="s">
        <v>3555</v>
      </c>
      <c r="J115" s="46" t="s">
        <v>48</v>
      </c>
      <c r="M115" s="58" t="s">
        <v>25</v>
      </c>
      <c r="N115" s="55"/>
      <c r="O115" s="55"/>
    </row>
    <row r="116" spans="1:15">
      <c r="A116" s="47">
        <v>10728835</v>
      </c>
      <c r="B116" s="46" t="s">
        <v>3394</v>
      </c>
      <c r="C116" s="52" t="s">
        <v>3395</v>
      </c>
      <c r="D116" s="48">
        <v>19652</v>
      </c>
      <c r="E116" s="49">
        <f t="shared" ca="1" si="2"/>
        <v>72.69402101524345</v>
      </c>
      <c r="F116" s="50">
        <v>154952212</v>
      </c>
      <c r="G116" s="51" t="s">
        <v>23</v>
      </c>
      <c r="I116" s="52" t="s">
        <v>3327</v>
      </c>
      <c r="M116" s="53" t="s">
        <v>3396</v>
      </c>
      <c r="N116" s="55" t="s">
        <v>3397</v>
      </c>
      <c r="O116" s="55"/>
    </row>
    <row r="117" spans="1:15">
      <c r="A117" s="47">
        <v>10742572</v>
      </c>
      <c r="B117" s="46" t="s">
        <v>760</v>
      </c>
      <c r="C117" s="55" t="s">
        <v>4222</v>
      </c>
      <c r="D117" s="48">
        <v>19447</v>
      </c>
      <c r="E117" s="49">
        <f t="shared" ca="1" si="2"/>
        <v>73.255290809530862</v>
      </c>
      <c r="F117" s="50">
        <v>155406270</v>
      </c>
      <c r="G117" s="51" t="s">
        <v>78</v>
      </c>
      <c r="I117" s="52" t="s">
        <v>4181</v>
      </c>
      <c r="J117" s="55" t="s">
        <v>637</v>
      </c>
      <c r="K117" s="55"/>
      <c r="L117" s="55"/>
      <c r="M117" s="58" t="s">
        <v>25</v>
      </c>
      <c r="N117" s="55">
        <v>4107227</v>
      </c>
      <c r="O117" s="55"/>
    </row>
    <row r="118" spans="1:15">
      <c r="A118" s="47">
        <v>10746385</v>
      </c>
      <c r="B118" s="46" t="s">
        <v>1032</v>
      </c>
      <c r="C118" s="52" t="s">
        <v>1979</v>
      </c>
      <c r="D118" s="48">
        <v>19386</v>
      </c>
      <c r="E118" s="49">
        <f t="shared" ca="1" si="2"/>
        <v>73.422302797099306</v>
      </c>
      <c r="F118" s="50">
        <v>155104438</v>
      </c>
      <c r="G118" s="51" t="s">
        <v>23</v>
      </c>
      <c r="I118" s="52" t="s">
        <v>1881</v>
      </c>
      <c r="J118" s="46" t="s">
        <v>1980</v>
      </c>
      <c r="M118" s="53" t="s">
        <v>1981</v>
      </c>
      <c r="N118" s="55"/>
      <c r="O118" s="55"/>
    </row>
    <row r="119" spans="1:15">
      <c r="A119" s="47">
        <v>10748414</v>
      </c>
      <c r="B119" s="46" t="s">
        <v>1549</v>
      </c>
      <c r="C119" s="52" t="s">
        <v>3003</v>
      </c>
      <c r="D119" s="48">
        <v>19339</v>
      </c>
      <c r="E119" s="49">
        <f t="shared" ca="1" si="2"/>
        <v>73.548952325326709</v>
      </c>
      <c r="F119" s="50">
        <v>153012704</v>
      </c>
      <c r="G119" s="51" t="s">
        <v>70</v>
      </c>
      <c r="I119" s="52" t="s">
        <v>2926</v>
      </c>
      <c r="J119" s="46" t="s">
        <v>3004</v>
      </c>
      <c r="M119" s="53" t="s">
        <v>3005</v>
      </c>
      <c r="N119" s="55"/>
      <c r="O119" s="55"/>
    </row>
    <row r="120" spans="1:15">
      <c r="A120" s="47">
        <v>10791104</v>
      </c>
      <c r="B120" s="46" t="s">
        <v>739</v>
      </c>
      <c r="C120" s="46" t="s">
        <v>165</v>
      </c>
      <c r="E120" s="49" t="str">
        <f t="shared" ca="1" si="2"/>
        <v/>
      </c>
      <c r="G120" s="51" t="s">
        <v>70</v>
      </c>
      <c r="I120" s="52" t="s">
        <v>594</v>
      </c>
      <c r="M120" s="53" t="s">
        <v>740</v>
      </c>
    </row>
    <row r="121" spans="1:15">
      <c r="A121" s="47">
        <v>10791578</v>
      </c>
      <c r="B121" s="46" t="s">
        <v>1216</v>
      </c>
      <c r="C121" s="52" t="s">
        <v>2236</v>
      </c>
      <c r="D121" s="48">
        <v>19425</v>
      </c>
      <c r="E121" s="49">
        <f t="shared" ca="1" si="2"/>
        <v>73.31552464111293</v>
      </c>
      <c r="G121" s="51" t="s">
        <v>23</v>
      </c>
      <c r="I121" s="52" t="s">
        <v>1881</v>
      </c>
      <c r="J121" s="46" t="s">
        <v>48</v>
      </c>
      <c r="M121" s="58" t="s">
        <v>25</v>
      </c>
      <c r="N121" s="55"/>
      <c r="O121" s="55"/>
    </row>
    <row r="122" spans="1:15">
      <c r="A122" s="66">
        <v>10792599</v>
      </c>
      <c r="B122" s="67" t="s">
        <v>490</v>
      </c>
      <c r="C122" s="52" t="s">
        <v>491</v>
      </c>
      <c r="D122" s="48">
        <v>19540</v>
      </c>
      <c r="E122" s="49">
        <f t="shared" ca="1" si="2"/>
        <v>73.000665976024862</v>
      </c>
      <c r="F122" s="57"/>
      <c r="G122" s="51" t="s">
        <v>23</v>
      </c>
      <c r="I122" s="52" t="s">
        <v>24</v>
      </c>
      <c r="M122" s="53" t="s">
        <v>492</v>
      </c>
      <c r="N122" s="55"/>
      <c r="O122" s="55"/>
    </row>
    <row r="123" spans="1:15">
      <c r="A123" s="64">
        <v>10910039</v>
      </c>
      <c r="B123" s="61" t="s">
        <v>2460</v>
      </c>
      <c r="C123" s="62" t="s">
        <v>4509</v>
      </c>
      <c r="D123" s="48">
        <v>19598</v>
      </c>
      <c r="E123" s="49">
        <f t="shared" ca="1" si="2"/>
        <v>72.84186769276306</v>
      </c>
      <c r="F123" s="63">
        <v>154795097</v>
      </c>
      <c r="G123" s="51" t="s">
        <v>23</v>
      </c>
      <c r="I123" s="52" t="s">
        <v>4499</v>
      </c>
      <c r="J123" s="46" t="s">
        <v>4510</v>
      </c>
      <c r="M123" s="53" t="s">
        <v>4511</v>
      </c>
      <c r="N123" s="55"/>
      <c r="O123" s="55"/>
    </row>
    <row r="124" spans="1:15">
      <c r="A124" s="47">
        <v>10910274</v>
      </c>
      <c r="B124" s="46" t="s">
        <v>6366</v>
      </c>
      <c r="C124" s="52" t="s">
        <v>6367</v>
      </c>
      <c r="D124" s="48">
        <v>19366</v>
      </c>
      <c r="E124" s="49">
        <f t="shared" ca="1" si="2"/>
        <v>73.47706082581027</v>
      </c>
      <c r="F124" s="50">
        <v>154761682</v>
      </c>
      <c r="G124" s="51" t="s">
        <v>23</v>
      </c>
      <c r="I124" s="52" t="s">
        <v>23</v>
      </c>
      <c r="J124" s="46" t="s">
        <v>48</v>
      </c>
      <c r="M124" s="53" t="s">
        <v>6368</v>
      </c>
      <c r="N124" s="55"/>
      <c r="O124" s="55"/>
    </row>
    <row r="125" spans="1:15">
      <c r="A125" s="47">
        <v>10910913</v>
      </c>
      <c r="B125" s="46" t="s">
        <v>1106</v>
      </c>
      <c r="C125" s="46" t="s">
        <v>1107</v>
      </c>
      <c r="D125" s="48">
        <v>19712</v>
      </c>
      <c r="E125" s="49">
        <f t="shared" ca="1" si="2"/>
        <v>72.529746929110559</v>
      </c>
      <c r="F125" s="50">
        <v>155705231</v>
      </c>
      <c r="G125" s="51" t="s">
        <v>70</v>
      </c>
      <c r="I125" s="59" t="s">
        <v>908</v>
      </c>
      <c r="M125" s="58" t="s">
        <v>25</v>
      </c>
      <c r="N125" s="55"/>
      <c r="O125" s="55"/>
    </row>
    <row r="126" spans="1:15">
      <c r="A126" s="47">
        <v>10925302</v>
      </c>
      <c r="B126" s="46" t="s">
        <v>426</v>
      </c>
      <c r="C126" s="46" t="s">
        <v>427</v>
      </c>
      <c r="D126" s="48">
        <v>19450</v>
      </c>
      <c r="E126" s="49">
        <f t="shared" ca="1" si="2"/>
        <v>73.247077105224221</v>
      </c>
      <c r="F126" s="50">
        <v>4238583</v>
      </c>
      <c r="G126" s="51" t="s">
        <v>86</v>
      </c>
      <c r="I126" s="52" t="s">
        <v>24</v>
      </c>
      <c r="M126" s="58" t="s">
        <v>25</v>
      </c>
    </row>
    <row r="127" spans="1:15">
      <c r="A127" s="66">
        <v>10925913</v>
      </c>
      <c r="B127" s="67" t="s">
        <v>326</v>
      </c>
      <c r="C127" s="52" t="s">
        <v>27</v>
      </c>
      <c r="E127" s="49" t="str">
        <f t="shared" ca="1" si="2"/>
        <v/>
      </c>
      <c r="F127" s="57">
        <v>156783261</v>
      </c>
      <c r="G127" s="51" t="s">
        <v>23</v>
      </c>
      <c r="I127" s="52" t="s">
        <v>24</v>
      </c>
      <c r="M127" s="58" t="s">
        <v>25</v>
      </c>
      <c r="N127" s="55"/>
      <c r="O127" s="55"/>
    </row>
    <row r="128" spans="1:15">
      <c r="A128" s="47">
        <v>10925973</v>
      </c>
      <c r="B128" s="46" t="s">
        <v>595</v>
      </c>
      <c r="C128" s="46" t="s">
        <v>5984</v>
      </c>
      <c r="D128" s="48">
        <v>19715</v>
      </c>
      <c r="E128" s="49">
        <f t="shared" ca="1" si="2"/>
        <v>72.521533224803903</v>
      </c>
      <c r="F128" s="50">
        <v>156205096</v>
      </c>
      <c r="G128" s="51" t="s">
        <v>23</v>
      </c>
      <c r="I128" s="52" t="s">
        <v>23</v>
      </c>
      <c r="J128" s="46" t="s">
        <v>5985</v>
      </c>
      <c r="M128" s="53" t="s">
        <v>5986</v>
      </c>
      <c r="N128" s="46">
        <v>4526111</v>
      </c>
    </row>
    <row r="129" spans="1:21">
      <c r="A129" s="47">
        <v>10950023</v>
      </c>
      <c r="B129" s="46" t="s">
        <v>2825</v>
      </c>
      <c r="C129" s="46" t="s">
        <v>2826</v>
      </c>
      <c r="D129" s="48">
        <v>19642</v>
      </c>
      <c r="E129" s="49">
        <f t="shared" ca="1" si="2"/>
        <v>72.721400029598939</v>
      </c>
      <c r="F129" s="50">
        <v>155867271</v>
      </c>
      <c r="G129" s="51" t="s">
        <v>37</v>
      </c>
      <c r="I129" s="52" t="s">
        <v>2823</v>
      </c>
      <c r="J129" s="46" t="s">
        <v>1465</v>
      </c>
      <c r="M129" s="58" t="s">
        <v>25</v>
      </c>
      <c r="N129" s="46">
        <v>4107297</v>
      </c>
      <c r="O129" s="46">
        <v>7297</v>
      </c>
      <c r="P129" s="46">
        <v>1</v>
      </c>
    </row>
    <row r="130" spans="1:21">
      <c r="A130" s="47">
        <v>11054779</v>
      </c>
      <c r="B130" s="46" t="s">
        <v>3745</v>
      </c>
      <c r="C130" s="46" t="s">
        <v>1185</v>
      </c>
      <c r="D130" s="48" t="s">
        <v>3746</v>
      </c>
      <c r="E130" s="49">
        <f t="shared" ca="1" si="2"/>
        <v>72.740565339647773</v>
      </c>
      <c r="F130" s="151">
        <v>156570163</v>
      </c>
      <c r="G130" s="51" t="s">
        <v>78</v>
      </c>
      <c r="H130" s="52" t="s">
        <v>3747</v>
      </c>
      <c r="I130" s="52" t="s">
        <v>3630</v>
      </c>
      <c r="J130" s="46" t="s">
        <v>224</v>
      </c>
      <c r="K130" s="46" t="s">
        <v>390</v>
      </c>
      <c r="L130" s="46" t="s">
        <v>52</v>
      </c>
      <c r="M130" s="53" t="s">
        <v>3748</v>
      </c>
      <c r="N130" s="46" t="s">
        <v>52</v>
      </c>
      <c r="O130" s="46" t="s">
        <v>52</v>
      </c>
      <c r="P130" s="46" t="s">
        <v>59</v>
      </c>
      <c r="Q130" s="46" t="s">
        <v>60</v>
      </c>
      <c r="R130" s="46" t="s">
        <v>61</v>
      </c>
      <c r="S130" s="46" t="s">
        <v>62</v>
      </c>
      <c r="T130" s="46" t="s">
        <v>12</v>
      </c>
      <c r="U130" s="46" t="s">
        <v>63</v>
      </c>
    </row>
    <row r="131" spans="1:21">
      <c r="A131" s="47">
        <v>11064108</v>
      </c>
      <c r="B131" s="46" t="s">
        <v>1419</v>
      </c>
      <c r="C131" s="46" t="s">
        <v>1420</v>
      </c>
      <c r="D131" s="48">
        <v>19580</v>
      </c>
      <c r="E131" s="49">
        <f t="shared" ca="1" si="2"/>
        <v>72.891149918602935</v>
      </c>
      <c r="F131" s="151">
        <v>381155145668</v>
      </c>
      <c r="G131" s="51" t="s">
        <v>70</v>
      </c>
      <c r="H131" s="52" t="s">
        <v>52</v>
      </c>
      <c r="I131" s="59" t="s">
        <v>908</v>
      </c>
      <c r="J131" s="46" t="s">
        <v>52</v>
      </c>
      <c r="K131" s="46" t="s">
        <v>390</v>
      </c>
      <c r="L131" s="152">
        <v>0</v>
      </c>
      <c r="M131" s="52" t="s">
        <v>1421</v>
      </c>
      <c r="N131" s="46" t="s">
        <v>52</v>
      </c>
      <c r="O131" s="46" t="s">
        <v>52</v>
      </c>
      <c r="P131" s="46" t="s">
        <v>59</v>
      </c>
      <c r="Q131" s="46" t="s">
        <v>60</v>
      </c>
      <c r="R131" s="46" t="s">
        <v>61</v>
      </c>
      <c r="S131" s="46" t="s">
        <v>62</v>
      </c>
      <c r="T131" s="46" t="s">
        <v>12</v>
      </c>
      <c r="U131" s="46" t="s">
        <v>63</v>
      </c>
    </row>
    <row r="132" spans="1:21">
      <c r="A132" s="47">
        <v>11064260</v>
      </c>
      <c r="B132" s="46" t="s">
        <v>574</v>
      </c>
      <c r="C132" s="46" t="s">
        <v>1440</v>
      </c>
      <c r="D132" s="48" t="s">
        <v>52</v>
      </c>
      <c r="E132" s="49" t="str">
        <f t="shared" ca="1" si="2"/>
        <v/>
      </c>
      <c r="F132" s="151">
        <v>154139289</v>
      </c>
      <c r="G132" s="51" t="s">
        <v>70</v>
      </c>
      <c r="H132" s="52" t="s">
        <v>1361</v>
      </c>
      <c r="I132" s="59" t="s">
        <v>908</v>
      </c>
      <c r="J132" s="46" t="s">
        <v>1441</v>
      </c>
      <c r="K132" s="46" t="s">
        <v>390</v>
      </c>
      <c r="L132" s="152">
        <v>0</v>
      </c>
      <c r="M132" s="52" t="s">
        <v>1442</v>
      </c>
      <c r="N132" s="46" t="s">
        <v>52</v>
      </c>
      <c r="O132" s="152">
        <v>7209</v>
      </c>
      <c r="P132" s="46" t="s">
        <v>59</v>
      </c>
      <c r="Q132" s="46" t="s">
        <v>60</v>
      </c>
      <c r="R132" s="46" t="s">
        <v>61</v>
      </c>
      <c r="S132" s="46" t="s">
        <v>62</v>
      </c>
      <c r="T132" s="46" t="s">
        <v>12</v>
      </c>
      <c r="U132" s="46" t="s">
        <v>63</v>
      </c>
    </row>
    <row r="133" spans="1:21">
      <c r="A133" s="47">
        <v>11064779</v>
      </c>
      <c r="B133" s="46" t="s">
        <v>3745</v>
      </c>
      <c r="C133" s="46" t="s">
        <v>1185</v>
      </c>
      <c r="D133" s="48">
        <v>19635</v>
      </c>
      <c r="E133" s="49">
        <f t="shared" ca="1" si="2"/>
        <v>72.740565339647773</v>
      </c>
      <c r="F133" s="50">
        <v>156570163</v>
      </c>
      <c r="G133" s="51" t="s">
        <v>23</v>
      </c>
      <c r="I133" s="52" t="s">
        <v>3630</v>
      </c>
      <c r="M133" s="53" t="s">
        <v>3748</v>
      </c>
      <c r="N133" s="46">
        <v>4248000</v>
      </c>
      <c r="O133" s="46">
        <v>266</v>
      </c>
    </row>
    <row r="134" spans="1:21">
      <c r="A134" s="47">
        <v>11064926</v>
      </c>
      <c r="B134" s="46" t="s">
        <v>3418</v>
      </c>
      <c r="C134" s="55" t="s">
        <v>3419</v>
      </c>
      <c r="E134" s="49" t="str">
        <f t="shared" ca="1" si="2"/>
        <v/>
      </c>
      <c r="F134" s="50">
        <v>4353681</v>
      </c>
      <c r="G134" s="51" t="s">
        <v>23</v>
      </c>
      <c r="I134" s="52" t="s">
        <v>3327</v>
      </c>
      <c r="J134" s="55"/>
      <c r="K134" s="55"/>
      <c r="L134" s="55"/>
      <c r="M134" s="58" t="s">
        <v>25</v>
      </c>
      <c r="N134" s="55"/>
      <c r="O134" s="55"/>
    </row>
    <row r="135" spans="1:21">
      <c r="A135" s="47">
        <v>11065353</v>
      </c>
      <c r="B135" s="46" t="s">
        <v>6247</v>
      </c>
      <c r="C135" s="52" t="s">
        <v>3780</v>
      </c>
      <c r="D135" s="48">
        <v>19507</v>
      </c>
      <c r="E135" s="49">
        <f t="shared" ca="1" si="2"/>
        <v>73.091016723397956</v>
      </c>
      <c r="F135" s="50">
        <v>154099397</v>
      </c>
      <c r="G135" s="51" t="s">
        <v>23</v>
      </c>
      <c r="I135" s="52" t="s">
        <v>3630</v>
      </c>
      <c r="J135" s="55"/>
      <c r="K135" s="55"/>
      <c r="L135" s="55"/>
      <c r="M135" s="53" t="s">
        <v>3781</v>
      </c>
      <c r="N135" s="55">
        <v>4847357</v>
      </c>
      <c r="O135" s="55"/>
    </row>
    <row r="136" spans="1:21">
      <c r="A136" s="47">
        <v>11080049</v>
      </c>
      <c r="B136" s="46" t="s">
        <v>2438</v>
      </c>
      <c r="C136" s="52" t="s">
        <v>2184</v>
      </c>
      <c r="D136" s="48">
        <v>19423</v>
      </c>
      <c r="E136" s="49">
        <f t="shared" ca="1" si="2"/>
        <v>73.321000443984019</v>
      </c>
      <c r="G136" s="51" t="s">
        <v>23</v>
      </c>
      <c r="I136" s="59" t="s">
        <v>908</v>
      </c>
      <c r="J136" s="46" t="s">
        <v>2439</v>
      </c>
      <c r="M136" s="53" t="s">
        <v>2440</v>
      </c>
      <c r="N136" s="55"/>
      <c r="O136" s="55"/>
    </row>
    <row r="137" spans="1:21">
      <c r="A137" s="47">
        <v>11084288</v>
      </c>
      <c r="B137" s="46" t="s">
        <v>6009</v>
      </c>
      <c r="C137" s="46" t="s">
        <v>1672</v>
      </c>
      <c r="E137" s="49" t="str">
        <f t="shared" ref="E137:E200" ca="1" si="3">IF(D137="","",YEARFRAC(D137,TODAY(),1))</f>
        <v/>
      </c>
      <c r="F137" s="50">
        <v>156819527</v>
      </c>
      <c r="G137" s="51" t="s">
        <v>23</v>
      </c>
      <c r="I137" s="52" t="s">
        <v>23</v>
      </c>
      <c r="M137" s="58" t="s">
        <v>25</v>
      </c>
    </row>
    <row r="138" spans="1:21">
      <c r="A138" s="47">
        <v>11084627</v>
      </c>
      <c r="B138" s="46" t="s">
        <v>2302</v>
      </c>
      <c r="C138" s="52" t="s">
        <v>3981</v>
      </c>
      <c r="D138" s="48">
        <v>19942</v>
      </c>
      <c r="E138" s="49">
        <f t="shared" ca="1" si="3"/>
        <v>71.899373663878791</v>
      </c>
      <c r="F138" s="50">
        <v>154740116</v>
      </c>
      <c r="G138" s="51" t="s">
        <v>54</v>
      </c>
      <c r="I138" s="52" t="s">
        <v>3956</v>
      </c>
      <c r="J138" s="46" t="s">
        <v>3982</v>
      </c>
      <c r="M138" s="58" t="s">
        <v>25</v>
      </c>
      <c r="N138" s="55">
        <v>4215375</v>
      </c>
      <c r="O138" s="55"/>
    </row>
    <row r="139" spans="1:21">
      <c r="A139" s="47">
        <v>11084903</v>
      </c>
      <c r="B139" s="46" t="s">
        <v>226</v>
      </c>
      <c r="C139" s="52" t="s">
        <v>6160</v>
      </c>
      <c r="D139" s="48">
        <v>19937</v>
      </c>
      <c r="E139" s="49">
        <f t="shared" ca="1" si="3"/>
        <v>71.913063046168844</v>
      </c>
      <c r="G139" s="51" t="s">
        <v>37</v>
      </c>
      <c r="I139" s="52" t="s">
        <v>23</v>
      </c>
      <c r="J139" s="46" t="s">
        <v>290</v>
      </c>
      <c r="M139" s="58" t="s">
        <v>25</v>
      </c>
      <c r="N139" s="55">
        <v>4365795</v>
      </c>
      <c r="O139" s="55"/>
    </row>
    <row r="140" spans="1:21">
      <c r="A140" s="47">
        <v>11084917</v>
      </c>
      <c r="B140" s="46" t="s">
        <v>6315</v>
      </c>
      <c r="C140" s="52" t="s">
        <v>6316</v>
      </c>
      <c r="D140" s="48">
        <v>20282</v>
      </c>
      <c r="E140" s="49">
        <f t="shared" ca="1" si="3"/>
        <v>70.967830253251194</v>
      </c>
      <c r="F140" s="50">
        <v>155949837</v>
      </c>
      <c r="G140" s="51" t="s">
        <v>23</v>
      </c>
      <c r="I140" s="52" t="s">
        <v>23</v>
      </c>
      <c r="M140" s="58" t="s">
        <v>25</v>
      </c>
      <c r="N140" s="55"/>
      <c r="O140" s="55"/>
    </row>
    <row r="141" spans="1:21">
      <c r="A141" s="47">
        <v>11103341</v>
      </c>
      <c r="B141" s="46" t="s">
        <v>1599</v>
      </c>
      <c r="C141" s="52" t="s">
        <v>3820</v>
      </c>
      <c r="D141" s="48">
        <v>19657</v>
      </c>
      <c r="E141" s="49">
        <f t="shared" ca="1" si="3"/>
        <v>72.680331508065706</v>
      </c>
      <c r="F141" s="50">
        <v>156128497</v>
      </c>
      <c r="G141" s="51" t="s">
        <v>23</v>
      </c>
      <c r="I141" s="52" t="s">
        <v>3630</v>
      </c>
      <c r="M141" s="53" t="s">
        <v>3821</v>
      </c>
      <c r="N141" s="55"/>
      <c r="O141" s="55"/>
    </row>
    <row r="142" spans="1:21">
      <c r="A142" s="47">
        <v>11116518</v>
      </c>
      <c r="B142" s="46" t="s">
        <v>3029</v>
      </c>
      <c r="C142" s="55" t="s">
        <v>3388</v>
      </c>
      <c r="D142" s="48">
        <v>19895</v>
      </c>
      <c r="E142" s="49">
        <f t="shared" ca="1" si="3"/>
        <v>72.028053857405396</v>
      </c>
      <c r="F142" s="50">
        <v>154645429</v>
      </c>
      <c r="G142" s="51" t="s">
        <v>23</v>
      </c>
      <c r="I142" s="52" t="s">
        <v>3327</v>
      </c>
      <c r="J142" s="55"/>
      <c r="K142" s="55"/>
      <c r="L142" s="55"/>
      <c r="M142" s="58" t="s">
        <v>25</v>
      </c>
      <c r="N142" s="55">
        <v>4353681</v>
      </c>
      <c r="O142" s="55">
        <v>108</v>
      </c>
    </row>
    <row r="143" spans="1:21">
      <c r="A143" s="75">
        <v>11116542</v>
      </c>
      <c r="B143" s="46" t="s">
        <v>190</v>
      </c>
      <c r="C143" s="52" t="s">
        <v>1185</v>
      </c>
      <c r="D143" s="48">
        <v>20071</v>
      </c>
      <c r="E143" s="49">
        <f t="shared" ca="1" si="3"/>
        <v>71.546187600795108</v>
      </c>
      <c r="F143" s="72">
        <v>155165817</v>
      </c>
      <c r="G143" s="51" t="s">
        <v>23</v>
      </c>
      <c r="I143" s="52" t="s">
        <v>1881</v>
      </c>
      <c r="J143" s="76" t="s">
        <v>2002</v>
      </c>
      <c r="K143" s="76"/>
      <c r="L143" s="76"/>
      <c r="M143" s="58" t="s">
        <v>25</v>
      </c>
      <c r="N143" s="55"/>
      <c r="O143" s="55"/>
    </row>
    <row r="144" spans="1:21">
      <c r="A144" s="75">
        <v>11116572</v>
      </c>
      <c r="B144" s="46" t="s">
        <v>2228</v>
      </c>
      <c r="C144" s="52" t="s">
        <v>1185</v>
      </c>
      <c r="D144" s="48">
        <v>20050</v>
      </c>
      <c r="E144" s="49">
        <f t="shared" ca="1" si="3"/>
        <v>71.603683006413377</v>
      </c>
      <c r="F144" s="72">
        <v>156092986</v>
      </c>
      <c r="G144" s="51" t="s">
        <v>23</v>
      </c>
      <c r="I144" s="52" t="s">
        <v>1881</v>
      </c>
      <c r="J144" s="76" t="s">
        <v>2229</v>
      </c>
      <c r="K144" s="76"/>
      <c r="L144" s="76"/>
      <c r="M144" s="77" t="s">
        <v>2230</v>
      </c>
      <c r="N144" s="55"/>
      <c r="O144" s="55"/>
    </row>
    <row r="145" spans="1:21">
      <c r="A145" s="47">
        <v>11162826</v>
      </c>
      <c r="B145" s="46" t="s">
        <v>1842</v>
      </c>
      <c r="C145" s="52" t="s">
        <v>3879</v>
      </c>
      <c r="D145" s="48">
        <v>20358</v>
      </c>
      <c r="E145" s="49">
        <f t="shared" ca="1" si="3"/>
        <v>70.759753593429153</v>
      </c>
      <c r="F145" s="50">
        <v>155467113</v>
      </c>
      <c r="G145" s="51" t="s">
        <v>23</v>
      </c>
      <c r="I145" s="52" t="s">
        <v>3630</v>
      </c>
      <c r="M145" s="53" t="s">
        <v>3880</v>
      </c>
      <c r="N145" s="55">
        <v>4107361</v>
      </c>
      <c r="O145" s="55"/>
    </row>
    <row r="146" spans="1:21">
      <c r="A146" s="47">
        <v>11238099</v>
      </c>
      <c r="B146" s="46" t="s">
        <v>4750</v>
      </c>
      <c r="C146" s="46" t="s">
        <v>4751</v>
      </c>
      <c r="E146" s="49" t="str">
        <f t="shared" ca="1" si="3"/>
        <v/>
      </c>
      <c r="F146" s="50">
        <v>155014822</v>
      </c>
      <c r="G146" s="51" t="s">
        <v>23</v>
      </c>
      <c r="I146" s="65" t="s">
        <v>4708</v>
      </c>
      <c r="M146" s="58" t="s">
        <v>25</v>
      </c>
    </row>
    <row r="147" spans="1:21">
      <c r="A147" s="47">
        <v>11238117</v>
      </c>
      <c r="B147" s="46" t="s">
        <v>1815</v>
      </c>
      <c r="C147" s="52" t="s">
        <v>962</v>
      </c>
      <c r="D147" s="48">
        <v>19689</v>
      </c>
      <c r="E147" s="49">
        <f t="shared" ca="1" si="3"/>
        <v>72.592718662128163</v>
      </c>
      <c r="F147" s="50">
        <v>156484955</v>
      </c>
      <c r="G147" s="51" t="s">
        <v>23</v>
      </c>
      <c r="I147" s="52" t="s">
        <v>1657</v>
      </c>
      <c r="J147" s="46" t="s">
        <v>1284</v>
      </c>
      <c r="M147" s="53" t="s">
        <v>1816</v>
      </c>
      <c r="N147" s="55"/>
      <c r="O147" s="55"/>
    </row>
    <row r="148" spans="1:21">
      <c r="A148" s="47">
        <v>11238659</v>
      </c>
      <c r="B148" s="46" t="s">
        <v>5324</v>
      </c>
      <c r="C148" s="52" t="s">
        <v>5325</v>
      </c>
      <c r="E148" s="49" t="str">
        <f t="shared" ca="1" si="3"/>
        <v/>
      </c>
      <c r="G148" s="51" t="s">
        <v>70</v>
      </c>
      <c r="I148" s="52" t="s">
        <v>5304</v>
      </c>
      <c r="J148" s="46" t="s">
        <v>2685</v>
      </c>
      <c r="M148" s="53" t="s">
        <v>5326</v>
      </c>
      <c r="N148" s="55">
        <v>4107223</v>
      </c>
      <c r="O148" s="55"/>
    </row>
    <row r="149" spans="1:21">
      <c r="A149" s="47">
        <v>11239004</v>
      </c>
      <c r="B149" s="46" t="s">
        <v>2243</v>
      </c>
      <c r="C149" s="52" t="s">
        <v>365</v>
      </c>
      <c r="D149" s="48">
        <v>19710</v>
      </c>
      <c r="E149" s="49">
        <f t="shared" ca="1" si="3"/>
        <v>72.535222731981648</v>
      </c>
      <c r="G149" s="51" t="s">
        <v>23</v>
      </c>
      <c r="I149" s="52" t="s">
        <v>1881</v>
      </c>
      <c r="J149" s="55" t="s">
        <v>2089</v>
      </c>
      <c r="K149" s="55"/>
      <c r="L149" s="55"/>
      <c r="M149" s="58" t="s">
        <v>25</v>
      </c>
      <c r="N149" s="55"/>
      <c r="O149" s="55"/>
    </row>
    <row r="150" spans="1:21">
      <c r="A150" s="64">
        <v>11239246</v>
      </c>
      <c r="B150" s="61" t="s">
        <v>4026</v>
      </c>
      <c r="C150" s="62" t="s">
        <v>4027</v>
      </c>
      <c r="D150" s="48">
        <v>19830</v>
      </c>
      <c r="E150" s="49">
        <f t="shared" ca="1" si="3"/>
        <v>72.206015827176245</v>
      </c>
      <c r="F150" s="63">
        <v>155817084</v>
      </c>
      <c r="G150" s="51" t="s">
        <v>23</v>
      </c>
      <c r="I150" s="52" t="s">
        <v>3999</v>
      </c>
      <c r="J150" s="61" t="s">
        <v>881</v>
      </c>
      <c r="K150" s="61"/>
      <c r="L150" s="61"/>
      <c r="M150" s="53" t="s">
        <v>4028</v>
      </c>
      <c r="N150" s="55"/>
      <c r="O150" s="55"/>
    </row>
    <row r="151" spans="1:21">
      <c r="A151" s="47">
        <v>11239557</v>
      </c>
      <c r="B151" s="46" t="s">
        <v>1385</v>
      </c>
      <c r="C151" s="46" t="s">
        <v>3655</v>
      </c>
      <c r="D151" s="48" t="s">
        <v>52</v>
      </c>
      <c r="E151" s="49" t="str">
        <f t="shared" ca="1" si="3"/>
        <v/>
      </c>
      <c r="F151" s="151">
        <v>153546954</v>
      </c>
      <c r="G151" s="51" t="s">
        <v>141</v>
      </c>
      <c r="H151" s="52" t="s">
        <v>52</v>
      </c>
      <c r="I151" s="52" t="s">
        <v>3630</v>
      </c>
      <c r="J151" s="46" t="s">
        <v>38</v>
      </c>
      <c r="K151" s="46" t="s">
        <v>81</v>
      </c>
      <c r="L151" s="46" t="s">
        <v>52</v>
      </c>
      <c r="M151" s="53" t="s">
        <v>3656</v>
      </c>
      <c r="N151" s="152">
        <v>4847347</v>
      </c>
      <c r="O151" s="46" t="s">
        <v>52</v>
      </c>
      <c r="P151" s="46" t="s">
        <v>59</v>
      </c>
      <c r="Q151" s="46" t="s">
        <v>60</v>
      </c>
      <c r="R151" s="46" t="s">
        <v>61</v>
      </c>
      <c r="S151" s="46" t="s">
        <v>62</v>
      </c>
      <c r="T151" s="46" t="s">
        <v>12</v>
      </c>
      <c r="U151" s="46" t="s">
        <v>63</v>
      </c>
    </row>
    <row r="152" spans="1:21">
      <c r="A152" s="47">
        <v>11283845</v>
      </c>
      <c r="B152" s="46" t="s">
        <v>6267</v>
      </c>
      <c r="C152" s="52" t="s">
        <v>6268</v>
      </c>
      <c r="D152" s="48">
        <v>20063</v>
      </c>
      <c r="E152" s="49">
        <f t="shared" ca="1" si="3"/>
        <v>71.568090612459216</v>
      </c>
      <c r="F152" s="50">
        <v>155369825</v>
      </c>
      <c r="G152" s="51" t="s">
        <v>23</v>
      </c>
      <c r="I152" s="52" t="s">
        <v>23</v>
      </c>
      <c r="J152" s="46" t="s">
        <v>1639</v>
      </c>
      <c r="M152" s="53" t="s">
        <v>6269</v>
      </c>
      <c r="N152" s="55"/>
      <c r="O152" s="55"/>
    </row>
    <row r="153" spans="1:21">
      <c r="A153" s="47">
        <v>11322668</v>
      </c>
      <c r="B153" s="46" t="s">
        <v>1565</v>
      </c>
      <c r="C153" s="46" t="s">
        <v>2751</v>
      </c>
      <c r="D153" s="48">
        <v>20018</v>
      </c>
      <c r="E153" s="49">
        <f t="shared" ca="1" si="3"/>
        <v>71.691295053069794</v>
      </c>
      <c r="F153" s="50">
        <v>154138271</v>
      </c>
      <c r="G153" s="51" t="s">
        <v>86</v>
      </c>
      <c r="I153" s="52" t="s">
        <v>2744</v>
      </c>
      <c r="J153" s="46" t="s">
        <v>38</v>
      </c>
      <c r="M153" s="53" t="s">
        <v>2752</v>
      </c>
      <c r="N153" s="46">
        <v>4248026</v>
      </c>
      <c r="O153" s="46">
        <v>7185</v>
      </c>
      <c r="P153" s="46">
        <v>4</v>
      </c>
    </row>
    <row r="154" spans="1:21">
      <c r="A154" s="47">
        <v>11380013</v>
      </c>
      <c r="B154" s="46" t="s">
        <v>2414</v>
      </c>
      <c r="C154" s="46" t="s">
        <v>767</v>
      </c>
      <c r="D154" s="48" t="s">
        <v>52</v>
      </c>
      <c r="E154" s="49" t="str">
        <f t="shared" ca="1" si="3"/>
        <v/>
      </c>
      <c r="F154" s="151">
        <v>4337303</v>
      </c>
      <c r="G154" s="51" t="s">
        <v>70</v>
      </c>
      <c r="H154" s="52" t="s">
        <v>2415</v>
      </c>
      <c r="I154" s="52" t="s">
        <v>1497</v>
      </c>
      <c r="J154" s="46" t="s">
        <v>2416</v>
      </c>
      <c r="K154" s="46" t="s">
        <v>390</v>
      </c>
      <c r="L154" s="152">
        <v>0</v>
      </c>
      <c r="M154" s="52" t="s">
        <v>2417</v>
      </c>
      <c r="N154" s="46" t="s">
        <v>52</v>
      </c>
      <c r="O154" s="46" t="s">
        <v>52</v>
      </c>
      <c r="P154" s="46" t="s">
        <v>59</v>
      </c>
      <c r="Q154" s="46" t="s">
        <v>60</v>
      </c>
      <c r="R154" s="46" t="s">
        <v>61</v>
      </c>
      <c r="S154" s="46" t="s">
        <v>62</v>
      </c>
      <c r="T154" s="46" t="s">
        <v>12</v>
      </c>
      <c r="U154" s="46" t="s">
        <v>63</v>
      </c>
    </row>
    <row r="155" spans="1:21">
      <c r="A155" s="47">
        <v>11463189</v>
      </c>
      <c r="B155" s="46" t="s">
        <v>5045</v>
      </c>
      <c r="C155" s="52" t="s">
        <v>5046</v>
      </c>
      <c r="D155" s="48">
        <v>20030</v>
      </c>
      <c r="E155" s="49">
        <f t="shared" ca="1" si="3"/>
        <v>71.658440535573646</v>
      </c>
      <c r="F155" s="50">
        <v>154651114</v>
      </c>
      <c r="G155" s="51" t="s">
        <v>23</v>
      </c>
      <c r="I155" s="65" t="s">
        <v>4954</v>
      </c>
      <c r="J155" s="46" t="s">
        <v>5047</v>
      </c>
      <c r="M155" s="53" t="s">
        <v>5048</v>
      </c>
      <c r="N155" s="55">
        <v>4005632</v>
      </c>
      <c r="O155" s="55"/>
    </row>
    <row r="156" spans="1:21">
      <c r="A156" s="47">
        <v>11463289</v>
      </c>
      <c r="B156" s="46" t="s">
        <v>1842</v>
      </c>
      <c r="C156" s="52" t="s">
        <v>1843</v>
      </c>
      <c r="D156" s="48">
        <v>40496</v>
      </c>
      <c r="E156" s="49">
        <f t="shared" ca="1" si="3"/>
        <v>15.625543565791592</v>
      </c>
      <c r="F156" s="50">
        <v>156415487</v>
      </c>
      <c r="G156" s="51" t="s">
        <v>141</v>
      </c>
      <c r="I156" s="52" t="s">
        <v>1657</v>
      </c>
      <c r="J156" s="46" t="s">
        <v>1844</v>
      </c>
      <c r="M156" s="58" t="s">
        <v>25</v>
      </c>
      <c r="N156" s="55">
        <v>4107551</v>
      </c>
      <c r="O156" s="55"/>
    </row>
    <row r="157" spans="1:21">
      <c r="A157" s="47">
        <v>11463299</v>
      </c>
      <c r="B157" s="46" t="s">
        <v>1842</v>
      </c>
      <c r="C157" s="46" t="s">
        <v>1843</v>
      </c>
      <c r="D157" s="48">
        <v>20042</v>
      </c>
      <c r="E157" s="49">
        <f t="shared" ca="1" si="3"/>
        <v>71.625586018077485</v>
      </c>
      <c r="F157" s="50">
        <v>156415487</v>
      </c>
      <c r="G157" s="51" t="s">
        <v>141</v>
      </c>
      <c r="I157" s="52" t="s">
        <v>1657</v>
      </c>
      <c r="J157" s="46" t="s">
        <v>1472</v>
      </c>
      <c r="M157" s="53" t="s">
        <v>1846</v>
      </c>
      <c r="N157" s="46">
        <v>4107551</v>
      </c>
      <c r="P157" s="46">
        <v>3</v>
      </c>
    </row>
    <row r="158" spans="1:21">
      <c r="A158" s="47">
        <v>11463679</v>
      </c>
      <c r="B158" s="46" t="s">
        <v>707</v>
      </c>
      <c r="C158" s="52" t="s">
        <v>708</v>
      </c>
      <c r="D158" s="48">
        <v>22277</v>
      </c>
      <c r="E158" s="49">
        <f t="shared" ca="1" si="3"/>
        <v>65.505148741418765</v>
      </c>
      <c r="F158" s="50">
        <v>3815025441</v>
      </c>
      <c r="G158" s="51" t="s">
        <v>23</v>
      </c>
      <c r="I158" s="52" t="s">
        <v>594</v>
      </c>
      <c r="J158" s="46" t="s">
        <v>709</v>
      </c>
      <c r="M158" s="53" t="s">
        <v>710</v>
      </c>
      <c r="N158" s="55"/>
      <c r="O158" s="55"/>
    </row>
    <row r="159" spans="1:21">
      <c r="A159" s="66">
        <v>11463722</v>
      </c>
      <c r="B159" s="67" t="s">
        <v>324</v>
      </c>
      <c r="C159" s="52" t="s">
        <v>325</v>
      </c>
      <c r="D159" s="48">
        <v>20212</v>
      </c>
      <c r="E159" s="49">
        <f t="shared" ca="1" si="3"/>
        <v>71.15947980835044</v>
      </c>
      <c r="F159" s="57"/>
      <c r="G159" s="51" t="s">
        <v>23</v>
      </c>
      <c r="I159" s="52" t="s">
        <v>24</v>
      </c>
      <c r="M159" s="58" t="s">
        <v>25</v>
      </c>
      <c r="N159" s="55"/>
      <c r="O159" s="55"/>
    </row>
    <row r="160" spans="1:21">
      <c r="A160" s="47">
        <v>11463963</v>
      </c>
      <c r="B160" s="46" t="s">
        <v>288</v>
      </c>
      <c r="C160" s="52" t="s">
        <v>289</v>
      </c>
      <c r="D160" s="48">
        <v>20125</v>
      </c>
      <c r="E160" s="49">
        <f t="shared" ca="1" si="3"/>
        <v>71.397672826830942</v>
      </c>
      <c r="G160" s="51" t="s">
        <v>141</v>
      </c>
      <c r="I160" s="52" t="s">
        <v>24</v>
      </c>
      <c r="J160" s="46" t="s">
        <v>290</v>
      </c>
      <c r="M160" s="58" t="s">
        <v>25</v>
      </c>
      <c r="N160" s="55"/>
      <c r="O160" s="55"/>
    </row>
    <row r="161" spans="1:21">
      <c r="A161" s="47">
        <v>11475132</v>
      </c>
      <c r="B161" s="46" t="s">
        <v>5034</v>
      </c>
      <c r="C161" s="46" t="s">
        <v>6492</v>
      </c>
      <c r="D161" s="48">
        <v>20026</v>
      </c>
      <c r="E161" s="49">
        <f t="shared" ca="1" si="3"/>
        <v>71.6693920414057</v>
      </c>
      <c r="F161" s="50">
        <v>155140290</v>
      </c>
      <c r="G161" s="51" t="s">
        <v>54</v>
      </c>
      <c r="I161" s="62" t="s">
        <v>6489</v>
      </c>
      <c r="J161" s="46" t="s">
        <v>290</v>
      </c>
      <c r="M161" s="58" t="s">
        <v>25</v>
      </c>
      <c r="N161" s="46">
        <v>4229118</v>
      </c>
      <c r="P161" s="46">
        <v>3</v>
      </c>
    </row>
    <row r="162" spans="1:21">
      <c r="A162" s="47">
        <v>11475213</v>
      </c>
      <c r="B162" s="46" t="s">
        <v>428</v>
      </c>
      <c r="C162" s="52" t="s">
        <v>3269</v>
      </c>
      <c r="D162" s="48">
        <v>19899</v>
      </c>
      <c r="E162" s="49">
        <f t="shared" ca="1" si="3"/>
        <v>72.017102351573342</v>
      </c>
      <c r="G162" s="51" t="s">
        <v>23</v>
      </c>
      <c r="I162" s="52" t="s">
        <v>3166</v>
      </c>
      <c r="J162" s="46" t="s">
        <v>2080</v>
      </c>
      <c r="M162" s="58" t="s">
        <v>25</v>
      </c>
      <c r="N162" s="55"/>
      <c r="O162" s="55">
        <v>26</v>
      </c>
    </row>
    <row r="163" spans="1:21">
      <c r="A163" s="47">
        <v>11475247</v>
      </c>
      <c r="B163" s="46" t="s">
        <v>1610</v>
      </c>
      <c r="C163" s="52" t="s">
        <v>1611</v>
      </c>
      <c r="D163" s="48">
        <v>19904</v>
      </c>
      <c r="E163" s="49">
        <f t="shared" ca="1" si="3"/>
        <v>72.003412969283275</v>
      </c>
      <c r="F163" s="50">
        <v>154578139</v>
      </c>
      <c r="G163" s="51" t="s">
        <v>86</v>
      </c>
      <c r="I163" s="52" t="s">
        <v>1497</v>
      </c>
      <c r="J163" s="46" t="s">
        <v>1612</v>
      </c>
      <c r="M163" s="58" t="s">
        <v>25</v>
      </c>
      <c r="N163" s="55"/>
      <c r="O163" s="55"/>
    </row>
    <row r="164" spans="1:21">
      <c r="A164" s="47">
        <v>11475297</v>
      </c>
      <c r="B164" s="46" t="s">
        <v>3425</v>
      </c>
      <c r="C164" s="46" t="s">
        <v>5504</v>
      </c>
      <c r="E164" s="49" t="str">
        <f t="shared" ca="1" si="3"/>
        <v/>
      </c>
      <c r="G164" s="51" t="s">
        <v>23</v>
      </c>
      <c r="I164" s="52" t="s">
        <v>5494</v>
      </c>
      <c r="M164" s="58" t="s">
        <v>25</v>
      </c>
    </row>
    <row r="165" spans="1:21">
      <c r="A165" s="47">
        <v>11475683</v>
      </c>
      <c r="B165" s="46" t="s">
        <v>6466</v>
      </c>
      <c r="C165" s="46" t="s">
        <v>3850</v>
      </c>
      <c r="D165" s="48">
        <v>20115</v>
      </c>
      <c r="E165" s="49">
        <f t="shared" ca="1" si="3"/>
        <v>71.42505133470226</v>
      </c>
      <c r="F165" s="151">
        <v>3815083168</v>
      </c>
      <c r="G165" s="51" t="s">
        <v>70</v>
      </c>
      <c r="H165" s="52" t="s">
        <v>6467</v>
      </c>
      <c r="I165" s="52" t="s">
        <v>23</v>
      </c>
      <c r="J165" s="46" t="s">
        <v>52</v>
      </c>
      <c r="K165" s="46" t="s">
        <v>390</v>
      </c>
      <c r="L165" s="152">
        <v>6</v>
      </c>
      <c r="M165" s="52" t="s">
        <v>6468</v>
      </c>
      <c r="N165" s="46" t="s">
        <v>52</v>
      </c>
      <c r="O165" s="46" t="s">
        <v>52</v>
      </c>
      <c r="P165" s="46" t="s">
        <v>59</v>
      </c>
      <c r="Q165" s="46" t="s">
        <v>60</v>
      </c>
      <c r="R165" s="46" t="s">
        <v>61</v>
      </c>
      <c r="S165" s="46" t="s">
        <v>62</v>
      </c>
      <c r="T165" s="46" t="s">
        <v>12</v>
      </c>
      <c r="U165" s="46" t="s">
        <v>63</v>
      </c>
    </row>
    <row r="166" spans="1:21">
      <c r="A166" s="47">
        <v>11475740</v>
      </c>
      <c r="B166" s="46" t="s">
        <v>4067</v>
      </c>
      <c r="C166" s="52" t="s">
        <v>2870</v>
      </c>
      <c r="D166" s="48">
        <v>20008</v>
      </c>
      <c r="E166" s="49">
        <f t="shared" ca="1" si="3"/>
        <v>71.718673817649929</v>
      </c>
      <c r="F166" s="50">
        <v>155602055</v>
      </c>
      <c r="G166" s="51" t="s">
        <v>141</v>
      </c>
      <c r="I166" s="52" t="s">
        <v>5761</v>
      </c>
      <c r="J166" s="46" t="s">
        <v>5802</v>
      </c>
      <c r="M166" s="58" t="s">
        <v>25</v>
      </c>
      <c r="N166" s="55" t="s">
        <v>5803</v>
      </c>
      <c r="O166" s="55"/>
    </row>
    <row r="167" spans="1:21">
      <c r="A167" s="47">
        <v>11475864</v>
      </c>
      <c r="B167" s="46" t="s">
        <v>1706</v>
      </c>
      <c r="C167" s="52" t="s">
        <v>1707</v>
      </c>
      <c r="E167" s="49" t="str">
        <f t="shared" ca="1" si="3"/>
        <v/>
      </c>
      <c r="F167" s="50">
        <v>154904935</v>
      </c>
      <c r="G167" s="51" t="s">
        <v>70</v>
      </c>
      <c r="I167" s="52" t="s">
        <v>1657</v>
      </c>
      <c r="J167" s="46" t="s">
        <v>48</v>
      </c>
      <c r="M167" s="58" t="s">
        <v>25</v>
      </c>
      <c r="N167" s="55"/>
      <c r="O167" s="55"/>
    </row>
    <row r="168" spans="1:21">
      <c r="A168" s="47">
        <v>11475984</v>
      </c>
      <c r="B168" s="46" t="s">
        <v>3041</v>
      </c>
      <c r="C168" s="55" t="s">
        <v>783</v>
      </c>
      <c r="D168" s="48" t="s">
        <v>52</v>
      </c>
      <c r="E168" s="49" t="str">
        <f t="shared" ca="1" si="3"/>
        <v/>
      </c>
      <c r="F168" s="151">
        <v>155055318</v>
      </c>
      <c r="G168" s="51" t="s">
        <v>86</v>
      </c>
      <c r="H168" s="52" t="s">
        <v>52</v>
      </c>
      <c r="I168" s="52" t="s">
        <v>2926</v>
      </c>
      <c r="J168" s="55" t="s">
        <v>3042</v>
      </c>
      <c r="K168" s="55" t="s">
        <v>81</v>
      </c>
      <c r="L168" s="153">
        <v>2</v>
      </c>
      <c r="M168" s="53" t="s">
        <v>3043</v>
      </c>
      <c r="N168" s="153">
        <v>4303727</v>
      </c>
      <c r="O168" s="55" t="s">
        <v>52</v>
      </c>
      <c r="P168" s="46" t="s">
        <v>59</v>
      </c>
      <c r="Q168" s="46" t="s">
        <v>60</v>
      </c>
      <c r="R168" s="46" t="s">
        <v>61</v>
      </c>
      <c r="S168" s="46" t="s">
        <v>62</v>
      </c>
      <c r="T168" s="46" t="s">
        <v>12</v>
      </c>
      <c r="U168" s="46" t="s">
        <v>63</v>
      </c>
    </row>
    <row r="169" spans="1:21">
      <c r="A169" s="47">
        <v>11476302</v>
      </c>
      <c r="B169" s="46" t="s">
        <v>4328</v>
      </c>
      <c r="C169" s="52" t="s">
        <v>3850</v>
      </c>
      <c r="D169" s="48">
        <v>20056</v>
      </c>
      <c r="E169" s="49">
        <f t="shared" ca="1" si="3"/>
        <v>71.58725574766531</v>
      </c>
      <c r="F169" s="50">
        <v>155081355</v>
      </c>
      <c r="G169" s="51" t="s">
        <v>23</v>
      </c>
      <c r="I169" s="52" t="s">
        <v>4245</v>
      </c>
      <c r="J169" s="46" t="s">
        <v>1004</v>
      </c>
      <c r="M169" s="53" t="s">
        <v>4329</v>
      </c>
      <c r="N169" s="55"/>
      <c r="O169" s="55"/>
    </row>
    <row r="170" spans="1:21">
      <c r="A170" s="47">
        <v>11551761</v>
      </c>
      <c r="B170" s="46" t="s">
        <v>4085</v>
      </c>
      <c r="C170" s="46" t="s">
        <v>962</v>
      </c>
      <c r="D170" s="48">
        <v>20038</v>
      </c>
      <c r="E170" s="49">
        <f t="shared" ca="1" si="3"/>
        <v>71.636537523909539</v>
      </c>
      <c r="F170" s="50" t="s">
        <v>4086</v>
      </c>
      <c r="G170" s="51" t="s">
        <v>23</v>
      </c>
      <c r="I170" s="52" t="s">
        <v>4078</v>
      </c>
      <c r="J170" s="46" t="s">
        <v>668</v>
      </c>
      <c r="M170" s="53" t="s">
        <v>4087</v>
      </c>
      <c r="N170" s="46">
        <v>3865483797</v>
      </c>
      <c r="O170" s="46">
        <v>12</v>
      </c>
    </row>
    <row r="171" spans="1:21">
      <c r="A171" s="47">
        <v>11605505</v>
      </c>
      <c r="B171" s="46" t="s">
        <v>3129</v>
      </c>
      <c r="C171" s="52" t="s">
        <v>981</v>
      </c>
      <c r="D171" s="48">
        <v>18006</v>
      </c>
      <c r="E171" s="49">
        <f t="shared" ca="1" si="3"/>
        <v>77.200533539260775</v>
      </c>
      <c r="F171" s="50">
        <v>154757580</v>
      </c>
      <c r="G171" s="51" t="s">
        <v>54</v>
      </c>
      <c r="I171" s="59" t="s">
        <v>908</v>
      </c>
      <c r="J171" s="46" t="s">
        <v>982</v>
      </c>
      <c r="M171" s="58" t="s">
        <v>25</v>
      </c>
      <c r="N171" s="55">
        <v>4247752</v>
      </c>
      <c r="O171" s="55">
        <v>7098</v>
      </c>
    </row>
    <row r="172" spans="1:21">
      <c r="A172" s="47">
        <v>11620975</v>
      </c>
      <c r="B172" s="46" t="s">
        <v>207</v>
      </c>
      <c r="C172" s="46" t="s">
        <v>5570</v>
      </c>
      <c r="D172" s="48">
        <v>19986</v>
      </c>
      <c r="E172" s="49">
        <f t="shared" ca="1" si="3"/>
        <v>71.778907099726212</v>
      </c>
      <c r="F172" s="50">
        <v>154964215</v>
      </c>
      <c r="G172" s="51" t="s">
        <v>86</v>
      </c>
      <c r="I172" s="52" t="s">
        <v>5494</v>
      </c>
      <c r="J172" s="46" t="s">
        <v>2685</v>
      </c>
      <c r="M172" s="52" t="s">
        <v>5571</v>
      </c>
      <c r="P172" s="46">
        <v>3</v>
      </c>
    </row>
    <row r="173" spans="1:21">
      <c r="A173" s="66">
        <v>11649811</v>
      </c>
      <c r="B173" s="67" t="s">
        <v>128</v>
      </c>
      <c r="C173" s="52" t="s">
        <v>50</v>
      </c>
      <c r="D173" s="48">
        <v>20166</v>
      </c>
      <c r="E173" s="49">
        <f t="shared" ca="1" si="3"/>
        <v>71.285420944558524</v>
      </c>
      <c r="F173" s="57"/>
      <c r="G173" s="51" t="s">
        <v>23</v>
      </c>
      <c r="I173" s="52" t="s">
        <v>24</v>
      </c>
      <c r="M173" s="58" t="s">
        <v>25</v>
      </c>
      <c r="N173" s="55"/>
      <c r="O173" s="55"/>
    </row>
    <row r="174" spans="1:21">
      <c r="A174" s="47">
        <v>11656861</v>
      </c>
      <c r="B174" s="46" t="s">
        <v>4377</v>
      </c>
      <c r="C174" s="52" t="s">
        <v>4378</v>
      </c>
      <c r="D174" s="48">
        <v>20345</v>
      </c>
      <c r="E174" s="49">
        <f t="shared" ca="1" si="3"/>
        <v>70.795345653661869</v>
      </c>
      <c r="F174" s="50">
        <v>155020176</v>
      </c>
      <c r="G174" s="51" t="s">
        <v>78</v>
      </c>
      <c r="I174" s="52" t="s">
        <v>4245</v>
      </c>
      <c r="J174" s="46" t="s">
        <v>4379</v>
      </c>
      <c r="M174" s="53"/>
      <c r="N174" s="55">
        <v>4247752</v>
      </c>
      <c r="O174" s="55">
        <v>7049</v>
      </c>
    </row>
    <row r="175" spans="1:21">
      <c r="A175" s="47">
        <v>11707323</v>
      </c>
      <c r="B175" s="46" t="s">
        <v>1133</v>
      </c>
      <c r="C175" s="52" t="s">
        <v>274</v>
      </c>
      <c r="D175" s="48">
        <v>20027</v>
      </c>
      <c r="E175" s="49">
        <f t="shared" ca="1" si="3"/>
        <v>71.666654164947687</v>
      </c>
      <c r="F175" s="50">
        <v>155762131</v>
      </c>
      <c r="G175" s="51" t="s">
        <v>70</v>
      </c>
      <c r="I175" s="59" t="s">
        <v>908</v>
      </c>
      <c r="M175" s="53" t="s">
        <v>1134</v>
      </c>
      <c r="N175" s="55">
        <v>4247752</v>
      </c>
      <c r="O175" s="55"/>
    </row>
    <row r="176" spans="1:21">
      <c r="A176" s="47">
        <v>11707394</v>
      </c>
      <c r="B176" s="46" t="s">
        <v>5240</v>
      </c>
      <c r="C176" s="46" t="s">
        <v>5241</v>
      </c>
      <c r="D176" s="48">
        <v>20136</v>
      </c>
      <c r="E176" s="49">
        <f t="shared" ca="1" si="3"/>
        <v>71.367556468172481</v>
      </c>
      <c r="F176" s="50" t="s">
        <v>5242</v>
      </c>
      <c r="G176" s="51" t="s">
        <v>70</v>
      </c>
      <c r="H176" s="52" t="s">
        <v>5243</v>
      </c>
      <c r="I176" s="52" t="s">
        <v>5176</v>
      </c>
      <c r="J176" s="46" t="s">
        <v>52</v>
      </c>
      <c r="K176" s="46" t="s">
        <v>81</v>
      </c>
      <c r="L176" s="152">
        <v>0</v>
      </c>
      <c r="M176" s="52" t="s">
        <v>5244</v>
      </c>
      <c r="N176" s="152">
        <v>4300127</v>
      </c>
      <c r="O176" s="152">
        <v>225</v>
      </c>
      <c r="P176" s="46" t="s">
        <v>59</v>
      </c>
      <c r="Q176" s="46" t="s">
        <v>60</v>
      </c>
      <c r="R176" s="46" t="s">
        <v>61</v>
      </c>
      <c r="S176" s="46" t="s">
        <v>62</v>
      </c>
      <c r="T176" s="46" t="s">
        <v>12</v>
      </c>
      <c r="U176" s="46" t="s">
        <v>63</v>
      </c>
    </row>
    <row r="177" spans="1:21">
      <c r="A177" s="47">
        <v>11707732</v>
      </c>
      <c r="B177" s="46" t="s">
        <v>4506</v>
      </c>
      <c r="C177" s="52" t="s">
        <v>4507</v>
      </c>
      <c r="D177" s="48">
        <v>20174</v>
      </c>
      <c r="E177" s="49">
        <f t="shared" ca="1" si="3"/>
        <v>71.26351813826146</v>
      </c>
      <c r="F177" s="50">
        <v>156824712</v>
      </c>
      <c r="G177" s="51" t="s">
        <v>141</v>
      </c>
      <c r="I177" s="52" t="s">
        <v>4499</v>
      </c>
      <c r="J177" s="46" t="s">
        <v>4508</v>
      </c>
      <c r="M177" s="58" t="s">
        <v>25</v>
      </c>
      <c r="N177" s="55">
        <v>4107307</v>
      </c>
      <c r="O177" s="55"/>
    </row>
    <row r="178" spans="1:21">
      <c r="A178" s="47">
        <v>11708174</v>
      </c>
      <c r="B178" s="46" t="s">
        <v>1628</v>
      </c>
      <c r="C178" s="52" t="s">
        <v>1629</v>
      </c>
      <c r="D178" s="48">
        <v>20184</v>
      </c>
      <c r="E178" s="49">
        <f t="shared" ca="1" si="3"/>
        <v>71.236139630390142</v>
      </c>
      <c r="F178" s="50">
        <v>154036072</v>
      </c>
      <c r="G178" s="51" t="s">
        <v>23</v>
      </c>
      <c r="I178" s="52" t="s">
        <v>1497</v>
      </c>
      <c r="M178" s="53" t="s">
        <v>1630</v>
      </c>
      <c r="N178" s="55"/>
      <c r="O178" s="55"/>
    </row>
    <row r="179" spans="1:21">
      <c r="A179" s="66">
        <v>11708320</v>
      </c>
      <c r="B179" s="67" t="s">
        <v>94</v>
      </c>
      <c r="C179" s="52" t="s">
        <v>95</v>
      </c>
      <c r="D179" s="48">
        <v>20353</v>
      </c>
      <c r="E179" s="49">
        <f t="shared" ca="1" si="3"/>
        <v>70.773442847364819</v>
      </c>
      <c r="F179" s="57"/>
      <c r="G179" s="51" t="s">
        <v>23</v>
      </c>
      <c r="I179" s="52" t="s">
        <v>24</v>
      </c>
      <c r="M179" s="58" t="s">
        <v>25</v>
      </c>
      <c r="N179" s="55"/>
      <c r="O179" s="55"/>
    </row>
    <row r="180" spans="1:21">
      <c r="A180" s="47">
        <v>11708350</v>
      </c>
      <c r="B180" s="46" t="s">
        <v>870</v>
      </c>
      <c r="C180" s="52" t="s">
        <v>783</v>
      </c>
      <c r="D180" s="48">
        <v>20089</v>
      </c>
      <c r="E180" s="49">
        <f t="shared" ca="1" si="3"/>
        <v>71.496905824550879</v>
      </c>
      <c r="F180" s="50">
        <v>156200139</v>
      </c>
      <c r="G180" s="51" t="s">
        <v>23</v>
      </c>
      <c r="I180" s="52" t="s">
        <v>848</v>
      </c>
      <c r="J180" s="46" t="s">
        <v>871</v>
      </c>
      <c r="M180" s="53" t="s">
        <v>872</v>
      </c>
      <c r="N180" s="55"/>
      <c r="O180" s="55"/>
    </row>
    <row r="181" spans="1:21">
      <c r="A181" s="47">
        <v>11762457</v>
      </c>
      <c r="B181" s="46" t="s">
        <v>1762</v>
      </c>
      <c r="C181" s="52" t="s">
        <v>2092</v>
      </c>
      <c r="D181" s="48">
        <v>20160</v>
      </c>
      <c r="E181" s="49">
        <f t="shared" ca="1" si="3"/>
        <v>71.301848049281318</v>
      </c>
      <c r="F181" s="50">
        <v>156258027</v>
      </c>
      <c r="G181" s="51" t="s">
        <v>37</v>
      </c>
      <c r="I181" s="52" t="s">
        <v>1881</v>
      </c>
      <c r="J181" s="46" t="s">
        <v>470</v>
      </c>
      <c r="M181" s="53" t="s">
        <v>2093</v>
      </c>
      <c r="N181" s="55">
        <v>4107579</v>
      </c>
      <c r="O181" s="55">
        <v>7784</v>
      </c>
    </row>
    <row r="182" spans="1:21">
      <c r="A182" s="47">
        <v>11768665</v>
      </c>
      <c r="B182" s="46" t="s">
        <v>1910</v>
      </c>
      <c r="C182" s="46" t="s">
        <v>1911</v>
      </c>
      <c r="D182" s="48">
        <v>20065</v>
      </c>
      <c r="E182" s="49">
        <f t="shared" ca="1" si="3"/>
        <v>71.562614859543189</v>
      </c>
      <c r="F182" s="50">
        <v>155601368</v>
      </c>
      <c r="G182" s="51" t="s">
        <v>141</v>
      </c>
      <c r="I182" s="52" t="s">
        <v>1881</v>
      </c>
      <c r="J182" s="46" t="s">
        <v>1691</v>
      </c>
      <c r="M182" s="53" t="s">
        <v>1912</v>
      </c>
      <c r="N182" s="46">
        <v>4107576</v>
      </c>
      <c r="O182" s="46">
        <v>7576</v>
      </c>
    </row>
    <row r="183" spans="1:21">
      <c r="A183" s="47">
        <v>11795038</v>
      </c>
      <c r="B183" s="46" t="s">
        <v>8792</v>
      </c>
      <c r="C183" s="52" t="s">
        <v>3729</v>
      </c>
      <c r="D183" s="48">
        <v>20227</v>
      </c>
      <c r="E183" s="49">
        <f t="shared" ca="1" si="3"/>
        <v>71.118412046543469</v>
      </c>
      <c r="G183" s="51" t="s">
        <v>86</v>
      </c>
      <c r="I183" s="52" t="s">
        <v>3630</v>
      </c>
      <c r="J183" s="46" t="s">
        <v>38</v>
      </c>
      <c r="M183" s="58" t="s">
        <v>25</v>
      </c>
      <c r="N183" s="55"/>
      <c r="O183" s="55"/>
    </row>
    <row r="184" spans="1:21">
      <c r="A184" s="66">
        <v>11900678</v>
      </c>
      <c r="B184" s="67" t="s">
        <v>362</v>
      </c>
      <c r="C184" s="52" t="s">
        <v>363</v>
      </c>
      <c r="D184" s="48">
        <v>20231</v>
      </c>
      <c r="E184" s="49">
        <f t="shared" ca="1" si="3"/>
        <v>71.10746064339493</v>
      </c>
      <c r="F184" s="57">
        <v>155982988</v>
      </c>
      <c r="G184" s="51" t="s">
        <v>23</v>
      </c>
      <c r="I184" s="52" t="s">
        <v>24</v>
      </c>
      <c r="M184" s="58" t="s">
        <v>25</v>
      </c>
      <c r="N184" s="55"/>
      <c r="O184" s="55"/>
    </row>
    <row r="185" spans="1:21">
      <c r="A185" s="47">
        <v>11909595</v>
      </c>
      <c r="B185" s="46" t="s">
        <v>4691</v>
      </c>
      <c r="C185" s="46" t="s">
        <v>4692</v>
      </c>
      <c r="D185" s="48">
        <v>20266</v>
      </c>
      <c r="E185" s="49">
        <f t="shared" ca="1" si="3"/>
        <v>71.011635865845307</v>
      </c>
      <c r="F185" s="50" t="s">
        <v>52</v>
      </c>
      <c r="G185" s="51" t="s">
        <v>70</v>
      </c>
      <c r="H185" s="52" t="s">
        <v>4693</v>
      </c>
      <c r="I185" s="52" t="s">
        <v>4499</v>
      </c>
      <c r="J185" s="46" t="s">
        <v>4694</v>
      </c>
      <c r="K185" s="46" t="s">
        <v>390</v>
      </c>
      <c r="L185" s="152">
        <v>0</v>
      </c>
      <c r="M185" s="52" t="s">
        <v>4695</v>
      </c>
      <c r="N185" s="152">
        <v>4847320</v>
      </c>
      <c r="O185" s="46" t="s">
        <v>52</v>
      </c>
      <c r="P185" s="46" t="s">
        <v>59</v>
      </c>
      <c r="Q185" s="46" t="s">
        <v>60</v>
      </c>
      <c r="R185" s="46" t="s">
        <v>61</v>
      </c>
      <c r="S185" s="46" t="s">
        <v>62</v>
      </c>
      <c r="T185" s="46" t="s">
        <v>12</v>
      </c>
      <c r="U185" s="46" t="s">
        <v>63</v>
      </c>
    </row>
    <row r="186" spans="1:21">
      <c r="A186" s="47">
        <v>11909679</v>
      </c>
      <c r="B186" s="46" t="s">
        <v>3357</v>
      </c>
      <c r="C186" s="52" t="s">
        <v>832</v>
      </c>
      <c r="D186" s="48">
        <v>20106</v>
      </c>
      <c r="E186" s="49">
        <f t="shared" ca="1" si="3"/>
        <v>71.449691991786452</v>
      </c>
      <c r="F186" s="50">
        <v>154145508</v>
      </c>
      <c r="G186" s="51" t="s">
        <v>23</v>
      </c>
      <c r="I186" s="52" t="s">
        <v>5761</v>
      </c>
      <c r="M186" s="53" t="s">
        <v>5778</v>
      </c>
      <c r="N186" s="55"/>
      <c r="O186" s="55"/>
    </row>
    <row r="187" spans="1:21">
      <c r="A187" s="47">
        <v>11909893</v>
      </c>
      <c r="B187" s="46" t="s">
        <v>7657</v>
      </c>
      <c r="C187" s="52" t="s">
        <v>455</v>
      </c>
      <c r="D187" s="48">
        <v>20349</v>
      </c>
      <c r="E187" s="49">
        <f t="shared" ca="1" si="3"/>
        <v>70.784394250513344</v>
      </c>
      <c r="F187" s="50">
        <v>156413239</v>
      </c>
      <c r="G187" s="51" t="s">
        <v>23</v>
      </c>
      <c r="I187" s="52" t="s">
        <v>24</v>
      </c>
      <c r="J187" s="46" t="s">
        <v>456</v>
      </c>
      <c r="M187" s="53" t="s">
        <v>457</v>
      </c>
      <c r="N187" s="55"/>
      <c r="O187" s="55"/>
    </row>
    <row r="188" spans="1:21">
      <c r="A188" s="47">
        <v>11910373</v>
      </c>
      <c r="B188" s="46" t="s">
        <v>2288</v>
      </c>
      <c r="C188" s="52" t="s">
        <v>2289</v>
      </c>
      <c r="D188" s="48">
        <v>20417</v>
      </c>
      <c r="E188" s="49">
        <f t="shared" ca="1" si="3"/>
        <v>70.598220396988367</v>
      </c>
      <c r="G188" s="51" t="s">
        <v>23</v>
      </c>
      <c r="I188" s="52" t="s">
        <v>1881</v>
      </c>
      <c r="J188" s="46" t="s">
        <v>2290</v>
      </c>
      <c r="M188" s="58" t="s">
        <v>25</v>
      </c>
      <c r="N188" s="55"/>
      <c r="O188" s="55"/>
    </row>
    <row r="189" spans="1:21">
      <c r="A189" s="47">
        <v>11910739</v>
      </c>
      <c r="B189" s="46" t="s">
        <v>5685</v>
      </c>
      <c r="C189" s="52" t="s">
        <v>5686</v>
      </c>
      <c r="D189" s="48">
        <v>20418</v>
      </c>
      <c r="E189" s="49">
        <f t="shared" ca="1" si="3"/>
        <v>70.595482546201225</v>
      </c>
      <c r="F189" s="50">
        <v>156259453</v>
      </c>
      <c r="G189" s="51" t="s">
        <v>23</v>
      </c>
      <c r="I189" s="52" t="s">
        <v>5494</v>
      </c>
      <c r="J189" s="46" t="s">
        <v>5687</v>
      </c>
      <c r="M189" s="53" t="s">
        <v>5688</v>
      </c>
      <c r="N189" s="55"/>
      <c r="O189" s="55"/>
    </row>
    <row r="190" spans="1:21">
      <c r="A190" s="47">
        <v>11910769</v>
      </c>
      <c r="B190" s="46" t="s">
        <v>3826</v>
      </c>
      <c r="C190" s="46" t="s">
        <v>3827</v>
      </c>
      <c r="D190" s="48">
        <v>20430</v>
      </c>
      <c r="E190" s="49">
        <f t="shared" ca="1" si="3"/>
        <v>70.562628336755651</v>
      </c>
      <c r="F190" s="50">
        <v>156684810</v>
      </c>
      <c r="G190" s="51" t="s">
        <v>23</v>
      </c>
      <c r="I190" s="52" t="s">
        <v>3630</v>
      </c>
      <c r="M190" s="53" t="s">
        <v>3828</v>
      </c>
      <c r="N190" s="46">
        <v>4847358</v>
      </c>
    </row>
    <row r="191" spans="1:21">
      <c r="A191" s="47">
        <v>11910796</v>
      </c>
      <c r="B191" s="46" t="s">
        <v>3826</v>
      </c>
      <c r="C191" s="46" t="s">
        <v>3829</v>
      </c>
      <c r="D191" s="48">
        <v>20430</v>
      </c>
      <c r="E191" s="49">
        <f t="shared" ca="1" si="3"/>
        <v>70.562628336755651</v>
      </c>
      <c r="F191" s="50">
        <v>156684810</v>
      </c>
      <c r="G191" s="51" t="s">
        <v>23</v>
      </c>
      <c r="I191" s="52" t="s">
        <v>3630</v>
      </c>
      <c r="J191" s="46" t="s">
        <v>3830</v>
      </c>
      <c r="M191" s="53" t="s">
        <v>3831</v>
      </c>
      <c r="N191" s="46">
        <v>4847358</v>
      </c>
      <c r="O191" s="46">
        <v>7438</v>
      </c>
    </row>
    <row r="192" spans="1:21">
      <c r="A192" s="47">
        <v>11915074</v>
      </c>
      <c r="B192" s="46" t="s">
        <v>1283</v>
      </c>
      <c r="C192" s="52" t="s">
        <v>5431</v>
      </c>
      <c r="D192" s="48">
        <v>20385</v>
      </c>
      <c r="E192" s="49">
        <f t="shared" ca="1" si="3"/>
        <v>70.685831622176593</v>
      </c>
      <c r="G192" s="51" t="s">
        <v>70</v>
      </c>
      <c r="I192" s="52" t="s">
        <v>5304</v>
      </c>
      <c r="J192" s="46" t="s">
        <v>5432</v>
      </c>
      <c r="M192" s="58" t="s">
        <v>25</v>
      </c>
      <c r="N192" s="55">
        <v>4107223</v>
      </c>
      <c r="O192" s="55"/>
    </row>
    <row r="193" spans="1:15">
      <c r="A193" s="47">
        <v>11915438</v>
      </c>
      <c r="B193" s="46" t="s">
        <v>1482</v>
      </c>
      <c r="C193" s="52" t="s">
        <v>1938</v>
      </c>
      <c r="D193" s="48">
        <v>20297</v>
      </c>
      <c r="E193" s="49">
        <f t="shared" ca="1" si="3"/>
        <v>70.926762491444222</v>
      </c>
      <c r="F193" s="50">
        <v>155395628</v>
      </c>
      <c r="G193" s="51" t="s">
        <v>23</v>
      </c>
      <c r="I193" s="52" t="s">
        <v>1881</v>
      </c>
      <c r="J193" s="46" t="s">
        <v>1939</v>
      </c>
      <c r="M193" s="58" t="s">
        <v>25</v>
      </c>
      <c r="N193" s="55"/>
      <c r="O193" s="55"/>
    </row>
    <row r="194" spans="1:15">
      <c r="A194" s="64">
        <v>11915728</v>
      </c>
      <c r="B194" s="61" t="s">
        <v>218</v>
      </c>
      <c r="C194" s="62" t="s">
        <v>219</v>
      </c>
      <c r="D194" s="48">
        <v>20334</v>
      </c>
      <c r="E194" s="49">
        <f t="shared" ca="1" si="3"/>
        <v>70.82546201232033</v>
      </c>
      <c r="F194" s="63"/>
      <c r="G194" s="51" t="s">
        <v>23</v>
      </c>
      <c r="I194" s="52" t="s">
        <v>24</v>
      </c>
      <c r="J194" s="61" t="s">
        <v>220</v>
      </c>
      <c r="K194" s="61"/>
      <c r="L194" s="61"/>
      <c r="M194" s="53" t="s">
        <v>221</v>
      </c>
      <c r="N194" s="55"/>
      <c r="O194" s="55"/>
    </row>
    <row r="195" spans="1:15">
      <c r="A195" s="47">
        <v>11915821</v>
      </c>
      <c r="B195" s="46" t="s">
        <v>1168</v>
      </c>
      <c r="C195" s="55" t="s">
        <v>5088</v>
      </c>
      <c r="D195" s="48">
        <v>20359</v>
      </c>
      <c r="E195" s="49">
        <f t="shared" ca="1" si="3"/>
        <v>70.757015742642025</v>
      </c>
      <c r="F195" s="50">
        <v>156274096</v>
      </c>
      <c r="G195" s="51" t="s">
        <v>23</v>
      </c>
      <c r="I195" s="52" t="s">
        <v>4954</v>
      </c>
      <c r="J195" s="55"/>
      <c r="K195" s="55"/>
      <c r="L195" s="55"/>
      <c r="M195" s="58" t="s">
        <v>25</v>
      </c>
      <c r="N195" s="55">
        <v>4254254</v>
      </c>
      <c r="O195" s="55"/>
    </row>
    <row r="196" spans="1:15">
      <c r="A196" s="47">
        <v>11960881</v>
      </c>
      <c r="B196" s="46" t="s">
        <v>753</v>
      </c>
      <c r="C196" s="46" t="s">
        <v>754</v>
      </c>
      <c r="D196" s="48">
        <v>21282</v>
      </c>
      <c r="E196" s="49">
        <f t="shared" ca="1" si="3"/>
        <v>68.230656297119282</v>
      </c>
      <c r="F196" s="50">
        <v>155869740</v>
      </c>
      <c r="G196" s="51" t="s">
        <v>70</v>
      </c>
      <c r="I196" s="52" t="s">
        <v>594</v>
      </c>
      <c r="J196" s="46" t="s">
        <v>755</v>
      </c>
      <c r="M196" s="53" t="s">
        <v>756</v>
      </c>
    </row>
    <row r="197" spans="1:15">
      <c r="A197" s="47">
        <v>11970812</v>
      </c>
      <c r="B197" s="46" t="s">
        <v>1926</v>
      </c>
      <c r="C197" s="52" t="s">
        <v>5520</v>
      </c>
      <c r="E197" s="49" t="str">
        <f t="shared" ca="1" si="3"/>
        <v/>
      </c>
      <c r="F197" s="50">
        <v>156017069</v>
      </c>
      <c r="G197" s="51" t="s">
        <v>78</v>
      </c>
      <c r="I197" s="52" t="s">
        <v>5494</v>
      </c>
      <c r="J197" s="46" t="s">
        <v>5521</v>
      </c>
      <c r="M197" s="53" t="s">
        <v>5522</v>
      </c>
      <c r="N197" s="55"/>
      <c r="O197" s="55"/>
    </row>
    <row r="198" spans="1:15">
      <c r="A198" s="47">
        <v>12121018</v>
      </c>
      <c r="B198" s="56" t="s">
        <v>21</v>
      </c>
      <c r="C198" s="54" t="s">
        <v>22</v>
      </c>
      <c r="D198" s="48">
        <v>20309</v>
      </c>
      <c r="E198" s="49">
        <f t="shared" ca="1" si="3"/>
        <v>70.893908281998634</v>
      </c>
      <c r="F198" s="57"/>
      <c r="G198" s="51" t="s">
        <v>23</v>
      </c>
      <c r="I198" s="52" t="s">
        <v>24</v>
      </c>
      <c r="M198" s="58" t="s">
        <v>25</v>
      </c>
      <c r="N198" s="55"/>
      <c r="O198" s="55"/>
    </row>
    <row r="199" spans="1:15">
      <c r="A199" s="47">
        <v>12121169</v>
      </c>
      <c r="B199" s="46" t="s">
        <v>822</v>
      </c>
      <c r="C199" s="52" t="s">
        <v>5396</v>
      </c>
      <c r="D199" s="48">
        <v>20499</v>
      </c>
      <c r="E199" s="49">
        <f t="shared" ca="1" si="3"/>
        <v>70.373038213858791</v>
      </c>
      <c r="F199" s="50">
        <v>155683803</v>
      </c>
      <c r="G199" s="51" t="s">
        <v>23</v>
      </c>
      <c r="I199" s="52" t="s">
        <v>5304</v>
      </c>
      <c r="M199" s="58" t="s">
        <v>25</v>
      </c>
      <c r="N199" s="55" t="s">
        <v>5397</v>
      </c>
      <c r="O199" s="55"/>
    </row>
    <row r="200" spans="1:15">
      <c r="A200" s="47">
        <v>12148606</v>
      </c>
      <c r="B200" s="46" t="s">
        <v>5576</v>
      </c>
      <c r="C200" s="52" t="s">
        <v>5577</v>
      </c>
      <c r="E200" s="49" t="str">
        <f t="shared" ca="1" si="3"/>
        <v/>
      </c>
      <c r="F200" s="50">
        <v>154491919</v>
      </c>
      <c r="G200" s="51" t="s">
        <v>23</v>
      </c>
      <c r="I200" s="52" t="s">
        <v>5494</v>
      </c>
      <c r="M200" s="58" t="s">
        <v>25</v>
      </c>
      <c r="N200" s="55">
        <v>4221692</v>
      </c>
      <c r="O200" s="55"/>
    </row>
    <row r="201" spans="1:15">
      <c r="A201" s="47">
        <v>12148667</v>
      </c>
      <c r="B201" s="46" t="s">
        <v>3504</v>
      </c>
      <c r="C201" s="52" t="s">
        <v>1185</v>
      </c>
      <c r="E201" s="49" t="str">
        <f t="shared" ref="E201:E264" ca="1" si="4">IF(D201="","",YEARFRAC(D201,TODAY(),1))</f>
        <v/>
      </c>
      <c r="F201" s="50">
        <v>156447732</v>
      </c>
      <c r="G201" s="51" t="s">
        <v>23</v>
      </c>
      <c r="I201" s="52" t="s">
        <v>3427</v>
      </c>
      <c r="J201" s="46" t="s">
        <v>3453</v>
      </c>
      <c r="M201" s="58" t="s">
        <v>25</v>
      </c>
      <c r="N201" s="55" t="s">
        <v>3505</v>
      </c>
      <c r="O201" s="55"/>
    </row>
    <row r="202" spans="1:15">
      <c r="A202" s="64">
        <v>12148767</v>
      </c>
      <c r="B202" s="61" t="s">
        <v>2541</v>
      </c>
      <c r="C202" s="62" t="s">
        <v>27</v>
      </c>
      <c r="D202" s="48">
        <v>20534</v>
      </c>
      <c r="E202" s="49">
        <f t="shared" ca="1" si="4"/>
        <v>70.277214360081743</v>
      </c>
      <c r="F202" s="63">
        <v>154548339</v>
      </c>
      <c r="G202" s="51" t="s">
        <v>23</v>
      </c>
      <c r="I202" s="52" t="s">
        <v>2778</v>
      </c>
      <c r="J202" s="61" t="s">
        <v>2793</v>
      </c>
      <c r="K202" s="61"/>
      <c r="L202" s="61"/>
      <c r="M202" s="53" t="s">
        <v>2794</v>
      </c>
      <c r="N202" s="55"/>
      <c r="O202" s="55"/>
    </row>
    <row r="203" spans="1:15">
      <c r="A203" s="47">
        <v>12148946</v>
      </c>
      <c r="B203" s="46" t="s">
        <v>2544</v>
      </c>
      <c r="C203" s="52" t="s">
        <v>427</v>
      </c>
      <c r="D203" s="48">
        <v>20443</v>
      </c>
      <c r="E203" s="49">
        <f t="shared" ca="1" si="4"/>
        <v>70.527036276522935</v>
      </c>
      <c r="F203" s="50">
        <v>155422111</v>
      </c>
      <c r="G203" s="51" t="s">
        <v>70</v>
      </c>
      <c r="I203" s="59" t="s">
        <v>908</v>
      </c>
      <c r="J203" s="46" t="s">
        <v>2502</v>
      </c>
      <c r="M203" s="53" t="s">
        <v>2545</v>
      </c>
      <c r="N203" s="55">
        <v>4220934</v>
      </c>
      <c r="O203" s="55">
        <v>231</v>
      </c>
    </row>
    <row r="204" spans="1:15">
      <c r="A204" s="47">
        <v>12149611</v>
      </c>
      <c r="B204" s="46" t="s">
        <v>428</v>
      </c>
      <c r="C204" s="46" t="s">
        <v>1813</v>
      </c>
      <c r="D204" s="48">
        <v>20411</v>
      </c>
      <c r="E204" s="49">
        <f t="shared" ca="1" si="4"/>
        <v>70.614647501711161</v>
      </c>
      <c r="F204" s="50">
        <v>154065766</v>
      </c>
      <c r="G204" s="51" t="s">
        <v>141</v>
      </c>
      <c r="I204" s="52" t="s">
        <v>1657</v>
      </c>
      <c r="J204" s="46" t="s">
        <v>353</v>
      </c>
      <c r="M204" s="58" t="s">
        <v>1814</v>
      </c>
      <c r="N204" s="46">
        <v>4364093</v>
      </c>
      <c r="O204" s="46">
        <v>7648</v>
      </c>
    </row>
    <row r="205" spans="1:15">
      <c r="A205" s="47">
        <v>12149633</v>
      </c>
      <c r="B205" s="46" t="s">
        <v>308</v>
      </c>
      <c r="C205" s="46" t="s">
        <v>2123</v>
      </c>
      <c r="E205" s="49" t="str">
        <f t="shared" ca="1" si="4"/>
        <v/>
      </c>
      <c r="F205" s="50">
        <v>155873737</v>
      </c>
      <c r="G205" s="51" t="s">
        <v>23</v>
      </c>
      <c r="I205" s="52" t="s">
        <v>1881</v>
      </c>
      <c r="M205" s="53" t="s">
        <v>2124</v>
      </c>
    </row>
    <row r="206" spans="1:15">
      <c r="A206" s="47">
        <v>12149654</v>
      </c>
      <c r="B206" s="46" t="s">
        <v>394</v>
      </c>
      <c r="C206" s="46" t="s">
        <v>395</v>
      </c>
      <c r="D206" s="48">
        <v>21221</v>
      </c>
      <c r="E206" s="49">
        <f t="shared" ca="1" si="4"/>
        <v>68.397666851837158</v>
      </c>
      <c r="F206" s="50">
        <v>156014322</v>
      </c>
      <c r="G206" s="51" t="s">
        <v>70</v>
      </c>
      <c r="I206" s="52" t="s">
        <v>24</v>
      </c>
      <c r="J206" s="46" t="s">
        <v>396</v>
      </c>
      <c r="M206" s="53" t="s">
        <v>397</v>
      </c>
      <c r="O206" s="46">
        <v>4107532</v>
      </c>
    </row>
    <row r="207" spans="1:15">
      <c r="A207" s="47">
        <v>12149971</v>
      </c>
      <c r="B207" s="46" t="s">
        <v>2087</v>
      </c>
      <c r="C207" s="52" t="s">
        <v>2088</v>
      </c>
      <c r="D207" s="48">
        <v>21303</v>
      </c>
      <c r="E207" s="49">
        <f t="shared" ca="1" si="4"/>
        <v>68.173160860249183</v>
      </c>
      <c r="F207" s="50">
        <v>156645229</v>
      </c>
      <c r="G207" s="51" t="s">
        <v>23</v>
      </c>
      <c r="I207" s="52" t="s">
        <v>1881</v>
      </c>
      <c r="J207" s="55" t="s">
        <v>2089</v>
      </c>
      <c r="K207" s="55"/>
      <c r="L207" s="55"/>
      <c r="M207" s="53" t="s">
        <v>2090</v>
      </c>
      <c r="N207" s="55"/>
      <c r="O207" s="55"/>
    </row>
    <row r="208" spans="1:15">
      <c r="A208" s="47">
        <v>12161590</v>
      </c>
      <c r="B208" s="46" t="s">
        <v>4286</v>
      </c>
      <c r="C208" s="46" t="s">
        <v>4719</v>
      </c>
      <c r="E208" s="49" t="str">
        <f t="shared" ca="1" si="4"/>
        <v/>
      </c>
      <c r="F208" s="50">
        <v>153521279</v>
      </c>
      <c r="G208" s="51" t="s">
        <v>23</v>
      </c>
      <c r="I208" s="65" t="s">
        <v>4708</v>
      </c>
      <c r="M208" s="53" t="s">
        <v>4720</v>
      </c>
    </row>
    <row r="209" spans="1:21">
      <c r="A209" s="47">
        <v>12161942</v>
      </c>
      <c r="B209" s="46" t="s">
        <v>4279</v>
      </c>
      <c r="C209" s="52" t="s">
        <v>4280</v>
      </c>
      <c r="D209" s="48">
        <v>21304</v>
      </c>
      <c r="E209" s="49">
        <f t="shared" ca="1" si="4"/>
        <v>68.170422982302995</v>
      </c>
      <c r="F209" s="50">
        <v>156421647</v>
      </c>
      <c r="G209" s="51" t="s">
        <v>23</v>
      </c>
      <c r="I209" s="52" t="s">
        <v>4245</v>
      </c>
      <c r="J209" s="46" t="s">
        <v>75</v>
      </c>
      <c r="M209" s="53" t="s">
        <v>4281</v>
      </c>
      <c r="N209" s="55"/>
      <c r="O209" s="55"/>
    </row>
    <row r="210" spans="1:21">
      <c r="A210" s="47">
        <v>12179221</v>
      </c>
      <c r="B210" s="46" t="s">
        <v>1248</v>
      </c>
      <c r="C210" s="46" t="s">
        <v>2763</v>
      </c>
      <c r="E210" s="49" t="str">
        <f t="shared" ca="1" si="4"/>
        <v/>
      </c>
      <c r="G210" s="51" t="s">
        <v>23</v>
      </c>
      <c r="I210" s="52" t="s">
        <v>2671</v>
      </c>
      <c r="M210" s="52" t="s">
        <v>2762</v>
      </c>
      <c r="N210" s="46">
        <v>4303138</v>
      </c>
      <c r="O210" s="46">
        <v>5</v>
      </c>
    </row>
    <row r="211" spans="1:21">
      <c r="A211" s="66">
        <v>12247257</v>
      </c>
      <c r="B211" s="67" t="s">
        <v>207</v>
      </c>
      <c r="C211" s="52" t="s">
        <v>208</v>
      </c>
      <c r="D211" s="48">
        <v>21348</v>
      </c>
      <c r="E211" s="49">
        <f t="shared" ca="1" si="4"/>
        <v>68.049956352670421</v>
      </c>
      <c r="F211" s="57"/>
      <c r="G211" s="51" t="s">
        <v>23</v>
      </c>
      <c r="I211" s="52" t="s">
        <v>24</v>
      </c>
      <c r="M211" s="58" t="s">
        <v>25</v>
      </c>
      <c r="N211" s="55"/>
      <c r="O211" s="55"/>
    </row>
    <row r="212" spans="1:21">
      <c r="A212" s="60">
        <v>12247419</v>
      </c>
      <c r="B212" s="61" t="s">
        <v>7152</v>
      </c>
      <c r="C212" s="62" t="s">
        <v>651</v>
      </c>
      <c r="D212" s="48">
        <v>20587</v>
      </c>
      <c r="E212" s="49">
        <f t="shared" ca="1" si="4"/>
        <v>70.132109667219368</v>
      </c>
      <c r="F212" s="63">
        <v>155559283</v>
      </c>
      <c r="G212" s="51" t="s">
        <v>23</v>
      </c>
      <c r="I212" s="52" t="s">
        <v>594</v>
      </c>
      <c r="J212" s="61" t="s">
        <v>48</v>
      </c>
      <c r="K212" s="61"/>
      <c r="L212" s="61"/>
      <c r="M212" s="58" t="s">
        <v>25</v>
      </c>
      <c r="N212" s="55"/>
      <c r="O212" s="55"/>
    </row>
    <row r="213" spans="1:21">
      <c r="A213" s="47">
        <v>12308110</v>
      </c>
      <c r="B213" s="46" t="s">
        <v>5533</v>
      </c>
      <c r="C213" s="52" t="s">
        <v>5534</v>
      </c>
      <c r="D213" s="48">
        <v>20600</v>
      </c>
      <c r="E213" s="49">
        <f t="shared" ca="1" si="4"/>
        <v>70.096517950102182</v>
      </c>
      <c r="F213" s="50">
        <v>155992968</v>
      </c>
      <c r="G213" s="51" t="s">
        <v>23</v>
      </c>
      <c r="I213" s="52" t="s">
        <v>5494</v>
      </c>
      <c r="J213" s="46" t="s">
        <v>5521</v>
      </c>
      <c r="M213" s="53" t="s">
        <v>5535</v>
      </c>
      <c r="N213" s="55"/>
      <c r="O213" s="55"/>
    </row>
    <row r="214" spans="1:21">
      <c r="A214" s="60">
        <v>12309312</v>
      </c>
      <c r="B214" s="61" t="s">
        <v>156</v>
      </c>
      <c r="C214" s="62" t="s">
        <v>157</v>
      </c>
      <c r="D214" s="48" t="s">
        <v>52</v>
      </c>
      <c r="E214" s="49" t="str">
        <f t="shared" ca="1" si="4"/>
        <v/>
      </c>
      <c r="F214" s="154">
        <v>3813256384</v>
      </c>
      <c r="G214" s="51" t="s">
        <v>141</v>
      </c>
      <c r="H214" s="52" t="s">
        <v>52</v>
      </c>
      <c r="I214" s="52" t="s">
        <v>24</v>
      </c>
      <c r="J214" s="61" t="s">
        <v>158</v>
      </c>
      <c r="K214" s="61" t="s">
        <v>159</v>
      </c>
      <c r="L214" s="61" t="s">
        <v>52</v>
      </c>
      <c r="M214" s="53" t="s">
        <v>160</v>
      </c>
      <c r="N214" s="55" t="s">
        <v>161</v>
      </c>
      <c r="O214" s="55" t="s">
        <v>52</v>
      </c>
      <c r="P214" s="46" t="s">
        <v>59</v>
      </c>
      <c r="Q214" s="46" t="s">
        <v>60</v>
      </c>
      <c r="R214" s="46" t="s">
        <v>61</v>
      </c>
      <c r="S214" s="46" t="s">
        <v>62</v>
      </c>
      <c r="T214" s="46" t="s">
        <v>12</v>
      </c>
      <c r="U214" s="46" t="s">
        <v>63</v>
      </c>
    </row>
    <row r="215" spans="1:21">
      <c r="A215" s="47">
        <v>12318006</v>
      </c>
      <c r="B215" s="46" t="s">
        <v>574</v>
      </c>
      <c r="C215" s="46" t="s">
        <v>5798</v>
      </c>
      <c r="D215" s="48">
        <v>20611</v>
      </c>
      <c r="E215" s="49">
        <f t="shared" ca="1" si="4"/>
        <v>70.066401881772251</v>
      </c>
      <c r="F215" s="50">
        <v>155006024</v>
      </c>
      <c r="G215" s="51" t="s">
        <v>141</v>
      </c>
      <c r="I215" s="52" t="s">
        <v>5761</v>
      </c>
      <c r="M215" s="58" t="s">
        <v>25</v>
      </c>
      <c r="P215" s="46">
        <v>1</v>
      </c>
    </row>
    <row r="216" spans="1:21">
      <c r="A216" s="47">
        <v>12318129</v>
      </c>
      <c r="B216" s="46" t="s">
        <v>2952</v>
      </c>
      <c r="C216" s="52" t="s">
        <v>1023</v>
      </c>
      <c r="D216" s="48" t="s">
        <v>52</v>
      </c>
      <c r="E216" s="49" t="str">
        <f t="shared" ca="1" si="4"/>
        <v/>
      </c>
      <c r="F216" s="50" t="s">
        <v>2953</v>
      </c>
      <c r="G216" s="51" t="s">
        <v>70</v>
      </c>
      <c r="H216" s="52" t="s">
        <v>1780</v>
      </c>
      <c r="I216" s="52" t="s">
        <v>2926</v>
      </c>
      <c r="J216" s="46" t="s">
        <v>120</v>
      </c>
      <c r="K216" s="46" t="s">
        <v>81</v>
      </c>
      <c r="L216" s="46" t="s">
        <v>52</v>
      </c>
      <c r="M216" s="53" t="s">
        <v>2954</v>
      </c>
      <c r="N216" s="55" t="s">
        <v>2955</v>
      </c>
      <c r="O216" s="55" t="s">
        <v>52</v>
      </c>
      <c r="P216" s="46" t="s">
        <v>59</v>
      </c>
      <c r="Q216" s="46" t="s">
        <v>60</v>
      </c>
      <c r="R216" s="46" t="s">
        <v>61</v>
      </c>
      <c r="S216" s="46" t="s">
        <v>62</v>
      </c>
      <c r="T216" s="46" t="s">
        <v>12</v>
      </c>
      <c r="U216" s="46" t="s">
        <v>63</v>
      </c>
    </row>
    <row r="217" spans="1:21">
      <c r="A217" s="47">
        <v>12318780</v>
      </c>
      <c r="B217" s="46" t="s">
        <v>2586</v>
      </c>
      <c r="C217" s="46" t="s">
        <v>2587</v>
      </c>
      <c r="D217" s="48">
        <v>21390</v>
      </c>
      <c r="E217" s="49">
        <f t="shared" ca="1" si="4"/>
        <v>67.934965478930252</v>
      </c>
      <c r="F217" s="50">
        <v>156406058</v>
      </c>
      <c r="G217" s="51" t="s">
        <v>23</v>
      </c>
      <c r="I217" s="59" t="s">
        <v>908</v>
      </c>
      <c r="J217" s="46" t="s">
        <v>38</v>
      </c>
      <c r="M217" s="53" t="s">
        <v>2590</v>
      </c>
      <c r="N217" s="46">
        <v>4212400</v>
      </c>
      <c r="P217" s="46">
        <v>1</v>
      </c>
    </row>
    <row r="218" spans="1:21">
      <c r="A218" s="47">
        <v>12318839</v>
      </c>
      <c r="B218" s="46" t="s">
        <v>218</v>
      </c>
      <c r="C218" s="46" t="s">
        <v>27</v>
      </c>
      <c r="D218" s="48" t="s">
        <v>52</v>
      </c>
      <c r="E218" s="49" t="str">
        <f t="shared" ca="1" si="4"/>
        <v/>
      </c>
      <c r="F218" s="50" t="s">
        <v>5816</v>
      </c>
      <c r="G218" s="51" t="s">
        <v>70</v>
      </c>
      <c r="H218" s="52" t="s">
        <v>1260</v>
      </c>
      <c r="I218" s="52" t="s">
        <v>5761</v>
      </c>
      <c r="J218" s="46" t="s">
        <v>5817</v>
      </c>
      <c r="K218" s="46" t="s">
        <v>81</v>
      </c>
      <c r="L218" s="46" t="s">
        <v>546</v>
      </c>
      <c r="M218" s="52" t="s">
        <v>5818</v>
      </c>
      <c r="N218" s="46" t="s">
        <v>2771</v>
      </c>
      <c r="O218" s="46" t="s">
        <v>52</v>
      </c>
      <c r="P218" s="46" t="s">
        <v>59</v>
      </c>
      <c r="Q218" s="46" t="s">
        <v>60</v>
      </c>
      <c r="R218" s="46" t="s">
        <v>61</v>
      </c>
      <c r="S218" s="46" t="s">
        <v>62</v>
      </c>
      <c r="T218" s="46" t="s">
        <v>12</v>
      </c>
      <c r="U218" s="46" t="s">
        <v>63</v>
      </c>
    </row>
    <row r="219" spans="1:21">
      <c r="A219" s="47">
        <v>12336328</v>
      </c>
      <c r="B219" s="46" t="s">
        <v>1032</v>
      </c>
      <c r="C219" s="52" t="s">
        <v>6070</v>
      </c>
      <c r="D219" s="48">
        <v>21386</v>
      </c>
      <c r="E219" s="49">
        <f t="shared" ca="1" si="4"/>
        <v>67.94591699071502</v>
      </c>
      <c r="F219" s="50">
        <v>155110961</v>
      </c>
      <c r="G219" s="51" t="s">
        <v>23</v>
      </c>
      <c r="I219" s="52" t="s">
        <v>23</v>
      </c>
      <c r="J219" s="46" t="s">
        <v>6071</v>
      </c>
      <c r="M219" s="58" t="s">
        <v>25</v>
      </c>
      <c r="N219" s="55">
        <v>4247752</v>
      </c>
      <c r="O219" s="55">
        <v>7040</v>
      </c>
    </row>
    <row r="220" spans="1:21">
      <c r="A220" s="47">
        <v>12346631</v>
      </c>
      <c r="B220" s="46" t="s">
        <v>5779</v>
      </c>
      <c r="C220" s="52" t="s">
        <v>5780</v>
      </c>
      <c r="D220" s="48">
        <v>20657</v>
      </c>
      <c r="E220" s="49">
        <f t="shared" ca="1" si="4"/>
        <v>69.940461959665285</v>
      </c>
      <c r="F220" s="50">
        <v>154186783</v>
      </c>
      <c r="G220" s="51" t="s">
        <v>23</v>
      </c>
      <c r="I220" s="52" t="s">
        <v>5761</v>
      </c>
      <c r="J220" s="46" t="s">
        <v>75</v>
      </c>
      <c r="M220" s="58" t="s">
        <v>25</v>
      </c>
      <c r="N220" s="55"/>
      <c r="O220" s="55"/>
    </row>
    <row r="221" spans="1:21">
      <c r="A221" s="47">
        <v>12352215</v>
      </c>
      <c r="B221" s="46" t="s">
        <v>2178</v>
      </c>
      <c r="C221" s="52" t="s">
        <v>2179</v>
      </c>
      <c r="E221" s="49" t="str">
        <f t="shared" ca="1" si="4"/>
        <v/>
      </c>
      <c r="F221" s="50">
        <v>153020122</v>
      </c>
      <c r="G221" s="51" t="s">
        <v>70</v>
      </c>
      <c r="I221" s="52" t="s">
        <v>1881</v>
      </c>
      <c r="J221" s="46" t="s">
        <v>2180</v>
      </c>
      <c r="M221" s="53" t="s">
        <v>2181</v>
      </c>
      <c r="N221" s="55" t="s">
        <v>2182</v>
      </c>
      <c r="O221" s="55"/>
    </row>
    <row r="222" spans="1:21">
      <c r="A222" s="47">
        <v>12352665</v>
      </c>
      <c r="B222" s="69" t="s">
        <v>3591</v>
      </c>
      <c r="C222" s="52" t="s">
        <v>832</v>
      </c>
      <c r="D222" s="48">
        <v>21362</v>
      </c>
      <c r="E222" s="49">
        <f t="shared" ca="1" si="4"/>
        <v>68.011626061423698</v>
      </c>
      <c r="F222" s="50">
        <v>156358324</v>
      </c>
      <c r="G222" s="51" t="s">
        <v>37</v>
      </c>
      <c r="I222" s="52" t="s">
        <v>3555</v>
      </c>
      <c r="J222" s="46" t="s">
        <v>234</v>
      </c>
      <c r="M222" s="58" t="s">
        <v>25</v>
      </c>
      <c r="N222" s="55">
        <v>4211071</v>
      </c>
      <c r="O222" s="55"/>
    </row>
    <row r="223" spans="1:21">
      <c r="A223" s="47">
        <v>12352791</v>
      </c>
      <c r="B223" s="46" t="s">
        <v>327</v>
      </c>
      <c r="C223" s="46" t="s">
        <v>328</v>
      </c>
      <c r="D223" s="48">
        <v>21232</v>
      </c>
      <c r="E223" s="49">
        <f t="shared" ca="1" si="4"/>
        <v>68.367550194429015</v>
      </c>
      <c r="F223" s="50">
        <v>155423711</v>
      </c>
      <c r="G223" s="51" t="s">
        <v>23</v>
      </c>
      <c r="I223" s="52" t="s">
        <v>24</v>
      </c>
      <c r="J223" s="46" t="s">
        <v>329</v>
      </c>
      <c r="M223" s="53" t="s">
        <v>330</v>
      </c>
      <c r="N223" s="46">
        <v>4107539</v>
      </c>
    </row>
    <row r="224" spans="1:21">
      <c r="A224" s="47">
        <v>12373522</v>
      </c>
      <c r="B224" s="46" t="s">
        <v>1538</v>
      </c>
      <c r="C224" s="52" t="s">
        <v>1771</v>
      </c>
      <c r="D224" s="48">
        <v>20677</v>
      </c>
      <c r="E224" s="49">
        <f t="shared" ca="1" si="4"/>
        <v>69.88570547179269</v>
      </c>
      <c r="F224" s="50">
        <v>155095580</v>
      </c>
      <c r="G224" s="51" t="s">
        <v>37</v>
      </c>
      <c r="I224" s="52" t="s">
        <v>1657</v>
      </c>
      <c r="J224" s="46" t="s">
        <v>982</v>
      </c>
      <c r="M224" s="58" t="s">
        <v>25</v>
      </c>
      <c r="N224" s="55">
        <v>4364093</v>
      </c>
      <c r="O224" s="55">
        <v>7650</v>
      </c>
    </row>
    <row r="225" spans="1:21">
      <c r="A225" s="47">
        <v>12387323</v>
      </c>
      <c r="B225" s="46" t="s">
        <v>2059</v>
      </c>
      <c r="C225" s="52" t="s">
        <v>3454</v>
      </c>
      <c r="E225" s="49" t="str">
        <f t="shared" ca="1" si="4"/>
        <v/>
      </c>
      <c r="F225" s="50">
        <v>155431293</v>
      </c>
      <c r="G225" s="51" t="s">
        <v>23</v>
      </c>
      <c r="I225" s="52" t="s">
        <v>3427</v>
      </c>
      <c r="J225" s="46" t="s">
        <v>3455</v>
      </c>
      <c r="M225" s="58" t="s">
        <v>25</v>
      </c>
      <c r="N225" s="55"/>
      <c r="O225" s="55"/>
    </row>
    <row r="226" spans="1:21">
      <c r="A226" s="47">
        <v>12387324</v>
      </c>
      <c r="B226" s="46" t="s">
        <v>2059</v>
      </c>
      <c r="C226" s="52" t="s">
        <v>4859</v>
      </c>
      <c r="D226" s="48" t="s">
        <v>52</v>
      </c>
      <c r="E226" s="49" t="str">
        <f t="shared" ca="1" si="4"/>
        <v/>
      </c>
      <c r="F226" s="50" t="s">
        <v>4860</v>
      </c>
      <c r="G226" s="51" t="s">
        <v>70</v>
      </c>
      <c r="H226" s="52" t="s">
        <v>380</v>
      </c>
      <c r="I226" s="52" t="s">
        <v>4815</v>
      </c>
      <c r="J226" s="46" t="s">
        <v>4861</v>
      </c>
      <c r="K226" s="46" t="s">
        <v>81</v>
      </c>
      <c r="L226" s="46" t="s">
        <v>52</v>
      </c>
      <c r="M226" s="53" t="s">
        <v>4862</v>
      </c>
      <c r="N226" s="55" t="s">
        <v>4835</v>
      </c>
      <c r="O226" s="55" t="s">
        <v>4863</v>
      </c>
      <c r="P226" s="46" t="s">
        <v>59</v>
      </c>
      <c r="Q226" s="46" t="s">
        <v>60</v>
      </c>
      <c r="R226" s="46" t="s">
        <v>61</v>
      </c>
      <c r="S226" s="46" t="s">
        <v>62</v>
      </c>
      <c r="T226" s="46" t="s">
        <v>12</v>
      </c>
      <c r="U226" s="46" t="s">
        <v>63</v>
      </c>
    </row>
    <row r="227" spans="1:21">
      <c r="A227" s="47">
        <v>12393882</v>
      </c>
      <c r="B227" s="46" t="s">
        <v>1286</v>
      </c>
      <c r="C227" s="52" t="s">
        <v>1287</v>
      </c>
      <c r="D227" s="48">
        <v>21451</v>
      </c>
      <c r="E227" s="49">
        <f t="shared" ca="1" si="4"/>
        <v>67.767954924212361</v>
      </c>
      <c r="F227" s="50">
        <v>155902766</v>
      </c>
      <c r="G227" s="51" t="s">
        <v>23</v>
      </c>
      <c r="I227" s="59" t="s">
        <v>908</v>
      </c>
      <c r="J227" s="46" t="s">
        <v>1227</v>
      </c>
      <c r="M227" s="53" t="s">
        <v>1288</v>
      </c>
      <c r="N227" s="55"/>
      <c r="O227" s="55"/>
    </row>
    <row r="228" spans="1:21">
      <c r="A228" s="47">
        <v>12402455</v>
      </c>
      <c r="B228" s="46" t="s">
        <v>1273</v>
      </c>
      <c r="C228" s="52" t="s">
        <v>274</v>
      </c>
      <c r="D228" s="48" t="s">
        <v>1274</v>
      </c>
      <c r="E228" s="49">
        <f t="shared" ca="1" si="4"/>
        <v>67.92401396714547</v>
      </c>
      <c r="F228" s="50" t="s">
        <v>1275</v>
      </c>
      <c r="G228" s="51" t="s">
        <v>70</v>
      </c>
      <c r="H228" s="52" t="s">
        <v>1276</v>
      </c>
      <c r="I228" s="59" t="s">
        <v>908</v>
      </c>
      <c r="J228" s="46" t="s">
        <v>1277</v>
      </c>
      <c r="K228" s="46" t="s">
        <v>390</v>
      </c>
      <c r="L228" s="46" t="s">
        <v>52</v>
      </c>
      <c r="M228" s="52" t="s">
        <v>1278</v>
      </c>
      <c r="N228" s="55" t="s">
        <v>931</v>
      </c>
      <c r="O228" s="55" t="s">
        <v>1279</v>
      </c>
      <c r="P228" s="46" t="s">
        <v>59</v>
      </c>
      <c r="Q228" s="46" t="s">
        <v>60</v>
      </c>
      <c r="R228" s="46" t="s">
        <v>61</v>
      </c>
      <c r="S228" s="46" t="s">
        <v>62</v>
      </c>
      <c r="T228" s="46" t="s">
        <v>12</v>
      </c>
      <c r="U228" s="46" t="s">
        <v>63</v>
      </c>
    </row>
    <row r="229" spans="1:21">
      <c r="A229" s="47">
        <v>12413032</v>
      </c>
      <c r="B229" s="46" t="s">
        <v>927</v>
      </c>
      <c r="C229" s="52" t="s">
        <v>1893</v>
      </c>
      <c r="D229" s="48">
        <v>21229</v>
      </c>
      <c r="E229" s="49">
        <f t="shared" ca="1" si="4"/>
        <v>68.375763828267594</v>
      </c>
      <c r="G229" s="51" t="s">
        <v>23</v>
      </c>
      <c r="I229" s="52" t="s">
        <v>1881</v>
      </c>
      <c r="J229" s="46" t="s">
        <v>1894</v>
      </c>
      <c r="M229" s="58" t="s">
        <v>25</v>
      </c>
      <c r="N229" s="55"/>
      <c r="O229" s="55"/>
    </row>
    <row r="230" spans="1:21">
      <c r="A230" s="47">
        <v>12413073</v>
      </c>
      <c r="B230" s="46" t="s">
        <v>1999</v>
      </c>
      <c r="C230" s="52" t="s">
        <v>2000</v>
      </c>
      <c r="E230" s="49" t="str">
        <f t="shared" ca="1" si="4"/>
        <v/>
      </c>
      <c r="G230" s="51" t="s">
        <v>70</v>
      </c>
      <c r="I230" s="52" t="s">
        <v>1881</v>
      </c>
      <c r="J230" s="46" t="s">
        <v>480</v>
      </c>
      <c r="M230" s="53" t="s">
        <v>2001</v>
      </c>
      <c r="N230" s="55"/>
      <c r="O230" s="55"/>
    </row>
    <row r="231" spans="1:21">
      <c r="A231" s="47">
        <v>12413084</v>
      </c>
      <c r="B231" s="46" t="s">
        <v>5346</v>
      </c>
      <c r="C231" s="46" t="s">
        <v>5347</v>
      </c>
      <c r="D231" s="48">
        <v>20575</v>
      </c>
      <c r="E231" s="49">
        <f t="shared" ca="1" si="4"/>
        <v>70.164963559942933</v>
      </c>
      <c r="F231" s="50">
        <v>154623841</v>
      </c>
      <c r="G231" s="51" t="s">
        <v>70</v>
      </c>
      <c r="I231" s="52" t="s">
        <v>5304</v>
      </c>
      <c r="J231" s="46" t="s">
        <v>729</v>
      </c>
      <c r="M231" s="78" t="s">
        <v>5348</v>
      </c>
      <c r="N231" s="46">
        <v>4247752</v>
      </c>
      <c r="O231" s="46">
        <v>7259</v>
      </c>
      <c r="P231" s="46">
        <v>4</v>
      </c>
    </row>
    <row r="232" spans="1:21">
      <c r="A232" s="47">
        <v>12413333</v>
      </c>
      <c r="B232" s="46" t="s">
        <v>497</v>
      </c>
      <c r="C232" s="46" t="s">
        <v>832</v>
      </c>
      <c r="D232" s="48">
        <v>20693</v>
      </c>
      <c r="E232" s="49">
        <f t="shared" ca="1" si="4"/>
        <v>69.841900281494617</v>
      </c>
      <c r="F232" s="50">
        <v>156812770</v>
      </c>
      <c r="G232" s="51" t="s">
        <v>70</v>
      </c>
      <c r="I232" s="52" t="s">
        <v>808</v>
      </c>
      <c r="J232" s="46" t="s">
        <v>833</v>
      </c>
      <c r="M232" s="53" t="s">
        <v>834</v>
      </c>
      <c r="O232" s="46">
        <v>4247752</v>
      </c>
      <c r="S232" s="46">
        <v>4</v>
      </c>
    </row>
    <row r="233" spans="1:21">
      <c r="A233" s="47">
        <v>12413488</v>
      </c>
      <c r="B233" s="46" t="s">
        <v>1697</v>
      </c>
      <c r="C233" s="46" t="s">
        <v>1698</v>
      </c>
      <c r="D233" s="48">
        <v>20723</v>
      </c>
      <c r="E233" s="49">
        <f t="shared" ca="1" si="4"/>
        <v>69.759765549685724</v>
      </c>
      <c r="F233" s="50">
        <v>155535020</v>
      </c>
      <c r="G233" s="51" t="s">
        <v>70</v>
      </c>
      <c r="I233" s="52" t="s">
        <v>1657</v>
      </c>
      <c r="J233" s="46" t="s">
        <v>120</v>
      </c>
      <c r="M233" s="53" t="s">
        <v>1699</v>
      </c>
      <c r="N233" s="46">
        <v>4107564</v>
      </c>
      <c r="P233" s="46">
        <v>4</v>
      </c>
    </row>
    <row r="234" spans="1:21">
      <c r="A234" s="47">
        <v>12413509</v>
      </c>
      <c r="B234" s="46" t="s">
        <v>1637</v>
      </c>
      <c r="C234" s="46" t="s">
        <v>2625</v>
      </c>
      <c r="D234" s="48">
        <v>20666</v>
      </c>
      <c r="E234" s="49">
        <f t="shared" ca="1" si="4"/>
        <v>69.915821540122622</v>
      </c>
      <c r="F234" s="50">
        <v>156787100</v>
      </c>
      <c r="G234" s="51" t="s">
        <v>86</v>
      </c>
      <c r="I234" s="59" t="s">
        <v>908</v>
      </c>
      <c r="J234" s="46" t="s">
        <v>2626</v>
      </c>
      <c r="M234" s="53" t="s">
        <v>2627</v>
      </c>
      <c r="N234" s="46" t="s">
        <v>2628</v>
      </c>
      <c r="O234" s="46">
        <v>233</v>
      </c>
      <c r="S234" s="46">
        <v>4</v>
      </c>
    </row>
    <row r="235" spans="1:21">
      <c r="A235" s="47">
        <v>12413563</v>
      </c>
      <c r="B235" s="46" t="s">
        <v>3052</v>
      </c>
      <c r="C235" s="46" t="s">
        <v>3053</v>
      </c>
      <c r="D235" s="48" t="s">
        <v>52</v>
      </c>
      <c r="E235" s="49" t="str">
        <f t="shared" ca="1" si="4"/>
        <v/>
      </c>
      <c r="F235" s="50" t="s">
        <v>3054</v>
      </c>
      <c r="G235" s="51" t="s">
        <v>70</v>
      </c>
      <c r="H235" s="52" t="s">
        <v>3055</v>
      </c>
      <c r="I235" s="52" t="s">
        <v>2926</v>
      </c>
      <c r="J235" s="46" t="s">
        <v>52</v>
      </c>
      <c r="K235" s="46" t="s">
        <v>390</v>
      </c>
      <c r="L235" s="46" t="s">
        <v>546</v>
      </c>
      <c r="M235" s="52" t="s">
        <v>3056</v>
      </c>
      <c r="N235" s="46" t="s">
        <v>52</v>
      </c>
      <c r="O235" s="46" t="s">
        <v>52</v>
      </c>
      <c r="P235" s="46" t="s">
        <v>59</v>
      </c>
      <c r="Q235" s="46" t="s">
        <v>60</v>
      </c>
      <c r="R235" s="46" t="s">
        <v>61</v>
      </c>
      <c r="S235" s="46" t="s">
        <v>62</v>
      </c>
      <c r="T235" s="46" t="s">
        <v>12</v>
      </c>
      <c r="U235" s="46" t="s">
        <v>63</v>
      </c>
    </row>
    <row r="236" spans="1:21">
      <c r="A236" s="47">
        <v>12414243</v>
      </c>
      <c r="B236" s="46" t="s">
        <v>4014</v>
      </c>
      <c r="C236" s="46" t="s">
        <v>5294</v>
      </c>
      <c r="D236" s="48">
        <v>21461</v>
      </c>
      <c r="E236" s="49">
        <f t="shared" ca="1" si="4"/>
        <v>67.74057614475042</v>
      </c>
      <c r="F236" s="50">
        <v>154635384</v>
      </c>
      <c r="G236" s="51" t="s">
        <v>141</v>
      </c>
      <c r="I236" s="52" t="s">
        <v>5292</v>
      </c>
      <c r="M236" s="58" t="s">
        <v>25</v>
      </c>
      <c r="N236" s="46">
        <v>4247752</v>
      </c>
      <c r="O236" s="46">
        <v>7023</v>
      </c>
      <c r="P236" s="46">
        <v>1</v>
      </c>
      <c r="S236" s="46">
        <v>4</v>
      </c>
    </row>
    <row r="237" spans="1:21">
      <c r="A237" s="47">
        <v>12414408</v>
      </c>
      <c r="B237" s="46" t="s">
        <v>2087</v>
      </c>
      <c r="C237" s="46" t="s">
        <v>2510</v>
      </c>
      <c r="E237" s="49" t="str">
        <f t="shared" ca="1" si="4"/>
        <v/>
      </c>
      <c r="F237" s="50">
        <v>154675481</v>
      </c>
      <c r="G237" s="51" t="s">
        <v>86</v>
      </c>
      <c r="I237" s="59" t="s">
        <v>908</v>
      </c>
      <c r="M237" s="53" t="s">
        <v>2511</v>
      </c>
      <c r="S237" s="46">
        <v>4</v>
      </c>
    </row>
    <row r="238" spans="1:21">
      <c r="A238" s="47">
        <v>12414462</v>
      </c>
      <c r="B238" s="46" t="s">
        <v>1973</v>
      </c>
      <c r="C238" s="46" t="s">
        <v>4292</v>
      </c>
      <c r="D238" s="48">
        <v>20738</v>
      </c>
      <c r="E238" s="49">
        <f t="shared" ca="1" si="4"/>
        <v>69.718698183781285</v>
      </c>
      <c r="G238" s="51" t="s">
        <v>70</v>
      </c>
      <c r="I238" s="52" t="s">
        <v>4245</v>
      </c>
      <c r="J238" s="46" t="s">
        <v>4293</v>
      </c>
      <c r="M238" s="53" t="s">
        <v>4294</v>
      </c>
      <c r="O238" s="46">
        <v>4247752</v>
      </c>
      <c r="S238" s="46">
        <v>4</v>
      </c>
    </row>
    <row r="239" spans="1:21">
      <c r="A239" s="47">
        <v>12414512</v>
      </c>
      <c r="B239" s="46" t="s">
        <v>640</v>
      </c>
      <c r="C239" s="46" t="s">
        <v>641</v>
      </c>
      <c r="D239" s="48">
        <v>21466</v>
      </c>
      <c r="E239" s="49">
        <f t="shared" ca="1" si="4"/>
        <v>67.72688675501945</v>
      </c>
      <c r="F239" s="50">
        <v>156700022</v>
      </c>
      <c r="G239" s="51" t="s">
        <v>23</v>
      </c>
      <c r="I239" s="52" t="s">
        <v>594</v>
      </c>
      <c r="J239" s="46" t="s">
        <v>642</v>
      </c>
      <c r="M239" s="53" t="s">
        <v>643</v>
      </c>
      <c r="N239" s="46">
        <v>4244394</v>
      </c>
      <c r="S239" s="46">
        <v>4</v>
      </c>
    </row>
    <row r="240" spans="1:21">
      <c r="A240" s="47">
        <v>12414762</v>
      </c>
      <c r="B240" s="46" t="s">
        <v>392</v>
      </c>
      <c r="C240" s="46" t="s">
        <v>2218</v>
      </c>
      <c r="D240" s="48">
        <v>21371</v>
      </c>
      <c r="E240" s="49">
        <f t="shared" ca="1" si="4"/>
        <v>67.986985159907945</v>
      </c>
      <c r="F240" s="50">
        <v>155315982</v>
      </c>
      <c r="G240" s="51" t="s">
        <v>141</v>
      </c>
      <c r="I240" s="52" t="s">
        <v>5494</v>
      </c>
      <c r="J240" s="46" t="s">
        <v>5680</v>
      </c>
      <c r="M240" s="53" t="s">
        <v>5681</v>
      </c>
      <c r="S240" s="46">
        <v>4</v>
      </c>
    </row>
    <row r="241" spans="1:21">
      <c r="A241" s="47">
        <v>12414876</v>
      </c>
      <c r="B241" s="46" t="s">
        <v>311</v>
      </c>
      <c r="C241" s="52" t="s">
        <v>3383</v>
      </c>
      <c r="D241" s="48">
        <v>21471</v>
      </c>
      <c r="E241" s="49">
        <f t="shared" ca="1" si="4"/>
        <v>67.713197365288465</v>
      </c>
      <c r="F241" s="50">
        <v>156477037</v>
      </c>
      <c r="G241" s="51" t="s">
        <v>23</v>
      </c>
      <c r="I241" s="52" t="s">
        <v>3327</v>
      </c>
      <c r="M241" s="53" t="s">
        <v>3384</v>
      </c>
      <c r="N241" s="55"/>
      <c r="O241" s="55"/>
      <c r="S241" s="46">
        <v>4</v>
      </c>
    </row>
    <row r="242" spans="1:21">
      <c r="A242" s="66">
        <v>12449120</v>
      </c>
      <c r="B242" s="67" t="s">
        <v>115</v>
      </c>
      <c r="C242" s="52" t="s">
        <v>116</v>
      </c>
      <c r="D242" s="48">
        <v>21379</v>
      </c>
      <c r="E242" s="49">
        <f t="shared" ca="1" si="4"/>
        <v>67.965082136338395</v>
      </c>
      <c r="F242" s="57">
        <v>156781939</v>
      </c>
      <c r="G242" s="51" t="s">
        <v>23</v>
      </c>
      <c r="I242" s="52" t="s">
        <v>24</v>
      </c>
      <c r="M242" s="53" t="s">
        <v>117</v>
      </c>
      <c r="N242" s="55"/>
      <c r="O242" s="55"/>
      <c r="S242" s="46">
        <v>4</v>
      </c>
    </row>
    <row r="243" spans="1:21">
      <c r="A243" s="47">
        <v>12449228</v>
      </c>
      <c r="B243" s="46" t="s">
        <v>5312</v>
      </c>
      <c r="C243" s="46" t="s">
        <v>6036</v>
      </c>
      <c r="E243" s="49" t="str">
        <f t="shared" ca="1" si="4"/>
        <v/>
      </c>
      <c r="F243" s="73"/>
      <c r="G243" s="51" t="s">
        <v>141</v>
      </c>
      <c r="I243" s="52" t="s">
        <v>23</v>
      </c>
      <c r="M243" s="53" t="s">
        <v>6037</v>
      </c>
      <c r="S243" s="46">
        <v>4</v>
      </c>
    </row>
    <row r="244" spans="1:21">
      <c r="A244" s="47">
        <v>12449312</v>
      </c>
      <c r="B244" s="46" t="s">
        <v>676</v>
      </c>
      <c r="C244" s="52" t="s">
        <v>677</v>
      </c>
      <c r="E244" s="49" t="str">
        <f t="shared" ca="1" si="4"/>
        <v/>
      </c>
      <c r="G244" s="51" t="s">
        <v>141</v>
      </c>
      <c r="I244" s="52" t="s">
        <v>594</v>
      </c>
      <c r="J244" s="46" t="s">
        <v>678</v>
      </c>
      <c r="M244" s="58" t="s">
        <v>25</v>
      </c>
      <c r="N244" s="55" t="s">
        <v>679</v>
      </c>
      <c r="O244" s="55"/>
      <c r="S244" s="46">
        <v>4</v>
      </c>
    </row>
    <row r="245" spans="1:21">
      <c r="A245" s="47">
        <v>12449414</v>
      </c>
      <c r="B245" s="46" t="s">
        <v>2151</v>
      </c>
      <c r="C245" s="52" t="s">
        <v>2152</v>
      </c>
      <c r="D245" s="48">
        <v>21383</v>
      </c>
      <c r="E245" s="49">
        <f t="shared" ca="1" si="4"/>
        <v>67.954130624553613</v>
      </c>
      <c r="F245" s="50">
        <v>155020957</v>
      </c>
      <c r="G245" s="51" t="s">
        <v>23</v>
      </c>
      <c r="I245" s="52" t="s">
        <v>1881</v>
      </c>
      <c r="J245" s="46" t="s">
        <v>75</v>
      </c>
      <c r="M245" s="53" t="s">
        <v>2153</v>
      </c>
      <c r="N245" s="55"/>
      <c r="O245" s="55"/>
      <c r="S245" s="46">
        <v>4</v>
      </c>
    </row>
    <row r="246" spans="1:21">
      <c r="A246" s="47">
        <v>12449754</v>
      </c>
      <c r="B246" s="46" t="s">
        <v>3176</v>
      </c>
      <c r="C246" s="55" t="s">
        <v>6025</v>
      </c>
      <c r="D246" s="48">
        <v>21218</v>
      </c>
      <c r="E246" s="49">
        <f t="shared" ca="1" si="4"/>
        <v>68.405880485675738</v>
      </c>
      <c r="F246" s="50">
        <v>4215173</v>
      </c>
      <c r="G246" s="51" t="s">
        <v>141</v>
      </c>
      <c r="I246" s="52" t="s">
        <v>23</v>
      </c>
      <c r="J246" s="46" t="s">
        <v>1590</v>
      </c>
      <c r="M246" s="58" t="s">
        <v>25</v>
      </c>
      <c r="S246" s="46">
        <v>4</v>
      </c>
    </row>
    <row r="247" spans="1:21">
      <c r="A247" s="47">
        <v>12449905</v>
      </c>
      <c r="B247" s="46" t="s">
        <v>2947</v>
      </c>
      <c r="C247" s="46" t="s">
        <v>2948</v>
      </c>
      <c r="D247" s="48" t="s">
        <v>52</v>
      </c>
      <c r="E247" s="49" t="str">
        <f t="shared" ca="1" si="4"/>
        <v/>
      </c>
      <c r="F247" s="50" t="s">
        <v>2949</v>
      </c>
      <c r="G247" s="51" t="s">
        <v>70</v>
      </c>
      <c r="H247" s="52" t="s">
        <v>2950</v>
      </c>
      <c r="I247" s="52" t="s">
        <v>2926</v>
      </c>
      <c r="J247" s="46" t="s">
        <v>316</v>
      </c>
      <c r="K247" s="46" t="s">
        <v>390</v>
      </c>
      <c r="L247" s="46" t="s">
        <v>52</v>
      </c>
      <c r="M247" s="53" t="s">
        <v>2951</v>
      </c>
      <c r="N247" s="46" t="s">
        <v>52</v>
      </c>
      <c r="O247" s="46" t="s">
        <v>52</v>
      </c>
      <c r="P247" s="46" t="s">
        <v>59</v>
      </c>
      <c r="Q247" s="46" t="s">
        <v>60</v>
      </c>
      <c r="R247" s="46" t="s">
        <v>61</v>
      </c>
      <c r="S247" s="46" t="s">
        <v>62</v>
      </c>
      <c r="T247" s="46" t="s">
        <v>12</v>
      </c>
      <c r="U247" s="46" t="s">
        <v>63</v>
      </c>
    </row>
    <row r="248" spans="1:21">
      <c r="A248" s="47">
        <v>12475984</v>
      </c>
      <c r="B248" s="46" t="s">
        <v>3041</v>
      </c>
      <c r="C248" s="52" t="s">
        <v>783</v>
      </c>
      <c r="D248" s="48">
        <v>21933</v>
      </c>
      <c r="E248" s="49">
        <f t="shared" ca="1" si="4"/>
        <v>66.446959790781307</v>
      </c>
      <c r="F248" s="50">
        <v>155159569</v>
      </c>
      <c r="G248" s="51" t="s">
        <v>23</v>
      </c>
      <c r="I248" s="52" t="s">
        <v>2926</v>
      </c>
      <c r="J248" s="46" t="s">
        <v>881</v>
      </c>
      <c r="M248" s="53" t="s">
        <v>3045</v>
      </c>
      <c r="N248" s="55"/>
      <c r="O248" s="55"/>
      <c r="S248" s="46">
        <v>4</v>
      </c>
    </row>
    <row r="249" spans="1:21">
      <c r="A249" s="47">
        <v>12505921</v>
      </c>
      <c r="B249" s="46" t="s">
        <v>2422</v>
      </c>
      <c r="C249" s="52" t="s">
        <v>2878</v>
      </c>
      <c r="D249" s="48">
        <v>24819</v>
      </c>
      <c r="E249" s="49">
        <f t="shared" ca="1" si="4"/>
        <v>58.546201232032857</v>
      </c>
      <c r="F249" s="50">
        <v>154180114</v>
      </c>
      <c r="G249" s="51" t="s">
        <v>23</v>
      </c>
      <c r="I249" s="52" t="s">
        <v>23</v>
      </c>
      <c r="J249" s="46" t="s">
        <v>6224</v>
      </c>
      <c r="M249" s="53" t="s">
        <v>4249</v>
      </c>
      <c r="N249" s="55"/>
      <c r="O249" s="55"/>
      <c r="S249" s="46">
        <v>4</v>
      </c>
    </row>
    <row r="250" spans="1:21">
      <c r="A250" s="60">
        <v>12512063</v>
      </c>
      <c r="B250" s="61" t="s">
        <v>6062</v>
      </c>
      <c r="C250" s="62" t="s">
        <v>6063</v>
      </c>
      <c r="D250" s="48">
        <v>21344</v>
      </c>
      <c r="E250" s="49">
        <f t="shared" ca="1" si="4"/>
        <v>68.060907864455203</v>
      </c>
      <c r="F250" s="63"/>
      <c r="G250" s="51" t="s">
        <v>23</v>
      </c>
      <c r="I250" s="52" t="s">
        <v>23</v>
      </c>
      <c r="J250" s="61" t="s">
        <v>1908</v>
      </c>
      <c r="K250" s="61"/>
      <c r="L250" s="61"/>
      <c r="M250" s="58" t="s">
        <v>25</v>
      </c>
      <c r="N250" s="55"/>
      <c r="O250" s="55"/>
      <c r="S250" s="46">
        <v>4</v>
      </c>
    </row>
    <row r="251" spans="1:21">
      <c r="A251" s="47">
        <v>12540739</v>
      </c>
      <c r="B251" s="46" t="s">
        <v>4759</v>
      </c>
      <c r="C251" s="46" t="s">
        <v>4760</v>
      </c>
      <c r="D251" s="48" t="s">
        <v>52</v>
      </c>
      <c r="E251" s="49" t="str">
        <f t="shared" ca="1" si="4"/>
        <v/>
      </c>
      <c r="F251" s="50" t="s">
        <v>4761</v>
      </c>
      <c r="G251" s="51" t="s">
        <v>141</v>
      </c>
      <c r="H251" s="52" t="s">
        <v>52</v>
      </c>
      <c r="I251" s="65" t="s">
        <v>4708</v>
      </c>
      <c r="J251" s="46" t="s">
        <v>4762</v>
      </c>
      <c r="K251" s="46" t="s">
        <v>81</v>
      </c>
      <c r="L251" s="46" t="s">
        <v>4763</v>
      </c>
      <c r="M251" s="53" t="s">
        <v>4764</v>
      </c>
      <c r="N251" s="46" t="s">
        <v>4765</v>
      </c>
      <c r="O251" s="46" t="s">
        <v>59</v>
      </c>
      <c r="P251" s="46" t="s">
        <v>59</v>
      </c>
      <c r="Q251" s="46" t="s">
        <v>60</v>
      </c>
      <c r="R251" s="46" t="s">
        <v>61</v>
      </c>
      <c r="S251" s="46" t="s">
        <v>62</v>
      </c>
      <c r="T251" s="46" t="s">
        <v>12</v>
      </c>
      <c r="U251" s="46" t="s">
        <v>63</v>
      </c>
    </row>
    <row r="252" spans="1:21">
      <c r="A252" s="47">
        <v>12562167</v>
      </c>
      <c r="B252" s="46" t="s">
        <v>226</v>
      </c>
      <c r="C252" s="52" t="s">
        <v>3533</v>
      </c>
      <c r="D252" s="48">
        <v>21388</v>
      </c>
      <c r="E252" s="49">
        <f t="shared" ca="1" si="4"/>
        <v>67.940441234822629</v>
      </c>
      <c r="F252" s="50" t="s">
        <v>3534</v>
      </c>
      <c r="G252" s="51" t="s">
        <v>23</v>
      </c>
      <c r="I252" s="52" t="s">
        <v>3427</v>
      </c>
      <c r="J252" s="46" t="s">
        <v>3535</v>
      </c>
      <c r="M252" s="53" t="s">
        <v>3536</v>
      </c>
      <c r="N252" s="55"/>
      <c r="O252" s="55"/>
      <c r="S252" s="46">
        <v>4</v>
      </c>
    </row>
    <row r="253" spans="1:21">
      <c r="A253" s="47">
        <v>12597724</v>
      </c>
      <c r="B253" s="46" t="s">
        <v>760</v>
      </c>
      <c r="C253" s="46" t="s">
        <v>4424</v>
      </c>
      <c r="D253" s="48" t="s">
        <v>4425</v>
      </c>
      <c r="E253" s="49">
        <f t="shared" ca="1" si="4"/>
        <v>70.408629930975977</v>
      </c>
      <c r="F253" s="50" t="s">
        <v>4426</v>
      </c>
      <c r="G253" s="51" t="s">
        <v>86</v>
      </c>
      <c r="H253" s="52" t="s">
        <v>52</v>
      </c>
      <c r="I253" s="52" t="s">
        <v>4245</v>
      </c>
      <c r="J253" s="46" t="s">
        <v>4427</v>
      </c>
      <c r="K253" s="46" t="s">
        <v>81</v>
      </c>
      <c r="L253" s="46" t="s">
        <v>52</v>
      </c>
      <c r="M253" s="58" t="s">
        <v>25</v>
      </c>
      <c r="N253" s="46" t="s">
        <v>931</v>
      </c>
      <c r="O253" s="46" t="s">
        <v>4428</v>
      </c>
      <c r="P253" s="46" t="s">
        <v>59</v>
      </c>
      <c r="Q253" s="46" t="s">
        <v>60</v>
      </c>
      <c r="R253" s="46" t="s">
        <v>61</v>
      </c>
      <c r="S253" s="46" t="s">
        <v>62</v>
      </c>
      <c r="T253" s="46" t="s">
        <v>12</v>
      </c>
      <c r="U253" s="46" t="s">
        <v>63</v>
      </c>
    </row>
    <row r="254" spans="1:21">
      <c r="A254" s="47">
        <v>12597912</v>
      </c>
      <c r="B254" s="46" t="s">
        <v>3834</v>
      </c>
      <c r="C254" s="46" t="s">
        <v>3835</v>
      </c>
      <c r="E254" s="49" t="str">
        <f t="shared" ca="1" si="4"/>
        <v/>
      </c>
      <c r="F254" s="50">
        <v>3813196481</v>
      </c>
      <c r="G254" s="51" t="s">
        <v>86</v>
      </c>
      <c r="I254" s="52" t="s">
        <v>3630</v>
      </c>
      <c r="M254" s="53" t="s">
        <v>3836</v>
      </c>
      <c r="N254" s="46">
        <v>4847369</v>
      </c>
      <c r="S254" s="46">
        <v>4</v>
      </c>
    </row>
    <row r="255" spans="1:21">
      <c r="A255" s="47">
        <v>12597950</v>
      </c>
      <c r="B255" s="46" t="s">
        <v>1184</v>
      </c>
      <c r="C255" s="52" t="s">
        <v>1185</v>
      </c>
      <c r="D255" s="48">
        <v>20701</v>
      </c>
      <c r="E255" s="49">
        <f t="shared" ca="1" si="4"/>
        <v>69.819997686345587</v>
      </c>
      <c r="G255" s="51" t="s">
        <v>70</v>
      </c>
      <c r="I255" s="59" t="s">
        <v>908</v>
      </c>
      <c r="J255" s="46" t="s">
        <v>316</v>
      </c>
      <c r="M255" s="52" t="s">
        <v>1186</v>
      </c>
      <c r="N255" s="55"/>
      <c r="O255" s="55"/>
      <c r="S255" s="46">
        <v>4</v>
      </c>
    </row>
    <row r="256" spans="1:21">
      <c r="A256" s="47">
        <v>12597997</v>
      </c>
      <c r="B256" s="46" t="s">
        <v>3657</v>
      </c>
      <c r="C256" s="52" t="s">
        <v>3658</v>
      </c>
      <c r="D256" s="48">
        <v>20393</v>
      </c>
      <c r="E256" s="49">
        <f t="shared" ca="1" si="4"/>
        <v>70.66392881587953</v>
      </c>
      <c r="F256" s="50">
        <v>154769227</v>
      </c>
      <c r="G256" s="51" t="s">
        <v>23</v>
      </c>
      <c r="I256" s="52" t="s">
        <v>3630</v>
      </c>
      <c r="J256" s="46" t="s">
        <v>3659</v>
      </c>
      <c r="M256" s="53" t="s">
        <v>3660</v>
      </c>
      <c r="N256" s="55"/>
      <c r="O256" s="55"/>
      <c r="S256" s="46">
        <v>4</v>
      </c>
    </row>
    <row r="257" spans="1:21">
      <c r="A257" s="47">
        <v>12598819</v>
      </c>
      <c r="B257" s="46" t="s">
        <v>2262</v>
      </c>
      <c r="C257" s="52" t="s">
        <v>6379</v>
      </c>
      <c r="E257" s="49" t="str">
        <f t="shared" ca="1" si="4"/>
        <v/>
      </c>
      <c r="F257" s="50">
        <v>155413372</v>
      </c>
      <c r="G257" s="51" t="s">
        <v>23</v>
      </c>
      <c r="I257" s="52" t="s">
        <v>23</v>
      </c>
      <c r="J257" s="46" t="s">
        <v>6380</v>
      </c>
      <c r="M257" s="53" t="s">
        <v>6381</v>
      </c>
      <c r="N257" s="55">
        <v>4247752</v>
      </c>
      <c r="O257" s="55">
        <v>7155</v>
      </c>
      <c r="S257" s="46">
        <v>4</v>
      </c>
    </row>
    <row r="258" spans="1:21">
      <c r="A258" s="47">
        <v>12598870</v>
      </c>
      <c r="B258" s="46" t="s">
        <v>1603</v>
      </c>
      <c r="C258" s="52" t="s">
        <v>1604</v>
      </c>
      <c r="D258" s="48">
        <v>20838</v>
      </c>
      <c r="E258" s="49">
        <f t="shared" ca="1" si="4"/>
        <v>69.446943325380374</v>
      </c>
      <c r="F258" s="50">
        <v>156506373</v>
      </c>
      <c r="G258" s="51" t="s">
        <v>23</v>
      </c>
      <c r="I258" s="52" t="s">
        <v>1497</v>
      </c>
      <c r="J258" s="46" t="s">
        <v>1605</v>
      </c>
      <c r="M258" s="53" t="s">
        <v>1606</v>
      </c>
      <c r="N258" s="55" t="s">
        <v>1607</v>
      </c>
      <c r="O258" s="55"/>
      <c r="S258" s="46">
        <v>4</v>
      </c>
    </row>
    <row r="259" spans="1:21">
      <c r="A259" s="47">
        <v>12606192</v>
      </c>
      <c r="B259" s="46" t="s">
        <v>2737</v>
      </c>
      <c r="C259" s="46" t="s">
        <v>2738</v>
      </c>
      <c r="D259" s="48">
        <v>20145</v>
      </c>
      <c r="E259" s="49">
        <f t="shared" ca="1" si="4"/>
        <v>71.34291581108829</v>
      </c>
      <c r="F259" s="50">
        <v>4256941</v>
      </c>
      <c r="G259" s="51" t="s">
        <v>141</v>
      </c>
      <c r="I259" s="52" t="s">
        <v>2720</v>
      </c>
      <c r="J259" s="46" t="s">
        <v>2300</v>
      </c>
      <c r="M259" s="53" t="s">
        <v>2739</v>
      </c>
      <c r="N259" s="46">
        <v>4107276</v>
      </c>
      <c r="O259" s="46">
        <v>7276</v>
      </c>
      <c r="P259" s="46" t="s">
        <v>1092</v>
      </c>
      <c r="S259" s="46">
        <v>4</v>
      </c>
    </row>
    <row r="260" spans="1:21">
      <c r="A260" s="47">
        <v>12606235</v>
      </c>
      <c r="B260" s="46" t="s">
        <v>499</v>
      </c>
      <c r="C260" s="52" t="s">
        <v>500</v>
      </c>
      <c r="D260" s="48">
        <v>20714</v>
      </c>
      <c r="E260" s="49">
        <f t="shared" ca="1" si="4"/>
        <v>69.784405969228388</v>
      </c>
      <c r="F260" s="50">
        <v>155039853</v>
      </c>
      <c r="G260" s="51" t="s">
        <v>86</v>
      </c>
      <c r="I260" s="52" t="s">
        <v>24</v>
      </c>
      <c r="J260" s="46" t="s">
        <v>501</v>
      </c>
      <c r="M260" s="53" t="s">
        <v>502</v>
      </c>
      <c r="N260" s="55">
        <v>4107533</v>
      </c>
      <c r="O260" s="55"/>
      <c r="S260" s="46">
        <v>4</v>
      </c>
    </row>
    <row r="261" spans="1:21">
      <c r="A261" s="47">
        <v>12606335</v>
      </c>
      <c r="B261" s="46" t="s">
        <v>3776</v>
      </c>
      <c r="C261" s="46" t="s">
        <v>3777</v>
      </c>
      <c r="E261" s="49" t="str">
        <f t="shared" ca="1" si="4"/>
        <v/>
      </c>
      <c r="F261" s="50">
        <v>155837385</v>
      </c>
      <c r="G261" s="51" t="s">
        <v>23</v>
      </c>
      <c r="I261" s="52" t="s">
        <v>3630</v>
      </c>
      <c r="J261" s="46" t="s">
        <v>316</v>
      </c>
      <c r="M261" s="53" t="s">
        <v>3778</v>
      </c>
      <c r="N261" s="46">
        <v>4239503</v>
      </c>
      <c r="S261" s="46">
        <v>4</v>
      </c>
    </row>
    <row r="262" spans="1:21">
      <c r="A262" s="47">
        <v>12606733</v>
      </c>
      <c r="B262" s="46" t="s">
        <v>4286</v>
      </c>
      <c r="C262" s="46" t="s">
        <v>6055</v>
      </c>
      <c r="E262" s="49" t="str">
        <f t="shared" ca="1" si="4"/>
        <v/>
      </c>
      <c r="G262" s="51" t="s">
        <v>23</v>
      </c>
      <c r="I262" s="52" t="s">
        <v>23</v>
      </c>
      <c r="M262" s="58" t="s">
        <v>25</v>
      </c>
      <c r="S262" s="46">
        <v>4</v>
      </c>
    </row>
    <row r="263" spans="1:21">
      <c r="A263" s="47">
        <v>12607103</v>
      </c>
      <c r="B263" s="46" t="s">
        <v>2283</v>
      </c>
      <c r="C263" s="52" t="s">
        <v>2284</v>
      </c>
      <c r="D263" s="48">
        <v>21564</v>
      </c>
      <c r="E263" s="49">
        <f t="shared" ca="1" si="4"/>
        <v>67.457905544147849</v>
      </c>
      <c r="F263" s="50">
        <v>154580975</v>
      </c>
      <c r="G263" s="51" t="s">
        <v>23</v>
      </c>
      <c r="I263" s="52" t="s">
        <v>1881</v>
      </c>
      <c r="J263" s="55" t="s">
        <v>1919</v>
      </c>
      <c r="K263" s="55"/>
      <c r="L263" s="55"/>
      <c r="M263" s="53" t="s">
        <v>2285</v>
      </c>
      <c r="N263" s="55"/>
      <c r="O263" s="55"/>
      <c r="S263" s="46">
        <v>4</v>
      </c>
    </row>
    <row r="264" spans="1:21">
      <c r="A264" s="47">
        <v>12607348</v>
      </c>
      <c r="B264" s="46" t="s">
        <v>2280</v>
      </c>
      <c r="C264" s="52" t="s">
        <v>2281</v>
      </c>
      <c r="D264" s="48">
        <v>20774</v>
      </c>
      <c r="E264" s="49">
        <f t="shared" ca="1" si="4"/>
        <v>69.620136505610603</v>
      </c>
      <c r="F264" s="50">
        <v>156451950</v>
      </c>
      <c r="G264" s="51" t="s">
        <v>23</v>
      </c>
      <c r="I264" s="52" t="s">
        <v>1881</v>
      </c>
      <c r="J264" s="46" t="s">
        <v>2282</v>
      </c>
      <c r="M264" s="58" t="s">
        <v>25</v>
      </c>
      <c r="N264" s="55"/>
      <c r="O264" s="55"/>
      <c r="S264" s="46">
        <v>4</v>
      </c>
    </row>
    <row r="265" spans="1:21">
      <c r="A265" s="47">
        <v>12607460</v>
      </c>
      <c r="B265" s="46" t="s">
        <v>1364</v>
      </c>
      <c r="C265" s="46" t="s">
        <v>1365</v>
      </c>
      <c r="D265" s="48" t="s">
        <v>1366</v>
      </c>
      <c r="E265" s="49">
        <f t="shared" ref="E265:E328" ca="1" si="5">IF(D265="","",YEARFRAC(D265,TODAY(),1))</f>
        <v>67.737838266804218</v>
      </c>
      <c r="F265" s="50" t="s">
        <v>1367</v>
      </c>
      <c r="G265" s="51" t="s">
        <v>70</v>
      </c>
      <c r="H265" s="52" t="s">
        <v>1368</v>
      </c>
      <c r="I265" s="59" t="s">
        <v>908</v>
      </c>
      <c r="J265" s="46" t="s">
        <v>1369</v>
      </c>
      <c r="K265" s="46" t="s">
        <v>112</v>
      </c>
      <c r="L265" s="46" t="s">
        <v>546</v>
      </c>
      <c r="M265" s="52" t="s">
        <v>1370</v>
      </c>
      <c r="N265" s="46" t="s">
        <v>1332</v>
      </c>
      <c r="O265" s="46" t="s">
        <v>1333</v>
      </c>
      <c r="P265" s="46" t="s">
        <v>59</v>
      </c>
      <c r="Q265" s="46" t="s">
        <v>60</v>
      </c>
      <c r="R265" s="46" t="s">
        <v>61</v>
      </c>
      <c r="S265" s="46" t="s">
        <v>62</v>
      </c>
      <c r="T265" s="46" t="s">
        <v>12</v>
      </c>
      <c r="U265" s="46" t="s">
        <v>63</v>
      </c>
    </row>
    <row r="266" spans="1:21">
      <c r="A266" s="47">
        <v>12607547</v>
      </c>
      <c r="B266" s="46" t="s">
        <v>6516</v>
      </c>
      <c r="C266" s="46" t="s">
        <v>6517</v>
      </c>
      <c r="D266" s="48" t="s">
        <v>52</v>
      </c>
      <c r="E266" s="49" t="str">
        <f t="shared" ca="1" si="5"/>
        <v/>
      </c>
      <c r="F266" s="50" t="s">
        <v>6518</v>
      </c>
      <c r="G266" s="51" t="s">
        <v>70</v>
      </c>
      <c r="H266" s="52" t="s">
        <v>6519</v>
      </c>
      <c r="I266" s="52" t="s">
        <v>6514</v>
      </c>
      <c r="J266" s="46" t="s">
        <v>52</v>
      </c>
      <c r="K266" s="46" t="s">
        <v>81</v>
      </c>
      <c r="L266" s="46" t="s">
        <v>546</v>
      </c>
      <c r="M266" s="52" t="s">
        <v>582</v>
      </c>
      <c r="N266" s="46" t="s">
        <v>52</v>
      </c>
      <c r="O266" s="46" t="s">
        <v>52</v>
      </c>
      <c r="P266" s="46" t="s">
        <v>59</v>
      </c>
      <c r="Q266" s="46" t="s">
        <v>60</v>
      </c>
      <c r="R266" s="46" t="s">
        <v>61</v>
      </c>
      <c r="S266" s="46" t="s">
        <v>62</v>
      </c>
      <c r="T266" s="46" t="s">
        <v>12</v>
      </c>
      <c r="U266" s="46" t="s">
        <v>63</v>
      </c>
    </row>
    <row r="267" spans="1:21">
      <c r="A267" s="47">
        <v>12607777</v>
      </c>
      <c r="B267" s="46" t="s">
        <v>2514</v>
      </c>
      <c r="C267" s="46" t="s">
        <v>363</v>
      </c>
      <c r="D267" s="48">
        <v>21589</v>
      </c>
      <c r="E267" s="49">
        <f t="shared" ca="1" si="5"/>
        <v>67.389459274469544</v>
      </c>
      <c r="F267" s="50">
        <v>154157863</v>
      </c>
      <c r="G267" s="51" t="s">
        <v>86</v>
      </c>
      <c r="I267" s="59" t="s">
        <v>908</v>
      </c>
      <c r="M267" s="53" t="s">
        <v>2515</v>
      </c>
      <c r="S267" s="46">
        <v>4</v>
      </c>
    </row>
    <row r="268" spans="1:21">
      <c r="A268" s="47">
        <v>12609312</v>
      </c>
      <c r="B268" s="46" t="s">
        <v>156</v>
      </c>
      <c r="C268" s="46" t="s">
        <v>162</v>
      </c>
      <c r="D268" s="48">
        <v>20748</v>
      </c>
      <c r="E268" s="49">
        <f t="shared" ca="1" si="5"/>
        <v>69.691319939844988</v>
      </c>
      <c r="F268" s="50">
        <v>155192428</v>
      </c>
      <c r="G268" s="51" t="s">
        <v>23</v>
      </c>
      <c r="I268" s="52" t="s">
        <v>24</v>
      </c>
      <c r="J268" s="46" t="s">
        <v>163</v>
      </c>
      <c r="M268" s="53" t="s">
        <v>160</v>
      </c>
      <c r="N268" s="46">
        <v>4364093</v>
      </c>
      <c r="O268" s="46">
        <v>7923</v>
      </c>
      <c r="S268" s="46">
        <v>4</v>
      </c>
    </row>
    <row r="269" spans="1:21">
      <c r="A269" s="64">
        <v>12609337</v>
      </c>
      <c r="B269" s="61" t="s">
        <v>3676</v>
      </c>
      <c r="C269" s="62" t="s">
        <v>3677</v>
      </c>
      <c r="D269" s="48">
        <v>21484</v>
      </c>
      <c r="E269" s="49">
        <f t="shared" ca="1" si="5"/>
        <v>67.677604951987945</v>
      </c>
      <c r="F269" s="63"/>
      <c r="G269" s="51" t="s">
        <v>23</v>
      </c>
      <c r="I269" s="52" t="s">
        <v>3630</v>
      </c>
      <c r="J269" s="61" t="s">
        <v>2477</v>
      </c>
      <c r="K269" s="61"/>
      <c r="L269" s="61"/>
      <c r="M269" s="53" t="s">
        <v>3678</v>
      </c>
      <c r="N269" s="55"/>
      <c r="O269" s="55"/>
      <c r="S269" s="46">
        <v>4</v>
      </c>
    </row>
    <row r="270" spans="1:21">
      <c r="A270" s="47">
        <v>12622742</v>
      </c>
      <c r="B270" s="46" t="s">
        <v>128</v>
      </c>
      <c r="C270" s="52" t="s">
        <v>3184</v>
      </c>
      <c r="D270" s="48">
        <v>20790</v>
      </c>
      <c r="E270" s="49">
        <f t="shared" ca="1" si="5"/>
        <v>69.57633131531253</v>
      </c>
      <c r="F270" s="50">
        <v>154156491</v>
      </c>
      <c r="G270" s="51" t="s">
        <v>23</v>
      </c>
      <c r="I270" s="52" t="s">
        <v>3166</v>
      </c>
      <c r="J270" s="46" t="s">
        <v>3185</v>
      </c>
      <c r="M270" s="58" t="s">
        <v>25</v>
      </c>
      <c r="N270" s="55">
        <v>4253467</v>
      </c>
      <c r="O270" s="55"/>
      <c r="S270" s="46">
        <v>4</v>
      </c>
    </row>
    <row r="271" spans="1:21">
      <c r="A271" s="47">
        <v>12627777</v>
      </c>
      <c r="B271" s="46" t="s">
        <v>2514</v>
      </c>
      <c r="C271" s="52" t="s">
        <v>2516</v>
      </c>
      <c r="E271" s="49" t="str">
        <f t="shared" ca="1" si="5"/>
        <v/>
      </c>
      <c r="F271" s="50">
        <v>154157863</v>
      </c>
      <c r="G271" s="51" t="s">
        <v>23</v>
      </c>
      <c r="I271" s="59" t="s">
        <v>908</v>
      </c>
      <c r="J271" s="55" t="s">
        <v>2517</v>
      </c>
      <c r="K271" s="55"/>
      <c r="L271" s="55"/>
      <c r="M271" s="53" t="s">
        <v>2515</v>
      </c>
      <c r="N271" s="55"/>
      <c r="O271" s="55"/>
      <c r="S271" s="46">
        <v>4</v>
      </c>
    </row>
    <row r="272" spans="1:21">
      <c r="A272" s="47">
        <v>12654235</v>
      </c>
      <c r="B272" s="46" t="s">
        <v>863</v>
      </c>
      <c r="C272" s="46" t="s">
        <v>4576</v>
      </c>
      <c r="D272" s="48">
        <v>21456</v>
      </c>
      <c r="E272" s="49">
        <f t="shared" ca="1" si="5"/>
        <v>67.754265534481391</v>
      </c>
      <c r="F272" s="50">
        <v>156750549</v>
      </c>
      <c r="G272" s="51" t="s">
        <v>70</v>
      </c>
      <c r="I272" s="52" t="s">
        <v>4499</v>
      </c>
      <c r="J272" s="46" t="s">
        <v>1653</v>
      </c>
      <c r="M272" s="53" t="s">
        <v>4577</v>
      </c>
      <c r="P272" s="46">
        <v>4</v>
      </c>
    </row>
    <row r="273" spans="1:21">
      <c r="A273" s="47">
        <v>12674864</v>
      </c>
      <c r="B273" s="46" t="s">
        <v>811</v>
      </c>
      <c r="C273" s="46" t="s">
        <v>812</v>
      </c>
      <c r="D273" s="48">
        <v>21731</v>
      </c>
      <c r="E273" s="49">
        <f t="shared" ca="1" si="5"/>
        <v>67.000684462696782</v>
      </c>
      <c r="F273" s="50">
        <v>154725263</v>
      </c>
      <c r="G273" s="51" t="s">
        <v>141</v>
      </c>
      <c r="I273" s="52" t="s">
        <v>808</v>
      </c>
      <c r="J273" s="46" t="s">
        <v>38</v>
      </c>
      <c r="M273" s="53" t="s">
        <v>813</v>
      </c>
      <c r="O273" s="46">
        <v>4247752</v>
      </c>
      <c r="S273" s="46">
        <v>4</v>
      </c>
    </row>
    <row r="274" spans="1:21">
      <c r="A274" s="47">
        <v>12675403</v>
      </c>
      <c r="B274" s="46" t="s">
        <v>2821</v>
      </c>
      <c r="C274" s="46" t="s">
        <v>2822</v>
      </c>
      <c r="D274" s="48">
        <v>21798</v>
      </c>
      <c r="E274" s="49">
        <f t="shared" ca="1" si="5"/>
        <v>66.817248459958932</v>
      </c>
      <c r="F274" s="50">
        <v>154793590</v>
      </c>
      <c r="G274" s="51" t="s">
        <v>70</v>
      </c>
      <c r="I274" s="52" t="s">
        <v>2823</v>
      </c>
      <c r="J274" s="46" t="s">
        <v>2685</v>
      </c>
      <c r="M274" s="53" t="s">
        <v>2824</v>
      </c>
      <c r="N274" s="46">
        <v>4247752</v>
      </c>
      <c r="O274" s="46">
        <v>7253</v>
      </c>
      <c r="P274" s="46">
        <v>3</v>
      </c>
      <c r="S274" s="46">
        <v>4</v>
      </c>
    </row>
    <row r="275" spans="1:21">
      <c r="A275" s="47">
        <v>12721505</v>
      </c>
      <c r="B275" s="46" t="s">
        <v>1040</v>
      </c>
      <c r="C275" s="46" t="s">
        <v>1041</v>
      </c>
      <c r="D275" s="48">
        <v>21491</v>
      </c>
      <c r="E275" s="49">
        <f t="shared" ca="1" si="5"/>
        <v>67.658439806364584</v>
      </c>
      <c r="F275" s="50">
        <v>156786386</v>
      </c>
      <c r="G275" s="51" t="s">
        <v>70</v>
      </c>
      <c r="I275" s="59" t="s">
        <v>908</v>
      </c>
      <c r="J275" s="46" t="s">
        <v>762</v>
      </c>
      <c r="M275" s="53" t="s">
        <v>1042</v>
      </c>
      <c r="N275" s="46">
        <v>4247752</v>
      </c>
      <c r="O275" s="46">
        <v>7083</v>
      </c>
      <c r="S275" s="46">
        <v>4</v>
      </c>
    </row>
    <row r="276" spans="1:21">
      <c r="A276" s="47">
        <v>12733089</v>
      </c>
      <c r="B276" s="46" t="s">
        <v>5257</v>
      </c>
      <c r="C276" s="52" t="s">
        <v>5258</v>
      </c>
      <c r="D276" s="48">
        <v>20709</v>
      </c>
      <c r="E276" s="49">
        <f t="shared" ca="1" si="5"/>
        <v>69.798095091196544</v>
      </c>
      <c r="F276" s="50">
        <v>156094871</v>
      </c>
      <c r="G276" s="51" t="s">
        <v>23</v>
      </c>
      <c r="I276" s="52" t="s">
        <v>5259</v>
      </c>
      <c r="M276" s="53" t="s">
        <v>5260</v>
      </c>
      <c r="N276" s="55" t="s">
        <v>5261</v>
      </c>
      <c r="O276" s="55"/>
      <c r="S276" s="46">
        <v>4</v>
      </c>
    </row>
    <row r="277" spans="1:21">
      <c r="A277" s="60">
        <v>12733217</v>
      </c>
      <c r="B277" s="61" t="s">
        <v>5040</v>
      </c>
      <c r="C277" s="62" t="s">
        <v>5041</v>
      </c>
      <c r="D277" s="48">
        <v>20753</v>
      </c>
      <c r="E277" s="49">
        <f t="shared" ca="1" si="5"/>
        <v>69.677630817876832</v>
      </c>
      <c r="F277" s="63"/>
      <c r="G277" s="51" t="s">
        <v>23</v>
      </c>
      <c r="I277" s="52" t="s">
        <v>4954</v>
      </c>
      <c r="J277" s="61" t="s">
        <v>5042</v>
      </c>
      <c r="K277" s="61"/>
      <c r="L277" s="61"/>
      <c r="M277" s="58" t="s">
        <v>25</v>
      </c>
      <c r="N277" s="55"/>
      <c r="O277" s="55"/>
      <c r="S277" s="46">
        <v>4</v>
      </c>
    </row>
    <row r="278" spans="1:21">
      <c r="A278" s="47">
        <v>12733219</v>
      </c>
      <c r="B278" s="46" t="s">
        <v>6182</v>
      </c>
      <c r="C278" s="52" t="s">
        <v>5041</v>
      </c>
      <c r="E278" s="49" t="str">
        <f t="shared" ca="1" si="5"/>
        <v/>
      </c>
      <c r="G278" s="51" t="s">
        <v>23</v>
      </c>
      <c r="I278" s="52" t="s">
        <v>23</v>
      </c>
      <c r="M278" s="58" t="s">
        <v>25</v>
      </c>
      <c r="N278" s="55"/>
      <c r="O278" s="55"/>
      <c r="S278" s="46">
        <v>4</v>
      </c>
    </row>
    <row r="279" spans="1:21">
      <c r="A279" s="47">
        <v>12733236</v>
      </c>
      <c r="B279" s="46" t="s">
        <v>1805</v>
      </c>
      <c r="C279" s="46" t="s">
        <v>1806</v>
      </c>
      <c r="D279" s="48">
        <v>21499</v>
      </c>
      <c r="E279" s="49">
        <f t="shared" ca="1" si="5"/>
        <v>67.636536782795019</v>
      </c>
      <c r="G279" s="51" t="s">
        <v>70</v>
      </c>
      <c r="I279" s="52" t="s">
        <v>1657</v>
      </c>
      <c r="M279" s="53" t="s">
        <v>1807</v>
      </c>
      <c r="N279" s="46">
        <v>4107228</v>
      </c>
      <c r="P279" s="46" t="s">
        <v>1092</v>
      </c>
      <c r="S279" s="46">
        <v>4</v>
      </c>
    </row>
    <row r="280" spans="1:21">
      <c r="A280" s="47">
        <v>12733486</v>
      </c>
      <c r="B280" s="46" t="s">
        <v>4057</v>
      </c>
      <c r="C280" s="52" t="s">
        <v>962</v>
      </c>
      <c r="D280" s="48">
        <v>20700</v>
      </c>
      <c r="E280" s="49">
        <f t="shared" ca="1" si="5"/>
        <v>69.822735510739207</v>
      </c>
      <c r="F280" s="50">
        <v>156448294</v>
      </c>
      <c r="G280" s="51" t="s">
        <v>23</v>
      </c>
      <c r="I280" s="52" t="s">
        <v>3999</v>
      </c>
      <c r="J280" s="46" t="s">
        <v>4058</v>
      </c>
      <c r="M280" s="53" t="s">
        <v>4059</v>
      </c>
      <c r="N280" s="55">
        <v>4220767</v>
      </c>
      <c r="O280" s="55"/>
      <c r="S280" s="46">
        <v>4</v>
      </c>
    </row>
    <row r="281" spans="1:21">
      <c r="A281" s="47">
        <v>12733603</v>
      </c>
      <c r="B281" s="46" t="s">
        <v>497</v>
      </c>
      <c r="C281" s="55" t="s">
        <v>5238</v>
      </c>
      <c r="D281" s="48">
        <v>21527</v>
      </c>
      <c r="E281" s="49">
        <f t="shared" ca="1" si="5"/>
        <v>67.559876200301559</v>
      </c>
      <c r="F281" s="50">
        <v>155430444</v>
      </c>
      <c r="G281" s="51" t="s">
        <v>141</v>
      </c>
      <c r="I281" s="52" t="s">
        <v>5176</v>
      </c>
      <c r="J281" s="55"/>
      <c r="K281" s="55"/>
      <c r="L281" s="55"/>
      <c r="M281" s="53" t="s">
        <v>5239</v>
      </c>
      <c r="N281" s="55"/>
      <c r="O281" s="55"/>
      <c r="S281" s="46">
        <v>4</v>
      </c>
    </row>
    <row r="282" spans="1:21">
      <c r="A282" s="47">
        <v>12733903</v>
      </c>
      <c r="B282" s="46" t="s">
        <v>4677</v>
      </c>
      <c r="C282" s="46" t="s">
        <v>2184</v>
      </c>
      <c r="D282" s="48" t="s">
        <v>4678</v>
      </c>
      <c r="E282" s="49">
        <f t="shared" ca="1" si="5"/>
        <v>67.562614078247762</v>
      </c>
      <c r="F282" s="50" t="s">
        <v>4679</v>
      </c>
      <c r="G282" s="51" t="s">
        <v>70</v>
      </c>
      <c r="H282" s="52" t="s">
        <v>4680</v>
      </c>
      <c r="I282" s="52" t="s">
        <v>4499</v>
      </c>
      <c r="J282" s="46" t="s">
        <v>4681</v>
      </c>
      <c r="K282" s="46" t="s">
        <v>112</v>
      </c>
      <c r="L282" s="46" t="s">
        <v>52</v>
      </c>
      <c r="M282" s="52" t="s">
        <v>4682</v>
      </c>
      <c r="N282" s="46" t="s">
        <v>4683</v>
      </c>
      <c r="O282" s="46" t="s">
        <v>4684</v>
      </c>
      <c r="P282" s="46" t="s">
        <v>59</v>
      </c>
      <c r="Q282" s="46" t="s">
        <v>60</v>
      </c>
      <c r="R282" s="46" t="s">
        <v>61</v>
      </c>
      <c r="S282" s="46" t="s">
        <v>62</v>
      </c>
      <c r="T282" s="46" t="s">
        <v>12</v>
      </c>
      <c r="U282" s="46" t="s">
        <v>63</v>
      </c>
    </row>
    <row r="283" spans="1:21">
      <c r="A283" s="47">
        <v>12734180</v>
      </c>
      <c r="B283" s="46" t="s">
        <v>252</v>
      </c>
      <c r="C283" s="46" t="s">
        <v>4324</v>
      </c>
      <c r="D283" s="48">
        <v>21571</v>
      </c>
      <c r="E283" s="49">
        <f t="shared" ca="1" si="5"/>
        <v>67.438740588637913</v>
      </c>
      <c r="F283" s="50">
        <v>154025195</v>
      </c>
      <c r="G283" s="51" t="s">
        <v>70</v>
      </c>
      <c r="I283" s="52" t="s">
        <v>4245</v>
      </c>
      <c r="J283" s="46" t="s">
        <v>4325</v>
      </c>
      <c r="M283" s="53" t="s">
        <v>4326</v>
      </c>
      <c r="P283" s="46" t="s">
        <v>4327</v>
      </c>
      <c r="S283" s="46">
        <v>4</v>
      </c>
    </row>
    <row r="284" spans="1:21">
      <c r="A284" s="47">
        <v>12750170</v>
      </c>
      <c r="B284" s="46" t="s">
        <v>1906</v>
      </c>
      <c r="C284" s="52" t="s">
        <v>1907</v>
      </c>
      <c r="D284" s="48">
        <v>20722</v>
      </c>
      <c r="E284" s="49">
        <f t="shared" ca="1" si="5"/>
        <v>69.762503374079358</v>
      </c>
      <c r="G284" s="51" t="s">
        <v>23</v>
      </c>
      <c r="I284" s="52" t="s">
        <v>1881</v>
      </c>
      <c r="J284" s="46" t="s">
        <v>1908</v>
      </c>
      <c r="M284" s="53" t="s">
        <v>1909</v>
      </c>
      <c r="N284" s="55"/>
      <c r="O284" s="55"/>
      <c r="S284" s="46">
        <v>4</v>
      </c>
    </row>
    <row r="285" spans="1:21">
      <c r="A285" s="47">
        <v>12796743</v>
      </c>
      <c r="B285" s="46" t="s">
        <v>734</v>
      </c>
      <c r="C285" s="46" t="s">
        <v>2346</v>
      </c>
      <c r="D285" s="48" t="s">
        <v>52</v>
      </c>
      <c r="E285" s="49" t="str">
        <f t="shared" ca="1" si="5"/>
        <v/>
      </c>
      <c r="F285" s="50" t="s">
        <v>2347</v>
      </c>
      <c r="G285" s="51" t="s">
        <v>70</v>
      </c>
      <c r="H285" s="52" t="s">
        <v>2325</v>
      </c>
      <c r="I285" s="52" t="s">
        <v>1881</v>
      </c>
      <c r="J285" s="46" t="s">
        <v>52</v>
      </c>
      <c r="K285" s="46" t="s">
        <v>390</v>
      </c>
      <c r="L285" s="46" t="s">
        <v>546</v>
      </c>
      <c r="M285" s="52" t="s">
        <v>2348</v>
      </c>
      <c r="N285" s="46" t="s">
        <v>2349</v>
      </c>
      <c r="O285" s="46" t="s">
        <v>52</v>
      </c>
      <c r="P285" s="46" t="s">
        <v>59</v>
      </c>
      <c r="Q285" s="46" t="s">
        <v>60</v>
      </c>
      <c r="R285" s="46" t="s">
        <v>61</v>
      </c>
      <c r="S285" s="46" t="s">
        <v>62</v>
      </c>
      <c r="T285" s="46" t="s">
        <v>12</v>
      </c>
      <c r="U285" s="46" t="s">
        <v>63</v>
      </c>
    </row>
    <row r="286" spans="1:21">
      <c r="A286" s="47">
        <v>12869103</v>
      </c>
      <c r="B286" s="46" t="s">
        <v>2026</v>
      </c>
      <c r="C286" s="52" t="s">
        <v>2027</v>
      </c>
      <c r="D286" s="48">
        <v>21485</v>
      </c>
      <c r="E286" s="49">
        <f t="shared" ca="1" si="5"/>
        <v>67.674867074041742</v>
      </c>
      <c r="F286" s="50">
        <v>154694240</v>
      </c>
      <c r="G286" s="51" t="s">
        <v>23</v>
      </c>
      <c r="I286" s="52" t="s">
        <v>1881</v>
      </c>
      <c r="J286" s="55" t="s">
        <v>1919</v>
      </c>
      <c r="K286" s="55"/>
      <c r="L286" s="55"/>
      <c r="M286" s="53" t="s">
        <v>2028</v>
      </c>
      <c r="N286" s="55"/>
      <c r="O286" s="55"/>
      <c r="S286" s="46">
        <v>4</v>
      </c>
    </row>
    <row r="287" spans="1:21">
      <c r="A287" s="47">
        <v>12869128</v>
      </c>
      <c r="B287" s="46" t="s">
        <v>6362</v>
      </c>
      <c r="C287" s="46" t="s">
        <v>6019</v>
      </c>
      <c r="E287" s="49" t="str">
        <f t="shared" ca="1" si="5"/>
        <v/>
      </c>
      <c r="G287" s="51" t="s">
        <v>23</v>
      </c>
      <c r="I287" s="52" t="s">
        <v>23</v>
      </c>
      <c r="M287" s="58" t="s">
        <v>25</v>
      </c>
      <c r="S287" s="46">
        <v>4</v>
      </c>
    </row>
    <row r="288" spans="1:21">
      <c r="A288" s="47">
        <v>12869130</v>
      </c>
      <c r="B288" s="46" t="s">
        <v>174</v>
      </c>
      <c r="C288" s="52" t="s">
        <v>1972</v>
      </c>
      <c r="D288" s="48">
        <v>20893</v>
      </c>
      <c r="E288" s="49">
        <f t="shared" ca="1" si="5"/>
        <v>69.296358587241372</v>
      </c>
      <c r="G288" s="51" t="s">
        <v>23</v>
      </c>
      <c r="I288" s="52" t="s">
        <v>1881</v>
      </c>
      <c r="M288" s="58" t="s">
        <v>25</v>
      </c>
      <c r="N288" s="55"/>
      <c r="O288" s="55"/>
      <c r="S288" s="46">
        <v>4</v>
      </c>
    </row>
    <row r="289" spans="1:21">
      <c r="A289" s="47">
        <v>12869224</v>
      </c>
      <c r="B289" s="46" t="s">
        <v>6433</v>
      </c>
      <c r="C289" s="46" t="s">
        <v>5820</v>
      </c>
      <c r="D289" s="48" t="s">
        <v>52</v>
      </c>
      <c r="E289" s="49" t="str">
        <f t="shared" ca="1" si="5"/>
        <v/>
      </c>
      <c r="F289" s="50" t="s">
        <v>5821</v>
      </c>
      <c r="G289" s="51" t="s">
        <v>70</v>
      </c>
      <c r="H289" s="52" t="s">
        <v>5822</v>
      </c>
      <c r="I289" s="52" t="s">
        <v>5761</v>
      </c>
      <c r="J289" s="46" t="s">
        <v>5823</v>
      </c>
      <c r="K289" s="46" t="s">
        <v>159</v>
      </c>
      <c r="L289" s="46" t="s">
        <v>52</v>
      </c>
      <c r="M289" s="52" t="s">
        <v>5824</v>
      </c>
      <c r="N289" s="46" t="s">
        <v>2771</v>
      </c>
      <c r="O289" s="46" t="s">
        <v>52</v>
      </c>
      <c r="P289" s="46" t="s">
        <v>59</v>
      </c>
      <c r="Q289" s="46" t="s">
        <v>60</v>
      </c>
      <c r="R289" s="46" t="s">
        <v>61</v>
      </c>
      <c r="S289" s="46" t="s">
        <v>62</v>
      </c>
      <c r="T289" s="46" t="s">
        <v>12</v>
      </c>
      <c r="U289" s="46" t="s">
        <v>63</v>
      </c>
    </row>
    <row r="290" spans="1:21">
      <c r="A290" s="47">
        <v>12869490</v>
      </c>
      <c r="B290" s="46" t="s">
        <v>2071</v>
      </c>
      <c r="C290" s="52" t="s">
        <v>1200</v>
      </c>
      <c r="D290" s="48">
        <v>20922</v>
      </c>
      <c r="E290" s="49">
        <f t="shared" ca="1" si="5"/>
        <v>69.216959361677169</v>
      </c>
      <c r="F290" s="50">
        <v>155447879</v>
      </c>
      <c r="G290" s="51" t="s">
        <v>23</v>
      </c>
      <c r="I290" s="52" t="s">
        <v>1881</v>
      </c>
      <c r="J290" s="46" t="s">
        <v>2072</v>
      </c>
      <c r="M290" s="53" t="s">
        <v>2073</v>
      </c>
      <c r="N290" s="55"/>
      <c r="O290" s="55"/>
      <c r="S290" s="46">
        <v>4</v>
      </c>
    </row>
    <row r="291" spans="1:21">
      <c r="A291" s="47">
        <v>12869656</v>
      </c>
      <c r="B291" s="46" t="s">
        <v>1989</v>
      </c>
      <c r="C291" s="52" t="s">
        <v>1990</v>
      </c>
      <c r="D291" s="48" t="s">
        <v>1991</v>
      </c>
      <c r="E291" s="49">
        <f t="shared" ca="1" si="5"/>
        <v>69.290882778581761</v>
      </c>
      <c r="F291" s="50" t="s">
        <v>1992</v>
      </c>
      <c r="G291" s="51" t="s">
        <v>70</v>
      </c>
      <c r="H291" s="52" t="s">
        <v>52</v>
      </c>
      <c r="I291" s="52" t="s">
        <v>1881</v>
      </c>
      <c r="J291" s="55" t="s">
        <v>1993</v>
      </c>
      <c r="K291" s="55" t="s">
        <v>81</v>
      </c>
      <c r="L291" s="55" t="s">
        <v>52</v>
      </c>
      <c r="M291" s="53" t="s">
        <v>1994</v>
      </c>
      <c r="N291" s="55" t="s">
        <v>1995</v>
      </c>
      <c r="O291" s="55" t="s">
        <v>52</v>
      </c>
      <c r="P291" s="46" t="s">
        <v>59</v>
      </c>
      <c r="Q291" s="46" t="s">
        <v>60</v>
      </c>
      <c r="R291" s="46" t="s">
        <v>61</v>
      </c>
      <c r="S291" s="46" t="s">
        <v>62</v>
      </c>
      <c r="T291" s="46" t="s">
        <v>12</v>
      </c>
      <c r="U291" s="46" t="s">
        <v>63</v>
      </c>
    </row>
    <row r="292" spans="1:21">
      <c r="A292" s="47">
        <v>12870523</v>
      </c>
      <c r="B292" s="46" t="s">
        <v>476</v>
      </c>
      <c r="C292" s="46" t="s">
        <v>477</v>
      </c>
      <c r="D292" s="48" t="s">
        <v>52</v>
      </c>
      <c r="E292" s="49" t="str">
        <f t="shared" ca="1" si="5"/>
        <v/>
      </c>
      <c r="F292" s="50" t="s">
        <v>478</v>
      </c>
      <c r="G292" s="51" t="s">
        <v>70</v>
      </c>
      <c r="H292" s="52" t="s">
        <v>479</v>
      </c>
      <c r="I292" s="52" t="s">
        <v>24</v>
      </c>
      <c r="J292" s="46" t="s">
        <v>480</v>
      </c>
      <c r="K292" s="46" t="s">
        <v>81</v>
      </c>
      <c r="L292" s="46" t="s">
        <v>52</v>
      </c>
      <c r="M292" s="53" t="s">
        <v>481</v>
      </c>
      <c r="N292" s="46" t="s">
        <v>52</v>
      </c>
      <c r="O292" s="46" t="s">
        <v>52</v>
      </c>
      <c r="P292" s="46" t="s">
        <v>59</v>
      </c>
      <c r="Q292" s="46" t="s">
        <v>60</v>
      </c>
      <c r="R292" s="46" t="s">
        <v>61</v>
      </c>
      <c r="S292" s="46" t="s">
        <v>62</v>
      </c>
      <c r="T292" s="46" t="s">
        <v>12</v>
      </c>
      <c r="U292" s="46" t="s">
        <v>63</v>
      </c>
    </row>
    <row r="293" spans="1:21">
      <c r="A293" s="47">
        <v>12918323</v>
      </c>
      <c r="B293" s="46" t="s">
        <v>497</v>
      </c>
      <c r="C293" s="46" t="s">
        <v>498</v>
      </c>
      <c r="E293" s="49" t="str">
        <f t="shared" ca="1" si="5"/>
        <v/>
      </c>
      <c r="G293" s="51" t="s">
        <v>23</v>
      </c>
      <c r="I293" s="52" t="s">
        <v>24</v>
      </c>
      <c r="M293" s="58" t="s">
        <v>25</v>
      </c>
      <c r="S293" s="46">
        <v>4</v>
      </c>
    </row>
    <row r="294" spans="1:21">
      <c r="A294" s="66">
        <v>12918355</v>
      </c>
      <c r="B294" s="67" t="s">
        <v>410</v>
      </c>
      <c r="C294" s="52" t="s">
        <v>411</v>
      </c>
      <c r="D294" s="48">
        <v>21584</v>
      </c>
      <c r="E294" s="49">
        <f t="shared" ca="1" si="5"/>
        <v>67.403148528405197</v>
      </c>
      <c r="F294" s="57"/>
      <c r="G294" s="51" t="s">
        <v>23</v>
      </c>
      <c r="I294" s="52" t="s">
        <v>24</v>
      </c>
      <c r="M294" s="53" t="s">
        <v>412</v>
      </c>
      <c r="N294" s="55"/>
      <c r="O294" s="55"/>
      <c r="S294" s="46">
        <v>4</v>
      </c>
    </row>
    <row r="295" spans="1:21">
      <c r="A295" s="47">
        <v>12918409</v>
      </c>
      <c r="B295" s="46" t="s">
        <v>3762</v>
      </c>
      <c r="C295" s="55" t="s">
        <v>3763</v>
      </c>
      <c r="D295" s="48">
        <v>20908</v>
      </c>
      <c r="E295" s="49">
        <f t="shared" ca="1" si="5"/>
        <v>69.255290022294361</v>
      </c>
      <c r="F295" s="50">
        <v>154689621</v>
      </c>
      <c r="G295" s="51" t="s">
        <v>86</v>
      </c>
      <c r="I295" s="52" t="s">
        <v>3630</v>
      </c>
      <c r="J295" s="55"/>
      <c r="K295" s="55"/>
      <c r="L295" s="55"/>
      <c r="M295" s="53" t="s">
        <v>3764</v>
      </c>
      <c r="N295" s="55">
        <v>4847366</v>
      </c>
      <c r="O295" s="55">
        <v>7366</v>
      </c>
      <c r="S295" s="46">
        <v>4</v>
      </c>
    </row>
    <row r="296" spans="1:21">
      <c r="A296" s="47">
        <v>12918653</v>
      </c>
      <c r="B296" s="46" t="s">
        <v>2239</v>
      </c>
      <c r="C296" s="52" t="s">
        <v>2240</v>
      </c>
      <c r="D296" s="48">
        <v>20827</v>
      </c>
      <c r="E296" s="49">
        <f t="shared" ca="1" si="5"/>
        <v>69.477060273008178</v>
      </c>
      <c r="F296" s="50">
        <v>155674559</v>
      </c>
      <c r="G296" s="51" t="s">
        <v>70</v>
      </c>
      <c r="I296" s="52" t="s">
        <v>1881</v>
      </c>
      <c r="J296" s="46" t="s">
        <v>2241</v>
      </c>
      <c r="M296" s="53" t="s">
        <v>2242</v>
      </c>
      <c r="N296" s="55">
        <v>4364093</v>
      </c>
      <c r="O296" s="55">
        <v>7712</v>
      </c>
      <c r="S296" s="46">
        <v>4</v>
      </c>
    </row>
    <row r="297" spans="1:21">
      <c r="A297" s="47">
        <v>12918721</v>
      </c>
      <c r="B297" s="46" t="s">
        <v>279</v>
      </c>
      <c r="C297" s="46" t="s">
        <v>280</v>
      </c>
      <c r="D297" s="48">
        <v>21628</v>
      </c>
      <c r="E297" s="49">
        <f t="shared" ca="1" si="5"/>
        <v>67.282683093771396</v>
      </c>
      <c r="F297" s="50">
        <v>4253939</v>
      </c>
      <c r="G297" s="51" t="s">
        <v>70</v>
      </c>
      <c r="I297" s="52" t="s">
        <v>24</v>
      </c>
      <c r="J297" s="46" t="s">
        <v>281</v>
      </c>
      <c r="M297" s="53" t="s">
        <v>282</v>
      </c>
      <c r="N297" s="46">
        <v>4364093</v>
      </c>
      <c r="P297" s="46">
        <v>3</v>
      </c>
      <c r="S297" s="46">
        <v>4</v>
      </c>
    </row>
    <row r="298" spans="1:21">
      <c r="A298" s="47">
        <v>12919270</v>
      </c>
      <c r="B298" s="46" t="s">
        <v>2101</v>
      </c>
      <c r="C298" s="52" t="s">
        <v>2102</v>
      </c>
      <c r="D298" s="48">
        <v>20869</v>
      </c>
      <c r="E298" s="49">
        <f t="shared" ca="1" si="5"/>
        <v>69.362068291156575</v>
      </c>
      <c r="F298" s="50">
        <v>154019902</v>
      </c>
      <c r="G298" s="51" t="s">
        <v>23</v>
      </c>
      <c r="I298" s="52" t="s">
        <v>1881</v>
      </c>
      <c r="J298" s="55" t="s">
        <v>2103</v>
      </c>
      <c r="K298" s="55"/>
      <c r="L298" s="55"/>
      <c r="M298" s="53" t="s">
        <v>2104</v>
      </c>
      <c r="N298" s="55"/>
      <c r="O298" s="55"/>
      <c r="S298" s="46">
        <v>4</v>
      </c>
    </row>
    <row r="299" spans="1:21">
      <c r="A299" s="47">
        <v>12919768</v>
      </c>
      <c r="B299" s="46" t="s">
        <v>1549</v>
      </c>
      <c r="C299" s="46" t="s">
        <v>2761</v>
      </c>
      <c r="E299" s="49" t="str">
        <f t="shared" ca="1" si="5"/>
        <v/>
      </c>
      <c r="G299" s="51" t="s">
        <v>23</v>
      </c>
      <c r="I299" s="52" t="s">
        <v>2671</v>
      </c>
      <c r="M299" s="52" t="s">
        <v>2762</v>
      </c>
      <c r="N299" s="46">
        <v>4303138</v>
      </c>
      <c r="O299" s="46">
        <v>4</v>
      </c>
      <c r="S299" s="46">
        <v>4</v>
      </c>
    </row>
    <row r="300" spans="1:21">
      <c r="A300" s="66">
        <v>12919951</v>
      </c>
      <c r="B300" s="67" t="s">
        <v>181</v>
      </c>
      <c r="C300" s="52" t="s">
        <v>182</v>
      </c>
      <c r="D300" s="48">
        <v>20841</v>
      </c>
      <c r="E300" s="49">
        <f t="shared" ca="1" si="5"/>
        <v>69.438729612390972</v>
      </c>
      <c r="F300" s="57"/>
      <c r="G300" s="51" t="s">
        <v>23</v>
      </c>
      <c r="I300" s="52" t="s">
        <v>24</v>
      </c>
      <c r="M300" s="53" t="s">
        <v>183</v>
      </c>
      <c r="N300" s="55"/>
      <c r="O300" s="55"/>
      <c r="S300" s="46">
        <v>4</v>
      </c>
    </row>
    <row r="301" spans="1:21">
      <c r="A301" s="47">
        <v>12919956</v>
      </c>
      <c r="B301" s="46" t="s">
        <v>4596</v>
      </c>
      <c r="C301" s="52" t="s">
        <v>4597</v>
      </c>
      <c r="D301" s="48">
        <v>21759</v>
      </c>
      <c r="E301" s="49">
        <f t="shared" ca="1" si="5"/>
        <v>66.92402464065708</v>
      </c>
      <c r="F301" s="50">
        <v>156510352</v>
      </c>
      <c r="G301" s="51" t="s">
        <v>23</v>
      </c>
      <c r="I301" s="52" t="s">
        <v>4499</v>
      </c>
      <c r="M301" s="53" t="s">
        <v>4598</v>
      </c>
      <c r="N301" s="55" t="s">
        <v>4599</v>
      </c>
      <c r="O301" s="55"/>
      <c r="S301" s="46">
        <v>4</v>
      </c>
    </row>
    <row r="302" spans="1:21">
      <c r="A302" s="47">
        <v>12919979</v>
      </c>
      <c r="B302" s="46" t="s">
        <v>3182</v>
      </c>
      <c r="C302" s="46" t="s">
        <v>724</v>
      </c>
      <c r="D302" s="48" t="s">
        <v>52</v>
      </c>
      <c r="E302" s="49" t="str">
        <f t="shared" ca="1" si="5"/>
        <v/>
      </c>
      <c r="F302" s="50" t="s">
        <v>4823</v>
      </c>
      <c r="G302" s="51" t="s">
        <v>70</v>
      </c>
      <c r="H302" s="52" t="s">
        <v>380</v>
      </c>
      <c r="I302" s="52" t="s">
        <v>4815</v>
      </c>
      <c r="J302" s="46" t="s">
        <v>4824</v>
      </c>
      <c r="K302" s="46" t="s">
        <v>159</v>
      </c>
      <c r="L302" s="46" t="s">
        <v>52</v>
      </c>
      <c r="M302" s="53" t="s">
        <v>4825</v>
      </c>
      <c r="N302" s="46" t="s">
        <v>52</v>
      </c>
      <c r="O302" s="46" t="s">
        <v>4826</v>
      </c>
      <c r="P302" s="46" t="s">
        <v>59</v>
      </c>
      <c r="Q302" s="46" t="s">
        <v>60</v>
      </c>
      <c r="R302" s="46" t="s">
        <v>61</v>
      </c>
      <c r="S302" s="46" t="s">
        <v>62</v>
      </c>
      <c r="T302" s="46" t="s">
        <v>12</v>
      </c>
      <c r="U302" s="46" t="s">
        <v>63</v>
      </c>
    </row>
    <row r="303" spans="1:21">
      <c r="A303" s="47">
        <v>12951555</v>
      </c>
      <c r="B303" s="46" t="s">
        <v>288</v>
      </c>
      <c r="C303" s="46" t="s">
        <v>922</v>
      </c>
      <c r="D303" s="48">
        <v>20730</v>
      </c>
      <c r="E303" s="49">
        <f t="shared" ca="1" si="5"/>
        <v>69.740600778930315</v>
      </c>
      <c r="F303" s="50">
        <v>156444504</v>
      </c>
      <c r="G303" s="51" t="s">
        <v>70</v>
      </c>
      <c r="I303" s="52" t="s">
        <v>4499</v>
      </c>
      <c r="M303" s="53" t="s">
        <v>4584</v>
      </c>
      <c r="N303" s="46">
        <v>4227589</v>
      </c>
      <c r="S303" s="46">
        <v>4</v>
      </c>
    </row>
    <row r="304" spans="1:21">
      <c r="A304" s="47">
        <v>12958252</v>
      </c>
      <c r="B304" s="46" t="s">
        <v>1572</v>
      </c>
      <c r="C304" s="52" t="s">
        <v>4312</v>
      </c>
      <c r="D304" s="48">
        <v>18562</v>
      </c>
      <c r="E304" s="49">
        <f t="shared" ca="1" si="5"/>
        <v>75.677606314891193</v>
      </c>
      <c r="F304" s="50">
        <v>154697530</v>
      </c>
      <c r="G304" s="51" t="s">
        <v>70</v>
      </c>
      <c r="I304" s="52" t="s">
        <v>4245</v>
      </c>
      <c r="J304" s="46" t="s">
        <v>4313</v>
      </c>
      <c r="M304" s="53" t="s">
        <v>4314</v>
      </c>
      <c r="N304" s="55"/>
      <c r="O304" s="55"/>
    </row>
    <row r="305" spans="1:21">
      <c r="A305" s="47">
        <v>13066066</v>
      </c>
      <c r="B305" s="46" t="s">
        <v>2795</v>
      </c>
      <c r="C305" s="52" t="s">
        <v>3388</v>
      </c>
      <c r="D305" s="48">
        <v>21671</v>
      </c>
      <c r="E305" s="49">
        <f t="shared" ca="1" si="5"/>
        <v>67.16495550992471</v>
      </c>
      <c r="F305" s="50">
        <v>156317578</v>
      </c>
      <c r="G305" s="51" t="s">
        <v>23</v>
      </c>
      <c r="I305" s="52" t="s">
        <v>5761</v>
      </c>
      <c r="M305" s="58" t="s">
        <v>25</v>
      </c>
      <c r="N305" s="55" t="s">
        <v>5787</v>
      </c>
      <c r="O305" s="55"/>
    </row>
    <row r="306" spans="1:21">
      <c r="A306" s="47">
        <v>13066434</v>
      </c>
      <c r="B306" s="46" t="s">
        <v>1565</v>
      </c>
      <c r="C306" s="52" t="s">
        <v>758</v>
      </c>
      <c r="D306" s="48">
        <v>20932</v>
      </c>
      <c r="E306" s="49">
        <f t="shared" ca="1" si="5"/>
        <v>69.189580318379157</v>
      </c>
      <c r="F306" s="50">
        <v>154678136</v>
      </c>
      <c r="G306" s="51" t="s">
        <v>23</v>
      </c>
      <c r="I306" s="65" t="s">
        <v>4954</v>
      </c>
      <c r="J306" s="46" t="s">
        <v>800</v>
      </c>
      <c r="M306" s="53" t="s">
        <v>5096</v>
      </c>
      <c r="N306" s="55"/>
      <c r="O306" s="55"/>
    </row>
    <row r="307" spans="1:21">
      <c r="A307" s="47">
        <v>13066715</v>
      </c>
      <c r="B307" s="46" t="s">
        <v>4593</v>
      </c>
      <c r="C307" s="52" t="s">
        <v>4594</v>
      </c>
      <c r="D307" s="48">
        <v>21520</v>
      </c>
      <c r="E307" s="49">
        <f t="shared" ca="1" si="5"/>
        <v>67.579041345924935</v>
      </c>
      <c r="F307" s="50">
        <v>155634495</v>
      </c>
      <c r="G307" s="51" t="s">
        <v>23</v>
      </c>
      <c r="I307" s="52" t="s">
        <v>4499</v>
      </c>
      <c r="J307" s="46" t="s">
        <v>762</v>
      </c>
      <c r="M307" s="53" t="s">
        <v>4595</v>
      </c>
      <c r="N307" s="55">
        <v>4227589</v>
      </c>
      <c r="O307" s="55">
        <v>7476</v>
      </c>
    </row>
    <row r="308" spans="1:21">
      <c r="A308" s="47">
        <v>13113765</v>
      </c>
      <c r="B308" s="46" t="s">
        <v>2087</v>
      </c>
      <c r="C308" s="52" t="s">
        <v>1464</v>
      </c>
      <c r="D308" s="48">
        <v>20925</v>
      </c>
      <c r="E308" s="49">
        <f t="shared" ca="1" si="5"/>
        <v>69.208745648687767</v>
      </c>
      <c r="F308" s="50">
        <v>155443753</v>
      </c>
      <c r="G308" s="51" t="s">
        <v>141</v>
      </c>
      <c r="I308" s="52" t="s">
        <v>1460</v>
      </c>
      <c r="J308" s="46" t="s">
        <v>1465</v>
      </c>
      <c r="M308" s="58" t="s">
        <v>25</v>
      </c>
      <c r="N308" s="55">
        <v>4107596</v>
      </c>
      <c r="O308" s="55"/>
    </row>
    <row r="309" spans="1:21">
      <c r="A309" s="47">
        <v>13115427</v>
      </c>
      <c r="B309" s="46" t="s">
        <v>1999</v>
      </c>
      <c r="C309" s="52" t="s">
        <v>2000</v>
      </c>
      <c r="E309" s="49" t="str">
        <f t="shared" ca="1" si="5"/>
        <v/>
      </c>
      <c r="F309" s="50">
        <v>154099804</v>
      </c>
      <c r="G309" s="51" t="s">
        <v>23</v>
      </c>
      <c r="I309" s="59" t="s">
        <v>908</v>
      </c>
      <c r="J309" s="46" t="s">
        <v>2486</v>
      </c>
      <c r="M309" s="53" t="s">
        <v>2487</v>
      </c>
      <c r="N309" s="55"/>
      <c r="O309" s="55"/>
    </row>
    <row r="310" spans="1:21">
      <c r="A310" s="47">
        <v>13203535</v>
      </c>
      <c r="B310" s="46" t="s">
        <v>7152</v>
      </c>
      <c r="C310" s="46" t="s">
        <v>2016</v>
      </c>
      <c r="D310" s="48" t="s">
        <v>2017</v>
      </c>
      <c r="E310" s="49">
        <f t="shared" ca="1" si="5"/>
        <v>67.247091033538666</v>
      </c>
      <c r="F310" s="50" t="s">
        <v>2018</v>
      </c>
      <c r="G310" s="51" t="s">
        <v>141</v>
      </c>
      <c r="H310" s="52" t="s">
        <v>52</v>
      </c>
      <c r="I310" s="52" t="s">
        <v>1881</v>
      </c>
      <c r="J310" s="46" t="s">
        <v>2019</v>
      </c>
      <c r="K310" s="46" t="s">
        <v>81</v>
      </c>
      <c r="L310" s="46" t="s">
        <v>52</v>
      </c>
      <c r="M310" s="52" t="s">
        <v>2020</v>
      </c>
      <c r="N310" s="46" t="s">
        <v>89</v>
      </c>
      <c r="O310" s="46" t="s">
        <v>52</v>
      </c>
      <c r="P310" s="46" t="s">
        <v>59</v>
      </c>
      <c r="Q310" s="46" t="s">
        <v>60</v>
      </c>
      <c r="R310" s="46" t="s">
        <v>61</v>
      </c>
      <c r="S310" s="46" t="s">
        <v>62</v>
      </c>
      <c r="T310" s="46" t="s">
        <v>12</v>
      </c>
      <c r="U310" s="46" t="s">
        <v>63</v>
      </c>
    </row>
    <row r="311" spans="1:21">
      <c r="A311" s="60">
        <v>13203668</v>
      </c>
      <c r="B311" s="61" t="s">
        <v>927</v>
      </c>
      <c r="C311" s="62" t="s">
        <v>1895</v>
      </c>
      <c r="D311" s="48">
        <v>21833</v>
      </c>
      <c r="E311" s="49">
        <f t="shared" ca="1" si="5"/>
        <v>66.721423682409309</v>
      </c>
      <c r="F311" s="63"/>
      <c r="G311" s="51" t="s">
        <v>23</v>
      </c>
      <c r="I311" s="52" t="s">
        <v>1881</v>
      </c>
      <c r="J311" s="61" t="s">
        <v>48</v>
      </c>
      <c r="K311" s="61"/>
      <c r="L311" s="61"/>
      <c r="M311" s="53" t="s">
        <v>1896</v>
      </c>
      <c r="N311" s="55"/>
      <c r="O311" s="55"/>
    </row>
    <row r="312" spans="1:21">
      <c r="A312" s="47">
        <v>13203992</v>
      </c>
      <c r="B312" s="46" t="s">
        <v>2576</v>
      </c>
      <c r="C312" s="52" t="s">
        <v>4631</v>
      </c>
      <c r="E312" s="49" t="str">
        <f t="shared" ca="1" si="5"/>
        <v/>
      </c>
      <c r="F312" s="50">
        <v>4847311</v>
      </c>
      <c r="G312" s="51" t="s">
        <v>23</v>
      </c>
      <c r="I312" s="52" t="s">
        <v>4499</v>
      </c>
      <c r="J312" s="55" t="s">
        <v>244</v>
      </c>
      <c r="K312" s="55"/>
      <c r="L312" s="55"/>
      <c r="M312" s="53" t="s">
        <v>4632</v>
      </c>
      <c r="N312" s="55"/>
      <c r="O312" s="55"/>
    </row>
    <row r="313" spans="1:21">
      <c r="A313" s="47">
        <v>13247115</v>
      </c>
      <c r="B313" s="46" t="s">
        <v>1053</v>
      </c>
      <c r="C313" s="52" t="s">
        <v>1054</v>
      </c>
      <c r="D313" s="48">
        <v>20868</v>
      </c>
      <c r="E313" s="49">
        <f t="shared" ca="1" si="5"/>
        <v>69.364806195486366</v>
      </c>
      <c r="F313" s="50">
        <v>155672405</v>
      </c>
      <c r="G313" s="51" t="s">
        <v>23</v>
      </c>
      <c r="I313" s="59" t="s">
        <v>908</v>
      </c>
      <c r="J313" s="46" t="s">
        <v>1055</v>
      </c>
      <c r="M313" s="53" t="s">
        <v>1056</v>
      </c>
      <c r="N313" s="55"/>
      <c r="O313" s="55"/>
    </row>
    <row r="314" spans="1:21">
      <c r="A314" s="47">
        <v>13273687</v>
      </c>
      <c r="B314" s="46" t="s">
        <v>3013</v>
      </c>
      <c r="C314" s="52" t="s">
        <v>3014</v>
      </c>
      <c r="D314" s="48">
        <v>21822</v>
      </c>
      <c r="E314" s="49">
        <f t="shared" ca="1" si="5"/>
        <v>66.751540041067756</v>
      </c>
      <c r="G314" s="51" t="s">
        <v>70</v>
      </c>
      <c r="I314" s="52" t="s">
        <v>2926</v>
      </c>
      <c r="J314" s="46" t="s">
        <v>950</v>
      </c>
      <c r="M314" s="53" t="s">
        <v>3015</v>
      </c>
      <c r="N314" s="55"/>
      <c r="O314" s="55"/>
    </row>
    <row r="315" spans="1:21">
      <c r="A315" s="47">
        <v>13278063</v>
      </c>
      <c r="B315" s="46" t="s">
        <v>6692</v>
      </c>
      <c r="C315" s="46" t="s">
        <v>6693</v>
      </c>
      <c r="D315" s="48" t="s">
        <v>52</v>
      </c>
      <c r="E315" s="49" t="str">
        <f t="shared" ca="1" si="5"/>
        <v/>
      </c>
      <c r="F315" s="50" t="s">
        <v>6694</v>
      </c>
      <c r="G315" s="51" t="s">
        <v>70</v>
      </c>
      <c r="H315" s="52" t="s">
        <v>6677</v>
      </c>
      <c r="I315" s="52" t="s">
        <v>3427</v>
      </c>
      <c r="J315" s="46" t="s">
        <v>52</v>
      </c>
      <c r="K315" s="46" t="s">
        <v>390</v>
      </c>
      <c r="L315" s="46" t="s">
        <v>546</v>
      </c>
      <c r="M315" s="52" t="s">
        <v>6695</v>
      </c>
      <c r="N315" s="46" t="s">
        <v>52</v>
      </c>
      <c r="O315" s="46" t="s">
        <v>52</v>
      </c>
      <c r="P315" s="46" t="s">
        <v>59</v>
      </c>
      <c r="Q315" s="46" t="s">
        <v>60</v>
      </c>
      <c r="R315" s="46" t="s">
        <v>61</v>
      </c>
      <c r="S315" s="46" t="s">
        <v>62</v>
      </c>
      <c r="T315" s="46" t="s">
        <v>12</v>
      </c>
      <c r="U315" s="46" t="s">
        <v>63</v>
      </c>
    </row>
    <row r="316" spans="1:21">
      <c r="A316" s="47">
        <v>13278802</v>
      </c>
      <c r="B316" s="46" t="s">
        <v>4298</v>
      </c>
      <c r="C316" s="52" t="s">
        <v>4299</v>
      </c>
      <c r="D316" s="48">
        <v>21670</v>
      </c>
      <c r="E316" s="49">
        <f t="shared" ca="1" si="5"/>
        <v>67.167693360711837</v>
      </c>
      <c r="F316" s="50">
        <v>156247454</v>
      </c>
      <c r="G316" s="51" t="s">
        <v>23</v>
      </c>
      <c r="I316" s="52" t="s">
        <v>4245</v>
      </c>
      <c r="J316" s="46" t="s">
        <v>645</v>
      </c>
      <c r="M316" s="53" t="s">
        <v>4300</v>
      </c>
      <c r="N316" s="55"/>
      <c r="O316" s="55"/>
    </row>
    <row r="317" spans="1:21">
      <c r="A317" s="47">
        <v>13278944</v>
      </c>
      <c r="B317" s="46" t="s">
        <v>2243</v>
      </c>
      <c r="C317" s="52" t="s">
        <v>2595</v>
      </c>
      <c r="D317" s="48">
        <v>21688</v>
      </c>
      <c r="E317" s="49">
        <f t="shared" ca="1" si="5"/>
        <v>67.118412046543469</v>
      </c>
      <c r="G317" s="51" t="s">
        <v>23</v>
      </c>
      <c r="I317" s="59" t="s">
        <v>908</v>
      </c>
      <c r="J317" s="46" t="s">
        <v>2596</v>
      </c>
      <c r="M317" s="53" t="s">
        <v>2597</v>
      </c>
      <c r="N317" s="55"/>
      <c r="O317" s="55"/>
    </row>
    <row r="318" spans="1:21">
      <c r="A318" s="47">
        <v>13278971</v>
      </c>
      <c r="B318" s="46" t="s">
        <v>1625</v>
      </c>
      <c r="C318" s="46" t="s">
        <v>1626</v>
      </c>
      <c r="D318" s="48">
        <v>21816</v>
      </c>
      <c r="E318" s="49">
        <f t="shared" ca="1" si="5"/>
        <v>66.76796714579055</v>
      </c>
      <c r="F318" s="50">
        <v>15447112</v>
      </c>
      <c r="G318" s="51" t="s">
        <v>23</v>
      </c>
      <c r="I318" s="52" t="s">
        <v>1497</v>
      </c>
      <c r="M318" s="53" t="s">
        <v>1627</v>
      </c>
      <c r="N318" s="46">
        <v>4239456</v>
      </c>
      <c r="O318" s="46">
        <v>212</v>
      </c>
    </row>
    <row r="319" spans="1:21">
      <c r="A319" s="47">
        <v>13278977</v>
      </c>
      <c r="B319" s="46" t="s">
        <v>6038</v>
      </c>
      <c r="C319" s="52" t="s">
        <v>6039</v>
      </c>
      <c r="E319" s="49" t="str">
        <f t="shared" ca="1" si="5"/>
        <v/>
      </c>
      <c r="F319" s="50">
        <v>154163195</v>
      </c>
      <c r="G319" s="51" t="s">
        <v>70</v>
      </c>
      <c r="I319" s="52" t="s">
        <v>23</v>
      </c>
      <c r="J319" s="46" t="s">
        <v>38</v>
      </c>
      <c r="M319" s="53" t="s">
        <v>6040</v>
      </c>
      <c r="N319" s="55" t="s">
        <v>6041</v>
      </c>
      <c r="O319" s="55"/>
    </row>
    <row r="320" spans="1:21">
      <c r="A320" s="47">
        <v>13279016</v>
      </c>
      <c r="B320" s="46" t="s">
        <v>887</v>
      </c>
      <c r="C320" s="52" t="s">
        <v>888</v>
      </c>
      <c r="D320" s="48">
        <v>21686</v>
      </c>
      <c r="E320" s="49">
        <f t="shared" ca="1" si="5"/>
        <v>67.123887748117724</v>
      </c>
      <c r="F320" s="50">
        <v>3815955110</v>
      </c>
      <c r="G320" s="51" t="s">
        <v>23</v>
      </c>
      <c r="I320" s="52" t="s">
        <v>889</v>
      </c>
      <c r="J320" s="46" t="s">
        <v>709</v>
      </c>
      <c r="M320" s="53" t="s">
        <v>890</v>
      </c>
      <c r="N320" s="55"/>
      <c r="O320" s="55"/>
    </row>
    <row r="321" spans="1:21">
      <c r="A321" s="47">
        <v>13279093</v>
      </c>
      <c r="B321" s="46" t="s">
        <v>6453</v>
      </c>
      <c r="C321" s="52" t="s">
        <v>6454</v>
      </c>
      <c r="D321" s="48">
        <v>20939</v>
      </c>
      <c r="E321" s="49">
        <f t="shared" ca="1" si="5"/>
        <v>69.170414988070561</v>
      </c>
      <c r="G321" s="51" t="s">
        <v>23</v>
      </c>
      <c r="I321" s="52" t="s">
        <v>23</v>
      </c>
      <c r="J321" s="46" t="s">
        <v>6455</v>
      </c>
      <c r="M321" s="53" t="s">
        <v>6456</v>
      </c>
      <c r="N321" s="55"/>
      <c r="O321" s="55"/>
    </row>
    <row r="322" spans="1:21">
      <c r="A322" s="47">
        <v>13279176</v>
      </c>
      <c r="B322" s="46" t="s">
        <v>3730</v>
      </c>
      <c r="C322" s="52" t="s">
        <v>2196</v>
      </c>
      <c r="E322" s="49" t="str">
        <f t="shared" ca="1" si="5"/>
        <v/>
      </c>
      <c r="G322" s="51" t="s">
        <v>70</v>
      </c>
      <c r="I322" s="52" t="s">
        <v>3630</v>
      </c>
      <c r="J322" s="46" t="s">
        <v>729</v>
      </c>
      <c r="M322" s="53" t="s">
        <v>3731</v>
      </c>
      <c r="N322" s="55">
        <v>4107367</v>
      </c>
      <c r="O322" s="55"/>
    </row>
    <row r="323" spans="1:21">
      <c r="A323" s="47">
        <v>13279577</v>
      </c>
      <c r="B323" s="46" t="s">
        <v>948</v>
      </c>
      <c r="C323" s="46" t="s">
        <v>949</v>
      </c>
      <c r="D323" s="48">
        <v>42276</v>
      </c>
      <c r="E323" s="49">
        <f t="shared" ca="1" si="5"/>
        <v>10.751540041067761</v>
      </c>
      <c r="F323" s="50">
        <v>155178915</v>
      </c>
      <c r="G323" s="51" t="s">
        <v>70</v>
      </c>
      <c r="I323" s="59" t="s">
        <v>908</v>
      </c>
      <c r="J323" s="46" t="s">
        <v>950</v>
      </c>
      <c r="M323" s="53" t="s">
        <v>951</v>
      </c>
      <c r="N323" s="46">
        <v>4222392</v>
      </c>
    </row>
    <row r="324" spans="1:21">
      <c r="A324" s="47">
        <v>13279673</v>
      </c>
      <c r="B324" s="46" t="s">
        <v>342</v>
      </c>
      <c r="C324" s="46" t="s">
        <v>6671</v>
      </c>
      <c r="D324" s="48" t="s">
        <v>52</v>
      </c>
      <c r="E324" s="49" t="str">
        <f t="shared" ca="1" si="5"/>
        <v/>
      </c>
      <c r="F324" s="50" t="s">
        <v>6672</v>
      </c>
      <c r="G324" s="51" t="s">
        <v>70</v>
      </c>
      <c r="H324" s="52" t="s">
        <v>6673</v>
      </c>
      <c r="I324" s="52" t="s">
        <v>3427</v>
      </c>
      <c r="J324" s="46" t="s">
        <v>52</v>
      </c>
      <c r="K324" s="46" t="s">
        <v>112</v>
      </c>
      <c r="L324" s="46" t="s">
        <v>546</v>
      </c>
      <c r="M324" s="52" t="s">
        <v>6674</v>
      </c>
      <c r="N324" s="46" t="s">
        <v>52</v>
      </c>
      <c r="O324" s="46" t="s">
        <v>52</v>
      </c>
      <c r="P324" s="46" t="s">
        <v>59</v>
      </c>
      <c r="Q324" s="46" t="s">
        <v>60</v>
      </c>
      <c r="R324" s="46" t="s">
        <v>61</v>
      </c>
      <c r="S324" s="46" t="s">
        <v>62</v>
      </c>
      <c r="T324" s="46" t="s">
        <v>12</v>
      </c>
      <c r="U324" s="46" t="s">
        <v>63</v>
      </c>
    </row>
    <row r="325" spans="1:21">
      <c r="A325" s="66">
        <v>13279836</v>
      </c>
      <c r="B325" s="67" t="s">
        <v>464</v>
      </c>
      <c r="C325" s="52" t="s">
        <v>465</v>
      </c>
      <c r="D325" s="48">
        <v>21859</v>
      </c>
      <c r="E325" s="49">
        <f t="shared" ca="1" si="5"/>
        <v>66.650239561943877</v>
      </c>
      <c r="F325" s="57">
        <v>155846438</v>
      </c>
      <c r="G325" s="51" t="s">
        <v>23</v>
      </c>
      <c r="I325" s="52" t="s">
        <v>24</v>
      </c>
      <c r="M325" s="53" t="s">
        <v>466</v>
      </c>
      <c r="N325" s="55"/>
      <c r="O325" s="55"/>
    </row>
    <row r="326" spans="1:21">
      <c r="A326" s="47">
        <v>13292819</v>
      </c>
      <c r="B326" s="46" t="s">
        <v>327</v>
      </c>
      <c r="C326" s="52" t="s">
        <v>5650</v>
      </c>
      <c r="E326" s="49" t="str">
        <f t="shared" ca="1" si="5"/>
        <v/>
      </c>
      <c r="F326" s="50">
        <v>156025874</v>
      </c>
      <c r="G326" s="51" t="s">
        <v>23</v>
      </c>
      <c r="I326" s="52" t="s">
        <v>5494</v>
      </c>
      <c r="M326" s="58" t="s">
        <v>25</v>
      </c>
      <c r="N326" s="55" t="s">
        <v>5528</v>
      </c>
      <c r="O326" s="55"/>
    </row>
    <row r="327" spans="1:21">
      <c r="A327" s="47">
        <v>13311202</v>
      </c>
      <c r="B327" s="46" t="s">
        <v>1309</v>
      </c>
      <c r="C327" s="46" t="s">
        <v>1310</v>
      </c>
      <c r="D327" s="48" t="s">
        <v>1311</v>
      </c>
      <c r="E327" s="49">
        <f t="shared" ca="1" si="5"/>
        <v>66.888432580424364</v>
      </c>
      <c r="F327" s="50" t="s">
        <v>1312</v>
      </c>
      <c r="G327" s="51" t="s">
        <v>70</v>
      </c>
      <c r="H327" s="52" t="s">
        <v>52</v>
      </c>
      <c r="I327" s="59" t="s">
        <v>908</v>
      </c>
      <c r="J327" s="46" t="s">
        <v>1313</v>
      </c>
      <c r="K327" s="46" t="s">
        <v>81</v>
      </c>
      <c r="L327" s="46" t="s">
        <v>1314</v>
      </c>
      <c r="M327" s="52" t="s">
        <v>1315</v>
      </c>
      <c r="N327" s="46" t="s">
        <v>1316</v>
      </c>
      <c r="O327" s="46" t="s">
        <v>52</v>
      </c>
      <c r="P327" s="46" t="s">
        <v>59</v>
      </c>
      <c r="Q327" s="46" t="s">
        <v>60</v>
      </c>
      <c r="R327" s="46" t="s">
        <v>61</v>
      </c>
      <c r="S327" s="46" t="s">
        <v>62</v>
      </c>
      <c r="T327" s="46" t="s">
        <v>12</v>
      </c>
      <c r="U327" s="46" t="s">
        <v>63</v>
      </c>
    </row>
    <row r="328" spans="1:21">
      <c r="A328" s="47">
        <v>13317745</v>
      </c>
      <c r="B328" s="46" t="s">
        <v>3178</v>
      </c>
      <c r="C328" s="52" t="s">
        <v>3179</v>
      </c>
      <c r="D328" s="48">
        <v>20965</v>
      </c>
      <c r="E328" s="49">
        <f t="shared" ca="1" si="5"/>
        <v>69.099229475495761</v>
      </c>
      <c r="F328" s="50">
        <v>156246435</v>
      </c>
      <c r="G328" s="51" t="s">
        <v>23</v>
      </c>
      <c r="I328" s="52" t="s">
        <v>3166</v>
      </c>
      <c r="J328" s="46" t="s">
        <v>3180</v>
      </c>
      <c r="M328" s="53" t="s">
        <v>3181</v>
      </c>
      <c r="N328" s="55">
        <v>4253467</v>
      </c>
      <c r="O328" s="55">
        <v>30</v>
      </c>
    </row>
    <row r="329" spans="1:21">
      <c r="A329" s="47">
        <v>13338170</v>
      </c>
      <c r="B329" s="46" t="s">
        <v>218</v>
      </c>
      <c r="C329" s="52" t="s">
        <v>1738</v>
      </c>
      <c r="D329" s="48">
        <v>21241</v>
      </c>
      <c r="E329" s="49">
        <f t="shared" ref="E329:E392" ca="1" si="6">IF(D329="","",YEARFRAC(D329,TODAY(),1))</f>
        <v>68.342909292913262</v>
      </c>
      <c r="F329" s="50">
        <v>155178876</v>
      </c>
      <c r="G329" s="51" t="s">
        <v>23</v>
      </c>
      <c r="I329" s="52" t="s">
        <v>1657</v>
      </c>
      <c r="J329" s="46" t="s">
        <v>48</v>
      </c>
      <c r="M329" s="58" t="s">
        <v>25</v>
      </c>
      <c r="N329" s="55"/>
      <c r="O329" s="55"/>
    </row>
    <row r="330" spans="1:21">
      <c r="A330" s="47">
        <v>13338251</v>
      </c>
      <c r="B330" s="46" t="s">
        <v>252</v>
      </c>
      <c r="C330" s="55" t="s">
        <v>2069</v>
      </c>
      <c r="D330" s="48">
        <v>21466</v>
      </c>
      <c r="E330" s="49">
        <f t="shared" ca="1" si="6"/>
        <v>67.72688675501945</v>
      </c>
      <c r="F330" s="50">
        <v>154404704</v>
      </c>
      <c r="G330" s="51" t="s">
        <v>70</v>
      </c>
      <c r="I330" s="52" t="s">
        <v>1881</v>
      </c>
      <c r="J330" s="55"/>
      <c r="K330" s="55"/>
      <c r="L330" s="55"/>
      <c r="M330" s="53" t="s">
        <v>2070</v>
      </c>
      <c r="N330" s="55">
        <v>4364093</v>
      </c>
      <c r="O330" s="55">
        <v>7846</v>
      </c>
    </row>
    <row r="331" spans="1:21">
      <c r="A331" s="66">
        <v>13338617</v>
      </c>
      <c r="B331" s="67" t="s">
        <v>83</v>
      </c>
      <c r="C331" s="52" t="s">
        <v>84</v>
      </c>
      <c r="D331" s="48" t="s">
        <v>52</v>
      </c>
      <c r="E331" s="49" t="str">
        <f t="shared" ca="1" si="6"/>
        <v/>
      </c>
      <c r="F331" s="57" t="s">
        <v>85</v>
      </c>
      <c r="G331" s="51" t="s">
        <v>86</v>
      </c>
      <c r="H331" s="52" t="s">
        <v>52</v>
      </c>
      <c r="I331" s="52" t="s">
        <v>24</v>
      </c>
      <c r="J331" s="46" t="s">
        <v>87</v>
      </c>
      <c r="K331" s="46" t="s">
        <v>81</v>
      </c>
      <c r="L331" s="46" t="s">
        <v>52</v>
      </c>
      <c r="M331" s="53" t="s">
        <v>88</v>
      </c>
      <c r="N331" s="55" t="s">
        <v>89</v>
      </c>
      <c r="O331" s="55" t="s">
        <v>90</v>
      </c>
      <c r="P331" s="46" t="s">
        <v>59</v>
      </c>
      <c r="Q331" s="46" t="s">
        <v>60</v>
      </c>
      <c r="R331" s="46" t="s">
        <v>61</v>
      </c>
      <c r="S331" s="46" t="s">
        <v>62</v>
      </c>
      <c r="T331" s="46" t="s">
        <v>12</v>
      </c>
      <c r="U331" s="46" t="s">
        <v>63</v>
      </c>
    </row>
    <row r="332" spans="1:21">
      <c r="A332" s="47">
        <v>13338781</v>
      </c>
      <c r="B332" s="46" t="s">
        <v>5389</v>
      </c>
      <c r="C332" s="52" t="s">
        <v>5390</v>
      </c>
      <c r="D332" s="48" t="s">
        <v>52</v>
      </c>
      <c r="E332" s="49" t="str">
        <f t="shared" ca="1" si="6"/>
        <v/>
      </c>
      <c r="F332" s="50" t="s">
        <v>5391</v>
      </c>
      <c r="G332" s="51" t="s">
        <v>70</v>
      </c>
      <c r="H332" s="52" t="s">
        <v>5392</v>
      </c>
      <c r="I332" s="52" t="s">
        <v>5304</v>
      </c>
      <c r="J332" s="46" t="s">
        <v>5393</v>
      </c>
      <c r="K332" s="46" t="s">
        <v>159</v>
      </c>
      <c r="L332" s="46" t="s">
        <v>52</v>
      </c>
      <c r="M332" s="53" t="s">
        <v>5394</v>
      </c>
      <c r="N332" s="55" t="s">
        <v>5395</v>
      </c>
      <c r="O332" s="55" t="s">
        <v>52</v>
      </c>
      <c r="P332" s="46" t="s">
        <v>59</v>
      </c>
      <c r="Q332" s="46" t="s">
        <v>60</v>
      </c>
      <c r="R332" s="46" t="s">
        <v>61</v>
      </c>
      <c r="S332" s="46" t="s">
        <v>62</v>
      </c>
      <c r="T332" s="46" t="s">
        <v>12</v>
      </c>
      <c r="U332" s="46" t="s">
        <v>63</v>
      </c>
    </row>
    <row r="333" spans="1:21">
      <c r="A333" s="47">
        <v>13339696</v>
      </c>
      <c r="B333" s="46" t="s">
        <v>541</v>
      </c>
      <c r="C333" s="52" t="s">
        <v>732</v>
      </c>
      <c r="D333" s="48">
        <v>21862</v>
      </c>
      <c r="E333" s="49">
        <f t="shared" ca="1" si="6"/>
        <v>66.64202600958248</v>
      </c>
      <c r="F333" s="50">
        <v>156457805</v>
      </c>
      <c r="G333" s="51" t="s">
        <v>23</v>
      </c>
      <c r="I333" s="52" t="s">
        <v>594</v>
      </c>
      <c r="M333" s="53" t="s">
        <v>733</v>
      </c>
      <c r="N333" s="55"/>
      <c r="O333" s="55"/>
    </row>
    <row r="334" spans="1:21">
      <c r="A334" s="47">
        <v>13339907</v>
      </c>
      <c r="B334" s="46" t="s">
        <v>350</v>
      </c>
      <c r="C334" s="46" t="s">
        <v>351</v>
      </c>
      <c r="D334" s="48">
        <v>21166</v>
      </c>
      <c r="E334" s="49">
        <f t="shared" ca="1" si="6"/>
        <v>68.548910705205927</v>
      </c>
      <c r="F334" s="50">
        <v>154740622</v>
      </c>
      <c r="G334" s="51" t="s">
        <v>352</v>
      </c>
      <c r="I334" s="52" t="s">
        <v>24</v>
      </c>
      <c r="J334" s="46" t="s">
        <v>353</v>
      </c>
      <c r="M334" s="53" t="s">
        <v>354</v>
      </c>
      <c r="N334" s="46">
        <v>4107628</v>
      </c>
    </row>
    <row r="335" spans="1:21">
      <c r="A335" s="47">
        <v>13378080</v>
      </c>
      <c r="B335" s="46" t="s">
        <v>1660</v>
      </c>
      <c r="C335" s="46" t="s">
        <v>4461</v>
      </c>
      <c r="D335" s="48" t="s">
        <v>4462</v>
      </c>
      <c r="E335" s="49">
        <f t="shared" ca="1" si="6"/>
        <v>67.255304585900063</v>
      </c>
      <c r="F335" s="50" t="s">
        <v>4463</v>
      </c>
      <c r="G335" s="51" t="s">
        <v>70</v>
      </c>
      <c r="H335" s="52" t="s">
        <v>833</v>
      </c>
      <c r="I335" s="52" t="s">
        <v>4245</v>
      </c>
      <c r="J335" s="46" t="s">
        <v>833</v>
      </c>
      <c r="K335" s="46" t="s">
        <v>390</v>
      </c>
      <c r="L335" s="46" t="s">
        <v>546</v>
      </c>
      <c r="M335" s="52" t="s">
        <v>4464</v>
      </c>
      <c r="N335" s="46" t="s">
        <v>4460</v>
      </c>
      <c r="O335" s="46" t="s">
        <v>52</v>
      </c>
      <c r="P335" s="46" t="s">
        <v>59</v>
      </c>
      <c r="Q335" s="46" t="s">
        <v>60</v>
      </c>
      <c r="R335" s="46" t="s">
        <v>61</v>
      </c>
      <c r="S335" s="46" t="s">
        <v>62</v>
      </c>
      <c r="T335" s="46" t="s">
        <v>12</v>
      </c>
      <c r="U335" s="46" t="s">
        <v>63</v>
      </c>
    </row>
    <row r="336" spans="1:21">
      <c r="A336" s="47">
        <v>13378138</v>
      </c>
      <c r="B336" s="46" t="s">
        <v>610</v>
      </c>
      <c r="C336" s="46" t="s">
        <v>274</v>
      </c>
      <c r="D336" s="48">
        <v>20966</v>
      </c>
      <c r="E336" s="49">
        <f t="shared" ca="1" si="6"/>
        <v>69.096491571165956</v>
      </c>
      <c r="F336" s="50">
        <v>154686556</v>
      </c>
      <c r="G336" s="51" t="s">
        <v>23</v>
      </c>
      <c r="I336" s="52" t="s">
        <v>594</v>
      </c>
      <c r="M336" s="53" t="s">
        <v>611</v>
      </c>
      <c r="N336" s="46">
        <v>4247484</v>
      </c>
      <c r="O336" s="46">
        <v>209</v>
      </c>
    </row>
    <row r="337" spans="1:21">
      <c r="A337" s="47">
        <v>13378143</v>
      </c>
      <c r="B337" s="46" t="s">
        <v>1040</v>
      </c>
      <c r="C337" s="52" t="s">
        <v>2783</v>
      </c>
      <c r="D337" s="48">
        <v>21798</v>
      </c>
      <c r="E337" s="49">
        <f t="shared" ca="1" si="6"/>
        <v>66.817248459958932</v>
      </c>
      <c r="G337" s="51" t="s">
        <v>23</v>
      </c>
      <c r="I337" s="52" t="s">
        <v>2778</v>
      </c>
      <c r="J337" s="46" t="s">
        <v>2784</v>
      </c>
      <c r="M337" s="58" t="s">
        <v>25</v>
      </c>
      <c r="N337" s="55"/>
      <c r="O337" s="55"/>
    </row>
    <row r="338" spans="1:21">
      <c r="A338" s="47">
        <v>13378152</v>
      </c>
      <c r="B338" s="46" t="s">
        <v>610</v>
      </c>
      <c r="C338" s="46" t="s">
        <v>612</v>
      </c>
      <c r="D338" s="48" t="s">
        <v>52</v>
      </c>
      <c r="E338" s="49" t="str">
        <f t="shared" ca="1" si="6"/>
        <v/>
      </c>
      <c r="F338" s="50" t="s">
        <v>613</v>
      </c>
      <c r="G338" s="51" t="s">
        <v>141</v>
      </c>
      <c r="H338" s="52" t="s">
        <v>52</v>
      </c>
      <c r="I338" s="52" t="s">
        <v>594</v>
      </c>
      <c r="J338" s="46" t="s">
        <v>38</v>
      </c>
      <c r="K338" s="46" t="s">
        <v>81</v>
      </c>
      <c r="L338" s="46" t="s">
        <v>52</v>
      </c>
      <c r="M338" s="53" t="s">
        <v>614</v>
      </c>
      <c r="N338" s="46" t="s">
        <v>615</v>
      </c>
      <c r="O338" s="46" t="s">
        <v>616</v>
      </c>
      <c r="P338" s="46" t="s">
        <v>59</v>
      </c>
      <c r="Q338" s="46" t="s">
        <v>60</v>
      </c>
      <c r="R338" s="46" t="s">
        <v>61</v>
      </c>
      <c r="S338" s="46" t="s">
        <v>62</v>
      </c>
      <c r="T338" s="46" t="s">
        <v>12</v>
      </c>
      <c r="U338" s="46" t="s">
        <v>63</v>
      </c>
    </row>
    <row r="339" spans="1:21">
      <c r="A339" s="47">
        <v>13378154</v>
      </c>
      <c r="B339" s="46" t="s">
        <v>610</v>
      </c>
      <c r="C339" s="52" t="s">
        <v>612</v>
      </c>
      <c r="E339" s="49" t="str">
        <f t="shared" ca="1" si="6"/>
        <v/>
      </c>
      <c r="G339" s="51" t="s">
        <v>70</v>
      </c>
      <c r="I339" s="59" t="s">
        <v>908</v>
      </c>
      <c r="J339" s="46" t="s">
        <v>2468</v>
      </c>
      <c r="M339" s="58" t="s">
        <v>25</v>
      </c>
      <c r="N339" s="55"/>
      <c r="O339" s="55"/>
    </row>
    <row r="340" spans="1:21">
      <c r="A340" s="47">
        <v>13378600</v>
      </c>
      <c r="B340" s="46" t="s">
        <v>2056</v>
      </c>
      <c r="C340" s="46" t="s">
        <v>2057</v>
      </c>
      <c r="E340" s="49" t="str">
        <f t="shared" ca="1" si="6"/>
        <v/>
      </c>
      <c r="F340" s="50">
        <v>155474183</v>
      </c>
      <c r="G340" s="51" t="s">
        <v>23</v>
      </c>
      <c r="I340" s="52" t="s">
        <v>1881</v>
      </c>
      <c r="M340" s="53" t="s">
        <v>2058</v>
      </c>
    </row>
    <row r="341" spans="1:21">
      <c r="A341" s="47">
        <v>13422251</v>
      </c>
      <c r="B341" s="46" t="s">
        <v>861</v>
      </c>
      <c r="C341" s="52" t="s">
        <v>862</v>
      </c>
      <c r="D341" s="48">
        <v>21730</v>
      </c>
      <c r="E341" s="49">
        <f t="shared" ca="1" si="6"/>
        <v>67.00342231348391</v>
      </c>
      <c r="G341" s="51" t="s">
        <v>23</v>
      </c>
      <c r="I341" s="52" t="s">
        <v>848</v>
      </c>
      <c r="M341" s="58" t="s">
        <v>25</v>
      </c>
      <c r="N341" s="55">
        <v>4311048</v>
      </c>
      <c r="O341" s="55"/>
    </row>
    <row r="342" spans="1:21">
      <c r="A342" s="47">
        <v>13474636</v>
      </c>
      <c r="B342" s="46" t="s">
        <v>4559</v>
      </c>
      <c r="C342" s="46" t="s">
        <v>4560</v>
      </c>
      <c r="D342" s="48">
        <v>21815</v>
      </c>
      <c r="E342" s="49">
        <f t="shared" ca="1" si="6"/>
        <v>66.770704996577692</v>
      </c>
      <c r="F342" s="50">
        <v>154457207</v>
      </c>
      <c r="G342" s="51" t="s">
        <v>70</v>
      </c>
      <c r="I342" s="52" t="s">
        <v>4499</v>
      </c>
      <c r="J342" s="46" t="s">
        <v>316</v>
      </c>
      <c r="M342" s="53" t="s">
        <v>4561</v>
      </c>
      <c r="N342" s="46">
        <v>4226421</v>
      </c>
      <c r="O342" s="46">
        <v>5732</v>
      </c>
    </row>
    <row r="343" spans="1:21">
      <c r="A343" s="47">
        <v>13474822</v>
      </c>
      <c r="B343" s="46" t="s">
        <v>3133</v>
      </c>
      <c r="C343" s="46" t="s">
        <v>1965</v>
      </c>
      <c r="D343" s="48">
        <v>21812</v>
      </c>
      <c r="E343" s="49">
        <f t="shared" ca="1" si="6"/>
        <v>66.778918548939089</v>
      </c>
      <c r="F343" s="50">
        <v>155891934</v>
      </c>
      <c r="G343" s="51" t="s">
        <v>70</v>
      </c>
      <c r="I343" s="52" t="s">
        <v>3127</v>
      </c>
      <c r="J343" s="55" t="s">
        <v>2300</v>
      </c>
      <c r="K343" s="55"/>
      <c r="L343" s="55"/>
      <c r="M343" s="53" t="s">
        <v>3134</v>
      </c>
      <c r="N343" s="55">
        <v>4313629</v>
      </c>
      <c r="O343" s="55"/>
      <c r="P343" s="46">
        <v>3</v>
      </c>
    </row>
    <row r="344" spans="1:21">
      <c r="A344" s="47">
        <v>13475213</v>
      </c>
      <c r="B344" s="46" t="s">
        <v>3385</v>
      </c>
      <c r="C344" s="55" t="s">
        <v>3386</v>
      </c>
      <c r="D344" s="48">
        <v>21843</v>
      </c>
      <c r="E344" s="49">
        <f t="shared" ca="1" si="6"/>
        <v>66.69404517453799</v>
      </c>
      <c r="F344" s="50">
        <v>155330954</v>
      </c>
      <c r="G344" s="51" t="s">
        <v>23</v>
      </c>
      <c r="I344" s="52" t="s">
        <v>3327</v>
      </c>
      <c r="J344" s="55"/>
      <c r="K344" s="55"/>
      <c r="L344" s="55"/>
      <c r="M344" s="53" t="s">
        <v>3387</v>
      </c>
      <c r="N344" s="55">
        <v>4353681</v>
      </c>
      <c r="O344" s="55">
        <v>112</v>
      </c>
    </row>
    <row r="345" spans="1:21">
      <c r="A345" s="47">
        <v>13475282</v>
      </c>
      <c r="B345" s="46" t="s">
        <v>2799</v>
      </c>
      <c r="C345" s="46" t="s">
        <v>6328</v>
      </c>
      <c r="D345" s="48">
        <v>21771</v>
      </c>
      <c r="E345" s="49">
        <f t="shared" ca="1" si="6"/>
        <v>66.891170431211492</v>
      </c>
      <c r="G345" s="51" t="s">
        <v>141</v>
      </c>
      <c r="I345" s="52" t="s">
        <v>23</v>
      </c>
      <c r="J345" s="46" t="s">
        <v>545</v>
      </c>
      <c r="M345" s="58" t="s">
        <v>25</v>
      </c>
    </row>
    <row r="346" spans="1:21">
      <c r="A346" s="47">
        <v>13475331</v>
      </c>
      <c r="B346" s="46" t="s">
        <v>996</v>
      </c>
      <c r="C346" s="52" t="s">
        <v>3670</v>
      </c>
      <c r="D346" s="48" t="s">
        <v>52</v>
      </c>
      <c r="E346" s="49" t="str">
        <f t="shared" ca="1" si="6"/>
        <v/>
      </c>
      <c r="F346" s="50" t="s">
        <v>3671</v>
      </c>
      <c r="G346" s="51" t="s">
        <v>70</v>
      </c>
      <c r="H346" s="52" t="s">
        <v>52</v>
      </c>
      <c r="I346" s="52" t="s">
        <v>3630</v>
      </c>
      <c r="J346" s="46" t="s">
        <v>3672</v>
      </c>
      <c r="K346" s="46" t="s">
        <v>52</v>
      </c>
      <c r="L346" s="46" t="s">
        <v>52</v>
      </c>
      <c r="M346" s="53" t="s">
        <v>3673</v>
      </c>
      <c r="N346" s="55" t="s">
        <v>3674</v>
      </c>
      <c r="O346" s="55" t="s">
        <v>3675</v>
      </c>
      <c r="P346" s="46" t="s">
        <v>59</v>
      </c>
      <c r="Q346" s="46" t="s">
        <v>60</v>
      </c>
      <c r="R346" s="46" t="s">
        <v>61</v>
      </c>
      <c r="S346" s="46" t="s">
        <v>62</v>
      </c>
      <c r="T346" s="46" t="s">
        <v>12</v>
      </c>
      <c r="U346" s="46" t="s">
        <v>63</v>
      </c>
    </row>
    <row r="347" spans="1:21">
      <c r="A347" s="47">
        <v>13475605</v>
      </c>
      <c r="B347" s="46" t="s">
        <v>1411</v>
      </c>
      <c r="C347" s="46" t="s">
        <v>1412</v>
      </c>
      <c r="D347" s="48" t="s">
        <v>52</v>
      </c>
      <c r="E347" s="49" t="str">
        <f t="shared" ca="1" si="6"/>
        <v/>
      </c>
      <c r="F347" s="50" t="s">
        <v>1413</v>
      </c>
      <c r="G347" s="51" t="s">
        <v>70</v>
      </c>
      <c r="H347" s="52" t="s">
        <v>1414</v>
      </c>
      <c r="I347" s="59" t="s">
        <v>908</v>
      </c>
      <c r="J347" s="46" t="s">
        <v>52</v>
      </c>
      <c r="K347" s="46" t="s">
        <v>390</v>
      </c>
      <c r="L347" s="46" t="s">
        <v>52</v>
      </c>
      <c r="M347" s="52" t="s">
        <v>1415</v>
      </c>
      <c r="N347" s="46" t="s">
        <v>931</v>
      </c>
      <c r="O347" s="46" t="s">
        <v>1377</v>
      </c>
      <c r="P347" s="46" t="s">
        <v>59</v>
      </c>
      <c r="Q347" s="46" t="s">
        <v>60</v>
      </c>
      <c r="R347" s="46" t="s">
        <v>61</v>
      </c>
      <c r="S347" s="46" t="s">
        <v>62</v>
      </c>
      <c r="T347" s="46" t="s">
        <v>12</v>
      </c>
      <c r="U347" s="46" t="s">
        <v>63</v>
      </c>
    </row>
    <row r="348" spans="1:21">
      <c r="A348" s="47">
        <v>13475945</v>
      </c>
      <c r="B348" s="46" t="s">
        <v>2129</v>
      </c>
      <c r="C348" s="52" t="s">
        <v>1061</v>
      </c>
      <c r="D348" s="48">
        <v>20964</v>
      </c>
      <c r="E348" s="49">
        <f t="shared" ca="1" si="6"/>
        <v>69.101967379825552</v>
      </c>
      <c r="G348" s="51" t="s">
        <v>23</v>
      </c>
      <c r="I348" s="52" t="s">
        <v>1881</v>
      </c>
      <c r="J348" s="46" t="s">
        <v>2130</v>
      </c>
      <c r="M348" s="53" t="s">
        <v>2131</v>
      </c>
      <c r="N348" s="55"/>
      <c r="O348" s="55"/>
    </row>
    <row r="349" spans="1:21">
      <c r="A349" s="47">
        <v>13475999</v>
      </c>
      <c r="B349" s="46" t="s">
        <v>1269</v>
      </c>
      <c r="C349" s="46" t="s">
        <v>1270</v>
      </c>
      <c r="D349" s="48">
        <v>21174</v>
      </c>
      <c r="E349" s="49">
        <f t="shared" ca="1" si="6"/>
        <v>68.527007470567526</v>
      </c>
      <c r="F349" s="50">
        <v>154950913</v>
      </c>
      <c r="G349" s="51" t="s">
        <v>70</v>
      </c>
      <c r="I349" s="59" t="s">
        <v>908</v>
      </c>
      <c r="J349" s="46" t="s">
        <v>1271</v>
      </c>
      <c r="M349" s="53" t="s">
        <v>1272</v>
      </c>
      <c r="N349" s="46">
        <v>4247752</v>
      </c>
      <c r="O349" s="46">
        <v>7064</v>
      </c>
    </row>
    <row r="350" spans="1:21">
      <c r="A350" s="47">
        <v>13511627</v>
      </c>
      <c r="B350" s="46" t="s">
        <v>1225</v>
      </c>
      <c r="C350" s="52" t="s">
        <v>1226</v>
      </c>
      <c r="D350" s="48">
        <v>21827</v>
      </c>
      <c r="E350" s="49">
        <f t="shared" ca="1" si="6"/>
        <v>66.737850787132103</v>
      </c>
      <c r="G350" s="51" t="s">
        <v>23</v>
      </c>
      <c r="I350" s="59" t="s">
        <v>908</v>
      </c>
      <c r="J350" s="46" t="s">
        <v>1227</v>
      </c>
      <c r="M350" s="53" t="s">
        <v>1228</v>
      </c>
      <c r="N350" s="55"/>
      <c r="O350" s="55"/>
    </row>
    <row r="351" spans="1:21">
      <c r="A351" s="47">
        <v>13513466</v>
      </c>
      <c r="B351" s="46" t="s">
        <v>652</v>
      </c>
      <c r="C351" s="52" t="s">
        <v>6073</v>
      </c>
      <c r="D351" s="48">
        <v>20877</v>
      </c>
      <c r="E351" s="49">
        <f t="shared" ca="1" si="6"/>
        <v>69.340165056518174</v>
      </c>
      <c r="F351" s="50">
        <v>155014099</v>
      </c>
      <c r="G351" s="51" t="s">
        <v>23</v>
      </c>
      <c r="I351" s="52" t="s">
        <v>23</v>
      </c>
      <c r="J351" s="46" t="s">
        <v>6102</v>
      </c>
      <c r="M351" s="53" t="s">
        <v>6103</v>
      </c>
      <c r="N351" s="55"/>
      <c r="O351" s="55"/>
    </row>
    <row r="352" spans="1:21">
      <c r="A352" s="47">
        <v>13513536</v>
      </c>
      <c r="B352" s="46" t="s">
        <v>6010</v>
      </c>
      <c r="C352" s="46" t="s">
        <v>6011</v>
      </c>
      <c r="E352" s="49" t="str">
        <f t="shared" ca="1" si="6"/>
        <v/>
      </c>
      <c r="G352" s="51" t="s">
        <v>23</v>
      </c>
      <c r="I352" s="52" t="s">
        <v>23</v>
      </c>
      <c r="M352" s="58" t="s">
        <v>25</v>
      </c>
    </row>
    <row r="353" spans="1:21">
      <c r="A353" s="47">
        <v>13513673</v>
      </c>
      <c r="B353" s="46" t="s">
        <v>226</v>
      </c>
      <c r="C353" s="46" t="s">
        <v>4114</v>
      </c>
      <c r="D353" s="48">
        <v>21655</v>
      </c>
      <c r="E353" s="49">
        <f t="shared" ca="1" si="6"/>
        <v>67.208761122518823</v>
      </c>
      <c r="F353" s="50" t="s">
        <v>4115</v>
      </c>
      <c r="G353" s="51" t="s">
        <v>23</v>
      </c>
      <c r="I353" s="52" t="s">
        <v>4078</v>
      </c>
      <c r="J353" s="46" t="s">
        <v>4099</v>
      </c>
      <c r="M353" s="53" t="s">
        <v>4116</v>
      </c>
      <c r="N353" s="46">
        <v>3865482912</v>
      </c>
    </row>
    <row r="354" spans="1:21">
      <c r="A354" s="47">
        <v>13513722</v>
      </c>
      <c r="B354" s="46" t="s">
        <v>315</v>
      </c>
      <c r="C354" s="46" t="s">
        <v>4133</v>
      </c>
      <c r="D354" s="48">
        <v>21020</v>
      </c>
      <c r="E354" s="49">
        <f t="shared" ca="1" si="6"/>
        <v>68.948644737356744</v>
      </c>
      <c r="F354" s="50" t="s">
        <v>4134</v>
      </c>
      <c r="G354" s="51" t="s">
        <v>23</v>
      </c>
      <c r="I354" s="52" t="s">
        <v>4078</v>
      </c>
      <c r="J354" s="46" t="s">
        <v>3313</v>
      </c>
      <c r="M354" s="53" t="s">
        <v>4135</v>
      </c>
      <c r="N354" s="46">
        <v>3865483797</v>
      </c>
      <c r="O354" s="46">
        <v>39</v>
      </c>
    </row>
    <row r="355" spans="1:21">
      <c r="A355" s="47">
        <v>13513776</v>
      </c>
      <c r="B355" s="46" t="s">
        <v>3029</v>
      </c>
      <c r="C355" s="46" t="s">
        <v>2522</v>
      </c>
      <c r="D355" s="48" t="s">
        <v>52</v>
      </c>
      <c r="E355" s="49" t="str">
        <f t="shared" ca="1" si="6"/>
        <v/>
      </c>
      <c r="F355" s="50" t="s">
        <v>6743</v>
      </c>
      <c r="G355" s="51" t="s">
        <v>141</v>
      </c>
      <c r="H355" s="52" t="s">
        <v>52</v>
      </c>
      <c r="I355" s="52" t="s">
        <v>4245</v>
      </c>
      <c r="J355" s="46" t="s">
        <v>6744</v>
      </c>
      <c r="K355" s="46" t="s">
        <v>81</v>
      </c>
      <c r="L355" s="46" t="s">
        <v>546</v>
      </c>
      <c r="M355" s="52" t="s">
        <v>6745</v>
      </c>
      <c r="N355" s="46" t="s">
        <v>52</v>
      </c>
      <c r="O355" s="46" t="s">
        <v>52</v>
      </c>
      <c r="P355" s="46" t="s">
        <v>59</v>
      </c>
      <c r="Q355" s="46" t="s">
        <v>60</v>
      </c>
      <c r="R355" s="46" t="s">
        <v>61</v>
      </c>
      <c r="S355" s="46" t="s">
        <v>62</v>
      </c>
      <c r="T355" s="46" t="s">
        <v>12</v>
      </c>
      <c r="U355" s="46" t="s">
        <v>63</v>
      </c>
    </row>
    <row r="356" spans="1:21">
      <c r="A356" s="47">
        <v>13557502</v>
      </c>
      <c r="B356" s="46" t="s">
        <v>226</v>
      </c>
      <c r="C356" s="52" t="s">
        <v>5026</v>
      </c>
      <c r="D356" s="48" t="s">
        <v>5027</v>
      </c>
      <c r="E356" s="49">
        <f t="shared" ca="1" si="6"/>
        <v>53.56812185773309</v>
      </c>
      <c r="F356" s="50" t="s">
        <v>5028</v>
      </c>
      <c r="G356" s="51" t="s">
        <v>70</v>
      </c>
      <c r="H356" s="52" t="s">
        <v>5057</v>
      </c>
      <c r="I356" s="65" t="s">
        <v>4954</v>
      </c>
      <c r="J356" s="46" t="s">
        <v>5030</v>
      </c>
      <c r="K356" s="46" t="s">
        <v>390</v>
      </c>
      <c r="L356" s="46" t="s">
        <v>546</v>
      </c>
      <c r="M356" s="52" t="s">
        <v>5031</v>
      </c>
      <c r="N356" s="55" t="s">
        <v>52</v>
      </c>
      <c r="O356" s="55" t="s">
        <v>52</v>
      </c>
      <c r="P356" s="46" t="s">
        <v>59</v>
      </c>
      <c r="Q356" s="46" t="s">
        <v>60</v>
      </c>
      <c r="R356" s="46" t="s">
        <v>61</v>
      </c>
      <c r="S356" s="46" t="s">
        <v>62</v>
      </c>
      <c r="T356" s="46" t="s">
        <v>12</v>
      </c>
      <c r="U356" s="46" t="s">
        <v>63</v>
      </c>
    </row>
    <row r="357" spans="1:21">
      <c r="A357" s="47">
        <v>13559484</v>
      </c>
      <c r="B357" s="46" t="s">
        <v>359</v>
      </c>
      <c r="C357" s="46" t="s">
        <v>360</v>
      </c>
      <c r="E357" s="49" t="str">
        <f t="shared" ca="1" si="6"/>
        <v/>
      </c>
      <c r="F357" s="50">
        <v>153505778</v>
      </c>
      <c r="G357" s="51" t="s">
        <v>23</v>
      </c>
      <c r="I357" s="52" t="s">
        <v>24</v>
      </c>
      <c r="M357" s="58" t="s">
        <v>25</v>
      </c>
    </row>
    <row r="358" spans="1:21">
      <c r="A358" s="47">
        <v>13627070</v>
      </c>
      <c r="B358" s="46" t="s">
        <v>1619</v>
      </c>
      <c r="C358" s="46" t="s">
        <v>1620</v>
      </c>
      <c r="E358" s="49" t="str">
        <f t="shared" ca="1" si="6"/>
        <v/>
      </c>
      <c r="F358" s="50">
        <v>154481018</v>
      </c>
      <c r="G358" s="51" t="s">
        <v>23</v>
      </c>
      <c r="I358" s="52" t="s">
        <v>1497</v>
      </c>
      <c r="M358" s="58" t="s">
        <v>25</v>
      </c>
    </row>
    <row r="359" spans="1:21">
      <c r="A359" s="47">
        <v>13627092</v>
      </c>
      <c r="B359" s="46" t="s">
        <v>2262</v>
      </c>
      <c r="C359" s="52" t="s">
        <v>4050</v>
      </c>
      <c r="D359" s="48">
        <v>21696</v>
      </c>
      <c r="E359" s="49">
        <f t="shared" ca="1" si="6"/>
        <v>67.096509240246405</v>
      </c>
      <c r="F359" s="50">
        <v>156258937</v>
      </c>
      <c r="G359" s="51" t="s">
        <v>23</v>
      </c>
      <c r="I359" s="52" t="s">
        <v>3999</v>
      </c>
      <c r="J359" s="46" t="s">
        <v>4051</v>
      </c>
      <c r="M359" s="53" t="s">
        <v>4052</v>
      </c>
      <c r="N359" s="55"/>
      <c r="O359" s="55"/>
    </row>
    <row r="360" spans="1:21">
      <c r="A360" s="47">
        <v>13627211</v>
      </c>
      <c r="B360" s="46" t="s">
        <v>1885</v>
      </c>
      <c r="C360" s="52" t="s">
        <v>4252</v>
      </c>
      <c r="D360" s="48">
        <v>21816</v>
      </c>
      <c r="E360" s="49">
        <f t="shared" ca="1" si="6"/>
        <v>66.76796714579055</v>
      </c>
      <c r="F360" s="50">
        <v>156033282</v>
      </c>
      <c r="G360" s="51" t="s">
        <v>23</v>
      </c>
      <c r="I360" s="52" t="s">
        <v>4245</v>
      </c>
      <c r="J360" s="46" t="s">
        <v>4253</v>
      </c>
      <c r="M360" s="53" t="s">
        <v>4254</v>
      </c>
      <c r="N360" s="55"/>
      <c r="O360" s="55"/>
    </row>
    <row r="361" spans="1:21">
      <c r="A361" s="47">
        <v>13627248</v>
      </c>
      <c r="B361" s="46" t="s">
        <v>47</v>
      </c>
      <c r="C361" s="52" t="s">
        <v>917</v>
      </c>
      <c r="D361" s="48">
        <v>21092</v>
      </c>
      <c r="E361" s="49">
        <f t="shared" ca="1" si="6"/>
        <v>68.751515625611148</v>
      </c>
      <c r="F361" s="50">
        <v>154489083</v>
      </c>
      <c r="G361" s="51" t="s">
        <v>23</v>
      </c>
      <c r="I361" s="59" t="s">
        <v>908</v>
      </c>
      <c r="J361" s="46" t="s">
        <v>75</v>
      </c>
      <c r="M361" s="58" t="s">
        <v>25</v>
      </c>
      <c r="N361" s="55"/>
      <c r="O361" s="55"/>
    </row>
    <row r="362" spans="1:21">
      <c r="A362" s="47">
        <v>13627408</v>
      </c>
      <c r="B362" s="46" t="s">
        <v>3958</v>
      </c>
      <c r="C362" s="52" t="s">
        <v>3959</v>
      </c>
      <c r="D362" s="48">
        <v>21959</v>
      </c>
      <c r="E362" s="49">
        <f t="shared" ca="1" si="6"/>
        <v>66.375776397515537</v>
      </c>
      <c r="F362" s="50">
        <v>155007584</v>
      </c>
      <c r="G362" s="51" t="s">
        <v>70</v>
      </c>
      <c r="I362" s="52" t="s">
        <v>3956</v>
      </c>
      <c r="J362" s="46" t="s">
        <v>3960</v>
      </c>
      <c r="M362" s="53" t="s">
        <v>3961</v>
      </c>
      <c r="N362" s="55">
        <v>4220629</v>
      </c>
      <c r="O362" s="55"/>
    </row>
    <row r="363" spans="1:21">
      <c r="A363" s="47">
        <v>13627472</v>
      </c>
      <c r="B363" s="69" t="s">
        <v>948</v>
      </c>
      <c r="C363" s="52" t="s">
        <v>5993</v>
      </c>
      <c r="E363" s="49" t="str">
        <f t="shared" ca="1" si="6"/>
        <v/>
      </c>
      <c r="G363" s="51" t="s">
        <v>23</v>
      </c>
      <c r="I363" s="52" t="s">
        <v>23</v>
      </c>
      <c r="M363" s="58" t="s">
        <v>25</v>
      </c>
      <c r="N363" s="55"/>
      <c r="O363" s="55"/>
    </row>
    <row r="364" spans="1:21">
      <c r="A364" s="47">
        <v>13627484</v>
      </c>
      <c r="B364" s="46" t="s">
        <v>8806</v>
      </c>
      <c r="C364" s="52" t="s">
        <v>4066</v>
      </c>
      <c r="E364" s="49" t="str">
        <f t="shared" ca="1" si="6"/>
        <v/>
      </c>
      <c r="G364" s="51" t="s">
        <v>23</v>
      </c>
      <c r="I364" s="52" t="s">
        <v>3999</v>
      </c>
      <c r="M364" s="58" t="s">
        <v>25</v>
      </c>
      <c r="N364" s="55">
        <v>4220767</v>
      </c>
      <c r="O364" s="55"/>
    </row>
    <row r="365" spans="1:21">
      <c r="A365" s="47">
        <v>13627572</v>
      </c>
      <c r="B365" s="46" t="s">
        <v>428</v>
      </c>
      <c r="C365" s="46" t="s">
        <v>584</v>
      </c>
      <c r="D365" s="48">
        <v>21859</v>
      </c>
      <c r="E365" s="49">
        <f t="shared" ca="1" si="6"/>
        <v>66.650239561943877</v>
      </c>
      <c r="F365" s="50">
        <v>153020120</v>
      </c>
      <c r="G365" s="51" t="s">
        <v>70</v>
      </c>
      <c r="I365" s="52" t="s">
        <v>1881</v>
      </c>
      <c r="M365" s="53" t="s">
        <v>2235</v>
      </c>
      <c r="N365" s="46">
        <v>4107578</v>
      </c>
    </row>
    <row r="366" spans="1:21">
      <c r="A366" s="47">
        <v>13627952</v>
      </c>
      <c r="B366" s="46" t="s">
        <v>6303</v>
      </c>
      <c r="C366" s="52" t="s">
        <v>1895</v>
      </c>
      <c r="E366" s="49" t="str">
        <f t="shared" ca="1" si="6"/>
        <v/>
      </c>
      <c r="G366" s="51" t="s">
        <v>23</v>
      </c>
      <c r="I366" s="52" t="s">
        <v>23</v>
      </c>
      <c r="M366" s="58" t="s">
        <v>25</v>
      </c>
      <c r="N366" s="55"/>
      <c r="O366" s="55"/>
    </row>
    <row r="367" spans="1:21">
      <c r="A367" s="47">
        <v>13627989</v>
      </c>
      <c r="B367" s="46" t="s">
        <v>2956</v>
      </c>
      <c r="C367" s="52" t="s">
        <v>825</v>
      </c>
      <c r="D367" s="48">
        <v>21900</v>
      </c>
      <c r="E367" s="49">
        <f t="shared" ca="1" si="6"/>
        <v>66.53798767967146</v>
      </c>
      <c r="F367" s="50">
        <v>155020247</v>
      </c>
      <c r="G367" s="51" t="s">
        <v>23</v>
      </c>
      <c r="I367" s="52" t="s">
        <v>4499</v>
      </c>
      <c r="J367" s="46" t="s">
        <v>4532</v>
      </c>
      <c r="M367" s="53" t="s">
        <v>4533</v>
      </c>
      <c r="N367" s="55" t="s">
        <v>4534</v>
      </c>
      <c r="O367" s="55"/>
    </row>
    <row r="368" spans="1:21">
      <c r="A368" s="47">
        <v>13628734</v>
      </c>
      <c r="B368" s="46" t="s">
        <v>1194</v>
      </c>
      <c r="C368" s="46" t="s">
        <v>2218</v>
      </c>
      <c r="D368" s="48" t="s">
        <v>2219</v>
      </c>
      <c r="E368" s="49">
        <f t="shared" ca="1" si="6"/>
        <v>66.488027133050025</v>
      </c>
      <c r="F368" s="50" t="s">
        <v>2220</v>
      </c>
      <c r="G368" s="51" t="s">
        <v>70</v>
      </c>
      <c r="H368" s="52" t="s">
        <v>1260</v>
      </c>
      <c r="I368" s="52" t="s">
        <v>1881</v>
      </c>
      <c r="J368" s="46" t="s">
        <v>38</v>
      </c>
      <c r="K368" s="46" t="s">
        <v>81</v>
      </c>
      <c r="L368" s="46" t="s">
        <v>2221</v>
      </c>
      <c r="M368" s="58" t="s">
        <v>25</v>
      </c>
      <c r="N368" s="46" t="s">
        <v>2150</v>
      </c>
      <c r="O368" s="46" t="s">
        <v>52</v>
      </c>
      <c r="P368" s="46" t="s">
        <v>59</v>
      </c>
      <c r="Q368" s="46" t="s">
        <v>60</v>
      </c>
      <c r="R368" s="46" t="s">
        <v>61</v>
      </c>
      <c r="S368" s="46" t="s">
        <v>62</v>
      </c>
      <c r="T368" s="46" t="s">
        <v>12</v>
      </c>
      <c r="U368" s="46" t="s">
        <v>63</v>
      </c>
    </row>
    <row r="369" spans="1:21">
      <c r="A369" s="47">
        <v>13628928</v>
      </c>
      <c r="B369" s="46" t="s">
        <v>996</v>
      </c>
      <c r="C369" s="46" t="s">
        <v>5179</v>
      </c>
      <c r="D369" s="48">
        <v>21238</v>
      </c>
      <c r="E369" s="49">
        <f t="shared" ca="1" si="6"/>
        <v>68.351122926751842</v>
      </c>
      <c r="G369" s="51" t="s">
        <v>141</v>
      </c>
      <c r="I369" s="52" t="s">
        <v>5176</v>
      </c>
      <c r="J369" s="46" t="s">
        <v>38</v>
      </c>
      <c r="M369" s="58" t="s">
        <v>25</v>
      </c>
    </row>
    <row r="370" spans="1:21">
      <c r="A370" s="47">
        <v>13628939</v>
      </c>
      <c r="B370" s="46" t="s">
        <v>195</v>
      </c>
      <c r="C370" s="46" t="s">
        <v>196</v>
      </c>
      <c r="D370" s="48">
        <v>22026</v>
      </c>
      <c r="E370" s="49">
        <f t="shared" ca="1" si="6"/>
        <v>66.192342268715265</v>
      </c>
      <c r="G370" s="51" t="s">
        <v>70</v>
      </c>
      <c r="I370" s="52" t="s">
        <v>24</v>
      </c>
      <c r="M370" s="58" t="s">
        <v>25</v>
      </c>
    </row>
    <row r="371" spans="1:21">
      <c r="A371" s="47">
        <v>13628946</v>
      </c>
      <c r="B371" s="46" t="s">
        <v>652</v>
      </c>
      <c r="C371" s="46" t="s">
        <v>4305</v>
      </c>
      <c r="D371" s="48">
        <v>21886</v>
      </c>
      <c r="E371" s="49">
        <f t="shared" ca="1" si="6"/>
        <v>66.576317590691303</v>
      </c>
      <c r="F371" s="50">
        <v>154626328</v>
      </c>
      <c r="G371" s="51" t="s">
        <v>23</v>
      </c>
      <c r="I371" s="52" t="s">
        <v>4245</v>
      </c>
      <c r="J371" s="46" t="s">
        <v>4306</v>
      </c>
      <c r="M371" s="53" t="s">
        <v>4307</v>
      </c>
      <c r="N371" s="46">
        <v>4107240</v>
      </c>
    </row>
    <row r="372" spans="1:21">
      <c r="A372" s="47">
        <v>13629751</v>
      </c>
      <c r="B372" s="46" t="s">
        <v>652</v>
      </c>
      <c r="C372" s="52" t="s">
        <v>2024</v>
      </c>
      <c r="E372" s="49" t="str">
        <f t="shared" ca="1" si="6"/>
        <v/>
      </c>
      <c r="F372" s="50">
        <v>155988084</v>
      </c>
      <c r="G372" s="51" t="s">
        <v>70</v>
      </c>
      <c r="I372" s="52" t="s">
        <v>1881</v>
      </c>
      <c r="J372" s="46" t="s">
        <v>417</v>
      </c>
      <c r="M372" s="53" t="s">
        <v>2025</v>
      </c>
      <c r="N372" s="55"/>
      <c r="O372" s="55"/>
    </row>
    <row r="373" spans="1:21">
      <c r="A373" s="47">
        <v>13710018</v>
      </c>
      <c r="B373" s="46" t="s">
        <v>2992</v>
      </c>
      <c r="C373" s="46" t="s">
        <v>2993</v>
      </c>
      <c r="D373" s="48">
        <v>21905</v>
      </c>
      <c r="E373" s="49">
        <f t="shared" ca="1" si="6"/>
        <v>66.524298425735793</v>
      </c>
      <c r="F373" s="50">
        <v>156239919</v>
      </c>
      <c r="G373" s="51" t="s">
        <v>70</v>
      </c>
      <c r="I373" s="52" t="s">
        <v>2926</v>
      </c>
      <c r="J373" s="46" t="s">
        <v>2927</v>
      </c>
      <c r="M373" s="53" t="s">
        <v>2994</v>
      </c>
    </row>
    <row r="374" spans="1:21">
      <c r="A374" s="47">
        <v>13710024</v>
      </c>
      <c r="B374" s="46" t="s">
        <v>2296</v>
      </c>
      <c r="C374" s="46" t="s">
        <v>427</v>
      </c>
      <c r="E374" s="49" t="str">
        <f t="shared" ca="1" si="6"/>
        <v/>
      </c>
      <c r="F374" s="50" t="s">
        <v>2297</v>
      </c>
      <c r="G374" s="51" t="s">
        <v>23</v>
      </c>
      <c r="I374" s="52" t="s">
        <v>1881</v>
      </c>
      <c r="M374" s="53" t="s">
        <v>2298</v>
      </c>
    </row>
    <row r="375" spans="1:21">
      <c r="A375" s="47">
        <v>13710155</v>
      </c>
      <c r="B375" s="46" t="s">
        <v>3182</v>
      </c>
      <c r="C375" s="46" t="s">
        <v>3664</v>
      </c>
      <c r="D375" s="48" t="s">
        <v>52</v>
      </c>
      <c r="E375" s="49" t="str">
        <f t="shared" ca="1" si="6"/>
        <v/>
      </c>
      <c r="F375" s="50" t="s">
        <v>3665</v>
      </c>
      <c r="G375" s="51" t="s">
        <v>141</v>
      </c>
      <c r="H375" s="52" t="s">
        <v>52</v>
      </c>
      <c r="I375" s="52" t="s">
        <v>3630</v>
      </c>
      <c r="J375" s="46" t="s">
        <v>3666</v>
      </c>
      <c r="K375" s="46" t="s">
        <v>81</v>
      </c>
      <c r="L375" s="46" t="s">
        <v>1782</v>
      </c>
      <c r="M375" s="53" t="s">
        <v>3667</v>
      </c>
      <c r="N375" s="46" t="s">
        <v>3668</v>
      </c>
      <c r="O375" s="46" t="s">
        <v>3669</v>
      </c>
      <c r="P375" s="46" t="s">
        <v>59</v>
      </c>
      <c r="Q375" s="46" t="s">
        <v>60</v>
      </c>
      <c r="R375" s="46" t="s">
        <v>61</v>
      </c>
      <c r="S375" s="46" t="s">
        <v>62</v>
      </c>
      <c r="T375" s="46" t="s">
        <v>12</v>
      </c>
      <c r="U375" s="46" t="s">
        <v>63</v>
      </c>
    </row>
    <row r="376" spans="1:21">
      <c r="A376" s="47">
        <v>13710386</v>
      </c>
      <c r="B376" s="46" t="s">
        <v>1973</v>
      </c>
      <c r="C376" s="52" t="s">
        <v>1974</v>
      </c>
      <c r="D376" s="48">
        <v>21855</v>
      </c>
      <c r="E376" s="49">
        <f t="shared" ca="1" si="6"/>
        <v>66.661190965092402</v>
      </c>
      <c r="F376" s="50">
        <v>154565433</v>
      </c>
      <c r="G376" s="51" t="s">
        <v>23</v>
      </c>
      <c r="I376" s="52" t="s">
        <v>1881</v>
      </c>
      <c r="J376" s="55"/>
      <c r="K376" s="55"/>
      <c r="L376" s="55"/>
      <c r="M376" s="53" t="s">
        <v>1975</v>
      </c>
      <c r="N376" s="55"/>
      <c r="O376" s="55"/>
    </row>
    <row r="377" spans="1:21">
      <c r="A377" s="47">
        <v>13710711</v>
      </c>
      <c r="B377" s="46" t="s">
        <v>2134</v>
      </c>
      <c r="C377" s="52" t="s">
        <v>2135</v>
      </c>
      <c r="D377" s="48">
        <v>16480</v>
      </c>
      <c r="E377" s="49">
        <f t="shared" ca="1" si="6"/>
        <v>81.37849749582638</v>
      </c>
      <c r="F377" s="50">
        <v>154192381</v>
      </c>
      <c r="G377" s="51" t="s">
        <v>23</v>
      </c>
      <c r="I377" s="52" t="s">
        <v>1881</v>
      </c>
      <c r="J377" s="55" t="s">
        <v>2136</v>
      </c>
      <c r="K377" s="55"/>
      <c r="L377" s="55"/>
      <c r="M377" s="53" t="s">
        <v>2137</v>
      </c>
      <c r="N377" s="55"/>
      <c r="O377" s="55"/>
    </row>
    <row r="378" spans="1:21">
      <c r="A378" s="47">
        <v>13710789</v>
      </c>
      <c r="B378" s="46" t="s">
        <v>1842</v>
      </c>
      <c r="C378" s="46" t="s">
        <v>584</v>
      </c>
      <c r="D378" s="48">
        <v>21960</v>
      </c>
      <c r="E378" s="49">
        <f t="shared" ca="1" si="6"/>
        <v>66.373038574697617</v>
      </c>
      <c r="F378" s="50">
        <v>156976967</v>
      </c>
      <c r="G378" s="51" t="s">
        <v>70</v>
      </c>
      <c r="I378" s="52" t="s">
        <v>2754</v>
      </c>
      <c r="J378" s="46" t="s">
        <v>2756</v>
      </c>
      <c r="M378" s="53" t="s">
        <v>2757</v>
      </c>
      <c r="P378" s="46">
        <v>3</v>
      </c>
    </row>
    <row r="379" spans="1:21">
      <c r="A379" s="47">
        <v>13715942</v>
      </c>
      <c r="B379" s="46" t="s">
        <v>4660</v>
      </c>
      <c r="C379" s="46" t="s">
        <v>4661</v>
      </c>
      <c r="D379" s="48">
        <v>22113</v>
      </c>
      <c r="E379" s="49">
        <f t="shared" ca="1" si="6"/>
        <v>65.954151683556717</v>
      </c>
      <c r="F379" s="50">
        <v>155430541</v>
      </c>
      <c r="G379" s="51" t="s">
        <v>141</v>
      </c>
      <c r="I379" s="52" t="s">
        <v>4499</v>
      </c>
      <c r="J379" s="46" t="s">
        <v>4662</v>
      </c>
      <c r="M379" s="53" t="s">
        <v>4663</v>
      </c>
      <c r="N379" s="46">
        <v>4847311</v>
      </c>
      <c r="O379" s="46">
        <v>7311</v>
      </c>
    </row>
    <row r="380" spans="1:21">
      <c r="A380" s="47">
        <v>13771814</v>
      </c>
      <c r="B380" s="46" t="s">
        <v>6825</v>
      </c>
      <c r="C380" s="46" t="s">
        <v>6826</v>
      </c>
      <c r="D380" s="48" t="s">
        <v>52</v>
      </c>
      <c r="E380" s="49" t="str">
        <f t="shared" ca="1" si="6"/>
        <v/>
      </c>
      <c r="F380" s="50" t="s">
        <v>6827</v>
      </c>
      <c r="G380" s="51" t="s">
        <v>70</v>
      </c>
      <c r="H380" s="52" t="s">
        <v>8776</v>
      </c>
      <c r="I380" s="52" t="s">
        <v>55</v>
      </c>
      <c r="J380" s="46" t="s">
        <v>6828</v>
      </c>
      <c r="K380" s="46" t="s">
        <v>81</v>
      </c>
      <c r="L380" s="46" t="s">
        <v>546</v>
      </c>
      <c r="M380" s="52" t="s">
        <v>6829</v>
      </c>
      <c r="N380" s="46" t="s">
        <v>52</v>
      </c>
      <c r="O380" s="46" t="s">
        <v>52</v>
      </c>
      <c r="P380" s="46" t="s">
        <v>59</v>
      </c>
      <c r="Q380" s="46" t="s">
        <v>60</v>
      </c>
      <c r="R380" s="46" t="s">
        <v>61</v>
      </c>
      <c r="S380" s="46" t="s">
        <v>62</v>
      </c>
      <c r="T380" s="46" t="s">
        <v>12</v>
      </c>
      <c r="U380" s="46" t="s">
        <v>63</v>
      </c>
    </row>
    <row r="381" spans="1:21">
      <c r="A381" s="47">
        <v>13775146</v>
      </c>
      <c r="B381" s="46" t="s">
        <v>1371</v>
      </c>
      <c r="C381" s="46" t="s">
        <v>1061</v>
      </c>
      <c r="D381" s="48" t="s">
        <v>1372</v>
      </c>
      <c r="E381" s="49">
        <f t="shared" ca="1" si="6"/>
        <v>66.565366187542779</v>
      </c>
      <c r="F381" s="50" t="s">
        <v>1373</v>
      </c>
      <c r="G381" s="51" t="s">
        <v>70</v>
      </c>
      <c r="H381" s="52" t="s">
        <v>1374</v>
      </c>
      <c r="I381" s="59" t="s">
        <v>908</v>
      </c>
      <c r="J381" s="46" t="s">
        <v>1375</v>
      </c>
      <c r="K381" s="46" t="s">
        <v>390</v>
      </c>
      <c r="L381" s="46" t="s">
        <v>546</v>
      </c>
      <c r="M381" s="52" t="s">
        <v>1376</v>
      </c>
      <c r="N381" s="46" t="s">
        <v>931</v>
      </c>
      <c r="O381" s="46" t="s">
        <v>1377</v>
      </c>
      <c r="P381" s="46" t="s">
        <v>59</v>
      </c>
      <c r="Q381" s="46" t="s">
        <v>60</v>
      </c>
      <c r="R381" s="46" t="s">
        <v>61</v>
      </c>
      <c r="S381" s="46" t="s">
        <v>62</v>
      </c>
      <c r="T381" s="46" t="s">
        <v>12</v>
      </c>
      <c r="U381" s="46" t="s">
        <v>63</v>
      </c>
    </row>
    <row r="382" spans="1:21">
      <c r="A382" s="47">
        <v>13784035</v>
      </c>
      <c r="B382" s="46" t="s">
        <v>2746</v>
      </c>
      <c r="C382" s="46" t="s">
        <v>1555</v>
      </c>
      <c r="D382" s="48">
        <v>21898</v>
      </c>
      <c r="E382" s="49">
        <f t="shared" ca="1" si="6"/>
        <v>66.543463381245715</v>
      </c>
      <c r="F382" s="50">
        <v>154056055</v>
      </c>
      <c r="G382" s="51" t="s">
        <v>141</v>
      </c>
      <c r="I382" s="52" t="s">
        <v>2744</v>
      </c>
      <c r="J382" s="46" t="s">
        <v>2747</v>
      </c>
      <c r="M382" s="53" t="s">
        <v>2748</v>
      </c>
      <c r="N382" s="46">
        <v>4248026</v>
      </c>
      <c r="O382" s="46">
        <v>7185</v>
      </c>
      <c r="P382" s="46">
        <v>3</v>
      </c>
    </row>
    <row r="383" spans="1:21">
      <c r="A383" s="47">
        <v>13784307</v>
      </c>
      <c r="B383" s="46" t="s">
        <v>779</v>
      </c>
      <c r="C383" s="46" t="s">
        <v>758</v>
      </c>
      <c r="D383" s="48">
        <v>21783</v>
      </c>
      <c r="E383" s="49">
        <f t="shared" ca="1" si="6"/>
        <v>66.858316221765918</v>
      </c>
      <c r="F383" s="50">
        <v>154444335</v>
      </c>
      <c r="G383" s="51" t="s">
        <v>86</v>
      </c>
      <c r="I383" s="52" t="s">
        <v>5494</v>
      </c>
      <c r="J383" s="46" t="s">
        <v>5517</v>
      </c>
      <c r="M383" s="53" t="s">
        <v>5518</v>
      </c>
      <c r="N383" s="46">
        <v>4302766</v>
      </c>
    </row>
    <row r="384" spans="1:21">
      <c r="A384" s="47">
        <v>13784371</v>
      </c>
      <c r="B384" s="46" t="s">
        <v>6219</v>
      </c>
      <c r="C384" s="46" t="s">
        <v>6220</v>
      </c>
      <c r="D384" s="48" t="s">
        <v>52</v>
      </c>
      <c r="E384" s="49" t="str">
        <f t="shared" ca="1" si="6"/>
        <v/>
      </c>
      <c r="F384" s="50" t="s">
        <v>6221</v>
      </c>
      <c r="G384" s="51" t="s">
        <v>86</v>
      </c>
      <c r="H384" s="52" t="s">
        <v>52</v>
      </c>
      <c r="I384" s="52" t="s">
        <v>23</v>
      </c>
      <c r="J384" s="46" t="s">
        <v>470</v>
      </c>
      <c r="K384" s="46" t="s">
        <v>52</v>
      </c>
      <c r="L384" s="46" t="s">
        <v>52</v>
      </c>
      <c r="M384" s="53" t="s">
        <v>6222</v>
      </c>
      <c r="N384" s="46" t="s">
        <v>931</v>
      </c>
      <c r="O384" s="46" t="s">
        <v>6223</v>
      </c>
      <c r="P384" s="46" t="s">
        <v>59</v>
      </c>
      <c r="Q384" s="46" t="s">
        <v>60</v>
      </c>
      <c r="R384" s="46" t="s">
        <v>61</v>
      </c>
      <c r="S384" s="46" t="s">
        <v>62</v>
      </c>
      <c r="T384" s="46" t="s">
        <v>12</v>
      </c>
      <c r="U384" s="46" t="s">
        <v>63</v>
      </c>
    </row>
    <row r="385" spans="1:21">
      <c r="A385" s="60">
        <v>13784429</v>
      </c>
      <c r="B385" s="61" t="s">
        <v>144</v>
      </c>
      <c r="C385" s="62" t="s">
        <v>3962</v>
      </c>
      <c r="D385" s="48">
        <v>21743</v>
      </c>
      <c r="E385" s="49">
        <f t="shared" ca="1" si="6"/>
        <v>66.967830253251194</v>
      </c>
      <c r="F385" s="63">
        <v>156543704</v>
      </c>
      <c r="G385" s="51" t="s">
        <v>23</v>
      </c>
      <c r="I385" s="52" t="s">
        <v>3956</v>
      </c>
      <c r="J385" s="61" t="s">
        <v>1908</v>
      </c>
      <c r="K385" s="61"/>
      <c r="L385" s="61"/>
      <c r="M385" s="58" t="s">
        <v>25</v>
      </c>
      <c r="N385" s="55"/>
      <c r="O385" s="55"/>
    </row>
    <row r="386" spans="1:21">
      <c r="A386" s="47">
        <v>13784794</v>
      </c>
      <c r="B386" s="46" t="s">
        <v>2021</v>
      </c>
      <c r="C386" s="46" t="s">
        <v>1146</v>
      </c>
      <c r="D386" s="48">
        <v>21582</v>
      </c>
      <c r="E386" s="49">
        <f t="shared" ca="1" si="6"/>
        <v>67.408624229979466</v>
      </c>
      <c r="F386" s="50">
        <v>154950807</v>
      </c>
      <c r="G386" s="51" t="s">
        <v>78</v>
      </c>
      <c r="I386" s="52" t="s">
        <v>1881</v>
      </c>
      <c r="J386" s="46" t="s">
        <v>2022</v>
      </c>
      <c r="M386" s="53" t="s">
        <v>2023</v>
      </c>
      <c r="N386" s="46">
        <v>4107573</v>
      </c>
      <c r="P386" s="46">
        <v>1</v>
      </c>
    </row>
    <row r="387" spans="1:21">
      <c r="A387" s="47">
        <v>13784871</v>
      </c>
      <c r="B387" s="46" t="s">
        <v>2683</v>
      </c>
      <c r="C387" s="46" t="s">
        <v>2684</v>
      </c>
      <c r="D387" s="48">
        <v>22032</v>
      </c>
      <c r="E387" s="49">
        <f t="shared" ca="1" si="6"/>
        <v>66.175915331807786</v>
      </c>
      <c r="F387" s="50">
        <v>154432894</v>
      </c>
      <c r="G387" s="51" t="s">
        <v>70</v>
      </c>
      <c r="I387" s="52" t="s">
        <v>2681</v>
      </c>
      <c r="J387" s="46" t="s">
        <v>2685</v>
      </c>
      <c r="M387" s="53" t="s">
        <v>2686</v>
      </c>
      <c r="N387" s="46">
        <v>4247752</v>
      </c>
      <c r="O387" s="46">
        <v>6919</v>
      </c>
      <c r="P387" s="46">
        <v>3</v>
      </c>
    </row>
    <row r="388" spans="1:21">
      <c r="A388" s="47">
        <v>13844773</v>
      </c>
      <c r="B388" s="46" t="s">
        <v>1591</v>
      </c>
      <c r="C388" s="46" t="s">
        <v>2613</v>
      </c>
      <c r="D388" s="48">
        <v>22013</v>
      </c>
      <c r="E388" s="49">
        <f t="shared" ca="1" si="6"/>
        <v>66.227933965348157</v>
      </c>
      <c r="F388" s="50">
        <v>155152180</v>
      </c>
      <c r="G388" s="51" t="s">
        <v>352</v>
      </c>
      <c r="I388" s="52" t="s">
        <v>3990</v>
      </c>
      <c r="J388" s="46" t="s">
        <v>3991</v>
      </c>
      <c r="M388" s="53" t="s">
        <v>3992</v>
      </c>
      <c r="N388" s="46">
        <v>4364093</v>
      </c>
      <c r="O388" s="46">
        <v>277</v>
      </c>
      <c r="P388" s="46">
        <v>3</v>
      </c>
    </row>
    <row r="389" spans="1:21">
      <c r="A389" s="64">
        <v>13847302</v>
      </c>
      <c r="B389" s="61" t="s">
        <v>629</v>
      </c>
      <c r="C389" s="62" t="s">
        <v>630</v>
      </c>
      <c r="D389" s="48">
        <v>21895</v>
      </c>
      <c r="E389" s="49">
        <f t="shared" ca="1" si="6"/>
        <v>66.551676933607112</v>
      </c>
      <c r="F389" s="63"/>
      <c r="G389" s="51" t="s">
        <v>23</v>
      </c>
      <c r="I389" s="52" t="s">
        <v>594</v>
      </c>
      <c r="J389" s="61" t="s">
        <v>631</v>
      </c>
      <c r="K389" s="61"/>
      <c r="L389" s="61"/>
      <c r="M389" s="53" t="s">
        <v>632</v>
      </c>
      <c r="N389" s="55"/>
      <c r="O389" s="55"/>
    </row>
    <row r="390" spans="1:21">
      <c r="A390" s="47">
        <v>13847477</v>
      </c>
      <c r="B390" s="46" t="s">
        <v>311</v>
      </c>
      <c r="C390" s="52" t="s">
        <v>922</v>
      </c>
      <c r="D390" s="48">
        <v>21815</v>
      </c>
      <c r="E390" s="49">
        <f t="shared" ca="1" si="6"/>
        <v>66.770704996577692</v>
      </c>
      <c r="F390" s="50">
        <v>156405733</v>
      </c>
      <c r="G390" s="51" t="s">
        <v>23</v>
      </c>
      <c r="I390" s="52" t="s">
        <v>3166</v>
      </c>
      <c r="J390" s="46" t="s">
        <v>3242</v>
      </c>
      <c r="M390" s="58" t="s">
        <v>25</v>
      </c>
      <c r="N390" s="55">
        <v>4253467</v>
      </c>
      <c r="O390" s="55" t="s">
        <v>3243</v>
      </c>
    </row>
    <row r="391" spans="1:21">
      <c r="A391" s="47">
        <v>13847505</v>
      </c>
      <c r="B391" s="46" t="s">
        <v>1637</v>
      </c>
      <c r="C391" s="52" t="s">
        <v>1638</v>
      </c>
      <c r="E391" s="49" t="str">
        <f t="shared" ca="1" si="6"/>
        <v/>
      </c>
      <c r="F391" s="50">
        <v>155893741</v>
      </c>
      <c r="G391" s="51" t="s">
        <v>23</v>
      </c>
      <c r="I391" s="52" t="s">
        <v>1497</v>
      </c>
      <c r="J391" s="46" t="s">
        <v>1639</v>
      </c>
      <c r="M391" s="53" t="s">
        <v>1640</v>
      </c>
      <c r="N391" s="55"/>
      <c r="O391" s="55"/>
    </row>
    <row r="392" spans="1:21">
      <c r="A392" s="47">
        <v>13848130</v>
      </c>
      <c r="B392" s="46" t="s">
        <v>3233</v>
      </c>
      <c r="C392" s="52" t="s">
        <v>3234</v>
      </c>
      <c r="E392" s="49" t="str">
        <f t="shared" ca="1" si="6"/>
        <v/>
      </c>
      <c r="F392" s="50">
        <v>156448570</v>
      </c>
      <c r="G392" s="51" t="s">
        <v>70</v>
      </c>
      <c r="I392" s="52" t="s">
        <v>3166</v>
      </c>
      <c r="J392" s="46" t="s">
        <v>3235</v>
      </c>
      <c r="M392" s="53" t="s">
        <v>3236</v>
      </c>
      <c r="N392" s="55">
        <v>4254635</v>
      </c>
      <c r="O392" s="55"/>
    </row>
    <row r="393" spans="1:21">
      <c r="A393" s="47">
        <v>13848349</v>
      </c>
      <c r="B393" s="46" t="s">
        <v>652</v>
      </c>
      <c r="C393" s="46" t="s">
        <v>465</v>
      </c>
      <c r="D393" s="48">
        <v>21848</v>
      </c>
      <c r="E393" s="49">
        <f t="shared" ref="E393:E456" ca="1" si="7">IF(D393="","",YEARFRAC(D393,TODAY(),1))</f>
        <v>66.680355920602324</v>
      </c>
      <c r="F393" s="50">
        <v>156445831</v>
      </c>
      <c r="G393" s="51" t="s">
        <v>70</v>
      </c>
      <c r="I393" s="52" t="s">
        <v>23</v>
      </c>
      <c r="J393" s="46" t="s">
        <v>38</v>
      </c>
      <c r="M393" s="53" t="s">
        <v>6104</v>
      </c>
      <c r="N393" s="46">
        <v>4248016</v>
      </c>
    </row>
    <row r="394" spans="1:21">
      <c r="A394" s="47">
        <v>13848539</v>
      </c>
      <c r="B394" s="46" t="s">
        <v>3357</v>
      </c>
      <c r="C394" s="55" t="s">
        <v>2595</v>
      </c>
      <c r="D394" s="48">
        <v>22016</v>
      </c>
      <c r="E394" s="49">
        <f t="shared" ca="1" si="7"/>
        <v>66.219720496894411</v>
      </c>
      <c r="F394" s="50">
        <v>153532816</v>
      </c>
      <c r="G394" s="51" t="s">
        <v>23</v>
      </c>
      <c r="I394" s="52" t="s">
        <v>3327</v>
      </c>
      <c r="J394" s="55" t="s">
        <v>3358</v>
      </c>
      <c r="K394" s="55"/>
      <c r="L394" s="55"/>
      <c r="M394" s="53" t="s">
        <v>3359</v>
      </c>
      <c r="N394" s="55"/>
      <c r="O394" s="55"/>
    </row>
    <row r="395" spans="1:21">
      <c r="A395" s="47">
        <v>13848739</v>
      </c>
      <c r="B395" s="46" t="s">
        <v>3357</v>
      </c>
      <c r="C395" s="52" t="s">
        <v>233</v>
      </c>
      <c r="D395" s="48">
        <v>21959</v>
      </c>
      <c r="E395" s="49">
        <f t="shared" ca="1" si="7"/>
        <v>66.375776397515537</v>
      </c>
      <c r="F395" s="50">
        <v>155908247</v>
      </c>
      <c r="G395" s="51" t="s">
        <v>23</v>
      </c>
      <c r="I395" s="52" t="s">
        <v>24</v>
      </c>
      <c r="J395" s="46" t="s">
        <v>234</v>
      </c>
      <c r="M395" s="53" t="s">
        <v>235</v>
      </c>
      <c r="N395" s="55">
        <v>4107540</v>
      </c>
      <c r="O395" s="55">
        <v>7540</v>
      </c>
    </row>
    <row r="396" spans="1:21">
      <c r="A396" s="47">
        <v>13848770</v>
      </c>
      <c r="B396" s="46" t="s">
        <v>476</v>
      </c>
      <c r="C396" s="52" t="s">
        <v>2268</v>
      </c>
      <c r="D396" s="48">
        <v>22013</v>
      </c>
      <c r="E396" s="49">
        <f t="shared" ca="1" si="7"/>
        <v>66.227933965348157</v>
      </c>
      <c r="F396" s="50">
        <v>155703973</v>
      </c>
      <c r="G396" s="51" t="s">
        <v>23</v>
      </c>
      <c r="I396" s="52" t="s">
        <v>1881</v>
      </c>
      <c r="J396" s="46" t="s">
        <v>2269</v>
      </c>
      <c r="M396" s="58" t="s">
        <v>25</v>
      </c>
      <c r="N396" s="55"/>
      <c r="O396" s="55"/>
    </row>
    <row r="397" spans="1:21">
      <c r="A397" s="47">
        <v>13848916</v>
      </c>
      <c r="B397" s="46" t="s">
        <v>774</v>
      </c>
      <c r="C397" s="46" t="s">
        <v>1528</v>
      </c>
      <c r="E397" s="49" t="str">
        <f t="shared" ca="1" si="7"/>
        <v/>
      </c>
      <c r="F397" s="50">
        <v>154058865</v>
      </c>
      <c r="G397" s="51" t="s">
        <v>23</v>
      </c>
      <c r="I397" s="52" t="s">
        <v>1497</v>
      </c>
      <c r="J397" s="46" t="s">
        <v>224</v>
      </c>
      <c r="M397" s="53" t="s">
        <v>1529</v>
      </c>
    </row>
    <row r="398" spans="1:21">
      <c r="A398" s="47">
        <v>13849108</v>
      </c>
      <c r="B398" s="46" t="s">
        <v>3101</v>
      </c>
      <c r="C398" s="46" t="s">
        <v>3102</v>
      </c>
      <c r="D398" s="48" t="s">
        <v>52</v>
      </c>
      <c r="E398" s="49" t="str">
        <f t="shared" ca="1" si="7"/>
        <v/>
      </c>
      <c r="F398" s="50" t="s">
        <v>3103</v>
      </c>
      <c r="G398" s="51" t="s">
        <v>70</v>
      </c>
      <c r="H398" s="52" t="s">
        <v>52</v>
      </c>
      <c r="I398" s="52" t="s">
        <v>2926</v>
      </c>
      <c r="J398" s="46" t="s">
        <v>52</v>
      </c>
      <c r="K398" s="46" t="s">
        <v>57</v>
      </c>
      <c r="L398" s="46" t="s">
        <v>52</v>
      </c>
      <c r="M398" s="52" t="s">
        <v>582</v>
      </c>
      <c r="N398" s="46" t="s">
        <v>52</v>
      </c>
      <c r="O398" s="46" t="s">
        <v>52</v>
      </c>
      <c r="P398" s="46" t="s">
        <v>59</v>
      </c>
      <c r="Q398" s="46" t="s">
        <v>60</v>
      </c>
      <c r="R398" s="46" t="s">
        <v>61</v>
      </c>
      <c r="S398" s="46" t="s">
        <v>62</v>
      </c>
      <c r="T398" s="46" t="s">
        <v>12</v>
      </c>
      <c r="U398" s="46" t="s">
        <v>63</v>
      </c>
    </row>
    <row r="399" spans="1:21">
      <c r="A399" s="47">
        <v>13853436</v>
      </c>
      <c r="B399" s="46" t="s">
        <v>723</v>
      </c>
      <c r="C399" s="55" t="s">
        <v>724</v>
      </c>
      <c r="D399" s="48">
        <v>22233</v>
      </c>
      <c r="E399" s="49">
        <f t="shared" ca="1" si="7"/>
        <v>65.625612945406999</v>
      </c>
      <c r="F399" s="50">
        <v>155454738</v>
      </c>
      <c r="G399" s="51" t="s">
        <v>37</v>
      </c>
      <c r="I399" s="52" t="s">
        <v>594</v>
      </c>
      <c r="M399" s="58" t="s">
        <v>25</v>
      </c>
    </row>
    <row r="400" spans="1:21">
      <c r="A400" s="47">
        <v>13877224</v>
      </c>
      <c r="B400" s="46" t="s">
        <v>3204</v>
      </c>
      <c r="C400" s="52" t="s">
        <v>3205</v>
      </c>
      <c r="D400" s="48">
        <v>21980</v>
      </c>
      <c r="E400" s="49">
        <f t="shared" ca="1" si="7"/>
        <v>66.318282118339326</v>
      </c>
      <c r="F400" s="50">
        <v>156439548</v>
      </c>
      <c r="G400" s="51" t="s">
        <v>23</v>
      </c>
      <c r="I400" s="52" t="s">
        <v>3166</v>
      </c>
      <c r="J400" s="46" t="s">
        <v>3206</v>
      </c>
      <c r="M400" s="53" t="s">
        <v>3207</v>
      </c>
      <c r="N400" s="55"/>
      <c r="O400" s="55"/>
    </row>
    <row r="401" spans="1:21">
      <c r="A401" s="47">
        <v>13950808</v>
      </c>
      <c r="B401" s="46" t="s">
        <v>128</v>
      </c>
      <c r="C401" s="52" t="s">
        <v>1649</v>
      </c>
      <c r="D401" s="48">
        <v>22237</v>
      </c>
      <c r="E401" s="49">
        <f t="shared" ca="1" si="7"/>
        <v>65.614661654135347</v>
      </c>
      <c r="F401" s="50">
        <v>156299550</v>
      </c>
      <c r="G401" s="51" t="s">
        <v>23</v>
      </c>
      <c r="I401" s="52" t="s">
        <v>23</v>
      </c>
      <c r="J401" s="46" t="s">
        <v>6033</v>
      </c>
      <c r="M401" s="58" t="s">
        <v>25</v>
      </c>
      <c r="N401" s="55">
        <v>4247752</v>
      </c>
      <c r="O401" s="55">
        <v>7283</v>
      </c>
    </row>
    <row r="402" spans="1:21">
      <c r="A402" s="47">
        <v>13985936</v>
      </c>
      <c r="B402" s="46" t="s">
        <v>195</v>
      </c>
      <c r="C402" s="52" t="s">
        <v>6088</v>
      </c>
      <c r="E402" s="49" t="str">
        <f t="shared" ca="1" si="7"/>
        <v/>
      </c>
      <c r="F402" s="50">
        <v>156711217</v>
      </c>
      <c r="G402" s="51" t="s">
        <v>70</v>
      </c>
      <c r="I402" s="52" t="s">
        <v>23</v>
      </c>
      <c r="J402" s="46" t="s">
        <v>2300</v>
      </c>
      <c r="M402" s="53" t="s">
        <v>2660</v>
      </c>
      <c r="N402" s="55" t="s">
        <v>6089</v>
      </c>
      <c r="O402" s="55"/>
    </row>
    <row r="403" spans="1:21">
      <c r="A403" s="47">
        <v>13989089</v>
      </c>
      <c r="B403" s="46" t="s">
        <v>2307</v>
      </c>
      <c r="C403" s="46" t="s">
        <v>2308</v>
      </c>
      <c r="D403" s="48">
        <v>22170</v>
      </c>
      <c r="E403" s="49">
        <f t="shared" ca="1" si="7"/>
        <v>65.798095782935604</v>
      </c>
      <c r="F403" s="50">
        <v>154411250</v>
      </c>
      <c r="G403" s="51" t="s">
        <v>352</v>
      </c>
      <c r="I403" s="52" t="s">
        <v>1881</v>
      </c>
      <c r="J403" s="46" t="s">
        <v>38</v>
      </c>
      <c r="M403" s="53" t="s">
        <v>2309</v>
      </c>
      <c r="N403" s="46">
        <v>4107573</v>
      </c>
      <c r="P403" s="46">
        <v>3</v>
      </c>
    </row>
    <row r="404" spans="1:21">
      <c r="A404" s="47">
        <v>14023565</v>
      </c>
      <c r="B404" s="46" t="s">
        <v>5281</v>
      </c>
      <c r="C404" s="52" t="s">
        <v>5282</v>
      </c>
      <c r="D404" s="48" t="s">
        <v>52</v>
      </c>
      <c r="E404" s="49" t="str">
        <f t="shared" ca="1" si="7"/>
        <v/>
      </c>
      <c r="F404" s="50" t="s">
        <v>5283</v>
      </c>
      <c r="G404" s="51" t="s">
        <v>70</v>
      </c>
      <c r="H404" s="52" t="s">
        <v>5284</v>
      </c>
      <c r="I404" s="52" t="s">
        <v>5259</v>
      </c>
      <c r="J404" s="46" t="s">
        <v>52</v>
      </c>
      <c r="K404" s="46" t="s">
        <v>81</v>
      </c>
      <c r="L404" s="46" t="s">
        <v>1732</v>
      </c>
      <c r="M404" s="53" t="s">
        <v>5285</v>
      </c>
      <c r="N404" s="55" t="s">
        <v>52</v>
      </c>
      <c r="O404" s="55" t="s">
        <v>52</v>
      </c>
      <c r="P404" s="46" t="s">
        <v>59</v>
      </c>
      <c r="Q404" s="46" t="s">
        <v>60</v>
      </c>
      <c r="R404" s="46" t="s">
        <v>61</v>
      </c>
      <c r="S404" s="46" t="s">
        <v>62</v>
      </c>
      <c r="T404" s="46" t="s">
        <v>12</v>
      </c>
      <c r="U404" s="46" t="s">
        <v>63</v>
      </c>
    </row>
    <row r="405" spans="1:21">
      <c r="A405" s="47">
        <v>14023732</v>
      </c>
      <c r="B405" s="46" t="s">
        <v>6026</v>
      </c>
      <c r="C405" s="52" t="s">
        <v>1672</v>
      </c>
      <c r="E405" s="49" t="str">
        <f t="shared" ca="1" si="7"/>
        <v/>
      </c>
      <c r="F405" s="50">
        <v>154697593</v>
      </c>
      <c r="G405" s="51" t="s">
        <v>78</v>
      </c>
      <c r="I405" s="52" t="s">
        <v>23</v>
      </c>
      <c r="J405" s="46" t="s">
        <v>6027</v>
      </c>
      <c r="M405" s="53" t="s">
        <v>6028</v>
      </c>
      <c r="N405" s="55">
        <v>4107291</v>
      </c>
      <c r="O405" s="55"/>
    </row>
    <row r="406" spans="1:21">
      <c r="A406" s="47">
        <v>14023748</v>
      </c>
      <c r="B406" s="46" t="s">
        <v>774</v>
      </c>
      <c r="C406" s="46" t="s">
        <v>468</v>
      </c>
      <c r="D406" s="48">
        <v>22211</v>
      </c>
      <c r="E406" s="49">
        <f t="shared" ca="1" si="7"/>
        <v>65.685845047401116</v>
      </c>
      <c r="F406" s="50">
        <v>3816338026</v>
      </c>
      <c r="G406" s="51" t="s">
        <v>78</v>
      </c>
      <c r="I406" s="52" t="s">
        <v>3127</v>
      </c>
      <c r="J406" s="55" t="s">
        <v>3135</v>
      </c>
      <c r="K406" s="55"/>
      <c r="L406" s="55"/>
      <c r="M406" s="53" t="s">
        <v>3136</v>
      </c>
      <c r="N406" s="55">
        <v>4556119</v>
      </c>
      <c r="O406" s="55"/>
      <c r="P406" s="55" t="s">
        <v>1092</v>
      </c>
    </row>
    <row r="407" spans="1:21">
      <c r="A407" s="47">
        <v>14023907</v>
      </c>
      <c r="B407" s="46" t="s">
        <v>1534</v>
      </c>
      <c r="C407" s="46" t="s">
        <v>3209</v>
      </c>
      <c r="D407" s="48">
        <v>22140</v>
      </c>
      <c r="E407" s="49">
        <f t="shared" ca="1" si="7"/>
        <v>65.880230467473041</v>
      </c>
      <c r="F407" s="50">
        <v>155058943</v>
      </c>
      <c r="G407" s="51" t="s">
        <v>70</v>
      </c>
      <c r="I407" s="52" t="s">
        <v>3922</v>
      </c>
      <c r="M407" s="53" t="s">
        <v>3938</v>
      </c>
    </row>
    <row r="408" spans="1:21">
      <c r="A408" s="47">
        <v>14054878</v>
      </c>
      <c r="B408" s="46" t="s">
        <v>3169</v>
      </c>
      <c r="C408" s="46" t="s">
        <v>3170</v>
      </c>
      <c r="D408" s="48">
        <v>22090</v>
      </c>
      <c r="E408" s="49">
        <f t="shared" ca="1" si="7"/>
        <v>66.017121608368754</v>
      </c>
      <c r="F408" s="50">
        <v>154660355</v>
      </c>
      <c r="G408" s="51" t="s">
        <v>23</v>
      </c>
      <c r="I408" s="52" t="s">
        <v>3166</v>
      </c>
      <c r="M408" s="53" t="s">
        <v>3171</v>
      </c>
    </row>
    <row r="409" spans="1:21">
      <c r="A409" s="47">
        <v>14058628</v>
      </c>
      <c r="B409" s="46" t="s">
        <v>6086</v>
      </c>
      <c r="C409" s="52" t="s">
        <v>1072</v>
      </c>
      <c r="E409" s="49" t="str">
        <f t="shared" ca="1" si="7"/>
        <v/>
      </c>
      <c r="G409" s="51" t="s">
        <v>23</v>
      </c>
      <c r="I409" s="52" t="s">
        <v>23</v>
      </c>
      <c r="M409" s="58" t="s">
        <v>25</v>
      </c>
      <c r="N409" s="55"/>
      <c r="O409" s="55"/>
    </row>
    <row r="410" spans="1:21">
      <c r="A410" s="47">
        <v>14073021</v>
      </c>
      <c r="B410" s="46" t="s">
        <v>218</v>
      </c>
      <c r="C410" s="52" t="s">
        <v>1085</v>
      </c>
      <c r="D410" s="48">
        <v>22226</v>
      </c>
      <c r="E410" s="49">
        <f t="shared" ca="1" si="7"/>
        <v>65.644777705132398</v>
      </c>
      <c r="F410" s="50">
        <v>155000609</v>
      </c>
      <c r="G410" s="51" t="s">
        <v>70</v>
      </c>
      <c r="I410" s="59" t="s">
        <v>908</v>
      </c>
      <c r="M410" s="53" t="s">
        <v>1086</v>
      </c>
      <c r="N410" s="55">
        <v>4247752</v>
      </c>
      <c r="O410" s="55">
        <v>7069</v>
      </c>
    </row>
    <row r="411" spans="1:21">
      <c r="A411" s="47">
        <v>14073031</v>
      </c>
      <c r="B411" s="46" t="s">
        <v>541</v>
      </c>
      <c r="C411" s="46" t="s">
        <v>2382</v>
      </c>
      <c r="D411" s="48" t="s">
        <v>52</v>
      </c>
      <c r="E411" s="49" t="str">
        <f t="shared" ca="1" si="7"/>
        <v/>
      </c>
      <c r="F411" s="50" t="s">
        <v>2383</v>
      </c>
      <c r="G411" s="51" t="s">
        <v>141</v>
      </c>
      <c r="H411" s="52" t="s">
        <v>52</v>
      </c>
      <c r="I411" s="52" t="s">
        <v>1497</v>
      </c>
      <c r="J411" s="46" t="s">
        <v>2384</v>
      </c>
      <c r="K411" s="46" t="s">
        <v>81</v>
      </c>
      <c r="L411" s="46" t="s">
        <v>52</v>
      </c>
      <c r="M411" s="53" t="s">
        <v>2385</v>
      </c>
      <c r="N411" s="46" t="s">
        <v>52</v>
      </c>
      <c r="O411" s="46" t="s">
        <v>52</v>
      </c>
      <c r="P411" s="46" t="s">
        <v>59</v>
      </c>
      <c r="Q411" s="46" t="s">
        <v>60</v>
      </c>
      <c r="R411" s="46" t="s">
        <v>61</v>
      </c>
      <c r="S411" s="46" t="s">
        <v>62</v>
      </c>
      <c r="T411" s="46" t="s">
        <v>12</v>
      </c>
      <c r="U411" s="46" t="s">
        <v>63</v>
      </c>
    </row>
    <row r="412" spans="1:21">
      <c r="A412" s="47">
        <v>14073303</v>
      </c>
      <c r="B412" s="46" t="s">
        <v>1708</v>
      </c>
      <c r="C412" s="46" t="s">
        <v>1709</v>
      </c>
      <c r="E412" s="49" t="str">
        <f t="shared" ca="1" si="7"/>
        <v/>
      </c>
      <c r="F412" s="50">
        <v>154696025</v>
      </c>
      <c r="G412" s="51" t="s">
        <v>23</v>
      </c>
      <c r="I412" s="52" t="s">
        <v>1657</v>
      </c>
      <c r="M412" s="58" t="s">
        <v>25</v>
      </c>
    </row>
    <row r="413" spans="1:21">
      <c r="A413" s="47">
        <v>14073446</v>
      </c>
      <c r="B413" s="46" t="s">
        <v>288</v>
      </c>
      <c r="C413" s="55" t="s">
        <v>3757</v>
      </c>
      <c r="D413" s="48">
        <v>22096</v>
      </c>
      <c r="E413" s="49">
        <f t="shared" ca="1" si="7"/>
        <v>66.000694671461261</v>
      </c>
      <c r="F413" s="50">
        <v>155639931</v>
      </c>
      <c r="G413" s="51" t="s">
        <v>141</v>
      </c>
      <c r="I413" s="52" t="s">
        <v>3630</v>
      </c>
      <c r="J413" s="55"/>
      <c r="K413" s="55"/>
      <c r="L413" s="55"/>
      <c r="M413" s="53" t="s">
        <v>3758</v>
      </c>
      <c r="N413" s="55">
        <v>4847353</v>
      </c>
      <c r="O413" s="55"/>
    </row>
    <row r="414" spans="1:21">
      <c r="A414" s="47">
        <v>14073492</v>
      </c>
      <c r="B414" s="46" t="s">
        <v>2183</v>
      </c>
      <c r="C414" s="46" t="s">
        <v>2184</v>
      </c>
      <c r="D414" s="48">
        <v>22216</v>
      </c>
      <c r="E414" s="49">
        <f t="shared" ca="1" si="7"/>
        <v>65.672155933311544</v>
      </c>
      <c r="F414" s="50">
        <v>155301768</v>
      </c>
      <c r="G414" s="51" t="s">
        <v>78</v>
      </c>
      <c r="I414" s="52" t="s">
        <v>1881</v>
      </c>
      <c r="J414" s="46" t="s">
        <v>2185</v>
      </c>
      <c r="M414" s="53" t="s">
        <v>2186</v>
      </c>
      <c r="N414" s="46">
        <v>41076576</v>
      </c>
      <c r="P414" s="46">
        <v>3</v>
      </c>
    </row>
    <row r="415" spans="1:21">
      <c r="A415" s="47">
        <v>14073571</v>
      </c>
      <c r="B415" s="46" t="s">
        <v>1190</v>
      </c>
      <c r="C415" s="52" t="s">
        <v>922</v>
      </c>
      <c r="D415" s="48">
        <v>22141</v>
      </c>
      <c r="E415" s="49">
        <f t="shared" ca="1" si="7"/>
        <v>65.877492644655121</v>
      </c>
      <c r="F415" s="50">
        <v>154439423</v>
      </c>
      <c r="G415" s="51" t="s">
        <v>23</v>
      </c>
      <c r="I415" s="52" t="s">
        <v>1881</v>
      </c>
      <c r="J415" s="46" t="s">
        <v>2207</v>
      </c>
      <c r="M415" s="53" t="s">
        <v>2208</v>
      </c>
      <c r="N415" s="55"/>
      <c r="O415" s="55"/>
    </row>
    <row r="416" spans="1:21">
      <c r="A416" s="47">
        <v>14073844</v>
      </c>
      <c r="B416" s="46" t="s">
        <v>428</v>
      </c>
      <c r="C416" s="46" t="s">
        <v>1200</v>
      </c>
      <c r="D416" s="48">
        <v>22199</v>
      </c>
      <c r="E416" s="49">
        <f t="shared" ca="1" si="7"/>
        <v>65.718698921216088</v>
      </c>
      <c r="F416" s="50">
        <v>3814183690</v>
      </c>
      <c r="G416" s="51" t="s">
        <v>70</v>
      </c>
      <c r="I416" s="59" t="s">
        <v>908</v>
      </c>
      <c r="J416" s="46" t="s">
        <v>1030</v>
      </c>
      <c r="M416" s="53" t="s">
        <v>1201</v>
      </c>
      <c r="N416" s="46">
        <v>4107203</v>
      </c>
      <c r="O416" s="46">
        <v>7203</v>
      </c>
    </row>
    <row r="417" spans="1:21">
      <c r="A417" s="47">
        <v>14073888</v>
      </c>
      <c r="B417" s="46" t="s">
        <v>2496</v>
      </c>
      <c r="C417" s="55" t="s">
        <v>2497</v>
      </c>
      <c r="D417" s="48">
        <v>22108</v>
      </c>
      <c r="E417" s="49">
        <f t="shared" ca="1" si="7"/>
        <v>65.967840797646289</v>
      </c>
      <c r="F417" s="50">
        <v>155094203</v>
      </c>
      <c r="G417" s="51" t="s">
        <v>70</v>
      </c>
      <c r="I417" s="59" t="s">
        <v>908</v>
      </c>
      <c r="J417" s="55"/>
      <c r="K417" s="55"/>
      <c r="L417" s="55"/>
      <c r="M417" s="53" t="s">
        <v>2498</v>
      </c>
      <c r="N417" s="55">
        <v>4219975</v>
      </c>
      <c r="O417" s="55">
        <v>36</v>
      </c>
    </row>
    <row r="418" spans="1:21">
      <c r="A418" s="47">
        <v>14083053</v>
      </c>
      <c r="B418" s="46" t="s">
        <v>327</v>
      </c>
      <c r="C418" s="46" t="s">
        <v>5295</v>
      </c>
      <c r="D418" s="48">
        <v>22101</v>
      </c>
      <c r="E418" s="49">
        <f t="shared" ca="1" si="7"/>
        <v>65.987005557371688</v>
      </c>
      <c r="F418" s="50">
        <v>156784354</v>
      </c>
      <c r="G418" s="51" t="s">
        <v>141</v>
      </c>
      <c r="I418" s="52" t="s">
        <v>5292</v>
      </c>
      <c r="M418" s="58" t="s">
        <v>25</v>
      </c>
      <c r="N418" s="46">
        <v>4247752</v>
      </c>
      <c r="O418" s="46">
        <v>7123</v>
      </c>
      <c r="P418" s="46" t="s">
        <v>1092</v>
      </c>
    </row>
    <row r="419" spans="1:21">
      <c r="A419" s="64">
        <v>14083292</v>
      </c>
      <c r="B419" s="61" t="s">
        <v>476</v>
      </c>
      <c r="C419" s="62" t="s">
        <v>2043</v>
      </c>
      <c r="D419" s="48">
        <v>21175</v>
      </c>
      <c r="E419" s="49">
        <f t="shared" ca="1" si="7"/>
        <v>68.524269566237734</v>
      </c>
      <c r="F419" s="63">
        <v>156834601</v>
      </c>
      <c r="G419" s="51" t="s">
        <v>23</v>
      </c>
      <c r="I419" s="65" t="s">
        <v>4954</v>
      </c>
      <c r="J419" s="61" t="s">
        <v>48</v>
      </c>
      <c r="K419" s="61"/>
      <c r="L419" s="61"/>
      <c r="M419" s="58" t="s">
        <v>25</v>
      </c>
      <c r="N419" s="55"/>
      <c r="O419" s="55"/>
    </row>
    <row r="420" spans="1:21">
      <c r="A420" s="47">
        <v>14083332</v>
      </c>
      <c r="B420" s="46" t="s">
        <v>2310</v>
      </c>
      <c r="C420" s="52" t="s">
        <v>6458</v>
      </c>
      <c r="D420" s="48">
        <v>22061</v>
      </c>
      <c r="E420" s="49">
        <f t="shared" ca="1" si="7"/>
        <v>66.09651847008827</v>
      </c>
      <c r="F420" s="50">
        <v>155014226</v>
      </c>
      <c r="G420" s="51" t="s">
        <v>23</v>
      </c>
      <c r="I420" s="52" t="s">
        <v>23</v>
      </c>
      <c r="J420" s="46" t="s">
        <v>38</v>
      </c>
      <c r="M420" s="58" t="s">
        <v>25</v>
      </c>
      <c r="N420" s="55">
        <v>4360076</v>
      </c>
      <c r="O420" s="55"/>
    </row>
    <row r="421" spans="1:21">
      <c r="A421" s="47">
        <v>14083362</v>
      </c>
      <c r="B421" s="46" t="s">
        <v>734</v>
      </c>
      <c r="C421" s="52" t="s">
        <v>4629</v>
      </c>
      <c r="D421" s="48">
        <v>22101</v>
      </c>
      <c r="E421" s="49">
        <f t="shared" ca="1" si="7"/>
        <v>65.987005557371688</v>
      </c>
      <c r="F421" s="50">
        <v>155549455</v>
      </c>
      <c r="G421" s="51" t="s">
        <v>23</v>
      </c>
      <c r="I421" s="52" t="s">
        <v>4499</v>
      </c>
      <c r="J421" s="46" t="s">
        <v>316</v>
      </c>
      <c r="M421" s="53" t="s">
        <v>4630</v>
      </c>
      <c r="N421" s="55">
        <v>4227589</v>
      </c>
      <c r="O421" s="55">
        <v>7476</v>
      </c>
    </row>
    <row r="422" spans="1:21">
      <c r="A422" s="47">
        <v>14083636</v>
      </c>
      <c r="B422" s="46" t="s">
        <v>4204</v>
      </c>
      <c r="C422" s="46" t="s">
        <v>2826</v>
      </c>
      <c r="D422" s="48">
        <v>22039</v>
      </c>
      <c r="E422" s="49">
        <f t="shared" ca="1" si="7"/>
        <v>66.156750572082387</v>
      </c>
      <c r="F422" s="50">
        <v>154015067</v>
      </c>
      <c r="G422" s="51" t="s">
        <v>70</v>
      </c>
      <c r="I422" s="52" t="s">
        <v>4181</v>
      </c>
      <c r="J422" s="46" t="s">
        <v>3499</v>
      </c>
      <c r="M422" s="52" t="s">
        <v>4205</v>
      </c>
      <c r="P422" s="46">
        <v>3</v>
      </c>
    </row>
    <row r="423" spans="1:21">
      <c r="A423" s="47">
        <v>14083828</v>
      </c>
      <c r="B423" s="46" t="s">
        <v>3435</v>
      </c>
      <c r="C423" s="52" t="s">
        <v>3436</v>
      </c>
      <c r="E423" s="49" t="str">
        <f t="shared" ca="1" si="7"/>
        <v/>
      </c>
      <c r="G423" s="51" t="s">
        <v>23</v>
      </c>
      <c r="I423" s="52" t="s">
        <v>3427</v>
      </c>
      <c r="J423" s="46" t="s">
        <v>3437</v>
      </c>
      <c r="M423" s="58" t="s">
        <v>25</v>
      </c>
      <c r="N423" s="55" t="s">
        <v>3438</v>
      </c>
      <c r="O423" s="55"/>
    </row>
    <row r="424" spans="1:21">
      <c r="A424" s="47">
        <v>14084324</v>
      </c>
      <c r="B424" s="46" t="s">
        <v>1119</v>
      </c>
      <c r="C424" s="52" t="s">
        <v>1061</v>
      </c>
      <c r="D424" s="48">
        <v>22047</v>
      </c>
      <c r="E424" s="49">
        <f t="shared" ca="1" si="7"/>
        <v>66.134847989539068</v>
      </c>
      <c r="G424" s="51" t="s">
        <v>23</v>
      </c>
      <c r="I424" s="59" t="s">
        <v>908</v>
      </c>
      <c r="J424" s="46" t="s">
        <v>1120</v>
      </c>
      <c r="M424" s="53" t="s">
        <v>1121</v>
      </c>
      <c r="N424" s="55">
        <v>4248169</v>
      </c>
      <c r="O424" s="55"/>
    </row>
    <row r="425" spans="1:21">
      <c r="A425" s="47">
        <v>14084589</v>
      </c>
      <c r="B425" s="46" t="s">
        <v>875</v>
      </c>
      <c r="C425" s="55" t="s">
        <v>1829</v>
      </c>
      <c r="D425" s="48">
        <v>22147</v>
      </c>
      <c r="E425" s="49">
        <f t="shared" ca="1" si="7"/>
        <v>65.861065707747628</v>
      </c>
      <c r="F425" s="50">
        <v>154021303</v>
      </c>
      <c r="G425" s="51" t="s">
        <v>70</v>
      </c>
      <c r="I425" s="52" t="s">
        <v>1657</v>
      </c>
      <c r="J425" s="55" t="s">
        <v>637</v>
      </c>
      <c r="K425" s="55"/>
      <c r="L425" s="55"/>
      <c r="M425" s="53" t="s">
        <v>1830</v>
      </c>
      <c r="N425" s="55">
        <v>4364093</v>
      </c>
      <c r="O425" s="55">
        <v>7601</v>
      </c>
    </row>
    <row r="426" spans="1:21">
      <c r="A426" s="47">
        <v>14084778</v>
      </c>
      <c r="B426" s="46" t="s">
        <v>5051</v>
      </c>
      <c r="C426" s="52" t="s">
        <v>5052</v>
      </c>
      <c r="D426" s="48">
        <v>22103</v>
      </c>
      <c r="E426" s="49">
        <f t="shared" ca="1" si="7"/>
        <v>65.981529911735862</v>
      </c>
      <c r="G426" s="51" t="s">
        <v>23</v>
      </c>
      <c r="I426" s="52" t="s">
        <v>4954</v>
      </c>
      <c r="J426" s="46" t="s">
        <v>5053</v>
      </c>
      <c r="M426" s="58" t="s">
        <v>25</v>
      </c>
      <c r="N426" s="55"/>
      <c r="O426" s="55"/>
    </row>
    <row r="427" spans="1:21">
      <c r="A427" s="47">
        <v>14176029</v>
      </c>
      <c r="B427" s="46" t="s">
        <v>339</v>
      </c>
      <c r="C427" s="52" t="s">
        <v>340</v>
      </c>
      <c r="D427" s="48">
        <v>22182</v>
      </c>
      <c r="E427" s="49">
        <f t="shared" ca="1" si="7"/>
        <v>65.765241909120633</v>
      </c>
      <c r="G427" s="51" t="s">
        <v>23</v>
      </c>
      <c r="I427" s="52" t="s">
        <v>24</v>
      </c>
      <c r="M427" s="53" t="s">
        <v>341</v>
      </c>
      <c r="N427" s="55"/>
      <c r="O427" s="55"/>
    </row>
    <row r="428" spans="1:21">
      <c r="A428" s="47">
        <v>14225046</v>
      </c>
      <c r="B428" s="46" t="s">
        <v>350</v>
      </c>
      <c r="C428" s="46" t="s">
        <v>2322</v>
      </c>
      <c r="D428" s="48" t="s">
        <v>2323</v>
      </c>
      <c r="E428" s="49">
        <f t="shared" ca="1" si="7"/>
        <v>65.521575678326258</v>
      </c>
      <c r="F428" s="50" t="s">
        <v>2324</v>
      </c>
      <c r="G428" s="51" t="s">
        <v>70</v>
      </c>
      <c r="H428" s="52" t="s">
        <v>2325</v>
      </c>
      <c r="I428" s="52" t="s">
        <v>1881</v>
      </c>
      <c r="J428" s="46" t="s">
        <v>2127</v>
      </c>
      <c r="K428" s="46" t="s">
        <v>81</v>
      </c>
      <c r="L428" s="46" t="s">
        <v>546</v>
      </c>
      <c r="M428" s="52" t="s">
        <v>2326</v>
      </c>
      <c r="N428" s="46" t="s">
        <v>2327</v>
      </c>
      <c r="O428" s="46" t="s">
        <v>2328</v>
      </c>
      <c r="P428" s="46" t="s">
        <v>59</v>
      </c>
      <c r="Q428" s="46" t="s">
        <v>60</v>
      </c>
      <c r="R428" s="46" t="s">
        <v>61</v>
      </c>
      <c r="S428" s="46" t="s">
        <v>62</v>
      </c>
      <c r="T428" s="46" t="s">
        <v>12</v>
      </c>
      <c r="U428" s="46" t="s">
        <v>63</v>
      </c>
    </row>
    <row r="429" spans="1:21">
      <c r="A429" s="47">
        <v>14225164</v>
      </c>
      <c r="B429" s="46" t="s">
        <v>1833</v>
      </c>
      <c r="C429" s="46" t="s">
        <v>2102</v>
      </c>
      <c r="D429" s="48" t="s">
        <v>52</v>
      </c>
      <c r="E429" s="49" t="str">
        <f t="shared" ca="1" si="7"/>
        <v/>
      </c>
      <c r="F429" s="50" t="s">
        <v>4904</v>
      </c>
      <c r="G429" s="51" t="s">
        <v>70</v>
      </c>
      <c r="H429" s="52" t="s">
        <v>2656</v>
      </c>
      <c r="I429" s="52" t="s">
        <v>4815</v>
      </c>
      <c r="J429" s="46" t="s">
        <v>4905</v>
      </c>
      <c r="K429" s="46" t="s">
        <v>52</v>
      </c>
      <c r="L429" s="46" t="s">
        <v>1314</v>
      </c>
      <c r="M429" s="52" t="s">
        <v>4906</v>
      </c>
      <c r="N429" s="46" t="s">
        <v>4835</v>
      </c>
      <c r="O429" s="46" t="s">
        <v>52</v>
      </c>
      <c r="P429" s="46" t="s">
        <v>59</v>
      </c>
      <c r="Q429" s="46" t="s">
        <v>60</v>
      </c>
      <c r="R429" s="46" t="s">
        <v>61</v>
      </c>
      <c r="S429" s="46" t="s">
        <v>62</v>
      </c>
      <c r="T429" s="46" t="s">
        <v>12</v>
      </c>
      <c r="U429" s="46" t="s">
        <v>63</v>
      </c>
    </row>
    <row r="430" spans="1:21">
      <c r="A430" s="47">
        <v>14225169</v>
      </c>
      <c r="B430" s="46" t="s">
        <v>1833</v>
      </c>
      <c r="C430" s="52" t="s">
        <v>2102</v>
      </c>
      <c r="E430" s="49" t="str">
        <f t="shared" ca="1" si="7"/>
        <v/>
      </c>
      <c r="G430" s="51" t="s">
        <v>23</v>
      </c>
      <c r="I430" s="52" t="s">
        <v>23</v>
      </c>
      <c r="M430" s="58" t="s">
        <v>25</v>
      </c>
      <c r="N430" s="55"/>
      <c r="O430" s="55"/>
    </row>
    <row r="431" spans="1:21">
      <c r="A431" s="47">
        <v>14225505</v>
      </c>
      <c r="B431" s="46" t="s">
        <v>260</v>
      </c>
      <c r="C431" s="52" t="s">
        <v>261</v>
      </c>
      <c r="D431" s="48" t="s">
        <v>52</v>
      </c>
      <c r="E431" s="49" t="str">
        <f t="shared" ca="1" si="7"/>
        <v/>
      </c>
      <c r="F431" s="50" t="s">
        <v>262</v>
      </c>
      <c r="G431" s="51" t="s">
        <v>86</v>
      </c>
      <c r="H431" s="52" t="s">
        <v>52</v>
      </c>
      <c r="I431" s="52" t="s">
        <v>24</v>
      </c>
      <c r="J431" s="46" t="s">
        <v>263</v>
      </c>
      <c r="K431" s="46" t="s">
        <v>81</v>
      </c>
      <c r="L431" s="46" t="s">
        <v>52</v>
      </c>
      <c r="M431" s="53" t="s">
        <v>264</v>
      </c>
      <c r="N431" s="55" t="s">
        <v>265</v>
      </c>
      <c r="O431" s="55" t="s">
        <v>266</v>
      </c>
      <c r="P431" s="46" t="s">
        <v>59</v>
      </c>
      <c r="Q431" s="46" t="s">
        <v>60</v>
      </c>
      <c r="R431" s="46" t="s">
        <v>61</v>
      </c>
      <c r="S431" s="46" t="s">
        <v>62</v>
      </c>
      <c r="T431" s="46" t="s">
        <v>12</v>
      </c>
      <c r="U431" s="46" t="s">
        <v>63</v>
      </c>
    </row>
    <row r="432" spans="1:21">
      <c r="A432" s="47">
        <v>14225522</v>
      </c>
      <c r="B432" s="46" t="s">
        <v>3182</v>
      </c>
      <c r="C432" s="46" t="s">
        <v>2218</v>
      </c>
      <c r="D432" s="48">
        <v>21989</v>
      </c>
      <c r="E432" s="49">
        <f t="shared" ca="1" si="7"/>
        <v>66.293641712978101</v>
      </c>
      <c r="F432" s="50">
        <v>156062353</v>
      </c>
      <c r="G432" s="51" t="s">
        <v>141</v>
      </c>
      <c r="I432" s="52" t="s">
        <v>5292</v>
      </c>
      <c r="M432" s="53" t="s">
        <v>5293</v>
      </c>
      <c r="N432" s="46">
        <v>4247752</v>
      </c>
      <c r="O432" s="46">
        <v>7123</v>
      </c>
      <c r="P432" s="46">
        <v>1</v>
      </c>
    </row>
    <row r="433" spans="1:21">
      <c r="A433" s="64">
        <v>14225547</v>
      </c>
      <c r="B433" s="61" t="s">
        <v>857</v>
      </c>
      <c r="C433" s="62" t="s">
        <v>858</v>
      </c>
      <c r="D433" s="48">
        <v>22357</v>
      </c>
      <c r="E433" s="49">
        <f t="shared" ca="1" si="7"/>
        <v>65.288144030531811</v>
      </c>
      <c r="F433" s="63">
        <v>156335659</v>
      </c>
      <c r="G433" s="51" t="s">
        <v>23</v>
      </c>
      <c r="I433" s="52" t="s">
        <v>848</v>
      </c>
      <c r="J433" s="61" t="s">
        <v>859</v>
      </c>
      <c r="K433" s="61"/>
      <c r="L433" s="61"/>
      <c r="M433" s="53" t="s">
        <v>860</v>
      </c>
      <c r="N433" s="55"/>
      <c r="O433" s="55"/>
    </row>
    <row r="434" spans="1:21">
      <c r="A434" s="47">
        <v>14225645</v>
      </c>
      <c r="B434" s="46" t="s">
        <v>3311</v>
      </c>
      <c r="C434" s="46" t="s">
        <v>3312</v>
      </c>
      <c r="D434" s="48">
        <v>22374</v>
      </c>
      <c r="E434" s="49">
        <f t="shared" ca="1" si="7"/>
        <v>65.241599601758892</v>
      </c>
      <c r="F434" s="50">
        <v>155973115</v>
      </c>
      <c r="G434" s="51" t="s">
        <v>78</v>
      </c>
      <c r="I434" s="52" t="s">
        <v>3287</v>
      </c>
      <c r="J434" s="46" t="s">
        <v>3313</v>
      </c>
      <c r="M434" s="53" t="s">
        <v>3314</v>
      </c>
    </row>
    <row r="435" spans="1:21">
      <c r="A435" s="64">
        <v>14225922</v>
      </c>
      <c r="B435" s="61" t="s">
        <v>207</v>
      </c>
      <c r="C435" s="62" t="s">
        <v>27</v>
      </c>
      <c r="D435" s="48" t="s">
        <v>52</v>
      </c>
      <c r="E435" s="49" t="str">
        <f t="shared" ca="1" si="7"/>
        <v/>
      </c>
      <c r="F435" s="63" t="s">
        <v>1729</v>
      </c>
      <c r="G435" s="51" t="s">
        <v>70</v>
      </c>
      <c r="H435" s="52" t="s">
        <v>1730</v>
      </c>
      <c r="I435" s="52" t="s">
        <v>1657</v>
      </c>
      <c r="J435" s="61" t="s">
        <v>1731</v>
      </c>
      <c r="K435" s="61" t="s">
        <v>81</v>
      </c>
      <c r="L435" s="61" t="s">
        <v>1732</v>
      </c>
      <c r="M435" s="53" t="s">
        <v>1733</v>
      </c>
      <c r="N435" s="55" t="s">
        <v>1714</v>
      </c>
      <c r="O435" s="55" t="s">
        <v>52</v>
      </c>
      <c r="P435" s="46" t="s">
        <v>59</v>
      </c>
      <c r="Q435" s="46" t="s">
        <v>60</v>
      </c>
      <c r="R435" s="46" t="s">
        <v>61</v>
      </c>
      <c r="S435" s="46" t="s">
        <v>62</v>
      </c>
      <c r="T435" s="46" t="s">
        <v>12</v>
      </c>
      <c r="U435" s="46" t="s">
        <v>63</v>
      </c>
    </row>
    <row r="436" spans="1:21">
      <c r="A436" s="47">
        <v>14226009</v>
      </c>
      <c r="B436" s="46" t="s">
        <v>1038</v>
      </c>
      <c r="C436" s="52" t="s">
        <v>165</v>
      </c>
      <c r="D436" s="48">
        <v>22392</v>
      </c>
      <c r="E436" s="49">
        <f t="shared" ca="1" si="7"/>
        <v>65.192317265411106</v>
      </c>
      <c r="F436" s="50">
        <v>156815855</v>
      </c>
      <c r="G436" s="51" t="s">
        <v>70</v>
      </c>
      <c r="I436" s="59" t="s">
        <v>908</v>
      </c>
      <c r="J436" s="46" t="s">
        <v>762</v>
      </c>
      <c r="M436" s="53" t="s">
        <v>1039</v>
      </c>
      <c r="N436" s="55">
        <v>4107201</v>
      </c>
      <c r="O436" s="55">
        <v>7201</v>
      </c>
    </row>
    <row r="437" spans="1:21">
      <c r="A437" s="47">
        <v>14226015</v>
      </c>
      <c r="B437" s="46" t="s">
        <v>4418</v>
      </c>
      <c r="C437" s="46" t="s">
        <v>97</v>
      </c>
      <c r="D437" s="48" t="s">
        <v>52</v>
      </c>
      <c r="E437" s="49" t="str">
        <f t="shared" ca="1" si="7"/>
        <v/>
      </c>
      <c r="F437" s="50" t="s">
        <v>4419</v>
      </c>
      <c r="G437" s="51" t="s">
        <v>70</v>
      </c>
      <c r="H437" s="52" t="s">
        <v>4420</v>
      </c>
      <c r="I437" s="52" t="s">
        <v>4245</v>
      </c>
      <c r="J437" s="46" t="s">
        <v>4421</v>
      </c>
      <c r="K437" s="46" t="s">
        <v>390</v>
      </c>
      <c r="L437" s="46" t="s">
        <v>52</v>
      </c>
      <c r="M437" s="53" t="s">
        <v>4422</v>
      </c>
      <c r="N437" s="46" t="s">
        <v>4423</v>
      </c>
      <c r="O437" s="46" t="s">
        <v>52</v>
      </c>
      <c r="P437" s="46" t="s">
        <v>59</v>
      </c>
      <c r="Q437" s="46" t="s">
        <v>60</v>
      </c>
      <c r="R437" s="46" t="s">
        <v>61</v>
      </c>
      <c r="S437" s="46" t="s">
        <v>62</v>
      </c>
      <c r="T437" s="46" t="s">
        <v>12</v>
      </c>
      <c r="U437" s="46" t="s">
        <v>63</v>
      </c>
    </row>
    <row r="438" spans="1:21">
      <c r="A438" s="47">
        <v>14226057</v>
      </c>
      <c r="B438" s="46" t="s">
        <v>5793</v>
      </c>
      <c r="C438" s="52" t="s">
        <v>5794</v>
      </c>
      <c r="D438" s="48">
        <v>22324</v>
      </c>
      <c r="E438" s="49">
        <f t="shared" ca="1" si="7"/>
        <v>65.378494980502779</v>
      </c>
      <c r="G438" s="51" t="s">
        <v>141</v>
      </c>
      <c r="I438" s="52" t="s">
        <v>5761</v>
      </c>
      <c r="M438" s="58" t="s">
        <v>25</v>
      </c>
      <c r="N438" s="55"/>
      <c r="O438" s="55"/>
    </row>
    <row r="439" spans="1:21">
      <c r="A439" s="47">
        <v>14226130</v>
      </c>
      <c r="B439" s="46" t="s">
        <v>190</v>
      </c>
      <c r="C439" s="52" t="s">
        <v>4193</v>
      </c>
      <c r="D439" s="48">
        <v>22237</v>
      </c>
      <c r="E439" s="49">
        <f t="shared" ca="1" si="7"/>
        <v>65.614661654135347</v>
      </c>
      <c r="F439" s="50">
        <v>154410625</v>
      </c>
      <c r="G439" s="51" t="s">
        <v>23</v>
      </c>
      <c r="I439" s="52" t="s">
        <v>4181</v>
      </c>
      <c r="M439" s="53" t="s">
        <v>4194</v>
      </c>
      <c r="N439" s="55" t="s">
        <v>4195</v>
      </c>
      <c r="O439" s="55"/>
    </row>
    <row r="440" spans="1:21">
      <c r="A440" s="47">
        <v>14226455</v>
      </c>
      <c r="B440" s="46" t="s">
        <v>6279</v>
      </c>
      <c r="C440" s="46" t="s">
        <v>6280</v>
      </c>
      <c r="D440" s="48" t="s">
        <v>52</v>
      </c>
      <c r="E440" s="49" t="str">
        <f t="shared" ca="1" si="7"/>
        <v/>
      </c>
      <c r="F440" s="50" t="s">
        <v>6281</v>
      </c>
      <c r="G440" s="51" t="s">
        <v>70</v>
      </c>
      <c r="H440" s="52" t="s">
        <v>1260</v>
      </c>
      <c r="I440" s="52" t="s">
        <v>23</v>
      </c>
      <c r="J440" s="46" t="s">
        <v>6282</v>
      </c>
      <c r="K440" s="46" t="s">
        <v>159</v>
      </c>
      <c r="L440" s="46" t="s">
        <v>52</v>
      </c>
      <c r="M440" s="53" t="s">
        <v>710</v>
      </c>
      <c r="N440" s="46" t="s">
        <v>52</v>
      </c>
      <c r="O440" s="46" t="s">
        <v>6283</v>
      </c>
      <c r="P440" s="46" t="s">
        <v>59</v>
      </c>
      <c r="Q440" s="46" t="s">
        <v>60</v>
      </c>
      <c r="R440" s="46" t="s">
        <v>61</v>
      </c>
      <c r="S440" s="46" t="s">
        <v>62</v>
      </c>
      <c r="T440" s="46" t="s">
        <v>12</v>
      </c>
      <c r="U440" s="46" t="s">
        <v>63</v>
      </c>
    </row>
    <row r="441" spans="1:21">
      <c r="A441" s="47">
        <v>14226566</v>
      </c>
      <c r="B441" s="46" t="s">
        <v>547</v>
      </c>
      <c r="C441" s="46" t="s">
        <v>2827</v>
      </c>
      <c r="D441" s="48">
        <v>22421</v>
      </c>
      <c r="E441" s="49">
        <f t="shared" ca="1" si="7"/>
        <v>65.112917945739653</v>
      </c>
      <c r="F441" s="50">
        <v>153506149</v>
      </c>
      <c r="G441" s="51" t="s">
        <v>141</v>
      </c>
      <c r="I441" s="52" t="s">
        <v>2823</v>
      </c>
      <c r="J441" s="46" t="s">
        <v>2828</v>
      </c>
      <c r="M441" s="53" t="s">
        <v>2829</v>
      </c>
      <c r="N441" s="46">
        <v>4247752</v>
      </c>
      <c r="O441" s="46">
        <v>7253</v>
      </c>
    </row>
    <row r="442" spans="1:21">
      <c r="A442" s="47">
        <v>14226682</v>
      </c>
      <c r="B442" s="46" t="s">
        <v>685</v>
      </c>
      <c r="C442" s="46" t="s">
        <v>3719</v>
      </c>
      <c r="D442" s="48" t="s">
        <v>3720</v>
      </c>
      <c r="E442" s="49">
        <f t="shared" ca="1" si="7"/>
        <v>65.151248651787938</v>
      </c>
      <c r="F442" s="50" t="s">
        <v>3721</v>
      </c>
      <c r="G442" s="51" t="s">
        <v>141</v>
      </c>
      <c r="H442" s="52" t="s">
        <v>52</v>
      </c>
      <c r="I442" s="52" t="s">
        <v>3630</v>
      </c>
      <c r="J442" s="46" t="s">
        <v>1344</v>
      </c>
      <c r="K442" s="46" t="s">
        <v>81</v>
      </c>
      <c r="L442" s="46" t="s">
        <v>52</v>
      </c>
      <c r="M442" s="52" t="s">
        <v>3722</v>
      </c>
      <c r="N442" s="46" t="s">
        <v>3723</v>
      </c>
      <c r="O442" s="46" t="s">
        <v>3724</v>
      </c>
      <c r="P442" s="46" t="s">
        <v>59</v>
      </c>
      <c r="Q442" s="46" t="s">
        <v>60</v>
      </c>
      <c r="R442" s="46" t="s">
        <v>61</v>
      </c>
      <c r="S442" s="46" t="s">
        <v>62</v>
      </c>
      <c r="T442" s="46" t="s">
        <v>12</v>
      </c>
      <c r="U442" s="46" t="s">
        <v>63</v>
      </c>
    </row>
    <row r="443" spans="1:21">
      <c r="A443" s="75">
        <v>14226913</v>
      </c>
      <c r="B443" s="46" t="s">
        <v>2009</v>
      </c>
      <c r="C443" s="52" t="s">
        <v>2010</v>
      </c>
      <c r="D443" s="48">
        <v>22445</v>
      </c>
      <c r="E443" s="49">
        <f t="shared" ca="1" si="7"/>
        <v>65.047208163942585</v>
      </c>
      <c r="F443" s="72">
        <v>154486455</v>
      </c>
      <c r="G443" s="51" t="s">
        <v>23</v>
      </c>
      <c r="I443" s="52" t="s">
        <v>1881</v>
      </c>
      <c r="J443" s="76" t="s">
        <v>2011</v>
      </c>
      <c r="K443" s="76"/>
      <c r="L443" s="76"/>
      <c r="M443" s="77" t="s">
        <v>2012</v>
      </c>
      <c r="N443" s="55"/>
      <c r="O443" s="55"/>
    </row>
    <row r="444" spans="1:21">
      <c r="A444" s="47">
        <v>14226926</v>
      </c>
      <c r="B444" s="46" t="s">
        <v>6276</v>
      </c>
      <c r="C444" s="46" t="s">
        <v>6277</v>
      </c>
      <c r="D444" s="48">
        <v>22466</v>
      </c>
      <c r="E444" s="49">
        <f t="shared" ca="1" si="7"/>
        <v>64.989712104870151</v>
      </c>
      <c r="F444" s="50">
        <v>155759209</v>
      </c>
      <c r="G444" s="51" t="s">
        <v>23</v>
      </c>
      <c r="I444" s="52" t="s">
        <v>23</v>
      </c>
      <c r="M444" s="53" t="s">
        <v>6278</v>
      </c>
    </row>
    <row r="445" spans="1:21">
      <c r="A445" s="47">
        <v>14226968</v>
      </c>
      <c r="B445" s="46" t="s">
        <v>2460</v>
      </c>
      <c r="C445" s="46" t="s">
        <v>351</v>
      </c>
      <c r="D445" s="48">
        <v>22471</v>
      </c>
      <c r="E445" s="49">
        <f t="shared" ca="1" si="7"/>
        <v>64.976022566995766</v>
      </c>
      <c r="F445" s="50">
        <v>153529855</v>
      </c>
      <c r="G445" s="51" t="s">
        <v>141</v>
      </c>
      <c r="I445" s="59" t="s">
        <v>908</v>
      </c>
      <c r="J445" s="46" t="s">
        <v>158</v>
      </c>
      <c r="M445" s="53" t="s">
        <v>2461</v>
      </c>
      <c r="N445" s="46">
        <v>4212400</v>
      </c>
      <c r="P445" s="46">
        <v>4</v>
      </c>
    </row>
    <row r="446" spans="1:21">
      <c r="A446" s="47">
        <v>14234802</v>
      </c>
      <c r="B446" s="46" t="s">
        <v>499</v>
      </c>
      <c r="C446" s="52" t="s">
        <v>2986</v>
      </c>
      <c r="D446" s="48" t="s">
        <v>52</v>
      </c>
      <c r="E446" s="49" t="str">
        <f t="shared" ca="1" si="7"/>
        <v/>
      </c>
      <c r="F446" s="50" t="s">
        <v>2987</v>
      </c>
      <c r="G446" s="51" t="s">
        <v>78</v>
      </c>
      <c r="H446" s="52" t="s">
        <v>52</v>
      </c>
      <c r="I446" s="52" t="s">
        <v>2926</v>
      </c>
      <c r="J446" s="46" t="s">
        <v>2938</v>
      </c>
      <c r="K446" s="46" t="s">
        <v>81</v>
      </c>
      <c r="L446" s="46" t="s">
        <v>52</v>
      </c>
      <c r="M446" s="53" t="s">
        <v>2988</v>
      </c>
      <c r="N446" s="55" t="s">
        <v>2989</v>
      </c>
      <c r="O446" s="55" t="s">
        <v>52</v>
      </c>
      <c r="P446" s="46" t="s">
        <v>59</v>
      </c>
      <c r="Q446" s="46" t="s">
        <v>60</v>
      </c>
      <c r="R446" s="46" t="s">
        <v>61</v>
      </c>
      <c r="S446" s="46" t="s">
        <v>62</v>
      </c>
      <c r="T446" s="46" t="s">
        <v>12</v>
      </c>
      <c r="U446" s="46" t="s">
        <v>63</v>
      </c>
    </row>
    <row r="447" spans="1:21">
      <c r="A447" s="47">
        <v>14251117</v>
      </c>
      <c r="B447" s="46" t="s">
        <v>961</v>
      </c>
      <c r="C447" s="46" t="s">
        <v>4968</v>
      </c>
      <c r="D447" s="48">
        <v>22564</v>
      </c>
      <c r="E447" s="49">
        <f t="shared" ca="1" si="7"/>
        <v>64.721397162532142</v>
      </c>
      <c r="G447" s="51" t="s">
        <v>70</v>
      </c>
      <c r="I447" s="52" t="s">
        <v>4954</v>
      </c>
      <c r="J447" s="46" t="s">
        <v>38</v>
      </c>
      <c r="M447" s="53" t="s">
        <v>4969</v>
      </c>
      <c r="N447" s="46">
        <v>4252256</v>
      </c>
    </row>
    <row r="448" spans="1:21">
      <c r="A448" s="47">
        <v>14272258</v>
      </c>
      <c r="B448" s="46" t="s">
        <v>1273</v>
      </c>
      <c r="C448" s="46" t="s">
        <v>2618</v>
      </c>
      <c r="D448" s="48">
        <v>22325</v>
      </c>
      <c r="E448" s="49">
        <f t="shared" ca="1" si="7"/>
        <v>65.375757072927897</v>
      </c>
      <c r="F448" s="50">
        <v>155278910</v>
      </c>
      <c r="G448" s="51" t="s">
        <v>78</v>
      </c>
      <c r="I448" s="59" t="s">
        <v>908</v>
      </c>
      <c r="J448" s="46" t="s">
        <v>2619</v>
      </c>
      <c r="M448" s="53" t="s">
        <v>2620</v>
      </c>
      <c r="N448" s="46" t="s">
        <v>2621</v>
      </c>
      <c r="O448" s="46">
        <v>230</v>
      </c>
      <c r="P448" s="46">
        <v>3</v>
      </c>
    </row>
    <row r="449" spans="1:21">
      <c r="A449" s="47">
        <v>14286859</v>
      </c>
      <c r="B449" s="46" t="s">
        <v>961</v>
      </c>
      <c r="C449" s="46" t="s">
        <v>5755</v>
      </c>
      <c r="D449" s="48" t="s">
        <v>52</v>
      </c>
      <c r="E449" s="49" t="str">
        <f t="shared" ca="1" si="7"/>
        <v/>
      </c>
      <c r="F449" s="50" t="s">
        <v>5756</v>
      </c>
      <c r="G449" s="51" t="s">
        <v>70</v>
      </c>
      <c r="H449" s="52" t="s">
        <v>5757</v>
      </c>
      <c r="I449" s="52" t="s">
        <v>5494</v>
      </c>
      <c r="J449" s="46" t="s">
        <v>2735</v>
      </c>
      <c r="K449" s="46" t="s">
        <v>81</v>
      </c>
      <c r="L449" s="46" t="s">
        <v>52</v>
      </c>
      <c r="M449" s="52" t="s">
        <v>5758</v>
      </c>
      <c r="N449" s="46" t="s">
        <v>5599</v>
      </c>
      <c r="O449" s="46" t="s">
        <v>52</v>
      </c>
      <c r="P449" s="46" t="s">
        <v>59</v>
      </c>
      <c r="Q449" s="46" t="s">
        <v>60</v>
      </c>
      <c r="R449" s="46" t="s">
        <v>61</v>
      </c>
      <c r="S449" s="46" t="s">
        <v>62</v>
      </c>
      <c r="T449" s="46" t="s">
        <v>12</v>
      </c>
      <c r="U449" s="46" t="s">
        <v>63</v>
      </c>
    </row>
    <row r="450" spans="1:21">
      <c r="A450" s="47">
        <v>14296712</v>
      </c>
      <c r="B450" s="46" t="s">
        <v>2544</v>
      </c>
      <c r="C450" s="46" t="s">
        <v>4136</v>
      </c>
      <c r="D450" s="48">
        <v>22485</v>
      </c>
      <c r="E450" s="49">
        <f t="shared" ca="1" si="7"/>
        <v>64.937691860947481</v>
      </c>
      <c r="F450" s="50" t="s">
        <v>4137</v>
      </c>
      <c r="G450" s="51" t="s">
        <v>23</v>
      </c>
      <c r="I450" s="52" t="s">
        <v>4078</v>
      </c>
      <c r="J450" s="46" t="s">
        <v>4099</v>
      </c>
      <c r="M450" s="53" t="s">
        <v>4138</v>
      </c>
      <c r="N450" s="46">
        <v>3865483797</v>
      </c>
    </row>
    <row r="451" spans="1:21">
      <c r="A451" s="47">
        <v>14296958</v>
      </c>
      <c r="B451" s="46" t="s">
        <v>5838</v>
      </c>
      <c r="C451" s="46" t="s">
        <v>5839</v>
      </c>
      <c r="D451" s="48" t="s">
        <v>5840</v>
      </c>
      <c r="E451" s="49">
        <f t="shared" ca="1" si="7"/>
        <v>64.795320667053844</v>
      </c>
      <c r="F451" s="50" t="s">
        <v>5841</v>
      </c>
      <c r="G451" s="51" t="s">
        <v>23</v>
      </c>
      <c r="H451" s="52" t="s">
        <v>52</v>
      </c>
      <c r="I451" s="52" t="s">
        <v>5826</v>
      </c>
      <c r="J451" s="46" t="s">
        <v>800</v>
      </c>
      <c r="K451" s="46" t="s">
        <v>52</v>
      </c>
      <c r="L451" s="46" t="s">
        <v>52</v>
      </c>
      <c r="M451" s="53" t="s">
        <v>5842</v>
      </c>
      <c r="N451" s="46" t="s">
        <v>52</v>
      </c>
      <c r="O451" s="46" t="s">
        <v>52</v>
      </c>
      <c r="P451" s="46" t="s">
        <v>59</v>
      </c>
      <c r="Q451" s="46" t="s">
        <v>60</v>
      </c>
      <c r="R451" s="46" t="s">
        <v>61</v>
      </c>
      <c r="S451" s="46" t="s">
        <v>62</v>
      </c>
      <c r="T451" s="46" t="s">
        <v>12</v>
      </c>
      <c r="U451" s="46" t="s">
        <v>63</v>
      </c>
    </row>
    <row r="452" spans="1:21">
      <c r="A452" s="47">
        <v>14298098</v>
      </c>
      <c r="B452" s="46" t="s">
        <v>4779</v>
      </c>
      <c r="C452" s="52" t="s">
        <v>5401</v>
      </c>
      <c r="D452" s="48" t="s">
        <v>52</v>
      </c>
      <c r="E452" s="49" t="str">
        <f t="shared" ca="1" si="7"/>
        <v/>
      </c>
      <c r="F452" s="50" t="s">
        <v>5402</v>
      </c>
      <c r="G452" s="51" t="s">
        <v>70</v>
      </c>
      <c r="H452" s="52" t="s">
        <v>5403</v>
      </c>
      <c r="I452" s="52" t="s">
        <v>5304</v>
      </c>
      <c r="J452" s="46" t="s">
        <v>5404</v>
      </c>
      <c r="K452" s="46" t="s">
        <v>81</v>
      </c>
      <c r="L452" s="46" t="s">
        <v>1314</v>
      </c>
      <c r="M452" s="53" t="s">
        <v>4906</v>
      </c>
      <c r="N452" s="55" t="s">
        <v>5405</v>
      </c>
      <c r="O452" s="55" t="s">
        <v>52</v>
      </c>
      <c r="P452" s="46" t="s">
        <v>59</v>
      </c>
      <c r="Q452" s="46" t="s">
        <v>60</v>
      </c>
      <c r="R452" s="46" t="s">
        <v>61</v>
      </c>
      <c r="S452" s="46" t="s">
        <v>62</v>
      </c>
      <c r="T452" s="46" t="s">
        <v>12</v>
      </c>
      <c r="U452" s="46" t="s">
        <v>63</v>
      </c>
    </row>
    <row r="453" spans="1:21">
      <c r="A453" s="64">
        <v>14300445</v>
      </c>
      <c r="B453" s="61" t="s">
        <v>3699</v>
      </c>
      <c r="C453" s="62" t="s">
        <v>363</v>
      </c>
      <c r="D453" s="48" t="s">
        <v>3700</v>
      </c>
      <c r="E453" s="49">
        <f t="shared" ca="1" si="7"/>
        <v>64.970546751846015</v>
      </c>
      <c r="F453" s="63" t="s">
        <v>3701</v>
      </c>
      <c r="G453" s="51" t="s">
        <v>70</v>
      </c>
      <c r="H453" s="52" t="s">
        <v>380</v>
      </c>
      <c r="I453" s="52" t="s">
        <v>3630</v>
      </c>
      <c r="J453" s="61" t="s">
        <v>3702</v>
      </c>
      <c r="K453" s="61" t="s">
        <v>57</v>
      </c>
      <c r="L453" s="61" t="s">
        <v>52</v>
      </c>
      <c r="M453" s="53" t="s">
        <v>3703</v>
      </c>
      <c r="N453" s="55" t="s">
        <v>52</v>
      </c>
      <c r="O453" s="55" t="s">
        <v>52</v>
      </c>
      <c r="P453" s="46" t="s">
        <v>59</v>
      </c>
      <c r="Q453" s="46" t="s">
        <v>60</v>
      </c>
      <c r="R453" s="46" t="s">
        <v>61</v>
      </c>
      <c r="S453" s="46" t="s">
        <v>62</v>
      </c>
      <c r="T453" s="46" t="s">
        <v>12</v>
      </c>
      <c r="U453" s="46" t="s">
        <v>63</v>
      </c>
    </row>
    <row r="454" spans="1:21">
      <c r="A454" s="47">
        <v>14300770</v>
      </c>
      <c r="B454" s="46" t="s">
        <v>3520</v>
      </c>
      <c r="C454" s="46" t="s">
        <v>414</v>
      </c>
      <c r="D454" s="48" t="s">
        <v>3521</v>
      </c>
      <c r="E454" s="49">
        <f t="shared" ca="1" si="7"/>
        <v>64.614618767111921</v>
      </c>
      <c r="F454" s="50" t="s">
        <v>3522</v>
      </c>
      <c r="G454" s="51" t="s">
        <v>70</v>
      </c>
      <c r="H454" s="52" t="s">
        <v>3518</v>
      </c>
      <c r="I454" s="52" t="s">
        <v>3427</v>
      </c>
      <c r="J454" s="46" t="s">
        <v>3523</v>
      </c>
      <c r="K454" s="46" t="s">
        <v>52</v>
      </c>
      <c r="L454" s="46" t="s">
        <v>546</v>
      </c>
      <c r="M454" s="52" t="s">
        <v>3524</v>
      </c>
      <c r="N454" s="46" t="s">
        <v>52</v>
      </c>
      <c r="O454" s="46" t="s">
        <v>52</v>
      </c>
      <c r="P454" s="46" t="s">
        <v>59</v>
      </c>
      <c r="Q454" s="46" t="s">
        <v>60</v>
      </c>
      <c r="R454" s="46" t="s">
        <v>61</v>
      </c>
      <c r="S454" s="46" t="s">
        <v>62</v>
      </c>
      <c r="T454" s="46" t="s">
        <v>12</v>
      </c>
      <c r="U454" s="46" t="s">
        <v>63</v>
      </c>
    </row>
    <row r="455" spans="1:21">
      <c r="A455" s="47">
        <v>14312881</v>
      </c>
      <c r="B455" s="46" t="s">
        <v>694</v>
      </c>
      <c r="C455" s="55" t="s">
        <v>695</v>
      </c>
      <c r="D455" s="48" t="s">
        <v>52</v>
      </c>
      <c r="E455" s="49" t="str">
        <f t="shared" ca="1" si="7"/>
        <v/>
      </c>
      <c r="F455" s="50" t="s">
        <v>696</v>
      </c>
      <c r="G455" s="51" t="s">
        <v>86</v>
      </c>
      <c r="H455" s="52" t="s">
        <v>52</v>
      </c>
      <c r="I455" s="52" t="s">
        <v>594</v>
      </c>
      <c r="J455" s="46" t="s">
        <v>697</v>
      </c>
      <c r="K455" s="46" t="s">
        <v>81</v>
      </c>
      <c r="L455" s="46" t="s">
        <v>52</v>
      </c>
      <c r="M455" s="53" t="s">
        <v>698</v>
      </c>
      <c r="N455" s="46" t="s">
        <v>699</v>
      </c>
      <c r="O455" s="46" t="s">
        <v>700</v>
      </c>
      <c r="P455" s="46" t="s">
        <v>59</v>
      </c>
      <c r="Q455" s="46" t="s">
        <v>60</v>
      </c>
      <c r="R455" s="46" t="s">
        <v>61</v>
      </c>
      <c r="S455" s="46" t="s">
        <v>62</v>
      </c>
      <c r="T455" s="46" t="s">
        <v>12</v>
      </c>
      <c r="U455" s="46" t="s">
        <v>63</v>
      </c>
    </row>
    <row r="456" spans="1:21">
      <c r="A456" s="47">
        <v>14321881</v>
      </c>
      <c r="B456" s="46" t="s">
        <v>694</v>
      </c>
      <c r="C456" s="52" t="s">
        <v>695</v>
      </c>
      <c r="E456" s="49" t="str">
        <f t="shared" ca="1" si="7"/>
        <v/>
      </c>
      <c r="F456" s="50">
        <v>155147907</v>
      </c>
      <c r="G456" s="51" t="s">
        <v>70</v>
      </c>
      <c r="I456" s="52" t="s">
        <v>5761</v>
      </c>
      <c r="J456" s="46" t="s">
        <v>48</v>
      </c>
      <c r="M456" s="58" t="s">
        <v>25</v>
      </c>
      <c r="N456" s="55"/>
      <c r="O456" s="55"/>
    </row>
    <row r="457" spans="1:21">
      <c r="A457" s="47">
        <v>14324672</v>
      </c>
      <c r="B457" s="46" t="s">
        <v>5496</v>
      </c>
      <c r="C457" s="52" t="s">
        <v>5497</v>
      </c>
      <c r="D457" s="48">
        <v>22296</v>
      </c>
      <c r="E457" s="49">
        <f t="shared" ref="E457:E516" ca="1" si="8">IF(D457="","",YEARFRAC(D457,TODAY(),1))</f>
        <v>65.455156392599349</v>
      </c>
      <c r="F457" s="50">
        <v>155439565</v>
      </c>
      <c r="G457" s="51" t="s">
        <v>70</v>
      </c>
      <c r="I457" s="52" t="s">
        <v>5494</v>
      </c>
      <c r="J457" s="46" t="s">
        <v>5498</v>
      </c>
      <c r="M457" s="53" t="s">
        <v>5499</v>
      </c>
      <c r="N457" s="55"/>
      <c r="O457" s="55"/>
    </row>
    <row r="458" spans="1:21">
      <c r="A458" s="47">
        <v>14331544</v>
      </c>
      <c r="B458" s="46" t="s">
        <v>2067</v>
      </c>
      <c r="C458" s="52" t="s">
        <v>2068</v>
      </c>
      <c r="D458" s="48">
        <v>22652</v>
      </c>
      <c r="E458" s="49">
        <f t="shared" ca="1" si="8"/>
        <v>64.479802872667534</v>
      </c>
      <c r="F458" s="50">
        <v>155006317</v>
      </c>
      <c r="G458" s="51" t="s">
        <v>23</v>
      </c>
      <c r="I458" s="52" t="s">
        <v>1881</v>
      </c>
      <c r="J458" s="55" t="s">
        <v>1946</v>
      </c>
      <c r="K458" s="55"/>
      <c r="L458" s="55"/>
      <c r="M458" s="58" t="s">
        <v>25</v>
      </c>
      <c r="N458" s="55"/>
      <c r="O458" s="55"/>
    </row>
    <row r="459" spans="1:21">
      <c r="A459" s="47">
        <v>14351475</v>
      </c>
      <c r="B459" s="46" t="s">
        <v>2231</v>
      </c>
      <c r="C459" s="46" t="s">
        <v>3152</v>
      </c>
      <c r="D459" s="48">
        <v>22378</v>
      </c>
      <c r="E459" s="49">
        <f t="shared" ca="1" si="8"/>
        <v>65.230647971459391</v>
      </c>
      <c r="G459" s="51" t="s">
        <v>141</v>
      </c>
      <c r="I459" s="52" t="s">
        <v>3127</v>
      </c>
      <c r="J459" s="55" t="s">
        <v>664</v>
      </c>
      <c r="K459" s="55"/>
      <c r="L459" s="55"/>
      <c r="M459" s="53" t="s">
        <v>3153</v>
      </c>
      <c r="N459" s="55"/>
      <c r="O459" s="55"/>
      <c r="P459" s="55"/>
    </row>
    <row r="460" spans="1:21">
      <c r="A460" s="47">
        <v>14351534</v>
      </c>
      <c r="B460" s="46" t="s">
        <v>2785</v>
      </c>
      <c r="C460" s="46" t="s">
        <v>2161</v>
      </c>
      <c r="D460" s="48" t="s">
        <v>52</v>
      </c>
      <c r="E460" s="49" t="str">
        <f t="shared" ca="1" si="8"/>
        <v/>
      </c>
      <c r="F460" s="50" t="s">
        <v>5566</v>
      </c>
      <c r="G460" s="51" t="s">
        <v>86</v>
      </c>
      <c r="H460" s="52" t="s">
        <v>52</v>
      </c>
      <c r="I460" s="52" t="s">
        <v>5494</v>
      </c>
      <c r="J460" s="46" t="s">
        <v>5567</v>
      </c>
      <c r="K460" s="46" t="s">
        <v>81</v>
      </c>
      <c r="L460" s="46" t="s">
        <v>52</v>
      </c>
      <c r="M460" s="53" t="s">
        <v>5568</v>
      </c>
      <c r="N460" s="46" t="s">
        <v>5569</v>
      </c>
      <c r="O460" s="46" t="s">
        <v>52</v>
      </c>
      <c r="P460" s="46" t="s">
        <v>59</v>
      </c>
      <c r="Q460" s="46" t="s">
        <v>60</v>
      </c>
      <c r="R460" s="46" t="s">
        <v>61</v>
      </c>
      <c r="S460" s="46" t="s">
        <v>62</v>
      </c>
      <c r="T460" s="46" t="s">
        <v>12</v>
      </c>
      <c r="U460" s="46" t="s">
        <v>63</v>
      </c>
    </row>
    <row r="461" spans="1:21">
      <c r="A461" s="47">
        <v>14351641</v>
      </c>
      <c r="B461" s="46" t="s">
        <v>774</v>
      </c>
      <c r="C461" s="46" t="s">
        <v>775</v>
      </c>
      <c r="D461" s="48" t="s">
        <v>52</v>
      </c>
      <c r="E461" s="49" t="str">
        <f t="shared" ca="1" si="8"/>
        <v/>
      </c>
      <c r="F461" s="50" t="s">
        <v>776</v>
      </c>
      <c r="G461" s="51" t="s">
        <v>70</v>
      </c>
      <c r="H461" s="52" t="s">
        <v>777</v>
      </c>
      <c r="I461" s="52" t="s">
        <v>594</v>
      </c>
      <c r="J461" s="46" t="s">
        <v>52</v>
      </c>
      <c r="K461" s="46" t="s">
        <v>390</v>
      </c>
      <c r="L461" s="46" t="s">
        <v>546</v>
      </c>
      <c r="M461" s="52" t="s">
        <v>778</v>
      </c>
      <c r="N461" s="46" t="s">
        <v>52</v>
      </c>
      <c r="O461" s="46" t="s">
        <v>52</v>
      </c>
      <c r="P461" s="46" t="s">
        <v>59</v>
      </c>
      <c r="Q461" s="46" t="s">
        <v>60</v>
      </c>
      <c r="R461" s="46" t="s">
        <v>61</v>
      </c>
      <c r="S461" s="46" t="s">
        <v>62</v>
      </c>
      <c r="T461" s="46" t="s">
        <v>12</v>
      </c>
      <c r="U461" s="46" t="s">
        <v>63</v>
      </c>
    </row>
    <row r="462" spans="1:21">
      <c r="A462" s="47">
        <v>14351976</v>
      </c>
      <c r="B462" s="46" t="s">
        <v>617</v>
      </c>
      <c r="C462" s="52" t="s">
        <v>618</v>
      </c>
      <c r="D462" s="48">
        <v>22358</v>
      </c>
      <c r="E462" s="49">
        <f t="shared" ca="1" si="8"/>
        <v>65.285406122956942</v>
      </c>
      <c r="F462" s="50">
        <v>156239769</v>
      </c>
      <c r="G462" s="51" t="s">
        <v>23</v>
      </c>
      <c r="I462" s="52" t="s">
        <v>594</v>
      </c>
      <c r="M462" s="53" t="s">
        <v>619</v>
      </c>
      <c r="N462" s="55"/>
      <c r="O462" s="55"/>
    </row>
    <row r="463" spans="1:21">
      <c r="A463" s="47">
        <v>14352423</v>
      </c>
      <c r="B463" s="46" t="s">
        <v>3497</v>
      </c>
      <c r="C463" s="46" t="s">
        <v>3498</v>
      </c>
      <c r="D463" s="48">
        <v>22239</v>
      </c>
      <c r="E463" s="49">
        <f t="shared" ca="1" si="8"/>
        <v>65.609186008499506</v>
      </c>
      <c r="F463" s="50">
        <v>3816736700</v>
      </c>
      <c r="G463" s="51" t="s">
        <v>70</v>
      </c>
      <c r="I463" s="52" t="s">
        <v>3427</v>
      </c>
      <c r="J463" s="46" t="s">
        <v>3499</v>
      </c>
      <c r="M463" s="53" t="s">
        <v>3500</v>
      </c>
      <c r="N463" s="46">
        <v>4247752</v>
      </c>
      <c r="O463" s="46" t="s">
        <v>3501</v>
      </c>
    </row>
    <row r="464" spans="1:21">
      <c r="A464" s="47">
        <v>14352478</v>
      </c>
      <c r="B464" s="46" t="s">
        <v>4018</v>
      </c>
      <c r="C464" s="46" t="s">
        <v>4019</v>
      </c>
      <c r="E464" s="49" t="str">
        <f t="shared" ca="1" si="8"/>
        <v/>
      </c>
      <c r="F464" s="50">
        <v>155725654</v>
      </c>
      <c r="G464" s="51" t="s">
        <v>23</v>
      </c>
      <c r="I464" s="52" t="s">
        <v>3999</v>
      </c>
      <c r="J464" s="46" t="s">
        <v>224</v>
      </c>
      <c r="M464" s="53" t="s">
        <v>4020</v>
      </c>
    </row>
    <row r="465" spans="1:21">
      <c r="A465" s="47">
        <v>14352615</v>
      </c>
      <c r="B465" s="46" t="s">
        <v>690</v>
      </c>
      <c r="C465" s="52" t="s">
        <v>33</v>
      </c>
      <c r="D465" s="48">
        <v>22535</v>
      </c>
      <c r="E465" s="49">
        <f t="shared" ca="1" si="8"/>
        <v>64.800796482203594</v>
      </c>
      <c r="F465" s="50">
        <v>154748749</v>
      </c>
      <c r="G465" s="51" t="s">
        <v>23</v>
      </c>
      <c r="I465" s="59" t="s">
        <v>908</v>
      </c>
      <c r="J465" s="46" t="s">
        <v>2509</v>
      </c>
      <c r="M465" s="58" t="s">
        <v>25</v>
      </c>
      <c r="N465" s="55">
        <v>4313550</v>
      </c>
      <c r="O465" s="55"/>
    </row>
    <row r="466" spans="1:21">
      <c r="A466" s="47">
        <v>14352877</v>
      </c>
      <c r="B466" s="46" t="s">
        <v>428</v>
      </c>
      <c r="C466" s="52" t="s">
        <v>5114</v>
      </c>
      <c r="E466" s="49" t="str">
        <f t="shared" ca="1" si="8"/>
        <v/>
      </c>
      <c r="F466" s="50">
        <v>155011630</v>
      </c>
      <c r="G466" s="51" t="s">
        <v>23</v>
      </c>
      <c r="I466" s="65" t="s">
        <v>4954</v>
      </c>
      <c r="J466" s="46" t="s">
        <v>5115</v>
      </c>
      <c r="M466" s="53" t="s">
        <v>5116</v>
      </c>
      <c r="N466" s="55" t="s">
        <v>5117</v>
      </c>
      <c r="O466" s="55"/>
    </row>
    <row r="467" spans="1:21">
      <c r="A467" s="47">
        <v>14352896</v>
      </c>
      <c r="B467" s="46" t="s">
        <v>3428</v>
      </c>
      <c r="C467" s="46" t="s">
        <v>3429</v>
      </c>
      <c r="D467" s="48" t="s">
        <v>52</v>
      </c>
      <c r="E467" s="49" t="str">
        <f t="shared" ca="1" si="8"/>
        <v/>
      </c>
      <c r="F467" s="50" t="s">
        <v>3430</v>
      </c>
      <c r="G467" s="51" t="s">
        <v>78</v>
      </c>
      <c r="H467" s="52" t="s">
        <v>75</v>
      </c>
      <c r="I467" s="52" t="s">
        <v>3427</v>
      </c>
      <c r="J467" s="46" t="s">
        <v>52</v>
      </c>
      <c r="K467" s="46" t="s">
        <v>81</v>
      </c>
      <c r="L467" s="46" t="s">
        <v>796</v>
      </c>
      <c r="M467" s="53" t="s">
        <v>3431</v>
      </c>
      <c r="N467" s="46" t="s">
        <v>931</v>
      </c>
      <c r="O467" s="46" t="s">
        <v>3432</v>
      </c>
      <c r="P467" s="46" t="s">
        <v>59</v>
      </c>
      <c r="Q467" s="46" t="s">
        <v>60</v>
      </c>
      <c r="R467" s="46" t="s">
        <v>61</v>
      </c>
      <c r="S467" s="46" t="s">
        <v>62</v>
      </c>
      <c r="T467" s="46" t="s">
        <v>12</v>
      </c>
      <c r="U467" s="46" t="s">
        <v>63</v>
      </c>
    </row>
    <row r="468" spans="1:21">
      <c r="A468" s="47">
        <v>14352938</v>
      </c>
      <c r="B468" s="46" t="s">
        <v>2956</v>
      </c>
      <c r="C468" s="52" t="s">
        <v>3199</v>
      </c>
      <c r="D468" s="48">
        <v>22585</v>
      </c>
      <c r="E468" s="49">
        <f t="shared" ca="1" si="8"/>
        <v>64.663901103459722</v>
      </c>
      <c r="G468" s="51" t="s">
        <v>23</v>
      </c>
      <c r="I468" s="52" t="s">
        <v>3166</v>
      </c>
      <c r="J468" s="46" t="s">
        <v>3200</v>
      </c>
      <c r="M468" s="58" t="s">
        <v>25</v>
      </c>
      <c r="N468" s="55">
        <v>4253667</v>
      </c>
      <c r="O468" s="55"/>
    </row>
    <row r="469" spans="1:21">
      <c r="A469" s="47">
        <v>14352978</v>
      </c>
      <c r="B469" s="46" t="s">
        <v>1434</v>
      </c>
      <c r="C469" s="46" t="s">
        <v>1191</v>
      </c>
      <c r="D469" s="48" t="s">
        <v>52</v>
      </c>
      <c r="E469" s="49" t="str">
        <f t="shared" ca="1" si="8"/>
        <v/>
      </c>
      <c r="F469" s="50" t="s">
        <v>1435</v>
      </c>
      <c r="G469" s="51" t="s">
        <v>70</v>
      </c>
      <c r="H469" s="52" t="s">
        <v>1436</v>
      </c>
      <c r="I469" s="59" t="s">
        <v>908</v>
      </c>
      <c r="J469" s="46" t="s">
        <v>1437</v>
      </c>
      <c r="K469" s="46" t="s">
        <v>390</v>
      </c>
      <c r="L469" s="46" t="s">
        <v>546</v>
      </c>
      <c r="M469" s="52" t="s">
        <v>1438</v>
      </c>
      <c r="N469" s="46" t="s">
        <v>931</v>
      </c>
      <c r="O469" s="46" t="s">
        <v>1439</v>
      </c>
      <c r="P469" s="46" t="s">
        <v>59</v>
      </c>
      <c r="Q469" s="46" t="s">
        <v>60</v>
      </c>
      <c r="R469" s="46" t="s">
        <v>61</v>
      </c>
      <c r="S469" s="46" t="s">
        <v>62</v>
      </c>
      <c r="T469" s="46" t="s">
        <v>12</v>
      </c>
      <c r="U469" s="46" t="s">
        <v>63</v>
      </c>
    </row>
    <row r="470" spans="1:21">
      <c r="A470" s="47">
        <v>14353035</v>
      </c>
      <c r="B470" s="46" t="s">
        <v>1574</v>
      </c>
      <c r="C470" s="52" t="s">
        <v>1790</v>
      </c>
      <c r="D470" s="48">
        <v>22588</v>
      </c>
      <c r="E470" s="49">
        <f t="shared" ca="1" si="8"/>
        <v>64.655687380735088</v>
      </c>
      <c r="F470" s="50">
        <v>154544748</v>
      </c>
      <c r="G470" s="51" t="s">
        <v>23</v>
      </c>
      <c r="I470" s="52" t="s">
        <v>1657</v>
      </c>
      <c r="J470" s="46" t="s">
        <v>1791</v>
      </c>
      <c r="M470" s="53" t="s">
        <v>1792</v>
      </c>
      <c r="N470" s="55"/>
      <c r="O470" s="55"/>
    </row>
    <row r="471" spans="1:21">
      <c r="A471" s="47">
        <v>14353081</v>
      </c>
      <c r="B471" s="46" t="s">
        <v>1244</v>
      </c>
      <c r="C471" s="52" t="s">
        <v>2878</v>
      </c>
      <c r="D471" s="48">
        <v>22447</v>
      </c>
      <c r="E471" s="49">
        <f t="shared" ca="1" si="8"/>
        <v>65.041732348792834</v>
      </c>
      <c r="F471" s="50">
        <v>156237628</v>
      </c>
      <c r="G471" s="51" t="s">
        <v>23</v>
      </c>
      <c r="I471" s="52" t="s">
        <v>2854</v>
      </c>
      <c r="J471" s="46" t="s">
        <v>48</v>
      </c>
      <c r="M471" s="58" t="s">
        <v>25</v>
      </c>
      <c r="N471" s="55"/>
      <c r="O471" s="55"/>
    </row>
    <row r="472" spans="1:21">
      <c r="A472" s="47">
        <v>14353184</v>
      </c>
      <c r="B472" s="46" t="s">
        <v>4657</v>
      </c>
      <c r="C472" s="46" t="s">
        <v>4658</v>
      </c>
      <c r="E472" s="49" t="str">
        <f t="shared" ca="1" si="8"/>
        <v/>
      </c>
      <c r="F472" s="50">
        <v>155524322</v>
      </c>
      <c r="G472" s="51" t="s">
        <v>23</v>
      </c>
      <c r="I472" s="52" t="s">
        <v>4499</v>
      </c>
      <c r="M472" s="53" t="s">
        <v>4659</v>
      </c>
    </row>
    <row r="473" spans="1:21">
      <c r="A473" s="47">
        <v>14353240</v>
      </c>
      <c r="B473" s="46" t="s">
        <v>3749</v>
      </c>
      <c r="C473" s="52" t="s">
        <v>414</v>
      </c>
      <c r="D473" s="48">
        <v>22493</v>
      </c>
      <c r="E473" s="49">
        <f t="shared" ca="1" si="8"/>
        <v>64.915788600348463</v>
      </c>
      <c r="G473" s="51" t="s">
        <v>23</v>
      </c>
      <c r="I473" s="52" t="s">
        <v>23</v>
      </c>
      <c r="J473" s="46" t="s">
        <v>6212</v>
      </c>
      <c r="M473" s="53" t="s">
        <v>6213</v>
      </c>
      <c r="N473" s="55"/>
      <c r="O473" s="55"/>
    </row>
    <row r="474" spans="1:21">
      <c r="A474" s="47">
        <v>14358186</v>
      </c>
      <c r="B474" s="46" t="s">
        <v>1011</v>
      </c>
      <c r="C474" s="46" t="s">
        <v>1012</v>
      </c>
      <c r="D474" s="48">
        <v>22322</v>
      </c>
      <c r="E474" s="49">
        <f t="shared" ca="1" si="8"/>
        <v>65.38397079565253</v>
      </c>
      <c r="F474" s="50">
        <v>153664909</v>
      </c>
      <c r="G474" s="51" t="s">
        <v>86</v>
      </c>
      <c r="I474" s="59" t="s">
        <v>908</v>
      </c>
      <c r="J474" s="46" t="s">
        <v>244</v>
      </c>
      <c r="M474" s="52" t="s">
        <v>1013</v>
      </c>
      <c r="N474" s="46">
        <v>4247752</v>
      </c>
      <c r="O474" s="46">
        <v>7212</v>
      </c>
      <c r="P474" s="46">
        <v>4</v>
      </c>
    </row>
    <row r="475" spans="1:21">
      <c r="A475" s="75">
        <v>14358242</v>
      </c>
      <c r="B475" s="46" t="s">
        <v>2160</v>
      </c>
      <c r="C475" s="52" t="s">
        <v>2161</v>
      </c>
      <c r="D475" s="48">
        <v>21637</v>
      </c>
      <c r="E475" s="49">
        <f t="shared" ca="1" si="8"/>
        <v>67.258042436687205</v>
      </c>
      <c r="F475" s="72"/>
      <c r="G475" s="51" t="s">
        <v>23</v>
      </c>
      <c r="I475" s="52" t="s">
        <v>1881</v>
      </c>
      <c r="J475" s="76" t="s">
        <v>2162</v>
      </c>
      <c r="K475" s="76"/>
      <c r="L475" s="76"/>
      <c r="M475" s="58" t="s">
        <v>25</v>
      </c>
      <c r="N475" s="55"/>
      <c r="O475" s="55"/>
    </row>
    <row r="476" spans="1:21">
      <c r="A476" s="64">
        <v>14358274</v>
      </c>
      <c r="B476" s="61" t="s">
        <v>335</v>
      </c>
      <c r="C476" s="62" t="s">
        <v>3472</v>
      </c>
      <c r="D476" s="48">
        <v>22357</v>
      </c>
      <c r="E476" s="49">
        <f t="shared" ca="1" si="8"/>
        <v>65.288144030531811</v>
      </c>
      <c r="F476" s="63">
        <v>155418844</v>
      </c>
      <c r="G476" s="51" t="s">
        <v>23</v>
      </c>
      <c r="I476" s="52" t="s">
        <v>3427</v>
      </c>
      <c r="J476" s="61" t="s">
        <v>3473</v>
      </c>
      <c r="K476" s="61"/>
      <c r="L476" s="61"/>
      <c r="M476" s="58" t="s">
        <v>25</v>
      </c>
      <c r="N476" s="55"/>
      <c r="O476" s="55"/>
    </row>
    <row r="477" spans="1:21">
      <c r="A477" s="47">
        <v>14358676</v>
      </c>
      <c r="B477" s="46" t="s">
        <v>2966</v>
      </c>
      <c r="C477" s="46" t="s">
        <v>2967</v>
      </c>
      <c r="D477" s="48" t="s">
        <v>52</v>
      </c>
      <c r="E477" s="49" t="str">
        <f t="shared" ca="1" si="8"/>
        <v/>
      </c>
      <c r="F477" s="50" t="s">
        <v>2968</v>
      </c>
      <c r="G477" s="51" t="s">
        <v>141</v>
      </c>
      <c r="H477" s="52" t="s">
        <v>52</v>
      </c>
      <c r="I477" s="52" t="s">
        <v>2926</v>
      </c>
      <c r="J477" s="46" t="s">
        <v>946</v>
      </c>
      <c r="K477" s="46" t="s">
        <v>81</v>
      </c>
      <c r="L477" s="46" t="s">
        <v>52</v>
      </c>
      <c r="M477" s="53" t="s">
        <v>2969</v>
      </c>
      <c r="N477" s="46" t="s">
        <v>2970</v>
      </c>
      <c r="O477" s="46" t="s">
        <v>2971</v>
      </c>
      <c r="P477" s="46" t="s">
        <v>59</v>
      </c>
      <c r="Q477" s="46" t="s">
        <v>60</v>
      </c>
      <c r="R477" s="46" t="s">
        <v>61</v>
      </c>
      <c r="S477" s="46" t="s">
        <v>62</v>
      </c>
      <c r="T477" s="46" t="s">
        <v>12</v>
      </c>
      <c r="U477" s="46" t="s">
        <v>63</v>
      </c>
    </row>
    <row r="478" spans="1:21">
      <c r="A478" s="64">
        <v>14358737</v>
      </c>
      <c r="B478" s="61" t="s">
        <v>2995</v>
      </c>
      <c r="C478" s="62" t="s">
        <v>1191</v>
      </c>
      <c r="D478" s="48" t="s">
        <v>52</v>
      </c>
      <c r="E478" s="49" t="str">
        <f t="shared" ca="1" si="8"/>
        <v/>
      </c>
      <c r="F478" s="63" t="s">
        <v>2996</v>
      </c>
      <c r="G478" s="51" t="s">
        <v>141</v>
      </c>
      <c r="H478" s="52" t="s">
        <v>52</v>
      </c>
      <c r="I478" s="52" t="s">
        <v>2926</v>
      </c>
      <c r="J478" s="61" t="s">
        <v>48</v>
      </c>
      <c r="K478" s="61" t="s">
        <v>81</v>
      </c>
      <c r="L478" s="61" t="s">
        <v>1314</v>
      </c>
      <c r="M478" s="53" t="s">
        <v>2997</v>
      </c>
      <c r="N478" s="55" t="s">
        <v>52</v>
      </c>
      <c r="O478" s="55" t="s">
        <v>52</v>
      </c>
      <c r="P478" s="46" t="s">
        <v>59</v>
      </c>
      <c r="Q478" s="46" t="s">
        <v>60</v>
      </c>
      <c r="R478" s="46" t="s">
        <v>61</v>
      </c>
      <c r="S478" s="46" t="s">
        <v>62</v>
      </c>
      <c r="T478" s="46" t="s">
        <v>12</v>
      </c>
      <c r="U478" s="46" t="s">
        <v>63</v>
      </c>
    </row>
    <row r="479" spans="1:21">
      <c r="A479" s="47">
        <v>14358919</v>
      </c>
      <c r="B479" s="46" t="s">
        <v>1406</v>
      </c>
      <c r="C479" s="46" t="s">
        <v>758</v>
      </c>
      <c r="D479" s="48" t="s">
        <v>52</v>
      </c>
      <c r="E479" s="49" t="str">
        <f t="shared" ca="1" si="8"/>
        <v/>
      </c>
      <c r="F479" s="50" t="s">
        <v>1407</v>
      </c>
      <c r="G479" s="51" t="s">
        <v>70</v>
      </c>
      <c r="H479" s="52" t="s">
        <v>1408</v>
      </c>
      <c r="I479" s="59" t="s">
        <v>908</v>
      </c>
      <c r="J479" s="46" t="s">
        <v>52</v>
      </c>
      <c r="K479" s="46" t="s">
        <v>52</v>
      </c>
      <c r="L479" s="46" t="s">
        <v>52</v>
      </c>
      <c r="M479" s="52" t="s">
        <v>1409</v>
      </c>
      <c r="N479" s="46" t="s">
        <v>52</v>
      </c>
      <c r="O479" s="46" t="s">
        <v>1410</v>
      </c>
      <c r="P479" s="46" t="s">
        <v>59</v>
      </c>
      <c r="Q479" s="46" t="s">
        <v>60</v>
      </c>
      <c r="R479" s="46" t="s">
        <v>61</v>
      </c>
      <c r="S479" s="46" t="s">
        <v>62</v>
      </c>
      <c r="T479" s="46" t="s">
        <v>12</v>
      </c>
      <c r="U479" s="46" t="s">
        <v>63</v>
      </c>
    </row>
    <row r="480" spans="1:21">
      <c r="A480" s="47">
        <v>14358928</v>
      </c>
      <c r="B480" s="46" t="s">
        <v>2442</v>
      </c>
      <c r="C480" s="46" t="s">
        <v>2443</v>
      </c>
      <c r="D480" s="48">
        <v>22383</v>
      </c>
      <c r="E480" s="49">
        <f t="shared" ca="1" si="8"/>
        <v>65.216958433584992</v>
      </c>
      <c r="F480" s="50">
        <v>155941209</v>
      </c>
      <c r="G480" s="51" t="s">
        <v>86</v>
      </c>
      <c r="I480" s="59" t="s">
        <v>908</v>
      </c>
      <c r="J480" s="46" t="s">
        <v>2444</v>
      </c>
      <c r="M480" s="58" t="s">
        <v>25</v>
      </c>
    </row>
    <row r="481" spans="1:21">
      <c r="A481" s="47">
        <v>14359033</v>
      </c>
      <c r="B481" s="46" t="s">
        <v>350</v>
      </c>
      <c r="C481" s="52" t="s">
        <v>1777</v>
      </c>
      <c r="D481" s="48">
        <v>22316</v>
      </c>
      <c r="E481" s="49">
        <f t="shared" ca="1" si="8"/>
        <v>65.400398241101797</v>
      </c>
      <c r="F481" s="50">
        <v>153013896</v>
      </c>
      <c r="G481" s="51" t="s">
        <v>23</v>
      </c>
      <c r="I481" s="52" t="s">
        <v>1657</v>
      </c>
      <c r="J481" s="46" t="s">
        <v>38</v>
      </c>
      <c r="M481" s="58" t="s">
        <v>25</v>
      </c>
      <c r="N481" s="55"/>
      <c r="O481" s="55"/>
    </row>
    <row r="482" spans="1:21">
      <c r="A482" s="47">
        <v>14359336</v>
      </c>
      <c r="B482" s="46" t="s">
        <v>3807</v>
      </c>
      <c r="C482" s="52" t="s">
        <v>1672</v>
      </c>
      <c r="D482" s="48">
        <v>22423</v>
      </c>
      <c r="E482" s="49">
        <f t="shared" ca="1" si="8"/>
        <v>65.107442130589888</v>
      </c>
      <c r="F482" s="50">
        <v>156456614</v>
      </c>
      <c r="G482" s="51" t="s">
        <v>23</v>
      </c>
      <c r="I482" s="52" t="s">
        <v>3630</v>
      </c>
      <c r="J482" s="46" t="s">
        <v>673</v>
      </c>
      <c r="M482" s="53" t="s">
        <v>3808</v>
      </c>
      <c r="N482" s="55"/>
      <c r="O482" s="55"/>
    </row>
    <row r="483" spans="1:21">
      <c r="A483" s="47">
        <v>14359524</v>
      </c>
      <c r="B483" s="46" t="s">
        <v>1750</v>
      </c>
      <c r="C483" s="52" t="s">
        <v>1751</v>
      </c>
      <c r="E483" s="49" t="str">
        <f t="shared" ca="1" si="8"/>
        <v/>
      </c>
      <c r="F483" s="50">
        <v>155030167</v>
      </c>
      <c r="G483" s="51" t="s">
        <v>70</v>
      </c>
      <c r="I483" s="52" t="s">
        <v>1657</v>
      </c>
      <c r="J483" s="46" t="s">
        <v>1752</v>
      </c>
      <c r="M483" s="53" t="s">
        <v>1753</v>
      </c>
      <c r="N483" s="55">
        <v>4107567</v>
      </c>
      <c r="O483" s="55"/>
    </row>
    <row r="484" spans="1:21">
      <c r="A484" s="47">
        <v>14359591</v>
      </c>
      <c r="B484" s="54" t="s">
        <v>4247</v>
      </c>
      <c r="C484" s="54" t="s">
        <v>2822</v>
      </c>
      <c r="D484" s="48">
        <v>22480</v>
      </c>
      <c r="E484" s="49">
        <f t="shared" ca="1" si="8"/>
        <v>64.951381398821866</v>
      </c>
      <c r="F484" s="50">
        <v>153006510</v>
      </c>
      <c r="G484" s="51" t="s">
        <v>86</v>
      </c>
      <c r="I484" s="52" t="s">
        <v>4245</v>
      </c>
      <c r="J484" s="46" t="s">
        <v>4248</v>
      </c>
      <c r="M484" s="53" t="s">
        <v>4249</v>
      </c>
      <c r="N484" s="46">
        <v>4107234</v>
      </c>
      <c r="O484" s="46">
        <v>7234</v>
      </c>
      <c r="P484" s="46">
        <v>4</v>
      </c>
    </row>
    <row r="485" spans="1:21">
      <c r="A485" s="47">
        <v>14359662</v>
      </c>
      <c r="B485" s="46" t="s">
        <v>3770</v>
      </c>
      <c r="C485" s="46" t="s">
        <v>3771</v>
      </c>
      <c r="D485" s="48" t="s">
        <v>52</v>
      </c>
      <c r="E485" s="49" t="str">
        <f t="shared" ca="1" si="8"/>
        <v/>
      </c>
      <c r="F485" s="50" t="s">
        <v>3772</v>
      </c>
      <c r="G485" s="51" t="s">
        <v>78</v>
      </c>
      <c r="H485" s="52" t="s">
        <v>3773</v>
      </c>
      <c r="I485" s="52" t="s">
        <v>3630</v>
      </c>
      <c r="J485" s="46" t="s">
        <v>52</v>
      </c>
      <c r="K485" s="46" t="s">
        <v>81</v>
      </c>
      <c r="L485" s="46" t="s">
        <v>52</v>
      </c>
      <c r="M485" s="53" t="s">
        <v>3774</v>
      </c>
      <c r="N485" s="46" t="s">
        <v>3775</v>
      </c>
      <c r="O485" s="46" t="s">
        <v>3724</v>
      </c>
      <c r="P485" s="46" t="s">
        <v>59</v>
      </c>
      <c r="Q485" s="46" t="s">
        <v>60</v>
      </c>
      <c r="R485" s="46" t="s">
        <v>61</v>
      </c>
      <c r="S485" s="46" t="s">
        <v>62</v>
      </c>
      <c r="T485" s="46" t="s">
        <v>12</v>
      </c>
      <c r="U485" s="46" t="s">
        <v>63</v>
      </c>
    </row>
    <row r="486" spans="1:21">
      <c r="A486" s="47">
        <v>14359850</v>
      </c>
      <c r="B486" s="46" t="s">
        <v>5663</v>
      </c>
      <c r="C486" s="46" t="s">
        <v>5664</v>
      </c>
      <c r="D486" s="48" t="s">
        <v>5665</v>
      </c>
      <c r="E486" s="49">
        <f t="shared" ca="1" si="8"/>
        <v>64.784369036754327</v>
      </c>
      <c r="F486" s="50" t="s">
        <v>5666</v>
      </c>
      <c r="G486" s="51" t="s">
        <v>70</v>
      </c>
      <c r="H486" s="52" t="s">
        <v>4920</v>
      </c>
      <c r="I486" s="52" t="s">
        <v>5494</v>
      </c>
      <c r="J486" s="46" t="s">
        <v>5667</v>
      </c>
      <c r="K486" s="46" t="s">
        <v>52</v>
      </c>
      <c r="L486" s="46" t="s">
        <v>52</v>
      </c>
      <c r="M486" s="52" t="s">
        <v>5668</v>
      </c>
      <c r="N486" s="46" t="s">
        <v>5669</v>
      </c>
      <c r="O486" s="46" t="s">
        <v>52</v>
      </c>
      <c r="P486" s="46" t="s">
        <v>59</v>
      </c>
      <c r="Q486" s="46" t="s">
        <v>60</v>
      </c>
      <c r="R486" s="46" t="s">
        <v>61</v>
      </c>
      <c r="S486" s="46" t="s">
        <v>62</v>
      </c>
      <c r="T486" s="46" t="s">
        <v>12</v>
      </c>
      <c r="U486" s="46" t="s">
        <v>63</v>
      </c>
    </row>
    <row r="487" spans="1:21">
      <c r="A487" s="47">
        <v>14359872</v>
      </c>
      <c r="B487" s="46" t="s">
        <v>4282</v>
      </c>
      <c r="C487" s="46" t="s">
        <v>4827</v>
      </c>
      <c r="D487" s="48" t="s">
        <v>52</v>
      </c>
      <c r="E487" s="49" t="str">
        <f t="shared" ca="1" si="8"/>
        <v/>
      </c>
      <c r="F487" s="50" t="s">
        <v>4828</v>
      </c>
      <c r="G487" s="51" t="s">
        <v>352</v>
      </c>
      <c r="H487" s="52" t="s">
        <v>52</v>
      </c>
      <c r="I487" s="52" t="s">
        <v>4815</v>
      </c>
      <c r="J487" s="46" t="s">
        <v>4824</v>
      </c>
      <c r="K487" s="46" t="s">
        <v>52</v>
      </c>
      <c r="L487" s="46" t="s">
        <v>52</v>
      </c>
      <c r="M487" s="53" t="s">
        <v>4829</v>
      </c>
      <c r="N487" s="46" t="s">
        <v>52</v>
      </c>
      <c r="O487" s="46" t="s">
        <v>4826</v>
      </c>
      <c r="P487" s="46" t="s">
        <v>59</v>
      </c>
      <c r="Q487" s="46" t="s">
        <v>60</v>
      </c>
      <c r="R487" s="46" t="s">
        <v>61</v>
      </c>
      <c r="S487" s="46" t="s">
        <v>62</v>
      </c>
      <c r="T487" s="46" t="s">
        <v>12</v>
      </c>
      <c r="U487" s="46" t="s">
        <v>63</v>
      </c>
    </row>
    <row r="488" spans="1:21">
      <c r="A488" s="47">
        <v>14359977</v>
      </c>
      <c r="B488" s="46" t="s">
        <v>335</v>
      </c>
      <c r="C488" s="46" t="s">
        <v>336</v>
      </c>
      <c r="D488" s="48">
        <v>22575</v>
      </c>
      <c r="E488" s="49">
        <f t="shared" ca="1" si="8"/>
        <v>64.691280179208491</v>
      </c>
      <c r="F488" s="50">
        <v>154417258</v>
      </c>
      <c r="G488" s="51" t="s">
        <v>23</v>
      </c>
      <c r="I488" s="52" t="s">
        <v>24</v>
      </c>
      <c r="J488" s="46" t="s">
        <v>337</v>
      </c>
      <c r="M488" s="53" t="s">
        <v>338</v>
      </c>
      <c r="N488" s="46">
        <v>4107530</v>
      </c>
    </row>
    <row r="489" spans="1:21">
      <c r="A489" s="47">
        <v>14368715</v>
      </c>
      <c r="B489" s="46" t="s">
        <v>4126</v>
      </c>
      <c r="C489" s="46" t="s">
        <v>4127</v>
      </c>
      <c r="D489" s="48">
        <v>22467</v>
      </c>
      <c r="E489" s="49">
        <f t="shared" ca="1" si="8"/>
        <v>64.986974197295282</v>
      </c>
      <c r="F489" s="50">
        <v>154540604</v>
      </c>
      <c r="G489" s="51" t="s">
        <v>23</v>
      </c>
      <c r="I489" s="52" t="s">
        <v>4078</v>
      </c>
      <c r="J489" s="46" t="s">
        <v>4079</v>
      </c>
      <c r="M489" s="53" t="s">
        <v>4128</v>
      </c>
      <c r="N489" s="46">
        <v>3865483797</v>
      </c>
    </row>
    <row r="490" spans="1:21">
      <c r="A490" s="47">
        <v>14387575</v>
      </c>
      <c r="B490" s="46" t="s">
        <v>1596</v>
      </c>
      <c r="C490" s="52" t="s">
        <v>1597</v>
      </c>
      <c r="E490" s="49" t="str">
        <f t="shared" ca="1" si="8"/>
        <v/>
      </c>
      <c r="F490" s="50">
        <v>155243398</v>
      </c>
      <c r="G490" s="51" t="s">
        <v>70</v>
      </c>
      <c r="I490" s="52" t="s">
        <v>1497</v>
      </c>
      <c r="J490" s="46" t="s">
        <v>664</v>
      </c>
      <c r="M490" s="53" t="s">
        <v>1598</v>
      </c>
      <c r="N490" s="55"/>
      <c r="O490" s="55"/>
    </row>
    <row r="491" spans="1:21">
      <c r="A491" s="47">
        <v>14410428</v>
      </c>
      <c r="B491" s="46" t="s">
        <v>2731</v>
      </c>
      <c r="C491" s="46" t="s">
        <v>1061</v>
      </c>
      <c r="D491" s="48" t="s">
        <v>52</v>
      </c>
      <c r="E491" s="49" t="str">
        <f t="shared" ca="1" si="8"/>
        <v/>
      </c>
      <c r="F491" s="50" t="s">
        <v>3715</v>
      </c>
      <c r="G491" s="51" t="s">
        <v>70</v>
      </c>
      <c r="H491" s="52" t="s">
        <v>3716</v>
      </c>
      <c r="I491" s="52" t="s">
        <v>3630</v>
      </c>
      <c r="J491" s="46" t="s">
        <v>244</v>
      </c>
      <c r="K491" s="46" t="s">
        <v>81</v>
      </c>
      <c r="L491" s="46" t="s">
        <v>1362</v>
      </c>
      <c r="M491" s="53" t="s">
        <v>3717</v>
      </c>
      <c r="N491" s="46" t="s">
        <v>3718</v>
      </c>
      <c r="O491" s="46" t="s">
        <v>52</v>
      </c>
      <c r="P491" s="46" t="s">
        <v>59</v>
      </c>
      <c r="Q491" s="46" t="s">
        <v>60</v>
      </c>
      <c r="R491" s="46" t="s">
        <v>61</v>
      </c>
      <c r="S491" s="46" t="s">
        <v>62</v>
      </c>
      <c r="T491" s="46" t="s">
        <v>12</v>
      </c>
      <c r="U491" s="46" t="s">
        <v>63</v>
      </c>
    </row>
    <row r="492" spans="1:21">
      <c r="A492" s="47">
        <v>14410462</v>
      </c>
      <c r="B492" s="46" t="s">
        <v>1906</v>
      </c>
      <c r="C492" s="52" t="s">
        <v>274</v>
      </c>
      <c r="D492" s="48">
        <v>22249</v>
      </c>
      <c r="E492" s="49">
        <f t="shared" ca="1" si="8"/>
        <v>65.581807780320375</v>
      </c>
      <c r="F492" s="50">
        <v>154014579</v>
      </c>
      <c r="G492" s="51" t="s">
        <v>23</v>
      </c>
      <c r="I492" s="52" t="s">
        <v>4245</v>
      </c>
      <c r="M492" s="53" t="s">
        <v>4265</v>
      </c>
      <c r="N492" s="55">
        <v>4107242</v>
      </c>
      <c r="O492" s="55"/>
    </row>
    <row r="493" spans="1:21">
      <c r="A493" s="47">
        <v>14410492</v>
      </c>
      <c r="B493" s="46" t="s">
        <v>5147</v>
      </c>
      <c r="C493" s="46" t="s">
        <v>5148</v>
      </c>
      <c r="D493" s="48">
        <v>22564</v>
      </c>
      <c r="E493" s="49">
        <f t="shared" ca="1" si="8"/>
        <v>64.721397162532142</v>
      </c>
      <c r="F493" s="50">
        <v>155130906</v>
      </c>
      <c r="G493" s="51" t="s">
        <v>141</v>
      </c>
      <c r="I493" s="52" t="s">
        <v>4954</v>
      </c>
      <c r="J493" s="46" t="s">
        <v>470</v>
      </c>
      <c r="M493" s="53" t="s">
        <v>5149</v>
      </c>
      <c r="N493" s="46">
        <v>4253631</v>
      </c>
      <c r="P493" s="46">
        <v>4</v>
      </c>
    </row>
    <row r="494" spans="1:21">
      <c r="A494" s="47">
        <v>14410500</v>
      </c>
      <c r="B494" s="46" t="s">
        <v>1554</v>
      </c>
      <c r="C494" s="52" t="s">
        <v>1555</v>
      </c>
      <c r="D494" s="48">
        <v>22696</v>
      </c>
      <c r="E494" s="49">
        <f t="shared" ca="1" si="8"/>
        <v>64.359336169495805</v>
      </c>
      <c r="G494" s="51" t="s">
        <v>70</v>
      </c>
      <c r="I494" s="52" t="s">
        <v>1497</v>
      </c>
      <c r="J494" s="46" t="s">
        <v>1556</v>
      </c>
      <c r="M494" s="53" t="s">
        <v>1557</v>
      </c>
      <c r="N494" s="55">
        <v>4330633</v>
      </c>
      <c r="O494" s="55">
        <v>202</v>
      </c>
    </row>
    <row r="495" spans="1:21">
      <c r="A495" s="47">
        <v>14410631</v>
      </c>
      <c r="B495" s="46" t="s">
        <v>242</v>
      </c>
      <c r="C495" s="52" t="s">
        <v>243</v>
      </c>
      <c r="D495" s="48">
        <v>22681</v>
      </c>
      <c r="E495" s="49">
        <f t="shared" ca="1" si="8"/>
        <v>64.400404363758895</v>
      </c>
      <c r="F495" s="50">
        <v>155993926</v>
      </c>
      <c r="G495" s="51" t="s">
        <v>23</v>
      </c>
      <c r="I495" s="52" t="s">
        <v>24</v>
      </c>
      <c r="J495" s="46" t="s">
        <v>244</v>
      </c>
      <c r="M495" s="53" t="s">
        <v>245</v>
      </c>
      <c r="N495" s="55" t="s">
        <v>246</v>
      </c>
      <c r="O495" s="55"/>
    </row>
    <row r="496" spans="1:21">
      <c r="A496" s="47">
        <v>14427866</v>
      </c>
      <c r="B496" s="46" t="s">
        <v>4150</v>
      </c>
      <c r="C496" s="46" t="s">
        <v>3106</v>
      </c>
      <c r="D496" s="48">
        <v>22122</v>
      </c>
      <c r="E496" s="49">
        <f t="shared" ca="1" si="8"/>
        <v>65.929511278195491</v>
      </c>
      <c r="F496" s="50" t="s">
        <v>4151</v>
      </c>
      <c r="G496" s="51" t="s">
        <v>23</v>
      </c>
      <c r="I496" s="52" t="s">
        <v>4078</v>
      </c>
      <c r="J496" s="46" t="s">
        <v>2140</v>
      </c>
      <c r="M496" s="53" t="s">
        <v>4152</v>
      </c>
      <c r="N496" s="46">
        <v>3865483797</v>
      </c>
    </row>
    <row r="497" spans="1:21">
      <c r="A497" s="47">
        <v>14465846</v>
      </c>
      <c r="B497" s="46" t="s">
        <v>1890</v>
      </c>
      <c r="C497" s="46" t="s">
        <v>4076</v>
      </c>
      <c r="D497" s="48">
        <v>22946</v>
      </c>
      <c r="E497" s="49">
        <f t="shared" ca="1" si="8"/>
        <v>63.674866265110992</v>
      </c>
      <c r="F497" s="50" t="s">
        <v>4077</v>
      </c>
      <c r="G497" s="51" t="s">
        <v>23</v>
      </c>
      <c r="I497" s="52" t="s">
        <v>4078</v>
      </c>
      <c r="J497" s="46" t="s">
        <v>4079</v>
      </c>
      <c r="M497" s="53" t="s">
        <v>4080</v>
      </c>
    </row>
    <row r="498" spans="1:21">
      <c r="A498" s="47">
        <v>14466103</v>
      </c>
      <c r="B498" s="46" t="s">
        <v>4161</v>
      </c>
      <c r="C498" s="46" t="s">
        <v>4162</v>
      </c>
      <c r="D498" s="48">
        <v>22967</v>
      </c>
      <c r="E498" s="49">
        <f t="shared" ca="1" si="8"/>
        <v>63.617370793142662</v>
      </c>
      <c r="F498" s="50" t="s">
        <v>4163</v>
      </c>
      <c r="G498" s="51" t="s">
        <v>23</v>
      </c>
      <c r="I498" s="52" t="s">
        <v>4078</v>
      </c>
      <c r="J498" s="46" t="s">
        <v>2300</v>
      </c>
      <c r="M498" s="53" t="s">
        <v>4128</v>
      </c>
      <c r="N498" s="46">
        <v>3865483797</v>
      </c>
      <c r="O498" s="46">
        <v>14</v>
      </c>
    </row>
    <row r="499" spans="1:21">
      <c r="A499" s="47">
        <v>14480312</v>
      </c>
      <c r="B499" s="46" t="s">
        <v>1523</v>
      </c>
      <c r="C499" s="52" t="s">
        <v>6248</v>
      </c>
      <c r="E499" s="49" t="str">
        <f t="shared" ca="1" si="8"/>
        <v/>
      </c>
      <c r="G499" s="51" t="s">
        <v>23</v>
      </c>
      <c r="I499" s="52" t="s">
        <v>23</v>
      </c>
      <c r="M499" s="58" t="s">
        <v>25</v>
      </c>
      <c r="N499" s="55"/>
      <c r="O499" s="55"/>
    </row>
    <row r="500" spans="1:21">
      <c r="A500" s="66">
        <v>14480336</v>
      </c>
      <c r="B500" s="67" t="s">
        <v>308</v>
      </c>
      <c r="C500" s="52" t="s">
        <v>309</v>
      </c>
      <c r="D500" s="48">
        <v>22684</v>
      </c>
      <c r="E500" s="49">
        <f t="shared" ca="1" si="8"/>
        <v>64.392190724906285</v>
      </c>
      <c r="F500" s="57">
        <v>3815832174</v>
      </c>
      <c r="G500" s="51" t="s">
        <v>23</v>
      </c>
      <c r="I500" s="52" t="s">
        <v>24</v>
      </c>
      <c r="M500" s="53" t="s">
        <v>310</v>
      </c>
      <c r="N500" s="55"/>
      <c r="O500" s="55"/>
    </row>
    <row r="501" spans="1:21">
      <c r="A501" s="47">
        <v>14480427</v>
      </c>
      <c r="B501" s="46" t="s">
        <v>6245</v>
      </c>
      <c r="C501" s="46" t="s">
        <v>215</v>
      </c>
      <c r="E501" s="49" t="str">
        <f t="shared" ca="1" si="8"/>
        <v/>
      </c>
      <c r="F501" s="50">
        <v>3814808968</v>
      </c>
      <c r="G501" s="51" t="s">
        <v>23</v>
      </c>
      <c r="I501" s="52" t="s">
        <v>23</v>
      </c>
      <c r="M501" s="52" t="s">
        <v>6246</v>
      </c>
    </row>
    <row r="502" spans="1:21">
      <c r="A502" s="64">
        <v>14480444</v>
      </c>
      <c r="B502" s="61" t="s">
        <v>5781</v>
      </c>
      <c r="C502" s="62" t="s">
        <v>639</v>
      </c>
      <c r="D502" s="48">
        <v>22626</v>
      </c>
      <c r="E502" s="49">
        <f t="shared" ca="1" si="8"/>
        <v>64.551646892889735</v>
      </c>
      <c r="F502" s="63">
        <v>154904519</v>
      </c>
      <c r="G502" s="51" t="s">
        <v>23</v>
      </c>
      <c r="I502" s="52" t="s">
        <v>5761</v>
      </c>
      <c r="J502" s="61" t="s">
        <v>75</v>
      </c>
      <c r="K502" s="61"/>
      <c r="L502" s="61"/>
      <c r="M502" s="53" t="s">
        <v>5782</v>
      </c>
      <c r="N502" s="55"/>
      <c r="O502" s="55"/>
    </row>
    <row r="503" spans="1:21">
      <c r="A503" s="47">
        <v>14480478</v>
      </c>
      <c r="B503" s="46" t="s">
        <v>4603</v>
      </c>
      <c r="C503" s="52" t="s">
        <v>708</v>
      </c>
      <c r="D503" s="48" t="s">
        <v>52</v>
      </c>
      <c r="E503" s="49" t="str">
        <f t="shared" ca="1" si="8"/>
        <v/>
      </c>
      <c r="F503" s="50" t="s">
        <v>4604</v>
      </c>
      <c r="G503" s="51" t="s">
        <v>141</v>
      </c>
      <c r="H503" s="52" t="s">
        <v>52</v>
      </c>
      <c r="I503" s="52" t="s">
        <v>4499</v>
      </c>
      <c r="J503" s="46" t="s">
        <v>4605</v>
      </c>
      <c r="K503" s="46" t="s">
        <v>81</v>
      </c>
      <c r="L503" s="46" t="s">
        <v>52</v>
      </c>
      <c r="M503" s="53" t="s">
        <v>4606</v>
      </c>
      <c r="N503" s="55" t="s">
        <v>4607</v>
      </c>
      <c r="O503" s="55" t="s">
        <v>4608</v>
      </c>
      <c r="P503" s="46" t="s">
        <v>59</v>
      </c>
      <c r="Q503" s="46" t="s">
        <v>60</v>
      </c>
      <c r="R503" s="46" t="s">
        <v>61</v>
      </c>
      <c r="S503" s="46" t="s">
        <v>62</v>
      </c>
      <c r="T503" s="46" t="s">
        <v>12</v>
      </c>
      <c r="U503" s="46" t="s">
        <v>63</v>
      </c>
    </row>
    <row r="504" spans="1:21">
      <c r="A504" s="47">
        <v>14480554</v>
      </c>
      <c r="B504" s="46" t="s">
        <v>1671</v>
      </c>
      <c r="C504" s="46" t="s">
        <v>1672</v>
      </c>
      <c r="D504" s="48" t="s">
        <v>1673</v>
      </c>
      <c r="E504" s="49">
        <f t="shared" ca="1" si="8"/>
        <v>64.373025567583511</v>
      </c>
      <c r="F504" s="50" t="s">
        <v>1674</v>
      </c>
      <c r="G504" s="51" t="s">
        <v>352</v>
      </c>
      <c r="H504" s="52" t="s">
        <v>52</v>
      </c>
      <c r="I504" s="52" t="s">
        <v>1657</v>
      </c>
      <c r="J504" s="46" t="s">
        <v>38</v>
      </c>
      <c r="K504" s="46" t="s">
        <v>81</v>
      </c>
      <c r="L504" s="46" t="s">
        <v>52</v>
      </c>
      <c r="M504" s="53" t="s">
        <v>1675</v>
      </c>
      <c r="N504" s="46" t="s">
        <v>1676</v>
      </c>
      <c r="O504" s="46" t="s">
        <v>52</v>
      </c>
      <c r="P504" s="46" t="s">
        <v>59</v>
      </c>
      <c r="Q504" s="46" t="s">
        <v>60</v>
      </c>
      <c r="R504" s="46" t="s">
        <v>61</v>
      </c>
      <c r="S504" s="46" t="s">
        <v>62</v>
      </c>
      <c r="T504" s="46" t="s">
        <v>12</v>
      </c>
      <c r="U504" s="46" t="s">
        <v>63</v>
      </c>
    </row>
    <row r="505" spans="1:21">
      <c r="A505" s="47">
        <v>14480566</v>
      </c>
      <c r="B505" s="46" t="s">
        <v>1168</v>
      </c>
      <c r="C505" s="52" t="s">
        <v>6294</v>
      </c>
      <c r="E505" s="49" t="str">
        <f t="shared" ca="1" si="8"/>
        <v/>
      </c>
      <c r="G505" s="51" t="s">
        <v>23</v>
      </c>
      <c r="I505" s="52" t="s">
        <v>23</v>
      </c>
      <c r="M505" s="58" t="s">
        <v>25</v>
      </c>
      <c r="N505" s="55"/>
      <c r="O505" s="55"/>
    </row>
    <row r="506" spans="1:21">
      <c r="A506" s="47">
        <v>14480885</v>
      </c>
      <c r="B506" s="46" t="s">
        <v>2243</v>
      </c>
      <c r="C506" s="46" t="s">
        <v>129</v>
      </c>
      <c r="E506" s="49" t="str">
        <f t="shared" ca="1" si="8"/>
        <v/>
      </c>
      <c r="F506" s="50">
        <v>155161525</v>
      </c>
      <c r="G506" s="51" t="s">
        <v>23</v>
      </c>
      <c r="I506" s="52" t="s">
        <v>1881</v>
      </c>
      <c r="M506" s="53" t="s">
        <v>2247</v>
      </c>
    </row>
    <row r="507" spans="1:21">
      <c r="A507" s="47">
        <v>14481504</v>
      </c>
      <c r="B507" s="46" t="s">
        <v>1032</v>
      </c>
      <c r="C507" s="52" t="s">
        <v>4723</v>
      </c>
      <c r="D507" s="48" t="s">
        <v>52</v>
      </c>
      <c r="E507" s="49" t="str">
        <f t="shared" ca="1" si="8"/>
        <v/>
      </c>
      <c r="F507" s="50" t="s">
        <v>4724</v>
      </c>
      <c r="G507" s="51" t="s">
        <v>141</v>
      </c>
      <c r="H507" s="52" t="s">
        <v>52</v>
      </c>
      <c r="I507" s="65" t="s">
        <v>4708</v>
      </c>
      <c r="J507" s="46" t="s">
        <v>4725</v>
      </c>
      <c r="K507" s="46" t="s">
        <v>81</v>
      </c>
      <c r="L507" s="46" t="s">
        <v>52</v>
      </c>
      <c r="M507" s="53" t="s">
        <v>4726</v>
      </c>
      <c r="N507" s="55" t="s">
        <v>4727</v>
      </c>
      <c r="O507" s="55" t="s">
        <v>52</v>
      </c>
      <c r="P507" s="46" t="s">
        <v>59</v>
      </c>
      <c r="Q507" s="46" t="s">
        <v>60</v>
      </c>
      <c r="R507" s="46" t="s">
        <v>61</v>
      </c>
      <c r="S507" s="46" t="s">
        <v>62</v>
      </c>
      <c r="T507" s="46" t="s">
        <v>12</v>
      </c>
      <c r="U507" s="46" t="s">
        <v>63</v>
      </c>
    </row>
    <row r="508" spans="1:21">
      <c r="A508" s="47">
        <v>14481830</v>
      </c>
      <c r="B508" s="46" t="s">
        <v>2664</v>
      </c>
      <c r="C508" s="46" t="s">
        <v>2665</v>
      </c>
      <c r="D508" s="48">
        <v>22844</v>
      </c>
      <c r="E508" s="49">
        <f t="shared" ca="1" si="8"/>
        <v>63.954129986099993</v>
      </c>
      <c r="F508" s="50">
        <v>155441818</v>
      </c>
      <c r="G508" s="51" t="s">
        <v>78</v>
      </c>
      <c r="I508" s="52" t="s">
        <v>2666</v>
      </c>
      <c r="J508" s="46" t="s">
        <v>2667</v>
      </c>
      <c r="M508" s="52" t="s">
        <v>2668</v>
      </c>
      <c r="N508" s="46">
        <v>4107280</v>
      </c>
      <c r="O508" s="46">
        <v>7207</v>
      </c>
      <c r="P508" s="46">
        <v>3</v>
      </c>
    </row>
    <row r="509" spans="1:21">
      <c r="A509" s="47">
        <v>14500277</v>
      </c>
      <c r="B509" s="46" t="s">
        <v>1022</v>
      </c>
      <c r="C509" s="52" t="s">
        <v>1023</v>
      </c>
      <c r="E509" s="49" t="str">
        <f t="shared" ca="1" si="8"/>
        <v/>
      </c>
      <c r="G509" s="51" t="s">
        <v>78</v>
      </c>
      <c r="I509" s="59" t="s">
        <v>908</v>
      </c>
      <c r="J509" s="46" t="s">
        <v>1024</v>
      </c>
      <c r="M509" s="53" t="s">
        <v>1025</v>
      </c>
      <c r="N509" s="55" t="s">
        <v>1026</v>
      </c>
      <c r="O509" s="55"/>
    </row>
    <row r="510" spans="1:21">
      <c r="A510" s="75">
        <v>14601680</v>
      </c>
      <c r="B510" s="46" t="s">
        <v>2154</v>
      </c>
      <c r="C510" s="52" t="s">
        <v>2155</v>
      </c>
      <c r="D510" s="48">
        <v>22590</v>
      </c>
      <c r="E510" s="49">
        <f t="shared" ca="1" si="8"/>
        <v>64.650211565585337</v>
      </c>
      <c r="F510" s="72">
        <v>153020130</v>
      </c>
      <c r="G510" s="51" t="s">
        <v>23</v>
      </c>
      <c r="I510" s="52" t="s">
        <v>1881</v>
      </c>
      <c r="J510" s="76" t="s">
        <v>2156</v>
      </c>
      <c r="K510" s="76"/>
      <c r="L510" s="76"/>
      <c r="M510" s="53" t="s">
        <v>2157</v>
      </c>
      <c r="N510" s="55"/>
      <c r="O510" s="55"/>
    </row>
    <row r="511" spans="1:21">
      <c r="A511" s="47">
        <v>14660159</v>
      </c>
      <c r="B511" s="46" t="s">
        <v>3023</v>
      </c>
      <c r="C511" s="46" t="s">
        <v>584</v>
      </c>
      <c r="D511" s="48" t="s">
        <v>3024</v>
      </c>
      <c r="E511" s="49">
        <f t="shared" ca="1" si="8"/>
        <v>65.219696341159874</v>
      </c>
      <c r="F511" s="50" t="s">
        <v>3025</v>
      </c>
      <c r="G511" s="51" t="s">
        <v>86</v>
      </c>
      <c r="H511" s="52" t="s">
        <v>52</v>
      </c>
      <c r="I511" s="52" t="s">
        <v>2926</v>
      </c>
      <c r="J511" s="46" t="s">
        <v>3026</v>
      </c>
      <c r="K511" s="46" t="s">
        <v>81</v>
      </c>
      <c r="L511" s="46" t="s">
        <v>52</v>
      </c>
      <c r="M511" s="53" t="s">
        <v>3027</v>
      </c>
      <c r="N511" s="46" t="s">
        <v>52</v>
      </c>
      <c r="O511" s="46" t="s">
        <v>52</v>
      </c>
      <c r="P511" s="46" t="s">
        <v>59</v>
      </c>
      <c r="Q511" s="46" t="s">
        <v>60</v>
      </c>
      <c r="R511" s="46" t="s">
        <v>61</v>
      </c>
      <c r="S511" s="46" t="s">
        <v>62</v>
      </c>
      <c r="T511" s="46" t="s">
        <v>12</v>
      </c>
      <c r="U511" s="46" t="s">
        <v>63</v>
      </c>
    </row>
    <row r="512" spans="1:21">
      <c r="A512" s="47">
        <v>14660185</v>
      </c>
      <c r="B512" s="46" t="s">
        <v>5940</v>
      </c>
      <c r="C512" s="46" t="s">
        <v>5941</v>
      </c>
      <c r="D512" s="48" t="s">
        <v>52</v>
      </c>
      <c r="E512" s="49" t="str">
        <f t="shared" ca="1" si="8"/>
        <v/>
      </c>
      <c r="F512" s="50" t="s">
        <v>5942</v>
      </c>
      <c r="G512" s="51" t="s">
        <v>70</v>
      </c>
      <c r="H512" s="52" t="s">
        <v>52</v>
      </c>
      <c r="I512" s="52" t="s">
        <v>5881</v>
      </c>
      <c r="J512" s="46" t="s">
        <v>2735</v>
      </c>
      <c r="K512" s="46" t="s">
        <v>52</v>
      </c>
      <c r="L512" s="46" t="s">
        <v>546</v>
      </c>
      <c r="M512" s="52" t="s">
        <v>5943</v>
      </c>
      <c r="N512" s="46" t="s">
        <v>52</v>
      </c>
      <c r="O512" s="46" t="s">
        <v>52</v>
      </c>
      <c r="P512" s="46" t="s">
        <v>59</v>
      </c>
      <c r="Q512" s="46" t="s">
        <v>60</v>
      </c>
      <c r="R512" s="46" t="s">
        <v>61</v>
      </c>
      <c r="S512" s="46" t="s">
        <v>62</v>
      </c>
      <c r="T512" s="46" t="s">
        <v>12</v>
      </c>
      <c r="U512" s="46" t="s">
        <v>63</v>
      </c>
    </row>
    <row r="513" spans="1:21">
      <c r="A513" s="47">
        <v>14660398</v>
      </c>
      <c r="B513" s="46" t="s">
        <v>1823</v>
      </c>
      <c r="C513" s="46" t="s">
        <v>4409</v>
      </c>
      <c r="D513" s="48">
        <v>22344</v>
      </c>
      <c r="E513" s="49">
        <f t="shared" ca="1" si="8"/>
        <v>65.323736829005227</v>
      </c>
      <c r="F513" s="50">
        <v>155378516</v>
      </c>
      <c r="G513" s="51" t="s">
        <v>78</v>
      </c>
      <c r="I513" s="52" t="s">
        <v>4245</v>
      </c>
      <c r="M513" s="58" t="s">
        <v>25</v>
      </c>
    </row>
    <row r="514" spans="1:21">
      <c r="A514" s="47">
        <v>14660417</v>
      </c>
      <c r="B514" s="46" t="s">
        <v>218</v>
      </c>
      <c r="C514" s="46" t="s">
        <v>1094</v>
      </c>
      <c r="E514" s="49" t="str">
        <f t="shared" ca="1" si="8"/>
        <v/>
      </c>
      <c r="F514" s="50">
        <v>155799516</v>
      </c>
      <c r="G514" s="51" t="s">
        <v>23</v>
      </c>
      <c r="I514" s="59" t="s">
        <v>908</v>
      </c>
      <c r="M514" s="53" t="s">
        <v>1095</v>
      </c>
      <c r="O514" s="50" t="s">
        <v>1096</v>
      </c>
    </row>
    <row r="515" spans="1:21">
      <c r="A515" s="47">
        <v>14660494</v>
      </c>
      <c r="B515" s="46" t="s">
        <v>1280</v>
      </c>
      <c r="C515" s="52" t="s">
        <v>1281</v>
      </c>
      <c r="D515" s="48">
        <v>25556</v>
      </c>
      <c r="E515" s="49">
        <f t="shared" ca="1" si="8"/>
        <v>56.529739425981873</v>
      </c>
      <c r="F515" s="50">
        <v>155008546</v>
      </c>
      <c r="G515" s="51" t="s">
        <v>23</v>
      </c>
      <c r="I515" s="59" t="s">
        <v>908</v>
      </c>
      <c r="J515" s="46" t="s">
        <v>645</v>
      </c>
      <c r="M515" s="53" t="s">
        <v>1282</v>
      </c>
      <c r="N515" s="55"/>
      <c r="O515" s="55"/>
    </row>
    <row r="516" spans="1:21">
      <c r="A516" s="47">
        <v>14660514</v>
      </c>
      <c r="B516" s="46" t="s">
        <v>288</v>
      </c>
      <c r="C516" s="52" t="s">
        <v>291</v>
      </c>
      <c r="D516" s="48">
        <v>22570</v>
      </c>
      <c r="E516" s="49">
        <f t="shared" ca="1" si="8"/>
        <v>64.704969717082889</v>
      </c>
      <c r="G516" s="51" t="s">
        <v>23</v>
      </c>
      <c r="I516" s="52" t="s">
        <v>24</v>
      </c>
      <c r="M516" s="53" t="s">
        <v>292</v>
      </c>
      <c r="N516" s="55"/>
      <c r="O516" s="55"/>
    </row>
    <row r="517" spans="1:21">
      <c r="A517" s="74">
        <v>14660614</v>
      </c>
      <c r="B517" s="234" t="s">
        <v>6878</v>
      </c>
      <c r="C517" s="234" t="s">
        <v>6895</v>
      </c>
      <c r="D517" s="235">
        <v>22414</v>
      </c>
      <c r="E517" s="236"/>
      <c r="F517" s="237">
        <v>3814683014</v>
      </c>
      <c r="G517" s="234" t="s">
        <v>70</v>
      </c>
      <c r="H517" s="238" t="s">
        <v>9945</v>
      </c>
      <c r="I517" s="252" t="s">
        <v>1497</v>
      </c>
      <c r="J517" s="234" t="s">
        <v>9978</v>
      </c>
      <c r="K517" s="234" t="s">
        <v>2002</v>
      </c>
      <c r="L517" s="234"/>
      <c r="M517" s="238" t="s">
        <v>9913</v>
      </c>
      <c r="N517" s="234"/>
      <c r="O517" s="234"/>
      <c r="P517" s="234"/>
      <c r="Q517" s="234"/>
      <c r="R517" s="234"/>
      <c r="S517" s="234"/>
      <c r="T517" s="234"/>
      <c r="U517" s="234"/>
    </row>
    <row r="518" spans="1:21">
      <c r="A518" s="47">
        <v>14660759</v>
      </c>
      <c r="B518" s="46" t="s">
        <v>3023</v>
      </c>
      <c r="C518" s="46" t="s">
        <v>584</v>
      </c>
      <c r="D518" s="48">
        <v>22382</v>
      </c>
      <c r="E518" s="49">
        <f t="shared" ref="E518:E549" ca="1" si="9">IF(D518="","",YEARFRAC(D518,TODAY(),1))</f>
        <v>65.219696341159874</v>
      </c>
      <c r="F518" s="50">
        <v>153390976</v>
      </c>
      <c r="G518" s="51" t="s">
        <v>86</v>
      </c>
      <c r="I518" s="52" t="s">
        <v>2926</v>
      </c>
      <c r="M518" s="53" t="s">
        <v>3028</v>
      </c>
    </row>
    <row r="519" spans="1:21">
      <c r="A519" s="47">
        <v>14660764</v>
      </c>
      <c r="B519" s="46" t="s">
        <v>2121</v>
      </c>
      <c r="C519" s="52" t="s">
        <v>3469</v>
      </c>
      <c r="E519" s="49" t="str">
        <f t="shared" ca="1" si="9"/>
        <v/>
      </c>
      <c r="G519" s="51" t="s">
        <v>23</v>
      </c>
      <c r="I519" s="52" t="s">
        <v>3427</v>
      </c>
      <c r="J519" s="46" t="s">
        <v>3470</v>
      </c>
      <c r="M519" s="58" t="s">
        <v>25</v>
      </c>
      <c r="N519" s="55">
        <v>4373957</v>
      </c>
      <c r="O519" s="55"/>
    </row>
    <row r="520" spans="1:21">
      <c r="A520" s="47">
        <v>14660769</v>
      </c>
      <c r="B520" s="46" t="s">
        <v>47</v>
      </c>
      <c r="C520" s="52" t="s">
        <v>365</v>
      </c>
      <c r="D520" s="48">
        <v>22693</v>
      </c>
      <c r="E520" s="49">
        <f t="shared" ca="1" si="9"/>
        <v>64.367549808348429</v>
      </c>
      <c r="F520" s="50">
        <v>155416864</v>
      </c>
      <c r="G520" s="51" t="s">
        <v>23</v>
      </c>
      <c r="I520" s="52" t="s">
        <v>3630</v>
      </c>
      <c r="M520" s="53" t="s">
        <v>3638</v>
      </c>
      <c r="N520" s="55"/>
      <c r="O520" s="55"/>
    </row>
    <row r="521" spans="1:21">
      <c r="A521" s="47">
        <v>14660801</v>
      </c>
      <c r="B521" s="46" t="s">
        <v>680</v>
      </c>
      <c r="C521" s="46" t="s">
        <v>2702</v>
      </c>
      <c r="D521" s="48">
        <v>22579</v>
      </c>
      <c r="E521" s="49">
        <f t="shared" ca="1" si="9"/>
        <v>64.680328548908989</v>
      </c>
      <c r="F521" s="50">
        <v>155038336</v>
      </c>
      <c r="G521" s="51" t="s">
        <v>86</v>
      </c>
      <c r="I521" s="52" t="s">
        <v>2694</v>
      </c>
      <c r="J521" s="46" t="s">
        <v>2703</v>
      </c>
      <c r="M521" s="53" t="s">
        <v>2704</v>
      </c>
      <c r="N521" s="46">
        <v>4107260</v>
      </c>
      <c r="P521" s="46" t="s">
        <v>2705</v>
      </c>
    </row>
    <row r="522" spans="1:21">
      <c r="A522" s="47">
        <v>14660819</v>
      </c>
      <c r="B522" s="46" t="s">
        <v>789</v>
      </c>
      <c r="C522" s="46" t="s">
        <v>790</v>
      </c>
      <c r="D522" s="48" t="s">
        <v>52</v>
      </c>
      <c r="E522" s="49" t="str">
        <f t="shared" ca="1" si="9"/>
        <v/>
      </c>
      <c r="F522" s="50" t="s">
        <v>791</v>
      </c>
      <c r="G522" s="51" t="s">
        <v>70</v>
      </c>
      <c r="H522" s="52" t="s">
        <v>792</v>
      </c>
      <c r="I522" s="52" t="s">
        <v>594</v>
      </c>
      <c r="J522" s="46" t="s">
        <v>52</v>
      </c>
      <c r="K522" s="46" t="s">
        <v>112</v>
      </c>
      <c r="L522" s="46" t="s">
        <v>52</v>
      </c>
      <c r="M522" s="52" t="s">
        <v>793</v>
      </c>
      <c r="N522" s="46" t="s">
        <v>720</v>
      </c>
      <c r="O522" s="46" t="s">
        <v>52</v>
      </c>
      <c r="P522" s="46" t="s">
        <v>59</v>
      </c>
      <c r="Q522" s="46" t="s">
        <v>60</v>
      </c>
      <c r="R522" s="46" t="s">
        <v>61</v>
      </c>
      <c r="S522" s="46" t="s">
        <v>62</v>
      </c>
      <c r="T522" s="46" t="s">
        <v>12</v>
      </c>
      <c r="U522" s="46" t="s">
        <v>63</v>
      </c>
    </row>
    <row r="523" spans="1:21">
      <c r="A523" s="47">
        <v>14661127</v>
      </c>
      <c r="B523" s="46" t="s">
        <v>2087</v>
      </c>
      <c r="C523" s="52" t="s">
        <v>2512</v>
      </c>
      <c r="D523" s="48">
        <v>22736</v>
      </c>
      <c r="E523" s="49">
        <f t="shared" ca="1" si="9"/>
        <v>64.249820984794241</v>
      </c>
      <c r="F523" s="50">
        <v>156449082</v>
      </c>
      <c r="G523" s="51" t="s">
        <v>23</v>
      </c>
      <c r="I523" s="59" t="s">
        <v>908</v>
      </c>
      <c r="J523" s="46" t="s">
        <v>2513</v>
      </c>
      <c r="M523" s="53" t="s">
        <v>2478</v>
      </c>
      <c r="N523" s="55"/>
      <c r="O523" s="55"/>
    </row>
    <row r="524" spans="1:21">
      <c r="A524" s="60">
        <v>14661346</v>
      </c>
      <c r="B524" s="61" t="s">
        <v>47</v>
      </c>
      <c r="C524" s="62" t="s">
        <v>4958</v>
      </c>
      <c r="D524" s="48">
        <v>22777</v>
      </c>
      <c r="E524" s="49">
        <f t="shared" ca="1" si="9"/>
        <v>64.137567920475121</v>
      </c>
      <c r="F524" s="63">
        <v>155725452</v>
      </c>
      <c r="G524" s="51" t="s">
        <v>23</v>
      </c>
      <c r="I524" s="65" t="s">
        <v>4954</v>
      </c>
      <c r="J524" s="61" t="s">
        <v>4959</v>
      </c>
      <c r="K524" s="61"/>
      <c r="L524" s="61"/>
      <c r="M524" s="53" t="s">
        <v>4960</v>
      </c>
      <c r="N524" s="55"/>
      <c r="O524" s="55"/>
    </row>
    <row r="525" spans="1:21">
      <c r="A525" s="47">
        <v>14661452</v>
      </c>
      <c r="B525" s="46" t="s">
        <v>5804</v>
      </c>
      <c r="C525" s="46" t="s">
        <v>2826</v>
      </c>
      <c r="D525" s="48" t="s">
        <v>52</v>
      </c>
      <c r="E525" s="49" t="str">
        <f t="shared" ca="1" si="9"/>
        <v/>
      </c>
      <c r="F525" s="50" t="s">
        <v>6833</v>
      </c>
      <c r="G525" s="51" t="s">
        <v>141</v>
      </c>
      <c r="H525" s="52" t="s">
        <v>52</v>
      </c>
      <c r="I525" s="52" t="s">
        <v>4708</v>
      </c>
      <c r="J525" s="46" t="s">
        <v>6834</v>
      </c>
      <c r="K525" s="46" t="s">
        <v>81</v>
      </c>
      <c r="L525" s="46" t="s">
        <v>546</v>
      </c>
      <c r="M525" s="52" t="s">
        <v>6835</v>
      </c>
      <c r="N525" s="46" t="s">
        <v>52</v>
      </c>
      <c r="O525" s="46" t="s">
        <v>52</v>
      </c>
      <c r="P525" s="46" t="s">
        <v>59</v>
      </c>
      <c r="Q525" s="46" t="s">
        <v>60</v>
      </c>
      <c r="R525" s="46" t="s">
        <v>61</v>
      </c>
      <c r="S525" s="46" t="s">
        <v>62</v>
      </c>
      <c r="T525" s="46" t="s">
        <v>12</v>
      </c>
      <c r="U525" s="46" t="s">
        <v>63</v>
      </c>
    </row>
    <row r="526" spans="1:21">
      <c r="A526" s="47">
        <v>14661458</v>
      </c>
      <c r="B526" s="46" t="s">
        <v>1885</v>
      </c>
      <c r="C526" s="52" t="s">
        <v>4255</v>
      </c>
      <c r="D526" s="48">
        <v>22117</v>
      </c>
      <c r="E526" s="49">
        <f t="shared" ca="1" si="9"/>
        <v>65.943200392285064</v>
      </c>
      <c r="F526" s="50">
        <v>154548820</v>
      </c>
      <c r="G526" s="51" t="s">
        <v>23</v>
      </c>
      <c r="I526" s="52" t="s">
        <v>4245</v>
      </c>
      <c r="J526" s="46" t="s">
        <v>4256</v>
      </c>
      <c r="M526" s="58" t="s">
        <v>25</v>
      </c>
      <c r="N526" s="55">
        <v>4247752</v>
      </c>
      <c r="O526" s="55">
        <v>7049</v>
      </c>
    </row>
    <row r="527" spans="1:21">
      <c r="A527" s="47">
        <v>14661587</v>
      </c>
      <c r="B527" s="46" t="s">
        <v>3267</v>
      </c>
      <c r="C527" s="46" t="s">
        <v>2873</v>
      </c>
      <c r="D527" s="48">
        <v>22668</v>
      </c>
      <c r="E527" s="49">
        <f t="shared" ca="1" si="9"/>
        <v>64.435996798786903</v>
      </c>
      <c r="F527" s="50">
        <v>154421852</v>
      </c>
      <c r="G527" s="51" t="s">
        <v>23</v>
      </c>
      <c r="I527" s="52" t="s">
        <v>3166</v>
      </c>
      <c r="J527" s="46" t="s">
        <v>224</v>
      </c>
      <c r="M527" s="53" t="s">
        <v>3268</v>
      </c>
    </row>
    <row r="528" spans="1:21">
      <c r="A528" s="47">
        <v>14661637</v>
      </c>
      <c r="B528" s="46" t="s">
        <v>308</v>
      </c>
      <c r="C528" s="46" t="s">
        <v>3996</v>
      </c>
      <c r="D528" s="48">
        <v>22821</v>
      </c>
      <c r="E528" s="49">
        <f t="shared" ca="1" si="9"/>
        <v>64.017101217303406</v>
      </c>
      <c r="F528" s="50">
        <v>155454084</v>
      </c>
      <c r="G528" s="51" t="s">
        <v>78</v>
      </c>
      <c r="I528" s="52" t="s">
        <v>3990</v>
      </c>
      <c r="J528" s="46" t="s">
        <v>38</v>
      </c>
      <c r="M528" s="53" t="s">
        <v>3997</v>
      </c>
      <c r="N528" s="46">
        <v>4364093</v>
      </c>
      <c r="O528" s="46">
        <v>277</v>
      </c>
      <c r="P528" s="46">
        <v>1</v>
      </c>
    </row>
    <row r="529" spans="1:21">
      <c r="A529" s="47">
        <v>14661799</v>
      </c>
      <c r="B529" s="46" t="s">
        <v>342</v>
      </c>
      <c r="C529" s="52" t="s">
        <v>5091</v>
      </c>
      <c r="D529" s="48">
        <v>22871</v>
      </c>
      <c r="E529" s="49">
        <f t="shared" ca="1" si="9"/>
        <v>63.880207236426436</v>
      </c>
      <c r="F529" s="50">
        <v>155115503</v>
      </c>
      <c r="G529" s="51" t="s">
        <v>23</v>
      </c>
      <c r="I529" s="65" t="s">
        <v>4954</v>
      </c>
      <c r="M529" s="52" t="s">
        <v>5092</v>
      </c>
      <c r="N529" s="55"/>
      <c r="O529" s="55"/>
    </row>
    <row r="530" spans="1:21">
      <c r="A530" s="47">
        <v>14661832</v>
      </c>
      <c r="B530" s="46" t="s">
        <v>1890</v>
      </c>
      <c r="C530" s="52" t="s">
        <v>1891</v>
      </c>
      <c r="E530" s="49" t="str">
        <f t="shared" ca="1" si="9"/>
        <v/>
      </c>
      <c r="G530" s="51" t="s">
        <v>23</v>
      </c>
      <c r="I530" s="52" t="s">
        <v>1881</v>
      </c>
      <c r="J530" s="46" t="s">
        <v>1892</v>
      </c>
      <c r="M530" s="58" t="s">
        <v>25</v>
      </c>
      <c r="N530" s="55">
        <v>4364093</v>
      </c>
      <c r="O530" s="55">
        <v>7792</v>
      </c>
    </row>
    <row r="531" spans="1:21">
      <c r="A531" s="47">
        <v>14661962</v>
      </c>
      <c r="B531" s="46" t="s">
        <v>190</v>
      </c>
      <c r="C531" s="52" t="s">
        <v>5550</v>
      </c>
      <c r="E531" s="49" t="str">
        <f t="shared" ca="1" si="9"/>
        <v/>
      </c>
      <c r="F531" s="50">
        <v>154631969</v>
      </c>
      <c r="G531" s="51" t="s">
        <v>23</v>
      </c>
      <c r="I531" s="52" t="s">
        <v>5494</v>
      </c>
      <c r="M531" s="58" t="s">
        <v>25</v>
      </c>
      <c r="N531" s="55"/>
      <c r="O531" s="55"/>
    </row>
    <row r="532" spans="1:21">
      <c r="A532" s="47">
        <v>14706492</v>
      </c>
      <c r="B532" s="46" t="s">
        <v>47</v>
      </c>
      <c r="C532" s="52" t="s">
        <v>4501</v>
      </c>
      <c r="D532" s="48">
        <v>22643</v>
      </c>
      <c r="E532" s="49">
        <f t="shared" ca="1" si="9"/>
        <v>64.505102464116817</v>
      </c>
      <c r="G532" s="51" t="s">
        <v>23</v>
      </c>
      <c r="I532" s="52" t="s">
        <v>4499</v>
      </c>
      <c r="J532" s="46" t="s">
        <v>75</v>
      </c>
      <c r="M532" s="58" t="s">
        <v>25</v>
      </c>
      <c r="N532" s="55"/>
      <c r="O532" s="55"/>
    </row>
    <row r="533" spans="1:21">
      <c r="A533" s="47">
        <v>14708835</v>
      </c>
      <c r="B533" s="46" t="s">
        <v>8778</v>
      </c>
      <c r="C533" s="52" t="s">
        <v>912</v>
      </c>
      <c r="E533" s="49" t="str">
        <f t="shared" ca="1" si="9"/>
        <v/>
      </c>
      <c r="G533" s="51" t="s">
        <v>23</v>
      </c>
      <c r="I533" s="59" t="s">
        <v>908</v>
      </c>
      <c r="M533" s="53" t="s">
        <v>913</v>
      </c>
      <c r="N533" s="55">
        <v>4310994</v>
      </c>
      <c r="O533" s="55"/>
    </row>
    <row r="534" spans="1:21">
      <c r="A534" s="47">
        <v>14709050</v>
      </c>
      <c r="B534" s="46" t="s">
        <v>6050</v>
      </c>
      <c r="C534" s="46" t="s">
        <v>215</v>
      </c>
      <c r="D534" s="48">
        <v>22686</v>
      </c>
      <c r="E534" s="49">
        <f t="shared" ca="1" si="9"/>
        <v>64.386714965671203</v>
      </c>
      <c r="F534" s="50">
        <v>155671227</v>
      </c>
      <c r="G534" s="51" t="s">
        <v>23</v>
      </c>
      <c r="I534" s="52" t="s">
        <v>23</v>
      </c>
      <c r="J534" s="46" t="s">
        <v>2300</v>
      </c>
      <c r="M534" s="53" t="s">
        <v>6051</v>
      </c>
      <c r="N534" s="46">
        <v>4201465</v>
      </c>
    </row>
    <row r="535" spans="1:21">
      <c r="A535" s="64">
        <v>14716849</v>
      </c>
      <c r="B535" s="61" t="s">
        <v>256</v>
      </c>
      <c r="C535" s="62" t="s">
        <v>257</v>
      </c>
      <c r="D535" s="48">
        <v>22859</v>
      </c>
      <c r="E535" s="49">
        <f t="shared" ca="1" si="9"/>
        <v>63.91306179183691</v>
      </c>
      <c r="F535" s="63">
        <v>154678315</v>
      </c>
      <c r="G535" s="51" t="s">
        <v>23</v>
      </c>
      <c r="I535" s="52" t="s">
        <v>24</v>
      </c>
      <c r="J535" s="61" t="s">
        <v>258</v>
      </c>
      <c r="K535" s="61"/>
      <c r="L535" s="61"/>
      <c r="M535" s="53" t="s">
        <v>259</v>
      </c>
      <c r="N535" s="55"/>
      <c r="O535" s="55"/>
    </row>
    <row r="536" spans="1:21">
      <c r="A536" s="47">
        <v>14754883</v>
      </c>
      <c r="B536" s="46" t="s">
        <v>3476</v>
      </c>
      <c r="C536" s="52" t="s">
        <v>3477</v>
      </c>
      <c r="E536" s="49" t="str">
        <f t="shared" ca="1" si="9"/>
        <v/>
      </c>
      <c r="G536" s="51" t="s">
        <v>23</v>
      </c>
      <c r="I536" s="52" t="s">
        <v>3427</v>
      </c>
      <c r="J536" s="46" t="s">
        <v>3478</v>
      </c>
      <c r="M536" s="53" t="s">
        <v>3479</v>
      </c>
      <c r="N536" s="55" t="s">
        <v>3480</v>
      </c>
      <c r="O536" s="55"/>
    </row>
    <row r="537" spans="1:21">
      <c r="A537" s="47">
        <v>14896414</v>
      </c>
      <c r="B537" s="46" t="s">
        <v>207</v>
      </c>
      <c r="C537" s="46" t="s">
        <v>6122</v>
      </c>
      <c r="D537" s="48">
        <v>22840</v>
      </c>
      <c r="E537" s="49">
        <f t="shared" ca="1" si="9"/>
        <v>63.965081504570151</v>
      </c>
      <c r="F537" s="50">
        <v>156210915</v>
      </c>
      <c r="G537" s="51" t="s">
        <v>37</v>
      </c>
      <c r="I537" s="52" t="s">
        <v>23</v>
      </c>
      <c r="J537" s="46" t="s">
        <v>2846</v>
      </c>
      <c r="M537" s="58" t="s">
        <v>25</v>
      </c>
      <c r="N537" s="46">
        <v>4248026</v>
      </c>
      <c r="P537" s="46">
        <v>1</v>
      </c>
    </row>
    <row r="538" spans="1:21">
      <c r="A538" s="47">
        <v>14896416</v>
      </c>
      <c r="B538" s="46" t="s">
        <v>996</v>
      </c>
      <c r="C538" s="52" t="s">
        <v>1945</v>
      </c>
      <c r="D538" s="48">
        <v>22790</v>
      </c>
      <c r="E538" s="49">
        <f t="shared" ca="1" si="9"/>
        <v>64.101975485447113</v>
      </c>
      <c r="G538" s="51" t="s">
        <v>23</v>
      </c>
      <c r="I538" s="52" t="s">
        <v>1881</v>
      </c>
      <c r="J538" s="55" t="s">
        <v>1946</v>
      </c>
      <c r="K538" s="55"/>
      <c r="L538" s="55"/>
      <c r="M538" s="53" t="s">
        <v>1947</v>
      </c>
      <c r="N538" s="55"/>
      <c r="O538" s="55"/>
    </row>
    <row r="539" spans="1:21">
      <c r="A539" s="47">
        <v>14936140</v>
      </c>
      <c r="B539" s="46" t="s">
        <v>1263</v>
      </c>
      <c r="C539" s="52" t="s">
        <v>1264</v>
      </c>
      <c r="D539" s="48">
        <v>22560</v>
      </c>
      <c r="E539" s="49">
        <f t="shared" ca="1" si="9"/>
        <v>64.732348792831658</v>
      </c>
      <c r="F539" s="50">
        <v>154029802</v>
      </c>
      <c r="G539" s="51" t="s">
        <v>23</v>
      </c>
      <c r="I539" s="59" t="s">
        <v>908</v>
      </c>
      <c r="J539" s="46" t="s">
        <v>673</v>
      </c>
      <c r="M539" s="53" t="s">
        <v>1265</v>
      </c>
      <c r="N539" s="55"/>
      <c r="O539" s="55"/>
    </row>
    <row r="540" spans="1:21">
      <c r="A540" s="47">
        <v>14947988</v>
      </c>
      <c r="B540" s="46" t="s">
        <v>574</v>
      </c>
      <c r="C540" s="46" t="s">
        <v>3515</v>
      </c>
      <c r="D540" s="48" t="s">
        <v>3516</v>
      </c>
      <c r="E540" s="49">
        <f t="shared" ca="1" si="9"/>
        <v>63.830925403310729</v>
      </c>
      <c r="F540" s="50" t="s">
        <v>3517</v>
      </c>
      <c r="G540" s="51" t="s">
        <v>70</v>
      </c>
      <c r="H540" s="52" t="s">
        <v>3518</v>
      </c>
      <c r="I540" s="52" t="s">
        <v>3427</v>
      </c>
      <c r="J540" s="46" t="s">
        <v>631</v>
      </c>
      <c r="K540" s="46" t="s">
        <v>390</v>
      </c>
      <c r="L540" s="46" t="s">
        <v>546</v>
      </c>
      <c r="M540" s="52" t="s">
        <v>3519</v>
      </c>
      <c r="N540" s="46" t="s">
        <v>52</v>
      </c>
      <c r="O540" s="46" t="s">
        <v>52</v>
      </c>
      <c r="P540" s="46" t="s">
        <v>59</v>
      </c>
      <c r="Q540" s="46" t="s">
        <v>60</v>
      </c>
      <c r="R540" s="46" t="s">
        <v>61</v>
      </c>
      <c r="S540" s="46" t="s">
        <v>62</v>
      </c>
      <c r="T540" s="46" t="s">
        <v>12</v>
      </c>
      <c r="U540" s="46" t="s">
        <v>63</v>
      </c>
    </row>
    <row r="541" spans="1:21">
      <c r="A541" s="47">
        <v>14966433</v>
      </c>
      <c r="B541" s="46" t="s">
        <v>1523</v>
      </c>
      <c r="C541" s="46" t="s">
        <v>2819</v>
      </c>
      <c r="D541" s="48">
        <v>22901</v>
      </c>
      <c r="E541" s="49">
        <f t="shared" ca="1" si="9"/>
        <v>63.798070847900256</v>
      </c>
      <c r="F541" s="50">
        <v>154470796</v>
      </c>
      <c r="G541" s="51" t="s">
        <v>70</v>
      </c>
      <c r="I541" s="52" t="s">
        <v>2816</v>
      </c>
      <c r="J541" s="46" t="s">
        <v>238</v>
      </c>
      <c r="M541" s="52" t="s">
        <v>2820</v>
      </c>
      <c r="N541" s="46">
        <v>4247758</v>
      </c>
      <c r="O541" s="46">
        <v>7184</v>
      </c>
      <c r="P541" s="46">
        <v>1</v>
      </c>
    </row>
    <row r="542" spans="1:21">
      <c r="A542" s="47">
        <v>14966482</v>
      </c>
      <c r="B542" s="46" t="s">
        <v>2785</v>
      </c>
      <c r="C542" s="46" t="s">
        <v>2786</v>
      </c>
      <c r="D542" s="48">
        <v>22913</v>
      </c>
      <c r="E542" s="49">
        <f t="shared" ca="1" si="9"/>
        <v>63.765216292489782</v>
      </c>
      <c r="F542" s="50">
        <v>154953778</v>
      </c>
      <c r="G542" s="51" t="s">
        <v>78</v>
      </c>
      <c r="I542" s="52" t="s">
        <v>2778</v>
      </c>
      <c r="J542" s="46" t="s">
        <v>2787</v>
      </c>
      <c r="M542" s="52" t="s">
        <v>2788</v>
      </c>
      <c r="N542" s="46">
        <v>4364041</v>
      </c>
      <c r="O542" s="46">
        <v>2682</v>
      </c>
      <c r="P542" s="46">
        <v>4</v>
      </c>
    </row>
    <row r="543" spans="1:21">
      <c r="A543" s="47">
        <v>14966562</v>
      </c>
      <c r="B543" s="46" t="s">
        <v>1493</v>
      </c>
      <c r="C543" s="46" t="s">
        <v>4889</v>
      </c>
      <c r="D543" s="48" t="s">
        <v>52</v>
      </c>
      <c r="E543" s="49" t="str">
        <f t="shared" ca="1" si="9"/>
        <v/>
      </c>
      <c r="F543" s="50" t="s">
        <v>4890</v>
      </c>
      <c r="G543" s="51" t="s">
        <v>70</v>
      </c>
      <c r="H543" s="52" t="s">
        <v>1780</v>
      </c>
      <c r="I543" s="52" t="s">
        <v>4815</v>
      </c>
      <c r="J543" s="46" t="s">
        <v>4856</v>
      </c>
      <c r="K543" s="46" t="s">
        <v>52</v>
      </c>
      <c r="L543" s="46" t="s">
        <v>1732</v>
      </c>
      <c r="M543" s="53" t="s">
        <v>1495</v>
      </c>
      <c r="N543" s="46" t="s">
        <v>4891</v>
      </c>
      <c r="O543" s="46" t="s">
        <v>4892</v>
      </c>
      <c r="P543" s="46" t="s">
        <v>59</v>
      </c>
      <c r="Q543" s="46" t="s">
        <v>60</v>
      </c>
      <c r="R543" s="46" t="s">
        <v>61</v>
      </c>
      <c r="S543" s="46" t="s">
        <v>62</v>
      </c>
      <c r="T543" s="46" t="s">
        <v>12</v>
      </c>
      <c r="U543" s="46" t="s">
        <v>63</v>
      </c>
    </row>
    <row r="544" spans="1:21">
      <c r="A544" s="47">
        <v>14966770</v>
      </c>
      <c r="B544" s="46" t="s">
        <v>1787</v>
      </c>
      <c r="C544" s="46" t="s">
        <v>1788</v>
      </c>
      <c r="D544" s="48">
        <v>22715</v>
      </c>
      <c r="E544" s="49">
        <f t="shared" ca="1" si="9"/>
        <v>64.307316456762564</v>
      </c>
      <c r="F544" s="50">
        <v>154166078</v>
      </c>
      <c r="G544" s="51" t="s">
        <v>70</v>
      </c>
      <c r="I544" s="52" t="s">
        <v>1657</v>
      </c>
      <c r="J544" s="46" t="s">
        <v>316</v>
      </c>
      <c r="M544" s="53" t="s">
        <v>1789</v>
      </c>
    </row>
    <row r="545" spans="1:21">
      <c r="A545" s="47">
        <v>14984007</v>
      </c>
      <c r="B545" s="46" t="s">
        <v>3742</v>
      </c>
      <c r="C545" s="46" t="s">
        <v>3743</v>
      </c>
      <c r="D545" s="48">
        <v>22808</v>
      </c>
      <c r="E545" s="49">
        <f t="shared" ca="1" si="9"/>
        <v>64.052693652331413</v>
      </c>
      <c r="F545" s="50">
        <v>155975225</v>
      </c>
      <c r="G545" s="51" t="s">
        <v>70</v>
      </c>
      <c r="I545" s="52" t="s">
        <v>3630</v>
      </c>
      <c r="J545" s="46" t="s">
        <v>3539</v>
      </c>
      <c r="M545" s="53" t="s">
        <v>3744</v>
      </c>
      <c r="N545" s="46">
        <v>4847366</v>
      </c>
      <c r="O545" s="46">
        <v>7366</v>
      </c>
    </row>
    <row r="546" spans="1:21">
      <c r="A546" s="47">
        <v>14984183</v>
      </c>
      <c r="B546" s="46" t="s">
        <v>5811</v>
      </c>
      <c r="C546" s="46" t="s">
        <v>876</v>
      </c>
      <c r="D546" s="48" t="s">
        <v>52</v>
      </c>
      <c r="E546" s="49" t="str">
        <f t="shared" ca="1" si="9"/>
        <v/>
      </c>
      <c r="F546" s="50" t="s">
        <v>5812</v>
      </c>
      <c r="G546" s="51" t="s">
        <v>70</v>
      </c>
      <c r="H546" s="52" t="s">
        <v>524</v>
      </c>
      <c r="I546" s="52" t="s">
        <v>5761</v>
      </c>
      <c r="J546" s="46" t="s">
        <v>5813</v>
      </c>
      <c r="K546" s="46" t="s">
        <v>159</v>
      </c>
      <c r="L546" s="46" t="s">
        <v>546</v>
      </c>
      <c r="M546" s="52" t="s">
        <v>5814</v>
      </c>
      <c r="N546" s="46" t="s">
        <v>52</v>
      </c>
      <c r="O546" s="46" t="s">
        <v>5815</v>
      </c>
      <c r="P546" s="46" t="s">
        <v>59</v>
      </c>
      <c r="Q546" s="46" t="s">
        <v>60</v>
      </c>
      <c r="R546" s="46" t="s">
        <v>61</v>
      </c>
      <c r="S546" s="46" t="s">
        <v>62</v>
      </c>
      <c r="T546" s="46" t="s">
        <v>12</v>
      </c>
      <c r="U546" s="46" t="s">
        <v>63</v>
      </c>
    </row>
    <row r="547" spans="1:21">
      <c r="A547" s="47">
        <v>14984647</v>
      </c>
      <c r="B547" s="46" t="s">
        <v>857</v>
      </c>
      <c r="C547" s="46" t="s">
        <v>1085</v>
      </c>
      <c r="D547" s="48" t="s">
        <v>52</v>
      </c>
      <c r="E547" s="49" t="str">
        <f t="shared" ca="1" si="9"/>
        <v/>
      </c>
      <c r="F547" s="50" t="s">
        <v>52</v>
      </c>
      <c r="I547" s="52" t="s">
        <v>23</v>
      </c>
    </row>
    <row r="548" spans="1:21">
      <c r="A548" s="47">
        <v>14984962</v>
      </c>
      <c r="B548" s="46" t="s">
        <v>3340</v>
      </c>
      <c r="C548" s="55" t="s">
        <v>3341</v>
      </c>
      <c r="D548" s="48">
        <v>23300</v>
      </c>
      <c r="E548" s="49">
        <f t="shared" ca="1" si="9"/>
        <v>62.704996577686515</v>
      </c>
      <c r="F548" s="50">
        <v>156789450</v>
      </c>
      <c r="G548" s="51" t="s">
        <v>23</v>
      </c>
      <c r="I548" s="52" t="s">
        <v>3327</v>
      </c>
      <c r="J548" s="55" t="s">
        <v>224</v>
      </c>
      <c r="K548" s="55"/>
      <c r="L548" s="55"/>
      <c r="M548" s="53" t="s">
        <v>3342</v>
      </c>
      <c r="N548" s="55"/>
      <c r="O548" s="55"/>
    </row>
    <row r="549" spans="1:21">
      <c r="A549" s="47">
        <v>14984966</v>
      </c>
      <c r="B549" s="46" t="s">
        <v>1558</v>
      </c>
      <c r="C549" s="46" t="s">
        <v>1061</v>
      </c>
      <c r="D549" s="48">
        <v>22915</v>
      </c>
      <c r="E549" s="49">
        <f t="shared" ca="1" si="9"/>
        <v>63.759740533254707</v>
      </c>
      <c r="F549" s="50">
        <v>154638088</v>
      </c>
      <c r="G549" s="51" t="s">
        <v>70</v>
      </c>
      <c r="I549" s="52" t="s">
        <v>23</v>
      </c>
      <c r="J549" s="46" t="s">
        <v>903</v>
      </c>
      <c r="M549" s="53" t="s">
        <v>3944</v>
      </c>
      <c r="N549" s="46">
        <v>4247752</v>
      </c>
      <c r="O549" s="46" t="s">
        <v>6289</v>
      </c>
      <c r="P549" s="46">
        <v>4</v>
      </c>
    </row>
    <row r="550" spans="1:21">
      <c r="A550" s="47">
        <v>15628946</v>
      </c>
      <c r="B550" s="46" t="s">
        <v>652</v>
      </c>
      <c r="C550" s="52" t="s">
        <v>4308</v>
      </c>
      <c r="D550" s="48">
        <v>22252</v>
      </c>
      <c r="E550" s="49">
        <f t="shared" ref="E550:E581" ca="1" si="10">IF(D550="","",YEARFRAC(D550,TODAY(),1))</f>
        <v>65.573594311866628</v>
      </c>
      <c r="F550" s="50">
        <v>154626328</v>
      </c>
      <c r="G550" s="51" t="s">
        <v>23</v>
      </c>
      <c r="I550" s="52" t="s">
        <v>4245</v>
      </c>
      <c r="J550" s="46" t="s">
        <v>4309</v>
      </c>
      <c r="M550" s="53" t="s">
        <v>4307</v>
      </c>
      <c r="N550" s="55"/>
      <c r="O550" s="55"/>
    </row>
    <row r="551" spans="1:21">
      <c r="A551" s="47">
        <v>15966562</v>
      </c>
      <c r="B551" s="46" t="s">
        <v>1493</v>
      </c>
      <c r="C551" s="46" t="s">
        <v>1494</v>
      </c>
      <c r="D551" s="48">
        <v>22886</v>
      </c>
      <c r="E551" s="49">
        <f t="shared" ca="1" si="10"/>
        <v>63.839139042163346</v>
      </c>
      <c r="F551" s="50">
        <v>156284147</v>
      </c>
      <c r="G551" s="51" t="s">
        <v>70</v>
      </c>
      <c r="I551" s="52" t="s">
        <v>1484</v>
      </c>
      <c r="M551" s="53" t="s">
        <v>1495</v>
      </c>
      <c r="O551" s="46">
        <v>4107285</v>
      </c>
    </row>
    <row r="552" spans="1:21">
      <c r="A552" s="47">
        <v>16008463</v>
      </c>
      <c r="B552" s="46" t="s">
        <v>1774</v>
      </c>
      <c r="C552" s="46" t="s">
        <v>5624</v>
      </c>
      <c r="D552" s="48" t="s">
        <v>52</v>
      </c>
      <c r="E552" s="49" t="str">
        <f t="shared" ca="1" si="10"/>
        <v/>
      </c>
      <c r="F552" s="50" t="s">
        <v>5625</v>
      </c>
      <c r="G552" s="51" t="s">
        <v>70</v>
      </c>
      <c r="H552" s="52" t="s">
        <v>5626</v>
      </c>
      <c r="I552" s="52" t="s">
        <v>5494</v>
      </c>
      <c r="J552" s="46" t="s">
        <v>5627</v>
      </c>
      <c r="K552" s="46" t="s">
        <v>159</v>
      </c>
      <c r="L552" s="46" t="s">
        <v>546</v>
      </c>
      <c r="M552" s="52" t="s">
        <v>5628</v>
      </c>
      <c r="N552" s="46" t="s">
        <v>5629</v>
      </c>
      <c r="O552" s="46" t="s">
        <v>52</v>
      </c>
      <c r="P552" s="46" t="s">
        <v>59</v>
      </c>
      <c r="Q552" s="46" t="s">
        <v>60</v>
      </c>
      <c r="R552" s="46" t="s">
        <v>61</v>
      </c>
      <c r="S552" s="46" t="s">
        <v>62</v>
      </c>
      <c r="T552" s="46" t="s">
        <v>12</v>
      </c>
      <c r="U552" s="46" t="s">
        <v>63</v>
      </c>
    </row>
    <row r="553" spans="1:21">
      <c r="A553" s="47">
        <v>16016486</v>
      </c>
      <c r="B553" s="46" t="s">
        <v>1474</v>
      </c>
      <c r="C553" s="46" t="s">
        <v>1475</v>
      </c>
      <c r="D553" s="48">
        <v>22897</v>
      </c>
      <c r="E553" s="49">
        <f t="shared" ca="1" si="10"/>
        <v>63.809022366370414</v>
      </c>
      <c r="F553" s="50">
        <v>155748520</v>
      </c>
      <c r="G553" s="51" t="s">
        <v>86</v>
      </c>
      <c r="I553" s="52" t="s">
        <v>1471</v>
      </c>
      <c r="M553" s="53" t="s">
        <v>1476</v>
      </c>
      <c r="N553" s="46">
        <v>4360076</v>
      </c>
      <c r="P553" s="46">
        <v>4</v>
      </c>
    </row>
    <row r="554" spans="1:21">
      <c r="A554" s="47">
        <v>16038438</v>
      </c>
      <c r="B554" s="46" t="s">
        <v>595</v>
      </c>
      <c r="C554" s="46" t="s">
        <v>5987</v>
      </c>
      <c r="D554" s="48">
        <v>22651</v>
      </c>
      <c r="E554" s="49">
        <f t="shared" ca="1" si="10"/>
        <v>64.482540752285075</v>
      </c>
      <c r="F554" s="50">
        <v>154405170</v>
      </c>
      <c r="G554" s="51" t="s">
        <v>70</v>
      </c>
      <c r="I554" s="52" t="s">
        <v>23</v>
      </c>
      <c r="M554" s="58" t="s">
        <v>25</v>
      </c>
    </row>
    <row r="555" spans="1:21">
      <c r="A555" s="47">
        <v>16039421</v>
      </c>
      <c r="B555" s="46" t="s">
        <v>4384</v>
      </c>
      <c r="C555" s="52" t="s">
        <v>4385</v>
      </c>
      <c r="D555" s="48">
        <v>22930</v>
      </c>
      <c r="E555" s="49">
        <f t="shared" ca="1" si="10"/>
        <v>63.718672338991617</v>
      </c>
      <c r="F555" s="50">
        <v>155619617</v>
      </c>
      <c r="G555" s="51" t="s">
        <v>23</v>
      </c>
      <c r="I555" s="65" t="s">
        <v>4954</v>
      </c>
      <c r="J555" s="46" t="s">
        <v>5107</v>
      </c>
      <c r="M555" s="53" t="s">
        <v>5108</v>
      </c>
      <c r="N555" s="55"/>
      <c r="O555" s="55"/>
    </row>
    <row r="556" spans="1:21">
      <c r="A556" s="47">
        <v>16045046</v>
      </c>
      <c r="B556" s="46" t="s">
        <v>476</v>
      </c>
      <c r="C556" s="52" t="s">
        <v>2605</v>
      </c>
      <c r="D556" s="48">
        <v>23069</v>
      </c>
      <c r="E556" s="49">
        <f t="shared" ca="1" si="10"/>
        <v>63.337440109514034</v>
      </c>
      <c r="F556" s="50">
        <v>155887713</v>
      </c>
      <c r="G556" s="51" t="s">
        <v>23</v>
      </c>
      <c r="I556" s="59" t="s">
        <v>908</v>
      </c>
      <c r="M556" s="53" t="s">
        <v>2606</v>
      </c>
      <c r="N556" s="55"/>
      <c r="O556" s="55"/>
    </row>
    <row r="557" spans="1:21">
      <c r="A557" s="47">
        <v>16091162</v>
      </c>
      <c r="B557" s="46" t="s">
        <v>5866</v>
      </c>
      <c r="C557" s="46" t="s">
        <v>5867</v>
      </c>
      <c r="D557" s="48" t="s">
        <v>52</v>
      </c>
      <c r="E557" s="49" t="str">
        <f t="shared" ca="1" si="10"/>
        <v/>
      </c>
      <c r="F557" s="50" t="s">
        <v>5868</v>
      </c>
      <c r="G557" s="51" t="s">
        <v>70</v>
      </c>
      <c r="H557" s="52" t="s">
        <v>1260</v>
      </c>
      <c r="I557" s="52" t="s">
        <v>5863</v>
      </c>
      <c r="J557" s="46" t="s">
        <v>5869</v>
      </c>
      <c r="K557" s="46" t="s">
        <v>81</v>
      </c>
      <c r="L557" s="46" t="s">
        <v>52</v>
      </c>
      <c r="M557" s="52" t="s">
        <v>5870</v>
      </c>
      <c r="N557" s="46" t="s">
        <v>5865</v>
      </c>
      <c r="O557" s="46" t="s">
        <v>52</v>
      </c>
      <c r="P557" s="46" t="s">
        <v>59</v>
      </c>
      <c r="Q557" s="46" t="s">
        <v>60</v>
      </c>
      <c r="R557" s="46" t="s">
        <v>61</v>
      </c>
      <c r="S557" s="46" t="s">
        <v>62</v>
      </c>
      <c r="T557" s="46" t="s">
        <v>12</v>
      </c>
      <c r="U557" s="46" t="s">
        <v>63</v>
      </c>
    </row>
    <row r="558" spans="1:21">
      <c r="A558" s="47">
        <v>16122254</v>
      </c>
      <c r="B558" s="46" t="s">
        <v>914</v>
      </c>
      <c r="C558" s="55" t="s">
        <v>915</v>
      </c>
      <c r="D558" s="48">
        <v>23044</v>
      </c>
      <c r="E558" s="49">
        <f t="shared" ca="1" si="10"/>
        <v>63.405886379192332</v>
      </c>
      <c r="F558" s="50">
        <v>154164045</v>
      </c>
      <c r="G558" s="51" t="s">
        <v>86</v>
      </c>
      <c r="I558" s="59" t="s">
        <v>908</v>
      </c>
      <c r="J558" s="55"/>
      <c r="K558" s="55"/>
      <c r="L558" s="55"/>
      <c r="M558" s="53" t="s">
        <v>916</v>
      </c>
      <c r="N558" s="55">
        <v>4247752</v>
      </c>
      <c r="O558" s="55">
        <v>7098</v>
      </c>
    </row>
    <row r="559" spans="1:21">
      <c r="A559" s="47">
        <v>16132114</v>
      </c>
      <c r="B559" s="46" t="s">
        <v>1446</v>
      </c>
      <c r="C559" s="46" t="s">
        <v>5493</v>
      </c>
      <c r="D559" s="48">
        <v>23010</v>
      </c>
      <c r="E559" s="49">
        <f t="shared" ca="1" si="10"/>
        <v>63.499641969588474</v>
      </c>
      <c r="F559" s="50">
        <v>153511290</v>
      </c>
      <c r="G559" s="51" t="s">
        <v>70</v>
      </c>
      <c r="I559" s="52" t="s">
        <v>5494</v>
      </c>
      <c r="J559" s="46" t="s">
        <v>38</v>
      </c>
      <c r="M559" s="53" t="s">
        <v>5495</v>
      </c>
      <c r="N559" s="46">
        <v>4210636</v>
      </c>
      <c r="P559" s="46">
        <v>1</v>
      </c>
    </row>
    <row r="560" spans="1:21">
      <c r="A560" s="47">
        <v>16132179</v>
      </c>
      <c r="B560" s="46" t="s">
        <v>824</v>
      </c>
      <c r="C560" s="46" t="s">
        <v>825</v>
      </c>
      <c r="D560" s="48">
        <v>22955</v>
      </c>
      <c r="E560" s="49">
        <f t="shared" ca="1" si="10"/>
        <v>63.650225348553136</v>
      </c>
      <c r="F560" s="50">
        <v>156461267</v>
      </c>
      <c r="G560" s="51" t="s">
        <v>70</v>
      </c>
      <c r="I560" s="52" t="s">
        <v>808</v>
      </c>
      <c r="J560" s="46" t="s">
        <v>826</v>
      </c>
      <c r="M560" s="53" t="s">
        <v>827</v>
      </c>
      <c r="O560" s="46">
        <v>4247752</v>
      </c>
    </row>
    <row r="561" spans="1:21">
      <c r="A561" s="47">
        <v>16132250</v>
      </c>
      <c r="B561" s="46" t="s">
        <v>6064</v>
      </c>
      <c r="C561" s="52" t="s">
        <v>6065</v>
      </c>
      <c r="D561" s="48">
        <v>23023</v>
      </c>
      <c r="E561" s="49">
        <f t="shared" ca="1" si="10"/>
        <v>63.463381245722111</v>
      </c>
      <c r="G561" s="51" t="s">
        <v>23</v>
      </c>
      <c r="I561" s="52" t="s">
        <v>23</v>
      </c>
      <c r="J561" s="46" t="s">
        <v>6066</v>
      </c>
      <c r="M561" s="53" t="s">
        <v>6067</v>
      </c>
      <c r="N561" s="55"/>
      <c r="O561" s="55"/>
    </row>
    <row r="562" spans="1:21">
      <c r="A562" s="47">
        <v>16132794</v>
      </c>
      <c r="B562" s="46" t="s">
        <v>3343</v>
      </c>
      <c r="C562" s="55" t="s">
        <v>3344</v>
      </c>
      <c r="D562" s="48">
        <v>23025</v>
      </c>
      <c r="E562" s="49">
        <f t="shared" ca="1" si="10"/>
        <v>63.457905544147842</v>
      </c>
      <c r="F562" s="50">
        <v>156134577</v>
      </c>
      <c r="G562" s="51" t="s">
        <v>70</v>
      </c>
      <c r="I562" s="52" t="s">
        <v>3327</v>
      </c>
      <c r="J562" s="55"/>
      <c r="K562" s="55"/>
      <c r="L562" s="55"/>
      <c r="M562" s="53" t="s">
        <v>3345</v>
      </c>
      <c r="N562" s="55"/>
      <c r="O562" s="55"/>
    </row>
    <row r="563" spans="1:21">
      <c r="A563" s="47">
        <v>16132924</v>
      </c>
      <c r="B563" s="46" t="s">
        <v>4574</v>
      </c>
      <c r="C563" s="52" t="s">
        <v>165</v>
      </c>
      <c r="D563" s="48">
        <v>22899</v>
      </c>
      <c r="E563" s="49">
        <f t="shared" ca="1" si="10"/>
        <v>63.803546607135338</v>
      </c>
      <c r="F563" s="50">
        <v>153014699</v>
      </c>
      <c r="G563" s="51" t="s">
        <v>23</v>
      </c>
      <c r="I563" s="52" t="s">
        <v>4499</v>
      </c>
      <c r="J563" s="46" t="s">
        <v>48</v>
      </c>
      <c r="M563" s="53" t="s">
        <v>4575</v>
      </c>
      <c r="N563" s="55"/>
      <c r="O563" s="55"/>
    </row>
    <row r="564" spans="1:21">
      <c r="A564" s="47">
        <v>16136923</v>
      </c>
      <c r="B564" s="46" t="s">
        <v>4380</v>
      </c>
      <c r="C564" s="52" t="s">
        <v>4381</v>
      </c>
      <c r="D564" s="48">
        <v>23351</v>
      </c>
      <c r="E564" s="49">
        <f t="shared" ca="1" si="10"/>
        <v>62.565366187542779</v>
      </c>
      <c r="F564" s="50">
        <v>155936006</v>
      </c>
      <c r="G564" s="51" t="s">
        <v>23</v>
      </c>
      <c r="I564" s="52" t="s">
        <v>4245</v>
      </c>
      <c r="J564" s="46" t="s">
        <v>4382</v>
      </c>
      <c r="M564" s="53" t="s">
        <v>4383</v>
      </c>
      <c r="N564" s="55"/>
      <c r="O564" s="55"/>
    </row>
    <row r="565" spans="1:21">
      <c r="A565" s="47">
        <v>16175799</v>
      </c>
      <c r="B565" s="46" t="s">
        <v>3537</v>
      </c>
      <c r="C565" s="46" t="s">
        <v>3538</v>
      </c>
      <c r="D565" s="48">
        <v>23289</v>
      </c>
      <c r="E565" s="49">
        <f t="shared" ca="1" si="10"/>
        <v>62.735112936344969</v>
      </c>
      <c r="F565" s="50">
        <v>3865311971</v>
      </c>
      <c r="G565" s="51" t="s">
        <v>70</v>
      </c>
      <c r="I565" s="52" t="s">
        <v>3427</v>
      </c>
      <c r="J565" s="46" t="s">
        <v>3539</v>
      </c>
      <c r="M565" s="53" t="s">
        <v>3540</v>
      </c>
      <c r="N565" s="46">
        <v>3865483257</v>
      </c>
      <c r="P565" s="46">
        <v>4</v>
      </c>
    </row>
    <row r="566" spans="1:21">
      <c r="A566" s="47">
        <v>16176047</v>
      </c>
      <c r="B566" s="46" t="s">
        <v>288</v>
      </c>
      <c r="C566" s="52" t="s">
        <v>2107</v>
      </c>
      <c r="D566" s="48">
        <v>22971</v>
      </c>
      <c r="E566" s="49">
        <f t="shared" ca="1" si="10"/>
        <v>63.606419274672504</v>
      </c>
      <c r="G566" s="51" t="s">
        <v>23</v>
      </c>
      <c r="I566" s="52" t="s">
        <v>1881</v>
      </c>
      <c r="J566" s="46" t="s">
        <v>2108</v>
      </c>
      <c r="M566" s="53" t="s">
        <v>2109</v>
      </c>
      <c r="N566" s="55"/>
      <c r="O566" s="55"/>
    </row>
    <row r="567" spans="1:21">
      <c r="A567" s="47">
        <v>16176082</v>
      </c>
      <c r="B567" s="46" t="s">
        <v>652</v>
      </c>
      <c r="C567" s="52" t="s">
        <v>653</v>
      </c>
      <c r="D567" s="48">
        <v>22837</v>
      </c>
      <c r="E567" s="49">
        <f t="shared" ca="1" si="10"/>
        <v>63.973295143422774</v>
      </c>
      <c r="F567" s="50">
        <v>156453022</v>
      </c>
      <c r="G567" s="51" t="s">
        <v>23</v>
      </c>
      <c r="I567" s="52" t="s">
        <v>594</v>
      </c>
      <c r="J567" s="46" t="s">
        <v>48</v>
      </c>
      <c r="M567" s="53" t="s">
        <v>654</v>
      </c>
      <c r="N567" s="55"/>
      <c r="O567" s="55"/>
    </row>
    <row r="568" spans="1:21">
      <c r="A568" s="47">
        <v>16176302</v>
      </c>
      <c r="B568" s="46" t="s">
        <v>5456</v>
      </c>
      <c r="C568" s="46" t="s">
        <v>2184</v>
      </c>
      <c r="D568" s="48" t="s">
        <v>52</v>
      </c>
      <c r="E568" s="49" t="str">
        <f t="shared" ca="1" si="10"/>
        <v/>
      </c>
      <c r="F568" s="50" t="s">
        <v>5457</v>
      </c>
      <c r="G568" s="51" t="s">
        <v>70</v>
      </c>
      <c r="H568" s="52" t="s">
        <v>52</v>
      </c>
      <c r="I568" s="52" t="s">
        <v>5304</v>
      </c>
      <c r="J568" s="46" t="s">
        <v>5458</v>
      </c>
      <c r="K568" s="46" t="s">
        <v>81</v>
      </c>
      <c r="L568" s="46" t="s">
        <v>546</v>
      </c>
      <c r="M568" s="52" t="s">
        <v>5459</v>
      </c>
      <c r="N568" s="46" t="s">
        <v>89</v>
      </c>
      <c r="O568" s="46" t="s">
        <v>5460</v>
      </c>
      <c r="P568" s="46" t="s">
        <v>59</v>
      </c>
      <c r="Q568" s="46" t="s">
        <v>60</v>
      </c>
      <c r="R568" s="46" t="s">
        <v>61</v>
      </c>
      <c r="S568" s="46" t="s">
        <v>62</v>
      </c>
      <c r="T568" s="46" t="s">
        <v>12</v>
      </c>
      <c r="U568" s="46" t="s">
        <v>63</v>
      </c>
    </row>
    <row r="569" spans="1:21">
      <c r="A569" s="47">
        <v>16176626</v>
      </c>
      <c r="B569" s="46" t="s">
        <v>2026</v>
      </c>
      <c r="C569" s="46" t="s">
        <v>3993</v>
      </c>
      <c r="D569" s="48">
        <v>23022</v>
      </c>
      <c r="E569" s="49">
        <f t="shared" ca="1" si="10"/>
        <v>63.466119096509239</v>
      </c>
      <c r="F569" s="50">
        <v>155194479</v>
      </c>
      <c r="G569" s="51" t="s">
        <v>37</v>
      </c>
      <c r="I569" s="52" t="s">
        <v>3990</v>
      </c>
      <c r="J569" s="46" t="s">
        <v>3994</v>
      </c>
      <c r="M569" s="53" t="s">
        <v>3995</v>
      </c>
      <c r="N569" s="46">
        <v>4364093</v>
      </c>
      <c r="O569" s="46">
        <v>277</v>
      </c>
      <c r="P569" s="46">
        <v>1</v>
      </c>
    </row>
    <row r="570" spans="1:21">
      <c r="A570" s="47">
        <v>16176925</v>
      </c>
      <c r="B570" s="46" t="s">
        <v>2740</v>
      </c>
      <c r="C570" s="46" t="s">
        <v>2741</v>
      </c>
      <c r="D570" s="48">
        <v>23034</v>
      </c>
      <c r="E570" s="49">
        <f t="shared" ca="1" si="10"/>
        <v>63.433264887063658</v>
      </c>
      <c r="F570" s="50">
        <v>156971603</v>
      </c>
      <c r="G570" s="51" t="s">
        <v>141</v>
      </c>
      <c r="I570" s="52" t="s">
        <v>2720</v>
      </c>
      <c r="J570" s="46" t="s">
        <v>38</v>
      </c>
      <c r="M570" s="58" t="s">
        <v>25</v>
      </c>
      <c r="N570" s="46">
        <v>4107276</v>
      </c>
      <c r="O570" s="46">
        <v>7276</v>
      </c>
      <c r="P570" s="46">
        <v>1</v>
      </c>
    </row>
    <row r="571" spans="1:21">
      <c r="A571" s="47">
        <v>16176998</v>
      </c>
      <c r="B571" s="46" t="s">
        <v>2087</v>
      </c>
      <c r="C571" s="52" t="s">
        <v>3738</v>
      </c>
      <c r="E571" s="49" t="str">
        <f t="shared" ca="1" si="10"/>
        <v/>
      </c>
      <c r="F571" s="50">
        <v>154435172</v>
      </c>
      <c r="G571" s="51" t="s">
        <v>23</v>
      </c>
      <c r="I571" s="52" t="s">
        <v>3630</v>
      </c>
      <c r="M571" s="53" t="s">
        <v>3739</v>
      </c>
      <c r="N571" s="55"/>
      <c r="O571" s="55"/>
    </row>
    <row r="572" spans="1:21">
      <c r="A572" s="47">
        <v>16199818</v>
      </c>
      <c r="B572" s="46" t="s">
        <v>4315</v>
      </c>
      <c r="C572" s="46" t="s">
        <v>4316</v>
      </c>
      <c r="D572" s="48">
        <v>22993</v>
      </c>
      <c r="E572" s="49">
        <f t="shared" ca="1" si="10"/>
        <v>63.546185923086647</v>
      </c>
      <c r="F572" s="50">
        <v>155231764</v>
      </c>
      <c r="G572" s="51" t="s">
        <v>23</v>
      </c>
      <c r="I572" s="52" t="s">
        <v>4245</v>
      </c>
      <c r="J572" s="46" t="s">
        <v>316</v>
      </c>
      <c r="M572" s="53" t="s">
        <v>4317</v>
      </c>
    </row>
    <row r="573" spans="1:21">
      <c r="A573" s="47">
        <v>16212153</v>
      </c>
      <c r="B573" s="46" t="s">
        <v>3048</v>
      </c>
      <c r="C573" s="52" t="s">
        <v>3049</v>
      </c>
      <c r="D573" s="48">
        <v>22957</v>
      </c>
      <c r="E573" s="49">
        <f t="shared" ca="1" si="10"/>
        <v>63.64474958931806</v>
      </c>
      <c r="F573" s="50">
        <v>155426737</v>
      </c>
      <c r="G573" s="51" t="s">
        <v>23</v>
      </c>
      <c r="I573" s="52" t="s">
        <v>2926</v>
      </c>
      <c r="J573" s="46" t="s">
        <v>3050</v>
      </c>
      <c r="M573" s="53" t="s">
        <v>3051</v>
      </c>
      <c r="N573" s="55"/>
      <c r="O573" s="55"/>
    </row>
    <row r="574" spans="1:21">
      <c r="A574" s="47">
        <v>16216287</v>
      </c>
      <c r="B574" s="46" t="s">
        <v>2252</v>
      </c>
      <c r="C574" s="52" t="s">
        <v>2253</v>
      </c>
      <c r="D574" s="48">
        <v>20176</v>
      </c>
      <c r="E574" s="49">
        <f t="shared" ca="1" si="10"/>
        <v>71.258042436687205</v>
      </c>
      <c r="G574" s="51" t="s">
        <v>23</v>
      </c>
      <c r="I574" s="52" t="s">
        <v>1881</v>
      </c>
      <c r="J574" s="55" t="s">
        <v>2254</v>
      </c>
      <c r="K574" s="55"/>
      <c r="L574" s="55"/>
      <c r="M574" s="53" t="s">
        <v>2255</v>
      </c>
      <c r="N574" s="55"/>
      <c r="O574" s="55"/>
    </row>
    <row r="575" spans="1:21">
      <c r="A575" s="47">
        <v>16216479</v>
      </c>
      <c r="B575" s="46" t="s">
        <v>5034</v>
      </c>
      <c r="C575" s="46" t="s">
        <v>5035</v>
      </c>
      <c r="D575" s="48">
        <v>23137</v>
      </c>
      <c r="E575" s="49">
        <f t="shared" ca="1" si="10"/>
        <v>63.15126625598905</v>
      </c>
      <c r="G575" s="51" t="s">
        <v>141</v>
      </c>
      <c r="I575" s="52" t="s">
        <v>4954</v>
      </c>
      <c r="M575" s="52" t="s">
        <v>5036</v>
      </c>
      <c r="N575" s="46">
        <v>4248026</v>
      </c>
      <c r="P575" s="46">
        <v>1</v>
      </c>
    </row>
    <row r="576" spans="1:21">
      <c r="A576" s="47">
        <v>16308116</v>
      </c>
      <c r="B576" s="46" t="s">
        <v>4972</v>
      </c>
      <c r="C576" s="55" t="s">
        <v>639</v>
      </c>
      <c r="D576" s="48">
        <v>23126</v>
      </c>
      <c r="E576" s="49">
        <f t="shared" ca="1" si="10"/>
        <v>63.181382614647504</v>
      </c>
      <c r="F576" s="50">
        <v>156819560</v>
      </c>
      <c r="G576" s="51" t="s">
        <v>70</v>
      </c>
      <c r="I576" s="65" t="s">
        <v>4954</v>
      </c>
      <c r="J576" s="55"/>
      <c r="K576" s="55"/>
      <c r="L576" s="55"/>
      <c r="M576" s="53" t="s">
        <v>4973</v>
      </c>
      <c r="N576" s="55">
        <v>4211388</v>
      </c>
      <c r="O576" s="55"/>
    </row>
    <row r="577" spans="1:21">
      <c r="A577" s="47">
        <v>16309960</v>
      </c>
      <c r="B577" s="46" t="s">
        <v>288</v>
      </c>
      <c r="C577" s="52" t="s">
        <v>2110</v>
      </c>
      <c r="D577" s="48">
        <v>23337</v>
      </c>
      <c r="E577" s="49">
        <f t="shared" ca="1" si="10"/>
        <v>62.603696098562629</v>
      </c>
      <c r="G577" s="51" t="s">
        <v>23</v>
      </c>
      <c r="I577" s="52" t="s">
        <v>1881</v>
      </c>
      <c r="J577" s="55" t="s">
        <v>2111</v>
      </c>
      <c r="K577" s="55"/>
      <c r="L577" s="55"/>
      <c r="M577" s="58" t="s">
        <v>25</v>
      </c>
      <c r="N577" s="55"/>
      <c r="O577" s="55"/>
    </row>
    <row r="578" spans="1:21">
      <c r="A578" s="47">
        <v>16314095</v>
      </c>
      <c r="B578" s="46" t="s">
        <v>760</v>
      </c>
      <c r="C578" s="52" t="s">
        <v>761</v>
      </c>
      <c r="D578" s="48">
        <v>23037</v>
      </c>
      <c r="E578" s="49">
        <f t="shared" ca="1" si="10"/>
        <v>63.42505133470226</v>
      </c>
      <c r="F578" s="50">
        <v>154494785</v>
      </c>
      <c r="G578" s="51" t="s">
        <v>23</v>
      </c>
      <c r="I578" s="52" t="s">
        <v>594</v>
      </c>
      <c r="J578" s="46" t="s">
        <v>762</v>
      </c>
      <c r="M578" s="53" t="s">
        <v>763</v>
      </c>
      <c r="N578" s="55"/>
      <c r="O578" s="55"/>
    </row>
    <row r="579" spans="1:21">
      <c r="A579" s="47">
        <v>16314323</v>
      </c>
      <c r="B579" s="46" t="s">
        <v>304</v>
      </c>
      <c r="C579" s="46" t="s">
        <v>4685</v>
      </c>
      <c r="D579" s="48" t="s">
        <v>4686</v>
      </c>
      <c r="E579" s="49">
        <f t="shared" ca="1" si="10"/>
        <v>62.951403148528406</v>
      </c>
      <c r="F579" s="50" t="s">
        <v>4687</v>
      </c>
      <c r="G579" s="51" t="s">
        <v>70</v>
      </c>
      <c r="H579" s="52" t="s">
        <v>4688</v>
      </c>
      <c r="I579" s="52" t="s">
        <v>4499</v>
      </c>
      <c r="J579" s="46" t="s">
        <v>4689</v>
      </c>
      <c r="K579" s="46" t="s">
        <v>390</v>
      </c>
      <c r="L579" s="46" t="s">
        <v>546</v>
      </c>
      <c r="M579" s="52" t="s">
        <v>4690</v>
      </c>
      <c r="N579" s="46" t="s">
        <v>4607</v>
      </c>
      <c r="O579" s="46" t="s">
        <v>52</v>
      </c>
      <c r="P579" s="46" t="s">
        <v>59</v>
      </c>
      <c r="Q579" s="46" t="s">
        <v>60</v>
      </c>
      <c r="R579" s="46" t="s">
        <v>61</v>
      </c>
      <c r="S579" s="46" t="s">
        <v>62</v>
      </c>
      <c r="T579" s="46" t="s">
        <v>12</v>
      </c>
      <c r="U579" s="46" t="s">
        <v>63</v>
      </c>
    </row>
    <row r="580" spans="1:21">
      <c r="A580" s="47">
        <v>16314512</v>
      </c>
      <c r="B580" s="46" t="s">
        <v>2560</v>
      </c>
      <c r="C580" s="52" t="s">
        <v>2561</v>
      </c>
      <c r="D580" s="48">
        <v>22948</v>
      </c>
      <c r="E580" s="49">
        <f t="shared" ca="1" si="10"/>
        <v>63.66939050587591</v>
      </c>
      <c r="F580" s="50">
        <v>155098030</v>
      </c>
      <c r="G580" s="51" t="s">
        <v>23</v>
      </c>
      <c r="I580" s="59" t="s">
        <v>908</v>
      </c>
      <c r="J580" s="46" t="s">
        <v>2562</v>
      </c>
      <c r="M580" s="53" t="s">
        <v>2563</v>
      </c>
      <c r="N580" s="55"/>
      <c r="O580" s="55"/>
    </row>
    <row r="581" spans="1:21">
      <c r="A581" s="64">
        <v>16314577</v>
      </c>
      <c r="B581" s="61" t="s">
        <v>377</v>
      </c>
      <c r="C581" s="62" t="s">
        <v>378</v>
      </c>
      <c r="D581" s="48" t="s">
        <v>52</v>
      </c>
      <c r="E581" s="49" t="str">
        <f t="shared" ca="1" si="10"/>
        <v/>
      </c>
      <c r="F581" s="63" t="s">
        <v>379</v>
      </c>
      <c r="G581" s="51" t="s">
        <v>70</v>
      </c>
      <c r="H581" s="52" t="s">
        <v>380</v>
      </c>
      <c r="I581" s="52" t="s">
        <v>24</v>
      </c>
      <c r="J581" s="61" t="s">
        <v>381</v>
      </c>
      <c r="K581" s="61" t="s">
        <v>81</v>
      </c>
      <c r="L581" s="61" t="s">
        <v>52</v>
      </c>
      <c r="M581" s="53" t="s">
        <v>382</v>
      </c>
      <c r="N581" s="55" t="s">
        <v>383</v>
      </c>
      <c r="O581" s="55" t="s">
        <v>52</v>
      </c>
      <c r="P581" s="46" t="s">
        <v>59</v>
      </c>
      <c r="Q581" s="46" t="s">
        <v>60</v>
      </c>
      <c r="R581" s="46" t="s">
        <v>61</v>
      </c>
      <c r="S581" s="46" t="s">
        <v>62</v>
      </c>
      <c r="T581" s="46" t="s">
        <v>12</v>
      </c>
      <c r="U581" s="46" t="s">
        <v>63</v>
      </c>
    </row>
    <row r="582" spans="1:21">
      <c r="A582" s="47">
        <v>16314588</v>
      </c>
      <c r="B582" s="46" t="s">
        <v>3563</v>
      </c>
      <c r="C582" s="52" t="s">
        <v>3564</v>
      </c>
      <c r="D582" s="48">
        <v>23209</v>
      </c>
      <c r="E582" s="49">
        <f t="shared" ref="E582:E599" ca="1" si="11">IF(D582="","",YEARFRAC(D582,TODAY(),1))</f>
        <v>62.954140999315534</v>
      </c>
      <c r="F582" s="50">
        <v>155495706</v>
      </c>
      <c r="G582" s="51" t="s">
        <v>23</v>
      </c>
      <c r="I582" s="52" t="s">
        <v>3555</v>
      </c>
      <c r="J582" s="46" t="s">
        <v>3565</v>
      </c>
      <c r="M582" s="53" t="s">
        <v>3566</v>
      </c>
      <c r="N582" s="55">
        <v>4211071</v>
      </c>
      <c r="O582" s="55">
        <v>114</v>
      </c>
    </row>
    <row r="583" spans="1:21">
      <c r="A583" s="47">
        <v>16314645</v>
      </c>
      <c r="B583" s="46" t="s">
        <v>1950</v>
      </c>
      <c r="C583" s="52" t="s">
        <v>1974</v>
      </c>
      <c r="E583" s="49" t="str">
        <f t="shared" ca="1" si="11"/>
        <v/>
      </c>
      <c r="F583" s="50">
        <v>154952406</v>
      </c>
      <c r="G583" s="51" t="s">
        <v>23</v>
      </c>
      <c r="I583" s="52" t="s">
        <v>23</v>
      </c>
      <c r="J583" s="46" t="s">
        <v>545</v>
      </c>
      <c r="M583" s="58" t="s">
        <v>25</v>
      </c>
      <c r="N583" s="55"/>
      <c r="O583" s="55"/>
    </row>
    <row r="584" spans="1:21">
      <c r="A584" s="47">
        <v>16314870</v>
      </c>
      <c r="B584" s="46" t="s">
        <v>1194</v>
      </c>
      <c r="C584" s="52" t="s">
        <v>1813</v>
      </c>
      <c r="E584" s="49" t="str">
        <f t="shared" ca="1" si="11"/>
        <v/>
      </c>
      <c r="F584" s="50">
        <v>155351796</v>
      </c>
      <c r="G584" s="51" t="s">
        <v>23</v>
      </c>
      <c r="I584" s="52" t="s">
        <v>3630</v>
      </c>
      <c r="J584" s="46" t="s">
        <v>3823</v>
      </c>
      <c r="M584" s="53" t="s">
        <v>3824</v>
      </c>
      <c r="N584" s="55">
        <v>4247752</v>
      </c>
      <c r="O584" s="55" t="s">
        <v>3825</v>
      </c>
    </row>
    <row r="585" spans="1:21">
      <c r="A585" s="47">
        <v>16350757</v>
      </c>
      <c r="B585" s="46" t="s">
        <v>1152</v>
      </c>
      <c r="C585" s="52" t="s">
        <v>1153</v>
      </c>
      <c r="D585" s="48">
        <v>23282</v>
      </c>
      <c r="E585" s="49">
        <f t="shared" ca="1" si="11"/>
        <v>62.75427789185489</v>
      </c>
      <c r="F585" s="50">
        <v>155423834</v>
      </c>
      <c r="G585" s="51" t="s">
        <v>23</v>
      </c>
      <c r="I585" s="59" t="s">
        <v>908</v>
      </c>
      <c r="J585" s="46" t="s">
        <v>1004</v>
      </c>
      <c r="M585" s="53" t="s">
        <v>1154</v>
      </c>
      <c r="N585" s="55"/>
      <c r="O585" s="55"/>
    </row>
    <row r="586" spans="1:21">
      <c r="A586" s="47">
        <v>16383516</v>
      </c>
      <c r="B586" s="46" t="s">
        <v>6072</v>
      </c>
      <c r="C586" s="46" t="s">
        <v>6073</v>
      </c>
      <c r="E586" s="49" t="str">
        <f t="shared" ca="1" si="11"/>
        <v/>
      </c>
      <c r="G586" s="51" t="s">
        <v>23</v>
      </c>
      <c r="I586" s="52" t="s">
        <v>23</v>
      </c>
      <c r="M586" s="58" t="s">
        <v>25</v>
      </c>
    </row>
    <row r="587" spans="1:21">
      <c r="A587" s="47">
        <v>16383750</v>
      </c>
      <c r="B587" s="54" t="s">
        <v>21</v>
      </c>
      <c r="C587" s="54" t="s">
        <v>1649</v>
      </c>
      <c r="D587" s="48">
        <v>23248</v>
      </c>
      <c r="E587" s="49">
        <f t="shared" ca="1" si="11"/>
        <v>62.847364818617386</v>
      </c>
      <c r="F587" s="50">
        <v>156045789</v>
      </c>
      <c r="G587" s="51" t="s">
        <v>23</v>
      </c>
      <c r="I587" s="52" t="s">
        <v>4245</v>
      </c>
      <c r="M587" s="53" t="s">
        <v>4246</v>
      </c>
    </row>
    <row r="588" spans="1:21">
      <c r="A588" s="47">
        <v>16425202</v>
      </c>
      <c r="B588" s="46" t="s">
        <v>760</v>
      </c>
      <c r="C588" s="46" t="s">
        <v>3983</v>
      </c>
      <c r="D588" s="48" t="s">
        <v>52</v>
      </c>
      <c r="E588" s="49" t="str">
        <f t="shared" ca="1" si="11"/>
        <v/>
      </c>
      <c r="F588" s="50" t="s">
        <v>3984</v>
      </c>
      <c r="G588" s="51" t="s">
        <v>70</v>
      </c>
      <c r="H588" s="52" t="s">
        <v>3985</v>
      </c>
      <c r="I588" s="52" t="s">
        <v>3956</v>
      </c>
      <c r="J588" s="46" t="s">
        <v>3986</v>
      </c>
      <c r="K588" s="46" t="s">
        <v>81</v>
      </c>
      <c r="L588" s="46" t="s">
        <v>3987</v>
      </c>
      <c r="M588" s="52" t="s">
        <v>3988</v>
      </c>
      <c r="N588" s="46" t="s">
        <v>3989</v>
      </c>
      <c r="O588" s="46" t="s">
        <v>52</v>
      </c>
      <c r="P588" s="46" t="s">
        <v>59</v>
      </c>
      <c r="Q588" s="46" t="s">
        <v>60</v>
      </c>
      <c r="R588" s="46" t="s">
        <v>61</v>
      </c>
      <c r="S588" s="46" t="s">
        <v>62</v>
      </c>
      <c r="T588" s="46" t="s">
        <v>12</v>
      </c>
      <c r="U588" s="46" t="s">
        <v>63</v>
      </c>
    </row>
    <row r="589" spans="1:21">
      <c r="A589" s="47">
        <v>16425482</v>
      </c>
      <c r="B589" s="46" t="s">
        <v>1906</v>
      </c>
      <c r="C589" s="52" t="s">
        <v>95</v>
      </c>
      <c r="D589" s="48">
        <v>23162</v>
      </c>
      <c r="E589" s="49">
        <f t="shared" ca="1" si="11"/>
        <v>63.082819986310746</v>
      </c>
      <c r="G589" s="51" t="s">
        <v>23</v>
      </c>
      <c r="I589" s="52" t="s">
        <v>2926</v>
      </c>
      <c r="J589" s="46" t="s">
        <v>2869</v>
      </c>
      <c r="M589" s="58" t="s">
        <v>25</v>
      </c>
      <c r="N589" s="55"/>
      <c r="O589" s="55"/>
    </row>
    <row r="590" spans="1:21">
      <c r="A590" s="47">
        <v>16450046</v>
      </c>
      <c r="B590" s="46" t="s">
        <v>476</v>
      </c>
      <c r="C590" s="46" t="s">
        <v>2605</v>
      </c>
      <c r="D590" s="48" t="s">
        <v>52</v>
      </c>
      <c r="E590" s="49" t="str">
        <f t="shared" ca="1" si="11"/>
        <v/>
      </c>
      <c r="F590" s="50" t="s">
        <v>2655</v>
      </c>
      <c r="G590" s="51" t="s">
        <v>70</v>
      </c>
      <c r="H590" s="52" t="s">
        <v>2656</v>
      </c>
      <c r="I590" s="59" t="s">
        <v>908</v>
      </c>
      <c r="J590" s="46" t="s">
        <v>1382</v>
      </c>
      <c r="K590" s="46" t="s">
        <v>81</v>
      </c>
      <c r="L590" s="46" t="s">
        <v>52</v>
      </c>
      <c r="M590" s="52" t="s">
        <v>2606</v>
      </c>
      <c r="N590" s="46" t="s">
        <v>52</v>
      </c>
      <c r="O590" s="46" t="s">
        <v>52</v>
      </c>
      <c r="P590" s="46" t="s">
        <v>59</v>
      </c>
      <c r="Q590" s="46" t="s">
        <v>60</v>
      </c>
      <c r="R590" s="46" t="s">
        <v>61</v>
      </c>
      <c r="S590" s="46" t="s">
        <v>62</v>
      </c>
      <c r="T590" s="46" t="s">
        <v>12</v>
      </c>
      <c r="U590" s="46" t="s">
        <v>63</v>
      </c>
    </row>
    <row r="591" spans="1:21">
      <c r="A591" s="47">
        <v>16457626</v>
      </c>
      <c r="B591" s="46" t="s">
        <v>4353</v>
      </c>
      <c r="C591" s="52" t="s">
        <v>4354</v>
      </c>
      <c r="E591" s="49" t="str">
        <f t="shared" ca="1" si="11"/>
        <v/>
      </c>
      <c r="F591" s="50">
        <v>156416939</v>
      </c>
      <c r="G591" s="51" t="s">
        <v>23</v>
      </c>
      <c r="I591" s="52" t="s">
        <v>4245</v>
      </c>
      <c r="J591" s="46" t="s">
        <v>4355</v>
      </c>
      <c r="M591" s="53" t="s">
        <v>4356</v>
      </c>
      <c r="N591" s="55"/>
      <c r="O591" s="55"/>
    </row>
    <row r="592" spans="1:21">
      <c r="A592" s="47">
        <v>16458164</v>
      </c>
      <c r="B592" s="46" t="s">
        <v>4706</v>
      </c>
      <c r="C592" s="52" t="s">
        <v>4818</v>
      </c>
      <c r="D592" s="48" t="s">
        <v>52</v>
      </c>
      <c r="E592" s="49" t="str">
        <f t="shared" ca="1" si="11"/>
        <v/>
      </c>
      <c r="F592" s="50" t="s">
        <v>4819</v>
      </c>
      <c r="G592" s="51" t="s">
        <v>70</v>
      </c>
      <c r="H592" s="52" t="s">
        <v>4820</v>
      </c>
      <c r="I592" s="52" t="s">
        <v>4815</v>
      </c>
      <c r="J592" s="46" t="s">
        <v>3891</v>
      </c>
      <c r="K592" s="46" t="s">
        <v>81</v>
      </c>
      <c r="L592" s="46" t="s">
        <v>52</v>
      </c>
      <c r="M592" s="53" t="s">
        <v>4821</v>
      </c>
      <c r="N592" s="55" t="s">
        <v>52</v>
      </c>
      <c r="O592" s="55" t="s">
        <v>4822</v>
      </c>
      <c r="P592" s="46" t="s">
        <v>59</v>
      </c>
      <c r="Q592" s="46" t="s">
        <v>60</v>
      </c>
      <c r="R592" s="46" t="s">
        <v>61</v>
      </c>
      <c r="S592" s="46" t="s">
        <v>62</v>
      </c>
      <c r="T592" s="46" t="s">
        <v>12</v>
      </c>
      <c r="U592" s="46" t="s">
        <v>63</v>
      </c>
    </row>
    <row r="593" spans="1:21">
      <c r="A593" s="47">
        <v>16458234</v>
      </c>
      <c r="B593" s="46" t="s">
        <v>2592</v>
      </c>
      <c r="C593" s="46" t="s">
        <v>2593</v>
      </c>
      <c r="D593" s="48">
        <v>23065</v>
      </c>
      <c r="E593" s="49">
        <f t="shared" ca="1" si="11"/>
        <v>63.348391512662559</v>
      </c>
      <c r="F593" s="50">
        <v>153195010</v>
      </c>
      <c r="G593" s="51" t="s">
        <v>70</v>
      </c>
      <c r="I593" s="52" t="s">
        <v>5259</v>
      </c>
      <c r="J593" s="46" t="s">
        <v>5277</v>
      </c>
      <c r="M593" s="53" t="s">
        <v>5278</v>
      </c>
      <c r="P593" s="46">
        <v>3</v>
      </c>
    </row>
    <row r="594" spans="1:21">
      <c r="A594" s="47">
        <v>16458525</v>
      </c>
      <c r="B594" s="46" t="s">
        <v>327</v>
      </c>
      <c r="C594" s="46" t="s">
        <v>2882</v>
      </c>
      <c r="D594" s="48" t="s">
        <v>52</v>
      </c>
      <c r="E594" s="49" t="str">
        <f t="shared" ca="1" si="11"/>
        <v/>
      </c>
      <c r="F594" s="50" t="s">
        <v>2883</v>
      </c>
      <c r="G594" s="51" t="s">
        <v>70</v>
      </c>
      <c r="H594" s="52" t="s">
        <v>52</v>
      </c>
      <c r="I594" s="52" t="s">
        <v>2854</v>
      </c>
      <c r="J594" s="46" t="s">
        <v>1472</v>
      </c>
      <c r="K594" s="46" t="s">
        <v>81</v>
      </c>
      <c r="L594" s="46" t="s">
        <v>546</v>
      </c>
      <c r="M594" s="52" t="s">
        <v>582</v>
      </c>
      <c r="N594" s="46" t="s">
        <v>2884</v>
      </c>
      <c r="O594" s="46" t="s">
        <v>52</v>
      </c>
      <c r="P594" s="46" t="s">
        <v>59</v>
      </c>
      <c r="Q594" s="46" t="s">
        <v>60</v>
      </c>
      <c r="R594" s="46" t="s">
        <v>61</v>
      </c>
      <c r="S594" s="46" t="s">
        <v>62</v>
      </c>
      <c r="T594" s="46" t="s">
        <v>12</v>
      </c>
      <c r="U594" s="46" t="s">
        <v>63</v>
      </c>
    </row>
    <row r="595" spans="1:21">
      <c r="A595" s="47">
        <v>16458792</v>
      </c>
      <c r="B595" s="46" t="s">
        <v>288</v>
      </c>
      <c r="C595" s="46" t="s">
        <v>1353</v>
      </c>
      <c r="D595" s="48" t="s">
        <v>52</v>
      </c>
      <c r="E595" s="49" t="str">
        <f t="shared" ca="1" si="11"/>
        <v/>
      </c>
      <c r="F595" s="50" t="s">
        <v>1417</v>
      </c>
      <c r="G595" s="51" t="s">
        <v>70</v>
      </c>
      <c r="H595" s="52" t="s">
        <v>52</v>
      </c>
      <c r="I595" s="59" t="s">
        <v>908</v>
      </c>
      <c r="J595" s="46" t="s">
        <v>52</v>
      </c>
      <c r="K595" s="46" t="s">
        <v>390</v>
      </c>
      <c r="L595" s="46" t="s">
        <v>546</v>
      </c>
      <c r="M595" s="52" t="s">
        <v>1418</v>
      </c>
      <c r="N595" s="46" t="s">
        <v>52</v>
      </c>
      <c r="O595" s="46" t="s">
        <v>52</v>
      </c>
      <c r="P595" s="46" t="s">
        <v>59</v>
      </c>
      <c r="Q595" s="46" t="s">
        <v>60</v>
      </c>
      <c r="R595" s="46" t="s">
        <v>61</v>
      </c>
      <c r="S595" s="46" t="s">
        <v>62</v>
      </c>
      <c r="T595" s="46" t="s">
        <v>12</v>
      </c>
      <c r="U595" s="46" t="s">
        <v>63</v>
      </c>
    </row>
    <row r="596" spans="1:21">
      <c r="A596" s="47">
        <v>16540820</v>
      </c>
      <c r="B596" s="46" t="s">
        <v>1554</v>
      </c>
      <c r="C596" s="46" t="s">
        <v>1420</v>
      </c>
      <c r="D596" s="48">
        <v>23211</v>
      </c>
      <c r="E596" s="49">
        <f t="shared" ca="1" si="11"/>
        <v>62.948665297741272</v>
      </c>
      <c r="F596" s="50">
        <v>154434206</v>
      </c>
      <c r="G596" s="51" t="s">
        <v>70</v>
      </c>
      <c r="I596" s="52" t="s">
        <v>5494</v>
      </c>
      <c r="J596" s="46" t="s">
        <v>5638</v>
      </c>
      <c r="M596" s="53" t="s">
        <v>5639</v>
      </c>
    </row>
    <row r="597" spans="1:21">
      <c r="A597" s="47">
        <v>16540918</v>
      </c>
      <c r="B597" s="46" t="s">
        <v>595</v>
      </c>
      <c r="C597" s="46" t="s">
        <v>468</v>
      </c>
      <c r="D597" s="48" t="s">
        <v>52</v>
      </c>
      <c r="E597" s="49" t="str">
        <f t="shared" ca="1" si="11"/>
        <v/>
      </c>
      <c r="F597" s="50" t="s">
        <v>4180</v>
      </c>
      <c r="G597" s="51" t="s">
        <v>70</v>
      </c>
      <c r="H597" s="52" t="s">
        <v>524</v>
      </c>
      <c r="I597" s="52" t="s">
        <v>4181</v>
      </c>
      <c r="J597" s="46" t="s">
        <v>224</v>
      </c>
      <c r="K597" s="46" t="s">
        <v>390</v>
      </c>
      <c r="L597" s="46" t="s">
        <v>52</v>
      </c>
      <c r="M597" s="52" t="s">
        <v>4182</v>
      </c>
      <c r="N597" s="46" t="s">
        <v>931</v>
      </c>
      <c r="O597" s="46" t="s">
        <v>4183</v>
      </c>
      <c r="P597" s="46" t="s">
        <v>59</v>
      </c>
      <c r="Q597" s="46" t="s">
        <v>60</v>
      </c>
      <c r="R597" s="46" t="s">
        <v>61</v>
      </c>
      <c r="S597" s="46" t="s">
        <v>62</v>
      </c>
      <c r="T597" s="46" t="s">
        <v>12</v>
      </c>
      <c r="U597" s="46" t="s">
        <v>63</v>
      </c>
    </row>
    <row r="598" spans="1:21">
      <c r="A598" s="47">
        <v>16541407</v>
      </c>
      <c r="B598" s="46" t="s">
        <v>608</v>
      </c>
      <c r="C598" s="46" t="s">
        <v>468</v>
      </c>
      <c r="D598" s="48" t="s">
        <v>52</v>
      </c>
      <c r="E598" s="49" t="str">
        <f t="shared" ca="1" si="11"/>
        <v/>
      </c>
      <c r="F598" s="50" t="s">
        <v>6731</v>
      </c>
      <c r="G598" s="51" t="s">
        <v>78</v>
      </c>
      <c r="H598" s="52" t="s">
        <v>6732</v>
      </c>
      <c r="I598" s="52" t="s">
        <v>4499</v>
      </c>
      <c r="J598" s="46" t="s">
        <v>6733</v>
      </c>
      <c r="K598" s="46" t="s">
        <v>159</v>
      </c>
      <c r="L598" s="46" t="s">
        <v>546</v>
      </c>
      <c r="M598" s="52" t="s">
        <v>6734</v>
      </c>
      <c r="N598" s="46" t="s">
        <v>52</v>
      </c>
      <c r="O598" s="46" t="s">
        <v>52</v>
      </c>
      <c r="P598" s="46" t="s">
        <v>59</v>
      </c>
      <c r="Q598" s="46" t="s">
        <v>60</v>
      </c>
      <c r="R598" s="46" t="s">
        <v>61</v>
      </c>
      <c r="S598" s="46" t="s">
        <v>62</v>
      </c>
      <c r="T598" s="46" t="s">
        <v>12</v>
      </c>
      <c r="U598" s="46" t="s">
        <v>63</v>
      </c>
    </row>
    <row r="599" spans="1:21">
      <c r="A599" s="47">
        <v>16541411</v>
      </c>
      <c r="B599" s="46" t="s">
        <v>4746</v>
      </c>
      <c r="C599" s="52" t="s">
        <v>4747</v>
      </c>
      <c r="D599" s="48">
        <v>23348</v>
      </c>
      <c r="E599" s="49">
        <f t="shared" ca="1" si="11"/>
        <v>62.573579739904176</v>
      </c>
      <c r="F599" s="50">
        <v>155467541</v>
      </c>
      <c r="G599" s="51" t="s">
        <v>23</v>
      </c>
      <c r="I599" s="65" t="s">
        <v>4708</v>
      </c>
      <c r="J599" s="46" t="s">
        <v>4748</v>
      </c>
      <c r="M599" s="53" t="s">
        <v>4749</v>
      </c>
      <c r="N599" s="55"/>
      <c r="O599" s="55"/>
    </row>
    <row r="600" spans="1:21">
      <c r="A600" s="74">
        <v>16541466</v>
      </c>
      <c r="B600" s="234" t="s">
        <v>9882</v>
      </c>
      <c r="C600" s="234" t="s">
        <v>7486</v>
      </c>
      <c r="D600" s="235">
        <v>23267</v>
      </c>
      <c r="E600" s="236"/>
      <c r="F600" s="237">
        <v>3816023330</v>
      </c>
      <c r="G600" s="234" t="s">
        <v>70</v>
      </c>
      <c r="H600" s="238"/>
      <c r="I600" s="265" t="s">
        <v>3427</v>
      </c>
      <c r="J600" s="234" t="s">
        <v>9991</v>
      </c>
      <c r="K600" s="234" t="s">
        <v>2002</v>
      </c>
      <c r="L600" s="234"/>
      <c r="M600" s="238" t="s">
        <v>9925</v>
      </c>
      <c r="N600" s="234"/>
      <c r="O600" s="234"/>
      <c r="P600" s="234"/>
      <c r="Q600" s="234"/>
      <c r="R600" s="234"/>
      <c r="S600" s="234"/>
      <c r="T600" s="234"/>
      <c r="U600" s="234"/>
    </row>
    <row r="601" spans="1:21">
      <c r="A601" s="47">
        <v>16541537</v>
      </c>
      <c r="B601" s="46" t="s">
        <v>4643</v>
      </c>
      <c r="C601" s="46" t="s">
        <v>4644</v>
      </c>
      <c r="D601" s="48">
        <v>23219</v>
      </c>
      <c r="E601" s="49">
        <f t="shared" ref="E601:E625" ca="1" si="12">IF(D601="","",YEARFRAC(D601,TODAY(),1))</f>
        <v>62.926762491444215</v>
      </c>
      <c r="F601" s="50">
        <v>156416820</v>
      </c>
      <c r="G601" s="51" t="s">
        <v>78</v>
      </c>
      <c r="I601" s="52" t="s">
        <v>4499</v>
      </c>
      <c r="J601" s="46" t="s">
        <v>3991</v>
      </c>
      <c r="M601" s="52" t="s">
        <v>4645</v>
      </c>
      <c r="P601" s="46">
        <v>3</v>
      </c>
    </row>
    <row r="602" spans="1:21">
      <c r="A602" s="47">
        <v>16541630</v>
      </c>
      <c r="B602" s="46" t="s">
        <v>3101</v>
      </c>
      <c r="C602" s="46" t="s">
        <v>3765</v>
      </c>
      <c r="D602" s="48" t="s">
        <v>52</v>
      </c>
      <c r="E602" s="49" t="str">
        <f t="shared" ca="1" si="12"/>
        <v/>
      </c>
      <c r="F602" s="50" t="s">
        <v>3766</v>
      </c>
      <c r="G602" s="51" t="s">
        <v>78</v>
      </c>
      <c r="H602" s="52" t="s">
        <v>52</v>
      </c>
      <c r="I602" s="52" t="s">
        <v>3630</v>
      </c>
      <c r="J602" s="46" t="s">
        <v>3767</v>
      </c>
      <c r="K602" s="46" t="s">
        <v>81</v>
      </c>
      <c r="L602" s="46" t="s">
        <v>52</v>
      </c>
      <c r="M602" s="53" t="s">
        <v>3768</v>
      </c>
      <c r="N602" s="46" t="s">
        <v>3668</v>
      </c>
      <c r="O602" s="46" t="s">
        <v>3769</v>
      </c>
      <c r="P602" s="46" t="s">
        <v>59</v>
      </c>
      <c r="Q602" s="46" t="s">
        <v>60</v>
      </c>
      <c r="R602" s="46" t="s">
        <v>61</v>
      </c>
      <c r="S602" s="46" t="s">
        <v>62</v>
      </c>
      <c r="T602" s="46" t="s">
        <v>12</v>
      </c>
      <c r="U602" s="46" t="s">
        <v>63</v>
      </c>
    </row>
    <row r="603" spans="1:21">
      <c r="A603" s="47">
        <v>16541821</v>
      </c>
      <c r="B603" s="46" t="s">
        <v>311</v>
      </c>
      <c r="C603" s="52" t="s">
        <v>1974</v>
      </c>
      <c r="D603" s="48">
        <v>23137</v>
      </c>
      <c r="E603" s="49">
        <f t="shared" ca="1" si="12"/>
        <v>63.15126625598905</v>
      </c>
      <c r="F603" s="50">
        <v>154764368</v>
      </c>
      <c r="G603" s="51" t="s">
        <v>23</v>
      </c>
      <c r="I603" s="59" t="s">
        <v>908</v>
      </c>
      <c r="M603" s="53" t="s">
        <v>2543</v>
      </c>
      <c r="N603" s="55"/>
      <c r="O603" s="55"/>
    </row>
    <row r="604" spans="1:21">
      <c r="A604" s="47">
        <v>16558597</v>
      </c>
      <c r="B604" s="69" t="s">
        <v>2576</v>
      </c>
      <c r="C604" s="52" t="s">
        <v>1974</v>
      </c>
      <c r="D604" s="48">
        <v>23271</v>
      </c>
      <c r="E604" s="49">
        <f t="shared" ca="1" si="12"/>
        <v>62.784394250513344</v>
      </c>
      <c r="G604" s="51" t="s">
        <v>141</v>
      </c>
      <c r="I604" s="52" t="s">
        <v>23</v>
      </c>
      <c r="M604" s="58" t="s">
        <v>25</v>
      </c>
      <c r="N604" s="55">
        <v>4247752</v>
      </c>
      <c r="O604" s="55">
        <v>7118</v>
      </c>
    </row>
    <row r="605" spans="1:21">
      <c r="A605" s="47">
        <v>16588597</v>
      </c>
      <c r="B605" s="46" t="s">
        <v>2576</v>
      </c>
      <c r="C605" s="52" t="s">
        <v>1974</v>
      </c>
      <c r="D605" s="48">
        <v>23271</v>
      </c>
      <c r="E605" s="49">
        <f t="shared" ca="1" si="12"/>
        <v>62.784394250513344</v>
      </c>
      <c r="F605" s="50">
        <v>154959357</v>
      </c>
      <c r="G605" s="51" t="s">
        <v>141</v>
      </c>
      <c r="I605" s="52" t="s">
        <v>23</v>
      </c>
      <c r="J605" s="46" t="s">
        <v>6007</v>
      </c>
      <c r="M605" s="58" t="s">
        <v>25</v>
      </c>
      <c r="N605" s="55">
        <v>4247752</v>
      </c>
      <c r="O605" s="55">
        <v>7118</v>
      </c>
    </row>
    <row r="606" spans="1:21">
      <c r="A606" s="47">
        <v>16617264</v>
      </c>
      <c r="B606" s="46" t="s">
        <v>3461</v>
      </c>
      <c r="C606" s="52" t="s">
        <v>3462</v>
      </c>
      <c r="E606" s="49" t="str">
        <f t="shared" ca="1" si="12"/>
        <v/>
      </c>
      <c r="F606" s="50">
        <v>155338456</v>
      </c>
      <c r="G606" s="51" t="s">
        <v>23</v>
      </c>
      <c r="I606" s="52" t="s">
        <v>3427</v>
      </c>
      <c r="M606" s="58" t="s">
        <v>25</v>
      </c>
      <c r="N606" s="55" t="s">
        <v>3463</v>
      </c>
      <c r="O606" s="55"/>
    </row>
    <row r="607" spans="1:21">
      <c r="A607" s="47">
        <v>16617295</v>
      </c>
      <c r="B607" s="46" t="s">
        <v>574</v>
      </c>
      <c r="C607" s="55" t="s">
        <v>455</v>
      </c>
      <c r="D607" s="48" t="s">
        <v>52</v>
      </c>
      <c r="E607" s="49" t="str">
        <f t="shared" ca="1" si="12"/>
        <v/>
      </c>
      <c r="F607" s="50" t="s">
        <v>5799</v>
      </c>
      <c r="G607" s="51" t="s">
        <v>141</v>
      </c>
      <c r="H607" s="52" t="s">
        <v>52</v>
      </c>
      <c r="I607" s="52" t="s">
        <v>5761</v>
      </c>
      <c r="J607" s="55" t="s">
        <v>52</v>
      </c>
      <c r="K607" s="55" t="s">
        <v>52</v>
      </c>
      <c r="L607" s="55" t="s">
        <v>52</v>
      </c>
      <c r="M607" s="53" t="s">
        <v>5800</v>
      </c>
      <c r="N607" s="55" t="s">
        <v>5801</v>
      </c>
      <c r="O607" s="55" t="s">
        <v>52</v>
      </c>
      <c r="P607" s="46" t="s">
        <v>59</v>
      </c>
      <c r="Q607" s="46" t="s">
        <v>60</v>
      </c>
      <c r="R607" s="46" t="s">
        <v>61</v>
      </c>
      <c r="S607" s="46" t="s">
        <v>62</v>
      </c>
      <c r="T607" s="46" t="s">
        <v>12</v>
      </c>
      <c r="U607" s="46" t="s">
        <v>63</v>
      </c>
    </row>
    <row r="608" spans="1:21">
      <c r="A608" s="47">
        <v>16617470</v>
      </c>
      <c r="B608" s="46" t="s">
        <v>164</v>
      </c>
      <c r="C608" s="52" t="s">
        <v>4531</v>
      </c>
      <c r="D608" s="48">
        <v>23400</v>
      </c>
      <c r="E608" s="49">
        <f t="shared" ca="1" si="12"/>
        <v>62.430533223241056</v>
      </c>
      <c r="F608" s="50">
        <v>156408120</v>
      </c>
      <c r="G608" s="51" t="s">
        <v>23</v>
      </c>
      <c r="I608" s="52" t="s">
        <v>4499</v>
      </c>
      <c r="J608" s="46" t="s">
        <v>166</v>
      </c>
      <c r="M608" s="58" t="s">
        <v>25</v>
      </c>
      <c r="N608" s="55"/>
      <c r="O608" s="55"/>
    </row>
    <row r="609" spans="1:21">
      <c r="A609" s="47">
        <v>16617498</v>
      </c>
      <c r="B609" s="46" t="s">
        <v>5314</v>
      </c>
      <c r="C609" s="52" t="s">
        <v>5315</v>
      </c>
      <c r="D609" s="48">
        <v>23369</v>
      </c>
      <c r="E609" s="49">
        <f t="shared" ca="1" si="12"/>
        <v>62.516084873374403</v>
      </c>
      <c r="F609" s="50">
        <v>156095979</v>
      </c>
      <c r="G609" s="51" t="s">
        <v>23</v>
      </c>
      <c r="I609" s="52" t="s">
        <v>5304</v>
      </c>
      <c r="J609" s="46" t="s">
        <v>5316</v>
      </c>
      <c r="M609" s="53" t="s">
        <v>5317</v>
      </c>
      <c r="N609" s="55"/>
      <c r="O609" s="55"/>
    </row>
    <row r="610" spans="1:21">
      <c r="A610" s="47">
        <v>16617513</v>
      </c>
      <c r="B610" s="69" t="s">
        <v>1236</v>
      </c>
      <c r="C610" s="52" t="s">
        <v>1237</v>
      </c>
      <c r="D610" s="48" t="s">
        <v>1238</v>
      </c>
      <c r="E610" s="49">
        <f t="shared" ca="1" si="12"/>
        <v>15.693992591399581</v>
      </c>
      <c r="F610" s="50" t="s">
        <v>1239</v>
      </c>
      <c r="G610" s="51" t="s">
        <v>70</v>
      </c>
      <c r="H610" s="52" t="s">
        <v>52</v>
      </c>
      <c r="I610" s="59" t="s">
        <v>908</v>
      </c>
      <c r="J610" s="46" t="s">
        <v>1240</v>
      </c>
      <c r="K610" s="46" t="s">
        <v>81</v>
      </c>
      <c r="L610" s="46" t="s">
        <v>1241</v>
      </c>
      <c r="M610" s="53" t="s">
        <v>1242</v>
      </c>
      <c r="N610" s="55" t="s">
        <v>931</v>
      </c>
      <c r="O610" s="55" t="s">
        <v>1243</v>
      </c>
      <c r="P610" s="46" t="s">
        <v>59</v>
      </c>
      <c r="Q610" s="46" t="s">
        <v>60</v>
      </c>
      <c r="R610" s="46" t="s">
        <v>61</v>
      </c>
      <c r="S610" s="46" t="s">
        <v>62</v>
      </c>
      <c r="T610" s="46" t="s">
        <v>12</v>
      </c>
      <c r="U610" s="46" t="s">
        <v>63</v>
      </c>
    </row>
    <row r="611" spans="1:21">
      <c r="A611" s="47">
        <v>16617561</v>
      </c>
      <c r="B611" s="46" t="s">
        <v>4445</v>
      </c>
      <c r="C611" s="46" t="s">
        <v>4446</v>
      </c>
      <c r="D611" s="48">
        <v>23287</v>
      </c>
      <c r="E611" s="49">
        <f t="shared" ca="1" si="12"/>
        <v>62.740588637919231</v>
      </c>
      <c r="F611" s="50" t="s">
        <v>4447</v>
      </c>
      <c r="G611" s="51" t="s">
        <v>70</v>
      </c>
      <c r="H611" s="52" t="s">
        <v>4448</v>
      </c>
      <c r="I611" s="52" t="s">
        <v>4245</v>
      </c>
      <c r="J611" s="46" t="s">
        <v>4449</v>
      </c>
      <c r="K611" s="46" t="s">
        <v>81</v>
      </c>
      <c r="L611" s="46" t="s">
        <v>52</v>
      </c>
      <c r="M611" s="53" t="s">
        <v>4450</v>
      </c>
      <c r="N611" s="46" t="s">
        <v>52</v>
      </c>
      <c r="O611" s="46" t="s">
        <v>52</v>
      </c>
      <c r="P611" s="46" t="s">
        <v>59</v>
      </c>
      <c r="Q611" s="46" t="s">
        <v>60</v>
      </c>
      <c r="R611" s="46" t="s">
        <v>61</v>
      </c>
      <c r="S611" s="46" t="s">
        <v>62</v>
      </c>
      <c r="T611" s="46" t="s">
        <v>12</v>
      </c>
      <c r="U611" s="46" t="s">
        <v>63</v>
      </c>
    </row>
    <row r="612" spans="1:21">
      <c r="A612" s="47">
        <v>16617590</v>
      </c>
      <c r="B612" s="46" t="s">
        <v>4011</v>
      </c>
      <c r="C612" s="52" t="s">
        <v>4012</v>
      </c>
      <c r="D612" s="48">
        <v>24487</v>
      </c>
      <c r="E612" s="49">
        <f t="shared" ca="1" si="12"/>
        <v>59.455167693360714</v>
      </c>
      <c r="F612" s="50">
        <v>156789469</v>
      </c>
      <c r="G612" s="51" t="s">
        <v>23</v>
      </c>
      <c r="I612" s="52" t="s">
        <v>3999</v>
      </c>
      <c r="J612" s="46" t="s">
        <v>224</v>
      </c>
      <c r="M612" s="53" t="s">
        <v>4013</v>
      </c>
      <c r="N612" s="55">
        <v>4220767</v>
      </c>
      <c r="O612" s="55"/>
    </row>
    <row r="613" spans="1:21">
      <c r="A613" s="47">
        <v>16685009</v>
      </c>
      <c r="B613" s="46" t="s">
        <v>2936</v>
      </c>
      <c r="C613" s="46" t="s">
        <v>2937</v>
      </c>
      <c r="D613" s="48">
        <v>23228</v>
      </c>
      <c r="E613" s="49">
        <f t="shared" ca="1" si="12"/>
        <v>62.902121834360024</v>
      </c>
      <c r="F613" s="50">
        <v>155825832</v>
      </c>
      <c r="G613" s="51" t="s">
        <v>78</v>
      </c>
      <c r="I613" s="52" t="s">
        <v>2926</v>
      </c>
      <c r="J613" s="46" t="s">
        <v>2938</v>
      </c>
      <c r="M613" s="58" t="s">
        <v>25</v>
      </c>
      <c r="P613" s="46" t="s">
        <v>1092</v>
      </c>
    </row>
    <row r="614" spans="1:21">
      <c r="A614" s="47">
        <v>16685047</v>
      </c>
      <c r="B614" s="46" t="s">
        <v>1116</v>
      </c>
      <c r="C614" s="46" t="s">
        <v>1117</v>
      </c>
      <c r="D614" s="48">
        <v>23302</v>
      </c>
      <c r="E614" s="49">
        <f t="shared" ca="1" si="12"/>
        <v>62.699520876112253</v>
      </c>
      <c r="F614" s="50">
        <v>156818743</v>
      </c>
      <c r="G614" s="51" t="s">
        <v>23</v>
      </c>
      <c r="I614" s="59" t="s">
        <v>908</v>
      </c>
      <c r="M614" s="53" t="s">
        <v>1118</v>
      </c>
      <c r="N614" s="46">
        <v>4247752</v>
      </c>
      <c r="O614" s="46">
        <v>7015</v>
      </c>
    </row>
    <row r="615" spans="1:21">
      <c r="A615" s="47">
        <v>16685130</v>
      </c>
      <c r="B615" s="46" t="s">
        <v>2329</v>
      </c>
      <c r="C615" s="46" t="s">
        <v>2330</v>
      </c>
      <c r="D615" s="48" t="s">
        <v>2331</v>
      </c>
      <c r="E615" s="49">
        <f t="shared" ca="1" si="12"/>
        <v>62.35661205510408</v>
      </c>
      <c r="F615" s="50" t="s">
        <v>2332</v>
      </c>
      <c r="G615" s="51" t="s">
        <v>70</v>
      </c>
      <c r="H615" s="52" t="s">
        <v>52</v>
      </c>
      <c r="I615" s="52" t="s">
        <v>1881</v>
      </c>
      <c r="J615" s="46" t="s">
        <v>2333</v>
      </c>
      <c r="K615" s="46" t="s">
        <v>81</v>
      </c>
      <c r="L615" s="46" t="s">
        <v>1782</v>
      </c>
      <c r="M615" s="58" t="s">
        <v>2334</v>
      </c>
      <c r="N615" s="46" t="s">
        <v>1995</v>
      </c>
      <c r="O615" s="46" t="s">
        <v>52</v>
      </c>
      <c r="P615" s="46" t="s">
        <v>59</v>
      </c>
      <c r="Q615" s="46" t="s">
        <v>60</v>
      </c>
      <c r="R615" s="46" t="s">
        <v>61</v>
      </c>
      <c r="S615" s="46" t="s">
        <v>62</v>
      </c>
      <c r="T615" s="46" t="s">
        <v>12</v>
      </c>
      <c r="U615" s="46" t="s">
        <v>63</v>
      </c>
    </row>
    <row r="616" spans="1:21">
      <c r="A616" s="64">
        <v>16685410</v>
      </c>
      <c r="B616" s="61" t="s">
        <v>5130</v>
      </c>
      <c r="C616" s="62" t="s">
        <v>5019</v>
      </c>
      <c r="D616" s="48">
        <v>23489</v>
      </c>
      <c r="E616" s="49">
        <f t="shared" ca="1" si="12"/>
        <v>62.186867150493242</v>
      </c>
      <c r="F616" s="63"/>
      <c r="G616" s="51" t="s">
        <v>23</v>
      </c>
      <c r="I616" s="52" t="s">
        <v>4954</v>
      </c>
      <c r="J616" s="61" t="s">
        <v>5131</v>
      </c>
      <c r="K616" s="61"/>
      <c r="L616" s="61"/>
      <c r="M616" s="53" t="s">
        <v>5132</v>
      </c>
      <c r="N616" s="55"/>
      <c r="O616" s="55"/>
    </row>
    <row r="617" spans="1:21">
      <c r="A617" s="47">
        <v>16685437</v>
      </c>
      <c r="B617" s="46" t="s">
        <v>6502</v>
      </c>
      <c r="C617" s="46" t="s">
        <v>6503</v>
      </c>
      <c r="D617" s="48">
        <v>23330</v>
      </c>
      <c r="E617" s="49">
        <f t="shared" ca="1" si="12"/>
        <v>62.622861054072551</v>
      </c>
      <c r="F617" s="50">
        <v>154691941</v>
      </c>
      <c r="G617" s="51" t="s">
        <v>23</v>
      </c>
      <c r="I617" s="65" t="s">
        <v>6504</v>
      </c>
      <c r="J617" s="46" t="s">
        <v>470</v>
      </c>
      <c r="M617" s="53" t="s">
        <v>6505</v>
      </c>
      <c r="N617" s="46" t="s">
        <v>6506</v>
      </c>
    </row>
    <row r="618" spans="1:21">
      <c r="A618" s="47">
        <v>16685588</v>
      </c>
      <c r="B618" s="46" t="s">
        <v>659</v>
      </c>
      <c r="C618" s="46" t="s">
        <v>660</v>
      </c>
      <c r="D618" s="48">
        <v>23352</v>
      </c>
      <c r="E618" s="49">
        <f t="shared" ca="1" si="12"/>
        <v>62.562628336755644</v>
      </c>
      <c r="G618" s="51" t="s">
        <v>70</v>
      </c>
      <c r="I618" s="52" t="s">
        <v>594</v>
      </c>
      <c r="M618" s="53" t="s">
        <v>661</v>
      </c>
    </row>
    <row r="619" spans="1:21">
      <c r="A619" s="47">
        <v>16685720</v>
      </c>
      <c r="B619" s="46" t="s">
        <v>218</v>
      </c>
      <c r="C619" s="52" t="s">
        <v>1739</v>
      </c>
      <c r="D619" s="48">
        <v>23190</v>
      </c>
      <c r="E619" s="49">
        <f t="shared" ca="1" si="12"/>
        <v>63.006160164271044</v>
      </c>
      <c r="F619" s="50">
        <v>154476139</v>
      </c>
      <c r="G619" s="51" t="s">
        <v>23</v>
      </c>
      <c r="I619" s="52" t="s">
        <v>1657</v>
      </c>
      <c r="M619" s="53" t="s">
        <v>1740</v>
      </c>
      <c r="N619" s="55"/>
      <c r="O619" s="55"/>
    </row>
    <row r="620" spans="1:21">
      <c r="A620" s="47">
        <v>16685740</v>
      </c>
      <c r="B620" s="46" t="s">
        <v>1839</v>
      </c>
      <c r="C620" s="46" t="s">
        <v>4667</v>
      </c>
      <c r="E620" s="49" t="str">
        <f t="shared" ca="1" si="12"/>
        <v/>
      </c>
      <c r="F620" s="50">
        <v>156455897</v>
      </c>
      <c r="G620" s="51" t="s">
        <v>23</v>
      </c>
      <c r="I620" s="52" t="s">
        <v>4499</v>
      </c>
      <c r="M620" s="53" t="s">
        <v>4668</v>
      </c>
      <c r="N620" s="46">
        <v>4847317</v>
      </c>
    </row>
    <row r="621" spans="1:21">
      <c r="A621" s="47">
        <v>16685790</v>
      </c>
      <c r="B621" s="46" t="s">
        <v>3016</v>
      </c>
      <c r="C621" s="46" t="s">
        <v>3017</v>
      </c>
      <c r="D621" s="48" t="s">
        <v>52</v>
      </c>
      <c r="E621" s="49" t="str">
        <f t="shared" ca="1" si="12"/>
        <v/>
      </c>
      <c r="F621" s="50" t="s">
        <v>3018</v>
      </c>
      <c r="G621" s="51" t="s">
        <v>70</v>
      </c>
      <c r="H621" s="52" t="s">
        <v>3019</v>
      </c>
      <c r="I621" s="52" t="s">
        <v>2926</v>
      </c>
      <c r="J621" s="46" t="s">
        <v>2214</v>
      </c>
      <c r="K621" s="46" t="s">
        <v>81</v>
      </c>
      <c r="L621" s="46" t="s">
        <v>52</v>
      </c>
      <c r="M621" s="53" t="s">
        <v>3020</v>
      </c>
      <c r="N621" s="46" t="s">
        <v>3021</v>
      </c>
      <c r="O621" s="46" t="s">
        <v>52</v>
      </c>
      <c r="P621" s="46" t="s">
        <v>59</v>
      </c>
      <c r="Q621" s="46" t="s">
        <v>60</v>
      </c>
      <c r="R621" s="46" t="s">
        <v>61</v>
      </c>
      <c r="S621" s="46" t="s">
        <v>62</v>
      </c>
      <c r="T621" s="46" t="s">
        <v>12</v>
      </c>
      <c r="U621" s="46" t="s">
        <v>63</v>
      </c>
    </row>
    <row r="622" spans="1:21">
      <c r="A622" s="47">
        <v>16685797</v>
      </c>
      <c r="B622" s="46" t="s">
        <v>3029</v>
      </c>
      <c r="C622" s="46" t="s">
        <v>3030</v>
      </c>
      <c r="D622" s="48">
        <v>23291</v>
      </c>
      <c r="E622" s="49">
        <f t="shared" ca="1" si="12"/>
        <v>62.729637234770706</v>
      </c>
      <c r="F622" s="50">
        <v>156237511</v>
      </c>
      <c r="G622" s="51" t="s">
        <v>23</v>
      </c>
      <c r="I622" s="52" t="s">
        <v>2926</v>
      </c>
      <c r="J622" s="46" t="s">
        <v>316</v>
      </c>
      <c r="M622" s="53" t="s">
        <v>3031</v>
      </c>
    </row>
    <row r="623" spans="1:21">
      <c r="A623" s="47">
        <v>16685844</v>
      </c>
      <c r="B623" s="46" t="s">
        <v>1926</v>
      </c>
      <c r="C623" s="46" t="s">
        <v>1974</v>
      </c>
      <c r="D623" s="48" t="s">
        <v>52</v>
      </c>
      <c r="E623" s="49" t="str">
        <f t="shared" ca="1" si="12"/>
        <v/>
      </c>
      <c r="F623" s="50" t="s">
        <v>5523</v>
      </c>
      <c r="G623" s="51" t="s">
        <v>70</v>
      </c>
      <c r="H623" s="52" t="s">
        <v>5524</v>
      </c>
      <c r="I623" s="52" t="s">
        <v>5494</v>
      </c>
      <c r="J623" s="46" t="s">
        <v>3403</v>
      </c>
      <c r="K623" s="46" t="s">
        <v>159</v>
      </c>
      <c r="L623" s="46" t="s">
        <v>52</v>
      </c>
      <c r="M623" s="53" t="s">
        <v>5525</v>
      </c>
      <c r="N623" s="46" t="s">
        <v>5157</v>
      </c>
      <c r="O623" s="46" t="s">
        <v>1430</v>
      </c>
      <c r="P623" s="46" t="s">
        <v>59</v>
      </c>
      <c r="Q623" s="46" t="s">
        <v>60</v>
      </c>
      <c r="R623" s="46" t="s">
        <v>61</v>
      </c>
      <c r="S623" s="46" t="s">
        <v>62</v>
      </c>
      <c r="T623" s="46" t="s">
        <v>12</v>
      </c>
      <c r="U623" s="46" t="s">
        <v>63</v>
      </c>
    </row>
    <row r="624" spans="1:21">
      <c r="A624" s="47">
        <v>16685892</v>
      </c>
      <c r="B624" s="46" t="s">
        <v>1976</v>
      </c>
      <c r="C624" s="46" t="s">
        <v>1977</v>
      </c>
      <c r="E624" s="49" t="str">
        <f t="shared" ca="1" si="12"/>
        <v/>
      </c>
      <c r="F624" s="50">
        <v>156810648</v>
      </c>
      <c r="G624" s="51" t="s">
        <v>23</v>
      </c>
      <c r="I624" s="52" t="s">
        <v>1881</v>
      </c>
      <c r="M624" s="53" t="s">
        <v>1978</v>
      </c>
    </row>
    <row r="625" spans="1:21">
      <c r="A625" s="47">
        <v>16685969</v>
      </c>
      <c r="B625" s="46" t="s">
        <v>2183</v>
      </c>
      <c r="C625" s="52" t="s">
        <v>2188</v>
      </c>
      <c r="E625" s="49" t="str">
        <f t="shared" ca="1" si="12"/>
        <v/>
      </c>
      <c r="F625" s="50">
        <v>154774184</v>
      </c>
      <c r="G625" s="51" t="s">
        <v>23</v>
      </c>
      <c r="I625" s="52" t="s">
        <v>1881</v>
      </c>
      <c r="M625" s="58" t="s">
        <v>25</v>
      </c>
      <c r="N625" s="55"/>
      <c r="O625" s="55"/>
    </row>
    <row r="626" spans="1:21">
      <c r="A626" s="74">
        <v>16686145</v>
      </c>
      <c r="B626" s="234" t="s">
        <v>7727</v>
      </c>
      <c r="C626" s="234" t="s">
        <v>9901</v>
      </c>
      <c r="D626" s="235">
        <v>23431</v>
      </c>
      <c r="E626" s="236"/>
      <c r="F626" s="237">
        <v>3814036073</v>
      </c>
      <c r="G626" s="234" t="s">
        <v>78</v>
      </c>
      <c r="H626" s="238" t="s">
        <v>9967</v>
      </c>
      <c r="I626" s="238" t="s">
        <v>5881</v>
      </c>
      <c r="J626" s="234" t="s">
        <v>10003</v>
      </c>
      <c r="K626" s="234" t="s">
        <v>2002</v>
      </c>
      <c r="L626" s="234"/>
      <c r="M626" s="238" t="s">
        <v>5407</v>
      </c>
      <c r="N626" s="234"/>
      <c r="O626" s="234"/>
      <c r="P626" s="234"/>
      <c r="Q626" s="234"/>
      <c r="R626" s="234"/>
      <c r="S626" s="234"/>
      <c r="T626" s="234"/>
      <c r="U626" s="234"/>
    </row>
    <row r="627" spans="1:21">
      <c r="A627" s="47">
        <v>16686494</v>
      </c>
      <c r="B627" s="46" t="s">
        <v>458</v>
      </c>
      <c r="C627" s="46" t="s">
        <v>459</v>
      </c>
      <c r="D627" s="48">
        <v>23389</v>
      </c>
      <c r="E627" s="49">
        <f t="shared" ref="E627:E654" ca="1" si="13">IF(D627="","",YEARFRAC(D627,TODAY(),1))</f>
        <v>62.460649254704272</v>
      </c>
      <c r="F627" s="50">
        <v>153530614</v>
      </c>
      <c r="G627" s="51" t="s">
        <v>37</v>
      </c>
      <c r="I627" s="52" t="s">
        <v>24</v>
      </c>
      <c r="J627" s="46" t="s">
        <v>460</v>
      </c>
      <c r="M627" s="58" t="s">
        <v>25</v>
      </c>
    </row>
    <row r="628" spans="1:21">
      <c r="A628" s="47">
        <v>16691932</v>
      </c>
      <c r="B628" s="46" t="s">
        <v>680</v>
      </c>
      <c r="C628" s="52" t="s">
        <v>6178</v>
      </c>
      <c r="E628" s="49" t="str">
        <f t="shared" ca="1" si="13"/>
        <v/>
      </c>
      <c r="G628" s="51" t="s">
        <v>23</v>
      </c>
      <c r="I628" s="52" t="s">
        <v>23</v>
      </c>
      <c r="M628" s="58" t="s">
        <v>25</v>
      </c>
      <c r="N628" s="55"/>
      <c r="O628" s="55"/>
    </row>
    <row r="629" spans="1:21">
      <c r="A629" s="47">
        <v>16735326</v>
      </c>
      <c r="B629" s="46" t="s">
        <v>6115</v>
      </c>
      <c r="C629" s="52" t="s">
        <v>6116</v>
      </c>
      <c r="D629" s="48">
        <v>23417</v>
      </c>
      <c r="E629" s="49">
        <f t="shared" ca="1" si="13"/>
        <v>62.383990265525185</v>
      </c>
      <c r="F629" s="50">
        <v>154137061</v>
      </c>
      <c r="G629" s="51" t="s">
        <v>23</v>
      </c>
      <c r="I629" s="52" t="s">
        <v>23</v>
      </c>
      <c r="J629" s="46" t="s">
        <v>6117</v>
      </c>
      <c r="M629" s="53" t="s">
        <v>6118</v>
      </c>
      <c r="N629" s="55"/>
      <c r="O629" s="55"/>
    </row>
    <row r="630" spans="1:21">
      <c r="A630" s="47">
        <v>16784411</v>
      </c>
      <c r="B630" s="46" t="s">
        <v>1145</v>
      </c>
      <c r="C630" s="52" t="s">
        <v>6239</v>
      </c>
      <c r="E630" s="49" t="str">
        <f t="shared" ca="1" si="13"/>
        <v/>
      </c>
      <c r="F630" s="50">
        <v>154905715</v>
      </c>
      <c r="G630" s="51" t="s">
        <v>23</v>
      </c>
      <c r="I630" s="52" t="s">
        <v>23</v>
      </c>
      <c r="J630" s="46" t="s">
        <v>6240</v>
      </c>
      <c r="M630" s="53" t="s">
        <v>6241</v>
      </c>
      <c r="N630" s="55"/>
      <c r="O630" s="55"/>
    </row>
    <row r="631" spans="1:21">
      <c r="A631" s="47">
        <v>16784557</v>
      </c>
      <c r="B631" s="46" t="s">
        <v>1301</v>
      </c>
      <c r="C631" s="52" t="s">
        <v>6443</v>
      </c>
      <c r="D631" s="48">
        <v>23417</v>
      </c>
      <c r="E631" s="49">
        <f t="shared" ca="1" si="13"/>
        <v>62.383990265525185</v>
      </c>
      <c r="F631" s="50">
        <v>155277189</v>
      </c>
      <c r="G631" s="51" t="s">
        <v>23</v>
      </c>
      <c r="I631" s="52" t="s">
        <v>23</v>
      </c>
      <c r="J631" s="46" t="s">
        <v>38</v>
      </c>
      <c r="M631" s="53" t="s">
        <v>6444</v>
      </c>
      <c r="N631" s="55">
        <v>4107283</v>
      </c>
      <c r="O631" s="55">
        <v>7283</v>
      </c>
    </row>
    <row r="632" spans="1:21">
      <c r="A632" s="47">
        <v>16806479</v>
      </c>
      <c r="B632" s="46" t="s">
        <v>774</v>
      </c>
      <c r="C632" s="46" t="s">
        <v>6523</v>
      </c>
      <c r="D632" s="48">
        <v>23368</v>
      </c>
      <c r="E632" s="49">
        <f t="shared" ca="1" si="13"/>
        <v>62.518822724161531</v>
      </c>
      <c r="F632" s="50">
        <v>154729381</v>
      </c>
      <c r="G632" s="51" t="s">
        <v>70</v>
      </c>
      <c r="I632" s="52" t="s">
        <v>6521</v>
      </c>
      <c r="J632" s="46" t="s">
        <v>2685</v>
      </c>
      <c r="M632" s="53" t="s">
        <v>6524</v>
      </c>
      <c r="N632" s="46" t="s">
        <v>6525</v>
      </c>
    </row>
    <row r="633" spans="1:21">
      <c r="A633" s="47">
        <v>16811181</v>
      </c>
      <c r="B633" s="46" t="s">
        <v>774</v>
      </c>
      <c r="C633" s="52" t="s">
        <v>3450</v>
      </c>
      <c r="E633" s="49" t="str">
        <f t="shared" ca="1" si="13"/>
        <v/>
      </c>
      <c r="F633" s="50">
        <v>156877628</v>
      </c>
      <c r="G633" s="51" t="s">
        <v>23</v>
      </c>
      <c r="I633" s="52" t="s">
        <v>3427</v>
      </c>
      <c r="J633" s="46" t="s">
        <v>3451</v>
      </c>
      <c r="M633" s="58" t="s">
        <v>25</v>
      </c>
      <c r="N633" s="55" t="s">
        <v>3438</v>
      </c>
      <c r="O633" s="55"/>
    </row>
    <row r="634" spans="1:21">
      <c r="A634" s="47">
        <v>16811447</v>
      </c>
      <c r="B634" s="46" t="s">
        <v>725</v>
      </c>
      <c r="C634" s="52" t="s">
        <v>726</v>
      </c>
      <c r="D634" s="48">
        <v>23639</v>
      </c>
      <c r="E634" s="49">
        <f t="shared" ca="1" si="13"/>
        <v>61.776193994176701</v>
      </c>
      <c r="G634" s="51" t="s">
        <v>23</v>
      </c>
      <c r="I634" s="52" t="s">
        <v>594</v>
      </c>
      <c r="M634" s="58" t="s">
        <v>25</v>
      </c>
      <c r="N634" s="55"/>
      <c r="O634" s="55"/>
    </row>
    <row r="635" spans="1:21">
      <c r="A635" s="47">
        <v>16811619</v>
      </c>
      <c r="B635" s="46" t="s">
        <v>811</v>
      </c>
      <c r="C635" s="46" t="s">
        <v>2295</v>
      </c>
      <c r="D635" s="48" t="s">
        <v>5384</v>
      </c>
      <c r="E635" s="49">
        <f t="shared" ca="1" si="13"/>
        <v>62.702258726899387</v>
      </c>
      <c r="F635" s="50" t="s">
        <v>5385</v>
      </c>
      <c r="G635" s="51" t="s">
        <v>70</v>
      </c>
      <c r="H635" s="52" t="s">
        <v>5386</v>
      </c>
      <c r="I635" s="52" t="s">
        <v>5304</v>
      </c>
      <c r="J635" s="46" t="s">
        <v>5331</v>
      </c>
      <c r="K635" s="46" t="s">
        <v>81</v>
      </c>
      <c r="L635" s="46" t="s">
        <v>52</v>
      </c>
      <c r="M635" s="52" t="s">
        <v>5387</v>
      </c>
      <c r="N635" s="46" t="s">
        <v>931</v>
      </c>
      <c r="O635" s="46" t="s">
        <v>5334</v>
      </c>
      <c r="P635" s="46" t="s">
        <v>59</v>
      </c>
      <c r="Q635" s="46" t="s">
        <v>60</v>
      </c>
      <c r="R635" s="46" t="s">
        <v>61</v>
      </c>
      <c r="S635" s="46" t="s">
        <v>62</v>
      </c>
      <c r="T635" s="46" t="s">
        <v>12</v>
      </c>
      <c r="U635" s="46" t="s">
        <v>63</v>
      </c>
    </row>
    <row r="636" spans="1:21">
      <c r="A636" s="47">
        <v>16811869</v>
      </c>
      <c r="B636" s="46" t="s">
        <v>3634</v>
      </c>
      <c r="C636" s="52" t="s">
        <v>215</v>
      </c>
      <c r="D636" s="48" t="s">
        <v>52</v>
      </c>
      <c r="E636" s="49" t="str">
        <f t="shared" ca="1" si="13"/>
        <v/>
      </c>
      <c r="F636" s="50" t="s">
        <v>3635</v>
      </c>
      <c r="G636" s="51" t="s">
        <v>141</v>
      </c>
      <c r="H636" s="52" t="s">
        <v>52</v>
      </c>
      <c r="I636" s="52" t="s">
        <v>3630</v>
      </c>
      <c r="J636" s="46" t="s">
        <v>3636</v>
      </c>
      <c r="K636" s="46" t="s">
        <v>81</v>
      </c>
      <c r="L636" s="46" t="s">
        <v>52</v>
      </c>
      <c r="M636" s="58" t="s">
        <v>3637</v>
      </c>
      <c r="N636" s="55" t="s">
        <v>52</v>
      </c>
      <c r="O636" s="55" t="s">
        <v>52</v>
      </c>
      <c r="P636" s="46" t="s">
        <v>59</v>
      </c>
      <c r="Q636" s="46" t="s">
        <v>60</v>
      </c>
      <c r="R636" s="46" t="s">
        <v>61</v>
      </c>
      <c r="S636" s="46" t="s">
        <v>62</v>
      </c>
      <c r="T636" s="46" t="s">
        <v>12</v>
      </c>
      <c r="U636" s="46" t="s">
        <v>63</v>
      </c>
    </row>
    <row r="637" spans="1:21">
      <c r="A637" s="47">
        <v>16842434</v>
      </c>
      <c r="B637" s="46" t="s">
        <v>863</v>
      </c>
      <c r="C637" s="46" t="s">
        <v>4578</v>
      </c>
      <c r="D637" s="48">
        <v>23470</v>
      </c>
      <c r="E637" s="49">
        <f t="shared" ca="1" si="13"/>
        <v>62.238885750293335</v>
      </c>
      <c r="F637" s="50">
        <v>155504551</v>
      </c>
      <c r="G637" s="51" t="s">
        <v>141</v>
      </c>
      <c r="I637" s="52" t="s">
        <v>4499</v>
      </c>
      <c r="J637" s="46" t="s">
        <v>2869</v>
      </c>
      <c r="M637" s="53" t="s">
        <v>4579</v>
      </c>
    </row>
    <row r="638" spans="1:21">
      <c r="A638" s="47">
        <v>16845010</v>
      </c>
      <c r="B638" s="46" t="s">
        <v>3803</v>
      </c>
      <c r="C638" s="52" t="s">
        <v>3804</v>
      </c>
      <c r="D638" s="48">
        <v>23534</v>
      </c>
      <c r="E638" s="49">
        <f t="shared" ca="1" si="13"/>
        <v>62.063665203598276</v>
      </c>
      <c r="F638" s="50">
        <v>154674412</v>
      </c>
      <c r="G638" s="51" t="s">
        <v>23</v>
      </c>
      <c r="I638" s="52" t="s">
        <v>3630</v>
      </c>
      <c r="J638" s="46" t="s">
        <v>3805</v>
      </c>
      <c r="M638" s="53" t="s">
        <v>3806</v>
      </c>
      <c r="N638" s="55"/>
      <c r="O638" s="55"/>
    </row>
    <row r="639" spans="1:21">
      <c r="A639" s="47">
        <v>16859302</v>
      </c>
      <c r="B639" s="46" t="s">
        <v>1774</v>
      </c>
      <c r="C639" s="52" t="s">
        <v>4202</v>
      </c>
      <c r="D639" s="48">
        <v>23442</v>
      </c>
      <c r="E639" s="49">
        <f t="shared" ca="1" si="13"/>
        <v>62.315544739472429</v>
      </c>
      <c r="F639" s="50">
        <v>154485479</v>
      </c>
      <c r="G639" s="51" t="s">
        <v>23</v>
      </c>
      <c r="I639" s="52" t="s">
        <v>4181</v>
      </c>
      <c r="M639" s="53" t="s">
        <v>4203</v>
      </c>
      <c r="N639" s="55" t="s">
        <v>4195</v>
      </c>
      <c r="O639" s="55"/>
    </row>
    <row r="640" spans="1:21">
      <c r="A640" s="47">
        <v>16859596</v>
      </c>
      <c r="B640" s="46" t="s">
        <v>4275</v>
      </c>
      <c r="C640" s="52" t="s">
        <v>612</v>
      </c>
      <c r="D640" s="48" t="s">
        <v>4276</v>
      </c>
      <c r="E640" s="49">
        <f t="shared" ca="1" si="13"/>
        <v>62.099256877145713</v>
      </c>
      <c r="F640" s="50" t="s">
        <v>4277</v>
      </c>
      <c r="G640" s="51" t="s">
        <v>141</v>
      </c>
      <c r="H640" s="52" t="s">
        <v>52</v>
      </c>
      <c r="I640" s="52" t="s">
        <v>4245</v>
      </c>
      <c r="J640" s="46" t="s">
        <v>1382</v>
      </c>
      <c r="K640" s="46" t="s">
        <v>81</v>
      </c>
      <c r="L640" s="46" t="s">
        <v>52</v>
      </c>
      <c r="M640" s="53" t="s">
        <v>4278</v>
      </c>
      <c r="N640" s="55" t="s">
        <v>52</v>
      </c>
      <c r="O640" s="55" t="s">
        <v>52</v>
      </c>
      <c r="P640" s="46" t="s">
        <v>59</v>
      </c>
      <c r="Q640" s="46" t="s">
        <v>60</v>
      </c>
      <c r="R640" s="46" t="s">
        <v>61</v>
      </c>
      <c r="S640" s="46" t="s">
        <v>62</v>
      </c>
      <c r="T640" s="46" t="s">
        <v>12</v>
      </c>
      <c r="U640" s="46" t="s">
        <v>63</v>
      </c>
    </row>
    <row r="641" spans="1:21">
      <c r="A641" s="47">
        <v>16864541</v>
      </c>
      <c r="B641" s="46" t="s">
        <v>1655</v>
      </c>
      <c r="C641" s="52" t="s">
        <v>4250</v>
      </c>
      <c r="D641" s="48">
        <v>23217</v>
      </c>
      <c r="E641" s="49">
        <f t="shared" ca="1" si="13"/>
        <v>62.932238193018478</v>
      </c>
      <c r="F641" s="50">
        <v>156810668</v>
      </c>
      <c r="G641" s="51" t="s">
        <v>23</v>
      </c>
      <c r="I641" s="52" t="s">
        <v>4245</v>
      </c>
      <c r="M641" s="53" t="s">
        <v>4251</v>
      </c>
      <c r="N641" s="55">
        <v>4107242</v>
      </c>
      <c r="O641" s="55"/>
    </row>
    <row r="642" spans="1:21">
      <c r="A642" s="47">
        <v>16883300</v>
      </c>
      <c r="B642" s="46" t="s">
        <v>5729</v>
      </c>
      <c r="C642" s="46" t="s">
        <v>1299</v>
      </c>
      <c r="D642" s="48">
        <v>23617</v>
      </c>
      <c r="E642" s="49">
        <f t="shared" ca="1" si="13"/>
        <v>61.836426057103125</v>
      </c>
      <c r="F642" s="50">
        <v>153200234</v>
      </c>
      <c r="G642" s="51" t="s">
        <v>70</v>
      </c>
      <c r="I642" s="52" t="s">
        <v>5494</v>
      </c>
      <c r="J642" s="46" t="s">
        <v>5730</v>
      </c>
      <c r="M642" s="53" t="s">
        <v>5731</v>
      </c>
      <c r="N642" s="46">
        <v>4526020</v>
      </c>
      <c r="P642" s="46">
        <v>3</v>
      </c>
    </row>
    <row r="643" spans="1:21">
      <c r="A643" s="47">
        <v>16883976</v>
      </c>
      <c r="B643" s="46" t="s">
        <v>2121</v>
      </c>
      <c r="C643" s="46" t="s">
        <v>2810</v>
      </c>
      <c r="E643" s="49" t="str">
        <f t="shared" ca="1" si="13"/>
        <v/>
      </c>
      <c r="F643" s="50">
        <v>154755962</v>
      </c>
      <c r="G643" s="51" t="s">
        <v>23</v>
      </c>
      <c r="I643" s="52" t="s">
        <v>4954</v>
      </c>
      <c r="M643" s="53" t="s">
        <v>5069</v>
      </c>
      <c r="N643" s="46">
        <v>4247752</v>
      </c>
      <c r="O643" s="46">
        <v>7282</v>
      </c>
    </row>
    <row r="644" spans="1:21">
      <c r="A644" s="47">
        <v>16888200</v>
      </c>
      <c r="B644" s="46" t="s">
        <v>1216</v>
      </c>
      <c r="C644" s="52" t="s">
        <v>1217</v>
      </c>
      <c r="D644" s="48">
        <v>23591</v>
      </c>
      <c r="E644" s="49">
        <f t="shared" ca="1" si="13"/>
        <v>61.907609404197991</v>
      </c>
      <c r="G644" s="51" t="s">
        <v>23</v>
      </c>
      <c r="I644" s="59" t="s">
        <v>908</v>
      </c>
      <c r="J644" s="46" t="s">
        <v>1169</v>
      </c>
      <c r="M644" s="53" t="s">
        <v>1218</v>
      </c>
      <c r="N644" s="55"/>
      <c r="O644" s="55"/>
    </row>
    <row r="645" spans="1:21">
      <c r="A645" s="47">
        <v>16932640</v>
      </c>
      <c r="B645" s="46" t="s">
        <v>6113</v>
      </c>
      <c r="C645" s="52" t="s">
        <v>6114</v>
      </c>
      <c r="D645" s="48">
        <v>23549</v>
      </c>
      <c r="E645" s="49">
        <f t="shared" ca="1" si="13"/>
        <v>62.022597887966626</v>
      </c>
      <c r="F645" s="50">
        <v>156434661</v>
      </c>
      <c r="G645" s="51" t="s">
        <v>23</v>
      </c>
      <c r="I645" s="52" t="s">
        <v>23</v>
      </c>
      <c r="J645" s="46" t="s">
        <v>5831</v>
      </c>
      <c r="M645" s="58" t="s">
        <v>25</v>
      </c>
      <c r="N645" s="55"/>
      <c r="O645" s="55"/>
    </row>
    <row r="646" spans="1:21">
      <c r="A646" s="47">
        <v>16932642</v>
      </c>
      <c r="B646" s="46" t="s">
        <v>4344</v>
      </c>
      <c r="C646" s="52" t="s">
        <v>767</v>
      </c>
      <c r="D646" s="48" t="s">
        <v>52</v>
      </c>
      <c r="E646" s="49" t="str">
        <f t="shared" ca="1" si="13"/>
        <v/>
      </c>
      <c r="F646" s="50" t="s">
        <v>4345</v>
      </c>
      <c r="G646" s="51" t="s">
        <v>141</v>
      </c>
      <c r="H646" s="52" t="s">
        <v>52</v>
      </c>
      <c r="I646" s="52" t="s">
        <v>4245</v>
      </c>
      <c r="J646" s="46" t="s">
        <v>4346</v>
      </c>
      <c r="K646" s="46" t="s">
        <v>81</v>
      </c>
      <c r="L646" s="46" t="s">
        <v>4347</v>
      </c>
      <c r="M646" s="53" t="s">
        <v>4347</v>
      </c>
      <c r="N646" s="55" t="s">
        <v>931</v>
      </c>
      <c r="O646" s="55" t="s">
        <v>4348</v>
      </c>
      <c r="P646" s="46" t="s">
        <v>59</v>
      </c>
      <c r="Q646" s="46" t="s">
        <v>60</v>
      </c>
      <c r="R646" s="46" t="s">
        <v>61</v>
      </c>
      <c r="S646" s="46" t="s">
        <v>62</v>
      </c>
      <c r="T646" s="46" t="s">
        <v>12</v>
      </c>
      <c r="U646" s="46" t="s">
        <v>63</v>
      </c>
    </row>
    <row r="647" spans="1:21">
      <c r="A647" s="47">
        <v>16932684</v>
      </c>
      <c r="B647" s="46" t="s">
        <v>6012</v>
      </c>
      <c r="C647" s="52" t="s">
        <v>1208</v>
      </c>
      <c r="D647" s="48">
        <v>23334</v>
      </c>
      <c r="E647" s="49">
        <f t="shared" ca="1" si="13"/>
        <v>62.611909650924026</v>
      </c>
      <c r="F647" s="50">
        <v>155372356</v>
      </c>
      <c r="G647" s="51" t="s">
        <v>23</v>
      </c>
      <c r="I647" s="52" t="s">
        <v>23</v>
      </c>
      <c r="J647" s="46" t="s">
        <v>6013</v>
      </c>
      <c r="M647" s="53" t="s">
        <v>6014</v>
      </c>
      <c r="N647" s="55"/>
      <c r="O647" s="55"/>
    </row>
    <row r="648" spans="1:21">
      <c r="A648" s="47">
        <v>16932690</v>
      </c>
      <c r="B648" s="46" t="s">
        <v>106</v>
      </c>
      <c r="C648" s="46" t="s">
        <v>4988</v>
      </c>
      <c r="E648" s="49" t="str">
        <f t="shared" ca="1" si="13"/>
        <v/>
      </c>
      <c r="G648" s="51" t="s">
        <v>23</v>
      </c>
      <c r="I648" s="52" t="s">
        <v>23</v>
      </c>
      <c r="M648" s="58" t="s">
        <v>25</v>
      </c>
    </row>
    <row r="649" spans="1:21">
      <c r="A649" s="47">
        <v>16932957</v>
      </c>
      <c r="B649" s="46" t="s">
        <v>50</v>
      </c>
      <c r="C649" s="46" t="s">
        <v>5043</v>
      </c>
      <c r="D649" s="48">
        <v>23538</v>
      </c>
      <c r="E649" s="49">
        <f t="shared" ca="1" si="13"/>
        <v>62.052713919429841</v>
      </c>
      <c r="F649" s="50">
        <v>154198553</v>
      </c>
      <c r="G649" s="51" t="s">
        <v>86</v>
      </c>
      <c r="I649" s="52" t="s">
        <v>4954</v>
      </c>
      <c r="J649" s="46" t="s">
        <v>357</v>
      </c>
      <c r="M649" s="53" t="s">
        <v>5044</v>
      </c>
      <c r="N649" s="46">
        <v>4258568</v>
      </c>
      <c r="P649" s="46">
        <v>4</v>
      </c>
    </row>
    <row r="650" spans="1:21">
      <c r="A650" s="47">
        <v>16933151</v>
      </c>
      <c r="B650" s="46" t="s">
        <v>3839</v>
      </c>
      <c r="C650" s="52" t="s">
        <v>3840</v>
      </c>
      <c r="D650" s="48">
        <v>23327</v>
      </c>
      <c r="E650" s="49">
        <f t="shared" ca="1" si="13"/>
        <v>62.631074606433948</v>
      </c>
      <c r="F650" s="50">
        <v>154188188</v>
      </c>
      <c r="G650" s="51" t="s">
        <v>23</v>
      </c>
      <c r="I650" s="52" t="s">
        <v>3630</v>
      </c>
      <c r="J650" s="46" t="s">
        <v>673</v>
      </c>
      <c r="M650" s="53" t="s">
        <v>3841</v>
      </c>
      <c r="N650" s="55"/>
      <c r="O650" s="55"/>
    </row>
    <row r="651" spans="1:21">
      <c r="A651" s="47">
        <v>16933288</v>
      </c>
      <c r="B651" s="46" t="s">
        <v>226</v>
      </c>
      <c r="C651" s="46" t="s">
        <v>6161</v>
      </c>
      <c r="E651" s="49" t="str">
        <f t="shared" ca="1" si="13"/>
        <v/>
      </c>
      <c r="F651" s="50">
        <v>156477846</v>
      </c>
      <c r="G651" s="51" t="s">
        <v>23</v>
      </c>
      <c r="I651" s="52" t="s">
        <v>23</v>
      </c>
      <c r="M651" s="53" t="s">
        <v>6162</v>
      </c>
      <c r="N651" s="46">
        <v>4202016</v>
      </c>
    </row>
    <row r="652" spans="1:21">
      <c r="A652" s="47">
        <v>16933303</v>
      </c>
      <c r="B652" s="46" t="s">
        <v>47</v>
      </c>
      <c r="C652" s="46" t="s">
        <v>2441</v>
      </c>
      <c r="E652" s="49" t="str">
        <f t="shared" ca="1" si="13"/>
        <v/>
      </c>
      <c r="F652" s="50">
        <v>154758037</v>
      </c>
      <c r="G652" s="51" t="s">
        <v>23</v>
      </c>
      <c r="I652" s="59" t="s">
        <v>908</v>
      </c>
      <c r="M652" s="58" t="s">
        <v>25</v>
      </c>
    </row>
    <row r="653" spans="1:21">
      <c r="A653" s="47">
        <v>16933363</v>
      </c>
      <c r="B653" s="46" t="s">
        <v>5508</v>
      </c>
      <c r="C653" s="52" t="s">
        <v>5509</v>
      </c>
      <c r="D653" s="48">
        <v>23325</v>
      </c>
      <c r="E653" s="49">
        <f t="shared" ca="1" si="13"/>
        <v>62.636550308008211</v>
      </c>
      <c r="F653" s="50">
        <v>154177968</v>
      </c>
      <c r="G653" s="51" t="s">
        <v>23</v>
      </c>
      <c r="I653" s="52" t="s">
        <v>5494</v>
      </c>
      <c r="J653" s="46" t="s">
        <v>5510</v>
      </c>
      <c r="M653" s="53" t="s">
        <v>5511</v>
      </c>
      <c r="N653" s="55">
        <v>4526532</v>
      </c>
      <c r="O653" s="55"/>
    </row>
    <row r="654" spans="1:21">
      <c r="A654" s="47">
        <v>16954394</v>
      </c>
      <c r="B654" s="46" t="s">
        <v>6498</v>
      </c>
      <c r="C654" s="46" t="s">
        <v>6499</v>
      </c>
      <c r="D654" s="48">
        <v>23704</v>
      </c>
      <c r="E654" s="49">
        <f t="shared" ca="1" si="13"/>
        <v>61.598235626439532</v>
      </c>
      <c r="F654" s="50">
        <v>155850447</v>
      </c>
      <c r="G654" s="51" t="s">
        <v>70</v>
      </c>
      <c r="I654" s="62" t="s">
        <v>6489</v>
      </c>
      <c r="J654" s="46" t="s">
        <v>6500</v>
      </c>
      <c r="M654" s="53" t="s">
        <v>6501</v>
      </c>
      <c r="N654" s="46">
        <v>4229118</v>
      </c>
      <c r="O654" s="46">
        <v>201</v>
      </c>
      <c r="P654" s="46">
        <v>4</v>
      </c>
    </row>
    <row r="655" spans="1:21">
      <c r="A655" s="74">
        <v>16993790</v>
      </c>
      <c r="B655" s="234" t="s">
        <v>9873</v>
      </c>
      <c r="C655" s="234" t="s">
        <v>9874</v>
      </c>
      <c r="D655" s="235" t="s">
        <v>9912</v>
      </c>
      <c r="E655" s="236"/>
      <c r="F655" s="237">
        <v>3814140213</v>
      </c>
      <c r="G655" s="234" t="s">
        <v>70</v>
      </c>
      <c r="H655" s="238"/>
      <c r="I655" s="238" t="s">
        <v>4499</v>
      </c>
      <c r="J655" s="234" t="s">
        <v>9984</v>
      </c>
      <c r="K655" s="234" t="s">
        <v>390</v>
      </c>
      <c r="L655" s="234"/>
      <c r="M655" s="238" t="s">
        <v>9919</v>
      </c>
      <c r="N655" s="234"/>
      <c r="O655" s="234"/>
      <c r="P655" s="234"/>
      <c r="Q655" s="234"/>
      <c r="R655" s="234"/>
      <c r="S655" s="234"/>
      <c r="T655" s="234"/>
      <c r="U655" s="234"/>
    </row>
    <row r="656" spans="1:21">
      <c r="A656" s="47">
        <v>16998863</v>
      </c>
      <c r="B656" s="46" t="s">
        <v>863</v>
      </c>
      <c r="C656" s="46" t="s">
        <v>5907</v>
      </c>
      <c r="D656" s="48" t="s">
        <v>52</v>
      </c>
      <c r="E656" s="49" t="str">
        <f t="shared" ref="E656:E661" ca="1" si="14">IF(D656="","",YEARFRAC(D656,TODAY(),1))</f>
        <v/>
      </c>
      <c r="F656" s="50" t="s">
        <v>5908</v>
      </c>
      <c r="G656" s="51" t="s">
        <v>78</v>
      </c>
      <c r="H656" s="52" t="s">
        <v>5909</v>
      </c>
      <c r="I656" s="52" t="s">
        <v>5881</v>
      </c>
      <c r="J656" s="46" t="s">
        <v>5910</v>
      </c>
      <c r="K656" s="46" t="s">
        <v>52</v>
      </c>
      <c r="L656" s="46" t="s">
        <v>1357</v>
      </c>
      <c r="M656" s="52" t="s">
        <v>5911</v>
      </c>
      <c r="N656" s="46" t="s">
        <v>5912</v>
      </c>
      <c r="O656" s="46" t="s">
        <v>5913</v>
      </c>
      <c r="P656" s="46" t="s">
        <v>59</v>
      </c>
      <c r="Q656" s="46" t="s">
        <v>60</v>
      </c>
      <c r="R656" s="46" t="s">
        <v>61</v>
      </c>
      <c r="S656" s="46" t="s">
        <v>62</v>
      </c>
      <c r="T656" s="46" t="s">
        <v>12</v>
      </c>
      <c r="U656" s="46" t="s">
        <v>63</v>
      </c>
    </row>
    <row r="657" spans="1:21">
      <c r="A657" s="47">
        <v>17040565</v>
      </c>
      <c r="B657" s="46" t="s">
        <v>1665</v>
      </c>
      <c r="C657" s="46" t="s">
        <v>1666</v>
      </c>
      <c r="D657" s="48" t="s">
        <v>52</v>
      </c>
      <c r="E657" s="49" t="str">
        <f t="shared" ca="1" si="14"/>
        <v/>
      </c>
      <c r="F657" s="50" t="s">
        <v>1667</v>
      </c>
      <c r="G657" s="51" t="s">
        <v>86</v>
      </c>
      <c r="H657" s="52" t="s">
        <v>52</v>
      </c>
      <c r="I657" s="52" t="s">
        <v>1657</v>
      </c>
      <c r="J657" s="46" t="s">
        <v>1668</v>
      </c>
      <c r="K657" s="46" t="s">
        <v>81</v>
      </c>
      <c r="L657" s="46" t="s">
        <v>52</v>
      </c>
      <c r="M657" s="53" t="s">
        <v>1669</v>
      </c>
      <c r="N657" s="46" t="s">
        <v>89</v>
      </c>
      <c r="O657" s="46" t="s">
        <v>1670</v>
      </c>
      <c r="P657" s="46" t="s">
        <v>59</v>
      </c>
      <c r="Q657" s="46" t="s">
        <v>60</v>
      </c>
      <c r="R657" s="46" t="s">
        <v>61</v>
      </c>
      <c r="S657" s="46" t="s">
        <v>62</v>
      </c>
      <c r="T657" s="46" t="s">
        <v>12</v>
      </c>
      <c r="U657" s="46" t="s">
        <v>63</v>
      </c>
    </row>
    <row r="658" spans="1:21">
      <c r="A658" s="66">
        <v>17040671</v>
      </c>
      <c r="B658" s="67" t="s">
        <v>503</v>
      </c>
      <c r="C658" s="52" t="s">
        <v>504</v>
      </c>
      <c r="E658" s="49" t="str">
        <f t="shared" ca="1" si="14"/>
        <v/>
      </c>
      <c r="F658" s="57"/>
      <c r="G658" s="51" t="s">
        <v>23</v>
      </c>
      <c r="I658" s="52" t="s">
        <v>24</v>
      </c>
      <c r="M658" s="58" t="s">
        <v>25</v>
      </c>
      <c r="N658" s="55"/>
      <c r="O658" s="55"/>
    </row>
    <row r="659" spans="1:21">
      <c r="A659" s="47">
        <v>17040680</v>
      </c>
      <c r="B659" s="46" t="s">
        <v>6355</v>
      </c>
      <c r="C659" s="46" t="s">
        <v>6356</v>
      </c>
      <c r="D659" s="48" t="s">
        <v>52</v>
      </c>
      <c r="E659" s="49" t="str">
        <f t="shared" ca="1" si="14"/>
        <v/>
      </c>
      <c r="F659" s="50" t="s">
        <v>6357</v>
      </c>
      <c r="G659" s="51" t="s">
        <v>70</v>
      </c>
      <c r="H659" s="52" t="s">
        <v>5470</v>
      </c>
      <c r="I659" s="52" t="s">
        <v>23</v>
      </c>
      <c r="J659" s="46" t="s">
        <v>6358</v>
      </c>
      <c r="K659" s="46" t="s">
        <v>390</v>
      </c>
      <c r="L659" s="46" t="s">
        <v>52</v>
      </c>
      <c r="M659" s="53" t="s">
        <v>6359</v>
      </c>
      <c r="N659" s="46" t="s">
        <v>6360</v>
      </c>
      <c r="O659" s="46" t="s">
        <v>52</v>
      </c>
      <c r="P659" s="46" t="s">
        <v>59</v>
      </c>
      <c r="Q659" s="46" t="s">
        <v>60</v>
      </c>
      <c r="R659" s="46" t="s">
        <v>61</v>
      </c>
      <c r="S659" s="46" t="s">
        <v>62</v>
      </c>
      <c r="T659" s="46" t="s">
        <v>12</v>
      </c>
      <c r="U659" s="46" t="s">
        <v>63</v>
      </c>
    </row>
    <row r="660" spans="1:21">
      <c r="A660" s="47">
        <v>17040749</v>
      </c>
      <c r="B660" s="46" t="s">
        <v>2132</v>
      </c>
      <c r="C660" s="46" t="s">
        <v>215</v>
      </c>
      <c r="D660" s="48">
        <v>23517</v>
      </c>
      <c r="E660" s="49">
        <f t="shared" ca="1" si="14"/>
        <v>62.110208161314155</v>
      </c>
      <c r="F660" s="50">
        <v>3815567408</v>
      </c>
      <c r="G660" s="51" t="s">
        <v>70</v>
      </c>
      <c r="I660" s="52" t="s">
        <v>1881</v>
      </c>
      <c r="J660" s="46" t="s">
        <v>224</v>
      </c>
      <c r="M660" s="53" t="s">
        <v>2133</v>
      </c>
      <c r="N660" s="46">
        <v>4364093</v>
      </c>
      <c r="O660" s="46">
        <v>7438</v>
      </c>
    </row>
    <row r="661" spans="1:21">
      <c r="A661" s="47">
        <v>17040868</v>
      </c>
      <c r="B661" s="46" t="s">
        <v>592</v>
      </c>
      <c r="C661" s="46" t="s">
        <v>593</v>
      </c>
      <c r="E661" s="49" t="str">
        <f t="shared" ca="1" si="14"/>
        <v/>
      </c>
      <c r="F661" s="50">
        <v>156362918</v>
      </c>
      <c r="G661" s="51" t="s">
        <v>23</v>
      </c>
      <c r="I661" s="52" t="s">
        <v>594</v>
      </c>
      <c r="M661" s="58" t="s">
        <v>25</v>
      </c>
      <c r="O661" s="46">
        <v>207</v>
      </c>
    </row>
    <row r="662" spans="1:21">
      <c r="A662" s="74">
        <v>17040933</v>
      </c>
      <c r="B662" s="234" t="s">
        <v>9894</v>
      </c>
      <c r="C662" s="234" t="s">
        <v>9895</v>
      </c>
      <c r="D662" s="235">
        <v>23362</v>
      </c>
      <c r="E662" s="236"/>
      <c r="F662" s="237">
        <v>3816365769</v>
      </c>
      <c r="G662" s="234" t="s">
        <v>78</v>
      </c>
      <c r="H662" s="238" t="s">
        <v>9963</v>
      </c>
      <c r="I662" s="265" t="s">
        <v>6530</v>
      </c>
      <c r="J662" s="234" t="s">
        <v>10000</v>
      </c>
      <c r="K662" s="234" t="s">
        <v>2002</v>
      </c>
      <c r="L662" s="234"/>
      <c r="M662" s="238" t="s">
        <v>821</v>
      </c>
      <c r="N662" s="234"/>
      <c r="O662" s="234"/>
      <c r="P662" s="234"/>
      <c r="Q662" s="234"/>
      <c r="R662" s="234"/>
      <c r="S662" s="234"/>
      <c r="T662" s="234"/>
      <c r="U662" s="234"/>
    </row>
    <row r="663" spans="1:21">
      <c r="A663" s="47">
        <v>17040977</v>
      </c>
      <c r="B663" s="46" t="s">
        <v>377</v>
      </c>
      <c r="C663" s="52" t="s">
        <v>2783</v>
      </c>
      <c r="D663" s="48">
        <v>23624</v>
      </c>
      <c r="E663" s="49">
        <f t="shared" ref="E663:E671" ca="1" si="15">IF(D663="","",YEARFRAC(D663,TODAY(),1))</f>
        <v>61.817261309808352</v>
      </c>
      <c r="F663" s="50">
        <v>154726656</v>
      </c>
      <c r="G663" s="51" t="s">
        <v>23</v>
      </c>
      <c r="I663" s="52" t="s">
        <v>5761</v>
      </c>
      <c r="M663" s="58" t="s">
        <v>25</v>
      </c>
      <c r="N663" s="55" t="s">
        <v>5787</v>
      </c>
      <c r="O663" s="55"/>
    </row>
    <row r="664" spans="1:21">
      <c r="A664" s="47">
        <v>17041043</v>
      </c>
      <c r="B664" s="46" t="s">
        <v>574</v>
      </c>
      <c r="C664" s="52" t="s">
        <v>1353</v>
      </c>
      <c r="D664" s="48">
        <v>23519</v>
      </c>
      <c r="E664" s="49">
        <f t="shared" ca="1" si="15"/>
        <v>62.104732519229934</v>
      </c>
      <c r="F664" s="50">
        <v>156268184</v>
      </c>
      <c r="G664" s="51" t="s">
        <v>23</v>
      </c>
      <c r="I664" s="52" t="s">
        <v>3555</v>
      </c>
      <c r="J664" s="46" t="s">
        <v>224</v>
      </c>
      <c r="M664" s="53" t="s">
        <v>3596</v>
      </c>
      <c r="N664" s="55">
        <v>4211071</v>
      </c>
      <c r="O664" s="55"/>
    </row>
    <row r="665" spans="1:21">
      <c r="A665" s="47">
        <v>17041215</v>
      </c>
      <c r="B665" s="46" t="s">
        <v>2856</v>
      </c>
      <c r="C665" s="52" t="s">
        <v>4535</v>
      </c>
      <c r="D665" s="48">
        <v>23679</v>
      </c>
      <c r="E665" s="49">
        <f t="shared" ca="1" si="15"/>
        <v>61.666681152492288</v>
      </c>
      <c r="F665" s="50">
        <v>155009435</v>
      </c>
      <c r="G665" s="51" t="s">
        <v>23</v>
      </c>
      <c r="I665" s="52" t="s">
        <v>4499</v>
      </c>
      <c r="J665" s="46" t="s">
        <v>4536</v>
      </c>
      <c r="M665" s="53" t="s">
        <v>4537</v>
      </c>
      <c r="N665" s="55"/>
      <c r="O665" s="55"/>
    </row>
    <row r="666" spans="1:21">
      <c r="A666" s="47">
        <v>17041309</v>
      </c>
      <c r="B666" s="46" t="s">
        <v>425</v>
      </c>
      <c r="C666" s="55" t="s">
        <v>584</v>
      </c>
      <c r="D666" s="48">
        <v>23654</v>
      </c>
      <c r="E666" s="49">
        <f t="shared" ca="1" si="15"/>
        <v>61.735126678545043</v>
      </c>
      <c r="F666" s="50">
        <v>155763003</v>
      </c>
      <c r="G666" s="51" t="s">
        <v>70</v>
      </c>
      <c r="I666" s="52" t="s">
        <v>594</v>
      </c>
      <c r="M666" s="53" t="s">
        <v>741</v>
      </c>
    </row>
    <row r="667" spans="1:21">
      <c r="A667" s="47">
        <v>17041554</v>
      </c>
      <c r="B667" s="46" t="s">
        <v>1655</v>
      </c>
      <c r="C667" s="46" t="s">
        <v>5473</v>
      </c>
      <c r="D667" s="48" t="s">
        <v>52</v>
      </c>
      <c r="E667" s="49" t="str">
        <f t="shared" ca="1" si="15"/>
        <v/>
      </c>
      <c r="F667" s="50" t="s">
        <v>52</v>
      </c>
      <c r="G667" s="51" t="s">
        <v>70</v>
      </c>
      <c r="H667" s="52" t="s">
        <v>52</v>
      </c>
      <c r="I667" s="52" t="s">
        <v>5304</v>
      </c>
      <c r="J667" s="46" t="s">
        <v>5474</v>
      </c>
      <c r="K667" s="46" t="s">
        <v>52</v>
      </c>
      <c r="L667" s="46" t="s">
        <v>546</v>
      </c>
      <c r="M667" s="52" t="s">
        <v>582</v>
      </c>
      <c r="N667" s="46" t="s">
        <v>52</v>
      </c>
      <c r="O667" s="46" t="s">
        <v>52</v>
      </c>
      <c r="P667" s="46" t="s">
        <v>59</v>
      </c>
      <c r="Q667" s="46" t="s">
        <v>60</v>
      </c>
      <c r="R667" s="46" t="s">
        <v>61</v>
      </c>
      <c r="S667" s="46" t="s">
        <v>62</v>
      </c>
      <c r="T667" s="46" t="s">
        <v>12</v>
      </c>
      <c r="U667" s="46" t="s">
        <v>63</v>
      </c>
    </row>
    <row r="668" spans="1:21">
      <c r="A668" s="47">
        <v>17041755</v>
      </c>
      <c r="B668" s="46" t="s">
        <v>4502</v>
      </c>
      <c r="C668" s="52" t="s">
        <v>4503</v>
      </c>
      <c r="D668" s="48">
        <v>23728</v>
      </c>
      <c r="E668" s="49">
        <f t="shared" ca="1" si="15"/>
        <v>61.53252792142888</v>
      </c>
      <c r="G668" s="51" t="s">
        <v>23</v>
      </c>
      <c r="I668" s="52" t="s">
        <v>4499</v>
      </c>
      <c r="J668" s="46" t="s">
        <v>166</v>
      </c>
      <c r="M668" s="58" t="s">
        <v>25</v>
      </c>
      <c r="N668" s="55"/>
      <c r="O668" s="55"/>
    </row>
    <row r="669" spans="1:21">
      <c r="A669" s="47">
        <v>17041883</v>
      </c>
      <c r="B669" s="69" t="s">
        <v>171</v>
      </c>
      <c r="C669" s="70" t="s">
        <v>1061</v>
      </c>
      <c r="D669" s="48" t="s">
        <v>5541</v>
      </c>
      <c r="E669" s="49" t="e">
        <f t="shared" ca="1" si="15"/>
        <v>#VALUE!</v>
      </c>
      <c r="F669" s="50">
        <v>154798690</v>
      </c>
      <c r="G669" s="51" t="s">
        <v>23</v>
      </c>
      <c r="I669" s="52" t="s">
        <v>5494</v>
      </c>
      <c r="J669" s="46" t="s">
        <v>2264</v>
      </c>
      <c r="M669" s="53" t="s">
        <v>5542</v>
      </c>
      <c r="N669" s="55">
        <v>4526343</v>
      </c>
      <c r="O669" s="55"/>
    </row>
    <row r="670" spans="1:21">
      <c r="A670" s="47">
        <v>17042217</v>
      </c>
      <c r="B670" s="46" t="s">
        <v>195</v>
      </c>
      <c r="C670" s="52" t="s">
        <v>1050</v>
      </c>
      <c r="D670" s="48">
        <v>23792</v>
      </c>
      <c r="E670" s="49">
        <f t="shared" ca="1" si="15"/>
        <v>61.359328770147933</v>
      </c>
      <c r="G670" s="51" t="s">
        <v>23</v>
      </c>
      <c r="I670" s="59" t="s">
        <v>908</v>
      </c>
      <c r="J670" s="46" t="s">
        <v>1051</v>
      </c>
      <c r="M670" s="53" t="s">
        <v>1052</v>
      </c>
      <c r="N670" s="55"/>
      <c r="O670" s="55"/>
    </row>
    <row r="671" spans="1:21">
      <c r="A671" s="47">
        <v>17042486</v>
      </c>
      <c r="B671" s="46" t="s">
        <v>2607</v>
      </c>
      <c r="C671" s="55" t="s">
        <v>2608</v>
      </c>
      <c r="D671" s="48" t="s">
        <v>52</v>
      </c>
      <c r="E671" s="49" t="str">
        <f t="shared" ca="1" si="15"/>
        <v/>
      </c>
      <c r="F671" s="50" t="s">
        <v>2609</v>
      </c>
      <c r="G671" s="51" t="s">
        <v>70</v>
      </c>
      <c r="H671" s="52" t="s">
        <v>2610</v>
      </c>
      <c r="I671" s="59" t="s">
        <v>2524</v>
      </c>
      <c r="J671" s="55" t="s">
        <v>2525</v>
      </c>
      <c r="K671" s="55" t="s">
        <v>81</v>
      </c>
      <c r="L671" s="55" t="s">
        <v>52</v>
      </c>
      <c r="M671" s="53" t="s">
        <v>2611</v>
      </c>
      <c r="N671" s="55" t="s">
        <v>2527</v>
      </c>
      <c r="O671" s="55" t="s">
        <v>2528</v>
      </c>
      <c r="P671" s="46" t="s">
        <v>59</v>
      </c>
      <c r="Q671" s="46" t="s">
        <v>60</v>
      </c>
      <c r="R671" s="46" t="s">
        <v>61</v>
      </c>
      <c r="S671" s="46" t="s">
        <v>62</v>
      </c>
      <c r="T671" s="46" t="s">
        <v>12</v>
      </c>
      <c r="U671" s="46" t="s">
        <v>63</v>
      </c>
    </row>
    <row r="672" spans="1:21">
      <c r="A672" s="47">
        <v>17060425</v>
      </c>
      <c r="B672" s="46" t="s">
        <v>9851</v>
      </c>
      <c r="C672" s="46" t="s">
        <v>9852</v>
      </c>
      <c r="D672" s="48" t="s">
        <v>9853</v>
      </c>
      <c r="E672" s="49" t="s">
        <v>9494</v>
      </c>
      <c r="F672" s="50" t="s">
        <v>9854</v>
      </c>
      <c r="G672" s="51" t="s">
        <v>70</v>
      </c>
      <c r="H672" s="52" t="s">
        <v>9514</v>
      </c>
      <c r="I672" s="52" t="s">
        <v>2926</v>
      </c>
      <c r="J672" s="46" t="s">
        <v>9855</v>
      </c>
      <c r="K672" s="46" t="s">
        <v>159</v>
      </c>
      <c r="L672" s="46" t="s">
        <v>546</v>
      </c>
      <c r="M672" s="52" t="s">
        <v>9856</v>
      </c>
      <c r="N672" s="46" t="s">
        <v>52</v>
      </c>
      <c r="O672" s="46" t="s">
        <v>52</v>
      </c>
      <c r="P672" s="46" t="s">
        <v>59</v>
      </c>
      <c r="Q672" s="46" t="s">
        <v>60</v>
      </c>
      <c r="R672" s="46" t="s">
        <v>61</v>
      </c>
      <c r="S672" s="46" t="s">
        <v>62</v>
      </c>
      <c r="T672" s="46" t="s">
        <v>12</v>
      </c>
      <c r="U672" s="46" t="s">
        <v>63</v>
      </c>
    </row>
    <row r="673" spans="1:21">
      <c r="A673" s="47">
        <v>17074394</v>
      </c>
      <c r="B673" s="46" t="s">
        <v>1482</v>
      </c>
      <c r="C673" s="52" t="s">
        <v>3386</v>
      </c>
      <c r="E673" s="49" t="str">
        <f t="shared" ref="E673:E708" ca="1" si="16">IF(D673="","",YEARFRAC(D673,TODAY(),1))</f>
        <v/>
      </c>
      <c r="G673" s="51" t="s">
        <v>23</v>
      </c>
      <c r="I673" s="52" t="s">
        <v>23</v>
      </c>
      <c r="M673" s="58" t="s">
        <v>25</v>
      </c>
      <c r="N673" s="55"/>
      <c r="O673" s="55"/>
    </row>
    <row r="674" spans="1:21">
      <c r="A674" s="47">
        <v>17123876</v>
      </c>
      <c r="B674" s="46" t="s">
        <v>2151</v>
      </c>
      <c r="C674" s="52" t="s">
        <v>1809</v>
      </c>
      <c r="D674" s="48">
        <v>23938</v>
      </c>
      <c r="E674" s="49">
        <f t="shared" ca="1" si="16"/>
        <v>60.959593729300067</v>
      </c>
      <c r="F674" s="50">
        <v>154045063</v>
      </c>
      <c r="G674" s="51" t="s">
        <v>23</v>
      </c>
      <c r="I674" s="52" t="s">
        <v>5494</v>
      </c>
      <c r="J674" s="46" t="s">
        <v>5636</v>
      </c>
      <c r="M674" s="53" t="s">
        <v>5637</v>
      </c>
      <c r="N674" s="55"/>
      <c r="O674" s="55"/>
    </row>
    <row r="675" spans="1:21">
      <c r="A675" s="47">
        <v>17146832</v>
      </c>
      <c r="B675" s="46" t="s">
        <v>311</v>
      </c>
      <c r="C675" s="52" t="s">
        <v>312</v>
      </c>
      <c r="D675" s="48">
        <v>23693</v>
      </c>
      <c r="E675" s="49">
        <f t="shared" ca="1" si="16"/>
        <v>61.628351657902741</v>
      </c>
      <c r="G675" s="51" t="s">
        <v>23</v>
      </c>
      <c r="I675" s="52" t="s">
        <v>24</v>
      </c>
      <c r="J675" s="46" t="s">
        <v>313</v>
      </c>
      <c r="M675" s="53" t="s">
        <v>314</v>
      </c>
      <c r="N675" s="55"/>
      <c r="O675" s="55"/>
    </row>
    <row r="676" spans="1:21">
      <c r="A676" s="47">
        <v>17163465</v>
      </c>
      <c r="B676" s="46" t="s">
        <v>2840</v>
      </c>
      <c r="C676" s="46" t="s">
        <v>687</v>
      </c>
      <c r="D676" s="48">
        <v>24057</v>
      </c>
      <c r="E676" s="49">
        <f t="shared" ca="1" si="16"/>
        <v>60.633782291896665</v>
      </c>
      <c r="F676" s="50">
        <v>155894079</v>
      </c>
      <c r="G676" s="51" t="s">
        <v>23</v>
      </c>
      <c r="I676" s="52" t="s">
        <v>23</v>
      </c>
      <c r="M676" s="53" t="s">
        <v>6384</v>
      </c>
    </row>
    <row r="677" spans="1:21">
      <c r="A677" s="47">
        <v>17182042</v>
      </c>
      <c r="B677" s="46" t="s">
        <v>218</v>
      </c>
      <c r="C677" s="46" t="s">
        <v>4318</v>
      </c>
      <c r="E677" s="49" t="str">
        <f t="shared" ca="1" si="16"/>
        <v/>
      </c>
      <c r="F677" s="50">
        <v>156449507</v>
      </c>
      <c r="G677" s="51" t="s">
        <v>23</v>
      </c>
      <c r="I677" s="52" t="s">
        <v>4245</v>
      </c>
      <c r="M677" s="53" t="s">
        <v>4319</v>
      </c>
      <c r="N677" s="46">
        <v>4364093</v>
      </c>
    </row>
    <row r="678" spans="1:21">
      <c r="A678" s="47">
        <v>17182294</v>
      </c>
      <c r="B678" s="46" t="s">
        <v>3452</v>
      </c>
      <c r="C678" s="52" t="s">
        <v>274</v>
      </c>
      <c r="E678" s="49" t="str">
        <f t="shared" ca="1" si="16"/>
        <v/>
      </c>
      <c r="F678" s="50">
        <v>154569622</v>
      </c>
      <c r="G678" s="51" t="s">
        <v>23</v>
      </c>
      <c r="I678" s="52" t="s">
        <v>3427</v>
      </c>
      <c r="J678" s="46" t="s">
        <v>3453</v>
      </c>
      <c r="M678" s="58" t="s">
        <v>25</v>
      </c>
      <c r="N678" s="55"/>
      <c r="O678" s="55"/>
    </row>
    <row r="679" spans="1:21">
      <c r="A679" s="47">
        <v>17182493</v>
      </c>
      <c r="B679" s="46" t="s">
        <v>757</v>
      </c>
      <c r="C679" s="52" t="s">
        <v>758</v>
      </c>
      <c r="D679" s="48">
        <v>23718</v>
      </c>
      <c r="E679" s="49">
        <f t="shared" ca="1" si="16"/>
        <v>61.559906131849985</v>
      </c>
      <c r="F679" s="50">
        <v>156076169</v>
      </c>
      <c r="G679" s="51" t="s">
        <v>23</v>
      </c>
      <c r="I679" s="52" t="s">
        <v>594</v>
      </c>
      <c r="M679" s="53" t="s">
        <v>759</v>
      </c>
      <c r="N679" s="55"/>
      <c r="O679" s="55"/>
    </row>
    <row r="680" spans="1:21">
      <c r="A680" s="47">
        <v>17182507</v>
      </c>
      <c r="B680" s="46" t="s">
        <v>4795</v>
      </c>
      <c r="C680" s="46" t="s">
        <v>2190</v>
      </c>
      <c r="D680" s="48" t="s">
        <v>4796</v>
      </c>
      <c r="E680" s="49">
        <f t="shared" ca="1" si="16"/>
        <v>61.633827299986962</v>
      </c>
      <c r="F680" s="50" t="s">
        <v>4797</v>
      </c>
      <c r="G680" s="51" t="s">
        <v>86</v>
      </c>
      <c r="H680" s="52" t="s">
        <v>52</v>
      </c>
      <c r="I680" s="65" t="s">
        <v>4708</v>
      </c>
      <c r="J680" s="46" t="s">
        <v>229</v>
      </c>
      <c r="K680" s="46" t="s">
        <v>81</v>
      </c>
      <c r="L680" s="46" t="s">
        <v>52</v>
      </c>
      <c r="M680" s="52" t="s">
        <v>4798</v>
      </c>
      <c r="N680" s="46" t="s">
        <v>4799</v>
      </c>
      <c r="O680" s="46" t="s">
        <v>52</v>
      </c>
      <c r="P680" s="46" t="s">
        <v>59</v>
      </c>
      <c r="Q680" s="46" t="s">
        <v>60</v>
      </c>
      <c r="R680" s="46" t="s">
        <v>61</v>
      </c>
      <c r="S680" s="46" t="s">
        <v>62</v>
      </c>
      <c r="T680" s="46" t="s">
        <v>12</v>
      </c>
      <c r="U680" s="46" t="s">
        <v>63</v>
      </c>
    </row>
    <row r="681" spans="1:21">
      <c r="A681" s="47">
        <v>17190635</v>
      </c>
      <c r="B681" s="46" t="s">
        <v>487</v>
      </c>
      <c r="C681" s="52" t="s">
        <v>488</v>
      </c>
      <c r="D681" s="48">
        <v>23822</v>
      </c>
      <c r="E681" s="49">
        <f t="shared" ca="1" si="16"/>
        <v>61.277191432987415</v>
      </c>
      <c r="G681" s="51" t="s">
        <v>23</v>
      </c>
      <c r="I681" s="52" t="s">
        <v>24</v>
      </c>
      <c r="M681" s="53" t="s">
        <v>489</v>
      </c>
      <c r="N681" s="55"/>
      <c r="O681" s="55"/>
    </row>
    <row r="682" spans="1:21">
      <c r="A682" s="47">
        <v>17239557</v>
      </c>
      <c r="B682" s="46" t="s">
        <v>1385</v>
      </c>
      <c r="C682" s="46" t="s">
        <v>3655</v>
      </c>
      <c r="D682" s="48">
        <v>20007</v>
      </c>
      <c r="E682" s="49">
        <f t="shared" ca="1" si="16"/>
        <v>71.721411694107942</v>
      </c>
      <c r="F682" s="50">
        <v>153546954</v>
      </c>
      <c r="G682" s="51" t="s">
        <v>23</v>
      </c>
      <c r="I682" s="52" t="s">
        <v>3630</v>
      </c>
      <c r="M682" s="58" t="s">
        <v>25</v>
      </c>
      <c r="N682" s="46">
        <v>4847347</v>
      </c>
    </row>
    <row r="683" spans="1:21">
      <c r="A683" s="47">
        <v>17249174</v>
      </c>
      <c r="B683" s="46" t="s">
        <v>6217</v>
      </c>
      <c r="C683" s="52" t="s">
        <v>365</v>
      </c>
      <c r="D683" s="48">
        <v>23956</v>
      </c>
      <c r="E683" s="49">
        <f t="shared" ca="1" si="16"/>
        <v>60.910311327003754</v>
      </c>
      <c r="F683" s="50">
        <v>155822792</v>
      </c>
      <c r="G683" s="51" t="s">
        <v>23</v>
      </c>
      <c r="I683" s="52" t="s">
        <v>23</v>
      </c>
      <c r="J683" s="46" t="s">
        <v>1844</v>
      </c>
      <c r="M683" s="53" t="s">
        <v>6218</v>
      </c>
      <c r="N683" s="55">
        <v>4107283</v>
      </c>
      <c r="O683" s="55">
        <v>7283</v>
      </c>
    </row>
    <row r="684" spans="1:21">
      <c r="A684" s="64">
        <v>17267984</v>
      </c>
      <c r="B684" s="61" t="s">
        <v>47</v>
      </c>
      <c r="C684" s="62" t="s">
        <v>36</v>
      </c>
      <c r="D684" s="48">
        <v>23795</v>
      </c>
      <c r="E684" s="49">
        <f t="shared" ca="1" si="16"/>
        <v>61.351115036431885</v>
      </c>
      <c r="F684" s="63">
        <v>155673630</v>
      </c>
      <c r="G684" s="51" t="s">
        <v>23</v>
      </c>
      <c r="I684" s="52" t="s">
        <v>24</v>
      </c>
      <c r="J684" s="61" t="s">
        <v>48</v>
      </c>
      <c r="K684" s="61"/>
      <c r="L684" s="61"/>
      <c r="M684" s="53" t="s">
        <v>49</v>
      </c>
      <c r="N684" s="55"/>
      <c r="O684" s="55"/>
    </row>
    <row r="685" spans="1:21">
      <c r="A685" s="47">
        <v>17268021</v>
      </c>
      <c r="B685" s="46" t="s">
        <v>4649</v>
      </c>
      <c r="C685" s="46" t="s">
        <v>2184</v>
      </c>
      <c r="D685" s="48" t="s">
        <v>52</v>
      </c>
      <c r="E685" s="49" t="str">
        <f t="shared" ca="1" si="16"/>
        <v/>
      </c>
      <c r="F685" s="50" t="s">
        <v>4650</v>
      </c>
      <c r="G685" s="51" t="s">
        <v>70</v>
      </c>
      <c r="H685" s="52" t="s">
        <v>1361</v>
      </c>
      <c r="I685" s="52" t="s">
        <v>4499</v>
      </c>
      <c r="J685" s="46" t="s">
        <v>316</v>
      </c>
      <c r="K685" s="46" t="s">
        <v>112</v>
      </c>
      <c r="L685" s="46" t="s">
        <v>52</v>
      </c>
      <c r="M685" s="53" t="s">
        <v>4651</v>
      </c>
      <c r="N685" s="46" t="s">
        <v>3668</v>
      </c>
      <c r="O685" s="46" t="s">
        <v>4652</v>
      </c>
      <c r="P685" s="46" t="s">
        <v>59</v>
      </c>
      <c r="Q685" s="46" t="s">
        <v>60</v>
      </c>
      <c r="R685" s="46" t="s">
        <v>61</v>
      </c>
      <c r="S685" s="46" t="s">
        <v>62</v>
      </c>
      <c r="T685" s="46" t="s">
        <v>12</v>
      </c>
      <c r="U685" s="46" t="s">
        <v>63</v>
      </c>
    </row>
    <row r="686" spans="1:21">
      <c r="A686" s="47">
        <v>17268237</v>
      </c>
      <c r="B686" s="46" t="s">
        <v>6015</v>
      </c>
      <c r="C686" s="52" t="s">
        <v>6016</v>
      </c>
      <c r="D686" s="48">
        <v>23988</v>
      </c>
      <c r="E686" s="49">
        <f t="shared" ca="1" si="16"/>
        <v>60.822698167365864</v>
      </c>
      <c r="F686" s="50">
        <v>155479214</v>
      </c>
      <c r="G686" s="51" t="s">
        <v>37</v>
      </c>
      <c r="I686" s="52" t="s">
        <v>23</v>
      </c>
      <c r="J686" s="46" t="s">
        <v>38</v>
      </c>
      <c r="M686" s="58" t="s">
        <v>25</v>
      </c>
      <c r="N686" s="55"/>
      <c r="O686" s="55"/>
    </row>
    <row r="687" spans="1:21">
      <c r="A687" s="47">
        <v>17268324</v>
      </c>
      <c r="B687" s="46" t="s">
        <v>4441</v>
      </c>
      <c r="C687" s="46" t="s">
        <v>4442</v>
      </c>
      <c r="D687" s="48">
        <v>23799</v>
      </c>
      <c r="E687" s="49">
        <f t="shared" ca="1" si="16"/>
        <v>61.340163391477148</v>
      </c>
      <c r="F687" s="50">
        <v>156363348</v>
      </c>
      <c r="G687" s="51" t="s">
        <v>86</v>
      </c>
      <c r="I687" s="52" t="s">
        <v>4245</v>
      </c>
      <c r="J687" s="46" t="s">
        <v>4443</v>
      </c>
      <c r="M687" s="53" t="s">
        <v>4444</v>
      </c>
      <c r="O687" s="46">
        <v>4107234</v>
      </c>
    </row>
    <row r="688" spans="1:21">
      <c r="A688" s="47">
        <v>17268415</v>
      </c>
      <c r="B688" s="46" t="s">
        <v>218</v>
      </c>
      <c r="C688" s="52" t="s">
        <v>6152</v>
      </c>
      <c r="D688" s="48">
        <v>23706</v>
      </c>
      <c r="E688" s="49">
        <f t="shared" ca="1" si="16"/>
        <v>61.592759984355311</v>
      </c>
      <c r="F688" s="50">
        <v>155704904</v>
      </c>
      <c r="G688" s="51" t="s">
        <v>23</v>
      </c>
      <c r="I688" s="52" t="s">
        <v>23</v>
      </c>
      <c r="M688" s="58" t="s">
        <v>25</v>
      </c>
      <c r="N688" s="55" t="s">
        <v>6153</v>
      </c>
      <c r="O688" s="55"/>
    </row>
    <row r="689" spans="1:21">
      <c r="A689" s="47">
        <v>17268538</v>
      </c>
      <c r="B689" s="46" t="s">
        <v>1002</v>
      </c>
      <c r="C689" s="52" t="s">
        <v>1003</v>
      </c>
      <c r="D689" s="48">
        <v>23545</v>
      </c>
      <c r="E689" s="49">
        <f t="shared" ca="1" si="16"/>
        <v>62.033549172135068</v>
      </c>
      <c r="F689" s="50">
        <v>155194451</v>
      </c>
      <c r="G689" s="51" t="s">
        <v>23</v>
      </c>
      <c r="I689" s="59" t="s">
        <v>908</v>
      </c>
      <c r="J689" s="46" t="s">
        <v>1004</v>
      </c>
      <c r="M689" s="53" t="s">
        <v>1005</v>
      </c>
      <c r="N689" s="55"/>
      <c r="O689" s="55"/>
    </row>
    <row r="690" spans="1:21">
      <c r="A690" s="47">
        <v>17268866</v>
      </c>
      <c r="B690" s="46" t="s">
        <v>948</v>
      </c>
      <c r="C690" s="52" t="s">
        <v>952</v>
      </c>
      <c r="D690" s="48">
        <v>23764</v>
      </c>
      <c r="E690" s="49">
        <f t="shared" ca="1" si="16"/>
        <v>61.435990284831085</v>
      </c>
      <c r="F690" s="50">
        <v>154148757</v>
      </c>
      <c r="G690" s="51" t="s">
        <v>23</v>
      </c>
      <c r="I690" s="59" t="s">
        <v>908</v>
      </c>
      <c r="J690" s="46" t="s">
        <v>673</v>
      </c>
      <c r="M690" s="53" t="s">
        <v>953</v>
      </c>
      <c r="N690" s="55"/>
      <c r="O690" s="55"/>
    </row>
    <row r="691" spans="1:21">
      <c r="A691" s="47">
        <v>17268893</v>
      </c>
      <c r="B691" s="46" t="s">
        <v>6094</v>
      </c>
      <c r="C691" s="52" t="s">
        <v>6095</v>
      </c>
      <c r="D691" s="48">
        <v>23902</v>
      </c>
      <c r="E691" s="49">
        <f t="shared" ca="1" si="16"/>
        <v>61.058158533892687</v>
      </c>
      <c r="F691" s="50">
        <v>155415359</v>
      </c>
      <c r="G691" s="51" t="s">
        <v>23</v>
      </c>
      <c r="I691" s="52" t="s">
        <v>23</v>
      </c>
      <c r="J691" s="46" t="s">
        <v>1594</v>
      </c>
      <c r="M691" s="53" t="s">
        <v>6096</v>
      </c>
      <c r="N691" s="55"/>
      <c r="O691" s="55"/>
    </row>
    <row r="692" spans="1:21">
      <c r="A692" s="47">
        <v>17268925</v>
      </c>
      <c r="B692" s="46" t="s">
        <v>6250</v>
      </c>
      <c r="C692" s="52" t="s">
        <v>3592</v>
      </c>
      <c r="D692" s="48">
        <v>23856</v>
      </c>
      <c r="E692" s="49">
        <f t="shared" ca="1" si="16"/>
        <v>61.184102450872153</v>
      </c>
      <c r="F692" s="50">
        <v>156814713</v>
      </c>
      <c r="G692" s="51" t="s">
        <v>23</v>
      </c>
      <c r="I692" s="52" t="s">
        <v>23</v>
      </c>
      <c r="J692" s="46" t="s">
        <v>881</v>
      </c>
      <c r="M692" s="53" t="s">
        <v>6251</v>
      </c>
      <c r="N692" s="55"/>
      <c r="O692" s="55"/>
    </row>
    <row r="693" spans="1:21">
      <c r="A693" s="47">
        <v>17269004</v>
      </c>
      <c r="B693" s="46" t="s">
        <v>26</v>
      </c>
      <c r="C693" s="52" t="s">
        <v>30</v>
      </c>
      <c r="D693" s="48">
        <v>23790</v>
      </c>
      <c r="E693" s="49">
        <f t="shared" ca="1" si="16"/>
        <v>61.364804592625305</v>
      </c>
      <c r="F693" s="50">
        <v>156438670</v>
      </c>
      <c r="G693" s="51" t="s">
        <v>23</v>
      </c>
      <c r="I693" s="52" t="s">
        <v>24</v>
      </c>
      <c r="J693" s="46" t="s">
        <v>31</v>
      </c>
      <c r="M693" s="53" t="s">
        <v>32</v>
      </c>
      <c r="N693" s="55"/>
      <c r="O693" s="55"/>
    </row>
    <row r="694" spans="1:21">
      <c r="A694" s="47">
        <v>17269028</v>
      </c>
      <c r="B694" s="46" t="s">
        <v>3216</v>
      </c>
      <c r="C694" s="46" t="s">
        <v>6098</v>
      </c>
      <c r="E694" s="49" t="str">
        <f t="shared" ca="1" si="16"/>
        <v/>
      </c>
      <c r="G694" s="51" t="s">
        <v>23</v>
      </c>
      <c r="I694" s="52" t="s">
        <v>23</v>
      </c>
      <c r="M694" s="53" t="s">
        <v>6099</v>
      </c>
    </row>
    <row r="695" spans="1:21">
      <c r="A695" s="47">
        <v>17269119</v>
      </c>
      <c r="B695" s="46" t="s">
        <v>3849</v>
      </c>
      <c r="C695" s="46" t="s">
        <v>3850</v>
      </c>
      <c r="D695" s="48">
        <v>23594</v>
      </c>
      <c r="E695" s="49">
        <f t="shared" ca="1" si="16"/>
        <v>61.89939594107166</v>
      </c>
      <c r="F695" s="50">
        <v>155328698</v>
      </c>
      <c r="G695" s="51" t="s">
        <v>70</v>
      </c>
      <c r="I695" s="52" t="s">
        <v>3630</v>
      </c>
      <c r="J695" s="46" t="s">
        <v>316</v>
      </c>
      <c r="M695" s="53" t="s">
        <v>3851</v>
      </c>
    </row>
    <row r="696" spans="1:21">
      <c r="A696" s="47">
        <v>17269389</v>
      </c>
      <c r="B696" s="46" t="s">
        <v>315</v>
      </c>
      <c r="C696" s="52" t="s">
        <v>974</v>
      </c>
      <c r="D696" s="48">
        <v>24029</v>
      </c>
      <c r="E696" s="49">
        <f t="shared" ca="1" si="16"/>
        <v>60.710443806579818</v>
      </c>
      <c r="F696" s="50">
        <v>155163201</v>
      </c>
      <c r="G696" s="51" t="s">
        <v>23</v>
      </c>
      <c r="I696" s="52" t="s">
        <v>4499</v>
      </c>
      <c r="J696" s="46" t="s">
        <v>4591</v>
      </c>
      <c r="M696" s="53" t="s">
        <v>4592</v>
      </c>
      <c r="N696" s="55"/>
      <c r="O696" s="55"/>
    </row>
    <row r="697" spans="1:21">
      <c r="A697" s="47">
        <v>17269443</v>
      </c>
      <c r="B697" s="46" t="s">
        <v>497</v>
      </c>
      <c r="C697" s="46" t="s">
        <v>4439</v>
      </c>
      <c r="D697" s="48">
        <v>23785</v>
      </c>
      <c r="E697" s="49">
        <f t="shared" ca="1" si="16"/>
        <v>61.378494148818724</v>
      </c>
      <c r="F697" s="50">
        <v>154183265</v>
      </c>
      <c r="G697" s="51" t="s">
        <v>23</v>
      </c>
      <c r="I697" s="52" t="s">
        <v>4245</v>
      </c>
      <c r="J697" s="46" t="s">
        <v>4440</v>
      </c>
      <c r="M697" s="53"/>
      <c r="O697" s="46">
        <v>4107240</v>
      </c>
    </row>
    <row r="698" spans="1:21">
      <c r="A698" s="47">
        <v>17269462</v>
      </c>
      <c r="B698" s="46" t="s">
        <v>3474</v>
      </c>
      <c r="C698" s="55" t="s">
        <v>135</v>
      </c>
      <c r="D698" s="48">
        <v>23765</v>
      </c>
      <c r="E698" s="49">
        <f t="shared" ca="1" si="16"/>
        <v>61.433252373592403</v>
      </c>
      <c r="G698" s="51" t="s">
        <v>37</v>
      </c>
      <c r="I698" s="52" t="s">
        <v>3427</v>
      </c>
      <c r="J698" s="46" t="s">
        <v>1543</v>
      </c>
      <c r="M698" s="53" t="s">
        <v>3475</v>
      </c>
    </row>
    <row r="699" spans="1:21">
      <c r="A699" s="47">
        <v>17269491</v>
      </c>
      <c r="B699" s="46" t="s">
        <v>156</v>
      </c>
      <c r="C699" s="52" t="s">
        <v>1924</v>
      </c>
      <c r="D699" s="48">
        <v>23686</v>
      </c>
      <c r="E699" s="49">
        <f t="shared" ca="1" si="16"/>
        <v>61.647516405197514</v>
      </c>
      <c r="G699" s="51" t="s">
        <v>23</v>
      </c>
      <c r="I699" s="65" t="s">
        <v>4954</v>
      </c>
      <c r="J699" s="46" t="s">
        <v>2002</v>
      </c>
      <c r="M699" s="53" t="s">
        <v>4990</v>
      </c>
      <c r="N699" s="55"/>
      <c r="O699" s="55"/>
    </row>
    <row r="700" spans="1:21">
      <c r="A700" s="47">
        <v>17269677</v>
      </c>
      <c r="B700" s="46" t="s">
        <v>374</v>
      </c>
      <c r="C700" s="52" t="s">
        <v>584</v>
      </c>
      <c r="D700" s="48">
        <v>23727</v>
      </c>
      <c r="E700" s="49">
        <f t="shared" ca="1" si="16"/>
        <v>61.53526574247099</v>
      </c>
      <c r="F700" s="50">
        <v>155463000</v>
      </c>
      <c r="G700" s="51" t="s">
        <v>23</v>
      </c>
      <c r="I700" s="52" t="s">
        <v>23</v>
      </c>
      <c r="M700" s="58" t="s">
        <v>25</v>
      </c>
      <c r="N700" s="55"/>
      <c r="O700" s="55"/>
    </row>
    <row r="701" spans="1:21">
      <c r="A701" s="47">
        <v>17269759</v>
      </c>
      <c r="B701" s="46" t="s">
        <v>3182</v>
      </c>
      <c r="C701" s="52" t="s">
        <v>2244</v>
      </c>
      <c r="D701" s="48">
        <v>23079</v>
      </c>
      <c r="E701" s="49">
        <f t="shared" ca="1" si="16"/>
        <v>63.310061601642708</v>
      </c>
      <c r="F701" s="50">
        <v>156449767</v>
      </c>
      <c r="G701" s="51" t="s">
        <v>141</v>
      </c>
      <c r="I701" s="52" t="s">
        <v>23</v>
      </c>
      <c r="J701" s="46" t="s">
        <v>3565</v>
      </c>
      <c r="M701" s="53" t="s">
        <v>6029</v>
      </c>
      <c r="N701" s="55">
        <v>4247752</v>
      </c>
      <c r="O701" s="55">
        <v>7155</v>
      </c>
    </row>
    <row r="702" spans="1:21">
      <c r="A702" s="47">
        <v>17269935</v>
      </c>
      <c r="B702" s="46" t="s">
        <v>315</v>
      </c>
      <c r="C702" s="46" t="s">
        <v>1334</v>
      </c>
      <c r="D702" s="48" t="s">
        <v>52</v>
      </c>
      <c r="E702" s="49" t="str">
        <f t="shared" ca="1" si="16"/>
        <v/>
      </c>
      <c r="F702" s="50" t="s">
        <v>1335</v>
      </c>
      <c r="G702" s="51" t="s">
        <v>70</v>
      </c>
      <c r="H702" s="52" t="s">
        <v>1336</v>
      </c>
      <c r="I702" s="59" t="s">
        <v>908</v>
      </c>
      <c r="J702" s="46" t="s">
        <v>1337</v>
      </c>
      <c r="K702" s="46" t="s">
        <v>390</v>
      </c>
      <c r="L702" s="46" t="s">
        <v>1338</v>
      </c>
      <c r="M702" s="52" t="s">
        <v>1339</v>
      </c>
      <c r="N702" s="46" t="s">
        <v>1340</v>
      </c>
      <c r="O702" s="46" t="s">
        <v>607</v>
      </c>
      <c r="P702" s="46" t="s">
        <v>59</v>
      </c>
      <c r="Q702" s="46" t="s">
        <v>60</v>
      </c>
      <c r="R702" s="46" t="s">
        <v>61</v>
      </c>
      <c r="S702" s="46" t="s">
        <v>62</v>
      </c>
      <c r="T702" s="46" t="s">
        <v>12</v>
      </c>
      <c r="U702" s="46" t="s">
        <v>63</v>
      </c>
    </row>
    <row r="703" spans="1:21">
      <c r="A703" s="47">
        <v>17270116</v>
      </c>
      <c r="B703" s="46" t="s">
        <v>315</v>
      </c>
      <c r="C703" s="46" t="s">
        <v>257</v>
      </c>
      <c r="D703" s="48">
        <v>24026</v>
      </c>
      <c r="E703" s="49">
        <f t="shared" ca="1" si="16"/>
        <v>60.718657540295872</v>
      </c>
      <c r="F703" s="50">
        <v>155753806</v>
      </c>
      <c r="G703" s="51" t="s">
        <v>23</v>
      </c>
      <c r="I703" s="52" t="s">
        <v>1881</v>
      </c>
      <c r="J703" s="46" t="s">
        <v>38</v>
      </c>
      <c r="M703" s="53" t="s">
        <v>2142</v>
      </c>
      <c r="N703" s="46">
        <v>4107568</v>
      </c>
    </row>
    <row r="704" spans="1:21">
      <c r="A704" s="64">
        <v>17270247</v>
      </c>
      <c r="B704" s="61" t="s">
        <v>5098</v>
      </c>
      <c r="C704" s="62" t="s">
        <v>1061</v>
      </c>
      <c r="D704" s="48" t="s">
        <v>52</v>
      </c>
      <c r="E704" s="49" t="str">
        <f t="shared" ca="1" si="16"/>
        <v/>
      </c>
      <c r="F704" s="63" t="s">
        <v>5099</v>
      </c>
      <c r="G704" s="51" t="s">
        <v>78</v>
      </c>
      <c r="H704" s="52" t="s">
        <v>4838</v>
      </c>
      <c r="I704" s="52" t="s">
        <v>4954</v>
      </c>
      <c r="J704" s="61" t="s">
        <v>5100</v>
      </c>
      <c r="K704" s="61" t="s">
        <v>81</v>
      </c>
      <c r="L704" s="61" t="s">
        <v>52</v>
      </c>
      <c r="M704" s="53" t="s">
        <v>5101</v>
      </c>
      <c r="N704" s="55" t="s">
        <v>4998</v>
      </c>
      <c r="O704" s="55" t="s">
        <v>52</v>
      </c>
      <c r="P704" s="46" t="s">
        <v>59</v>
      </c>
      <c r="Q704" s="46" t="s">
        <v>60</v>
      </c>
      <c r="R704" s="46" t="s">
        <v>61</v>
      </c>
      <c r="S704" s="46" t="s">
        <v>62</v>
      </c>
      <c r="T704" s="46" t="s">
        <v>12</v>
      </c>
      <c r="U704" s="46" t="s">
        <v>63</v>
      </c>
    </row>
    <row r="705" spans="1:21">
      <c r="A705" s="47">
        <v>17293872</v>
      </c>
      <c r="B705" s="46" t="s">
        <v>47</v>
      </c>
      <c r="C705" s="55" t="s">
        <v>4259</v>
      </c>
      <c r="D705" s="48" t="s">
        <v>4260</v>
      </c>
      <c r="E705" s="49">
        <f t="shared" ca="1" si="16"/>
        <v>60.493491921005386</v>
      </c>
      <c r="F705" s="50" t="s">
        <v>4261</v>
      </c>
      <c r="G705" s="51" t="s">
        <v>70</v>
      </c>
      <c r="H705" s="52" t="s">
        <v>4262</v>
      </c>
      <c r="I705" s="52" t="s">
        <v>4245</v>
      </c>
      <c r="J705" s="55" t="s">
        <v>4263</v>
      </c>
      <c r="K705" s="55" t="s">
        <v>81</v>
      </c>
      <c r="L705" s="55" t="s">
        <v>52</v>
      </c>
      <c r="M705" s="53" t="s">
        <v>4264</v>
      </c>
      <c r="N705" s="55" t="s">
        <v>52</v>
      </c>
      <c r="O705" s="55" t="s">
        <v>52</v>
      </c>
      <c r="P705" s="46" t="s">
        <v>59</v>
      </c>
      <c r="Q705" s="46" t="s">
        <v>60</v>
      </c>
      <c r="R705" s="46" t="s">
        <v>61</v>
      </c>
      <c r="S705" s="46" t="s">
        <v>62</v>
      </c>
      <c r="T705" s="46" t="s">
        <v>12</v>
      </c>
      <c r="U705" s="46" t="s">
        <v>63</v>
      </c>
    </row>
    <row r="706" spans="1:21">
      <c r="A706" s="47">
        <v>17345044</v>
      </c>
      <c r="B706" s="69" t="s">
        <v>3931</v>
      </c>
      <c r="C706" s="52" t="s">
        <v>1310</v>
      </c>
      <c r="D706" s="48">
        <v>24117</v>
      </c>
      <c r="E706" s="49">
        <f t="shared" ca="1" si="16"/>
        <v>60.468850987432674</v>
      </c>
      <c r="G706" s="51" t="s">
        <v>78</v>
      </c>
      <c r="I706" s="52" t="s">
        <v>3922</v>
      </c>
      <c r="J706" s="46" t="s">
        <v>3932</v>
      </c>
      <c r="M706" s="58" t="s">
        <v>25</v>
      </c>
      <c r="N706" s="55">
        <v>4393405</v>
      </c>
      <c r="O706" s="55"/>
    </row>
    <row r="707" spans="1:21">
      <c r="A707" s="47">
        <v>17354788</v>
      </c>
      <c r="B707" s="46" t="s">
        <v>5956</v>
      </c>
      <c r="C707" s="46" t="s">
        <v>1146</v>
      </c>
      <c r="D707" s="48" t="s">
        <v>52</v>
      </c>
      <c r="E707" s="49" t="str">
        <f t="shared" ca="1" si="16"/>
        <v/>
      </c>
      <c r="F707" s="50" t="s">
        <v>5957</v>
      </c>
      <c r="G707" s="51" t="s">
        <v>70</v>
      </c>
      <c r="H707" s="52" t="s">
        <v>2650</v>
      </c>
      <c r="I707" s="52" t="s">
        <v>5881</v>
      </c>
      <c r="J707" s="46" t="s">
        <v>5896</v>
      </c>
      <c r="K707" s="46" t="s">
        <v>81</v>
      </c>
      <c r="L707" s="46" t="s">
        <v>52</v>
      </c>
      <c r="M707" s="52" t="s">
        <v>5958</v>
      </c>
      <c r="N707" s="46" t="s">
        <v>5884</v>
      </c>
      <c r="O707" s="46" t="s">
        <v>52</v>
      </c>
      <c r="P707" s="46" t="s">
        <v>59</v>
      </c>
      <c r="Q707" s="46" t="s">
        <v>60</v>
      </c>
      <c r="R707" s="46" t="s">
        <v>61</v>
      </c>
      <c r="S707" s="46" t="s">
        <v>62</v>
      </c>
      <c r="T707" s="46" t="s">
        <v>12</v>
      </c>
      <c r="U707" s="46" t="s">
        <v>63</v>
      </c>
    </row>
    <row r="708" spans="1:21">
      <c r="A708" s="47">
        <v>17355339</v>
      </c>
      <c r="B708" s="46" t="s">
        <v>6340</v>
      </c>
      <c r="C708" s="52" t="s">
        <v>6341</v>
      </c>
      <c r="D708" s="48">
        <v>23920</v>
      </c>
      <c r="E708" s="49">
        <f t="shared" ca="1" si="16"/>
        <v>61.008876131596381</v>
      </c>
      <c r="G708" s="51" t="s">
        <v>23</v>
      </c>
      <c r="I708" s="52" t="s">
        <v>23</v>
      </c>
      <c r="J708" s="46" t="s">
        <v>6342</v>
      </c>
      <c r="M708" s="53" t="s">
        <v>6343</v>
      </c>
      <c r="N708" s="55"/>
      <c r="O708" s="55"/>
    </row>
    <row r="709" spans="1:21">
      <c r="A709" s="47">
        <v>17376132</v>
      </c>
      <c r="B709" s="46" t="s">
        <v>1885</v>
      </c>
      <c r="C709" s="46" t="s">
        <v>9492</v>
      </c>
      <c r="D709" s="48" t="s">
        <v>9493</v>
      </c>
      <c r="E709" s="49" t="s">
        <v>9494</v>
      </c>
      <c r="F709" s="50" t="s">
        <v>9495</v>
      </c>
      <c r="G709" s="51" t="s">
        <v>141</v>
      </c>
      <c r="H709" s="52" t="s">
        <v>8765</v>
      </c>
      <c r="I709" s="52" t="s">
        <v>4245</v>
      </c>
      <c r="J709" s="46" t="s">
        <v>9496</v>
      </c>
      <c r="K709" s="46" t="s">
        <v>81</v>
      </c>
      <c r="L709" s="46" t="s">
        <v>546</v>
      </c>
      <c r="M709" s="52" t="s">
        <v>9497</v>
      </c>
      <c r="N709" s="46" t="s">
        <v>52</v>
      </c>
      <c r="O709" s="46" t="s">
        <v>52</v>
      </c>
      <c r="P709" s="46" t="s">
        <v>59</v>
      </c>
      <c r="Q709" s="46" t="s">
        <v>60</v>
      </c>
      <c r="R709" s="46" t="s">
        <v>61</v>
      </c>
      <c r="S709" s="46" t="s">
        <v>62</v>
      </c>
      <c r="T709" s="46" t="s">
        <v>12</v>
      </c>
      <c r="U709" s="46" t="s">
        <v>63</v>
      </c>
    </row>
    <row r="710" spans="1:21">
      <c r="A710" s="66">
        <v>17376294</v>
      </c>
      <c r="B710" s="67" t="s">
        <v>47</v>
      </c>
      <c r="C710" s="52" t="s">
        <v>50</v>
      </c>
      <c r="D710" s="48">
        <v>23705</v>
      </c>
      <c r="E710" s="49">
        <f t="shared" ref="E710:E755" ca="1" si="17">IF(D710="","",YEARFRAC(D710,TODAY(),1))</f>
        <v>61.595497805397422</v>
      </c>
      <c r="F710" s="57">
        <v>155805767</v>
      </c>
      <c r="G710" s="51" t="s">
        <v>23</v>
      </c>
      <c r="I710" s="52" t="s">
        <v>24</v>
      </c>
      <c r="M710" s="58" t="s">
        <v>25</v>
      </c>
      <c r="N710" s="55"/>
      <c r="O710" s="55"/>
    </row>
    <row r="711" spans="1:21">
      <c r="A711" s="47">
        <v>17376396</v>
      </c>
      <c r="B711" s="46" t="s">
        <v>1257</v>
      </c>
      <c r="C711" s="55" t="s">
        <v>3405</v>
      </c>
      <c r="D711" s="48" t="s">
        <v>52</v>
      </c>
      <c r="E711" s="49" t="str">
        <f t="shared" ca="1" si="17"/>
        <v/>
      </c>
      <c r="F711" s="50" t="s">
        <v>3406</v>
      </c>
      <c r="G711" s="51" t="s">
        <v>23</v>
      </c>
      <c r="H711" s="52" t="s">
        <v>52</v>
      </c>
      <c r="I711" s="52" t="s">
        <v>3327</v>
      </c>
      <c r="J711" s="55" t="s">
        <v>2185</v>
      </c>
      <c r="K711" s="55" t="s">
        <v>52</v>
      </c>
      <c r="L711" s="55" t="s">
        <v>52</v>
      </c>
      <c r="M711" s="53" t="s">
        <v>3407</v>
      </c>
      <c r="N711" s="55" t="s">
        <v>3393</v>
      </c>
      <c r="O711" s="55" t="s">
        <v>3408</v>
      </c>
      <c r="P711" s="46" t="s">
        <v>59</v>
      </c>
      <c r="Q711" s="46" t="s">
        <v>60</v>
      </c>
      <c r="R711" s="46" t="s">
        <v>61</v>
      </c>
      <c r="S711" s="46" t="s">
        <v>62</v>
      </c>
      <c r="T711" s="46" t="s">
        <v>12</v>
      </c>
      <c r="U711" s="46" t="s">
        <v>63</v>
      </c>
    </row>
    <row r="712" spans="1:21">
      <c r="A712" s="47">
        <v>17376464</v>
      </c>
      <c r="B712" s="46" t="s">
        <v>1823</v>
      </c>
      <c r="C712" s="55" t="s">
        <v>2102</v>
      </c>
      <c r="D712" s="48">
        <v>23963</v>
      </c>
      <c r="E712" s="49">
        <f t="shared" ca="1" si="17"/>
        <v>60.891145948332962</v>
      </c>
      <c r="F712" s="50">
        <v>156076816</v>
      </c>
      <c r="G712" s="51" t="s">
        <v>86</v>
      </c>
      <c r="I712" s="52" t="s">
        <v>2713</v>
      </c>
      <c r="J712" s="55"/>
      <c r="K712" s="55"/>
      <c r="L712" s="55"/>
      <c r="M712" s="53" t="s">
        <v>2717</v>
      </c>
      <c r="N712" s="55">
        <v>4242464</v>
      </c>
      <c r="O712" s="55"/>
    </row>
    <row r="713" spans="1:21">
      <c r="A713" s="47">
        <v>17376654</v>
      </c>
      <c r="B713" s="46" t="s">
        <v>4223</v>
      </c>
      <c r="C713" s="46" t="s">
        <v>4224</v>
      </c>
      <c r="D713" s="48" t="s">
        <v>52</v>
      </c>
      <c r="E713" s="49" t="str">
        <f t="shared" ca="1" si="17"/>
        <v/>
      </c>
      <c r="F713" s="50" t="s">
        <v>4231</v>
      </c>
      <c r="G713" s="51" t="s">
        <v>70</v>
      </c>
      <c r="H713" s="52" t="s">
        <v>52</v>
      </c>
      <c r="I713" s="52" t="s">
        <v>4181</v>
      </c>
      <c r="J713" s="46" t="s">
        <v>52</v>
      </c>
      <c r="K713" s="46" t="s">
        <v>81</v>
      </c>
      <c r="L713" s="46" t="s">
        <v>546</v>
      </c>
      <c r="M713" s="52" t="s">
        <v>4226</v>
      </c>
      <c r="N713" s="46" t="s">
        <v>52</v>
      </c>
      <c r="O713" s="46" t="s">
        <v>52</v>
      </c>
      <c r="P713" s="46" t="s">
        <v>59</v>
      </c>
      <c r="Q713" s="46" t="s">
        <v>60</v>
      </c>
      <c r="R713" s="46" t="s">
        <v>61</v>
      </c>
      <c r="S713" s="46" t="s">
        <v>62</v>
      </c>
      <c r="T713" s="46" t="s">
        <v>12</v>
      </c>
      <c r="U713" s="46" t="s">
        <v>63</v>
      </c>
    </row>
    <row r="714" spans="1:21">
      <c r="A714" s="47">
        <v>17376659</v>
      </c>
      <c r="B714" s="46" t="s">
        <v>4223</v>
      </c>
      <c r="C714" s="46" t="s">
        <v>4224</v>
      </c>
      <c r="D714" s="48" t="s">
        <v>52</v>
      </c>
      <c r="E714" s="49" t="str">
        <f t="shared" ca="1" si="17"/>
        <v/>
      </c>
      <c r="F714" s="50" t="s">
        <v>4225</v>
      </c>
      <c r="G714" s="51" t="s">
        <v>70</v>
      </c>
      <c r="H714" s="52" t="s">
        <v>52</v>
      </c>
      <c r="I714" s="52" t="s">
        <v>4181</v>
      </c>
      <c r="J714" s="46" t="s">
        <v>3313</v>
      </c>
      <c r="K714" s="46" t="s">
        <v>390</v>
      </c>
      <c r="L714" s="46" t="s">
        <v>546</v>
      </c>
      <c r="M714" s="58" t="s">
        <v>4226</v>
      </c>
      <c r="N714" s="46" t="s">
        <v>52</v>
      </c>
      <c r="O714" s="46" t="s">
        <v>52</v>
      </c>
      <c r="P714" s="46" t="s">
        <v>59</v>
      </c>
      <c r="Q714" s="46" t="s">
        <v>60</v>
      </c>
      <c r="R714" s="46" t="s">
        <v>61</v>
      </c>
      <c r="S714" s="46" t="s">
        <v>62</v>
      </c>
      <c r="T714" s="46" t="s">
        <v>12</v>
      </c>
      <c r="U714" s="46" t="s">
        <v>63</v>
      </c>
    </row>
    <row r="715" spans="1:21">
      <c r="A715" s="47">
        <v>17376756</v>
      </c>
      <c r="B715" s="46" t="s">
        <v>944</v>
      </c>
      <c r="C715" s="46" t="s">
        <v>945</v>
      </c>
      <c r="D715" s="48">
        <v>24034</v>
      </c>
      <c r="E715" s="49">
        <f t="shared" ca="1" si="17"/>
        <v>60.696754250386398</v>
      </c>
      <c r="F715" s="50">
        <v>154453740</v>
      </c>
      <c r="G715" s="51" t="s">
        <v>86</v>
      </c>
      <c r="I715" s="59" t="s">
        <v>908</v>
      </c>
      <c r="J715" s="46" t="s">
        <v>946</v>
      </c>
      <c r="M715" s="52" t="s">
        <v>947</v>
      </c>
      <c r="N715" s="46">
        <v>4248169</v>
      </c>
      <c r="P715" s="46">
        <v>4</v>
      </c>
    </row>
    <row r="716" spans="1:21">
      <c r="A716" s="47">
        <v>17376866</v>
      </c>
      <c r="B716" s="46" t="s">
        <v>6038</v>
      </c>
      <c r="C716" s="52" t="s">
        <v>6042</v>
      </c>
      <c r="D716" s="48">
        <v>24008</v>
      </c>
      <c r="E716" s="49">
        <f t="shared" ca="1" si="17"/>
        <v>60.767939942592186</v>
      </c>
      <c r="G716" s="51" t="s">
        <v>23</v>
      </c>
      <c r="I716" s="52" t="s">
        <v>23</v>
      </c>
      <c r="J716" s="46" t="s">
        <v>6043</v>
      </c>
      <c r="M716" s="53" t="s">
        <v>6044</v>
      </c>
      <c r="N716" s="55"/>
      <c r="O716" s="55"/>
    </row>
    <row r="717" spans="1:21">
      <c r="A717" s="47">
        <v>17376929</v>
      </c>
      <c r="B717" s="46" t="s">
        <v>342</v>
      </c>
      <c r="C717" s="52" t="s">
        <v>6300</v>
      </c>
      <c r="D717" s="48">
        <v>23932</v>
      </c>
      <c r="E717" s="49">
        <f t="shared" ca="1" si="17"/>
        <v>60.976021196732169</v>
      </c>
      <c r="F717" s="50">
        <v>155229806</v>
      </c>
      <c r="G717" s="51" t="s">
        <v>23</v>
      </c>
      <c r="I717" s="52" t="s">
        <v>23</v>
      </c>
      <c r="J717" s="46" t="s">
        <v>6301</v>
      </c>
      <c r="M717" s="53" t="s">
        <v>6302</v>
      </c>
      <c r="N717" s="55"/>
      <c r="O717" s="55"/>
    </row>
    <row r="718" spans="1:21">
      <c r="A718" s="47">
        <v>17376937</v>
      </c>
      <c r="B718" s="46" t="s">
        <v>1823</v>
      </c>
      <c r="C718" s="52" t="s">
        <v>462</v>
      </c>
      <c r="D718" s="48">
        <v>23892</v>
      </c>
      <c r="E718" s="49">
        <f t="shared" ca="1" si="17"/>
        <v>61.085537646279533</v>
      </c>
      <c r="G718" s="51" t="s">
        <v>23</v>
      </c>
      <c r="I718" s="52" t="s">
        <v>23</v>
      </c>
      <c r="J718" s="46" t="s">
        <v>6374</v>
      </c>
      <c r="M718" s="53" t="s">
        <v>463</v>
      </c>
      <c r="N718" s="55"/>
      <c r="O718" s="55"/>
    </row>
    <row r="719" spans="1:21">
      <c r="A719" s="47">
        <v>17377046</v>
      </c>
      <c r="B719" s="46" t="s">
        <v>8483</v>
      </c>
      <c r="C719" s="52" t="s">
        <v>2553</v>
      </c>
      <c r="D719" s="48">
        <v>23799</v>
      </c>
      <c r="E719" s="49">
        <f t="shared" ca="1" si="17"/>
        <v>61.340163391477148</v>
      </c>
      <c r="F719" s="50">
        <v>155624747</v>
      </c>
      <c r="G719" s="51" t="s">
        <v>23</v>
      </c>
      <c r="I719" s="59" t="s">
        <v>908</v>
      </c>
      <c r="M719" s="53" t="s">
        <v>2554</v>
      </c>
      <c r="N719" s="55"/>
      <c r="O719" s="55"/>
    </row>
    <row r="720" spans="1:21">
      <c r="A720" s="47">
        <v>17377880</v>
      </c>
      <c r="B720" s="46" t="s">
        <v>2825</v>
      </c>
      <c r="C720" s="52" t="s">
        <v>3257</v>
      </c>
      <c r="D720" s="48">
        <v>24102</v>
      </c>
      <c r="E720" s="49">
        <f t="shared" ca="1" si="17"/>
        <v>60.510576286155882</v>
      </c>
      <c r="F720" s="50">
        <v>155724725</v>
      </c>
      <c r="G720" s="51" t="s">
        <v>23</v>
      </c>
      <c r="I720" s="52" t="s">
        <v>3166</v>
      </c>
      <c r="J720" s="46" t="s">
        <v>2080</v>
      </c>
      <c r="M720" s="58" t="s">
        <v>25</v>
      </c>
      <c r="N720" s="55"/>
      <c r="O720" s="55"/>
    </row>
    <row r="721" spans="1:21">
      <c r="A721" s="66">
        <v>17377946</v>
      </c>
      <c r="B721" s="67" t="s">
        <v>277</v>
      </c>
      <c r="C721" s="52" t="s">
        <v>278</v>
      </c>
      <c r="D721" s="48">
        <v>23839</v>
      </c>
      <c r="E721" s="49">
        <f t="shared" ca="1" si="17"/>
        <v>61.230646941929784</v>
      </c>
      <c r="F721" s="57">
        <v>155604669</v>
      </c>
      <c r="G721" s="51" t="s">
        <v>23</v>
      </c>
      <c r="I721" s="52" t="s">
        <v>24</v>
      </c>
      <c r="M721" s="58" t="s">
        <v>25</v>
      </c>
      <c r="N721" s="55"/>
      <c r="O721" s="55"/>
    </row>
    <row r="722" spans="1:21">
      <c r="A722" s="47">
        <v>17377950</v>
      </c>
      <c r="B722" s="46" t="s">
        <v>128</v>
      </c>
      <c r="C722" s="52" t="s">
        <v>1948</v>
      </c>
      <c r="E722" s="49" t="str">
        <f t="shared" ca="1" si="17"/>
        <v/>
      </c>
      <c r="F722" s="50">
        <v>155649865</v>
      </c>
      <c r="G722" s="51" t="s">
        <v>23</v>
      </c>
      <c r="I722" s="52" t="s">
        <v>1881</v>
      </c>
      <c r="J722" s="46" t="s">
        <v>1949</v>
      </c>
      <c r="M722" s="58" t="s">
        <v>25</v>
      </c>
      <c r="N722" s="55"/>
      <c r="O722" s="55"/>
    </row>
    <row r="723" spans="1:21">
      <c r="A723" s="47">
        <v>17377961</v>
      </c>
      <c r="B723" s="46" t="s">
        <v>6436</v>
      </c>
      <c r="C723" s="52" t="s">
        <v>6437</v>
      </c>
      <c r="D723" s="48">
        <v>23887</v>
      </c>
      <c r="E723" s="49">
        <f t="shared" ca="1" si="17"/>
        <v>61.099227202472953</v>
      </c>
      <c r="F723" s="50">
        <v>155863370</v>
      </c>
      <c r="G723" s="51" t="s">
        <v>23</v>
      </c>
      <c r="I723" s="52" t="s">
        <v>23</v>
      </c>
      <c r="J723" s="46" t="s">
        <v>6438</v>
      </c>
      <c r="M723" s="53" t="s">
        <v>6439</v>
      </c>
      <c r="N723" s="55"/>
      <c r="O723" s="55"/>
    </row>
    <row r="724" spans="1:21">
      <c r="A724" s="47">
        <v>17377987</v>
      </c>
      <c r="B724" s="46" t="s">
        <v>659</v>
      </c>
      <c r="C724" s="46" t="s">
        <v>1082</v>
      </c>
      <c r="D724" s="48" t="s">
        <v>52</v>
      </c>
      <c r="E724" s="49" t="str">
        <f t="shared" ca="1" si="17"/>
        <v/>
      </c>
      <c r="F724" s="50" t="s">
        <v>6133</v>
      </c>
      <c r="G724" s="51" t="s">
        <v>86</v>
      </c>
      <c r="H724" s="52" t="s">
        <v>6134</v>
      </c>
      <c r="I724" s="52" t="s">
        <v>23</v>
      </c>
      <c r="J724" s="46" t="s">
        <v>6135</v>
      </c>
      <c r="K724" s="46" t="s">
        <v>81</v>
      </c>
      <c r="L724" s="46" t="s">
        <v>52</v>
      </c>
      <c r="M724" s="53" t="s">
        <v>6136</v>
      </c>
      <c r="N724" s="46" t="s">
        <v>4918</v>
      </c>
      <c r="O724" s="46" t="s">
        <v>4867</v>
      </c>
      <c r="P724" s="46" t="s">
        <v>59</v>
      </c>
      <c r="Q724" s="46" t="s">
        <v>60</v>
      </c>
      <c r="R724" s="46" t="s">
        <v>61</v>
      </c>
      <c r="S724" s="46" t="s">
        <v>62</v>
      </c>
      <c r="T724" s="46" t="s">
        <v>12</v>
      </c>
      <c r="U724" s="46" t="s">
        <v>63</v>
      </c>
    </row>
    <row r="725" spans="1:21">
      <c r="A725" s="66">
        <v>17379937</v>
      </c>
      <c r="B725" s="67" t="s">
        <v>461</v>
      </c>
      <c r="C725" s="52" t="s">
        <v>462</v>
      </c>
      <c r="E725" s="49" t="str">
        <f t="shared" ca="1" si="17"/>
        <v/>
      </c>
      <c r="F725" s="57"/>
      <c r="G725" s="51" t="s">
        <v>23</v>
      </c>
      <c r="I725" s="52" t="s">
        <v>24</v>
      </c>
      <c r="M725" s="53" t="s">
        <v>463</v>
      </c>
      <c r="N725" s="55"/>
      <c r="O725" s="55"/>
    </row>
    <row r="726" spans="1:21">
      <c r="A726" s="66">
        <v>17422012</v>
      </c>
      <c r="B726" s="67" t="s">
        <v>327</v>
      </c>
      <c r="C726" s="52" t="s">
        <v>331</v>
      </c>
      <c r="D726" s="48">
        <v>23665</v>
      </c>
      <c r="E726" s="49">
        <f t="shared" ca="1" si="17"/>
        <v>61.705010647081828</v>
      </c>
      <c r="F726" s="57">
        <v>154784514</v>
      </c>
      <c r="G726" s="51" t="s">
        <v>23</v>
      </c>
      <c r="I726" s="52" t="s">
        <v>24</v>
      </c>
      <c r="M726" s="53" t="s">
        <v>332</v>
      </c>
      <c r="N726" s="55"/>
      <c r="O726" s="55"/>
    </row>
    <row r="727" spans="1:21">
      <c r="A727" s="47">
        <v>17432475</v>
      </c>
      <c r="B727" s="46" t="s">
        <v>685</v>
      </c>
      <c r="C727" s="46" t="s">
        <v>2284</v>
      </c>
      <c r="D727" s="48">
        <v>24002</v>
      </c>
      <c r="E727" s="49">
        <f t="shared" ca="1" si="17"/>
        <v>60.784367410024288</v>
      </c>
      <c r="F727" s="50" t="s">
        <v>4120</v>
      </c>
      <c r="G727" s="51" t="s">
        <v>23</v>
      </c>
      <c r="I727" s="52" t="s">
        <v>4078</v>
      </c>
      <c r="J727" s="46" t="s">
        <v>224</v>
      </c>
      <c r="M727" s="53" t="s">
        <v>4121</v>
      </c>
      <c r="N727" s="46">
        <v>3865483795</v>
      </c>
    </row>
    <row r="728" spans="1:21">
      <c r="A728" s="47">
        <v>17440873</v>
      </c>
      <c r="B728" s="46" t="s">
        <v>5032</v>
      </c>
      <c r="C728" s="52" t="s">
        <v>1748</v>
      </c>
      <c r="E728" s="49" t="str">
        <f t="shared" ca="1" si="17"/>
        <v/>
      </c>
      <c r="G728" s="51" t="s">
        <v>23</v>
      </c>
      <c r="I728" s="65" t="s">
        <v>4954</v>
      </c>
      <c r="J728" s="46" t="s">
        <v>38</v>
      </c>
      <c r="M728" s="53" t="s">
        <v>5033</v>
      </c>
      <c r="N728" s="55"/>
      <c r="O728" s="55"/>
    </row>
    <row r="729" spans="1:21">
      <c r="A729" s="47">
        <v>17442012</v>
      </c>
      <c r="B729" s="69" t="s">
        <v>327</v>
      </c>
      <c r="C729" s="52" t="s">
        <v>331</v>
      </c>
      <c r="E729" s="49" t="str">
        <f t="shared" ca="1" si="17"/>
        <v/>
      </c>
      <c r="G729" s="51" t="s">
        <v>23</v>
      </c>
      <c r="I729" s="52" t="s">
        <v>23</v>
      </c>
      <c r="M729" s="58" t="s">
        <v>25</v>
      </c>
      <c r="N729" s="55"/>
      <c r="O729" s="55"/>
    </row>
    <row r="730" spans="1:21">
      <c r="A730" s="47">
        <v>17458283</v>
      </c>
      <c r="B730" s="46" t="s">
        <v>1163</v>
      </c>
      <c r="C730" s="52" t="s">
        <v>1164</v>
      </c>
      <c r="D730" s="48">
        <v>24126</v>
      </c>
      <c r="E730" s="49">
        <f t="shared" ca="1" si="17"/>
        <v>60.444210053859969</v>
      </c>
      <c r="F730" s="50">
        <v>156310142</v>
      </c>
      <c r="G730" s="51" t="s">
        <v>23</v>
      </c>
      <c r="I730" s="59" t="s">
        <v>908</v>
      </c>
      <c r="J730" s="46" t="s">
        <v>316</v>
      </c>
      <c r="M730" s="53" t="s">
        <v>1165</v>
      </c>
      <c r="N730" s="55">
        <v>4247752</v>
      </c>
      <c r="O730" s="55">
        <v>7069</v>
      </c>
    </row>
    <row r="731" spans="1:21">
      <c r="A731" s="47">
        <v>17458306</v>
      </c>
      <c r="B731" s="46" t="s">
        <v>547</v>
      </c>
      <c r="C731" s="46" t="s">
        <v>548</v>
      </c>
      <c r="D731" s="48" t="s">
        <v>549</v>
      </c>
      <c r="E731" s="49">
        <f t="shared" ca="1" si="17"/>
        <v>60.680326782954296</v>
      </c>
      <c r="F731" s="50" t="s">
        <v>550</v>
      </c>
      <c r="G731" s="51" t="s">
        <v>70</v>
      </c>
      <c r="H731" s="52" t="s">
        <v>439</v>
      </c>
      <c r="I731" s="52" t="s">
        <v>24</v>
      </c>
      <c r="J731" s="46" t="s">
        <v>551</v>
      </c>
      <c r="K731" s="46" t="s">
        <v>390</v>
      </c>
      <c r="L731" s="46" t="s">
        <v>546</v>
      </c>
      <c r="M731" s="52" t="s">
        <v>552</v>
      </c>
      <c r="N731" s="46" t="s">
        <v>553</v>
      </c>
      <c r="O731" s="46" t="s">
        <v>52</v>
      </c>
      <c r="P731" s="46" t="s">
        <v>59</v>
      </c>
      <c r="Q731" s="46" t="s">
        <v>60</v>
      </c>
      <c r="R731" s="46" t="s">
        <v>61</v>
      </c>
      <c r="S731" s="46" t="s">
        <v>62</v>
      </c>
      <c r="T731" s="46" t="s">
        <v>12</v>
      </c>
      <c r="U731" s="46" t="s">
        <v>63</v>
      </c>
    </row>
    <row r="732" spans="1:21">
      <c r="A732" s="66">
        <v>17458569</v>
      </c>
      <c r="B732" s="67" t="s">
        <v>105</v>
      </c>
      <c r="C732" s="52" t="s">
        <v>106</v>
      </c>
      <c r="E732" s="49" t="str">
        <f t="shared" ca="1" si="17"/>
        <v/>
      </c>
      <c r="F732" s="57">
        <v>154433886</v>
      </c>
      <c r="G732" s="51" t="s">
        <v>23</v>
      </c>
      <c r="I732" s="52" t="s">
        <v>24</v>
      </c>
      <c r="M732" s="58" t="s">
        <v>25</v>
      </c>
      <c r="N732" s="55"/>
      <c r="O732" s="55"/>
    </row>
    <row r="733" spans="1:21">
      <c r="A733" s="47">
        <v>17458672</v>
      </c>
      <c r="B733" s="46" t="s">
        <v>2316</v>
      </c>
      <c r="C733" s="46" t="s">
        <v>2317</v>
      </c>
      <c r="D733" s="48" t="s">
        <v>2318</v>
      </c>
      <c r="E733" s="49">
        <f t="shared" ca="1" si="17"/>
        <v>60.499624641201144</v>
      </c>
      <c r="F733" s="50" t="s">
        <v>2319</v>
      </c>
      <c r="G733" s="51" t="s">
        <v>70</v>
      </c>
      <c r="H733" s="52" t="s">
        <v>2320</v>
      </c>
      <c r="I733" s="52" t="s">
        <v>1881</v>
      </c>
      <c r="J733" s="46" t="s">
        <v>52</v>
      </c>
      <c r="K733" s="46" t="s">
        <v>81</v>
      </c>
      <c r="L733" s="46" t="s">
        <v>546</v>
      </c>
      <c r="M733" s="52" t="s">
        <v>2321</v>
      </c>
      <c r="N733" s="46" t="s">
        <v>52</v>
      </c>
      <c r="O733" s="46" t="s">
        <v>52</v>
      </c>
      <c r="P733" s="46" t="s">
        <v>59</v>
      </c>
      <c r="Q733" s="46" t="s">
        <v>60</v>
      </c>
      <c r="R733" s="46" t="s">
        <v>61</v>
      </c>
      <c r="S733" s="46" t="s">
        <v>62</v>
      </c>
      <c r="T733" s="46" t="s">
        <v>12</v>
      </c>
      <c r="U733" s="46" t="s">
        <v>63</v>
      </c>
    </row>
    <row r="734" spans="1:21">
      <c r="A734" s="47">
        <v>17458714</v>
      </c>
      <c r="B734" s="46" t="s">
        <v>3975</v>
      </c>
      <c r="C734" s="52" t="s">
        <v>681</v>
      </c>
      <c r="D734" s="48">
        <v>24049</v>
      </c>
      <c r="E734" s="49">
        <f t="shared" ca="1" si="17"/>
        <v>60.655685581806139</v>
      </c>
      <c r="F734" s="50">
        <v>155026329</v>
      </c>
      <c r="G734" s="51" t="s">
        <v>23</v>
      </c>
      <c r="I734" s="52" t="s">
        <v>3956</v>
      </c>
      <c r="J734" s="46" t="s">
        <v>3976</v>
      </c>
      <c r="M734" s="53" t="s">
        <v>3977</v>
      </c>
      <c r="N734" s="55" t="s">
        <v>3978</v>
      </c>
      <c r="O734" s="55"/>
    </row>
    <row r="735" spans="1:21">
      <c r="A735" s="47">
        <v>17458926</v>
      </c>
      <c r="B735" s="46" t="s">
        <v>2531</v>
      </c>
      <c r="C735" s="52" t="s">
        <v>2532</v>
      </c>
      <c r="D735" s="48" t="s">
        <v>2533</v>
      </c>
      <c r="E735" s="49">
        <f t="shared" ca="1" si="17"/>
        <v>60.762464120114814</v>
      </c>
      <c r="F735" s="50" t="s">
        <v>2534</v>
      </c>
      <c r="G735" s="51" t="s">
        <v>70</v>
      </c>
      <c r="H735" s="52" t="s">
        <v>1780</v>
      </c>
      <c r="I735" s="59" t="s">
        <v>908</v>
      </c>
      <c r="J735" s="46" t="s">
        <v>2535</v>
      </c>
      <c r="K735" s="46" t="s">
        <v>81</v>
      </c>
      <c r="L735" s="46" t="s">
        <v>441</v>
      </c>
      <c r="M735" s="53" t="s">
        <v>2536</v>
      </c>
      <c r="N735" s="55" t="s">
        <v>2537</v>
      </c>
      <c r="O735" s="55" t="s">
        <v>514</v>
      </c>
      <c r="P735" s="46" t="s">
        <v>59</v>
      </c>
      <c r="Q735" s="46" t="s">
        <v>60</v>
      </c>
      <c r="R735" s="46" t="s">
        <v>61</v>
      </c>
      <c r="S735" s="46" t="s">
        <v>62</v>
      </c>
      <c r="T735" s="46" t="s">
        <v>12</v>
      </c>
      <c r="U735" s="46" t="s">
        <v>63</v>
      </c>
    </row>
    <row r="736" spans="1:21">
      <c r="A736" s="47">
        <v>17494043</v>
      </c>
      <c r="B736" s="46" t="s">
        <v>8795</v>
      </c>
      <c r="C736" s="46" t="s">
        <v>6718</v>
      </c>
      <c r="D736" s="48" t="s">
        <v>52</v>
      </c>
      <c r="E736" s="49" t="str">
        <f t="shared" ca="1" si="17"/>
        <v/>
      </c>
      <c r="F736" s="50" t="s">
        <v>6719</v>
      </c>
      <c r="G736" s="51" t="s">
        <v>70</v>
      </c>
      <c r="H736" s="52" t="s">
        <v>6720</v>
      </c>
      <c r="I736" s="52" t="s">
        <v>6624</v>
      </c>
      <c r="J736" s="46" t="s">
        <v>390</v>
      </c>
      <c r="K736" s="46" t="s">
        <v>390</v>
      </c>
      <c r="L736" s="46" t="s">
        <v>546</v>
      </c>
      <c r="M736" s="52" t="s">
        <v>6721</v>
      </c>
      <c r="N736" s="46" t="s">
        <v>52</v>
      </c>
      <c r="O736" s="46" t="s">
        <v>52</v>
      </c>
      <c r="P736" s="46" t="s">
        <v>59</v>
      </c>
      <c r="Q736" s="46" t="s">
        <v>60</v>
      </c>
      <c r="R736" s="46" t="s">
        <v>61</v>
      </c>
      <c r="S736" s="46" t="s">
        <v>62</v>
      </c>
      <c r="T736" s="46" t="s">
        <v>12</v>
      </c>
      <c r="U736" s="46" t="s">
        <v>63</v>
      </c>
    </row>
    <row r="737" spans="1:21">
      <c r="A737" s="47">
        <v>17494092</v>
      </c>
      <c r="B737" s="46" t="s">
        <v>1401</v>
      </c>
      <c r="C737" s="46" t="s">
        <v>1085</v>
      </c>
      <c r="D737" s="48" t="s">
        <v>52</v>
      </c>
      <c r="E737" s="49" t="str">
        <f t="shared" ca="1" si="17"/>
        <v/>
      </c>
      <c r="F737" s="50" t="s">
        <v>1402</v>
      </c>
      <c r="G737" s="51" t="s">
        <v>70</v>
      </c>
      <c r="H737" s="52" t="s">
        <v>1306</v>
      </c>
      <c r="I737" s="59" t="s">
        <v>908</v>
      </c>
      <c r="J737" s="46" t="s">
        <v>1403</v>
      </c>
      <c r="K737" s="46" t="s">
        <v>390</v>
      </c>
      <c r="L737" s="46" t="s">
        <v>546</v>
      </c>
      <c r="M737" s="52" t="s">
        <v>1404</v>
      </c>
      <c r="N737" s="46" t="s">
        <v>931</v>
      </c>
      <c r="O737" s="46" t="s">
        <v>1405</v>
      </c>
      <c r="P737" s="46" t="s">
        <v>59</v>
      </c>
      <c r="Q737" s="46" t="s">
        <v>60</v>
      </c>
      <c r="R737" s="46" t="s">
        <v>61</v>
      </c>
      <c r="S737" s="46" t="s">
        <v>62</v>
      </c>
      <c r="T737" s="46" t="s">
        <v>12</v>
      </c>
      <c r="U737" s="46" t="s">
        <v>63</v>
      </c>
    </row>
    <row r="738" spans="1:21">
      <c r="A738" s="47">
        <v>17494339</v>
      </c>
      <c r="B738" s="46" t="s">
        <v>547</v>
      </c>
      <c r="C738" s="46" t="s">
        <v>566</v>
      </c>
      <c r="D738" s="48" t="s">
        <v>52</v>
      </c>
      <c r="E738" s="49" t="str">
        <f t="shared" ca="1" si="17"/>
        <v/>
      </c>
      <c r="F738" s="50" t="s">
        <v>567</v>
      </c>
      <c r="G738" s="51" t="s">
        <v>70</v>
      </c>
      <c r="H738" s="52" t="s">
        <v>568</v>
      </c>
      <c r="I738" s="52" t="s">
        <v>24</v>
      </c>
      <c r="J738" s="46" t="s">
        <v>52</v>
      </c>
      <c r="K738" s="46" t="s">
        <v>390</v>
      </c>
      <c r="L738" s="46" t="s">
        <v>546</v>
      </c>
      <c r="M738" s="52" t="s">
        <v>569</v>
      </c>
      <c r="N738" s="46" t="s">
        <v>52</v>
      </c>
      <c r="O738" s="46" t="s">
        <v>52</v>
      </c>
      <c r="P738" s="46" t="s">
        <v>59</v>
      </c>
      <c r="Q738" s="46" t="s">
        <v>60</v>
      </c>
      <c r="R738" s="46" t="s">
        <v>61</v>
      </c>
      <c r="S738" s="46" t="s">
        <v>62</v>
      </c>
      <c r="T738" s="46" t="s">
        <v>12</v>
      </c>
      <c r="U738" s="46" t="s">
        <v>63</v>
      </c>
    </row>
    <row r="739" spans="1:21">
      <c r="A739" s="47">
        <v>17494773</v>
      </c>
      <c r="B739" s="46" t="s">
        <v>2795</v>
      </c>
      <c r="C739" s="46" t="s">
        <v>504</v>
      </c>
      <c r="D739" s="48">
        <v>24464</v>
      </c>
      <c r="E739" s="49">
        <f t="shared" ca="1" si="17"/>
        <v>59.518806104129268</v>
      </c>
      <c r="G739" s="51" t="s">
        <v>23</v>
      </c>
      <c r="I739" s="52" t="s">
        <v>5494</v>
      </c>
      <c r="J739" s="46" t="s">
        <v>5677</v>
      </c>
      <c r="M739" s="53" t="s">
        <v>5678</v>
      </c>
    </row>
    <row r="740" spans="1:21">
      <c r="A740" s="47">
        <v>17494803</v>
      </c>
      <c r="B740" s="46" t="s">
        <v>734</v>
      </c>
      <c r="C740" s="46" t="s">
        <v>735</v>
      </c>
      <c r="D740" s="48">
        <v>24017</v>
      </c>
      <c r="E740" s="49">
        <f t="shared" ca="1" si="17"/>
        <v>60.743298741444029</v>
      </c>
      <c r="F740" s="50">
        <v>4943419</v>
      </c>
      <c r="G740" s="51" t="s">
        <v>141</v>
      </c>
      <c r="I740" s="52" t="s">
        <v>594</v>
      </c>
      <c r="J740" s="46" t="s">
        <v>38</v>
      </c>
      <c r="M740" s="58" t="s">
        <v>25</v>
      </c>
      <c r="P740" s="46">
        <v>3</v>
      </c>
    </row>
    <row r="741" spans="1:21">
      <c r="A741" s="47">
        <v>17505908</v>
      </c>
      <c r="B741" s="46" t="s">
        <v>350</v>
      </c>
      <c r="C741" s="46" t="s">
        <v>2684</v>
      </c>
      <c r="D741" s="48">
        <v>24041</v>
      </c>
      <c r="E741" s="49">
        <f t="shared" ca="1" si="17"/>
        <v>60.677588871715606</v>
      </c>
      <c r="F741" s="50">
        <v>156108220</v>
      </c>
      <c r="G741" s="51" t="s">
        <v>70</v>
      </c>
      <c r="I741" s="52" t="s">
        <v>3630</v>
      </c>
      <c r="J741" s="46" t="s">
        <v>3362</v>
      </c>
      <c r="M741" s="53" t="s">
        <v>3796</v>
      </c>
      <c r="P741" s="46">
        <v>1</v>
      </c>
    </row>
    <row r="742" spans="1:21">
      <c r="A742" s="47">
        <v>17523461</v>
      </c>
      <c r="B742" s="46" t="s">
        <v>574</v>
      </c>
      <c r="C742" s="46" t="s">
        <v>571</v>
      </c>
      <c r="D742" s="48" t="s">
        <v>5222</v>
      </c>
      <c r="E742" s="49">
        <f t="shared" ca="1" si="17"/>
        <v>60.759726208876131</v>
      </c>
      <c r="F742" s="50" t="s">
        <v>5223</v>
      </c>
      <c r="G742" s="51" t="s">
        <v>78</v>
      </c>
      <c r="H742" s="52" t="s">
        <v>5224</v>
      </c>
      <c r="I742" s="52" t="s">
        <v>5176</v>
      </c>
      <c r="J742" s="46" t="s">
        <v>5225</v>
      </c>
      <c r="K742" s="46" t="s">
        <v>81</v>
      </c>
      <c r="L742" s="46" t="s">
        <v>52</v>
      </c>
      <c r="M742" s="52" t="s">
        <v>5226</v>
      </c>
      <c r="N742" s="46" t="s">
        <v>5184</v>
      </c>
      <c r="O742" s="46" t="s">
        <v>2641</v>
      </c>
      <c r="P742" s="46" t="s">
        <v>59</v>
      </c>
      <c r="Q742" s="46" t="s">
        <v>60</v>
      </c>
      <c r="R742" s="46" t="s">
        <v>61</v>
      </c>
      <c r="S742" s="46" t="s">
        <v>62</v>
      </c>
      <c r="T742" s="46" t="s">
        <v>12</v>
      </c>
      <c r="U742" s="46" t="s">
        <v>63</v>
      </c>
    </row>
    <row r="743" spans="1:21">
      <c r="A743" s="47">
        <v>17543711</v>
      </c>
      <c r="B743" s="46" t="s">
        <v>195</v>
      </c>
      <c r="C743" s="46" t="s">
        <v>296</v>
      </c>
      <c r="D743" s="48">
        <v>24167</v>
      </c>
      <c r="E743" s="49">
        <f t="shared" ca="1" si="17"/>
        <v>60.33195691202873</v>
      </c>
      <c r="F743" s="50">
        <v>155715959</v>
      </c>
      <c r="G743" s="51" t="s">
        <v>86</v>
      </c>
      <c r="I743" s="52" t="s">
        <v>2906</v>
      </c>
      <c r="J743" s="46" t="s">
        <v>2685</v>
      </c>
      <c r="M743" s="52" t="s">
        <v>2907</v>
      </c>
      <c r="N743" s="46">
        <v>4201589</v>
      </c>
      <c r="O743" s="46">
        <v>17</v>
      </c>
      <c r="P743" s="46">
        <v>3</v>
      </c>
    </row>
    <row r="744" spans="1:21">
      <c r="A744" s="47">
        <v>17562419</v>
      </c>
      <c r="B744" s="46" t="s">
        <v>4779</v>
      </c>
      <c r="C744" s="46" t="s">
        <v>1061</v>
      </c>
      <c r="E744" s="49" t="str">
        <f t="shared" ca="1" si="17"/>
        <v/>
      </c>
      <c r="F744" s="50">
        <v>3815158149</v>
      </c>
      <c r="G744" s="51" t="s">
        <v>78</v>
      </c>
      <c r="I744" s="65" t="s">
        <v>4708</v>
      </c>
      <c r="M744" s="53" t="s">
        <v>4780</v>
      </c>
      <c r="N744" s="46">
        <v>4847332</v>
      </c>
    </row>
    <row r="745" spans="1:21">
      <c r="A745" s="47">
        <v>17574425</v>
      </c>
      <c r="B745" s="46" t="s">
        <v>633</v>
      </c>
      <c r="C745" s="52" t="s">
        <v>634</v>
      </c>
      <c r="D745" s="48">
        <v>23762</v>
      </c>
      <c r="E745" s="49">
        <f t="shared" ca="1" si="17"/>
        <v>61.441466107308457</v>
      </c>
      <c r="F745" s="50">
        <v>3863436152</v>
      </c>
      <c r="G745" s="51" t="s">
        <v>23</v>
      </c>
      <c r="I745" s="52" t="s">
        <v>594</v>
      </c>
      <c r="J745" s="46" t="s">
        <v>635</v>
      </c>
      <c r="M745" s="53" t="s">
        <v>636</v>
      </c>
      <c r="N745" s="55"/>
      <c r="O745" s="55"/>
    </row>
    <row r="746" spans="1:21">
      <c r="A746" s="47">
        <v>17574485</v>
      </c>
      <c r="B746" s="46" t="s">
        <v>633</v>
      </c>
      <c r="C746" s="52" t="s">
        <v>639</v>
      </c>
      <c r="D746" s="48">
        <v>24035</v>
      </c>
      <c r="E746" s="49">
        <f t="shared" ca="1" si="17"/>
        <v>60.694016339147716</v>
      </c>
      <c r="G746" s="51" t="s">
        <v>141</v>
      </c>
      <c r="I746" s="52" t="s">
        <v>594</v>
      </c>
      <c r="J746" s="46" t="s">
        <v>38</v>
      </c>
      <c r="M746" s="53" t="s">
        <v>636</v>
      </c>
      <c r="N746" s="55">
        <v>4244394</v>
      </c>
      <c r="O746" s="55">
        <v>208</v>
      </c>
    </row>
    <row r="747" spans="1:21">
      <c r="A747" s="47">
        <v>17574495</v>
      </c>
      <c r="B747" s="46" t="s">
        <v>633</v>
      </c>
      <c r="C747" s="55" t="s">
        <v>634</v>
      </c>
      <c r="D747" s="48">
        <v>24035</v>
      </c>
      <c r="E747" s="49">
        <f t="shared" ca="1" si="17"/>
        <v>60.694016339147716</v>
      </c>
      <c r="F747" s="50">
        <v>3863436152</v>
      </c>
      <c r="G747" s="51" t="s">
        <v>70</v>
      </c>
      <c r="I747" s="52" t="s">
        <v>594</v>
      </c>
      <c r="J747" s="46" t="s">
        <v>637</v>
      </c>
      <c r="M747" s="53" t="s">
        <v>636</v>
      </c>
    </row>
    <row r="748" spans="1:21">
      <c r="A748" s="47">
        <v>17584975</v>
      </c>
      <c r="B748" s="46" t="s">
        <v>5726</v>
      </c>
      <c r="C748" s="52" t="s">
        <v>74</v>
      </c>
      <c r="E748" s="49" t="str">
        <f t="shared" ca="1" si="17"/>
        <v/>
      </c>
      <c r="F748" s="50">
        <v>155802231</v>
      </c>
      <c r="G748" s="51" t="s">
        <v>23</v>
      </c>
      <c r="I748" s="52" t="s">
        <v>5494</v>
      </c>
      <c r="M748" s="58" t="s">
        <v>25</v>
      </c>
      <c r="N748" s="55">
        <v>4221692</v>
      </c>
      <c r="O748" s="55"/>
    </row>
    <row r="749" spans="1:21">
      <c r="A749" s="47">
        <v>17600492</v>
      </c>
      <c r="B749" s="46" t="s">
        <v>207</v>
      </c>
      <c r="C749" s="46" t="s">
        <v>209</v>
      </c>
      <c r="E749" s="49" t="str">
        <f t="shared" ca="1" si="17"/>
        <v/>
      </c>
      <c r="F749" s="50">
        <v>156683187</v>
      </c>
      <c r="G749" s="51" t="s">
        <v>141</v>
      </c>
      <c r="I749" s="52" t="s">
        <v>24</v>
      </c>
      <c r="M749" s="58" t="s">
        <v>25</v>
      </c>
    </row>
    <row r="750" spans="1:21">
      <c r="A750" s="47">
        <v>17613317</v>
      </c>
      <c r="B750" s="46" t="s">
        <v>3895</v>
      </c>
      <c r="C750" s="46" t="s">
        <v>3896</v>
      </c>
      <c r="D750" s="48">
        <v>24124</v>
      </c>
      <c r="E750" s="49">
        <f t="shared" ca="1" si="17"/>
        <v>60.449685816876126</v>
      </c>
      <c r="F750" s="50">
        <v>155319705</v>
      </c>
      <c r="G750" s="51" t="s">
        <v>23</v>
      </c>
      <c r="I750" s="52" t="s">
        <v>3630</v>
      </c>
      <c r="J750" s="46" t="s">
        <v>38</v>
      </c>
      <c r="M750" s="53" t="s">
        <v>3897</v>
      </c>
    </row>
    <row r="751" spans="1:21">
      <c r="A751" s="47">
        <v>17613398</v>
      </c>
      <c r="B751" s="46" t="s">
        <v>6100</v>
      </c>
      <c r="C751" s="52" t="s">
        <v>5205</v>
      </c>
      <c r="D751" s="48">
        <v>24169</v>
      </c>
      <c r="E751" s="49">
        <f t="shared" ca="1" si="17"/>
        <v>60.326481149012565</v>
      </c>
      <c r="F751" s="50">
        <v>156782730</v>
      </c>
      <c r="G751" s="51" t="s">
        <v>23</v>
      </c>
      <c r="I751" s="52" t="s">
        <v>23</v>
      </c>
      <c r="M751" s="52" t="s">
        <v>6101</v>
      </c>
      <c r="N751" s="55"/>
      <c r="O751" s="55"/>
    </row>
    <row r="752" spans="1:21">
      <c r="A752" s="47">
        <v>17613465</v>
      </c>
      <c r="B752" s="46" t="s">
        <v>2840</v>
      </c>
      <c r="C752" s="55" t="s">
        <v>687</v>
      </c>
      <c r="D752" s="48">
        <v>24057</v>
      </c>
      <c r="E752" s="49">
        <f t="shared" ca="1" si="17"/>
        <v>60.633782291896665</v>
      </c>
      <c r="F752" s="50">
        <v>155894079</v>
      </c>
      <c r="G752" s="51" t="s">
        <v>141</v>
      </c>
      <c r="I752" s="52" t="s">
        <v>23</v>
      </c>
      <c r="J752" s="55"/>
      <c r="K752" s="55"/>
      <c r="L752" s="55"/>
      <c r="M752" s="53" t="s">
        <v>6385</v>
      </c>
      <c r="N752" s="55"/>
      <c r="O752" s="55"/>
    </row>
    <row r="753" spans="1:21">
      <c r="A753" s="47">
        <v>17613698</v>
      </c>
      <c r="B753" s="46" t="s">
        <v>983</v>
      </c>
      <c r="C753" s="55" t="s">
        <v>984</v>
      </c>
      <c r="D753" s="48">
        <v>24035</v>
      </c>
      <c r="E753" s="49">
        <f t="shared" ca="1" si="17"/>
        <v>60.694016339147716</v>
      </c>
      <c r="G753" s="51" t="s">
        <v>86</v>
      </c>
      <c r="I753" s="59" t="s">
        <v>908</v>
      </c>
      <c r="J753" s="55"/>
      <c r="K753" s="55"/>
      <c r="L753" s="55"/>
      <c r="M753" s="53" t="s">
        <v>985</v>
      </c>
      <c r="N753" s="55">
        <v>4247752</v>
      </c>
      <c r="O753" s="55">
        <v>7098</v>
      </c>
    </row>
    <row r="754" spans="1:21">
      <c r="A754" s="47">
        <v>17613733</v>
      </c>
      <c r="B754" s="46" t="s">
        <v>883</v>
      </c>
      <c r="C754" s="46" t="s">
        <v>1652</v>
      </c>
      <c r="D754" s="48">
        <v>24199</v>
      </c>
      <c r="E754" s="49">
        <f t="shared" ca="1" si="17"/>
        <v>60.244344703770196</v>
      </c>
      <c r="F754" s="50">
        <v>155243398</v>
      </c>
      <c r="G754" s="51" t="s">
        <v>86</v>
      </c>
      <c r="I754" s="52" t="s">
        <v>1497</v>
      </c>
      <c r="J754" s="46" t="s">
        <v>1653</v>
      </c>
      <c r="M754" s="53" t="s">
        <v>1654</v>
      </c>
      <c r="N754" s="46">
        <v>4330633</v>
      </c>
      <c r="O754" s="46">
        <v>212</v>
      </c>
      <c r="P754" s="46">
        <v>1</v>
      </c>
    </row>
    <row r="755" spans="1:21">
      <c r="A755" s="60">
        <v>17613901</v>
      </c>
      <c r="B755" s="61" t="s">
        <v>5082</v>
      </c>
      <c r="C755" s="62" t="s">
        <v>5083</v>
      </c>
      <c r="D755" s="48">
        <v>23999</v>
      </c>
      <c r="E755" s="49">
        <f t="shared" ca="1" si="17"/>
        <v>60.792581143740335</v>
      </c>
      <c r="F755" s="63">
        <v>154907371</v>
      </c>
      <c r="G755" s="51" t="s">
        <v>23</v>
      </c>
      <c r="I755" s="52" t="s">
        <v>4954</v>
      </c>
      <c r="J755" s="61" t="s">
        <v>48</v>
      </c>
      <c r="K755" s="61"/>
      <c r="L755" s="61"/>
      <c r="M755" s="53" t="s">
        <v>5084</v>
      </c>
      <c r="N755" s="55"/>
      <c r="O755" s="55"/>
    </row>
    <row r="756" spans="1:21">
      <c r="A756" s="74">
        <v>17614040</v>
      </c>
      <c r="B756" s="234" t="s">
        <v>9902</v>
      </c>
      <c r="C756" s="234" t="s">
        <v>7427</v>
      </c>
      <c r="D756" s="235">
        <v>23983</v>
      </c>
      <c r="E756" s="236"/>
      <c r="F756" s="237">
        <v>3812207567</v>
      </c>
      <c r="G756" s="234" t="s">
        <v>70</v>
      </c>
      <c r="H756" s="238" t="s">
        <v>9968</v>
      </c>
      <c r="I756" s="238" t="s">
        <v>4245</v>
      </c>
      <c r="J756" s="234" t="s">
        <v>10004</v>
      </c>
      <c r="K756" s="234" t="s">
        <v>9983</v>
      </c>
      <c r="L756" s="234"/>
      <c r="M756" s="238" t="s">
        <v>9936</v>
      </c>
      <c r="N756" s="234"/>
      <c r="O756" s="234"/>
      <c r="P756" s="234"/>
      <c r="Q756" s="234"/>
      <c r="R756" s="234"/>
      <c r="S756" s="234"/>
      <c r="T756" s="234"/>
      <c r="U756" s="234"/>
    </row>
    <row r="757" spans="1:21">
      <c r="A757" s="47">
        <v>17614178</v>
      </c>
      <c r="B757" s="46" t="s">
        <v>1787</v>
      </c>
      <c r="C757" s="46" t="s">
        <v>3592</v>
      </c>
      <c r="D757" s="48">
        <v>23885</v>
      </c>
      <c r="E757" s="49">
        <f t="shared" ref="E757:E783" ca="1" si="18">IF(D757="","",YEARFRAC(D757,TODAY(),1))</f>
        <v>61.104703024950318</v>
      </c>
      <c r="F757" s="50">
        <v>155895965</v>
      </c>
      <c r="G757" s="51" t="s">
        <v>70</v>
      </c>
      <c r="I757" s="65" t="s">
        <v>4954</v>
      </c>
      <c r="J757" s="46" t="s">
        <v>820</v>
      </c>
      <c r="M757" s="53" t="s">
        <v>5097</v>
      </c>
      <c r="N757" s="46">
        <v>4247752</v>
      </c>
      <c r="O757" s="46">
        <v>7196</v>
      </c>
      <c r="P757" s="46">
        <v>3</v>
      </c>
    </row>
    <row r="758" spans="1:21">
      <c r="A758" s="47">
        <v>17614415</v>
      </c>
      <c r="B758" s="46" t="s">
        <v>533</v>
      </c>
      <c r="C758" s="46" t="s">
        <v>534</v>
      </c>
      <c r="D758" s="48" t="s">
        <v>535</v>
      </c>
      <c r="E758" s="49">
        <f t="shared" ca="1" si="18"/>
        <v>61.457893574740559</v>
      </c>
      <c r="F758" s="50" t="s">
        <v>536</v>
      </c>
      <c r="G758" s="51" t="s">
        <v>70</v>
      </c>
      <c r="H758" s="52" t="s">
        <v>537</v>
      </c>
      <c r="I758" s="52" t="s">
        <v>24</v>
      </c>
      <c r="J758" s="46" t="s">
        <v>538</v>
      </c>
      <c r="K758" s="46" t="s">
        <v>390</v>
      </c>
      <c r="L758" s="46" t="s">
        <v>539</v>
      </c>
      <c r="M758" s="52" t="s">
        <v>540</v>
      </c>
      <c r="N758" s="46" t="s">
        <v>52</v>
      </c>
      <c r="O758" s="46" t="s">
        <v>52</v>
      </c>
      <c r="P758" s="46" t="s">
        <v>59</v>
      </c>
      <c r="Q758" s="46" t="s">
        <v>60</v>
      </c>
      <c r="R758" s="46" t="s">
        <v>61</v>
      </c>
      <c r="S758" s="46" t="s">
        <v>62</v>
      </c>
      <c r="T758" s="46" t="s">
        <v>12</v>
      </c>
      <c r="U758" s="46" t="s">
        <v>63</v>
      </c>
    </row>
    <row r="759" spans="1:21">
      <c r="A759" s="47">
        <v>17614844</v>
      </c>
      <c r="B759" s="46" t="s">
        <v>1266</v>
      </c>
      <c r="C759" s="52" t="s">
        <v>215</v>
      </c>
      <c r="D759" s="48">
        <v>24248</v>
      </c>
      <c r="E759" s="49">
        <f t="shared" ca="1" si="18"/>
        <v>60.110188509874327</v>
      </c>
      <c r="F759" s="50">
        <v>155086621</v>
      </c>
      <c r="G759" s="51" t="s">
        <v>23</v>
      </c>
      <c r="I759" s="59" t="s">
        <v>908</v>
      </c>
      <c r="M759" s="53" t="s">
        <v>1267</v>
      </c>
      <c r="N759" s="55" t="s">
        <v>1268</v>
      </c>
      <c r="O759" s="55"/>
    </row>
    <row r="760" spans="1:21">
      <c r="A760" s="47">
        <v>17614867</v>
      </c>
      <c r="B760" s="46" t="s">
        <v>1735</v>
      </c>
      <c r="C760" s="55" t="s">
        <v>1736</v>
      </c>
      <c r="E760" s="49" t="str">
        <f t="shared" ca="1" si="18"/>
        <v/>
      </c>
      <c r="F760" s="50">
        <v>154425155</v>
      </c>
      <c r="G760" s="51" t="s">
        <v>70</v>
      </c>
      <c r="I760" s="52" t="s">
        <v>1657</v>
      </c>
      <c r="J760" s="46" t="s">
        <v>316</v>
      </c>
      <c r="M760" s="53" t="s">
        <v>1737</v>
      </c>
    </row>
    <row r="761" spans="1:21">
      <c r="A761" s="47">
        <v>17614893</v>
      </c>
      <c r="B761" s="46" t="s">
        <v>5748</v>
      </c>
      <c r="C761" s="46" t="s">
        <v>5749</v>
      </c>
      <c r="D761" s="48" t="s">
        <v>52</v>
      </c>
      <c r="E761" s="49" t="str">
        <f t="shared" ca="1" si="18"/>
        <v/>
      </c>
      <c r="F761" s="50" t="s">
        <v>5750</v>
      </c>
      <c r="G761" s="51" t="s">
        <v>70</v>
      </c>
      <c r="H761" s="52" t="s">
        <v>2320</v>
      </c>
      <c r="I761" s="52" t="s">
        <v>5494</v>
      </c>
      <c r="J761" s="46" t="s">
        <v>52</v>
      </c>
      <c r="K761" s="46" t="s">
        <v>52</v>
      </c>
      <c r="L761" s="46" t="s">
        <v>546</v>
      </c>
      <c r="M761" s="52" t="s">
        <v>5751</v>
      </c>
      <c r="N761" s="46" t="s">
        <v>5752</v>
      </c>
      <c r="O761" s="46" t="s">
        <v>52</v>
      </c>
      <c r="P761" s="46" t="s">
        <v>59</v>
      </c>
      <c r="Q761" s="46" t="s">
        <v>60</v>
      </c>
      <c r="R761" s="46" t="s">
        <v>61</v>
      </c>
      <c r="S761" s="46" t="s">
        <v>62</v>
      </c>
      <c r="T761" s="46" t="s">
        <v>12</v>
      </c>
      <c r="U761" s="46" t="s">
        <v>63</v>
      </c>
    </row>
    <row r="762" spans="1:21">
      <c r="A762" s="47">
        <v>17614923</v>
      </c>
      <c r="B762" s="46" t="s">
        <v>690</v>
      </c>
      <c r="C762" s="46" t="s">
        <v>922</v>
      </c>
      <c r="D762" s="48" t="s">
        <v>52</v>
      </c>
      <c r="E762" s="49" t="str">
        <f t="shared" ca="1" si="18"/>
        <v/>
      </c>
      <c r="F762" s="50" t="s">
        <v>3079</v>
      </c>
      <c r="G762" s="51" t="s">
        <v>86</v>
      </c>
      <c r="H762" s="52" t="s">
        <v>52</v>
      </c>
      <c r="I762" s="52" t="s">
        <v>2926</v>
      </c>
      <c r="J762" s="46" t="s">
        <v>3080</v>
      </c>
      <c r="K762" s="46" t="s">
        <v>81</v>
      </c>
      <c r="L762" s="46" t="s">
        <v>546</v>
      </c>
      <c r="M762" s="52" t="s">
        <v>3081</v>
      </c>
      <c r="N762" s="46" t="s">
        <v>52</v>
      </c>
      <c r="O762" s="46" t="s">
        <v>52</v>
      </c>
      <c r="P762" s="46" t="s">
        <v>59</v>
      </c>
      <c r="Q762" s="46" t="s">
        <v>60</v>
      </c>
      <c r="R762" s="46" t="s">
        <v>61</v>
      </c>
      <c r="S762" s="46" t="s">
        <v>62</v>
      </c>
      <c r="T762" s="46" t="s">
        <v>12</v>
      </c>
      <c r="U762" s="46" t="s">
        <v>63</v>
      </c>
    </row>
    <row r="763" spans="1:21">
      <c r="A763" s="47">
        <v>17614936</v>
      </c>
      <c r="B763" s="46" t="s">
        <v>5596</v>
      </c>
      <c r="C763" s="52" t="s">
        <v>215</v>
      </c>
      <c r="D763" s="48" t="s">
        <v>52</v>
      </c>
      <c r="E763" s="49" t="str">
        <f t="shared" ca="1" si="18"/>
        <v/>
      </c>
      <c r="F763" s="50" t="s">
        <v>5597</v>
      </c>
      <c r="G763" s="51" t="s">
        <v>70</v>
      </c>
      <c r="H763" s="52" t="s">
        <v>2656</v>
      </c>
      <c r="I763" s="52" t="s">
        <v>5494</v>
      </c>
      <c r="J763" s="46" t="s">
        <v>5598</v>
      </c>
      <c r="K763" s="46" t="s">
        <v>159</v>
      </c>
      <c r="L763" s="46" t="s">
        <v>52</v>
      </c>
      <c r="M763" s="53" t="s">
        <v>2076</v>
      </c>
      <c r="N763" s="55" t="s">
        <v>5599</v>
      </c>
      <c r="O763" s="55" t="s">
        <v>52</v>
      </c>
      <c r="P763" s="46" t="s">
        <v>59</v>
      </c>
      <c r="Q763" s="46" t="s">
        <v>60</v>
      </c>
      <c r="R763" s="46" t="s">
        <v>61</v>
      </c>
      <c r="S763" s="46" t="s">
        <v>62</v>
      </c>
      <c r="T763" s="46" t="s">
        <v>12</v>
      </c>
      <c r="U763" s="46" t="s">
        <v>63</v>
      </c>
    </row>
    <row r="764" spans="1:21">
      <c r="A764" s="47">
        <v>17615005</v>
      </c>
      <c r="B764" s="46" t="s">
        <v>4752</v>
      </c>
      <c r="C764" s="46" t="s">
        <v>5741</v>
      </c>
      <c r="D764" s="48" t="s">
        <v>5742</v>
      </c>
      <c r="E764" s="49">
        <f t="shared" ca="1" si="18"/>
        <v>60.934952528151911</v>
      </c>
      <c r="F764" s="50" t="s">
        <v>5743</v>
      </c>
      <c r="G764" s="51" t="s">
        <v>70</v>
      </c>
      <c r="H764" s="52" t="s">
        <v>5744</v>
      </c>
      <c r="I764" s="52" t="s">
        <v>5494</v>
      </c>
      <c r="J764" s="46" t="s">
        <v>5745</v>
      </c>
      <c r="K764" s="46" t="s">
        <v>81</v>
      </c>
      <c r="L764" s="46" t="s">
        <v>546</v>
      </c>
      <c r="M764" s="52" t="s">
        <v>5746</v>
      </c>
      <c r="N764" s="46" t="s">
        <v>5747</v>
      </c>
      <c r="O764" s="46" t="s">
        <v>52</v>
      </c>
      <c r="P764" s="46" t="s">
        <v>59</v>
      </c>
      <c r="Q764" s="46" t="s">
        <v>60</v>
      </c>
      <c r="R764" s="46" t="s">
        <v>61</v>
      </c>
      <c r="S764" s="46" t="s">
        <v>62</v>
      </c>
      <c r="T764" s="46" t="s">
        <v>12</v>
      </c>
      <c r="U764" s="46" t="s">
        <v>63</v>
      </c>
    </row>
    <row r="765" spans="1:21">
      <c r="A765" s="64">
        <v>17615047</v>
      </c>
      <c r="B765" s="61" t="s">
        <v>2966</v>
      </c>
      <c r="C765" s="62" t="s">
        <v>6143</v>
      </c>
      <c r="D765" s="48">
        <v>22972</v>
      </c>
      <c r="E765" s="49">
        <f t="shared" ca="1" si="18"/>
        <v>63.60368139505497</v>
      </c>
      <c r="F765" s="63">
        <v>156246674</v>
      </c>
      <c r="G765" s="51" t="s">
        <v>23</v>
      </c>
      <c r="I765" s="52" t="s">
        <v>23</v>
      </c>
      <c r="J765" s="61" t="s">
        <v>48</v>
      </c>
      <c r="K765" s="61"/>
      <c r="L765" s="61"/>
      <c r="M765" s="58" t="s">
        <v>25</v>
      </c>
      <c r="N765" s="55"/>
      <c r="O765" s="55"/>
    </row>
    <row r="766" spans="1:21">
      <c r="A766" s="47">
        <v>17655489</v>
      </c>
      <c r="B766" s="46" t="s">
        <v>1973</v>
      </c>
      <c r="C766" s="46" t="s">
        <v>106</v>
      </c>
      <c r="D766" s="48">
        <v>24632</v>
      </c>
      <c r="E766" s="49">
        <f t="shared" ca="1" si="18"/>
        <v>59.058179329226554</v>
      </c>
      <c r="G766" s="51" t="s">
        <v>70</v>
      </c>
      <c r="I766" s="65" t="s">
        <v>4954</v>
      </c>
      <c r="J766" s="46" t="s">
        <v>38</v>
      </c>
      <c r="M766" s="58" t="s">
        <v>25</v>
      </c>
    </row>
    <row r="767" spans="1:21">
      <c r="A767" s="47">
        <v>17655542</v>
      </c>
      <c r="B767" s="46" t="s">
        <v>1385</v>
      </c>
      <c r="C767" s="46" t="s">
        <v>27</v>
      </c>
      <c r="D767" s="48" t="s">
        <v>52</v>
      </c>
      <c r="E767" s="49" t="str">
        <f t="shared" ca="1" si="18"/>
        <v/>
      </c>
      <c r="F767" s="50" t="s">
        <v>3121</v>
      </c>
      <c r="G767" s="51" t="s">
        <v>70</v>
      </c>
      <c r="H767" s="52" t="s">
        <v>52</v>
      </c>
      <c r="I767" s="52" t="s">
        <v>2926</v>
      </c>
      <c r="J767" s="46" t="s">
        <v>52</v>
      </c>
      <c r="K767" s="46" t="s">
        <v>81</v>
      </c>
      <c r="L767" s="46" t="s">
        <v>546</v>
      </c>
      <c r="M767" s="52" t="s">
        <v>582</v>
      </c>
      <c r="N767" s="46" t="s">
        <v>52</v>
      </c>
      <c r="O767" s="46" t="s">
        <v>52</v>
      </c>
      <c r="P767" s="46" t="s">
        <v>59</v>
      </c>
      <c r="Q767" s="46" t="s">
        <v>60</v>
      </c>
      <c r="R767" s="46" t="s">
        <v>61</v>
      </c>
      <c r="S767" s="46" t="s">
        <v>62</v>
      </c>
      <c r="T767" s="46" t="s">
        <v>12</v>
      </c>
      <c r="U767" s="46" t="s">
        <v>63</v>
      </c>
    </row>
    <row r="768" spans="1:21">
      <c r="A768" s="47">
        <v>17662739</v>
      </c>
      <c r="B768" s="46" t="s">
        <v>6233</v>
      </c>
      <c r="C768" s="55" t="s">
        <v>1173</v>
      </c>
      <c r="D768" s="48">
        <v>24062</v>
      </c>
      <c r="E768" s="49">
        <f t="shared" ca="1" si="18"/>
        <v>60.620092735703246</v>
      </c>
      <c r="F768" s="50">
        <v>155114698</v>
      </c>
      <c r="G768" s="51" t="s">
        <v>70</v>
      </c>
      <c r="I768" s="52" t="s">
        <v>23</v>
      </c>
      <c r="J768" s="46" t="s">
        <v>1590</v>
      </c>
      <c r="M768" s="53" t="s">
        <v>6234</v>
      </c>
    </row>
    <row r="769" spans="1:21">
      <c r="A769" s="47">
        <v>17696330</v>
      </c>
      <c r="B769" s="46" t="s">
        <v>2299</v>
      </c>
      <c r="C769" s="55" t="s">
        <v>747</v>
      </c>
      <c r="D769" s="48">
        <v>24141</v>
      </c>
      <c r="E769" s="49">
        <f t="shared" ca="1" si="18"/>
        <v>60.403141831238777</v>
      </c>
      <c r="F769" s="50">
        <v>154748798</v>
      </c>
      <c r="G769" s="51" t="s">
        <v>86</v>
      </c>
      <c r="I769" s="52" t="s">
        <v>1881</v>
      </c>
      <c r="J769" s="55" t="s">
        <v>2300</v>
      </c>
      <c r="K769" s="55"/>
      <c r="L769" s="55"/>
      <c r="M769" s="53" t="s">
        <v>2301</v>
      </c>
      <c r="N769" s="55">
        <v>4364093</v>
      </c>
      <c r="O769" s="55">
        <v>7846</v>
      </c>
    </row>
    <row r="770" spans="1:21">
      <c r="A770" s="47">
        <v>17696485</v>
      </c>
      <c r="B770" s="46" t="s">
        <v>4282</v>
      </c>
      <c r="C770" s="52" t="s">
        <v>4283</v>
      </c>
      <c r="E770" s="49" t="str">
        <f t="shared" ca="1" si="18"/>
        <v/>
      </c>
      <c r="F770" s="50">
        <v>154561955</v>
      </c>
      <c r="G770" s="51" t="s">
        <v>78</v>
      </c>
      <c r="I770" s="52" t="s">
        <v>4245</v>
      </c>
      <c r="J770" s="46" t="s">
        <v>1465</v>
      </c>
      <c r="M770" s="53" t="s">
        <v>4284</v>
      </c>
      <c r="N770" s="55" t="s">
        <v>4285</v>
      </c>
      <c r="O770" s="55"/>
    </row>
    <row r="771" spans="1:21">
      <c r="A771" s="47">
        <v>17696974</v>
      </c>
      <c r="B771" s="46" t="s">
        <v>640</v>
      </c>
      <c r="C771" s="52" t="s">
        <v>644</v>
      </c>
      <c r="D771" s="48">
        <v>24108</v>
      </c>
      <c r="E771" s="49">
        <f t="shared" ca="1" si="18"/>
        <v>60.493491921005386</v>
      </c>
      <c r="F771" s="50">
        <v>155244762</v>
      </c>
      <c r="G771" s="51" t="s">
        <v>23</v>
      </c>
      <c r="I771" s="52" t="s">
        <v>594</v>
      </c>
      <c r="J771" s="71" t="s">
        <v>645</v>
      </c>
      <c r="K771" s="71"/>
      <c r="L771" s="71"/>
      <c r="M771" s="53" t="s">
        <v>646</v>
      </c>
      <c r="N771" s="55"/>
      <c r="O771" s="55"/>
    </row>
    <row r="772" spans="1:21">
      <c r="A772" s="47">
        <v>17779601</v>
      </c>
      <c r="B772" s="46" t="s">
        <v>364</v>
      </c>
      <c r="C772" s="46" t="s">
        <v>2161</v>
      </c>
      <c r="D772" s="48">
        <v>24259</v>
      </c>
      <c r="E772" s="49">
        <f t="shared" ca="1" si="18"/>
        <v>60.080071813285457</v>
      </c>
      <c r="F772" s="50">
        <v>153513943</v>
      </c>
      <c r="G772" s="51" t="s">
        <v>141</v>
      </c>
      <c r="I772" s="52" t="s">
        <v>4954</v>
      </c>
      <c r="J772" s="46" t="s">
        <v>5093</v>
      </c>
      <c r="M772" s="53" t="s">
        <v>5094</v>
      </c>
      <c r="N772" s="46">
        <v>153513943</v>
      </c>
      <c r="P772" s="46" t="s">
        <v>5095</v>
      </c>
    </row>
    <row r="773" spans="1:21">
      <c r="A773" s="47">
        <v>17835795</v>
      </c>
      <c r="B773" s="46" t="s">
        <v>315</v>
      </c>
      <c r="C773" s="46" t="s">
        <v>278</v>
      </c>
      <c r="D773" s="48">
        <v>24473</v>
      </c>
      <c r="E773" s="49">
        <f t="shared" ca="1" si="18"/>
        <v>59.493497604380565</v>
      </c>
      <c r="G773" s="51" t="s">
        <v>70</v>
      </c>
      <c r="I773" s="52" t="s">
        <v>24</v>
      </c>
      <c r="J773" s="46" t="s">
        <v>316</v>
      </c>
      <c r="M773" s="53" t="s">
        <v>317</v>
      </c>
    </row>
    <row r="774" spans="1:21">
      <c r="A774" s="64">
        <v>17858365</v>
      </c>
      <c r="B774" s="61" t="s">
        <v>2956</v>
      </c>
      <c r="C774" s="62" t="s">
        <v>2957</v>
      </c>
      <c r="D774" s="48">
        <v>24260</v>
      </c>
      <c r="E774" s="49">
        <f t="shared" ca="1" si="18"/>
        <v>60.077333931777382</v>
      </c>
      <c r="F774" s="63">
        <v>154096544</v>
      </c>
      <c r="G774" s="51" t="s">
        <v>23</v>
      </c>
      <c r="I774" s="52" t="s">
        <v>2926</v>
      </c>
      <c r="J774" s="61" t="s">
        <v>31</v>
      </c>
      <c r="K774" s="61"/>
      <c r="L774" s="61"/>
      <c r="M774" s="53" t="s">
        <v>2958</v>
      </c>
      <c r="N774" s="55"/>
      <c r="O774" s="55"/>
    </row>
    <row r="775" spans="1:21">
      <c r="A775" s="47">
        <v>17858381</v>
      </c>
      <c r="B775" s="46" t="s">
        <v>1190</v>
      </c>
      <c r="C775" s="52" t="s">
        <v>1191</v>
      </c>
      <c r="D775" s="48">
        <v>24178</v>
      </c>
      <c r="E775" s="49">
        <f t="shared" ca="1" si="18"/>
        <v>60.30184021543986</v>
      </c>
      <c r="F775" s="50">
        <v>155728550</v>
      </c>
      <c r="G775" s="51" t="s">
        <v>23</v>
      </c>
      <c r="I775" s="59" t="s">
        <v>908</v>
      </c>
      <c r="J775" s="46" t="s">
        <v>1192</v>
      </c>
      <c r="M775" s="53" t="s">
        <v>1193</v>
      </c>
      <c r="N775" s="55"/>
      <c r="O775" s="55"/>
    </row>
    <row r="776" spans="1:21">
      <c r="A776" s="47">
        <v>17858391</v>
      </c>
      <c r="B776" s="46" t="s">
        <v>4389</v>
      </c>
      <c r="C776" s="46" t="s">
        <v>4390</v>
      </c>
      <c r="D776" s="48" t="s">
        <v>52</v>
      </c>
      <c r="E776" s="49" t="str">
        <f t="shared" ca="1" si="18"/>
        <v/>
      </c>
      <c r="F776" s="50" t="s">
        <v>4391</v>
      </c>
      <c r="G776" s="51" t="s">
        <v>70</v>
      </c>
      <c r="H776" s="52" t="s">
        <v>2616</v>
      </c>
      <c r="I776" s="52" t="s">
        <v>4245</v>
      </c>
      <c r="J776" s="46" t="s">
        <v>4392</v>
      </c>
      <c r="K776" s="46" t="s">
        <v>81</v>
      </c>
      <c r="L776" s="46" t="s">
        <v>52</v>
      </c>
      <c r="M776" s="53" t="s">
        <v>4393</v>
      </c>
      <c r="N776" s="46" t="s">
        <v>4394</v>
      </c>
      <c r="O776" s="46" t="s">
        <v>52</v>
      </c>
      <c r="P776" s="46" t="s">
        <v>59</v>
      </c>
      <c r="Q776" s="46" t="s">
        <v>60</v>
      </c>
      <c r="R776" s="46" t="s">
        <v>61</v>
      </c>
      <c r="S776" s="46" t="s">
        <v>62</v>
      </c>
      <c r="T776" s="46" t="s">
        <v>12</v>
      </c>
      <c r="U776" s="46" t="s">
        <v>63</v>
      </c>
    </row>
    <row r="777" spans="1:21">
      <c r="A777" s="47">
        <v>17858395</v>
      </c>
      <c r="B777" s="46" t="s">
        <v>1774</v>
      </c>
      <c r="C777" s="55" t="s">
        <v>2139</v>
      </c>
      <c r="E777" s="49" t="str">
        <f t="shared" ca="1" si="18"/>
        <v/>
      </c>
      <c r="G777" s="51" t="s">
        <v>23</v>
      </c>
      <c r="I777" s="52" t="s">
        <v>23</v>
      </c>
      <c r="M777" s="58" t="s">
        <v>25</v>
      </c>
    </row>
    <row r="778" spans="1:21">
      <c r="A778" s="47">
        <v>17858412</v>
      </c>
      <c r="B778" s="46" t="s">
        <v>6796</v>
      </c>
      <c r="C778" s="46" t="s">
        <v>1632</v>
      </c>
      <c r="D778" s="48" t="s">
        <v>52</v>
      </c>
      <c r="E778" s="49" t="str">
        <f t="shared" ca="1" si="18"/>
        <v/>
      </c>
      <c r="F778" s="50" t="s">
        <v>6797</v>
      </c>
      <c r="G778" s="51" t="s">
        <v>141</v>
      </c>
      <c r="H778" s="52" t="s">
        <v>52</v>
      </c>
      <c r="I778" s="52" t="s">
        <v>1881</v>
      </c>
      <c r="J778" s="46" t="s">
        <v>6798</v>
      </c>
      <c r="K778" s="46" t="s">
        <v>81</v>
      </c>
      <c r="L778" s="46" t="s">
        <v>546</v>
      </c>
      <c r="M778" s="52" t="s">
        <v>6799</v>
      </c>
      <c r="N778" s="46" t="s">
        <v>52</v>
      </c>
      <c r="O778" s="46" t="s">
        <v>52</v>
      </c>
      <c r="P778" s="46" t="s">
        <v>59</v>
      </c>
      <c r="Q778" s="46" t="s">
        <v>60</v>
      </c>
      <c r="R778" s="46" t="s">
        <v>61</v>
      </c>
      <c r="S778" s="46" t="s">
        <v>62</v>
      </c>
      <c r="T778" s="46" t="s">
        <v>12</v>
      </c>
      <c r="U778" s="46" t="s">
        <v>63</v>
      </c>
    </row>
    <row r="779" spans="1:21">
      <c r="A779" s="47">
        <v>17859007</v>
      </c>
      <c r="B779" s="46" t="s">
        <v>5327</v>
      </c>
      <c r="C779" s="46" t="s">
        <v>1521</v>
      </c>
      <c r="D779" s="48" t="s">
        <v>5328</v>
      </c>
      <c r="E779" s="49">
        <f t="shared" ca="1" si="18"/>
        <v>60.356597845601435</v>
      </c>
      <c r="F779" s="50" t="s">
        <v>5329</v>
      </c>
      <c r="G779" s="51" t="s">
        <v>70</v>
      </c>
      <c r="H779" s="52" t="s">
        <v>5330</v>
      </c>
      <c r="I779" s="52" t="s">
        <v>5304</v>
      </c>
      <c r="J779" s="46" t="s">
        <v>5331</v>
      </c>
      <c r="K779" s="46" t="s">
        <v>159</v>
      </c>
      <c r="L779" s="46" t="s">
        <v>52</v>
      </c>
      <c r="M779" s="53" t="s">
        <v>5332</v>
      </c>
      <c r="N779" s="46" t="s">
        <v>5333</v>
      </c>
      <c r="O779" s="46" t="s">
        <v>5334</v>
      </c>
      <c r="P779" s="46" t="s">
        <v>59</v>
      </c>
      <c r="Q779" s="46" t="s">
        <v>60</v>
      </c>
      <c r="R779" s="46" t="s">
        <v>61</v>
      </c>
      <c r="S779" s="46" t="s">
        <v>62</v>
      </c>
      <c r="T779" s="46" t="s">
        <v>12</v>
      </c>
      <c r="U779" s="46" t="s">
        <v>63</v>
      </c>
    </row>
    <row r="780" spans="1:21">
      <c r="A780" s="47">
        <v>17859090</v>
      </c>
      <c r="B780" s="46" t="s">
        <v>676</v>
      </c>
      <c r="C780" s="46" t="s">
        <v>4854</v>
      </c>
      <c r="D780" s="48" t="s">
        <v>52</v>
      </c>
      <c r="E780" s="49" t="str">
        <f t="shared" ca="1" si="18"/>
        <v/>
      </c>
      <c r="F780" s="50" t="s">
        <v>4855</v>
      </c>
      <c r="G780" s="51" t="s">
        <v>78</v>
      </c>
      <c r="H780" s="52" t="s">
        <v>380</v>
      </c>
      <c r="I780" s="52" t="s">
        <v>4815</v>
      </c>
      <c r="J780" s="46" t="s">
        <v>4856</v>
      </c>
      <c r="K780" s="46" t="s">
        <v>52</v>
      </c>
      <c r="L780" s="46" t="s">
        <v>52</v>
      </c>
      <c r="M780" s="53" t="s">
        <v>4857</v>
      </c>
      <c r="N780" s="46" t="s">
        <v>4858</v>
      </c>
      <c r="O780" s="46" t="s">
        <v>52</v>
      </c>
      <c r="P780" s="46" t="s">
        <v>59</v>
      </c>
      <c r="Q780" s="46" t="s">
        <v>60</v>
      </c>
      <c r="R780" s="46" t="s">
        <v>61</v>
      </c>
      <c r="S780" s="46" t="s">
        <v>62</v>
      </c>
      <c r="T780" s="46" t="s">
        <v>12</v>
      </c>
      <c r="U780" s="46" t="s">
        <v>63</v>
      </c>
    </row>
    <row r="781" spans="1:21">
      <c r="A781" s="64">
        <v>17859276</v>
      </c>
      <c r="B781" s="61" t="s">
        <v>327</v>
      </c>
      <c r="C781" s="62" t="s">
        <v>333</v>
      </c>
      <c r="D781" s="48">
        <v>24162</v>
      </c>
      <c r="E781" s="49">
        <f t="shared" ca="1" si="18"/>
        <v>60.34564631956912</v>
      </c>
      <c r="F781" s="63">
        <v>154161765</v>
      </c>
      <c r="G781" s="51" t="s">
        <v>23</v>
      </c>
      <c r="I781" s="52" t="s">
        <v>24</v>
      </c>
      <c r="J781" s="61" t="s">
        <v>31</v>
      </c>
      <c r="K781" s="61"/>
      <c r="L781" s="61"/>
      <c r="M781" s="53" t="s">
        <v>334</v>
      </c>
      <c r="N781" s="55"/>
      <c r="O781" s="55"/>
    </row>
    <row r="782" spans="1:21">
      <c r="A782" s="47">
        <v>17859279</v>
      </c>
      <c r="B782" s="46" t="s">
        <v>327</v>
      </c>
      <c r="C782" s="46" t="s">
        <v>6526</v>
      </c>
      <c r="D782" s="48" t="s">
        <v>52</v>
      </c>
      <c r="E782" s="49" t="str">
        <f t="shared" ca="1" si="18"/>
        <v/>
      </c>
      <c r="F782" s="50" t="s">
        <v>52</v>
      </c>
    </row>
    <row r="783" spans="1:21">
      <c r="A783" s="47">
        <v>17859409</v>
      </c>
      <c r="B783" s="46" t="s">
        <v>1213</v>
      </c>
      <c r="C783" s="55" t="s">
        <v>1214</v>
      </c>
      <c r="D783" s="48">
        <v>24174</v>
      </c>
      <c r="E783" s="49">
        <f t="shared" ca="1" si="18"/>
        <v>60.312791741472175</v>
      </c>
      <c r="F783" s="50">
        <v>154245997</v>
      </c>
      <c r="G783" s="51" t="s">
        <v>70</v>
      </c>
      <c r="I783" s="59" t="s">
        <v>908</v>
      </c>
      <c r="J783" s="46" t="s">
        <v>950</v>
      </c>
      <c r="M783" s="53" t="s">
        <v>1215</v>
      </c>
      <c r="N783" s="46">
        <v>4107203</v>
      </c>
      <c r="O783" s="46">
        <v>7203</v>
      </c>
    </row>
    <row r="784" spans="1:21">
      <c r="A784" s="47">
        <v>17859517</v>
      </c>
      <c r="B784" s="46" t="s">
        <v>308</v>
      </c>
      <c r="C784" s="46" t="s">
        <v>9635</v>
      </c>
      <c r="D784" s="48" t="s">
        <v>52</v>
      </c>
      <c r="E784" s="49" t="s">
        <v>52</v>
      </c>
      <c r="F784" s="50" t="s">
        <v>52</v>
      </c>
      <c r="G784" s="51" t="s">
        <v>52</v>
      </c>
      <c r="H784" s="52" t="s">
        <v>52</v>
      </c>
      <c r="I784" s="52" t="s">
        <v>52</v>
      </c>
      <c r="J784" s="46" t="s">
        <v>52</v>
      </c>
      <c r="K784" s="46" t="s">
        <v>52</v>
      </c>
      <c r="L784" s="46" t="s">
        <v>546</v>
      </c>
      <c r="M784" s="52" t="s">
        <v>9636</v>
      </c>
      <c r="N784" s="46" t="s">
        <v>52</v>
      </c>
      <c r="O784" s="46" t="s">
        <v>52</v>
      </c>
      <c r="P784" s="46" t="s">
        <v>59</v>
      </c>
      <c r="Q784" s="46" t="s">
        <v>60</v>
      </c>
      <c r="R784" s="46" t="s">
        <v>61</v>
      </c>
      <c r="S784" s="46" t="s">
        <v>62</v>
      </c>
      <c r="T784" s="46" t="s">
        <v>12</v>
      </c>
      <c r="U784" s="46" t="s">
        <v>63</v>
      </c>
    </row>
    <row r="785" spans="1:21">
      <c r="A785" s="47">
        <v>17859592</v>
      </c>
      <c r="B785" s="46" t="s">
        <v>124</v>
      </c>
      <c r="C785" s="55" t="s">
        <v>125</v>
      </c>
      <c r="D785" s="48">
        <v>24055</v>
      </c>
      <c r="E785" s="49">
        <f t="shared" ref="E785:E816" ca="1" si="19">IF(D785="","",YEARFRAC(D785,TODAY(),1))</f>
        <v>60.63925811437403</v>
      </c>
      <c r="F785" s="50">
        <v>154762138</v>
      </c>
      <c r="G785" s="51" t="s">
        <v>70</v>
      </c>
      <c r="I785" s="52" t="s">
        <v>24</v>
      </c>
      <c r="J785" s="55" t="s">
        <v>126</v>
      </c>
      <c r="K785" s="55"/>
      <c r="L785" s="55"/>
      <c r="M785" s="53" t="s">
        <v>127</v>
      </c>
      <c r="N785" s="55">
        <v>4364147</v>
      </c>
      <c r="O785" s="55">
        <v>7509</v>
      </c>
    </row>
    <row r="786" spans="1:21">
      <c r="A786" s="47">
        <v>17859700</v>
      </c>
      <c r="B786" s="46" t="s">
        <v>6424</v>
      </c>
      <c r="C786" s="46" t="s">
        <v>5808</v>
      </c>
      <c r="E786" s="49" t="str">
        <f t="shared" ca="1" si="19"/>
        <v/>
      </c>
      <c r="F786" s="50">
        <v>155165555</v>
      </c>
      <c r="G786" s="51" t="s">
        <v>23</v>
      </c>
      <c r="I786" s="52" t="s">
        <v>23</v>
      </c>
      <c r="M786" s="53" t="s">
        <v>6425</v>
      </c>
    </row>
    <row r="787" spans="1:21">
      <c r="A787" s="47">
        <v>17859768</v>
      </c>
      <c r="B787" s="46" t="s">
        <v>1808</v>
      </c>
      <c r="C787" s="55" t="s">
        <v>1809</v>
      </c>
      <c r="D787" s="48" t="s">
        <v>1810</v>
      </c>
      <c r="E787" s="49">
        <f t="shared" ca="1" si="19"/>
        <v>60.367549371633757</v>
      </c>
      <c r="F787" s="50" t="s">
        <v>1811</v>
      </c>
      <c r="G787" s="51" t="s">
        <v>70</v>
      </c>
      <c r="H787" s="52" t="s">
        <v>1260</v>
      </c>
      <c r="I787" s="52" t="s">
        <v>1657</v>
      </c>
      <c r="J787" s="46" t="s">
        <v>52</v>
      </c>
      <c r="K787" s="46" t="s">
        <v>390</v>
      </c>
      <c r="L787" s="46" t="s">
        <v>1782</v>
      </c>
      <c r="M787" s="53" t="s">
        <v>1812</v>
      </c>
      <c r="N787" s="46" t="s">
        <v>89</v>
      </c>
      <c r="O787" s="46" t="s">
        <v>52</v>
      </c>
      <c r="P787" s="46" t="s">
        <v>59</v>
      </c>
      <c r="Q787" s="46" t="s">
        <v>60</v>
      </c>
      <c r="R787" s="46" t="s">
        <v>61</v>
      </c>
      <c r="S787" s="46" t="s">
        <v>62</v>
      </c>
      <c r="T787" s="46" t="s">
        <v>12</v>
      </c>
      <c r="U787" s="46" t="s">
        <v>63</v>
      </c>
    </row>
    <row r="788" spans="1:21">
      <c r="A788" s="47">
        <v>17859807</v>
      </c>
      <c r="B788" s="46" t="s">
        <v>413</v>
      </c>
      <c r="C788" s="46" t="s">
        <v>414</v>
      </c>
      <c r="D788" s="48">
        <v>24425</v>
      </c>
      <c r="E788" s="49">
        <f t="shared" ca="1" si="19"/>
        <v>59.625583482944343</v>
      </c>
      <c r="F788" s="50">
        <v>155017502</v>
      </c>
      <c r="G788" s="51" t="s">
        <v>23</v>
      </c>
      <c r="I788" s="52" t="s">
        <v>24</v>
      </c>
      <c r="M788" s="58" t="s">
        <v>25</v>
      </c>
    </row>
    <row r="789" spans="1:21">
      <c r="A789" s="47">
        <v>17859844</v>
      </c>
      <c r="B789" s="46" t="s">
        <v>1234</v>
      </c>
      <c r="C789" s="52" t="s">
        <v>165</v>
      </c>
      <c r="D789" s="48">
        <v>24214</v>
      </c>
      <c r="E789" s="49">
        <f t="shared" ca="1" si="19"/>
        <v>60.203276481149011</v>
      </c>
      <c r="G789" s="51" t="s">
        <v>23</v>
      </c>
      <c r="I789" s="59" t="s">
        <v>908</v>
      </c>
      <c r="J789" s="46" t="s">
        <v>673</v>
      </c>
      <c r="M789" s="53" t="s">
        <v>1235</v>
      </c>
      <c r="N789" s="55"/>
      <c r="O789" s="55"/>
    </row>
    <row r="790" spans="1:21">
      <c r="A790" s="47">
        <v>17859967</v>
      </c>
      <c r="B790" s="46" t="s">
        <v>3315</v>
      </c>
      <c r="C790" s="46" t="s">
        <v>1353</v>
      </c>
      <c r="D790" s="48" t="s">
        <v>52</v>
      </c>
      <c r="E790" s="49" t="str">
        <f t="shared" ca="1" si="19"/>
        <v/>
      </c>
      <c r="F790" s="50" t="s">
        <v>5713</v>
      </c>
      <c r="G790" s="51" t="s">
        <v>70</v>
      </c>
      <c r="H790" s="52" t="s">
        <v>5714</v>
      </c>
      <c r="I790" s="52" t="s">
        <v>5494</v>
      </c>
      <c r="J790" s="46" t="s">
        <v>3403</v>
      </c>
      <c r="K790" s="46" t="s">
        <v>81</v>
      </c>
      <c r="L790" s="46" t="s">
        <v>52</v>
      </c>
      <c r="M790" s="53" t="s">
        <v>5715</v>
      </c>
      <c r="N790" s="46" t="s">
        <v>52</v>
      </c>
      <c r="O790" s="46" t="s">
        <v>52</v>
      </c>
      <c r="P790" s="46" t="s">
        <v>59</v>
      </c>
      <c r="Q790" s="46" t="s">
        <v>60</v>
      </c>
      <c r="R790" s="46" t="s">
        <v>61</v>
      </c>
      <c r="S790" s="46" t="s">
        <v>62</v>
      </c>
      <c r="T790" s="46" t="s">
        <v>12</v>
      </c>
      <c r="U790" s="46" t="s">
        <v>63</v>
      </c>
    </row>
    <row r="791" spans="1:21">
      <c r="A791" s="47">
        <v>17859997</v>
      </c>
      <c r="B791" s="46" t="s">
        <v>3220</v>
      </c>
      <c r="C791" s="46" t="s">
        <v>3221</v>
      </c>
      <c r="D791" s="48">
        <v>24237</v>
      </c>
      <c r="E791" s="49">
        <f t="shared" ca="1" si="19"/>
        <v>60.140305206463196</v>
      </c>
      <c r="F791" s="50">
        <v>155311565</v>
      </c>
      <c r="G791" s="51" t="s">
        <v>141</v>
      </c>
      <c r="I791" s="52" t="s">
        <v>3166</v>
      </c>
      <c r="J791" s="46" t="s">
        <v>3222</v>
      </c>
      <c r="M791" s="53" t="s">
        <v>3223</v>
      </c>
      <c r="N791" s="46">
        <v>4254424</v>
      </c>
      <c r="O791" s="46">
        <v>51</v>
      </c>
      <c r="P791" s="46">
        <v>4</v>
      </c>
    </row>
    <row r="792" spans="1:21">
      <c r="A792" s="47">
        <v>17860010</v>
      </c>
      <c r="B792" s="46" t="s">
        <v>1175</v>
      </c>
      <c r="C792" s="52" t="s">
        <v>1176</v>
      </c>
      <c r="D792" s="48">
        <v>24128</v>
      </c>
      <c r="E792" s="49">
        <f t="shared" ca="1" si="19"/>
        <v>60.438734290843804</v>
      </c>
      <c r="G792" s="51" t="s">
        <v>70</v>
      </c>
      <c r="I792" s="59" t="s">
        <v>908</v>
      </c>
      <c r="J792" s="46" t="s">
        <v>316</v>
      </c>
      <c r="M792" s="53" t="s">
        <v>1177</v>
      </c>
      <c r="N792" s="55">
        <v>4247752</v>
      </c>
      <c r="O792" s="55" t="s">
        <v>1178</v>
      </c>
    </row>
    <row r="793" spans="1:21">
      <c r="A793" s="47">
        <v>17860016</v>
      </c>
      <c r="B793" s="46" t="s">
        <v>1175</v>
      </c>
      <c r="C793" s="46" t="s">
        <v>1179</v>
      </c>
      <c r="D793" s="48">
        <v>24159</v>
      </c>
      <c r="E793" s="49">
        <f t="shared" ca="1" si="19"/>
        <v>60.35385996409336</v>
      </c>
      <c r="F793" s="50">
        <v>154098971</v>
      </c>
      <c r="G793" s="51" t="s">
        <v>70</v>
      </c>
      <c r="I793" s="59" t="s">
        <v>908</v>
      </c>
      <c r="J793" s="46" t="s">
        <v>316</v>
      </c>
      <c r="M793" s="53" t="s">
        <v>1180</v>
      </c>
      <c r="N793" s="46">
        <v>4247752</v>
      </c>
      <c r="O793" s="46">
        <v>7083</v>
      </c>
      <c r="P793" s="46">
        <v>4</v>
      </c>
    </row>
    <row r="794" spans="1:21">
      <c r="A794" s="47">
        <v>17860367</v>
      </c>
      <c r="B794" s="46" t="s">
        <v>3561</v>
      </c>
      <c r="C794" s="46" t="s">
        <v>906</v>
      </c>
      <c r="D794" s="48">
        <v>24484</v>
      </c>
      <c r="E794" s="49">
        <f t="shared" ca="1" si="19"/>
        <v>59.463381245722111</v>
      </c>
      <c r="F794" s="50">
        <v>155871037</v>
      </c>
      <c r="G794" s="51" t="s">
        <v>78</v>
      </c>
      <c r="I794" s="52" t="s">
        <v>3555</v>
      </c>
      <c r="M794" s="53" t="s">
        <v>3562</v>
      </c>
      <c r="N794" s="46">
        <v>4211071</v>
      </c>
    </row>
    <row r="795" spans="1:21">
      <c r="A795" s="47">
        <v>17860595</v>
      </c>
      <c r="B795" s="46" t="s">
        <v>218</v>
      </c>
      <c r="C795" s="52" t="s">
        <v>672</v>
      </c>
      <c r="D795" s="48">
        <v>24280</v>
      </c>
      <c r="E795" s="49">
        <f t="shared" ca="1" si="19"/>
        <v>60.0225763016158</v>
      </c>
      <c r="F795" s="50">
        <v>155754143</v>
      </c>
      <c r="G795" s="51" t="s">
        <v>23</v>
      </c>
      <c r="I795" s="52" t="s">
        <v>594</v>
      </c>
      <c r="J795" s="71" t="s">
        <v>673</v>
      </c>
      <c r="K795" s="71"/>
      <c r="L795" s="71"/>
      <c r="M795" s="53" t="s">
        <v>674</v>
      </c>
      <c r="N795" s="55"/>
      <c r="O795" s="55"/>
    </row>
    <row r="796" spans="1:21">
      <c r="A796" s="47">
        <v>17860924</v>
      </c>
      <c r="B796" s="46" t="s">
        <v>252</v>
      </c>
      <c r="C796" s="46" t="s">
        <v>2975</v>
      </c>
      <c r="D796" s="48" t="s">
        <v>52</v>
      </c>
      <c r="E796" s="49" t="str">
        <f t="shared" ca="1" si="19"/>
        <v/>
      </c>
      <c r="F796" s="50" t="s">
        <v>2976</v>
      </c>
      <c r="G796" s="51" t="s">
        <v>86</v>
      </c>
      <c r="H796" s="52" t="s">
        <v>52</v>
      </c>
      <c r="I796" s="52" t="s">
        <v>2926</v>
      </c>
      <c r="J796" s="46" t="s">
        <v>2977</v>
      </c>
      <c r="K796" s="46" t="s">
        <v>81</v>
      </c>
      <c r="L796" s="46" t="s">
        <v>52</v>
      </c>
      <c r="M796" s="53" t="s">
        <v>2978</v>
      </c>
      <c r="N796" s="46" t="s">
        <v>2935</v>
      </c>
      <c r="O796" s="46" t="s">
        <v>2935</v>
      </c>
      <c r="P796" s="46" t="s">
        <v>59</v>
      </c>
      <c r="Q796" s="46" t="s">
        <v>60</v>
      </c>
      <c r="R796" s="46" t="s">
        <v>61</v>
      </c>
      <c r="S796" s="46" t="s">
        <v>62</v>
      </c>
      <c r="T796" s="46" t="s">
        <v>12</v>
      </c>
      <c r="U796" s="46" t="s">
        <v>63</v>
      </c>
    </row>
    <row r="797" spans="1:21">
      <c r="A797" s="47">
        <v>17860977</v>
      </c>
      <c r="B797" s="46" t="s">
        <v>327</v>
      </c>
      <c r="C797" s="46" t="s">
        <v>783</v>
      </c>
      <c r="D797" s="48" t="s">
        <v>52</v>
      </c>
      <c r="E797" s="49" t="str">
        <f t="shared" ca="1" si="19"/>
        <v/>
      </c>
      <c r="F797" s="50" t="s">
        <v>784</v>
      </c>
      <c r="G797" s="51" t="s">
        <v>70</v>
      </c>
      <c r="H797" s="52" t="s">
        <v>785</v>
      </c>
      <c r="I797" s="52" t="s">
        <v>594</v>
      </c>
      <c r="J797" s="46" t="s">
        <v>52</v>
      </c>
      <c r="K797" s="46" t="s">
        <v>52</v>
      </c>
      <c r="L797" s="46" t="s">
        <v>546</v>
      </c>
      <c r="M797" s="52" t="s">
        <v>786</v>
      </c>
      <c r="N797" s="46" t="s">
        <v>52</v>
      </c>
      <c r="O797" s="46" t="s">
        <v>52</v>
      </c>
      <c r="P797" s="46" t="s">
        <v>59</v>
      </c>
      <c r="Q797" s="46" t="s">
        <v>60</v>
      </c>
      <c r="R797" s="46" t="s">
        <v>61</v>
      </c>
      <c r="S797" s="46" t="s">
        <v>62</v>
      </c>
      <c r="T797" s="46" t="s">
        <v>12</v>
      </c>
      <c r="U797" s="46" t="s">
        <v>63</v>
      </c>
    </row>
    <row r="798" spans="1:21">
      <c r="A798" s="47">
        <v>17866143</v>
      </c>
      <c r="B798" s="46" t="s">
        <v>4122</v>
      </c>
      <c r="C798" s="46" t="s">
        <v>4123</v>
      </c>
      <c r="D798" s="48">
        <v>24218</v>
      </c>
      <c r="E798" s="49">
        <f t="shared" ca="1" si="19"/>
        <v>60.192324955116696</v>
      </c>
      <c r="F798" s="50" t="s">
        <v>4124</v>
      </c>
      <c r="G798" s="51" t="s">
        <v>23</v>
      </c>
      <c r="I798" s="52" t="s">
        <v>4078</v>
      </c>
      <c r="J798" s="46" t="s">
        <v>38</v>
      </c>
      <c r="M798" s="53" t="s">
        <v>4125</v>
      </c>
      <c r="N798" s="46">
        <v>3865483797</v>
      </c>
      <c r="O798" s="46">
        <v>11</v>
      </c>
    </row>
    <row r="799" spans="1:21">
      <c r="A799" s="64">
        <v>17866176</v>
      </c>
      <c r="B799" s="61" t="s">
        <v>883</v>
      </c>
      <c r="C799" s="62" t="s">
        <v>884</v>
      </c>
      <c r="D799" s="48">
        <v>24441</v>
      </c>
      <c r="E799" s="49">
        <f t="shared" ca="1" si="19"/>
        <v>59.581777378815083</v>
      </c>
      <c r="F799" s="63">
        <v>155249222</v>
      </c>
      <c r="G799" s="51" t="s">
        <v>23</v>
      </c>
      <c r="I799" s="52" t="s">
        <v>848</v>
      </c>
      <c r="J799" s="61" t="s">
        <v>885</v>
      </c>
      <c r="K799" s="61"/>
      <c r="L799" s="61"/>
      <c r="M799" s="53" t="s">
        <v>886</v>
      </c>
      <c r="N799" s="55"/>
      <c r="O799" s="55"/>
    </row>
    <row r="800" spans="1:21">
      <c r="A800" s="47">
        <v>17866738</v>
      </c>
      <c r="B800" s="46" t="s">
        <v>4994</v>
      </c>
      <c r="C800" s="46" t="s">
        <v>2260</v>
      </c>
      <c r="D800" s="48" t="s">
        <v>52</v>
      </c>
      <c r="E800" s="49" t="str">
        <f t="shared" ca="1" si="19"/>
        <v/>
      </c>
      <c r="F800" s="50" t="s">
        <v>4995</v>
      </c>
      <c r="G800" s="51" t="s">
        <v>78</v>
      </c>
      <c r="H800" s="52" t="s">
        <v>4996</v>
      </c>
      <c r="I800" s="52" t="s">
        <v>4954</v>
      </c>
      <c r="J800" s="46" t="s">
        <v>1472</v>
      </c>
      <c r="K800" s="46" t="s">
        <v>81</v>
      </c>
      <c r="L800" s="46" t="s">
        <v>52</v>
      </c>
      <c r="M800" s="53" t="s">
        <v>4997</v>
      </c>
      <c r="N800" s="46" t="s">
        <v>4998</v>
      </c>
      <c r="O800" s="46" t="s">
        <v>52</v>
      </c>
      <c r="P800" s="46" t="s">
        <v>59</v>
      </c>
      <c r="Q800" s="46" t="s">
        <v>60</v>
      </c>
      <c r="R800" s="46" t="s">
        <v>61</v>
      </c>
      <c r="S800" s="46" t="s">
        <v>62</v>
      </c>
      <c r="T800" s="46" t="s">
        <v>12</v>
      </c>
      <c r="U800" s="46" t="s">
        <v>63</v>
      </c>
    </row>
    <row r="801" spans="1:21">
      <c r="A801" s="47">
        <v>17869268</v>
      </c>
      <c r="B801" s="46" t="s">
        <v>2350</v>
      </c>
      <c r="C801" s="46" t="s">
        <v>165</v>
      </c>
      <c r="D801" s="48" t="s">
        <v>52</v>
      </c>
      <c r="E801" s="49" t="str">
        <f t="shared" ca="1" si="19"/>
        <v/>
      </c>
      <c r="F801" s="50" t="s">
        <v>2351</v>
      </c>
      <c r="G801" s="51" t="s">
        <v>70</v>
      </c>
      <c r="H801" s="52" t="s">
        <v>2352</v>
      </c>
      <c r="I801" s="52" t="s">
        <v>1881</v>
      </c>
      <c r="J801" s="46" t="s">
        <v>2353</v>
      </c>
      <c r="K801" s="46" t="s">
        <v>81</v>
      </c>
      <c r="L801" s="46" t="s">
        <v>1782</v>
      </c>
      <c r="M801" s="52" t="s">
        <v>2354</v>
      </c>
      <c r="N801" s="46" t="s">
        <v>52</v>
      </c>
      <c r="O801" s="46" t="s">
        <v>52</v>
      </c>
      <c r="P801" s="46" t="s">
        <v>59</v>
      </c>
      <c r="Q801" s="46" t="s">
        <v>60</v>
      </c>
      <c r="R801" s="46" t="s">
        <v>61</v>
      </c>
      <c r="S801" s="46" t="s">
        <v>62</v>
      </c>
      <c r="T801" s="46" t="s">
        <v>12</v>
      </c>
      <c r="U801" s="46" t="s">
        <v>63</v>
      </c>
    </row>
    <row r="802" spans="1:21">
      <c r="A802" s="47">
        <v>17927508</v>
      </c>
      <c r="B802" s="46" t="s">
        <v>4088</v>
      </c>
      <c r="C802" s="46" t="s">
        <v>4089</v>
      </c>
      <c r="D802" s="48">
        <v>24230</v>
      </c>
      <c r="E802" s="49">
        <f t="shared" ca="1" si="19"/>
        <v>60.159470377019751</v>
      </c>
      <c r="F802" s="50" t="s">
        <v>4090</v>
      </c>
      <c r="G802" s="51" t="s">
        <v>23</v>
      </c>
      <c r="I802" s="52" t="s">
        <v>4078</v>
      </c>
      <c r="J802" s="46" t="s">
        <v>3313</v>
      </c>
      <c r="M802" s="53" t="s">
        <v>4091</v>
      </c>
      <c r="N802" s="46">
        <v>3865483797</v>
      </c>
      <c r="O802" s="46">
        <v>39</v>
      </c>
    </row>
    <row r="803" spans="1:21">
      <c r="A803" s="47">
        <v>17940596</v>
      </c>
      <c r="B803" s="46" t="s">
        <v>6034</v>
      </c>
      <c r="C803" s="46" t="s">
        <v>6035</v>
      </c>
      <c r="E803" s="49" t="str">
        <f t="shared" ca="1" si="19"/>
        <v/>
      </c>
      <c r="G803" s="51" t="s">
        <v>23</v>
      </c>
      <c r="I803" s="52" t="s">
        <v>23</v>
      </c>
      <c r="M803" s="58" t="s">
        <v>25</v>
      </c>
    </row>
    <row r="804" spans="1:21">
      <c r="A804" s="47">
        <v>17947073</v>
      </c>
      <c r="B804" s="46" t="s">
        <v>1145</v>
      </c>
      <c r="C804" s="52" t="s">
        <v>1146</v>
      </c>
      <c r="D804" s="48">
        <v>24314</v>
      </c>
      <c r="E804" s="49">
        <f t="shared" ca="1" si="19"/>
        <v>59.929488330341115</v>
      </c>
      <c r="F804" s="50">
        <v>154027310</v>
      </c>
      <c r="G804" s="51" t="s">
        <v>23</v>
      </c>
      <c r="I804" s="59" t="s">
        <v>908</v>
      </c>
      <c r="J804" s="46" t="s">
        <v>31</v>
      </c>
      <c r="M804" s="53" t="s">
        <v>1147</v>
      </c>
      <c r="N804" s="55"/>
      <c r="O804" s="55"/>
    </row>
    <row r="805" spans="1:21">
      <c r="A805" s="47">
        <v>17947115</v>
      </c>
      <c r="B805" s="46" t="s">
        <v>1996</v>
      </c>
      <c r="C805" s="52" t="s">
        <v>1997</v>
      </c>
      <c r="D805" s="48">
        <v>24130</v>
      </c>
      <c r="E805" s="49">
        <f t="shared" ca="1" si="19"/>
        <v>60.433258527827647</v>
      </c>
      <c r="F805" s="50">
        <v>155437984</v>
      </c>
      <c r="G805" s="51" t="s">
        <v>23</v>
      </c>
      <c r="I805" s="52" t="s">
        <v>1881</v>
      </c>
      <c r="J805" s="46" t="s">
        <v>1998</v>
      </c>
      <c r="M805" s="58" t="s">
        <v>25</v>
      </c>
      <c r="N805" s="55"/>
      <c r="O805" s="55"/>
    </row>
    <row r="806" spans="1:21">
      <c r="A806" s="47">
        <v>17947467</v>
      </c>
      <c r="B806" s="46" t="s">
        <v>601</v>
      </c>
      <c r="C806" s="46" t="s">
        <v>1751</v>
      </c>
      <c r="D806" s="68"/>
      <c r="E806" s="49" t="str">
        <f t="shared" ca="1" si="19"/>
        <v/>
      </c>
      <c r="F806" s="50">
        <v>154156928</v>
      </c>
      <c r="G806" s="51" t="s">
        <v>23</v>
      </c>
      <c r="I806" s="52" t="s">
        <v>23</v>
      </c>
      <c r="M806" s="58" t="s">
        <v>25</v>
      </c>
    </row>
    <row r="807" spans="1:21">
      <c r="A807" s="47">
        <v>17947492</v>
      </c>
      <c r="B807" s="46" t="s">
        <v>5914</v>
      </c>
      <c r="C807" s="46" t="s">
        <v>365</v>
      </c>
      <c r="D807" s="48" t="s">
        <v>52</v>
      </c>
      <c r="E807" s="49" t="str">
        <f t="shared" ca="1" si="19"/>
        <v/>
      </c>
      <c r="F807" s="50" t="s">
        <v>5915</v>
      </c>
      <c r="G807" s="51" t="s">
        <v>86</v>
      </c>
      <c r="H807" s="52" t="s">
        <v>52</v>
      </c>
      <c r="I807" s="52" t="s">
        <v>5881</v>
      </c>
      <c r="J807" s="46" t="s">
        <v>5916</v>
      </c>
      <c r="K807" s="46" t="s">
        <v>52</v>
      </c>
      <c r="L807" s="46" t="s">
        <v>52</v>
      </c>
      <c r="M807" s="53" t="s">
        <v>5917</v>
      </c>
      <c r="N807" s="46" t="s">
        <v>52</v>
      </c>
      <c r="O807" s="46" t="s">
        <v>52</v>
      </c>
      <c r="P807" s="46" t="s">
        <v>59</v>
      </c>
      <c r="Q807" s="46" t="s">
        <v>60</v>
      </c>
      <c r="R807" s="46" t="s">
        <v>61</v>
      </c>
      <c r="S807" s="46" t="s">
        <v>62</v>
      </c>
      <c r="T807" s="46" t="s">
        <v>12</v>
      </c>
      <c r="U807" s="46" t="s">
        <v>63</v>
      </c>
    </row>
    <row r="808" spans="1:21">
      <c r="A808" s="47">
        <v>17947736</v>
      </c>
      <c r="B808" s="46" t="s">
        <v>806</v>
      </c>
      <c r="C808" s="46" t="s">
        <v>807</v>
      </c>
      <c r="D808" s="48">
        <v>24455</v>
      </c>
      <c r="E808" s="49">
        <f t="shared" ca="1" si="19"/>
        <v>59.543447037701974</v>
      </c>
      <c r="F808" s="50">
        <v>155781835</v>
      </c>
      <c r="G808" s="51" t="s">
        <v>141</v>
      </c>
      <c r="I808" s="52" t="s">
        <v>808</v>
      </c>
      <c r="J808" s="46" t="s">
        <v>809</v>
      </c>
      <c r="M808" s="53" t="s">
        <v>810</v>
      </c>
      <c r="P808" s="46">
        <v>1</v>
      </c>
    </row>
    <row r="809" spans="1:21">
      <c r="A809" s="66">
        <v>17947777</v>
      </c>
      <c r="B809" s="67" t="s">
        <v>422</v>
      </c>
      <c r="C809" s="52" t="s">
        <v>423</v>
      </c>
      <c r="D809" s="48">
        <v>24534</v>
      </c>
      <c r="E809" s="49">
        <f t="shared" ca="1" si="19"/>
        <v>59.326488706365502</v>
      </c>
      <c r="F809" s="57">
        <v>155155575</v>
      </c>
      <c r="G809" s="51" t="s">
        <v>23</v>
      </c>
      <c r="I809" s="52" t="s">
        <v>24</v>
      </c>
      <c r="M809" s="53" t="s">
        <v>424</v>
      </c>
      <c r="N809" s="55"/>
      <c r="O809" s="55"/>
    </row>
    <row r="810" spans="1:21">
      <c r="A810" s="47">
        <v>17947847</v>
      </c>
      <c r="B810" s="46" t="s">
        <v>2758</v>
      </c>
      <c r="C810" s="46" t="s">
        <v>2759</v>
      </c>
      <c r="E810" s="49" t="str">
        <f t="shared" ca="1" si="19"/>
        <v/>
      </c>
      <c r="F810" s="50">
        <v>156284596</v>
      </c>
      <c r="G810" s="51" t="s">
        <v>23</v>
      </c>
      <c r="I810" s="52" t="s">
        <v>2671</v>
      </c>
      <c r="M810" s="53" t="s">
        <v>2760</v>
      </c>
    </row>
    <row r="811" spans="1:21">
      <c r="A811" s="47">
        <v>17947900</v>
      </c>
      <c r="B811" s="46" t="s">
        <v>355</v>
      </c>
      <c r="C811" s="46" t="s">
        <v>356</v>
      </c>
      <c r="D811" s="48">
        <v>24082</v>
      </c>
      <c r="E811" s="49">
        <f t="shared" ca="1" si="19"/>
        <v>60.565334510929567</v>
      </c>
      <c r="F811" s="50">
        <v>153327970</v>
      </c>
      <c r="G811" s="51" t="s">
        <v>78</v>
      </c>
      <c r="I811" s="52" t="s">
        <v>24</v>
      </c>
      <c r="J811" s="46" t="s">
        <v>357</v>
      </c>
      <c r="M811" s="53" t="s">
        <v>358</v>
      </c>
      <c r="N811" s="46">
        <v>4364093</v>
      </c>
      <c r="O811" s="46">
        <v>7621</v>
      </c>
      <c r="P811" s="46">
        <v>4</v>
      </c>
    </row>
    <row r="812" spans="1:21">
      <c r="A812" s="47">
        <v>17947917</v>
      </c>
      <c r="B812" s="46" t="s">
        <v>2844</v>
      </c>
      <c r="C812" s="46" t="s">
        <v>2845</v>
      </c>
      <c r="D812" s="48">
        <v>24432</v>
      </c>
      <c r="E812" s="49">
        <f t="shared" ca="1" si="19"/>
        <v>59.606418312387795</v>
      </c>
      <c r="F812" s="50">
        <v>156041801</v>
      </c>
      <c r="G812" s="51" t="s">
        <v>78</v>
      </c>
      <c r="I812" s="52" t="s">
        <v>2744</v>
      </c>
      <c r="J812" s="46" t="s">
        <v>2846</v>
      </c>
      <c r="M812" s="52" t="s">
        <v>2847</v>
      </c>
      <c r="N812" s="46">
        <v>4248026</v>
      </c>
      <c r="O812" s="46">
        <v>7185</v>
      </c>
      <c r="P812" s="46">
        <v>3</v>
      </c>
    </row>
    <row r="813" spans="1:21">
      <c r="A813" s="47">
        <v>17947952</v>
      </c>
      <c r="B813" s="46" t="s">
        <v>115</v>
      </c>
      <c r="C813" s="46" t="s">
        <v>1931</v>
      </c>
      <c r="D813" s="48" t="s">
        <v>1932</v>
      </c>
      <c r="E813" s="49">
        <f t="shared" ca="1" si="19"/>
        <v>60.145780969479354</v>
      </c>
      <c r="F813" s="50" t="s">
        <v>1933</v>
      </c>
      <c r="G813" s="51" t="s">
        <v>70</v>
      </c>
      <c r="H813" s="52" t="s">
        <v>380</v>
      </c>
      <c r="I813" s="52" t="s">
        <v>1881</v>
      </c>
      <c r="J813" s="46" t="s">
        <v>1934</v>
      </c>
      <c r="K813" s="46" t="s">
        <v>81</v>
      </c>
      <c r="L813" s="46" t="s">
        <v>52</v>
      </c>
      <c r="M813" s="52" t="s">
        <v>1935</v>
      </c>
      <c r="N813" s="46" t="s">
        <v>1936</v>
      </c>
      <c r="O813" s="46" t="s">
        <v>1937</v>
      </c>
      <c r="P813" s="46" t="s">
        <v>59</v>
      </c>
      <c r="Q813" s="46" t="s">
        <v>60</v>
      </c>
      <c r="R813" s="46" t="s">
        <v>61</v>
      </c>
      <c r="S813" s="46" t="s">
        <v>62</v>
      </c>
      <c r="T813" s="46" t="s">
        <v>12</v>
      </c>
      <c r="U813" s="46" t="s">
        <v>63</v>
      </c>
    </row>
    <row r="814" spans="1:21">
      <c r="A814" s="47">
        <v>17961115</v>
      </c>
      <c r="B814" s="46" t="s">
        <v>4538</v>
      </c>
      <c r="C814" s="52" t="s">
        <v>4539</v>
      </c>
      <c r="E814" s="49" t="str">
        <f t="shared" ca="1" si="19"/>
        <v/>
      </c>
      <c r="F814" s="50">
        <v>156037079</v>
      </c>
      <c r="G814" s="51" t="s">
        <v>23</v>
      </c>
      <c r="I814" s="52" t="s">
        <v>4499</v>
      </c>
      <c r="M814" s="58" t="s">
        <v>25</v>
      </c>
      <c r="N814" s="55"/>
      <c r="O814" s="55"/>
    </row>
    <row r="815" spans="1:21">
      <c r="A815" s="47">
        <v>17973047</v>
      </c>
      <c r="B815" s="46" t="s">
        <v>279</v>
      </c>
      <c r="C815" s="52" t="s">
        <v>283</v>
      </c>
      <c r="D815" s="48">
        <v>24345</v>
      </c>
      <c r="E815" s="49">
        <f t="shared" ca="1" si="19"/>
        <v>59.844614003590664</v>
      </c>
      <c r="F815" s="50">
        <v>156266173</v>
      </c>
      <c r="G815" s="51" t="s">
        <v>23</v>
      </c>
      <c r="I815" s="52" t="s">
        <v>24</v>
      </c>
      <c r="M815" s="53" t="s">
        <v>284</v>
      </c>
      <c r="N815" s="55"/>
      <c r="O815" s="55"/>
    </row>
    <row r="816" spans="1:21">
      <c r="A816" s="47">
        <v>17979674</v>
      </c>
      <c r="B816" s="46" t="s">
        <v>1821</v>
      </c>
      <c r="C816" s="52" t="s">
        <v>283</v>
      </c>
      <c r="D816" s="48">
        <v>24291</v>
      </c>
      <c r="E816" s="49">
        <f t="shared" ca="1" si="19"/>
        <v>59.99245960502693</v>
      </c>
      <c r="F816" s="50">
        <v>154196433</v>
      </c>
      <c r="G816" s="51" t="s">
        <v>23</v>
      </c>
      <c r="I816" s="52" t="s">
        <v>1657</v>
      </c>
      <c r="M816" s="53" t="s">
        <v>1822</v>
      </c>
      <c r="N816" s="55"/>
      <c r="O816" s="55"/>
    </row>
    <row r="817" spans="1:21">
      <c r="A817" s="47">
        <v>17990596</v>
      </c>
      <c r="B817" s="46" t="s">
        <v>3330</v>
      </c>
      <c r="C817" s="55" t="s">
        <v>3331</v>
      </c>
      <c r="D817" s="48">
        <v>24360</v>
      </c>
      <c r="E817" s="49">
        <f t="shared" ref="E817:E848" ca="1" si="20">IF(D817="","",YEARFRAC(D817,TODAY(),1))</f>
        <v>59.803545780969479</v>
      </c>
      <c r="F817" s="50">
        <v>156282758</v>
      </c>
      <c r="G817" s="51" t="s">
        <v>23</v>
      </c>
      <c r="I817" s="52" t="s">
        <v>3327</v>
      </c>
      <c r="J817" s="55" t="s">
        <v>224</v>
      </c>
      <c r="K817" s="55"/>
      <c r="L817" s="55"/>
      <c r="M817" s="53" t="s">
        <v>3332</v>
      </c>
      <c r="N817" s="55">
        <v>4353681</v>
      </c>
      <c r="O817" s="55"/>
    </row>
    <row r="818" spans="1:21">
      <c r="A818" s="47">
        <v>17990689</v>
      </c>
      <c r="B818" s="46" t="s">
        <v>128</v>
      </c>
      <c r="C818" s="52" t="s">
        <v>3186</v>
      </c>
      <c r="D818" s="48">
        <v>24650</v>
      </c>
      <c r="E818" s="49">
        <f t="shared" ca="1" si="20"/>
        <v>59.008898015058179</v>
      </c>
      <c r="G818" s="51" t="s">
        <v>23</v>
      </c>
      <c r="I818" s="52" t="s">
        <v>3166</v>
      </c>
      <c r="J818" s="46" t="s">
        <v>2080</v>
      </c>
      <c r="M818" s="58" t="s">
        <v>25</v>
      </c>
      <c r="N818" s="55">
        <v>4253467</v>
      </c>
      <c r="O818" s="55"/>
    </row>
    <row r="819" spans="1:21">
      <c r="A819" s="47">
        <v>17990691</v>
      </c>
      <c r="B819" s="46" t="s">
        <v>1660</v>
      </c>
      <c r="C819" s="46" t="s">
        <v>4455</v>
      </c>
      <c r="D819" s="48" t="s">
        <v>4456</v>
      </c>
      <c r="E819" s="49">
        <f t="shared" ca="1" si="20"/>
        <v>59.499640933572714</v>
      </c>
      <c r="F819" s="50" t="s">
        <v>4457</v>
      </c>
      <c r="G819" s="51" t="s">
        <v>70</v>
      </c>
      <c r="H819" s="52" t="s">
        <v>4458</v>
      </c>
      <c r="I819" s="52" t="s">
        <v>4245</v>
      </c>
      <c r="J819" s="46" t="s">
        <v>833</v>
      </c>
      <c r="K819" s="46" t="s">
        <v>112</v>
      </c>
      <c r="L819" s="46" t="s">
        <v>546</v>
      </c>
      <c r="M819" s="52" t="s">
        <v>4459</v>
      </c>
      <c r="N819" s="46" t="s">
        <v>4460</v>
      </c>
      <c r="O819" s="46" t="s">
        <v>52</v>
      </c>
      <c r="P819" s="46" t="s">
        <v>59</v>
      </c>
      <c r="Q819" s="46" t="s">
        <v>60</v>
      </c>
      <c r="R819" s="46" t="s">
        <v>61</v>
      </c>
      <c r="S819" s="46" t="s">
        <v>62</v>
      </c>
      <c r="T819" s="46" t="s">
        <v>12</v>
      </c>
      <c r="U819" s="46" t="s">
        <v>63</v>
      </c>
    </row>
    <row r="820" spans="1:21">
      <c r="A820" s="47">
        <v>18034548</v>
      </c>
      <c r="B820" s="46" t="s">
        <v>4623</v>
      </c>
      <c r="C820" s="46" t="s">
        <v>4624</v>
      </c>
      <c r="D820" s="48" t="s">
        <v>4625</v>
      </c>
      <c r="E820" s="49">
        <f t="shared" ca="1" si="20"/>
        <v>60.151256732495511</v>
      </c>
      <c r="F820" s="50" t="s">
        <v>4626</v>
      </c>
      <c r="G820" s="51" t="s">
        <v>70</v>
      </c>
      <c r="H820" s="52" t="s">
        <v>52</v>
      </c>
      <c r="I820" s="52" t="s">
        <v>4499</v>
      </c>
      <c r="J820" s="46" t="s">
        <v>4627</v>
      </c>
      <c r="K820" s="46" t="s">
        <v>81</v>
      </c>
      <c r="L820" s="46" t="s">
        <v>546</v>
      </c>
      <c r="M820" s="53" t="s">
        <v>4628</v>
      </c>
      <c r="N820" s="46" t="s">
        <v>52</v>
      </c>
      <c r="O820" s="46" t="s">
        <v>52</v>
      </c>
      <c r="P820" s="46" t="s">
        <v>59</v>
      </c>
      <c r="Q820" s="46" t="s">
        <v>60</v>
      </c>
      <c r="R820" s="46" t="s">
        <v>61</v>
      </c>
      <c r="S820" s="46" t="s">
        <v>62</v>
      </c>
      <c r="T820" s="46" t="s">
        <v>12</v>
      </c>
      <c r="U820" s="46" t="s">
        <v>63</v>
      </c>
    </row>
    <row r="821" spans="1:21">
      <c r="A821" s="47">
        <v>18091003</v>
      </c>
      <c r="B821" s="46" t="s">
        <v>846</v>
      </c>
      <c r="C821" s="52" t="s">
        <v>1952</v>
      </c>
      <c r="D821" s="48">
        <v>24360</v>
      </c>
      <c r="E821" s="49">
        <f t="shared" ca="1" si="20"/>
        <v>59.803545780969479</v>
      </c>
      <c r="F821" s="50">
        <v>156461736</v>
      </c>
      <c r="G821" s="51" t="s">
        <v>23</v>
      </c>
      <c r="I821" s="52" t="s">
        <v>1881</v>
      </c>
      <c r="J821" s="55" t="s">
        <v>1919</v>
      </c>
      <c r="K821" s="55"/>
      <c r="L821" s="55"/>
      <c r="M821" s="58" t="s">
        <v>25</v>
      </c>
      <c r="N821" s="55"/>
      <c r="O821" s="55"/>
    </row>
    <row r="822" spans="1:21">
      <c r="A822" s="47">
        <v>18102826</v>
      </c>
      <c r="B822" s="46" t="s">
        <v>3176</v>
      </c>
      <c r="C822" s="46" t="s">
        <v>3998</v>
      </c>
      <c r="D822" s="48">
        <v>24345</v>
      </c>
      <c r="E822" s="49">
        <f t="shared" ca="1" si="20"/>
        <v>59.844614003590664</v>
      </c>
      <c r="F822" s="50">
        <v>155698499</v>
      </c>
      <c r="G822" s="51" t="s">
        <v>352</v>
      </c>
      <c r="I822" s="52" t="s">
        <v>3999</v>
      </c>
      <c r="J822" s="46" t="s">
        <v>4000</v>
      </c>
      <c r="M822" s="52" t="s">
        <v>4001</v>
      </c>
      <c r="N822" s="46">
        <v>4220751</v>
      </c>
      <c r="P822" s="46">
        <v>3</v>
      </c>
    </row>
    <row r="823" spans="1:21">
      <c r="A823" s="64">
        <v>18176998</v>
      </c>
      <c r="B823" s="61" t="s">
        <v>2087</v>
      </c>
      <c r="C823" s="62" t="s">
        <v>3738</v>
      </c>
      <c r="D823" s="48">
        <v>22965</v>
      </c>
      <c r="E823" s="49">
        <f t="shared" ca="1" si="20"/>
        <v>63.622846552377744</v>
      </c>
      <c r="F823" s="63"/>
      <c r="G823" s="51" t="s">
        <v>23</v>
      </c>
      <c r="I823" s="52" t="s">
        <v>3630</v>
      </c>
      <c r="J823" s="61" t="s">
        <v>3740</v>
      </c>
      <c r="K823" s="61"/>
      <c r="L823" s="61"/>
      <c r="M823" s="53" t="s">
        <v>3741</v>
      </c>
      <c r="N823" s="55"/>
      <c r="O823" s="55"/>
    </row>
    <row r="824" spans="1:21">
      <c r="A824" s="47">
        <v>18182322</v>
      </c>
      <c r="B824" s="46" t="s">
        <v>6333</v>
      </c>
      <c r="C824" s="46" t="s">
        <v>6334</v>
      </c>
      <c r="D824" s="48">
        <v>24126</v>
      </c>
      <c r="E824" s="49">
        <f t="shared" ca="1" si="20"/>
        <v>60.444210053859969</v>
      </c>
      <c r="G824" s="51" t="s">
        <v>23</v>
      </c>
      <c r="I824" s="52" t="s">
        <v>23</v>
      </c>
      <c r="M824" s="58" t="s">
        <v>25</v>
      </c>
    </row>
    <row r="825" spans="1:21">
      <c r="A825" s="47">
        <v>18185007</v>
      </c>
      <c r="B825" s="46" t="s">
        <v>1040</v>
      </c>
      <c r="C825" s="52" t="s">
        <v>5776</v>
      </c>
      <c r="D825" s="48">
        <v>24499</v>
      </c>
      <c r="E825" s="49">
        <f t="shared" ca="1" si="20"/>
        <v>59.422313483915126</v>
      </c>
      <c r="F825" s="50">
        <v>156373498</v>
      </c>
      <c r="G825" s="51" t="s">
        <v>23</v>
      </c>
      <c r="I825" s="52" t="s">
        <v>5761</v>
      </c>
      <c r="M825" s="53" t="s">
        <v>5777</v>
      </c>
      <c r="N825" s="55">
        <v>4364144</v>
      </c>
      <c r="O825" s="55"/>
    </row>
    <row r="826" spans="1:21">
      <c r="A826" s="64">
        <v>18185020</v>
      </c>
      <c r="B826" s="61" t="s">
        <v>1754</v>
      </c>
      <c r="C826" s="62" t="s">
        <v>1755</v>
      </c>
      <c r="D826" s="48">
        <v>24191</v>
      </c>
      <c r="E826" s="49">
        <f t="shared" ca="1" si="20"/>
        <v>60.266247755834833</v>
      </c>
      <c r="F826" s="63">
        <v>156416611</v>
      </c>
      <c r="G826" s="51" t="s">
        <v>23</v>
      </c>
      <c r="I826" s="52" t="s">
        <v>1657</v>
      </c>
      <c r="J826" s="61" t="s">
        <v>48</v>
      </c>
      <c r="K826" s="61"/>
      <c r="L826" s="61"/>
      <c r="M826" s="58" t="s">
        <v>25</v>
      </c>
      <c r="N826" s="55"/>
      <c r="O826" s="55"/>
    </row>
    <row r="827" spans="1:21">
      <c r="A827" s="47">
        <v>18185644</v>
      </c>
      <c r="B827" s="46" t="s">
        <v>2262</v>
      </c>
      <c r="C827" s="46" t="s">
        <v>6382</v>
      </c>
      <c r="D827" s="68"/>
      <c r="E827" s="49" t="str">
        <f t="shared" ca="1" si="20"/>
        <v/>
      </c>
      <c r="F827" s="63">
        <v>154486170</v>
      </c>
      <c r="G827" s="51" t="s">
        <v>23</v>
      </c>
      <c r="I827" s="52" t="s">
        <v>23</v>
      </c>
      <c r="M827" s="53" t="s">
        <v>6383</v>
      </c>
    </row>
    <row r="828" spans="1:21">
      <c r="A828" s="47">
        <v>18185663</v>
      </c>
      <c r="B828" s="46" t="s">
        <v>26</v>
      </c>
      <c r="C828" s="46" t="s">
        <v>5759</v>
      </c>
      <c r="D828" s="48" t="s">
        <v>52</v>
      </c>
      <c r="E828" s="49" t="str">
        <f t="shared" ca="1" si="20"/>
        <v/>
      </c>
      <c r="F828" s="50" t="s">
        <v>5760</v>
      </c>
      <c r="G828" s="51" t="s">
        <v>70</v>
      </c>
      <c r="H828" s="52" t="s">
        <v>380</v>
      </c>
      <c r="I828" s="52" t="s">
        <v>5761</v>
      </c>
      <c r="J828" s="46" t="s">
        <v>5762</v>
      </c>
      <c r="K828" s="46" t="s">
        <v>81</v>
      </c>
      <c r="L828" s="46" t="s">
        <v>52</v>
      </c>
      <c r="M828" s="52" t="s">
        <v>5763</v>
      </c>
      <c r="N828" s="46" t="s">
        <v>2771</v>
      </c>
      <c r="O828" s="46" t="s">
        <v>52</v>
      </c>
      <c r="P828" s="46" t="s">
        <v>59</v>
      </c>
      <c r="Q828" s="46" t="s">
        <v>60</v>
      </c>
      <c r="R828" s="46" t="s">
        <v>61</v>
      </c>
      <c r="S828" s="46" t="s">
        <v>62</v>
      </c>
      <c r="T828" s="46" t="s">
        <v>12</v>
      </c>
      <c r="U828" s="46" t="s">
        <v>63</v>
      </c>
    </row>
    <row r="829" spans="1:21">
      <c r="A829" s="47">
        <v>18185702</v>
      </c>
      <c r="B829" s="46" t="s">
        <v>6284</v>
      </c>
      <c r="C829" s="52" t="s">
        <v>783</v>
      </c>
      <c r="E829" s="49" t="str">
        <f t="shared" ca="1" si="20"/>
        <v/>
      </c>
      <c r="G829" s="51" t="s">
        <v>23</v>
      </c>
      <c r="I829" s="52" t="s">
        <v>23</v>
      </c>
      <c r="M829" s="58" t="s">
        <v>25</v>
      </c>
      <c r="N829" s="55"/>
      <c r="O829" s="55"/>
    </row>
    <row r="830" spans="1:21">
      <c r="A830" s="47">
        <v>18186212</v>
      </c>
      <c r="B830" s="46" t="s">
        <v>5979</v>
      </c>
      <c r="C830" s="52" t="s">
        <v>5982</v>
      </c>
      <c r="E830" s="49" t="str">
        <f t="shared" ca="1" si="20"/>
        <v/>
      </c>
      <c r="F830" s="50">
        <v>154151616</v>
      </c>
      <c r="G830" s="51" t="s">
        <v>23</v>
      </c>
      <c r="I830" s="52" t="s">
        <v>23</v>
      </c>
      <c r="J830" s="46" t="s">
        <v>5983</v>
      </c>
      <c r="M830" s="58" t="s">
        <v>25</v>
      </c>
      <c r="N830" s="55">
        <v>4107277</v>
      </c>
      <c r="O830" s="55">
        <v>7277</v>
      </c>
    </row>
    <row r="831" spans="1:21">
      <c r="A831" s="47">
        <v>18186436</v>
      </c>
      <c r="B831" s="46" t="s">
        <v>2503</v>
      </c>
      <c r="C831" s="46" t="s">
        <v>2504</v>
      </c>
      <c r="D831" s="48">
        <v>24527</v>
      </c>
      <c r="E831" s="49">
        <f t="shared" ca="1" si="20"/>
        <v>59.345653661875431</v>
      </c>
      <c r="F831" s="50">
        <v>155156833</v>
      </c>
      <c r="G831" s="51" t="s">
        <v>141</v>
      </c>
      <c r="I831" s="59" t="s">
        <v>908</v>
      </c>
      <c r="J831" s="46" t="s">
        <v>2505</v>
      </c>
      <c r="M831" s="53" t="s">
        <v>2506</v>
      </c>
      <c r="N831" s="46">
        <v>4315348</v>
      </c>
      <c r="O831" s="46">
        <v>220</v>
      </c>
    </row>
    <row r="832" spans="1:21">
      <c r="A832" s="47">
        <v>18187552</v>
      </c>
      <c r="B832" s="46" t="s">
        <v>3244</v>
      </c>
      <c r="C832" s="52" t="s">
        <v>3245</v>
      </c>
      <c r="D832" s="48">
        <v>24212</v>
      </c>
      <c r="E832" s="49">
        <f t="shared" ca="1" si="20"/>
        <v>60.208752244165169</v>
      </c>
      <c r="F832" s="50">
        <v>156396532</v>
      </c>
      <c r="G832" s="51" t="s">
        <v>23</v>
      </c>
      <c r="I832" s="52" t="s">
        <v>3166</v>
      </c>
      <c r="J832" s="46" t="s">
        <v>3246</v>
      </c>
      <c r="M832" s="58" t="s">
        <v>25</v>
      </c>
      <c r="N832" s="55"/>
      <c r="O832" s="55"/>
    </row>
    <row r="833" spans="1:21">
      <c r="A833" s="47">
        <v>18187693</v>
      </c>
      <c r="B833" s="46" t="s">
        <v>4766</v>
      </c>
      <c r="C833" s="46" t="s">
        <v>783</v>
      </c>
      <c r="E833" s="49" t="str">
        <f t="shared" ca="1" si="20"/>
        <v/>
      </c>
      <c r="F833" s="50">
        <v>155895546</v>
      </c>
      <c r="G833" s="51" t="s">
        <v>23</v>
      </c>
      <c r="I833" s="65" t="s">
        <v>4708</v>
      </c>
      <c r="M833" s="53" t="s">
        <v>4767</v>
      </c>
      <c r="N833" s="46">
        <v>4847324</v>
      </c>
      <c r="O833" s="46" t="s">
        <v>4768</v>
      </c>
    </row>
    <row r="834" spans="1:21">
      <c r="A834" s="47">
        <v>18187738</v>
      </c>
      <c r="B834" s="46" t="s">
        <v>195</v>
      </c>
      <c r="C834" s="52" t="s">
        <v>2959</v>
      </c>
      <c r="D834" s="48">
        <v>24491</v>
      </c>
      <c r="E834" s="49">
        <f t="shared" ca="1" si="20"/>
        <v>59.444216290212182</v>
      </c>
      <c r="F834" s="50">
        <v>156533071</v>
      </c>
      <c r="G834" s="51" t="s">
        <v>23</v>
      </c>
      <c r="I834" s="52" t="s">
        <v>2926</v>
      </c>
      <c r="J834" s="46" t="s">
        <v>2960</v>
      </c>
      <c r="M834" s="58" t="s">
        <v>25</v>
      </c>
      <c r="N834" s="55">
        <v>4107373</v>
      </c>
      <c r="O834" s="55"/>
    </row>
    <row r="835" spans="1:21">
      <c r="A835" s="47">
        <v>18189383</v>
      </c>
      <c r="B835" s="69" t="s">
        <v>4842</v>
      </c>
      <c r="C835" s="52" t="s">
        <v>4843</v>
      </c>
      <c r="D835" s="48" t="s">
        <v>52</v>
      </c>
      <c r="E835" s="49" t="str">
        <f t="shared" ca="1" si="20"/>
        <v/>
      </c>
      <c r="F835" s="50" t="s">
        <v>4844</v>
      </c>
      <c r="G835" s="51" t="s">
        <v>141</v>
      </c>
      <c r="H835" s="52" t="s">
        <v>52</v>
      </c>
      <c r="I835" s="52" t="s">
        <v>4815</v>
      </c>
      <c r="J835" s="46" t="s">
        <v>4845</v>
      </c>
      <c r="K835" s="46" t="s">
        <v>159</v>
      </c>
      <c r="L835" s="46" t="s">
        <v>52</v>
      </c>
      <c r="M835" s="53" t="s">
        <v>4846</v>
      </c>
      <c r="N835" s="55" t="s">
        <v>52</v>
      </c>
      <c r="O835" s="55" t="s">
        <v>52</v>
      </c>
      <c r="P835" s="46" t="s">
        <v>59</v>
      </c>
      <c r="Q835" s="46" t="s">
        <v>60</v>
      </c>
      <c r="R835" s="46" t="s">
        <v>61</v>
      </c>
      <c r="S835" s="46" t="s">
        <v>62</v>
      </c>
      <c r="T835" s="46" t="s">
        <v>12</v>
      </c>
      <c r="U835" s="46" t="s">
        <v>63</v>
      </c>
    </row>
    <row r="836" spans="1:21">
      <c r="A836" s="47">
        <v>18203486</v>
      </c>
      <c r="B836" s="46" t="s">
        <v>1968</v>
      </c>
      <c r="C836" s="52" t="s">
        <v>1969</v>
      </c>
      <c r="D836" s="48">
        <v>24585</v>
      </c>
      <c r="E836" s="49">
        <f t="shared" ca="1" si="20"/>
        <v>59.186858316221766</v>
      </c>
      <c r="F836" s="50">
        <v>156236911</v>
      </c>
      <c r="G836" s="51" t="s">
        <v>23</v>
      </c>
      <c r="I836" s="52" t="s">
        <v>1881</v>
      </c>
      <c r="J836" s="46" t="s">
        <v>1970</v>
      </c>
      <c r="M836" s="53" t="s">
        <v>1971</v>
      </c>
      <c r="N836" s="55"/>
      <c r="O836" s="55"/>
    </row>
    <row r="837" spans="1:21">
      <c r="A837" s="47">
        <v>18229240</v>
      </c>
      <c r="B837" s="46" t="s">
        <v>3465</v>
      </c>
      <c r="C837" s="46" t="s">
        <v>3466</v>
      </c>
      <c r="D837" s="48">
        <v>24430</v>
      </c>
      <c r="E837" s="49">
        <f t="shared" ca="1" si="20"/>
        <v>59.611894075403953</v>
      </c>
      <c r="F837" s="50">
        <v>154136960</v>
      </c>
      <c r="G837" s="51" t="s">
        <v>352</v>
      </c>
      <c r="I837" s="52" t="s">
        <v>3427</v>
      </c>
      <c r="J837" s="46" t="s">
        <v>3467</v>
      </c>
      <c r="M837" s="53" t="s">
        <v>3468</v>
      </c>
      <c r="O837" s="46">
        <v>7053</v>
      </c>
    </row>
    <row r="838" spans="1:21">
      <c r="A838" s="47">
        <v>18230663</v>
      </c>
      <c r="B838" s="46" t="s">
        <v>2375</v>
      </c>
      <c r="C838" s="46" t="s">
        <v>1585</v>
      </c>
      <c r="D838" s="48">
        <v>24535</v>
      </c>
      <c r="E838" s="49">
        <f t="shared" ca="1" si="20"/>
        <v>59.323750855578368</v>
      </c>
      <c r="F838" s="50">
        <v>156637491</v>
      </c>
      <c r="G838" s="51" t="s">
        <v>23</v>
      </c>
      <c r="I838" s="52" t="s">
        <v>4954</v>
      </c>
      <c r="M838" s="53" t="s">
        <v>2381</v>
      </c>
    </row>
    <row r="839" spans="1:21">
      <c r="A839" s="47">
        <v>18230668</v>
      </c>
      <c r="B839" s="46" t="s">
        <v>2375</v>
      </c>
      <c r="C839" s="46" t="s">
        <v>2376</v>
      </c>
      <c r="D839" s="48" t="s">
        <v>2377</v>
      </c>
      <c r="E839" s="49">
        <f t="shared" ca="1" si="20"/>
        <v>59.323750855578368</v>
      </c>
      <c r="F839" s="50" t="s">
        <v>2378</v>
      </c>
      <c r="G839" s="51" t="s">
        <v>78</v>
      </c>
      <c r="H839" s="52" t="s">
        <v>2379</v>
      </c>
      <c r="I839" s="52" t="s">
        <v>1497</v>
      </c>
      <c r="J839" s="46" t="s">
        <v>2380</v>
      </c>
      <c r="K839" s="46" t="s">
        <v>81</v>
      </c>
      <c r="L839" s="46" t="s">
        <v>1732</v>
      </c>
      <c r="M839" s="53" t="s">
        <v>2381</v>
      </c>
      <c r="N839" s="46" t="s">
        <v>52</v>
      </c>
      <c r="O839" s="46" t="s">
        <v>52</v>
      </c>
      <c r="P839" s="46" t="s">
        <v>59</v>
      </c>
      <c r="Q839" s="46" t="s">
        <v>60</v>
      </c>
      <c r="R839" s="46" t="s">
        <v>61</v>
      </c>
      <c r="S839" s="46" t="s">
        <v>62</v>
      </c>
      <c r="T839" s="46" t="s">
        <v>12</v>
      </c>
      <c r="U839" s="46" t="s">
        <v>63</v>
      </c>
    </row>
    <row r="840" spans="1:21">
      <c r="A840" s="47">
        <v>18245474</v>
      </c>
      <c r="B840" s="46" t="s">
        <v>415</v>
      </c>
      <c r="C840" s="52" t="s">
        <v>2222</v>
      </c>
      <c r="D840" s="48">
        <v>24776</v>
      </c>
      <c r="E840" s="49">
        <f t="shared" ca="1" si="20"/>
        <v>58.663928815879537</v>
      </c>
      <c r="F840" s="50">
        <v>154651601</v>
      </c>
      <c r="G840" s="51" t="s">
        <v>23</v>
      </c>
      <c r="I840" s="52" t="s">
        <v>1881</v>
      </c>
      <c r="J840" s="55" t="s">
        <v>2223</v>
      </c>
      <c r="K840" s="55"/>
      <c r="L840" s="55"/>
      <c r="M840" s="58" t="s">
        <v>25</v>
      </c>
      <c r="N840" s="55"/>
      <c r="O840" s="55"/>
    </row>
    <row r="841" spans="1:21">
      <c r="A841" s="47">
        <v>18253250</v>
      </c>
      <c r="B841" s="46" t="s">
        <v>680</v>
      </c>
      <c r="C841" s="46" t="s">
        <v>1876</v>
      </c>
      <c r="D841" s="48" t="s">
        <v>52</v>
      </c>
      <c r="E841" s="49" t="str">
        <f t="shared" ca="1" si="20"/>
        <v/>
      </c>
      <c r="F841" s="50" t="s">
        <v>1877</v>
      </c>
      <c r="G841" s="51" t="s">
        <v>70</v>
      </c>
      <c r="H841" s="52" t="s">
        <v>52</v>
      </c>
      <c r="I841" s="52" t="s">
        <v>1657</v>
      </c>
      <c r="J841" s="46" t="s">
        <v>697</v>
      </c>
      <c r="K841" s="46" t="s">
        <v>81</v>
      </c>
      <c r="L841" s="46" t="s">
        <v>52</v>
      </c>
      <c r="M841" s="52" t="s">
        <v>1749</v>
      </c>
      <c r="N841" s="46" t="s">
        <v>52</v>
      </c>
      <c r="O841" s="46" t="s">
        <v>1878</v>
      </c>
      <c r="P841" s="46" t="s">
        <v>59</v>
      </c>
      <c r="Q841" s="46" t="s">
        <v>60</v>
      </c>
      <c r="R841" s="46" t="s">
        <v>61</v>
      </c>
      <c r="S841" s="46" t="s">
        <v>62</v>
      </c>
      <c r="T841" s="46" t="s">
        <v>12</v>
      </c>
      <c r="U841" s="46" t="s">
        <v>63</v>
      </c>
    </row>
    <row r="842" spans="1:21">
      <c r="A842" s="64">
        <v>18255789</v>
      </c>
      <c r="B842" s="61" t="s">
        <v>6378</v>
      </c>
      <c r="C842" s="62" t="s">
        <v>2196</v>
      </c>
      <c r="D842" s="48">
        <v>24515</v>
      </c>
      <c r="E842" s="49">
        <f t="shared" ca="1" si="20"/>
        <v>59.378507871321013</v>
      </c>
      <c r="G842" s="51" t="s">
        <v>23</v>
      </c>
      <c r="I842" s="52" t="s">
        <v>23</v>
      </c>
      <c r="M842" s="58" t="s">
        <v>25</v>
      </c>
      <c r="N842" s="55"/>
      <c r="O842" s="55"/>
    </row>
    <row r="843" spans="1:21">
      <c r="A843" s="47">
        <v>18266992</v>
      </c>
      <c r="B843" s="46" t="s">
        <v>5381</v>
      </c>
      <c r="C843" s="52" t="s">
        <v>6208</v>
      </c>
      <c r="D843" s="48">
        <v>24516</v>
      </c>
      <c r="E843" s="49">
        <f t="shared" ca="1" si="20"/>
        <v>59.375770020533878</v>
      </c>
      <c r="G843" s="51" t="s">
        <v>78</v>
      </c>
      <c r="I843" s="52" t="s">
        <v>23</v>
      </c>
      <c r="M843" s="58" t="s">
        <v>25</v>
      </c>
      <c r="N843" s="55"/>
      <c r="O843" s="55"/>
    </row>
    <row r="844" spans="1:21">
      <c r="A844" s="47">
        <v>18276217</v>
      </c>
      <c r="B844" s="46" t="s">
        <v>6168</v>
      </c>
      <c r="C844" s="46" t="s">
        <v>2139</v>
      </c>
      <c r="E844" s="49" t="str">
        <f t="shared" ca="1" si="20"/>
        <v/>
      </c>
      <c r="F844" s="50">
        <v>155822236</v>
      </c>
      <c r="G844" s="51" t="s">
        <v>23</v>
      </c>
      <c r="I844" s="52" t="s">
        <v>23</v>
      </c>
      <c r="M844" s="53" t="s">
        <v>6169</v>
      </c>
    </row>
    <row r="845" spans="1:21">
      <c r="A845" s="66">
        <v>18299635</v>
      </c>
      <c r="B845" s="67" t="s">
        <v>505</v>
      </c>
      <c r="C845" s="52" t="s">
        <v>506</v>
      </c>
      <c r="D845" s="48" t="s">
        <v>52</v>
      </c>
      <c r="E845" s="49" t="str">
        <f t="shared" ca="1" si="20"/>
        <v/>
      </c>
      <c r="F845" s="57" t="s">
        <v>507</v>
      </c>
      <c r="G845" s="51" t="s">
        <v>70</v>
      </c>
      <c r="H845" s="52" t="s">
        <v>508</v>
      </c>
      <c r="I845" s="52" t="s">
        <v>55</v>
      </c>
      <c r="J845" s="46" t="s">
        <v>509</v>
      </c>
      <c r="K845" s="46" t="s">
        <v>81</v>
      </c>
      <c r="L845" s="46" t="s">
        <v>52</v>
      </c>
      <c r="M845" s="53" t="s">
        <v>510</v>
      </c>
      <c r="N845" s="55" t="s">
        <v>52</v>
      </c>
      <c r="O845" s="55" t="s">
        <v>52</v>
      </c>
      <c r="P845" s="46" t="s">
        <v>59</v>
      </c>
      <c r="Q845" s="46" t="s">
        <v>60</v>
      </c>
      <c r="R845" s="46" t="s">
        <v>61</v>
      </c>
      <c r="S845" s="46" t="s">
        <v>62</v>
      </c>
      <c r="T845" s="46" t="s">
        <v>12</v>
      </c>
      <c r="U845" s="46" t="s">
        <v>63</v>
      </c>
    </row>
    <row r="846" spans="1:21">
      <c r="A846" s="47">
        <v>18365322</v>
      </c>
      <c r="B846" s="46" t="s">
        <v>327</v>
      </c>
      <c r="C846" s="52" t="s">
        <v>1173</v>
      </c>
      <c r="D846" s="48">
        <v>24729</v>
      </c>
      <c r="E846" s="49">
        <f t="shared" ca="1" si="20"/>
        <v>58.792607802874741</v>
      </c>
      <c r="F846" s="50">
        <v>154452520</v>
      </c>
      <c r="G846" s="51" t="s">
        <v>23</v>
      </c>
      <c r="I846" s="52" t="s">
        <v>23</v>
      </c>
      <c r="J846" s="46" t="s">
        <v>2207</v>
      </c>
      <c r="M846" s="53" t="s">
        <v>6288</v>
      </c>
      <c r="N846" s="55"/>
      <c r="O846" s="55"/>
    </row>
    <row r="847" spans="1:21">
      <c r="A847" s="47">
        <v>18408803</v>
      </c>
      <c r="B847" s="46" t="s">
        <v>26</v>
      </c>
      <c r="C847" s="52" t="s">
        <v>1883</v>
      </c>
      <c r="E847" s="49" t="str">
        <f t="shared" ca="1" si="20"/>
        <v/>
      </c>
      <c r="F847" s="50">
        <v>154950609</v>
      </c>
      <c r="G847" s="51" t="s">
        <v>23</v>
      </c>
      <c r="I847" s="52" t="s">
        <v>1881</v>
      </c>
      <c r="M847" s="53" t="s">
        <v>1884</v>
      </c>
      <c r="N847" s="55"/>
      <c r="O847" s="55"/>
    </row>
    <row r="848" spans="1:21">
      <c r="A848" s="47">
        <v>18433501</v>
      </c>
      <c r="B848" s="46" t="s">
        <v>2859</v>
      </c>
      <c r="C848" s="46" t="s">
        <v>2860</v>
      </c>
      <c r="D848" s="48">
        <v>24759</v>
      </c>
      <c r="E848" s="49">
        <f t="shared" ca="1" si="20"/>
        <v>58.710472279260777</v>
      </c>
      <c r="F848" s="50">
        <v>154786834</v>
      </c>
      <c r="G848" s="51" t="s">
        <v>70</v>
      </c>
      <c r="I848" s="52" t="s">
        <v>2854</v>
      </c>
      <c r="J848" s="46" t="s">
        <v>816</v>
      </c>
      <c r="M848" s="53" t="s">
        <v>2861</v>
      </c>
      <c r="P848" s="46">
        <v>3</v>
      </c>
    </row>
    <row r="849" spans="1:21">
      <c r="A849" s="47">
        <v>18433635</v>
      </c>
      <c r="B849" s="46" t="s">
        <v>1849</v>
      </c>
      <c r="C849" s="46" t="s">
        <v>1850</v>
      </c>
      <c r="D849" s="48">
        <v>24438</v>
      </c>
      <c r="E849" s="49">
        <f t="shared" ref="E849:E857" ca="1" si="21">IF(D849="","",YEARFRAC(D849,TODAY(),1))</f>
        <v>59.589991023339316</v>
      </c>
      <c r="F849" s="50">
        <v>155298767</v>
      </c>
      <c r="G849" s="51" t="s">
        <v>86</v>
      </c>
      <c r="I849" s="52" t="s">
        <v>1657</v>
      </c>
      <c r="J849" s="46" t="s">
        <v>1851</v>
      </c>
      <c r="M849" s="53" t="s">
        <v>1852</v>
      </c>
      <c r="N849" s="46">
        <v>4107563</v>
      </c>
      <c r="O849" s="46">
        <v>7563</v>
      </c>
    </row>
    <row r="850" spans="1:21">
      <c r="A850" s="47">
        <v>18433911</v>
      </c>
      <c r="B850" s="46" t="s">
        <v>497</v>
      </c>
      <c r="C850" s="52" t="s">
        <v>764</v>
      </c>
      <c r="D850" s="48">
        <v>24674</v>
      </c>
      <c r="E850" s="49">
        <f t="shared" ca="1" si="21"/>
        <v>58.943189596167009</v>
      </c>
      <c r="G850" s="51" t="s">
        <v>141</v>
      </c>
      <c r="I850" s="52" t="s">
        <v>594</v>
      </c>
      <c r="J850" s="46" t="s">
        <v>765</v>
      </c>
      <c r="M850" s="58" t="s">
        <v>25</v>
      </c>
      <c r="N850" s="55">
        <v>4244485</v>
      </c>
      <c r="O850" s="55">
        <v>213</v>
      </c>
    </row>
    <row r="851" spans="1:21">
      <c r="A851" s="47">
        <v>18450400</v>
      </c>
      <c r="B851" s="46" t="s">
        <v>311</v>
      </c>
      <c r="C851" s="46" t="s">
        <v>5614</v>
      </c>
      <c r="D851" s="48" t="s">
        <v>52</v>
      </c>
      <c r="E851" s="49" t="str">
        <f t="shared" ca="1" si="21"/>
        <v/>
      </c>
      <c r="F851" s="50" t="s">
        <v>5615</v>
      </c>
      <c r="G851" s="51" t="s">
        <v>70</v>
      </c>
      <c r="H851" s="52" t="s">
        <v>5616</v>
      </c>
      <c r="I851" s="52" t="s">
        <v>5494</v>
      </c>
      <c r="J851" s="46" t="s">
        <v>52</v>
      </c>
      <c r="K851" s="46" t="s">
        <v>81</v>
      </c>
      <c r="L851" s="46" t="s">
        <v>52</v>
      </c>
      <c r="M851" s="53" t="s">
        <v>5617</v>
      </c>
      <c r="N851" s="46" t="s">
        <v>5618</v>
      </c>
      <c r="O851" s="46" t="s">
        <v>5619</v>
      </c>
      <c r="P851" s="46" t="s">
        <v>59</v>
      </c>
      <c r="Q851" s="46" t="s">
        <v>60</v>
      </c>
      <c r="R851" s="46" t="s">
        <v>61</v>
      </c>
      <c r="S851" s="46" t="s">
        <v>62</v>
      </c>
      <c r="T851" s="46" t="s">
        <v>12</v>
      </c>
      <c r="U851" s="46" t="s">
        <v>63</v>
      </c>
    </row>
    <row r="852" spans="1:21">
      <c r="A852" s="47">
        <v>18461335</v>
      </c>
      <c r="B852" s="46" t="s">
        <v>2919</v>
      </c>
      <c r="C852" s="52" t="s">
        <v>1003</v>
      </c>
      <c r="D852" s="48" t="s">
        <v>52</v>
      </c>
      <c r="E852" s="49" t="str">
        <f t="shared" ca="1" si="21"/>
        <v/>
      </c>
      <c r="F852" s="50" t="s">
        <v>2920</v>
      </c>
      <c r="G852" s="51" t="s">
        <v>70</v>
      </c>
      <c r="H852" s="52" t="s">
        <v>52</v>
      </c>
      <c r="I852" s="52" t="s">
        <v>2915</v>
      </c>
      <c r="J852" s="46" t="s">
        <v>2921</v>
      </c>
      <c r="K852" s="46" t="s">
        <v>81</v>
      </c>
      <c r="L852" s="46" t="s">
        <v>52</v>
      </c>
      <c r="M852" s="58" t="s">
        <v>2922</v>
      </c>
      <c r="N852" s="55" t="s">
        <v>2918</v>
      </c>
      <c r="O852" s="55" t="s">
        <v>52</v>
      </c>
      <c r="P852" s="46" t="s">
        <v>59</v>
      </c>
      <c r="Q852" s="46" t="s">
        <v>60</v>
      </c>
      <c r="R852" s="46" t="s">
        <v>61</v>
      </c>
      <c r="S852" s="46" t="s">
        <v>62</v>
      </c>
      <c r="T852" s="46" t="s">
        <v>12</v>
      </c>
      <c r="U852" s="46" t="s">
        <v>63</v>
      </c>
    </row>
    <row r="853" spans="1:21">
      <c r="A853" s="47">
        <v>18463764</v>
      </c>
      <c r="B853" s="46" t="s">
        <v>927</v>
      </c>
      <c r="C853" s="46" t="s">
        <v>928</v>
      </c>
      <c r="D853" s="48">
        <v>24730</v>
      </c>
      <c r="E853" s="49">
        <f t="shared" ca="1" si="21"/>
        <v>58.789869952087614</v>
      </c>
      <c r="F853" s="50">
        <v>155898404</v>
      </c>
      <c r="G853" s="51" t="s">
        <v>23</v>
      </c>
      <c r="I853" s="59" t="s">
        <v>908</v>
      </c>
      <c r="M853" s="53" t="s">
        <v>929</v>
      </c>
      <c r="N853" s="46">
        <v>4247752</v>
      </c>
      <c r="O853" s="46">
        <v>7211</v>
      </c>
    </row>
    <row r="854" spans="1:21">
      <c r="A854" s="64">
        <v>18464031</v>
      </c>
      <c r="B854" s="61" t="s">
        <v>879</v>
      </c>
      <c r="C854" s="62" t="s">
        <v>880</v>
      </c>
      <c r="D854" s="48">
        <v>24774</v>
      </c>
      <c r="E854" s="49">
        <f t="shared" ca="1" si="21"/>
        <v>58.669404517453799</v>
      </c>
      <c r="F854" s="63">
        <v>154647438</v>
      </c>
      <c r="G854" s="51" t="s">
        <v>23</v>
      </c>
      <c r="I854" s="52" t="s">
        <v>848</v>
      </c>
      <c r="J854" s="61" t="s">
        <v>881</v>
      </c>
      <c r="K854" s="61"/>
      <c r="L854" s="61"/>
      <c r="M854" s="53" t="s">
        <v>882</v>
      </c>
      <c r="N854" s="55"/>
      <c r="O854" s="55"/>
    </row>
    <row r="855" spans="1:21">
      <c r="A855" s="47">
        <v>18464515</v>
      </c>
      <c r="B855" s="46" t="s">
        <v>4570</v>
      </c>
      <c r="C855" s="52" t="s">
        <v>4571</v>
      </c>
      <c r="D855" s="48">
        <v>24608</v>
      </c>
      <c r="E855" s="49">
        <f t="shared" ca="1" si="21"/>
        <v>59.123887748117724</v>
      </c>
      <c r="F855" s="50">
        <v>155841474</v>
      </c>
      <c r="G855" s="51" t="s">
        <v>70</v>
      </c>
      <c r="I855" s="52" t="s">
        <v>4499</v>
      </c>
      <c r="J855" s="46" t="s">
        <v>4572</v>
      </c>
      <c r="M855" s="53" t="s">
        <v>4573</v>
      </c>
      <c r="N855" s="55"/>
      <c r="O855" s="55"/>
    </row>
    <row r="856" spans="1:21">
      <c r="A856" s="47">
        <v>18464655</v>
      </c>
      <c r="B856" s="46" t="s">
        <v>247</v>
      </c>
      <c r="C856" s="46" t="s">
        <v>248</v>
      </c>
      <c r="D856" s="48" t="s">
        <v>249</v>
      </c>
      <c r="E856" s="49">
        <f t="shared" ca="1" si="21"/>
        <v>59.348391512662559</v>
      </c>
      <c r="F856" s="50" t="s">
        <v>250</v>
      </c>
      <c r="G856" s="51" t="s">
        <v>141</v>
      </c>
      <c r="H856" s="52" t="s">
        <v>52</v>
      </c>
      <c r="I856" s="52" t="s">
        <v>24</v>
      </c>
      <c r="J856" s="46" t="s">
        <v>38</v>
      </c>
      <c r="K856" s="46" t="s">
        <v>81</v>
      </c>
      <c r="L856" s="46" t="s">
        <v>52</v>
      </c>
      <c r="M856" s="53" t="s">
        <v>251</v>
      </c>
      <c r="N856" s="46" t="s">
        <v>143</v>
      </c>
      <c r="O856" s="46" t="s">
        <v>52</v>
      </c>
      <c r="P856" s="46" t="s">
        <v>59</v>
      </c>
      <c r="Q856" s="46" t="s">
        <v>60</v>
      </c>
      <c r="R856" s="46" t="s">
        <v>61</v>
      </c>
      <c r="S856" s="46" t="s">
        <v>62</v>
      </c>
      <c r="T856" s="46" t="s">
        <v>12</v>
      </c>
      <c r="U856" s="46" t="s">
        <v>63</v>
      </c>
    </row>
    <row r="857" spans="1:21">
      <c r="A857" s="47">
        <v>18465306</v>
      </c>
      <c r="B857" s="46" t="s">
        <v>4267</v>
      </c>
      <c r="C857" s="46" t="s">
        <v>2123</v>
      </c>
      <c r="E857" s="49" t="str">
        <f t="shared" ca="1" si="21"/>
        <v/>
      </c>
      <c r="F857" s="50">
        <v>155164797</v>
      </c>
      <c r="G857" s="51" t="s">
        <v>23</v>
      </c>
      <c r="I857" s="52" t="s">
        <v>4245</v>
      </c>
      <c r="M857" s="53" t="s">
        <v>4268</v>
      </c>
    </row>
    <row r="858" spans="1:21">
      <c r="A858" s="47">
        <v>18465638</v>
      </c>
      <c r="B858" s="46" t="s">
        <v>9323</v>
      </c>
      <c r="C858" s="46" t="s">
        <v>3170</v>
      </c>
      <c r="D858" s="48" t="s">
        <v>9324</v>
      </c>
      <c r="E858" s="49" t="s">
        <v>9325</v>
      </c>
      <c r="F858" s="50" t="s">
        <v>9326</v>
      </c>
      <c r="G858" s="51" t="s">
        <v>78</v>
      </c>
      <c r="H858" s="52" t="s">
        <v>9327</v>
      </c>
      <c r="I858" s="52" t="s">
        <v>4245</v>
      </c>
      <c r="J858" s="46" t="s">
        <v>9328</v>
      </c>
      <c r="K858" s="46" t="s">
        <v>81</v>
      </c>
      <c r="L858" s="46" t="s">
        <v>546</v>
      </c>
      <c r="M858" s="52" t="s">
        <v>9329</v>
      </c>
      <c r="N858" s="46" t="s">
        <v>52</v>
      </c>
      <c r="O858" s="46" t="s">
        <v>52</v>
      </c>
      <c r="P858" s="46" t="s">
        <v>59</v>
      </c>
      <c r="Q858" s="46" t="s">
        <v>60</v>
      </c>
      <c r="R858" s="46" t="s">
        <v>61</v>
      </c>
      <c r="S858" s="46" t="s">
        <v>62</v>
      </c>
      <c r="T858" s="46" t="s">
        <v>12</v>
      </c>
      <c r="U858" s="46" t="s">
        <v>63</v>
      </c>
    </row>
    <row r="859" spans="1:21">
      <c r="A859" s="64">
        <v>18465826</v>
      </c>
      <c r="B859" s="61" t="s">
        <v>1482</v>
      </c>
      <c r="C859" s="62" t="s">
        <v>876</v>
      </c>
      <c r="D859" s="48">
        <v>24596</v>
      </c>
      <c r="E859" s="49">
        <f t="shared" ref="E859:E906" ca="1" si="22">IF(D859="","",YEARFRAC(D859,TODAY(),1))</f>
        <v>59.156741957563312</v>
      </c>
      <c r="F859" s="63"/>
      <c r="G859" s="51" t="s">
        <v>23</v>
      </c>
      <c r="I859" s="52" t="s">
        <v>4499</v>
      </c>
      <c r="J859" s="61" t="s">
        <v>4523</v>
      </c>
      <c r="K859" s="61"/>
      <c r="L859" s="61"/>
      <c r="M859" s="53" t="s">
        <v>4524</v>
      </c>
      <c r="N859" s="55"/>
      <c r="O859" s="55"/>
    </row>
    <row r="860" spans="1:21">
      <c r="A860" s="47">
        <v>18465917</v>
      </c>
      <c r="B860" s="46" t="s">
        <v>652</v>
      </c>
      <c r="C860" s="46" t="s">
        <v>3933</v>
      </c>
      <c r="E860" s="49" t="str">
        <f t="shared" ca="1" si="22"/>
        <v/>
      </c>
      <c r="G860" s="51" t="s">
        <v>70</v>
      </c>
      <c r="I860" s="52" t="s">
        <v>3922</v>
      </c>
      <c r="M860" s="53" t="s">
        <v>3934</v>
      </c>
    </row>
    <row r="861" spans="1:21">
      <c r="A861" s="47">
        <v>18473585</v>
      </c>
      <c r="B861" s="46" t="s">
        <v>680</v>
      </c>
      <c r="C861" s="55" t="s">
        <v>681</v>
      </c>
      <c r="D861" s="48">
        <v>24658</v>
      </c>
      <c r="E861" s="49">
        <f t="shared" ca="1" si="22"/>
        <v>58.986995208761122</v>
      </c>
      <c r="F861" s="50">
        <v>155009298</v>
      </c>
      <c r="G861" s="51" t="s">
        <v>23</v>
      </c>
      <c r="I861" s="52" t="s">
        <v>594</v>
      </c>
      <c r="M861" s="53" t="s">
        <v>682</v>
      </c>
    </row>
    <row r="862" spans="1:21">
      <c r="A862" s="47">
        <v>18474448</v>
      </c>
      <c r="B862" s="46" t="s">
        <v>4755</v>
      </c>
      <c r="C862" s="46" t="s">
        <v>4756</v>
      </c>
      <c r="E862" s="49" t="str">
        <f t="shared" ca="1" si="22"/>
        <v/>
      </c>
      <c r="F862" s="50">
        <v>154046238</v>
      </c>
      <c r="G862" s="51" t="s">
        <v>23</v>
      </c>
      <c r="I862" s="65" t="s">
        <v>4708</v>
      </c>
      <c r="M862" s="53" t="s">
        <v>4757</v>
      </c>
      <c r="N862" s="46">
        <v>4847324</v>
      </c>
      <c r="O862" s="46" t="s">
        <v>4758</v>
      </c>
    </row>
    <row r="863" spans="1:21">
      <c r="A863" s="47">
        <v>18482300</v>
      </c>
      <c r="B863" s="46" t="s">
        <v>342</v>
      </c>
      <c r="C863" s="52" t="s">
        <v>3247</v>
      </c>
      <c r="D863" s="48">
        <v>24835</v>
      </c>
      <c r="E863" s="49">
        <f t="shared" ca="1" si="22"/>
        <v>58.502395619438744</v>
      </c>
      <c r="G863" s="51" t="s">
        <v>23</v>
      </c>
      <c r="I863" s="52" t="s">
        <v>3166</v>
      </c>
      <c r="J863" s="46" t="s">
        <v>3248</v>
      </c>
      <c r="M863" s="58" t="s">
        <v>25</v>
      </c>
      <c r="N863" s="55"/>
      <c r="O863" s="55"/>
    </row>
    <row r="864" spans="1:21">
      <c r="A864" s="47">
        <v>18501320</v>
      </c>
      <c r="B864" s="46" t="s">
        <v>1168</v>
      </c>
      <c r="C864" s="52" t="s">
        <v>571</v>
      </c>
      <c r="D864" s="48">
        <v>24837</v>
      </c>
      <c r="E864" s="49">
        <f t="shared" ca="1" si="22"/>
        <v>58.496919917864474</v>
      </c>
      <c r="G864" s="51" t="s">
        <v>23</v>
      </c>
      <c r="I864" s="59" t="s">
        <v>908</v>
      </c>
      <c r="J864" s="46" t="s">
        <v>1169</v>
      </c>
      <c r="M864" s="53" t="s">
        <v>1170</v>
      </c>
      <c r="N864" s="55"/>
      <c r="O864" s="55"/>
    </row>
    <row r="865" spans="1:21">
      <c r="A865" s="47">
        <v>18505921</v>
      </c>
      <c r="B865" s="46" t="s">
        <v>2422</v>
      </c>
      <c r="C865" s="52" t="s">
        <v>2878</v>
      </c>
      <c r="D865" s="48">
        <v>29909</v>
      </c>
      <c r="E865" s="49">
        <f t="shared" ca="1" si="22"/>
        <v>44.611868341170165</v>
      </c>
      <c r="F865" s="50">
        <v>155663957</v>
      </c>
      <c r="G865" s="51" t="s">
        <v>23</v>
      </c>
      <c r="I865" s="52" t="s">
        <v>5761</v>
      </c>
      <c r="J865" s="46" t="s">
        <v>2264</v>
      </c>
      <c r="M865" s="53" t="s">
        <v>2559</v>
      </c>
      <c r="N865" s="55"/>
      <c r="O865" s="55"/>
    </row>
    <row r="866" spans="1:21">
      <c r="A866" s="47">
        <v>18513287</v>
      </c>
      <c r="B866" s="46" t="s">
        <v>6090</v>
      </c>
      <c r="C866" s="52" t="s">
        <v>2447</v>
      </c>
      <c r="E866" s="49" t="str">
        <f t="shared" ca="1" si="22"/>
        <v/>
      </c>
      <c r="G866" s="51" t="s">
        <v>23</v>
      </c>
      <c r="I866" s="52" t="s">
        <v>23</v>
      </c>
      <c r="M866" s="58" t="s">
        <v>25</v>
      </c>
      <c r="N866" s="55"/>
      <c r="O866" s="55"/>
    </row>
    <row r="867" spans="1:21">
      <c r="A867" s="47">
        <v>18523250</v>
      </c>
      <c r="B867" s="46" t="s">
        <v>680</v>
      </c>
      <c r="C867" s="46" t="s">
        <v>1748</v>
      </c>
      <c r="D867" s="48">
        <v>24820</v>
      </c>
      <c r="E867" s="49">
        <f t="shared" ca="1" si="22"/>
        <v>58.543463381245722</v>
      </c>
      <c r="G867" s="51" t="s">
        <v>23</v>
      </c>
      <c r="I867" s="52" t="s">
        <v>1657</v>
      </c>
      <c r="J867" s="46" t="s">
        <v>1691</v>
      </c>
      <c r="M867" s="53" t="s">
        <v>1749</v>
      </c>
    </row>
    <row r="868" spans="1:21">
      <c r="A868" s="47">
        <v>18523328</v>
      </c>
      <c r="B868" s="46" t="s">
        <v>432</v>
      </c>
      <c r="C868" s="46" t="s">
        <v>433</v>
      </c>
      <c r="E868" s="49" t="str">
        <f t="shared" ca="1" si="22"/>
        <v/>
      </c>
      <c r="F868" s="50">
        <v>156814116</v>
      </c>
      <c r="G868" s="51" t="s">
        <v>23</v>
      </c>
      <c r="I868" s="52" t="s">
        <v>24</v>
      </c>
      <c r="M868" s="53" t="s">
        <v>434</v>
      </c>
    </row>
    <row r="869" spans="1:21">
      <c r="A869" s="47">
        <v>18536980</v>
      </c>
      <c r="B869" s="46" t="s">
        <v>608</v>
      </c>
      <c r="C869" s="46" t="s">
        <v>634</v>
      </c>
      <c r="E869" s="49" t="str">
        <f t="shared" ca="1" si="22"/>
        <v/>
      </c>
      <c r="G869" s="51" t="s">
        <v>23</v>
      </c>
      <c r="I869" s="52" t="s">
        <v>23</v>
      </c>
      <c r="M869" s="58" t="s">
        <v>25</v>
      </c>
    </row>
    <row r="870" spans="1:21">
      <c r="A870" s="47">
        <v>18545210</v>
      </c>
      <c r="B870" s="46" t="s">
        <v>1720</v>
      </c>
      <c r="C870" s="46" t="s">
        <v>1721</v>
      </c>
      <c r="D870" s="48" t="s">
        <v>52</v>
      </c>
      <c r="E870" s="49" t="str">
        <f t="shared" ca="1" si="22"/>
        <v/>
      </c>
      <c r="F870" s="50" t="s">
        <v>1722</v>
      </c>
      <c r="G870" s="51" t="s">
        <v>70</v>
      </c>
      <c r="H870" s="52" t="s">
        <v>1723</v>
      </c>
      <c r="I870" s="52" t="s">
        <v>1657</v>
      </c>
      <c r="J870" s="46" t="s">
        <v>1724</v>
      </c>
      <c r="K870" s="46" t="s">
        <v>390</v>
      </c>
      <c r="L870" s="46" t="s">
        <v>52</v>
      </c>
      <c r="M870" s="53" t="s">
        <v>1725</v>
      </c>
      <c r="N870" s="46" t="s">
        <v>1726</v>
      </c>
      <c r="O870" s="46" t="s">
        <v>52</v>
      </c>
      <c r="P870" s="46" t="s">
        <v>59</v>
      </c>
      <c r="Q870" s="46" t="s">
        <v>60</v>
      </c>
      <c r="R870" s="46" t="s">
        <v>61</v>
      </c>
      <c r="S870" s="46" t="s">
        <v>62</v>
      </c>
      <c r="T870" s="46" t="s">
        <v>12</v>
      </c>
      <c r="U870" s="46" t="s">
        <v>63</v>
      </c>
    </row>
    <row r="871" spans="1:21">
      <c r="A871" s="47">
        <v>18546331</v>
      </c>
      <c r="B871" s="46" t="s">
        <v>144</v>
      </c>
      <c r="C871" s="52" t="s">
        <v>922</v>
      </c>
      <c r="D871" s="48">
        <v>23807</v>
      </c>
      <c r="E871" s="49">
        <f t="shared" ca="1" si="22"/>
        <v>61.318260101567674</v>
      </c>
      <c r="G871" s="51" t="s">
        <v>23</v>
      </c>
      <c r="I871" s="52" t="s">
        <v>3166</v>
      </c>
      <c r="J871" s="46" t="s">
        <v>3191</v>
      </c>
      <c r="M871" s="58" t="s">
        <v>25</v>
      </c>
      <c r="N871" s="55">
        <v>4006858</v>
      </c>
      <c r="O871" s="55">
        <v>56</v>
      </c>
    </row>
    <row r="872" spans="1:21">
      <c r="A872" s="47">
        <v>18566394</v>
      </c>
      <c r="B872" s="46" t="s">
        <v>144</v>
      </c>
      <c r="C872" s="46" t="s">
        <v>283</v>
      </c>
      <c r="D872" s="48">
        <v>24776</v>
      </c>
      <c r="E872" s="49">
        <f t="shared" ca="1" si="22"/>
        <v>58.663928815879537</v>
      </c>
      <c r="F872" s="50">
        <v>153397038</v>
      </c>
      <c r="G872" s="51" t="s">
        <v>70</v>
      </c>
      <c r="I872" s="52" t="s">
        <v>2427</v>
      </c>
      <c r="M872" s="53" t="s">
        <v>2429</v>
      </c>
      <c r="N872" s="46">
        <v>4107260</v>
      </c>
      <c r="O872" s="46">
        <v>6881</v>
      </c>
    </row>
    <row r="873" spans="1:21">
      <c r="A873" s="47">
        <v>18577667</v>
      </c>
      <c r="B873" s="46" t="s">
        <v>5769</v>
      </c>
      <c r="C873" s="55" t="s">
        <v>5770</v>
      </c>
      <c r="D873" s="48">
        <v>24518</v>
      </c>
      <c r="E873" s="49">
        <f t="shared" ca="1" si="22"/>
        <v>59.370294318959616</v>
      </c>
      <c r="F873" s="50">
        <v>154635778</v>
      </c>
      <c r="G873" s="51" t="s">
        <v>141</v>
      </c>
      <c r="I873" s="52" t="s">
        <v>5761</v>
      </c>
      <c r="J873" s="55"/>
      <c r="K873" s="55"/>
      <c r="L873" s="55"/>
      <c r="M873" s="53" t="s">
        <v>5771</v>
      </c>
      <c r="N873" s="55">
        <v>4245890</v>
      </c>
      <c r="O873" s="55">
        <v>7250</v>
      </c>
    </row>
    <row r="874" spans="1:21">
      <c r="A874" s="47">
        <v>18577669</v>
      </c>
      <c r="B874" s="46" t="s">
        <v>730</v>
      </c>
      <c r="C874" s="55" t="s">
        <v>731</v>
      </c>
      <c r="D874" s="48">
        <v>24271</v>
      </c>
      <c r="E874" s="49">
        <f t="shared" ca="1" si="22"/>
        <v>60.047217235188512</v>
      </c>
      <c r="F874" s="50">
        <v>155721732</v>
      </c>
      <c r="G874" s="51" t="s">
        <v>86</v>
      </c>
      <c r="I874" s="52" t="s">
        <v>594</v>
      </c>
      <c r="J874" s="55"/>
      <c r="K874" s="55"/>
      <c r="L874" s="55"/>
      <c r="M874" s="58" t="s">
        <v>25</v>
      </c>
      <c r="N874" s="55"/>
      <c r="O874" s="55"/>
    </row>
    <row r="875" spans="1:21">
      <c r="A875" s="47">
        <v>18591917</v>
      </c>
      <c r="B875" s="46" t="s">
        <v>1155</v>
      </c>
      <c r="C875" s="52" t="s">
        <v>1156</v>
      </c>
      <c r="D875" s="48">
        <v>24742</v>
      </c>
      <c r="E875" s="49">
        <f t="shared" ca="1" si="22"/>
        <v>58.757015742642025</v>
      </c>
      <c r="F875" s="50">
        <v>154651765</v>
      </c>
      <c r="G875" s="51" t="s">
        <v>23</v>
      </c>
      <c r="I875" s="59" t="s">
        <v>908</v>
      </c>
      <c r="J875" s="46" t="s">
        <v>1157</v>
      </c>
      <c r="M875" s="58" t="s">
        <v>25</v>
      </c>
      <c r="N875" s="55"/>
      <c r="O875" s="55"/>
    </row>
    <row r="876" spans="1:21">
      <c r="A876" s="47">
        <v>18592248</v>
      </c>
      <c r="B876" s="46" t="s">
        <v>350</v>
      </c>
      <c r="C876" s="46" t="s">
        <v>4612</v>
      </c>
      <c r="D876" s="48">
        <v>24836</v>
      </c>
      <c r="E876" s="49">
        <f t="shared" ca="1" si="22"/>
        <v>58.499657768651609</v>
      </c>
      <c r="F876" s="50">
        <v>154683734</v>
      </c>
      <c r="G876" s="51" t="s">
        <v>70</v>
      </c>
      <c r="I876" s="52" t="s">
        <v>4499</v>
      </c>
      <c r="J876" s="46" t="s">
        <v>4613</v>
      </c>
      <c r="M876" s="53" t="s">
        <v>4614</v>
      </c>
      <c r="N876" s="46">
        <v>4847318</v>
      </c>
      <c r="P876" s="46">
        <v>3</v>
      </c>
    </row>
    <row r="877" spans="1:21">
      <c r="A877" s="47">
        <v>18593315</v>
      </c>
      <c r="B877" s="46" t="s">
        <v>6000</v>
      </c>
      <c r="C877" s="52" t="s">
        <v>5187</v>
      </c>
      <c r="E877" s="49" t="str">
        <f t="shared" ca="1" si="22"/>
        <v/>
      </c>
      <c r="G877" s="51" t="s">
        <v>23</v>
      </c>
      <c r="I877" s="52" t="s">
        <v>23</v>
      </c>
      <c r="M877" s="58" t="s">
        <v>25</v>
      </c>
      <c r="N877" s="55"/>
      <c r="O877" s="55"/>
    </row>
    <row r="878" spans="1:21">
      <c r="A878" s="47">
        <v>18593325</v>
      </c>
      <c r="B878" s="46" t="s">
        <v>4088</v>
      </c>
      <c r="C878" s="52" t="s">
        <v>5187</v>
      </c>
      <c r="D878" s="48">
        <v>24707</v>
      </c>
      <c r="E878" s="49">
        <f t="shared" ca="1" si="22"/>
        <v>58.852840520191648</v>
      </c>
      <c r="F878" s="50">
        <v>154588553</v>
      </c>
      <c r="G878" s="51" t="s">
        <v>23</v>
      </c>
      <c r="I878" s="52" t="s">
        <v>5494</v>
      </c>
      <c r="J878" s="46" t="s">
        <v>673</v>
      </c>
      <c r="M878" s="53" t="s">
        <v>5515</v>
      </c>
      <c r="N878" s="55"/>
      <c r="O878" s="55"/>
    </row>
    <row r="879" spans="1:21">
      <c r="A879" s="47">
        <v>18611324</v>
      </c>
      <c r="B879" s="46" t="s">
        <v>1855</v>
      </c>
      <c r="C879" s="52" t="s">
        <v>178</v>
      </c>
      <c r="D879" s="48">
        <v>24368</v>
      </c>
      <c r="E879" s="49">
        <f t="shared" ca="1" si="22"/>
        <v>59.781642728904849</v>
      </c>
      <c r="F879" s="50">
        <v>155933138</v>
      </c>
      <c r="G879" s="51" t="s">
        <v>23</v>
      </c>
      <c r="I879" s="52" t="s">
        <v>1657</v>
      </c>
      <c r="J879" s="46" t="s">
        <v>1856</v>
      </c>
      <c r="M879" s="53" t="s">
        <v>1857</v>
      </c>
      <c r="N879" s="55"/>
      <c r="O879" s="55"/>
    </row>
    <row r="880" spans="1:21">
      <c r="A880" s="47">
        <v>18617184</v>
      </c>
      <c r="B880" s="46" t="s">
        <v>184</v>
      </c>
      <c r="C880" s="52" t="s">
        <v>3212</v>
      </c>
      <c r="D880" s="48">
        <v>24677</v>
      </c>
      <c r="E880" s="49">
        <f t="shared" ca="1" si="22"/>
        <v>58.934976043805612</v>
      </c>
      <c r="G880" s="51" t="s">
        <v>23</v>
      </c>
      <c r="I880" s="52" t="s">
        <v>3166</v>
      </c>
      <c r="J880" s="46" t="s">
        <v>2080</v>
      </c>
      <c r="M880" s="58" t="s">
        <v>25</v>
      </c>
      <c r="N880" s="55">
        <v>4292485</v>
      </c>
      <c r="O880" s="55"/>
    </row>
    <row r="881" spans="1:21">
      <c r="A881" s="47">
        <v>18617591</v>
      </c>
      <c r="B881" s="46" t="s">
        <v>1008</v>
      </c>
      <c r="C881" s="46" t="s">
        <v>761</v>
      </c>
      <c r="D881" s="48">
        <v>25334</v>
      </c>
      <c r="E881" s="49">
        <f t="shared" ca="1" si="22"/>
        <v>57.137556646525681</v>
      </c>
      <c r="F881" s="50">
        <v>155870582</v>
      </c>
      <c r="G881" s="51" t="s">
        <v>78</v>
      </c>
      <c r="I881" s="59" t="s">
        <v>908</v>
      </c>
      <c r="J881" s="46" t="s">
        <v>1009</v>
      </c>
      <c r="M881" s="53" t="s">
        <v>1010</v>
      </c>
      <c r="N881" s="46">
        <v>4107203</v>
      </c>
      <c r="O881" s="46">
        <v>7203</v>
      </c>
    </row>
    <row r="882" spans="1:21">
      <c r="A882" s="47">
        <v>18622383</v>
      </c>
      <c r="B882" s="46" t="s">
        <v>6298</v>
      </c>
      <c r="C882" s="52" t="s">
        <v>6299</v>
      </c>
      <c r="E882" s="49" t="str">
        <f t="shared" ca="1" si="22"/>
        <v/>
      </c>
      <c r="G882" s="51" t="s">
        <v>23</v>
      </c>
      <c r="I882" s="52" t="s">
        <v>23</v>
      </c>
      <c r="M882" s="58" t="s">
        <v>25</v>
      </c>
      <c r="N882" s="55"/>
      <c r="O882" s="55"/>
    </row>
    <row r="883" spans="1:21">
      <c r="A883" s="47">
        <v>18652829</v>
      </c>
      <c r="B883" s="46" t="s">
        <v>2629</v>
      </c>
      <c r="C883" s="46" t="s">
        <v>2630</v>
      </c>
      <c r="D883" s="48">
        <v>24362</v>
      </c>
      <c r="E883" s="49">
        <f t="shared" ca="1" si="22"/>
        <v>59.798070017953322</v>
      </c>
      <c r="F883" s="50">
        <v>153575435</v>
      </c>
      <c r="G883" s="51" t="s">
        <v>141</v>
      </c>
      <c r="I883" s="59" t="s">
        <v>908</v>
      </c>
      <c r="M883" s="53" t="s">
        <v>2631</v>
      </c>
      <c r="N883" s="46">
        <v>4215122</v>
      </c>
    </row>
    <row r="884" spans="1:21">
      <c r="A884" s="47">
        <v>18661195</v>
      </c>
      <c r="B884" s="46" t="s">
        <v>8781</v>
      </c>
      <c r="C884" s="46" t="s">
        <v>6638</v>
      </c>
      <c r="D884" s="48" t="s">
        <v>52</v>
      </c>
      <c r="E884" s="49" t="str">
        <f t="shared" ca="1" si="22"/>
        <v/>
      </c>
      <c r="F884" s="50" t="s">
        <v>6639</v>
      </c>
      <c r="G884" s="51" t="s">
        <v>78</v>
      </c>
      <c r="H884" s="52" t="s">
        <v>6640</v>
      </c>
      <c r="I884" s="52" t="s">
        <v>24</v>
      </c>
      <c r="J884" s="46" t="s">
        <v>6641</v>
      </c>
      <c r="K884" s="46" t="s">
        <v>81</v>
      </c>
      <c r="L884" s="46" t="s">
        <v>546</v>
      </c>
      <c r="M884" s="52" t="s">
        <v>6642</v>
      </c>
      <c r="N884" s="46" t="s">
        <v>52</v>
      </c>
      <c r="O884" s="46" t="s">
        <v>52</v>
      </c>
      <c r="P884" s="46" t="s">
        <v>59</v>
      </c>
      <c r="Q884" s="46" t="s">
        <v>60</v>
      </c>
      <c r="R884" s="46" t="s">
        <v>61</v>
      </c>
      <c r="S884" s="46" t="s">
        <v>62</v>
      </c>
      <c r="T884" s="46" t="s">
        <v>12</v>
      </c>
      <c r="U884" s="46" t="s">
        <v>63</v>
      </c>
    </row>
    <row r="885" spans="1:21">
      <c r="A885" s="47">
        <v>18663869</v>
      </c>
      <c r="B885" s="46" t="s">
        <v>4384</v>
      </c>
      <c r="C885" s="52" t="s">
        <v>2678</v>
      </c>
      <c r="E885" s="49" t="str">
        <f t="shared" ca="1" si="22"/>
        <v/>
      </c>
      <c r="F885" s="50">
        <v>156361446</v>
      </c>
      <c r="G885" s="51" t="s">
        <v>23</v>
      </c>
      <c r="I885" s="65" t="s">
        <v>4954</v>
      </c>
      <c r="J885" s="46" t="s">
        <v>38</v>
      </c>
      <c r="M885" s="53" t="s">
        <v>5109</v>
      </c>
      <c r="N885" s="55" t="s">
        <v>5110</v>
      </c>
      <c r="O885" s="55"/>
    </row>
    <row r="886" spans="1:21">
      <c r="A886" s="47">
        <v>18723274</v>
      </c>
      <c r="B886" s="46" t="s">
        <v>5526</v>
      </c>
      <c r="C886" s="52" t="s">
        <v>5527</v>
      </c>
      <c r="E886" s="49" t="str">
        <f t="shared" ca="1" si="22"/>
        <v/>
      </c>
      <c r="F886" s="50">
        <v>156317889</v>
      </c>
      <c r="G886" s="51" t="s">
        <v>23</v>
      </c>
      <c r="I886" s="52" t="s">
        <v>5494</v>
      </c>
      <c r="M886" s="58" t="s">
        <v>25</v>
      </c>
      <c r="N886" s="55" t="s">
        <v>5528</v>
      </c>
      <c r="O886" s="55"/>
    </row>
    <row r="887" spans="1:21">
      <c r="A887" s="64">
        <v>18756576</v>
      </c>
      <c r="B887" s="61" t="s">
        <v>5268</v>
      </c>
      <c r="C887" s="62" t="s">
        <v>1769</v>
      </c>
      <c r="D887" s="48" t="s">
        <v>52</v>
      </c>
      <c r="E887" s="49" t="str">
        <f t="shared" ca="1" si="22"/>
        <v/>
      </c>
      <c r="F887" s="63" t="s">
        <v>5269</v>
      </c>
      <c r="G887" s="51" t="s">
        <v>70</v>
      </c>
      <c r="H887" s="52" t="s">
        <v>5270</v>
      </c>
      <c r="I887" s="52" t="s">
        <v>5259</v>
      </c>
      <c r="J887" s="61" t="s">
        <v>5271</v>
      </c>
      <c r="K887" s="61" t="s">
        <v>159</v>
      </c>
      <c r="L887" s="61" t="s">
        <v>52</v>
      </c>
      <c r="M887" s="53" t="s">
        <v>5272</v>
      </c>
      <c r="N887" s="55" t="s">
        <v>5273</v>
      </c>
      <c r="O887" s="55" t="s">
        <v>52</v>
      </c>
      <c r="P887" s="46" t="s">
        <v>59</v>
      </c>
      <c r="Q887" s="46" t="s">
        <v>60</v>
      </c>
      <c r="R887" s="46" t="s">
        <v>61</v>
      </c>
      <c r="S887" s="46" t="s">
        <v>62</v>
      </c>
      <c r="T887" s="46" t="s">
        <v>12</v>
      </c>
      <c r="U887" s="46" t="s">
        <v>63</v>
      </c>
    </row>
    <row r="888" spans="1:21">
      <c r="A888" s="47">
        <v>18889433</v>
      </c>
      <c r="B888" s="46" t="s">
        <v>967</v>
      </c>
      <c r="C888" s="46" t="s">
        <v>968</v>
      </c>
      <c r="D888" s="48">
        <v>21455</v>
      </c>
      <c r="E888" s="49">
        <f t="shared" ca="1" si="22"/>
        <v>67.757003412427594</v>
      </c>
      <c r="F888" s="50">
        <v>3814021260</v>
      </c>
      <c r="G888" s="51" t="s">
        <v>70</v>
      </c>
      <c r="I888" s="59" t="s">
        <v>908</v>
      </c>
      <c r="J888" s="46" t="s">
        <v>316</v>
      </c>
      <c r="M888" s="53" t="s">
        <v>969</v>
      </c>
    </row>
    <row r="889" spans="1:21">
      <c r="A889" s="47">
        <v>19027765</v>
      </c>
      <c r="B889" s="46" t="s">
        <v>3374</v>
      </c>
      <c r="C889" s="55" t="s">
        <v>3375</v>
      </c>
      <c r="D889" s="48">
        <v>29023</v>
      </c>
      <c r="E889" s="49">
        <f t="shared" ca="1" si="22"/>
        <v>47.036276522929498</v>
      </c>
      <c r="F889" s="50">
        <v>155402774</v>
      </c>
      <c r="G889" s="51" t="s">
        <v>70</v>
      </c>
      <c r="I889" s="52" t="s">
        <v>3327</v>
      </c>
      <c r="J889" s="55"/>
      <c r="K889" s="55"/>
      <c r="L889" s="55"/>
      <c r="M889" s="53" t="s">
        <v>3376</v>
      </c>
      <c r="N889" s="55">
        <v>4353681</v>
      </c>
      <c r="O889" s="55">
        <v>105</v>
      </c>
    </row>
    <row r="890" spans="1:21">
      <c r="A890" s="47">
        <v>20044644</v>
      </c>
      <c r="B890" s="46" t="s">
        <v>3570</v>
      </c>
      <c r="C890" s="46" t="s">
        <v>1523</v>
      </c>
      <c r="D890" s="48">
        <v>28304</v>
      </c>
      <c r="E890" s="49">
        <f t="shared" ca="1" si="22"/>
        <v>49.006132953674296</v>
      </c>
      <c r="F890" s="50">
        <v>155404845</v>
      </c>
      <c r="G890" s="51" t="s">
        <v>141</v>
      </c>
      <c r="I890" s="52" t="s">
        <v>3555</v>
      </c>
      <c r="M890" s="53" t="s">
        <v>3571</v>
      </c>
    </row>
    <row r="891" spans="1:21">
      <c r="A891" s="47">
        <v>20051394</v>
      </c>
      <c r="B891" s="46" t="s">
        <v>2386</v>
      </c>
      <c r="C891" s="52" t="s">
        <v>2387</v>
      </c>
      <c r="D891" s="48">
        <v>24932</v>
      </c>
      <c r="E891" s="49">
        <f t="shared" ca="1" si="22"/>
        <v>58.236148491879355</v>
      </c>
      <c r="F891" s="50">
        <v>154566486</v>
      </c>
      <c r="G891" s="51" t="s">
        <v>23</v>
      </c>
      <c r="I891" s="52" t="s">
        <v>1497</v>
      </c>
      <c r="J891" s="46" t="s">
        <v>31</v>
      </c>
      <c r="M891" s="53" t="s">
        <v>2388</v>
      </c>
      <c r="N891" s="55"/>
      <c r="O891" s="55"/>
    </row>
    <row r="892" spans="1:21">
      <c r="A892" s="47">
        <v>20159005</v>
      </c>
      <c r="B892" s="46" t="s">
        <v>3213</v>
      </c>
      <c r="C892" s="52" t="s">
        <v>427</v>
      </c>
      <c r="E892" s="49" t="str">
        <f t="shared" ca="1" si="22"/>
        <v/>
      </c>
      <c r="F892" s="50">
        <v>154409793</v>
      </c>
      <c r="G892" s="51" t="s">
        <v>70</v>
      </c>
      <c r="I892" s="52" t="s">
        <v>3166</v>
      </c>
      <c r="J892" s="46" t="s">
        <v>3214</v>
      </c>
      <c r="M892" s="53" t="s">
        <v>3215</v>
      </c>
      <c r="N892" s="55">
        <v>4318639</v>
      </c>
      <c r="O892" s="55"/>
    </row>
    <row r="893" spans="1:21">
      <c r="A893" s="47">
        <v>20159104</v>
      </c>
      <c r="B893" s="46" t="s">
        <v>4618</v>
      </c>
      <c r="C893" s="52" t="s">
        <v>3388</v>
      </c>
      <c r="D893" s="48">
        <v>24853</v>
      </c>
      <c r="E893" s="49">
        <f t="shared" ca="1" si="22"/>
        <v>58.45243619489559</v>
      </c>
      <c r="F893" s="50">
        <v>154012154</v>
      </c>
      <c r="G893" s="51" t="s">
        <v>23</v>
      </c>
      <c r="I893" s="52" t="s">
        <v>4499</v>
      </c>
      <c r="J893" s="46" t="s">
        <v>4619</v>
      </c>
      <c r="M893" s="53" t="s">
        <v>4620</v>
      </c>
      <c r="N893" s="55"/>
      <c r="O893" s="55"/>
    </row>
    <row r="894" spans="1:21">
      <c r="A894" s="47">
        <v>20159202</v>
      </c>
      <c r="B894" s="46" t="s">
        <v>3129</v>
      </c>
      <c r="C894" s="46" t="s">
        <v>3130</v>
      </c>
      <c r="D894" s="48">
        <v>24860</v>
      </c>
      <c r="E894" s="49">
        <f t="shared" ca="1" si="22"/>
        <v>58.433271461716942</v>
      </c>
      <c r="F894" s="50">
        <v>154744725</v>
      </c>
      <c r="G894" s="51" t="s">
        <v>70</v>
      </c>
      <c r="I894" s="52" t="s">
        <v>3127</v>
      </c>
      <c r="J894" s="55" t="s">
        <v>3131</v>
      </c>
      <c r="K894" s="55"/>
      <c r="L894" s="55"/>
      <c r="M894" s="53" t="s">
        <v>3132</v>
      </c>
      <c r="N894" s="55"/>
      <c r="O894" s="55"/>
      <c r="P894" s="55" t="s">
        <v>1092</v>
      </c>
    </row>
    <row r="895" spans="1:21">
      <c r="A895" s="47">
        <v>20159580</v>
      </c>
      <c r="B895" s="46" t="s">
        <v>118</v>
      </c>
      <c r="C895" s="46" t="s">
        <v>119</v>
      </c>
      <c r="D895" s="48">
        <v>25319</v>
      </c>
      <c r="E895" s="49">
        <f t="shared" ca="1" si="22"/>
        <v>57.178625377643506</v>
      </c>
      <c r="F895" s="50">
        <v>156425039</v>
      </c>
      <c r="G895" s="51" t="s">
        <v>23</v>
      </c>
      <c r="I895" s="52" t="s">
        <v>24</v>
      </c>
      <c r="J895" s="46" t="s">
        <v>120</v>
      </c>
      <c r="M895" s="53" t="s">
        <v>121</v>
      </c>
      <c r="N895" s="46">
        <v>4364093</v>
      </c>
      <c r="O895" s="46">
        <v>7892</v>
      </c>
    </row>
    <row r="896" spans="1:21">
      <c r="A896" s="47">
        <v>20161293</v>
      </c>
      <c r="B896" s="46" t="s">
        <v>2243</v>
      </c>
      <c r="C896" s="46" t="s">
        <v>325</v>
      </c>
      <c r="D896" s="48">
        <v>24904</v>
      </c>
      <c r="E896" s="49">
        <f t="shared" ca="1" si="22"/>
        <v>58.31280742459397</v>
      </c>
      <c r="F896" s="50" t="s">
        <v>4157</v>
      </c>
      <c r="G896" s="51" t="s">
        <v>23</v>
      </c>
      <c r="I896" s="52" t="s">
        <v>4078</v>
      </c>
      <c r="J896" s="46" t="s">
        <v>2140</v>
      </c>
      <c r="M896" s="53" t="s">
        <v>4158</v>
      </c>
    </row>
    <row r="897" spans="1:21">
      <c r="A897" s="66">
        <v>20163207</v>
      </c>
      <c r="B897" s="67" t="s">
        <v>174</v>
      </c>
      <c r="C897" s="52" t="s">
        <v>175</v>
      </c>
      <c r="E897" s="49" t="str">
        <f t="shared" ca="1" si="22"/>
        <v/>
      </c>
      <c r="F897" s="57">
        <v>156110954</v>
      </c>
      <c r="G897" s="51" t="s">
        <v>23</v>
      </c>
      <c r="I897" s="52" t="s">
        <v>24</v>
      </c>
      <c r="M897" s="53" t="s">
        <v>176</v>
      </c>
      <c r="N897" s="55"/>
      <c r="O897" s="55"/>
    </row>
    <row r="898" spans="1:21">
      <c r="A898" s="47">
        <v>20163258</v>
      </c>
      <c r="B898" s="46" t="s">
        <v>2035</v>
      </c>
      <c r="C898" s="52" t="s">
        <v>681</v>
      </c>
      <c r="D898" s="48">
        <v>24906</v>
      </c>
      <c r="E898" s="49">
        <f t="shared" ca="1" si="22"/>
        <v>58.307331786542925</v>
      </c>
      <c r="F898" s="50">
        <v>154727105</v>
      </c>
      <c r="G898" s="51" t="s">
        <v>23</v>
      </c>
      <c r="I898" s="52" t="s">
        <v>1881</v>
      </c>
      <c r="J898" s="46" t="s">
        <v>470</v>
      </c>
      <c r="M898" s="58" t="s">
        <v>25</v>
      </c>
      <c r="N898" s="55">
        <v>4364093</v>
      </c>
      <c r="O898" s="55">
        <v>7910</v>
      </c>
    </row>
    <row r="899" spans="1:21">
      <c r="A899" s="47">
        <v>20163758</v>
      </c>
      <c r="B899" s="46" t="s">
        <v>285</v>
      </c>
      <c r="C899" s="46" t="s">
        <v>6561</v>
      </c>
      <c r="D899" s="48" t="s">
        <v>6562</v>
      </c>
      <c r="E899" s="49">
        <f t="shared" ca="1" si="22"/>
        <v>58.419582366589331</v>
      </c>
      <c r="F899" s="50" t="s">
        <v>6563</v>
      </c>
      <c r="G899" s="51" t="s">
        <v>54</v>
      </c>
      <c r="H899" s="52" t="s">
        <v>52</v>
      </c>
      <c r="I899" s="52" t="s">
        <v>5881</v>
      </c>
      <c r="J899" s="46" t="s">
        <v>6564</v>
      </c>
      <c r="K899" s="46" t="s">
        <v>1206</v>
      </c>
      <c r="L899" s="46" t="s">
        <v>546</v>
      </c>
      <c r="M899" s="52" t="s">
        <v>6565</v>
      </c>
      <c r="N899" s="46" t="s">
        <v>52</v>
      </c>
      <c r="O899" s="46" t="s">
        <v>52</v>
      </c>
      <c r="P899" s="46" t="s">
        <v>59</v>
      </c>
      <c r="Q899" s="46" t="s">
        <v>60</v>
      </c>
      <c r="R899" s="46" t="s">
        <v>61</v>
      </c>
      <c r="S899" s="46" t="s">
        <v>62</v>
      </c>
      <c r="T899" s="46" t="s">
        <v>12</v>
      </c>
      <c r="U899" s="46" t="s">
        <v>63</v>
      </c>
    </row>
    <row r="900" spans="1:21">
      <c r="A900" s="47">
        <v>20171073</v>
      </c>
      <c r="B900" s="46" t="s">
        <v>961</v>
      </c>
      <c r="C900" s="52" t="s">
        <v>4971</v>
      </c>
      <c r="E900" s="49" t="str">
        <f t="shared" ca="1" si="22"/>
        <v/>
      </c>
      <c r="G900" s="51" t="s">
        <v>23</v>
      </c>
      <c r="I900" s="65" t="s">
        <v>4954</v>
      </c>
      <c r="M900" s="58" t="s">
        <v>25</v>
      </c>
      <c r="N900" s="55">
        <v>4005632</v>
      </c>
      <c r="O900" s="55"/>
    </row>
    <row r="901" spans="1:21">
      <c r="A901" s="75">
        <v>20171342</v>
      </c>
      <c r="B901" s="46" t="s">
        <v>394</v>
      </c>
      <c r="C901" s="52" t="s">
        <v>2173</v>
      </c>
      <c r="D901" s="48">
        <v>24856</v>
      </c>
      <c r="E901" s="49">
        <f t="shared" ca="1" si="22"/>
        <v>58.444222737819025</v>
      </c>
      <c r="F901" s="72"/>
      <c r="G901" s="51" t="s">
        <v>23</v>
      </c>
      <c r="I901" s="52" t="s">
        <v>1881</v>
      </c>
      <c r="J901" s="76" t="s">
        <v>2174</v>
      </c>
      <c r="K901" s="76"/>
      <c r="L901" s="76"/>
      <c r="M901" s="77" t="s">
        <v>2175</v>
      </c>
      <c r="N901" s="55"/>
      <c r="O901" s="55"/>
    </row>
    <row r="902" spans="1:21">
      <c r="A902" s="47">
        <v>20171458</v>
      </c>
      <c r="B902" s="46" t="s">
        <v>2813</v>
      </c>
      <c r="C902" s="46" t="s">
        <v>5808</v>
      </c>
      <c r="D902" s="48" t="s">
        <v>52</v>
      </c>
      <c r="E902" s="49" t="str">
        <f t="shared" ca="1" si="22"/>
        <v/>
      </c>
      <c r="F902" s="50" t="s">
        <v>5809</v>
      </c>
      <c r="G902" s="51" t="s">
        <v>141</v>
      </c>
      <c r="H902" s="52" t="s">
        <v>52</v>
      </c>
      <c r="I902" s="52" t="s">
        <v>5761</v>
      </c>
      <c r="J902" s="46" t="s">
        <v>5810</v>
      </c>
      <c r="K902" s="46" t="s">
        <v>52</v>
      </c>
      <c r="L902" s="46" t="s">
        <v>52</v>
      </c>
      <c r="M902" s="53" t="s">
        <v>2814</v>
      </c>
      <c r="N902" s="46" t="s">
        <v>2771</v>
      </c>
      <c r="O902" s="46" t="s">
        <v>52</v>
      </c>
      <c r="P902" s="46" t="s">
        <v>59</v>
      </c>
      <c r="Q902" s="46" t="s">
        <v>60</v>
      </c>
      <c r="R902" s="46" t="s">
        <v>61</v>
      </c>
      <c r="S902" s="46" t="s">
        <v>62</v>
      </c>
      <c r="T902" s="46" t="s">
        <v>12</v>
      </c>
      <c r="U902" s="46" t="s">
        <v>63</v>
      </c>
    </row>
    <row r="903" spans="1:21">
      <c r="A903" s="47">
        <v>20178158</v>
      </c>
      <c r="B903" s="46" t="s">
        <v>5002</v>
      </c>
      <c r="C903" s="52" t="s">
        <v>5003</v>
      </c>
      <c r="D903" s="48" t="s">
        <v>52</v>
      </c>
      <c r="E903" s="49" t="str">
        <f t="shared" ca="1" si="22"/>
        <v/>
      </c>
      <c r="F903" s="50" t="s">
        <v>5004</v>
      </c>
      <c r="G903" s="51" t="s">
        <v>70</v>
      </c>
      <c r="H903" s="52" t="s">
        <v>5005</v>
      </c>
      <c r="I903" s="52" t="s">
        <v>4954</v>
      </c>
      <c r="J903" s="46" t="s">
        <v>5006</v>
      </c>
      <c r="K903" s="46" t="s">
        <v>81</v>
      </c>
      <c r="L903" s="46" t="s">
        <v>52</v>
      </c>
      <c r="M903" s="53" t="s">
        <v>5007</v>
      </c>
      <c r="N903" s="55" t="s">
        <v>5008</v>
      </c>
      <c r="O903" s="55" t="s">
        <v>52</v>
      </c>
      <c r="P903" s="46" t="s">
        <v>59</v>
      </c>
      <c r="Q903" s="46" t="s">
        <v>60</v>
      </c>
      <c r="R903" s="46" t="s">
        <v>61</v>
      </c>
      <c r="S903" s="46" t="s">
        <v>62</v>
      </c>
      <c r="T903" s="46" t="s">
        <v>12</v>
      </c>
      <c r="U903" s="46" t="s">
        <v>63</v>
      </c>
    </row>
    <row r="904" spans="1:21">
      <c r="A904" s="66">
        <v>20178162</v>
      </c>
      <c r="B904" s="67" t="s">
        <v>255</v>
      </c>
      <c r="C904" s="52" t="s">
        <v>215</v>
      </c>
      <c r="D904" s="48">
        <v>24909</v>
      </c>
      <c r="E904" s="49">
        <f t="shared" ca="1" si="22"/>
        <v>58.29911832946636</v>
      </c>
      <c r="F904" s="57">
        <v>3816986353</v>
      </c>
      <c r="G904" s="51" t="s">
        <v>23</v>
      </c>
      <c r="I904" s="52" t="s">
        <v>24</v>
      </c>
      <c r="M904" s="58" t="s">
        <v>25</v>
      </c>
      <c r="N904" s="55"/>
      <c r="O904" s="55"/>
    </row>
    <row r="905" spans="1:21">
      <c r="A905" s="66">
        <v>20178288</v>
      </c>
      <c r="B905" s="67" t="s">
        <v>171</v>
      </c>
      <c r="C905" s="52" t="s">
        <v>172</v>
      </c>
      <c r="D905" s="48">
        <v>24914</v>
      </c>
      <c r="E905" s="49">
        <f t="shared" ca="1" si="22"/>
        <v>58.28542923433875</v>
      </c>
      <c r="F905" s="57"/>
      <c r="G905" s="51" t="s">
        <v>23</v>
      </c>
      <c r="I905" s="52" t="s">
        <v>24</v>
      </c>
      <c r="M905" s="53" t="s">
        <v>173</v>
      </c>
      <c r="N905" s="55"/>
      <c r="O905" s="55"/>
    </row>
    <row r="906" spans="1:21">
      <c r="A906" s="47">
        <v>20178389</v>
      </c>
      <c r="B906" s="46" t="s">
        <v>3176</v>
      </c>
      <c r="C906" s="46" t="s">
        <v>97</v>
      </c>
      <c r="D906" s="48">
        <v>24925</v>
      </c>
      <c r="E906" s="49">
        <f t="shared" ca="1" si="22"/>
        <v>58.255313225058003</v>
      </c>
      <c r="F906" s="50">
        <v>154548607</v>
      </c>
      <c r="G906" s="51" t="s">
        <v>86</v>
      </c>
      <c r="I906" s="52" t="s">
        <v>3166</v>
      </c>
      <c r="J906" s="46" t="s">
        <v>48</v>
      </c>
      <c r="M906" s="53" t="s">
        <v>3177</v>
      </c>
      <c r="N906" s="46">
        <v>4254424</v>
      </c>
      <c r="O906" s="46">
        <v>11</v>
      </c>
    </row>
    <row r="907" spans="1:21">
      <c r="A907" s="74">
        <v>20178395</v>
      </c>
      <c r="B907" s="234" t="s">
        <v>6883</v>
      </c>
      <c r="C907" s="234" t="s">
        <v>7403</v>
      </c>
      <c r="D907" s="235">
        <v>24931</v>
      </c>
      <c r="E907" s="236"/>
      <c r="F907" s="237">
        <v>3816037232</v>
      </c>
      <c r="G907" s="234" t="s">
        <v>70</v>
      </c>
      <c r="H907" s="238" t="s">
        <v>9947</v>
      </c>
      <c r="I907" s="252" t="s">
        <v>1497</v>
      </c>
      <c r="J907" s="234" t="s">
        <v>9980</v>
      </c>
      <c r="K907" s="234" t="s">
        <v>2002</v>
      </c>
      <c r="L907" s="234"/>
      <c r="M907" s="238" t="s">
        <v>9915</v>
      </c>
      <c r="N907" s="234"/>
      <c r="O907" s="234"/>
      <c r="P907" s="234"/>
      <c r="Q907" s="234"/>
      <c r="R907" s="234"/>
      <c r="S907" s="234"/>
      <c r="T907" s="234"/>
      <c r="U907" s="234"/>
    </row>
    <row r="908" spans="1:21">
      <c r="A908" s="47">
        <v>20178405</v>
      </c>
      <c r="B908" s="46" t="s">
        <v>6129</v>
      </c>
      <c r="C908" s="46" t="s">
        <v>6130</v>
      </c>
      <c r="D908" s="48">
        <v>24919</v>
      </c>
      <c r="E908" s="49">
        <f ca="1">IF(D908="","",YEARFRAC(D908,TODAY(),1))</f>
        <v>58.27174013921114</v>
      </c>
      <c r="F908" s="50">
        <v>3816443467</v>
      </c>
      <c r="G908" s="51" t="s">
        <v>70</v>
      </c>
      <c r="I908" s="52" t="s">
        <v>23</v>
      </c>
      <c r="J908" s="46" t="s">
        <v>6131</v>
      </c>
      <c r="M908" s="52" t="s">
        <v>6132</v>
      </c>
      <c r="N908" s="46">
        <v>4977010</v>
      </c>
      <c r="P908" s="46">
        <v>4</v>
      </c>
    </row>
    <row r="909" spans="1:21">
      <c r="A909" s="47">
        <v>20178465</v>
      </c>
      <c r="B909" s="46" t="s">
        <v>1897</v>
      </c>
      <c r="C909" s="46" t="s">
        <v>1898</v>
      </c>
      <c r="E909" s="49" t="str">
        <f ca="1">IF(D909="","",YEARFRAC(D909,TODAY(),1))</f>
        <v/>
      </c>
      <c r="F909" s="50">
        <v>156047145</v>
      </c>
      <c r="G909" s="51" t="s">
        <v>23</v>
      </c>
      <c r="I909" s="52" t="s">
        <v>1881</v>
      </c>
      <c r="M909" s="53" t="s">
        <v>1899</v>
      </c>
    </row>
    <row r="910" spans="1:21">
      <c r="A910" s="47">
        <v>20178683</v>
      </c>
      <c r="B910" s="46" t="s">
        <v>9724</v>
      </c>
      <c r="C910" s="46" t="s">
        <v>9732</v>
      </c>
      <c r="D910" s="48" t="s">
        <v>9733</v>
      </c>
      <c r="E910" s="49" t="s">
        <v>9350</v>
      </c>
      <c r="F910" s="50" t="s">
        <v>9734</v>
      </c>
      <c r="G910" s="51" t="s">
        <v>141</v>
      </c>
      <c r="H910" s="52" t="s">
        <v>9735</v>
      </c>
      <c r="I910" s="52" t="s">
        <v>1497</v>
      </c>
      <c r="J910" s="46" t="s">
        <v>52</v>
      </c>
      <c r="K910" s="46" t="s">
        <v>81</v>
      </c>
      <c r="L910" s="46" t="s">
        <v>52</v>
      </c>
      <c r="M910" s="52" t="s">
        <v>9736</v>
      </c>
      <c r="N910" s="46" t="s">
        <v>52</v>
      </c>
      <c r="O910" s="46" t="s">
        <v>52</v>
      </c>
      <c r="P910" s="46" t="s">
        <v>59</v>
      </c>
      <c r="Q910" s="46" t="s">
        <v>60</v>
      </c>
      <c r="R910" s="46" t="s">
        <v>61</v>
      </c>
      <c r="S910" s="46" t="s">
        <v>62</v>
      </c>
      <c r="T910" s="46" t="s">
        <v>12</v>
      </c>
      <c r="U910" s="46" t="s">
        <v>63</v>
      </c>
    </row>
    <row r="911" spans="1:21">
      <c r="A911" s="47">
        <v>20178701</v>
      </c>
      <c r="B911" s="46" t="s">
        <v>2598</v>
      </c>
      <c r="C911" s="46" t="s">
        <v>2599</v>
      </c>
      <c r="D911" s="48">
        <v>24958</v>
      </c>
      <c r="E911" s="49">
        <f ca="1">IF(D911="","",YEARFRAC(D911,TODAY(),1))</f>
        <v>58.164965197215778</v>
      </c>
      <c r="F911" s="50">
        <v>153515888</v>
      </c>
      <c r="G911" s="51" t="s">
        <v>86</v>
      </c>
      <c r="I911" s="59" t="s">
        <v>908</v>
      </c>
      <c r="J911" s="46" t="s">
        <v>2600</v>
      </c>
      <c r="M911" s="53" t="s">
        <v>2601</v>
      </c>
      <c r="O911" s="46">
        <v>4212400</v>
      </c>
    </row>
    <row r="912" spans="1:21">
      <c r="A912" s="47">
        <v>20178767</v>
      </c>
      <c r="B912" s="46" t="s">
        <v>428</v>
      </c>
      <c r="C912" s="52" t="s">
        <v>429</v>
      </c>
      <c r="D912" s="48">
        <v>24961</v>
      </c>
      <c r="E912" s="49">
        <f ca="1">IF(D912="","",YEARFRAC(D912,TODAY(),1))</f>
        <v>58.156751740139214</v>
      </c>
      <c r="F912" s="50">
        <v>155905633</v>
      </c>
      <c r="G912" s="51" t="s">
        <v>23</v>
      </c>
      <c r="I912" s="52" t="s">
        <v>24</v>
      </c>
      <c r="M912" s="53" t="s">
        <v>430</v>
      </c>
      <c r="N912" s="55" t="s">
        <v>431</v>
      </c>
      <c r="O912" s="55"/>
    </row>
    <row r="913" spans="1:21">
      <c r="A913" s="47">
        <v>20178922</v>
      </c>
      <c r="B913" s="46" t="s">
        <v>5788</v>
      </c>
      <c r="C913" s="46" t="s">
        <v>5789</v>
      </c>
      <c r="D913" s="48" t="s">
        <v>52</v>
      </c>
      <c r="E913" s="49" t="str">
        <f ca="1">IF(D913="","",YEARFRAC(D913,TODAY(),1))</f>
        <v/>
      </c>
      <c r="F913" s="50" t="s">
        <v>5790</v>
      </c>
      <c r="G913" s="51" t="s">
        <v>141</v>
      </c>
      <c r="H913" s="52" t="s">
        <v>52</v>
      </c>
      <c r="I913" s="52" t="s">
        <v>5761</v>
      </c>
      <c r="J913" s="46" t="s">
        <v>5791</v>
      </c>
      <c r="K913" s="46" t="s">
        <v>52</v>
      </c>
      <c r="L913" s="46" t="s">
        <v>52</v>
      </c>
      <c r="M913" s="53" t="s">
        <v>5792</v>
      </c>
      <c r="N913" s="46" t="s">
        <v>89</v>
      </c>
      <c r="O913" s="46" t="s">
        <v>2782</v>
      </c>
      <c r="P913" s="46" t="s">
        <v>59</v>
      </c>
      <c r="Q913" s="46" t="s">
        <v>60</v>
      </c>
      <c r="R913" s="46" t="s">
        <v>61</v>
      </c>
      <c r="S913" s="46" t="s">
        <v>62</v>
      </c>
      <c r="T913" s="46" t="s">
        <v>12</v>
      </c>
      <c r="U913" s="46" t="s">
        <v>63</v>
      </c>
    </row>
    <row r="914" spans="1:21">
      <c r="A914" s="74">
        <v>20179103</v>
      </c>
      <c r="B914" s="234" t="s">
        <v>8373</v>
      </c>
      <c r="C914" s="234" t="s">
        <v>9908</v>
      </c>
      <c r="D914" s="235">
        <v>25035</v>
      </c>
      <c r="E914" s="236"/>
      <c r="F914" s="237">
        <v>3816439704</v>
      </c>
      <c r="G914" s="234" t="s">
        <v>70</v>
      </c>
      <c r="H914" s="238" t="s">
        <v>9977</v>
      </c>
      <c r="I914" s="238" t="s">
        <v>908</v>
      </c>
      <c r="J914" s="234" t="s">
        <v>10010</v>
      </c>
      <c r="K914" s="234" t="s">
        <v>2002</v>
      </c>
      <c r="L914" s="234"/>
      <c r="M914" s="238" t="s">
        <v>9944</v>
      </c>
      <c r="N914" s="234"/>
      <c r="O914" s="234"/>
      <c r="P914" s="234"/>
      <c r="Q914" s="234"/>
      <c r="R914" s="234"/>
      <c r="S914" s="234"/>
      <c r="T914" s="234"/>
      <c r="U914" s="234"/>
    </row>
    <row r="915" spans="1:21">
      <c r="A915" s="47">
        <v>20181458</v>
      </c>
      <c r="B915" s="46" t="s">
        <v>2813</v>
      </c>
      <c r="C915" s="46" t="s">
        <v>494</v>
      </c>
      <c r="E915" s="49" t="str">
        <f t="shared" ref="E915:E922" ca="1" si="23">IF(D915="","",YEARFRAC(D915,TODAY(),1))</f>
        <v/>
      </c>
      <c r="F915" s="50">
        <v>155957537</v>
      </c>
      <c r="G915" s="51" t="s">
        <v>23</v>
      </c>
      <c r="I915" s="52" t="s">
        <v>2778</v>
      </c>
      <c r="M915" s="53" t="s">
        <v>2814</v>
      </c>
      <c r="N915" s="46">
        <v>4364144</v>
      </c>
    </row>
    <row r="916" spans="1:21">
      <c r="A916" s="64">
        <v>20218225</v>
      </c>
      <c r="B916" s="61" t="s">
        <v>3282</v>
      </c>
      <c r="C916" s="62" t="s">
        <v>3283</v>
      </c>
      <c r="D916" s="48" t="s">
        <v>3284</v>
      </c>
      <c r="E916" s="49">
        <f t="shared" ca="1" si="23"/>
        <v>58.058190255220417</v>
      </c>
      <c r="F916" s="63" t="s">
        <v>3285</v>
      </c>
      <c r="G916" s="51" t="s">
        <v>70</v>
      </c>
      <c r="H916" s="52" t="s">
        <v>3286</v>
      </c>
      <c r="I916" s="52" t="s">
        <v>3287</v>
      </c>
      <c r="J916" s="61" t="s">
        <v>3288</v>
      </c>
      <c r="K916" s="61" t="s">
        <v>52</v>
      </c>
      <c r="L916" s="61" t="s">
        <v>52</v>
      </c>
      <c r="M916" s="53" t="s">
        <v>3289</v>
      </c>
      <c r="N916" s="55" t="s">
        <v>52</v>
      </c>
      <c r="O916" s="55" t="s">
        <v>52</v>
      </c>
      <c r="P916" s="46" t="s">
        <v>59</v>
      </c>
      <c r="Q916" s="46" t="s">
        <v>60</v>
      </c>
      <c r="R916" s="46" t="s">
        <v>61</v>
      </c>
      <c r="S916" s="46" t="s">
        <v>62</v>
      </c>
      <c r="T916" s="46" t="s">
        <v>12</v>
      </c>
      <c r="U916" s="46" t="s">
        <v>63</v>
      </c>
    </row>
    <row r="917" spans="1:21">
      <c r="A917" s="47">
        <v>20218566</v>
      </c>
      <c r="B917" s="46" t="s">
        <v>944</v>
      </c>
      <c r="C917" s="55" t="s">
        <v>1085</v>
      </c>
      <c r="D917" s="48">
        <v>24668</v>
      </c>
      <c r="E917" s="49">
        <f t="shared" ca="1" si="23"/>
        <v>58.959616700889804</v>
      </c>
      <c r="F917" s="50">
        <v>154672334</v>
      </c>
      <c r="G917" s="51" t="s">
        <v>352</v>
      </c>
      <c r="I917" s="52" t="s">
        <v>4245</v>
      </c>
      <c r="J917" s="46" t="s">
        <v>637</v>
      </c>
      <c r="M917" s="53" t="s">
        <v>4266</v>
      </c>
    </row>
    <row r="918" spans="1:21">
      <c r="A918" s="47">
        <v>20218614</v>
      </c>
      <c r="B918" s="46" t="s">
        <v>6147</v>
      </c>
      <c r="C918" s="52" t="s">
        <v>6148</v>
      </c>
      <c r="D918" s="48">
        <v>25041</v>
      </c>
      <c r="E918" s="49">
        <f t="shared" ca="1" si="23"/>
        <v>57.937726218097453</v>
      </c>
      <c r="F918" s="50">
        <v>154120228</v>
      </c>
      <c r="G918" s="51" t="s">
        <v>23</v>
      </c>
      <c r="I918" s="52" t="s">
        <v>23</v>
      </c>
      <c r="J918" s="46" t="s">
        <v>2509</v>
      </c>
      <c r="M918" s="53" t="s">
        <v>6149</v>
      </c>
      <c r="N918" s="55"/>
      <c r="O918" s="55"/>
    </row>
    <row r="919" spans="1:21">
      <c r="A919" s="47">
        <v>20218675</v>
      </c>
      <c r="B919" s="46" t="s">
        <v>734</v>
      </c>
      <c r="C919" s="52" t="s">
        <v>3481</v>
      </c>
      <c r="D919" s="48" t="s">
        <v>52</v>
      </c>
      <c r="E919" s="49" t="str">
        <f t="shared" ca="1" si="23"/>
        <v/>
      </c>
      <c r="F919" s="50" t="s">
        <v>3482</v>
      </c>
      <c r="G919" s="51" t="s">
        <v>141</v>
      </c>
      <c r="H919" s="52" t="s">
        <v>52</v>
      </c>
      <c r="I919" s="52" t="s">
        <v>3427</v>
      </c>
      <c r="J919" s="46" t="s">
        <v>3453</v>
      </c>
      <c r="K919" s="46" t="s">
        <v>81</v>
      </c>
      <c r="L919" s="46" t="s">
        <v>52</v>
      </c>
      <c r="M919" s="53" t="s">
        <v>3483</v>
      </c>
      <c r="N919" s="55" t="s">
        <v>3484</v>
      </c>
      <c r="O919" s="55" t="s">
        <v>52</v>
      </c>
      <c r="P919" s="46" t="s">
        <v>59</v>
      </c>
      <c r="Q919" s="46" t="s">
        <v>60</v>
      </c>
      <c r="R919" s="46" t="s">
        <v>61</v>
      </c>
      <c r="S919" s="46" t="s">
        <v>62</v>
      </c>
      <c r="T919" s="46" t="s">
        <v>12</v>
      </c>
      <c r="U919" s="46" t="s">
        <v>63</v>
      </c>
    </row>
    <row r="920" spans="1:21">
      <c r="A920" s="47">
        <v>20218678</v>
      </c>
      <c r="B920" s="46" t="s">
        <v>6397</v>
      </c>
      <c r="C920" s="52" t="s">
        <v>928</v>
      </c>
      <c r="E920" s="49" t="str">
        <f t="shared" ca="1" si="23"/>
        <v/>
      </c>
      <c r="F920" s="50">
        <v>156444624</v>
      </c>
      <c r="G920" s="51" t="s">
        <v>70</v>
      </c>
      <c r="I920" s="52" t="s">
        <v>23</v>
      </c>
      <c r="J920" s="46" t="s">
        <v>6398</v>
      </c>
      <c r="M920" s="53" t="s">
        <v>6399</v>
      </c>
      <c r="N920" s="55" t="s">
        <v>6400</v>
      </c>
      <c r="O920" s="55"/>
    </row>
    <row r="921" spans="1:21">
      <c r="A921" s="47">
        <v>20219081</v>
      </c>
      <c r="B921" s="46" t="s">
        <v>4014</v>
      </c>
      <c r="C921" s="46" t="s">
        <v>4015</v>
      </c>
      <c r="D921" s="48" t="s">
        <v>52</v>
      </c>
      <c r="E921" s="49" t="str">
        <f t="shared" ca="1" si="23"/>
        <v/>
      </c>
      <c r="F921" s="50" t="s">
        <v>4016</v>
      </c>
      <c r="G921" s="51" t="s">
        <v>78</v>
      </c>
      <c r="H921" s="52" t="s">
        <v>52</v>
      </c>
      <c r="I921" s="52" t="s">
        <v>3999</v>
      </c>
      <c r="J921" s="46" t="s">
        <v>52</v>
      </c>
      <c r="K921" s="46" t="s">
        <v>81</v>
      </c>
      <c r="L921" s="46" t="s">
        <v>52</v>
      </c>
      <c r="M921" s="58" t="s">
        <v>4017</v>
      </c>
      <c r="N921" s="46" t="s">
        <v>4010</v>
      </c>
      <c r="O921" s="46" t="s">
        <v>52</v>
      </c>
      <c r="P921" s="46" t="s">
        <v>59</v>
      </c>
      <c r="Q921" s="46" t="s">
        <v>60</v>
      </c>
      <c r="R921" s="46" t="s">
        <v>61</v>
      </c>
      <c r="S921" s="46" t="s">
        <v>62</v>
      </c>
      <c r="T921" s="46" t="s">
        <v>12</v>
      </c>
      <c r="U921" s="46" t="s">
        <v>63</v>
      </c>
    </row>
    <row r="922" spans="1:21">
      <c r="A922" s="47">
        <v>20219090</v>
      </c>
      <c r="B922" s="46" t="s">
        <v>4429</v>
      </c>
      <c r="C922" s="52" t="s">
        <v>215</v>
      </c>
      <c r="D922" s="48" t="s">
        <v>4430</v>
      </c>
      <c r="E922" s="49">
        <f t="shared" ca="1" si="23"/>
        <v>57.789883990719261</v>
      </c>
      <c r="F922" s="50" t="s">
        <v>4431</v>
      </c>
      <c r="G922" s="51" t="s">
        <v>86</v>
      </c>
      <c r="H922" s="52" t="s">
        <v>52</v>
      </c>
      <c r="I922" s="52" t="s">
        <v>4245</v>
      </c>
      <c r="J922" s="46" t="s">
        <v>4432</v>
      </c>
      <c r="K922" s="46" t="s">
        <v>81</v>
      </c>
      <c r="L922" s="46" t="s">
        <v>1782</v>
      </c>
      <c r="M922" s="53" t="s">
        <v>4433</v>
      </c>
      <c r="N922" s="55" t="s">
        <v>4434</v>
      </c>
      <c r="O922" s="55" t="s">
        <v>4435</v>
      </c>
      <c r="P922" s="46" t="s">
        <v>59</v>
      </c>
      <c r="Q922" s="46" t="s">
        <v>60</v>
      </c>
      <c r="R922" s="46" t="s">
        <v>61</v>
      </c>
      <c r="S922" s="46" t="s">
        <v>62</v>
      </c>
      <c r="T922" s="46" t="s">
        <v>12</v>
      </c>
      <c r="U922" s="46" t="s">
        <v>63</v>
      </c>
    </row>
    <row r="923" spans="1:21">
      <c r="A923" s="74">
        <v>20219090</v>
      </c>
      <c r="B923" s="234" t="s">
        <v>8086</v>
      </c>
      <c r="C923" s="234" t="s">
        <v>7435</v>
      </c>
      <c r="D923" s="235">
        <v>25095</v>
      </c>
      <c r="E923" s="236"/>
      <c r="F923" s="237">
        <v>3813044620</v>
      </c>
      <c r="G923" s="234" t="s">
        <v>70</v>
      </c>
      <c r="H923" s="238" t="s">
        <v>9972</v>
      </c>
      <c r="I923" s="238" t="s">
        <v>4245</v>
      </c>
      <c r="J923" s="234" t="s">
        <v>2177</v>
      </c>
      <c r="K923" s="234" t="s">
        <v>2002</v>
      </c>
      <c r="L923" s="234"/>
      <c r="M923" s="238" t="s">
        <v>4438</v>
      </c>
      <c r="N923" s="234"/>
      <c r="O923" s="234"/>
      <c r="P923" s="234"/>
      <c r="Q923" s="234"/>
      <c r="R923" s="234"/>
      <c r="S923" s="234"/>
      <c r="T923" s="234"/>
      <c r="U923" s="234"/>
    </row>
    <row r="924" spans="1:21">
      <c r="A924" s="47">
        <v>20219100</v>
      </c>
      <c r="B924" s="46" t="s">
        <v>875</v>
      </c>
      <c r="C924" s="46" t="s">
        <v>5137</v>
      </c>
      <c r="D924" s="48">
        <v>25096</v>
      </c>
      <c r="E924" s="49">
        <f t="shared" ref="E924:E930" ca="1" si="24">IF(D924="","",YEARFRAC(D924,TODAY(),1))</f>
        <v>57.787146171693735</v>
      </c>
      <c r="F924" s="50">
        <v>4349423</v>
      </c>
      <c r="G924" s="51" t="s">
        <v>70</v>
      </c>
      <c r="I924" s="65" t="s">
        <v>4954</v>
      </c>
      <c r="J924" s="46" t="s">
        <v>5138</v>
      </c>
      <c r="M924" s="53" t="s">
        <v>5139</v>
      </c>
      <c r="N924" s="46">
        <v>4107248</v>
      </c>
      <c r="O924" s="46">
        <v>7248</v>
      </c>
      <c r="P924" s="46">
        <v>1</v>
      </c>
    </row>
    <row r="925" spans="1:21">
      <c r="A925" s="47">
        <v>20219209</v>
      </c>
      <c r="B925" s="46" t="s">
        <v>4191</v>
      </c>
      <c r="C925" s="55" t="s">
        <v>1672</v>
      </c>
      <c r="D925" s="48">
        <v>25110</v>
      </c>
      <c r="E925" s="49">
        <f t="shared" ca="1" si="24"/>
        <v>57.748816705336431</v>
      </c>
      <c r="F925" s="50">
        <v>155293384</v>
      </c>
      <c r="G925" s="51" t="s">
        <v>86</v>
      </c>
      <c r="I925" s="52" t="s">
        <v>4181</v>
      </c>
      <c r="J925" s="55"/>
      <c r="K925" s="55"/>
      <c r="L925" s="55"/>
      <c r="M925" s="53" t="s">
        <v>4192</v>
      </c>
      <c r="N925" s="55"/>
      <c r="O925" s="55">
        <v>7032</v>
      </c>
    </row>
    <row r="926" spans="1:21">
      <c r="A926" s="64">
        <v>20219222</v>
      </c>
      <c r="B926" s="61" t="s">
        <v>214</v>
      </c>
      <c r="C926" s="62" t="s">
        <v>215</v>
      </c>
      <c r="D926" s="48">
        <v>25108</v>
      </c>
      <c r="E926" s="49">
        <f t="shared" ca="1" si="24"/>
        <v>57.754292343387469</v>
      </c>
      <c r="F926" s="63">
        <v>155092600</v>
      </c>
      <c r="G926" s="51" t="s">
        <v>23</v>
      </c>
      <c r="I926" s="52" t="s">
        <v>24</v>
      </c>
      <c r="J926" s="61" t="s">
        <v>216</v>
      </c>
      <c r="K926" s="61"/>
      <c r="L926" s="61"/>
      <c r="M926" s="53" t="s">
        <v>217</v>
      </c>
      <c r="N926" s="55"/>
      <c r="O926" s="55"/>
    </row>
    <row r="927" spans="1:21">
      <c r="A927" s="47">
        <v>20219232</v>
      </c>
      <c r="B927" s="46" t="s">
        <v>4609</v>
      </c>
      <c r="C927" s="52" t="s">
        <v>2497</v>
      </c>
      <c r="D927" s="48">
        <v>25110</v>
      </c>
      <c r="E927" s="49">
        <f t="shared" ca="1" si="24"/>
        <v>57.748816705336431</v>
      </c>
      <c r="F927" s="50">
        <v>155156805</v>
      </c>
      <c r="G927" s="51" t="s">
        <v>23</v>
      </c>
      <c r="I927" s="52" t="s">
        <v>4499</v>
      </c>
      <c r="J927" s="46" t="s">
        <v>4610</v>
      </c>
      <c r="M927" s="53" t="s">
        <v>4611</v>
      </c>
      <c r="N927" s="55"/>
      <c r="O927" s="55"/>
    </row>
    <row r="928" spans="1:21">
      <c r="A928" s="64">
        <v>20219234</v>
      </c>
      <c r="B928" s="61" t="s">
        <v>846</v>
      </c>
      <c r="C928" s="62" t="s">
        <v>847</v>
      </c>
      <c r="D928" s="48">
        <v>25096</v>
      </c>
      <c r="E928" s="49">
        <f t="shared" ca="1" si="24"/>
        <v>57.787146171693735</v>
      </c>
      <c r="F928" s="63">
        <v>154153781</v>
      </c>
      <c r="G928" s="51" t="s">
        <v>23</v>
      </c>
      <c r="I928" s="52" t="s">
        <v>848</v>
      </c>
      <c r="J928" s="61" t="s">
        <v>800</v>
      </c>
      <c r="K928" s="61"/>
      <c r="L928" s="61"/>
      <c r="M928" s="53" t="s">
        <v>849</v>
      </c>
      <c r="N928" s="55"/>
      <c r="O928" s="55"/>
    </row>
    <row r="929" spans="1:21">
      <c r="A929" s="47">
        <v>20219323</v>
      </c>
      <c r="B929" s="46" t="s">
        <v>6001</v>
      </c>
      <c r="C929" s="52" t="s">
        <v>6002</v>
      </c>
      <c r="E929" s="49" t="str">
        <f t="shared" ca="1" si="24"/>
        <v/>
      </c>
      <c r="G929" s="51" t="s">
        <v>23</v>
      </c>
      <c r="I929" s="52" t="s">
        <v>23</v>
      </c>
      <c r="M929" s="58" t="s">
        <v>25</v>
      </c>
      <c r="N929" s="55"/>
      <c r="O929" s="55"/>
    </row>
    <row r="930" spans="1:21">
      <c r="A930" s="47">
        <v>20219592</v>
      </c>
      <c r="B930" s="46" t="s">
        <v>4639</v>
      </c>
      <c r="C930" s="52" t="s">
        <v>4640</v>
      </c>
      <c r="E930" s="49" t="str">
        <f t="shared" ca="1" si="24"/>
        <v/>
      </c>
      <c r="G930" s="51" t="s">
        <v>70</v>
      </c>
      <c r="I930" s="52" t="s">
        <v>4499</v>
      </c>
      <c r="J930" s="46" t="s">
        <v>4641</v>
      </c>
      <c r="M930" s="53" t="s">
        <v>4642</v>
      </c>
      <c r="N930" s="55" t="s">
        <v>4534</v>
      </c>
      <c r="O930" s="55"/>
    </row>
    <row r="931" spans="1:21">
      <c r="A931" s="47">
        <v>20219678</v>
      </c>
      <c r="B931" s="46" t="s">
        <v>9348</v>
      </c>
      <c r="C931" s="46" t="s">
        <v>2753</v>
      </c>
      <c r="D931" s="48" t="s">
        <v>9349</v>
      </c>
      <c r="E931" s="49" t="s">
        <v>9350</v>
      </c>
      <c r="F931" s="50" t="s">
        <v>9351</v>
      </c>
      <c r="G931" s="51" t="s">
        <v>70</v>
      </c>
      <c r="H931" s="52" t="s">
        <v>9352</v>
      </c>
      <c r="I931" s="52" t="s">
        <v>1497</v>
      </c>
      <c r="J931" s="46" t="s">
        <v>9342</v>
      </c>
      <c r="K931" s="46" t="s">
        <v>390</v>
      </c>
      <c r="L931" s="46" t="s">
        <v>546</v>
      </c>
      <c r="M931" s="52" t="s">
        <v>9353</v>
      </c>
      <c r="N931" s="46" t="s">
        <v>52</v>
      </c>
      <c r="O931" s="46" t="s">
        <v>52</v>
      </c>
      <c r="P931" s="46" t="s">
        <v>59</v>
      </c>
      <c r="Q931" s="46" t="s">
        <v>60</v>
      </c>
      <c r="R931" s="46" t="s">
        <v>61</v>
      </c>
      <c r="S931" s="46" t="s">
        <v>62</v>
      </c>
      <c r="T931" s="46" t="s">
        <v>12</v>
      </c>
      <c r="U931" s="46" t="s">
        <v>63</v>
      </c>
    </row>
    <row r="932" spans="1:21">
      <c r="A932" s="47">
        <v>20219773</v>
      </c>
      <c r="B932" s="46" t="s">
        <v>1283</v>
      </c>
      <c r="C932" s="55" t="s">
        <v>3492</v>
      </c>
      <c r="D932" s="48" t="s">
        <v>52</v>
      </c>
      <c r="E932" s="49" t="str">
        <f t="shared" ref="E932:E957" ca="1" si="25">IF(D932="","",YEARFRAC(D932,TODAY(),1))</f>
        <v/>
      </c>
      <c r="F932" s="50" t="s">
        <v>3493</v>
      </c>
      <c r="G932" s="51" t="s">
        <v>70</v>
      </c>
      <c r="H932" s="52" t="s">
        <v>3494</v>
      </c>
      <c r="I932" s="52" t="s">
        <v>3427</v>
      </c>
      <c r="J932" s="55" t="s">
        <v>2735</v>
      </c>
      <c r="K932" s="55" t="s">
        <v>81</v>
      </c>
      <c r="L932" s="55" t="s">
        <v>52</v>
      </c>
      <c r="M932" s="53" t="s">
        <v>3495</v>
      </c>
      <c r="N932" s="55" t="s">
        <v>931</v>
      </c>
      <c r="O932" s="55" t="s">
        <v>3496</v>
      </c>
      <c r="P932" s="46" t="s">
        <v>59</v>
      </c>
      <c r="Q932" s="46" t="s">
        <v>60</v>
      </c>
      <c r="R932" s="46" t="s">
        <v>61</v>
      </c>
      <c r="S932" s="46" t="s">
        <v>62</v>
      </c>
      <c r="T932" s="46" t="s">
        <v>12</v>
      </c>
      <c r="U932" s="46" t="s">
        <v>63</v>
      </c>
    </row>
    <row r="933" spans="1:21">
      <c r="A933" s="47">
        <v>20219787</v>
      </c>
      <c r="B933" s="46" t="s">
        <v>311</v>
      </c>
      <c r="C933" s="46" t="s">
        <v>3585</v>
      </c>
      <c r="D933" s="48">
        <v>25164</v>
      </c>
      <c r="E933" s="49">
        <f t="shared" ca="1" si="25"/>
        <v>57.600974477958239</v>
      </c>
      <c r="F933" s="50">
        <v>153391176</v>
      </c>
      <c r="G933" s="51" t="s">
        <v>78</v>
      </c>
      <c r="I933" s="52" t="s">
        <v>3555</v>
      </c>
      <c r="J933" s="46" t="s">
        <v>3586</v>
      </c>
      <c r="M933" s="53" t="s">
        <v>3587</v>
      </c>
      <c r="N933" s="46">
        <v>4211050</v>
      </c>
      <c r="P933" s="46" t="s">
        <v>1092</v>
      </c>
    </row>
    <row r="934" spans="1:21">
      <c r="A934" s="47">
        <v>20219951</v>
      </c>
      <c r="B934" s="46" t="s">
        <v>3693</v>
      </c>
      <c r="C934" s="52" t="s">
        <v>3694</v>
      </c>
      <c r="E934" s="49" t="str">
        <f t="shared" ca="1" si="25"/>
        <v/>
      </c>
      <c r="G934" s="51" t="s">
        <v>70</v>
      </c>
      <c r="I934" s="52" t="s">
        <v>3630</v>
      </c>
      <c r="J934" s="46" t="s">
        <v>668</v>
      </c>
      <c r="M934" s="53" t="s">
        <v>3695</v>
      </c>
      <c r="N934" s="55"/>
      <c r="O934" s="55"/>
    </row>
    <row r="935" spans="1:21">
      <c r="A935" s="47">
        <v>20222681</v>
      </c>
      <c r="B935" s="46" t="s">
        <v>662</v>
      </c>
      <c r="C935" s="46" t="s">
        <v>663</v>
      </c>
      <c r="D935" s="48">
        <v>24915</v>
      </c>
      <c r="E935" s="49">
        <f t="shared" ca="1" si="25"/>
        <v>58.282691415313224</v>
      </c>
      <c r="F935" s="50">
        <v>155841359</v>
      </c>
      <c r="G935" s="51" t="s">
        <v>141</v>
      </c>
      <c r="I935" s="52" t="s">
        <v>594</v>
      </c>
      <c r="J935" s="46" t="s">
        <v>664</v>
      </c>
      <c r="M935" s="53" t="s">
        <v>665</v>
      </c>
      <c r="O935" s="46">
        <v>4244485</v>
      </c>
    </row>
    <row r="936" spans="1:21">
      <c r="A936" s="47">
        <v>20222813</v>
      </c>
      <c r="B936" s="46" t="s">
        <v>4320</v>
      </c>
      <c r="C936" s="52" t="s">
        <v>4318</v>
      </c>
      <c r="D936" s="48">
        <v>26726</v>
      </c>
      <c r="E936" s="49">
        <f t="shared" ca="1" si="25"/>
        <v>53.326471632104649</v>
      </c>
      <c r="F936" s="50">
        <v>155785268</v>
      </c>
      <c r="G936" s="51" t="s">
        <v>23</v>
      </c>
      <c r="I936" s="52" t="s">
        <v>4245</v>
      </c>
      <c r="J936" s="46" t="s">
        <v>709</v>
      </c>
      <c r="M936" s="53" t="s">
        <v>897</v>
      </c>
      <c r="N936" s="55"/>
      <c r="O936" s="55"/>
    </row>
    <row r="937" spans="1:21">
      <c r="A937" s="47">
        <v>20222823</v>
      </c>
      <c r="B937" s="46" t="s">
        <v>1571</v>
      </c>
      <c r="C937" s="55" t="s">
        <v>5785</v>
      </c>
      <c r="D937" s="48">
        <v>24921</v>
      </c>
      <c r="E937" s="49">
        <f t="shared" ca="1" si="25"/>
        <v>58.266264501160094</v>
      </c>
      <c r="F937" s="50">
        <v>156203208</v>
      </c>
      <c r="G937" s="51" t="s">
        <v>37</v>
      </c>
      <c r="I937" s="52" t="s">
        <v>5761</v>
      </c>
      <c r="J937" s="55"/>
      <c r="K937" s="55"/>
      <c r="L937" s="55"/>
      <c r="M937" s="53" t="s">
        <v>5786</v>
      </c>
      <c r="N937" s="55">
        <v>4245890</v>
      </c>
      <c r="O937" s="55">
        <v>7250</v>
      </c>
    </row>
    <row r="938" spans="1:21">
      <c r="A938" s="47">
        <v>20258235</v>
      </c>
      <c r="B938" s="46" t="s">
        <v>4067</v>
      </c>
      <c r="C938" s="46" t="s">
        <v>1634</v>
      </c>
      <c r="D938" s="48">
        <v>25319</v>
      </c>
      <c r="E938" s="49">
        <f t="shared" ca="1" si="25"/>
        <v>57.178625377643506</v>
      </c>
      <c r="F938" s="50">
        <v>15471885</v>
      </c>
      <c r="G938" s="51" t="s">
        <v>70</v>
      </c>
      <c r="I938" s="52" t="s">
        <v>4245</v>
      </c>
      <c r="J938" s="46" t="s">
        <v>4408</v>
      </c>
      <c r="M938" s="58" t="s">
        <v>25</v>
      </c>
    </row>
    <row r="939" spans="1:21">
      <c r="A939" s="47">
        <v>20262443</v>
      </c>
      <c r="B939" s="46" t="s">
        <v>6214</v>
      </c>
      <c r="C939" s="46" t="s">
        <v>6215</v>
      </c>
      <c r="D939" s="48">
        <v>25054</v>
      </c>
      <c r="E939" s="49">
        <f t="shared" ca="1" si="25"/>
        <v>57.902134570765661</v>
      </c>
      <c r="F939" s="50">
        <v>3854045530</v>
      </c>
      <c r="G939" s="51" t="s">
        <v>70</v>
      </c>
      <c r="I939" s="52" t="s">
        <v>23</v>
      </c>
      <c r="J939" s="46" t="s">
        <v>38</v>
      </c>
      <c r="M939" s="52" t="s">
        <v>6216</v>
      </c>
      <c r="N939" s="46">
        <v>4247752</v>
      </c>
      <c r="O939" s="46">
        <v>7229</v>
      </c>
    </row>
    <row r="940" spans="1:21">
      <c r="A940" s="47">
        <v>20284144</v>
      </c>
      <c r="B940" s="46" t="s">
        <v>497</v>
      </c>
      <c r="C940" s="52" t="s">
        <v>5437</v>
      </c>
      <c r="D940" s="48">
        <v>25193</v>
      </c>
      <c r="E940" s="49">
        <f t="shared" ca="1" si="25"/>
        <v>57.521577726218098</v>
      </c>
      <c r="F940" s="50">
        <v>155215347</v>
      </c>
      <c r="G940" s="51" t="s">
        <v>70</v>
      </c>
      <c r="I940" s="52" t="s">
        <v>5304</v>
      </c>
      <c r="J940" s="46" t="s">
        <v>5438</v>
      </c>
      <c r="M940" s="53" t="s">
        <v>5439</v>
      </c>
      <c r="N940" s="55"/>
      <c r="O940" s="55"/>
    </row>
    <row r="941" spans="1:21">
      <c r="A941" s="47">
        <v>20284192</v>
      </c>
      <c r="B941" s="46" t="s">
        <v>8225</v>
      </c>
      <c r="C941" s="46" t="s">
        <v>2678</v>
      </c>
      <c r="D941" s="48">
        <v>25204</v>
      </c>
      <c r="E941" s="49">
        <f t="shared" ca="1" si="25"/>
        <v>57.493485649546827</v>
      </c>
      <c r="F941" s="50">
        <v>156377845</v>
      </c>
      <c r="G941" s="51" t="s">
        <v>23</v>
      </c>
      <c r="I941" s="52" t="s">
        <v>2671</v>
      </c>
      <c r="M941" s="58" t="s">
        <v>25</v>
      </c>
    </row>
    <row r="942" spans="1:21">
      <c r="A942" s="47">
        <v>20284201</v>
      </c>
      <c r="B942" s="46" t="s">
        <v>355</v>
      </c>
      <c r="C942" s="46" t="s">
        <v>2715</v>
      </c>
      <c r="D942" s="48">
        <v>25207</v>
      </c>
      <c r="E942" s="49">
        <f t="shared" ca="1" si="25"/>
        <v>57.485271903323266</v>
      </c>
      <c r="F942" s="50">
        <v>154452954</v>
      </c>
      <c r="G942" s="51" t="s">
        <v>23</v>
      </c>
      <c r="I942" s="52" t="s">
        <v>2713</v>
      </c>
      <c r="M942" s="53" t="s">
        <v>2716</v>
      </c>
      <c r="N942" s="46">
        <v>4242464</v>
      </c>
      <c r="O942" s="46">
        <v>34</v>
      </c>
    </row>
    <row r="943" spans="1:21">
      <c r="A943" s="47">
        <v>20284338</v>
      </c>
      <c r="B943" s="46" t="s">
        <v>6714</v>
      </c>
      <c r="C943" s="46" t="s">
        <v>2775</v>
      </c>
      <c r="D943" s="48" t="s">
        <v>52</v>
      </c>
      <c r="E943" s="49" t="str">
        <f t="shared" ca="1" si="25"/>
        <v/>
      </c>
      <c r="F943" s="50" t="s">
        <v>6715</v>
      </c>
      <c r="G943" s="51" t="s">
        <v>141</v>
      </c>
      <c r="H943" s="52" t="s">
        <v>52</v>
      </c>
      <c r="I943" s="52" t="s">
        <v>5304</v>
      </c>
      <c r="J943" s="46" t="s">
        <v>6716</v>
      </c>
      <c r="K943" s="46" t="s">
        <v>81</v>
      </c>
      <c r="L943" s="46" t="s">
        <v>546</v>
      </c>
      <c r="M943" s="52" t="s">
        <v>582</v>
      </c>
      <c r="N943" s="46" t="s">
        <v>52</v>
      </c>
      <c r="O943" s="46" t="s">
        <v>52</v>
      </c>
      <c r="P943" s="46" t="s">
        <v>59</v>
      </c>
      <c r="Q943" s="46" t="s">
        <v>60</v>
      </c>
      <c r="R943" s="46" t="s">
        <v>61</v>
      </c>
      <c r="S943" s="46" t="s">
        <v>62</v>
      </c>
      <c r="T943" s="46" t="s">
        <v>12</v>
      </c>
      <c r="U943" s="46" t="s">
        <v>63</v>
      </c>
    </row>
    <row r="944" spans="1:21">
      <c r="A944" s="47">
        <v>20284369</v>
      </c>
      <c r="B944" s="46" t="s">
        <v>138</v>
      </c>
      <c r="C944" s="55" t="s">
        <v>3333</v>
      </c>
      <c r="D944" s="48">
        <v>25223</v>
      </c>
      <c r="E944" s="49">
        <f t="shared" ca="1" si="25"/>
        <v>57.441465256797585</v>
      </c>
      <c r="F944" s="50">
        <v>155452941</v>
      </c>
      <c r="G944" s="51" t="s">
        <v>23</v>
      </c>
      <c r="I944" s="52" t="s">
        <v>3327</v>
      </c>
      <c r="J944" s="55" t="s">
        <v>642</v>
      </c>
      <c r="K944" s="55"/>
      <c r="L944" s="55"/>
      <c r="M944" s="53" t="s">
        <v>3334</v>
      </c>
      <c r="N944" s="55">
        <v>4351681</v>
      </c>
      <c r="O944" s="55"/>
    </row>
    <row r="945" spans="1:21">
      <c r="A945" s="47">
        <v>20284448</v>
      </c>
      <c r="B945" s="46" t="s">
        <v>5213</v>
      </c>
      <c r="C945" s="46" t="s">
        <v>5214</v>
      </c>
      <c r="D945" s="48" t="s">
        <v>5215</v>
      </c>
      <c r="E945" s="49">
        <f t="shared" ca="1" si="25"/>
        <v>57.405872356495472</v>
      </c>
      <c r="F945" s="50" t="s">
        <v>5216</v>
      </c>
      <c r="G945" s="51" t="s">
        <v>70</v>
      </c>
      <c r="H945" s="52" t="s">
        <v>3716</v>
      </c>
      <c r="I945" s="52" t="s">
        <v>5176</v>
      </c>
      <c r="J945" s="46" t="s">
        <v>5217</v>
      </c>
      <c r="K945" s="46" t="s">
        <v>52</v>
      </c>
      <c r="L945" s="46" t="s">
        <v>5218</v>
      </c>
      <c r="M945" s="53" t="s">
        <v>5219</v>
      </c>
      <c r="N945" s="46" t="s">
        <v>5220</v>
      </c>
      <c r="O945" s="46" t="s">
        <v>5221</v>
      </c>
      <c r="P945" s="46" t="s">
        <v>59</v>
      </c>
      <c r="Q945" s="46" t="s">
        <v>60</v>
      </c>
      <c r="R945" s="46" t="s">
        <v>61</v>
      </c>
      <c r="S945" s="46" t="s">
        <v>62</v>
      </c>
      <c r="T945" s="46" t="s">
        <v>12</v>
      </c>
      <c r="U945" s="46" t="s">
        <v>63</v>
      </c>
    </row>
    <row r="946" spans="1:21">
      <c r="A946" s="47">
        <v>20284560</v>
      </c>
      <c r="B946" s="46" t="s">
        <v>6459</v>
      </c>
      <c r="C946" s="46" t="s">
        <v>6460</v>
      </c>
      <c r="D946" s="48">
        <v>25245</v>
      </c>
      <c r="E946" s="49">
        <f t="shared" ca="1" si="25"/>
        <v>57.381231117824775</v>
      </c>
      <c r="F946" s="50">
        <v>155453564</v>
      </c>
      <c r="G946" s="51" t="s">
        <v>70</v>
      </c>
      <c r="I946" s="52" t="s">
        <v>23</v>
      </c>
      <c r="M946" s="53" t="s">
        <v>6461</v>
      </c>
      <c r="N946" s="46">
        <v>4107277</v>
      </c>
    </row>
    <row r="947" spans="1:21">
      <c r="A947" s="47">
        <v>20284582</v>
      </c>
      <c r="B947" s="46" t="s">
        <v>6802</v>
      </c>
      <c r="C947" s="46" t="s">
        <v>6803</v>
      </c>
      <c r="D947" s="48" t="s">
        <v>52</v>
      </c>
      <c r="E947" s="49" t="str">
        <f t="shared" ca="1" si="25"/>
        <v/>
      </c>
      <c r="F947" s="50" t="s">
        <v>6804</v>
      </c>
      <c r="G947" s="51" t="s">
        <v>141</v>
      </c>
      <c r="H947" s="52" t="s">
        <v>52</v>
      </c>
      <c r="I947" s="52" t="s">
        <v>908</v>
      </c>
      <c r="J947" s="46" t="s">
        <v>6805</v>
      </c>
      <c r="K947" s="46" t="s">
        <v>81</v>
      </c>
      <c r="L947" s="46" t="s">
        <v>546</v>
      </c>
      <c r="M947" s="52" t="s">
        <v>6806</v>
      </c>
      <c r="N947" s="46" t="s">
        <v>52</v>
      </c>
      <c r="O947" s="46" t="s">
        <v>52</v>
      </c>
      <c r="P947" s="46" t="s">
        <v>59</v>
      </c>
      <c r="Q947" s="46" t="s">
        <v>60</v>
      </c>
      <c r="R947" s="46" t="s">
        <v>61</v>
      </c>
      <c r="S947" s="46" t="s">
        <v>62</v>
      </c>
      <c r="T947" s="46" t="s">
        <v>12</v>
      </c>
      <c r="U947" s="46" t="s">
        <v>63</v>
      </c>
    </row>
    <row r="948" spans="1:21">
      <c r="A948" s="47">
        <v>20284811</v>
      </c>
      <c r="B948" s="46" t="s">
        <v>3264</v>
      </c>
      <c r="C948" s="46" t="s">
        <v>5682</v>
      </c>
      <c r="D948" s="48">
        <v>25271</v>
      </c>
      <c r="E948" s="49">
        <f t="shared" ca="1" si="25"/>
        <v>57.310045317220542</v>
      </c>
      <c r="F948" s="50">
        <v>15466096</v>
      </c>
      <c r="G948" s="51" t="s">
        <v>70</v>
      </c>
      <c r="I948" s="52" t="s">
        <v>5494</v>
      </c>
      <c r="M948" s="53" t="s">
        <v>5683</v>
      </c>
      <c r="N948" s="46">
        <v>4527556</v>
      </c>
    </row>
    <row r="949" spans="1:21">
      <c r="A949" s="47">
        <v>20284849</v>
      </c>
      <c r="B949" s="46" t="s">
        <v>3759</v>
      </c>
      <c r="C949" s="52" t="s">
        <v>1061</v>
      </c>
      <c r="E949" s="49" t="str">
        <f t="shared" ca="1" si="25"/>
        <v/>
      </c>
      <c r="F949" s="50">
        <v>156244672</v>
      </c>
      <c r="G949" s="51" t="s">
        <v>70</v>
      </c>
      <c r="I949" s="52" t="s">
        <v>3630</v>
      </c>
      <c r="J949" s="46" t="s">
        <v>3760</v>
      </c>
      <c r="M949" s="53" t="s">
        <v>3761</v>
      </c>
      <c r="N949" s="55">
        <v>4107352</v>
      </c>
      <c r="O949" s="55"/>
    </row>
    <row r="950" spans="1:21">
      <c r="A950" s="47">
        <v>20284994</v>
      </c>
      <c r="B950" s="46" t="s">
        <v>288</v>
      </c>
      <c r="C950" s="46" t="s">
        <v>5937</v>
      </c>
      <c r="D950" s="48" t="s">
        <v>52</v>
      </c>
      <c r="E950" s="49" t="str">
        <f t="shared" ca="1" si="25"/>
        <v/>
      </c>
      <c r="F950" s="50" t="s">
        <v>5938</v>
      </c>
      <c r="G950" s="51" t="s">
        <v>70</v>
      </c>
      <c r="H950" s="52" t="s">
        <v>380</v>
      </c>
      <c r="I950" s="52" t="s">
        <v>5881</v>
      </c>
      <c r="J950" s="46" t="s">
        <v>5935</v>
      </c>
      <c r="K950" s="46" t="s">
        <v>52</v>
      </c>
      <c r="L950" s="46" t="s">
        <v>546</v>
      </c>
      <c r="M950" s="52" t="s">
        <v>5939</v>
      </c>
      <c r="N950" s="46" t="s">
        <v>2918</v>
      </c>
      <c r="O950" s="46" t="s">
        <v>52</v>
      </c>
      <c r="P950" s="46" t="s">
        <v>59</v>
      </c>
      <c r="Q950" s="46" t="s">
        <v>60</v>
      </c>
      <c r="R950" s="46" t="s">
        <v>61</v>
      </c>
      <c r="S950" s="46" t="s">
        <v>62</v>
      </c>
      <c r="T950" s="46" t="s">
        <v>12</v>
      </c>
      <c r="U950" s="46" t="s">
        <v>63</v>
      </c>
    </row>
    <row r="951" spans="1:21">
      <c r="A951" s="47">
        <v>20285028</v>
      </c>
      <c r="B951" s="46" t="s">
        <v>927</v>
      </c>
      <c r="C951" s="46" t="s">
        <v>4897</v>
      </c>
      <c r="D951" s="48" t="s">
        <v>52</v>
      </c>
      <c r="E951" s="49" t="str">
        <f t="shared" ca="1" si="25"/>
        <v/>
      </c>
      <c r="F951" s="50" t="s">
        <v>4898</v>
      </c>
      <c r="G951" s="51" t="s">
        <v>141</v>
      </c>
      <c r="H951" s="52" t="s">
        <v>52</v>
      </c>
      <c r="I951" s="52" t="s">
        <v>908</v>
      </c>
      <c r="J951" s="46" t="s">
        <v>1386</v>
      </c>
      <c r="K951" s="46" t="s">
        <v>159</v>
      </c>
      <c r="L951" s="46" t="s">
        <v>52</v>
      </c>
      <c r="M951" s="58" t="s">
        <v>4899</v>
      </c>
      <c r="N951" s="46" t="s">
        <v>52</v>
      </c>
      <c r="O951" s="46" t="s">
        <v>52</v>
      </c>
      <c r="P951" s="46" t="s">
        <v>59</v>
      </c>
      <c r="Q951" s="46" t="s">
        <v>60</v>
      </c>
      <c r="R951" s="46" t="s">
        <v>61</v>
      </c>
      <c r="S951" s="46" t="s">
        <v>62</v>
      </c>
      <c r="T951" s="46" t="s">
        <v>12</v>
      </c>
      <c r="U951" s="46" t="s">
        <v>63</v>
      </c>
    </row>
    <row r="952" spans="1:21">
      <c r="A952" s="60">
        <v>20285198</v>
      </c>
      <c r="B952" s="61" t="s">
        <v>218</v>
      </c>
      <c r="C952" s="62" t="s">
        <v>427</v>
      </c>
      <c r="D952" s="48">
        <v>25315</v>
      </c>
      <c r="E952" s="49">
        <f t="shared" ca="1" si="25"/>
        <v>57.189577039274923</v>
      </c>
      <c r="F952" s="63"/>
      <c r="G952" s="51" t="s">
        <v>23</v>
      </c>
      <c r="I952" s="52" t="s">
        <v>594</v>
      </c>
      <c r="J952" s="61" t="s">
        <v>48</v>
      </c>
      <c r="K952" s="61"/>
      <c r="L952" s="61"/>
      <c r="M952" s="53" t="s">
        <v>675</v>
      </c>
      <c r="N952" s="55"/>
      <c r="O952" s="55"/>
    </row>
    <row r="953" spans="1:21">
      <c r="A953" s="47">
        <v>20285264</v>
      </c>
      <c r="B953" s="46" t="s">
        <v>6433</v>
      </c>
      <c r="C953" s="52" t="s">
        <v>1299</v>
      </c>
      <c r="D953" s="48">
        <v>25319</v>
      </c>
      <c r="E953" s="49">
        <f t="shared" ca="1" si="25"/>
        <v>57.178625377643506</v>
      </c>
      <c r="F953" s="50">
        <v>154886946</v>
      </c>
      <c r="G953" s="51" t="s">
        <v>23</v>
      </c>
      <c r="I953" s="52" t="s">
        <v>23</v>
      </c>
      <c r="J953" s="46" t="s">
        <v>48</v>
      </c>
      <c r="M953" s="53" t="s">
        <v>6434</v>
      </c>
      <c r="N953" s="55"/>
      <c r="O953" s="55"/>
    </row>
    <row r="954" spans="1:21">
      <c r="A954" s="47">
        <v>20285487</v>
      </c>
      <c r="B954" s="46" t="s">
        <v>428</v>
      </c>
      <c r="C954" s="46" t="s">
        <v>3318</v>
      </c>
      <c r="D954" s="48" t="s">
        <v>52</v>
      </c>
      <c r="E954" s="49" t="str">
        <f t="shared" ca="1" si="25"/>
        <v/>
      </c>
      <c r="F954" s="50" t="s">
        <v>3319</v>
      </c>
      <c r="G954" s="51" t="s">
        <v>70</v>
      </c>
      <c r="H954" s="52" t="s">
        <v>3320</v>
      </c>
      <c r="I954" s="52" t="s">
        <v>3287</v>
      </c>
      <c r="J954" s="46" t="s">
        <v>3321</v>
      </c>
      <c r="K954" s="46" t="s">
        <v>159</v>
      </c>
      <c r="L954" s="46" t="s">
        <v>52</v>
      </c>
      <c r="M954" s="52" t="s">
        <v>3322</v>
      </c>
      <c r="N954" s="46" t="s">
        <v>52</v>
      </c>
      <c r="O954" s="46" t="s">
        <v>52</v>
      </c>
      <c r="P954" s="46" t="s">
        <v>59</v>
      </c>
      <c r="Q954" s="46" t="s">
        <v>60</v>
      </c>
      <c r="R954" s="46" t="s">
        <v>61</v>
      </c>
      <c r="S954" s="46" t="s">
        <v>62</v>
      </c>
      <c r="T954" s="46" t="s">
        <v>12</v>
      </c>
      <c r="U954" s="46" t="s">
        <v>63</v>
      </c>
    </row>
    <row r="955" spans="1:21">
      <c r="A955" s="47">
        <v>20285497</v>
      </c>
      <c r="B955" s="46" t="s">
        <v>2773</v>
      </c>
      <c r="C955" s="46" t="s">
        <v>27</v>
      </c>
      <c r="E955" s="49" t="str">
        <f t="shared" ca="1" si="25"/>
        <v/>
      </c>
      <c r="F955" s="50">
        <v>153038172</v>
      </c>
      <c r="G955" s="51" t="s">
        <v>23</v>
      </c>
      <c r="I955" s="52" t="s">
        <v>2671</v>
      </c>
      <c r="M955" s="58" t="s">
        <v>25</v>
      </c>
    </row>
    <row r="956" spans="1:21">
      <c r="A956" s="47">
        <v>20285526</v>
      </c>
      <c r="B956" s="46" t="s">
        <v>2116</v>
      </c>
      <c r="C956" s="52" t="s">
        <v>1068</v>
      </c>
      <c r="D956" s="48">
        <v>25352</v>
      </c>
      <c r="E956" s="49">
        <f t="shared" ca="1" si="25"/>
        <v>57.088274169184288</v>
      </c>
      <c r="F956" s="50">
        <v>155344939</v>
      </c>
      <c r="G956" s="51" t="s">
        <v>23</v>
      </c>
      <c r="I956" s="52" t="s">
        <v>5494</v>
      </c>
      <c r="J956" s="46" t="s">
        <v>48</v>
      </c>
      <c r="M956" s="53" t="s">
        <v>5603</v>
      </c>
      <c r="N956" s="55"/>
      <c r="O956" s="55"/>
    </row>
    <row r="957" spans="1:21">
      <c r="A957" s="47">
        <v>20285634</v>
      </c>
      <c r="B957" s="46" t="s">
        <v>1793</v>
      </c>
      <c r="C957" s="46" t="s">
        <v>5490</v>
      </c>
      <c r="D957" s="48" t="s">
        <v>52</v>
      </c>
      <c r="E957" s="49" t="str">
        <f t="shared" ca="1" si="25"/>
        <v/>
      </c>
      <c r="F957" s="50" t="s">
        <v>5491</v>
      </c>
      <c r="G957" s="51" t="s">
        <v>70</v>
      </c>
      <c r="H957" s="52" t="s">
        <v>52</v>
      </c>
      <c r="I957" s="52" t="s">
        <v>5304</v>
      </c>
      <c r="J957" s="46" t="s">
        <v>5492</v>
      </c>
      <c r="K957" s="46" t="s">
        <v>52</v>
      </c>
      <c r="L957" s="46" t="s">
        <v>52</v>
      </c>
      <c r="M957" s="52" t="s">
        <v>810</v>
      </c>
      <c r="N957" s="46" t="s">
        <v>5466</v>
      </c>
      <c r="O957" s="46" t="s">
        <v>52</v>
      </c>
      <c r="P957" s="46" t="s">
        <v>59</v>
      </c>
      <c r="Q957" s="46" t="s">
        <v>60</v>
      </c>
      <c r="R957" s="46" t="s">
        <v>61</v>
      </c>
      <c r="S957" s="46" t="s">
        <v>62</v>
      </c>
      <c r="T957" s="46" t="s">
        <v>12</v>
      </c>
      <c r="U957" s="46" t="s">
        <v>63</v>
      </c>
    </row>
    <row r="958" spans="1:21">
      <c r="A958" s="74">
        <v>20294273</v>
      </c>
      <c r="B958" s="234" t="s">
        <v>7853</v>
      </c>
      <c r="C958" s="234" t="s">
        <v>9892</v>
      </c>
      <c r="D958" s="235">
        <v>25080</v>
      </c>
      <c r="E958" s="236"/>
      <c r="F958" s="237">
        <v>3813402075</v>
      </c>
      <c r="G958" s="234" t="s">
        <v>141</v>
      </c>
      <c r="H958" s="238" t="s">
        <v>8765</v>
      </c>
      <c r="I958" s="238" t="s">
        <v>908</v>
      </c>
      <c r="J958" s="234" t="s">
        <v>1873</v>
      </c>
      <c r="K958" s="234" t="s">
        <v>2002</v>
      </c>
      <c r="L958" s="234"/>
      <c r="M958" s="238" t="s">
        <v>9931</v>
      </c>
      <c r="N958" s="234"/>
      <c r="O958" s="234"/>
      <c r="P958" s="234"/>
      <c r="Q958" s="234"/>
      <c r="R958" s="234"/>
      <c r="S958" s="234"/>
      <c r="T958" s="234"/>
      <c r="U958" s="234"/>
    </row>
    <row r="959" spans="1:21">
      <c r="A959" s="47">
        <v>20301219</v>
      </c>
      <c r="B959" s="46" t="s">
        <v>5140</v>
      </c>
      <c r="C959" s="46" t="s">
        <v>5141</v>
      </c>
      <c r="D959" s="48" t="s">
        <v>52</v>
      </c>
      <c r="E959" s="49" t="str">
        <f t="shared" ref="E959:E972" ca="1" si="26">IF(D959="","",YEARFRAC(D959,TODAY(),1))</f>
        <v/>
      </c>
      <c r="F959" s="50" t="s">
        <v>5142</v>
      </c>
      <c r="G959" s="51" t="s">
        <v>141</v>
      </c>
      <c r="H959" s="52" t="s">
        <v>52</v>
      </c>
      <c r="I959" s="52" t="s">
        <v>4954</v>
      </c>
      <c r="J959" s="46" t="s">
        <v>5143</v>
      </c>
      <c r="K959" s="46" t="s">
        <v>81</v>
      </c>
      <c r="L959" s="46" t="s">
        <v>52</v>
      </c>
      <c r="M959" s="53" t="s">
        <v>5144</v>
      </c>
      <c r="N959" s="46" t="s">
        <v>52</v>
      </c>
      <c r="O959" s="46" t="s">
        <v>52</v>
      </c>
      <c r="P959" s="46" t="s">
        <v>59</v>
      </c>
      <c r="Q959" s="46" t="s">
        <v>60</v>
      </c>
      <c r="R959" s="46" t="s">
        <v>61</v>
      </c>
      <c r="S959" s="46" t="s">
        <v>62</v>
      </c>
      <c r="T959" s="46" t="s">
        <v>12</v>
      </c>
      <c r="U959" s="46" t="s">
        <v>63</v>
      </c>
    </row>
    <row r="960" spans="1:21">
      <c r="A960" s="47">
        <v>20307247</v>
      </c>
      <c r="B960" s="46" t="s">
        <v>3657</v>
      </c>
      <c r="C960" s="46" t="s">
        <v>5476</v>
      </c>
      <c r="D960" s="48" t="s">
        <v>52</v>
      </c>
      <c r="E960" s="49" t="str">
        <f t="shared" ca="1" si="26"/>
        <v/>
      </c>
      <c r="F960" s="50" t="s">
        <v>5477</v>
      </c>
      <c r="G960" s="51" t="s">
        <v>70</v>
      </c>
      <c r="H960" s="52" t="s">
        <v>52</v>
      </c>
      <c r="I960" s="52" t="s">
        <v>5304</v>
      </c>
      <c r="J960" s="46" t="s">
        <v>5478</v>
      </c>
      <c r="K960" s="46" t="s">
        <v>52</v>
      </c>
      <c r="L960" s="46" t="s">
        <v>546</v>
      </c>
      <c r="M960" s="52" t="s">
        <v>5479</v>
      </c>
      <c r="N960" s="46" t="s">
        <v>52</v>
      </c>
      <c r="O960" s="46" t="s">
        <v>52</v>
      </c>
      <c r="P960" s="46" t="s">
        <v>59</v>
      </c>
      <c r="Q960" s="46" t="s">
        <v>60</v>
      </c>
      <c r="R960" s="46" t="s">
        <v>61</v>
      </c>
      <c r="S960" s="46" t="s">
        <v>62</v>
      </c>
      <c r="T960" s="46" t="s">
        <v>12</v>
      </c>
      <c r="U960" s="46" t="s">
        <v>63</v>
      </c>
    </row>
    <row r="961" spans="1:21">
      <c r="A961" s="47">
        <v>20310540</v>
      </c>
      <c r="B961" s="46" t="s">
        <v>5075</v>
      </c>
      <c r="C961" s="46" t="s">
        <v>5076</v>
      </c>
      <c r="D961" s="48">
        <v>25068</v>
      </c>
      <c r="E961" s="49">
        <f t="shared" ca="1" si="26"/>
        <v>57.863805104408357</v>
      </c>
      <c r="F961" s="50">
        <v>154742764</v>
      </c>
      <c r="G961" s="51" t="s">
        <v>86</v>
      </c>
      <c r="I961" s="52" t="s">
        <v>4954</v>
      </c>
      <c r="J961" s="46" t="s">
        <v>5077</v>
      </c>
      <c r="M961" s="53" t="s">
        <v>5078</v>
      </c>
      <c r="N961" s="46">
        <v>4247752</v>
      </c>
      <c r="O961" s="46">
        <v>7248</v>
      </c>
    </row>
    <row r="962" spans="1:21">
      <c r="A962" s="47">
        <v>20311140</v>
      </c>
      <c r="B962" s="46" t="s">
        <v>1298</v>
      </c>
      <c r="C962" s="52" t="s">
        <v>1649</v>
      </c>
      <c r="E962" s="49" t="str">
        <f t="shared" ca="1" si="26"/>
        <v/>
      </c>
      <c r="F962" s="50">
        <v>154478611</v>
      </c>
      <c r="G962" s="51" t="s">
        <v>141</v>
      </c>
      <c r="I962" s="52" t="s">
        <v>1497</v>
      </c>
      <c r="J962" s="46" t="s">
        <v>1650</v>
      </c>
      <c r="M962" s="53" t="s">
        <v>1651</v>
      </c>
      <c r="N962" s="55">
        <v>4250936</v>
      </c>
      <c r="O962" s="55"/>
    </row>
    <row r="963" spans="1:21">
      <c r="A963" s="47">
        <v>20311745</v>
      </c>
      <c r="B963" s="46" t="s">
        <v>2189</v>
      </c>
      <c r="C963" s="52" t="s">
        <v>2190</v>
      </c>
      <c r="D963" s="48">
        <v>25010</v>
      </c>
      <c r="E963" s="49">
        <f t="shared" ca="1" si="26"/>
        <v>58.022598607888632</v>
      </c>
      <c r="F963" s="50">
        <v>154474019</v>
      </c>
      <c r="G963" s="51" t="s">
        <v>23</v>
      </c>
      <c r="I963" s="52" t="s">
        <v>1881</v>
      </c>
      <c r="J963" s="46" t="s">
        <v>445</v>
      </c>
      <c r="M963" s="53" t="s">
        <v>2191</v>
      </c>
      <c r="N963" s="55"/>
      <c r="O963" s="55"/>
    </row>
    <row r="964" spans="1:21">
      <c r="A964" s="47">
        <v>20370028</v>
      </c>
      <c r="B964" s="46" t="s">
        <v>789</v>
      </c>
      <c r="C964" s="46" t="s">
        <v>1809</v>
      </c>
      <c r="D964" s="48">
        <v>25011</v>
      </c>
      <c r="E964" s="49">
        <f t="shared" ca="1" si="26"/>
        <v>58.019860788863113</v>
      </c>
      <c r="F964" s="50">
        <v>155284731</v>
      </c>
      <c r="G964" s="51" t="s">
        <v>141</v>
      </c>
      <c r="I964" s="52" t="s">
        <v>3999</v>
      </c>
      <c r="M964" s="58" t="s">
        <v>25</v>
      </c>
    </row>
    <row r="965" spans="1:21">
      <c r="A965" s="47">
        <v>20392278</v>
      </c>
      <c r="B965" s="46" t="s">
        <v>4112</v>
      </c>
      <c r="C965" s="52" t="s">
        <v>5560</v>
      </c>
      <c r="D965" s="48">
        <v>24935</v>
      </c>
      <c r="E965" s="49">
        <f t="shared" ca="1" si="26"/>
        <v>58.227935034802783</v>
      </c>
      <c r="F965" s="50">
        <v>155932407</v>
      </c>
      <c r="G965" s="51" t="s">
        <v>23</v>
      </c>
      <c r="I965" s="52" t="s">
        <v>5494</v>
      </c>
      <c r="J965" s="46" t="s">
        <v>5561</v>
      </c>
      <c r="M965" s="53" t="s">
        <v>5562</v>
      </c>
      <c r="N965" s="55">
        <v>4526025</v>
      </c>
      <c r="O965" s="55">
        <v>109</v>
      </c>
    </row>
    <row r="966" spans="1:21">
      <c r="A966" s="47">
        <v>20398681</v>
      </c>
      <c r="B966" s="46" t="s">
        <v>1774</v>
      </c>
      <c r="C966" s="46" t="s">
        <v>1775</v>
      </c>
      <c r="D966" s="48">
        <v>25032</v>
      </c>
      <c r="E966" s="49">
        <f t="shared" ca="1" si="26"/>
        <v>57.962366589327146</v>
      </c>
      <c r="G966" s="51" t="s">
        <v>70</v>
      </c>
      <c r="I966" s="52" t="s">
        <v>1657</v>
      </c>
      <c r="M966" s="53" t="s">
        <v>1776</v>
      </c>
      <c r="N966" s="46">
        <v>4107228</v>
      </c>
      <c r="P966" s="46" t="s">
        <v>1092</v>
      </c>
    </row>
    <row r="967" spans="1:21">
      <c r="A967" s="47">
        <v>20399229</v>
      </c>
      <c r="B967" s="46" t="s">
        <v>999</v>
      </c>
      <c r="C967" s="52" t="s">
        <v>1000</v>
      </c>
      <c r="E967" s="49" t="str">
        <f t="shared" ca="1" si="26"/>
        <v/>
      </c>
      <c r="F967" s="50">
        <v>156102122</v>
      </c>
      <c r="G967" s="51" t="s">
        <v>70</v>
      </c>
      <c r="I967" s="59" t="s">
        <v>908</v>
      </c>
      <c r="J967" s="46" t="s">
        <v>480</v>
      </c>
      <c r="M967" s="53" t="s">
        <v>1001</v>
      </c>
      <c r="N967" s="55">
        <v>4107214</v>
      </c>
      <c r="O967" s="55"/>
    </row>
    <row r="968" spans="1:21">
      <c r="A968" s="47">
        <v>20418132</v>
      </c>
      <c r="B968" s="46" t="s">
        <v>374</v>
      </c>
      <c r="C968" s="46" t="s">
        <v>722</v>
      </c>
      <c r="D968" s="48">
        <v>25031</v>
      </c>
      <c r="E968" s="49">
        <f t="shared" ca="1" si="26"/>
        <v>57.965104408352673</v>
      </c>
      <c r="F968" s="50">
        <v>154737227</v>
      </c>
      <c r="G968" s="51" t="s">
        <v>23</v>
      </c>
      <c r="I968" s="52" t="s">
        <v>594</v>
      </c>
      <c r="M968" s="58" t="s">
        <v>25</v>
      </c>
    </row>
    <row r="969" spans="1:21">
      <c r="A969" s="47">
        <v>20418286</v>
      </c>
      <c r="B969" s="46" t="s">
        <v>4357</v>
      </c>
      <c r="C969" s="46" t="s">
        <v>4358</v>
      </c>
      <c r="D969" s="48" t="s">
        <v>52</v>
      </c>
      <c r="E969" s="49" t="str">
        <f t="shared" ca="1" si="26"/>
        <v/>
      </c>
      <c r="F969" s="50" t="s">
        <v>4359</v>
      </c>
      <c r="G969" s="51" t="s">
        <v>141</v>
      </c>
      <c r="H969" s="52" t="s">
        <v>4360</v>
      </c>
      <c r="I969" s="52" t="s">
        <v>4245</v>
      </c>
      <c r="J969" s="46" t="s">
        <v>4361</v>
      </c>
      <c r="K969" s="46" t="s">
        <v>81</v>
      </c>
      <c r="L969" s="46" t="s">
        <v>2221</v>
      </c>
      <c r="M969" s="58" t="s">
        <v>4362</v>
      </c>
      <c r="N969" s="46" t="s">
        <v>4363</v>
      </c>
      <c r="O969" s="46" t="s">
        <v>52</v>
      </c>
      <c r="P969" s="46" t="s">
        <v>59</v>
      </c>
      <c r="Q969" s="46" t="s">
        <v>60</v>
      </c>
      <c r="R969" s="46" t="s">
        <v>61</v>
      </c>
      <c r="S969" s="46" t="s">
        <v>62</v>
      </c>
      <c r="T969" s="46" t="s">
        <v>12</v>
      </c>
      <c r="U969" s="46" t="s">
        <v>63</v>
      </c>
    </row>
    <row r="970" spans="1:21">
      <c r="A970" s="47">
        <v>20418524</v>
      </c>
      <c r="B970" s="46" t="s">
        <v>2422</v>
      </c>
      <c r="C970" s="46" t="s">
        <v>1299</v>
      </c>
      <c r="D970" s="48" t="s">
        <v>52</v>
      </c>
      <c r="E970" s="49" t="str">
        <f t="shared" ca="1" si="26"/>
        <v/>
      </c>
      <c r="F970" s="50" t="s">
        <v>2657</v>
      </c>
      <c r="G970" s="51" t="s">
        <v>141</v>
      </c>
      <c r="H970" s="52" t="s">
        <v>52</v>
      </c>
      <c r="I970" s="59" t="s">
        <v>908</v>
      </c>
      <c r="J970" s="46" t="s">
        <v>631</v>
      </c>
      <c r="K970" s="46" t="s">
        <v>81</v>
      </c>
      <c r="L970" s="46" t="s">
        <v>546</v>
      </c>
      <c r="M970" s="52" t="s">
        <v>2658</v>
      </c>
      <c r="N970" s="46" t="s">
        <v>2640</v>
      </c>
      <c r="O970" s="46" t="s">
        <v>52</v>
      </c>
      <c r="P970" s="46" t="s">
        <v>59</v>
      </c>
      <c r="Q970" s="46" t="s">
        <v>60</v>
      </c>
      <c r="R970" s="46" t="s">
        <v>61</v>
      </c>
      <c r="S970" s="46" t="s">
        <v>62</v>
      </c>
      <c r="T970" s="46" t="s">
        <v>12</v>
      </c>
      <c r="U970" s="46" t="s">
        <v>63</v>
      </c>
    </row>
    <row r="971" spans="1:21">
      <c r="A971" s="47">
        <v>20418941</v>
      </c>
      <c r="B971" s="46" t="s">
        <v>1798</v>
      </c>
      <c r="C971" s="46" t="s">
        <v>6663</v>
      </c>
      <c r="D971" s="48" t="s">
        <v>52</v>
      </c>
      <c r="E971" s="49" t="str">
        <f t="shared" ca="1" si="26"/>
        <v/>
      </c>
      <c r="F971" s="50" t="s">
        <v>6664</v>
      </c>
      <c r="G971" s="51" t="s">
        <v>141</v>
      </c>
      <c r="H971" s="52" t="s">
        <v>52</v>
      </c>
      <c r="I971" s="52" t="s">
        <v>5304</v>
      </c>
      <c r="J971" s="46" t="s">
        <v>6665</v>
      </c>
      <c r="K971" s="46" t="s">
        <v>81</v>
      </c>
      <c r="L971" s="46" t="s">
        <v>546</v>
      </c>
      <c r="M971" s="52" t="s">
        <v>6666</v>
      </c>
      <c r="N971" s="46" t="s">
        <v>52</v>
      </c>
      <c r="O971" s="46" t="s">
        <v>52</v>
      </c>
      <c r="P971" s="46" t="s">
        <v>59</v>
      </c>
      <c r="Q971" s="46" t="s">
        <v>60</v>
      </c>
      <c r="R971" s="46" t="s">
        <v>61</v>
      </c>
      <c r="S971" s="46" t="s">
        <v>62</v>
      </c>
      <c r="T971" s="46" t="s">
        <v>12</v>
      </c>
      <c r="U971" s="46" t="s">
        <v>63</v>
      </c>
    </row>
    <row r="972" spans="1:21">
      <c r="A972" s="47">
        <v>20422917</v>
      </c>
      <c r="B972" s="46" t="s">
        <v>4117</v>
      </c>
      <c r="C972" s="46" t="s">
        <v>4118</v>
      </c>
      <c r="D972" s="48">
        <v>25204</v>
      </c>
      <c r="E972" s="49">
        <f t="shared" ca="1" si="26"/>
        <v>57.493485649546827</v>
      </c>
      <c r="G972" s="51" t="s">
        <v>23</v>
      </c>
      <c r="I972" s="52" t="s">
        <v>4078</v>
      </c>
      <c r="J972" s="46" t="s">
        <v>224</v>
      </c>
      <c r="M972" s="53" t="s">
        <v>4119</v>
      </c>
    </row>
    <row r="973" spans="1:21">
      <c r="A973" s="74">
        <v>20422928</v>
      </c>
      <c r="B973" s="234" t="s">
        <v>9906</v>
      </c>
      <c r="C973" s="234" t="s">
        <v>9907</v>
      </c>
      <c r="D973" s="235">
        <v>25204</v>
      </c>
      <c r="E973" s="236"/>
      <c r="F973" s="237">
        <v>3813012262</v>
      </c>
      <c r="G973" s="234" t="s">
        <v>70</v>
      </c>
      <c r="H973" s="238" t="s">
        <v>9971</v>
      </c>
      <c r="I973" s="265" t="s">
        <v>24</v>
      </c>
      <c r="J973" s="234" t="s">
        <v>6656</v>
      </c>
      <c r="K973" s="234" t="s">
        <v>9983</v>
      </c>
      <c r="L973" s="234"/>
      <c r="M973" s="238" t="s">
        <v>9940</v>
      </c>
      <c r="N973" s="234"/>
      <c r="O973" s="234"/>
      <c r="P973" s="234"/>
      <c r="Q973" s="234"/>
      <c r="R973" s="234"/>
      <c r="S973" s="234"/>
      <c r="T973" s="234"/>
      <c r="U973" s="234"/>
    </row>
    <row r="974" spans="1:21">
      <c r="A974" s="74">
        <v>20433083</v>
      </c>
      <c r="B974" s="234" t="s">
        <v>8981</v>
      </c>
      <c r="C974" s="234" t="s">
        <v>7304</v>
      </c>
      <c r="D974" s="235">
        <v>25409</v>
      </c>
      <c r="E974" s="236"/>
      <c r="F974" s="237">
        <v>3815000569</v>
      </c>
      <c r="G974" s="234" t="s">
        <v>70</v>
      </c>
      <c r="H974" s="238" t="s">
        <v>6749</v>
      </c>
      <c r="I974" s="265" t="s">
        <v>6530</v>
      </c>
      <c r="J974" s="234" t="s">
        <v>9982</v>
      </c>
      <c r="K974" s="234" t="s">
        <v>9983</v>
      </c>
      <c r="L974" s="234"/>
      <c r="M974" s="238" t="s">
        <v>9918</v>
      </c>
      <c r="N974" s="234"/>
      <c r="O974" s="234"/>
      <c r="P974" s="234"/>
      <c r="Q974" s="234"/>
      <c r="R974" s="234"/>
      <c r="S974" s="234"/>
      <c r="T974" s="234"/>
      <c r="U974" s="234"/>
    </row>
    <row r="975" spans="1:21">
      <c r="A975" s="47">
        <v>20433199</v>
      </c>
      <c r="B975" s="46" t="s">
        <v>247</v>
      </c>
      <c r="C975" s="46" t="s">
        <v>683</v>
      </c>
      <c r="D975" s="48">
        <v>25422</v>
      </c>
      <c r="E975" s="49">
        <f ca="1">IF(D975="","",YEARFRAC(D975,TODAY(),1))</f>
        <v>56.896620090634443</v>
      </c>
      <c r="F975" s="50">
        <v>156148840</v>
      </c>
      <c r="G975" s="51" t="s">
        <v>86</v>
      </c>
      <c r="I975" s="52" t="s">
        <v>594</v>
      </c>
      <c r="J975" s="46" t="s">
        <v>244</v>
      </c>
      <c r="M975" s="77" t="s">
        <v>684</v>
      </c>
      <c r="N975" s="46">
        <v>4244394</v>
      </c>
      <c r="O975" s="46">
        <v>202</v>
      </c>
    </row>
    <row r="976" spans="1:21">
      <c r="A976" s="47">
        <v>20433316</v>
      </c>
      <c r="B976" s="46" t="s">
        <v>690</v>
      </c>
      <c r="C976" s="46" t="s">
        <v>6476</v>
      </c>
      <c r="D976" s="48" t="s">
        <v>52</v>
      </c>
      <c r="E976" s="49" t="str">
        <f ca="1">IF(D976="","",YEARFRAC(D976,TODAY(),1))</f>
        <v/>
      </c>
      <c r="F976" s="50" t="s">
        <v>6477</v>
      </c>
      <c r="G976" s="51" t="s">
        <v>70</v>
      </c>
      <c r="H976" s="52" t="s">
        <v>52</v>
      </c>
      <c r="I976" s="52" t="s">
        <v>23</v>
      </c>
      <c r="J976" s="46" t="s">
        <v>6478</v>
      </c>
      <c r="K976" s="46" t="s">
        <v>81</v>
      </c>
      <c r="L976" s="46" t="s">
        <v>546</v>
      </c>
      <c r="M976" s="52" t="s">
        <v>6479</v>
      </c>
      <c r="N976" s="46" t="s">
        <v>52</v>
      </c>
      <c r="O976" s="46" t="s">
        <v>6480</v>
      </c>
      <c r="P976" s="46" t="s">
        <v>59</v>
      </c>
      <c r="Q976" s="46" t="s">
        <v>60</v>
      </c>
      <c r="R976" s="46" t="s">
        <v>61</v>
      </c>
      <c r="S976" s="46" t="s">
        <v>62</v>
      </c>
      <c r="T976" s="46" t="s">
        <v>12</v>
      </c>
      <c r="U976" s="46" t="s">
        <v>63</v>
      </c>
    </row>
    <row r="977" spans="1:21">
      <c r="A977" s="47">
        <v>20433344</v>
      </c>
      <c r="B977" s="46" t="s">
        <v>342</v>
      </c>
      <c r="C977" s="46" t="s">
        <v>9642</v>
      </c>
      <c r="D977" s="48" t="s">
        <v>9643</v>
      </c>
      <c r="E977" s="49" t="s">
        <v>9577</v>
      </c>
      <c r="F977" s="50" t="s">
        <v>9644</v>
      </c>
      <c r="G977" s="51" t="s">
        <v>141</v>
      </c>
      <c r="H977" s="52" t="s">
        <v>9401</v>
      </c>
      <c r="I977" s="52" t="s">
        <v>2524</v>
      </c>
      <c r="J977" s="46" t="s">
        <v>1873</v>
      </c>
      <c r="K977" s="46" t="s">
        <v>81</v>
      </c>
      <c r="L977" s="46" t="s">
        <v>546</v>
      </c>
      <c r="M977" s="52" t="s">
        <v>9645</v>
      </c>
      <c r="N977" s="46" t="s">
        <v>52</v>
      </c>
      <c r="O977" s="46" t="s">
        <v>52</v>
      </c>
      <c r="P977" s="46" t="s">
        <v>59</v>
      </c>
      <c r="Q977" s="46" t="s">
        <v>60</v>
      </c>
      <c r="R977" s="46" t="s">
        <v>61</v>
      </c>
      <c r="S977" s="46" t="s">
        <v>62</v>
      </c>
      <c r="T977" s="46" t="s">
        <v>12</v>
      </c>
      <c r="U977" s="46" t="s">
        <v>63</v>
      </c>
    </row>
    <row r="978" spans="1:21">
      <c r="A978" s="47">
        <v>20433540</v>
      </c>
      <c r="B978" s="46" t="s">
        <v>1028</v>
      </c>
      <c r="C978" s="52" t="s">
        <v>1029</v>
      </c>
      <c r="D978" s="48">
        <v>25461</v>
      </c>
      <c r="E978" s="49">
        <f t="shared" ref="E978:E987" ca="1" si="27">IF(D978="","",YEARFRAC(D978,TODAY(),1))</f>
        <v>56.789841389728096</v>
      </c>
      <c r="F978" s="50">
        <v>154620617</v>
      </c>
      <c r="G978" s="51" t="s">
        <v>23</v>
      </c>
      <c r="I978" s="59" t="s">
        <v>908</v>
      </c>
      <c r="J978" s="46" t="s">
        <v>1030</v>
      </c>
      <c r="M978" s="53" t="s">
        <v>1031</v>
      </c>
      <c r="N978" s="55">
        <v>4107202</v>
      </c>
      <c r="O978" s="55">
        <v>7202</v>
      </c>
    </row>
    <row r="979" spans="1:21">
      <c r="A979" s="47">
        <v>20433777</v>
      </c>
      <c r="B979" s="46" t="s">
        <v>3258</v>
      </c>
      <c r="C979" s="52" t="s">
        <v>1061</v>
      </c>
      <c r="D979" s="48">
        <v>25483</v>
      </c>
      <c r="E979" s="49">
        <f t="shared" ca="1" si="27"/>
        <v>56.729607250755286</v>
      </c>
      <c r="F979" s="50">
        <v>155137055</v>
      </c>
      <c r="G979" s="51" t="s">
        <v>23</v>
      </c>
      <c r="I979" s="52" t="s">
        <v>3166</v>
      </c>
      <c r="J979" s="46" t="s">
        <v>3259</v>
      </c>
      <c r="M979" s="53" t="s">
        <v>3260</v>
      </c>
      <c r="N979" s="55">
        <v>4006858</v>
      </c>
      <c r="O979" s="55">
        <v>55</v>
      </c>
    </row>
    <row r="980" spans="1:21">
      <c r="A980" s="47">
        <v>20433790</v>
      </c>
      <c r="B980" s="46" t="s">
        <v>425</v>
      </c>
      <c r="C980" s="46" t="s">
        <v>1299</v>
      </c>
      <c r="D980" s="48">
        <v>25474</v>
      </c>
      <c r="E980" s="49">
        <f t="shared" ca="1" si="27"/>
        <v>56.754248489425983</v>
      </c>
      <c r="G980" s="51" t="s">
        <v>141</v>
      </c>
      <c r="I980" s="52" t="s">
        <v>2926</v>
      </c>
      <c r="M980" s="58" t="s">
        <v>25</v>
      </c>
      <c r="O980" s="46">
        <v>7400</v>
      </c>
    </row>
    <row r="981" spans="1:21">
      <c r="A981" s="47">
        <v>20496904</v>
      </c>
      <c r="B981" s="46" t="s">
        <v>164</v>
      </c>
      <c r="C981" s="52" t="s">
        <v>165</v>
      </c>
      <c r="D981" s="48">
        <v>25029</v>
      </c>
      <c r="E981" s="49">
        <f t="shared" ca="1" si="27"/>
        <v>57.970580046403711</v>
      </c>
      <c r="F981" s="50">
        <v>155441914</v>
      </c>
      <c r="G981" s="51" t="s">
        <v>23</v>
      </c>
      <c r="I981" s="52" t="s">
        <v>24</v>
      </c>
      <c r="J981" s="46" t="s">
        <v>166</v>
      </c>
      <c r="M981" s="58" t="s">
        <v>25</v>
      </c>
      <c r="N981" s="55"/>
      <c r="O981" s="55"/>
    </row>
    <row r="982" spans="1:21">
      <c r="A982" s="47">
        <v>20498164</v>
      </c>
      <c r="B982" s="46" t="s">
        <v>3149</v>
      </c>
      <c r="C982" s="46" t="s">
        <v>135</v>
      </c>
      <c r="D982" s="48">
        <v>25087</v>
      </c>
      <c r="E982" s="49">
        <f t="shared" ca="1" si="27"/>
        <v>57.811786542923436</v>
      </c>
      <c r="F982" s="50" t="s">
        <v>3150</v>
      </c>
      <c r="G982" s="51" t="s">
        <v>141</v>
      </c>
      <c r="I982" s="52" t="s">
        <v>3127</v>
      </c>
      <c r="J982" s="55" t="s">
        <v>38</v>
      </c>
      <c r="K982" s="55"/>
      <c r="L982" s="55"/>
      <c r="M982" s="53" t="s">
        <v>3151</v>
      </c>
      <c r="N982" s="55">
        <v>4556119</v>
      </c>
      <c r="O982" s="55"/>
      <c r="P982" s="46">
        <v>3</v>
      </c>
    </row>
    <row r="983" spans="1:21">
      <c r="A983" s="47">
        <v>20519328</v>
      </c>
      <c r="B983" s="46" t="s">
        <v>647</v>
      </c>
      <c r="C983" s="46" t="s">
        <v>648</v>
      </c>
      <c r="D983" s="48">
        <v>25163</v>
      </c>
      <c r="E983" s="49">
        <f t="shared" ca="1" si="27"/>
        <v>57.603712296983758</v>
      </c>
      <c r="F983" s="50">
        <v>154788651</v>
      </c>
      <c r="G983" s="51" t="s">
        <v>70</v>
      </c>
      <c r="I983" s="52" t="s">
        <v>594</v>
      </c>
      <c r="M983" s="53" t="s">
        <v>649</v>
      </c>
      <c r="N983" s="46">
        <v>4255056</v>
      </c>
    </row>
    <row r="984" spans="1:21">
      <c r="A984" s="47">
        <v>20571549</v>
      </c>
      <c r="B984" s="46" t="s">
        <v>2586</v>
      </c>
      <c r="C984" s="46" t="s">
        <v>888</v>
      </c>
      <c r="D984" s="48">
        <v>25250</v>
      </c>
      <c r="E984" s="49">
        <f t="shared" ca="1" si="27"/>
        <v>57.367541540785496</v>
      </c>
      <c r="F984" s="50">
        <v>155942311</v>
      </c>
      <c r="G984" s="51" t="s">
        <v>70</v>
      </c>
      <c r="I984" s="52" t="s">
        <v>4245</v>
      </c>
      <c r="M984" s="53" t="s">
        <v>4402</v>
      </c>
    </row>
    <row r="985" spans="1:21">
      <c r="A985" s="64">
        <v>20580067</v>
      </c>
      <c r="B985" s="61" t="s">
        <v>394</v>
      </c>
      <c r="C985" s="62" t="s">
        <v>2571</v>
      </c>
      <c r="D985" s="48">
        <v>25132</v>
      </c>
      <c r="E985" s="49">
        <f t="shared" ca="1" si="27"/>
        <v>57.688584686774945</v>
      </c>
      <c r="F985" s="63">
        <v>155177177</v>
      </c>
      <c r="G985" s="51" t="s">
        <v>23</v>
      </c>
      <c r="I985" s="59" t="s">
        <v>908</v>
      </c>
      <c r="J985" s="61" t="s">
        <v>2572</v>
      </c>
      <c r="K985" s="61"/>
      <c r="L985" s="61"/>
      <c r="M985" s="53" t="s">
        <v>2573</v>
      </c>
      <c r="N985" s="55"/>
      <c r="O985" s="55"/>
    </row>
    <row r="986" spans="1:21">
      <c r="A986" s="47">
        <v>20580672</v>
      </c>
      <c r="B986" s="46" t="s">
        <v>1793</v>
      </c>
      <c r="C986" s="52" t="s">
        <v>363</v>
      </c>
      <c r="E986" s="49" t="str">
        <f t="shared" ca="1" si="27"/>
        <v/>
      </c>
      <c r="F986" s="50">
        <v>156410566</v>
      </c>
      <c r="G986" s="51" t="s">
        <v>23</v>
      </c>
      <c r="I986" s="59" t="s">
        <v>908</v>
      </c>
      <c r="J986" s="46" t="s">
        <v>2568</v>
      </c>
      <c r="M986" s="58" t="s">
        <v>25</v>
      </c>
      <c r="N986" s="55"/>
      <c r="O986" s="55"/>
    </row>
    <row r="987" spans="1:21">
      <c r="A987" s="47">
        <v>20612701</v>
      </c>
      <c r="B987" s="46" t="s">
        <v>2799</v>
      </c>
      <c r="C987" s="55" t="s">
        <v>4375</v>
      </c>
      <c r="D987" s="48">
        <v>25279</v>
      </c>
      <c r="E987" s="49">
        <f t="shared" ca="1" si="27"/>
        <v>57.288141993957701</v>
      </c>
      <c r="F987" s="50">
        <v>154454866</v>
      </c>
      <c r="G987" s="51" t="s">
        <v>70</v>
      </c>
      <c r="I987" s="52" t="s">
        <v>4245</v>
      </c>
      <c r="J987" s="55"/>
      <c r="K987" s="55"/>
      <c r="L987" s="55"/>
      <c r="M987" s="53" t="s">
        <v>4376</v>
      </c>
      <c r="N987" s="55">
        <v>4247752</v>
      </c>
      <c r="O987" s="55">
        <v>7025</v>
      </c>
    </row>
    <row r="988" spans="1:21">
      <c r="A988" s="74">
        <v>20630868</v>
      </c>
      <c r="B988" s="234" t="s">
        <v>3425</v>
      </c>
      <c r="C988" s="234" t="s">
        <v>2723</v>
      </c>
      <c r="D988" s="235">
        <v>25356</v>
      </c>
      <c r="E988" s="236"/>
      <c r="F988" s="237">
        <v>3816794946</v>
      </c>
      <c r="G988" s="234" t="s">
        <v>70</v>
      </c>
      <c r="H988" s="238" t="s">
        <v>9948</v>
      </c>
      <c r="I988" s="265" t="s">
        <v>3427</v>
      </c>
      <c r="J988" s="234" t="s">
        <v>9981</v>
      </c>
      <c r="K988" s="234" t="s">
        <v>390</v>
      </c>
      <c r="L988" s="234"/>
      <c r="M988" s="238" t="s">
        <v>9917</v>
      </c>
      <c r="N988" s="234"/>
      <c r="O988" s="234"/>
      <c r="P988" s="234"/>
      <c r="Q988" s="234"/>
      <c r="R988" s="234"/>
      <c r="S988" s="234"/>
      <c r="T988" s="234"/>
      <c r="U988" s="234"/>
    </row>
    <row r="989" spans="1:21">
      <c r="A989" s="47">
        <v>20661724</v>
      </c>
      <c r="B989" s="46" t="s">
        <v>5846</v>
      </c>
      <c r="C989" s="52" t="s">
        <v>6320</v>
      </c>
      <c r="D989" s="48">
        <v>25253</v>
      </c>
      <c r="E989" s="49">
        <f ca="1">IF(D989="","",YEARFRAC(D989,TODAY(),1))</f>
        <v>57.359327794561935</v>
      </c>
      <c r="F989" s="50">
        <v>156229419</v>
      </c>
      <c r="G989" s="51" t="s">
        <v>78</v>
      </c>
      <c r="I989" s="52" t="s">
        <v>23</v>
      </c>
      <c r="J989" s="46" t="s">
        <v>6321</v>
      </c>
      <c r="M989" s="52" t="s">
        <v>6322</v>
      </c>
      <c r="N989" s="55" t="s">
        <v>6323</v>
      </c>
      <c r="O989" s="55"/>
    </row>
    <row r="990" spans="1:21">
      <c r="A990" s="47">
        <v>20692036</v>
      </c>
      <c r="B990" s="46" t="s">
        <v>727</v>
      </c>
      <c r="C990" s="46" t="s">
        <v>728</v>
      </c>
      <c r="D990" s="48">
        <v>25507</v>
      </c>
      <c r="E990" s="49">
        <f ca="1">IF(D990="","",YEARFRAC(D990,TODAY(),1))</f>
        <v>56.663897280966765</v>
      </c>
      <c r="F990" s="50">
        <v>156289033</v>
      </c>
      <c r="G990" s="51" t="s">
        <v>23</v>
      </c>
      <c r="I990" s="52" t="s">
        <v>594</v>
      </c>
      <c r="J990" s="46" t="s">
        <v>729</v>
      </c>
      <c r="M990" s="58" t="s">
        <v>25</v>
      </c>
    </row>
    <row r="991" spans="1:21">
      <c r="A991" s="47">
        <v>20692216</v>
      </c>
      <c r="B991" s="46" t="s">
        <v>484</v>
      </c>
      <c r="C991" s="52" t="s">
        <v>27</v>
      </c>
      <c r="D991" s="48">
        <v>25520</v>
      </c>
      <c r="E991" s="49">
        <f ca="1">IF(D991="","",YEARFRAC(D991,TODAY(),1))</f>
        <v>56.628304380664652</v>
      </c>
      <c r="F991" s="50">
        <v>156812876</v>
      </c>
      <c r="G991" s="51" t="s">
        <v>70</v>
      </c>
      <c r="I991" s="52" t="s">
        <v>24</v>
      </c>
      <c r="J991" s="46" t="s">
        <v>485</v>
      </c>
      <c r="M991" s="53" t="s">
        <v>486</v>
      </c>
      <c r="N991" s="55"/>
      <c r="O991" s="55"/>
    </row>
    <row r="992" spans="1:21">
      <c r="A992" s="47">
        <v>20692284</v>
      </c>
      <c r="B992" s="46" t="s">
        <v>1558</v>
      </c>
      <c r="C992" s="52" t="s">
        <v>6291</v>
      </c>
      <c r="D992" s="48">
        <v>25530</v>
      </c>
      <c r="E992" s="49">
        <f ca="1">IF(D992="","",YEARFRAC(D992,TODAY(),1))</f>
        <v>56.600925226586106</v>
      </c>
      <c r="F992" s="50">
        <v>156777010</v>
      </c>
      <c r="G992" s="51" t="s">
        <v>23</v>
      </c>
      <c r="I992" s="52" t="s">
        <v>23</v>
      </c>
      <c r="J992" s="46" t="s">
        <v>6292</v>
      </c>
      <c r="M992" s="53" t="s">
        <v>6293</v>
      </c>
      <c r="N992" s="55"/>
      <c r="O992" s="55"/>
    </row>
    <row r="993" spans="1:21">
      <c r="A993" s="47">
        <v>20692375</v>
      </c>
      <c r="B993" s="46" t="s">
        <v>2859</v>
      </c>
      <c r="C993" s="52" t="s">
        <v>548</v>
      </c>
      <c r="D993" s="48">
        <v>25241</v>
      </c>
      <c r="E993" s="49">
        <f ca="1">IF(D993="","",YEARFRAC(D993,TODAY(),1))</f>
        <v>57.392182779456192</v>
      </c>
      <c r="F993" s="50">
        <v>154191686</v>
      </c>
      <c r="G993" s="51" t="s">
        <v>70</v>
      </c>
      <c r="I993" s="52" t="s">
        <v>5304</v>
      </c>
      <c r="J993" s="46" t="s">
        <v>5310</v>
      </c>
      <c r="M993" s="58" t="s">
        <v>25</v>
      </c>
      <c r="N993" s="55">
        <v>4107223</v>
      </c>
      <c r="O993" s="55"/>
    </row>
    <row r="994" spans="1:21">
      <c r="A994" s="47">
        <v>20692455</v>
      </c>
      <c r="B994" s="46" t="s">
        <v>9637</v>
      </c>
      <c r="C994" s="46" t="s">
        <v>9638</v>
      </c>
      <c r="D994" s="48" t="s">
        <v>9639</v>
      </c>
      <c r="E994" s="49" t="s">
        <v>9577</v>
      </c>
      <c r="F994" s="50" t="s">
        <v>9640</v>
      </c>
      <c r="G994" s="51" t="s">
        <v>141</v>
      </c>
      <c r="H994" s="52" t="s">
        <v>9401</v>
      </c>
      <c r="I994" s="52" t="s">
        <v>3127</v>
      </c>
      <c r="J994" s="46" t="s">
        <v>1873</v>
      </c>
      <c r="K994" s="46" t="s">
        <v>81</v>
      </c>
      <c r="L994" s="46" t="s">
        <v>546</v>
      </c>
      <c r="M994" s="52" t="s">
        <v>9641</v>
      </c>
      <c r="N994" s="46" t="s">
        <v>52</v>
      </c>
      <c r="O994" s="46" t="s">
        <v>52</v>
      </c>
      <c r="P994" s="46" t="s">
        <v>59</v>
      </c>
      <c r="Q994" s="46" t="s">
        <v>60</v>
      </c>
      <c r="R994" s="46" t="s">
        <v>61</v>
      </c>
      <c r="S994" s="46" t="s">
        <v>62</v>
      </c>
      <c r="T994" s="46" t="s">
        <v>12</v>
      </c>
      <c r="U994" s="46" t="s">
        <v>63</v>
      </c>
    </row>
    <row r="995" spans="1:21">
      <c r="A995" s="60">
        <v>20692487</v>
      </c>
      <c r="B995" s="61" t="s">
        <v>377</v>
      </c>
      <c r="C995" s="62" t="s">
        <v>5674</v>
      </c>
      <c r="D995" s="48">
        <v>25550</v>
      </c>
      <c r="E995" s="49">
        <f t="shared" ref="E995:E1006" ca="1" si="28">IF(D995="","",YEARFRAC(D995,TODAY(),1))</f>
        <v>56.546166918429002</v>
      </c>
      <c r="F995" s="63">
        <v>156399948</v>
      </c>
      <c r="G995" s="51" t="s">
        <v>23</v>
      </c>
      <c r="I995" s="52" t="s">
        <v>5494</v>
      </c>
      <c r="J995" s="61" t="s">
        <v>5675</v>
      </c>
      <c r="K995" s="61"/>
      <c r="L995" s="61"/>
      <c r="M995" s="53" t="s">
        <v>5676</v>
      </c>
      <c r="N995" s="55"/>
      <c r="O995" s="55"/>
    </row>
    <row r="996" spans="1:21">
      <c r="A996" s="47">
        <v>20758707</v>
      </c>
      <c r="B996" s="46" t="s">
        <v>622</v>
      </c>
      <c r="C996" s="52" t="s">
        <v>1459</v>
      </c>
      <c r="D996" s="48">
        <v>25275</v>
      </c>
      <c r="E996" s="49">
        <f t="shared" ca="1" si="28"/>
        <v>57.299093655589125</v>
      </c>
      <c r="G996" s="51" t="s">
        <v>141</v>
      </c>
      <c r="I996" s="52" t="s">
        <v>1460</v>
      </c>
      <c r="J996" s="46" t="s">
        <v>1461</v>
      </c>
      <c r="M996" s="53" t="s">
        <v>1462</v>
      </c>
      <c r="N996" s="55">
        <v>4364099</v>
      </c>
      <c r="O996" s="55"/>
    </row>
    <row r="997" spans="1:21">
      <c r="A997" s="47">
        <v>20759438</v>
      </c>
      <c r="B997" s="46" t="s">
        <v>350</v>
      </c>
      <c r="C997" s="46" t="s">
        <v>5656</v>
      </c>
      <c r="D997" s="48">
        <v>25311</v>
      </c>
      <c r="E997" s="49">
        <f t="shared" ca="1" si="28"/>
        <v>57.200528700906347</v>
      </c>
      <c r="F997" s="50">
        <v>154126820</v>
      </c>
      <c r="G997" s="51" t="s">
        <v>78</v>
      </c>
      <c r="I997" s="52" t="s">
        <v>5494</v>
      </c>
      <c r="J997" s="46" t="s">
        <v>5657</v>
      </c>
      <c r="M997" s="53" t="s">
        <v>5658</v>
      </c>
      <c r="N997" s="46">
        <v>4218758</v>
      </c>
      <c r="P997" s="46">
        <v>1</v>
      </c>
    </row>
    <row r="998" spans="1:21">
      <c r="A998" s="47">
        <v>20759468</v>
      </c>
      <c r="B998" s="46" t="s">
        <v>350</v>
      </c>
      <c r="C998" s="52" t="s">
        <v>5656</v>
      </c>
      <c r="D998" s="48">
        <v>25311</v>
      </c>
      <c r="E998" s="49">
        <f t="shared" ca="1" si="28"/>
        <v>57.200528700906347</v>
      </c>
      <c r="F998" s="50">
        <v>154126820</v>
      </c>
      <c r="G998" s="51" t="s">
        <v>23</v>
      </c>
      <c r="I998" s="52" t="s">
        <v>5494</v>
      </c>
      <c r="J998" s="46" t="s">
        <v>5659</v>
      </c>
      <c r="M998" s="53" t="s">
        <v>323</v>
      </c>
      <c r="N998" s="55"/>
      <c r="O998" s="55"/>
    </row>
    <row r="999" spans="1:21">
      <c r="A999" s="47">
        <v>20759580</v>
      </c>
      <c r="B999" s="46" t="s">
        <v>118</v>
      </c>
      <c r="C999" s="46" t="s">
        <v>119</v>
      </c>
      <c r="D999" s="48">
        <v>25319</v>
      </c>
      <c r="E999" s="49">
        <f t="shared" ca="1" si="28"/>
        <v>57.178625377643506</v>
      </c>
      <c r="F999" s="50">
        <v>156425039</v>
      </c>
      <c r="G999" s="51" t="s">
        <v>70</v>
      </c>
      <c r="I999" s="52" t="s">
        <v>24</v>
      </c>
      <c r="J999" s="46" t="s">
        <v>122</v>
      </c>
      <c r="M999" s="52" t="s">
        <v>123</v>
      </c>
      <c r="P999" s="46">
        <v>1</v>
      </c>
    </row>
    <row r="1000" spans="1:21">
      <c r="A1000" s="47">
        <v>20759991</v>
      </c>
      <c r="B1000" s="46" t="s">
        <v>1613</v>
      </c>
      <c r="C1000" s="52" t="s">
        <v>5708</v>
      </c>
      <c r="E1000" s="49" t="str">
        <f t="shared" ca="1" si="28"/>
        <v/>
      </c>
      <c r="F1000" s="50">
        <v>154951876</v>
      </c>
      <c r="G1000" s="51" t="s">
        <v>23</v>
      </c>
      <c r="I1000" s="52" t="s">
        <v>5494</v>
      </c>
      <c r="J1000" s="46" t="s">
        <v>238</v>
      </c>
      <c r="M1000" s="53" t="s">
        <v>5709</v>
      </c>
      <c r="N1000" s="55" t="s">
        <v>5710</v>
      </c>
      <c r="O1000" s="55"/>
    </row>
    <row r="1001" spans="1:21">
      <c r="A1001" s="47">
        <v>20760236</v>
      </c>
      <c r="B1001" s="46" t="s">
        <v>144</v>
      </c>
      <c r="C1001" s="46" t="s">
        <v>1507</v>
      </c>
      <c r="D1001" s="48">
        <v>25351</v>
      </c>
      <c r="E1001" s="49">
        <f t="shared" ca="1" si="28"/>
        <v>57.091012084592144</v>
      </c>
      <c r="F1001" s="50">
        <v>155477004</v>
      </c>
      <c r="G1001" s="51" t="s">
        <v>141</v>
      </c>
      <c r="I1001" s="52" t="s">
        <v>1497</v>
      </c>
      <c r="M1001" s="53" t="s">
        <v>1508</v>
      </c>
      <c r="N1001" s="46">
        <v>4330633</v>
      </c>
      <c r="O1001" s="46">
        <v>210</v>
      </c>
    </row>
    <row r="1002" spans="1:21">
      <c r="A1002" s="64">
        <v>20760682</v>
      </c>
      <c r="B1002" s="61" t="s">
        <v>40</v>
      </c>
      <c r="C1002" s="62" t="s">
        <v>41</v>
      </c>
      <c r="D1002" s="48">
        <v>25372</v>
      </c>
      <c r="E1002" s="49">
        <f t="shared" ca="1" si="28"/>
        <v>57.03351586102719</v>
      </c>
      <c r="F1002" s="63"/>
      <c r="G1002" s="51" t="s">
        <v>23</v>
      </c>
      <c r="I1002" s="52" t="s">
        <v>24</v>
      </c>
      <c r="J1002" s="61" t="s">
        <v>42</v>
      </c>
      <c r="K1002" s="61"/>
      <c r="L1002" s="61"/>
      <c r="M1002" s="53" t="s">
        <v>43</v>
      </c>
      <c r="N1002" s="55"/>
      <c r="O1002" s="55"/>
    </row>
    <row r="1003" spans="1:21">
      <c r="A1003" s="47">
        <v>20803370</v>
      </c>
      <c r="B1003" s="46" t="s">
        <v>1631</v>
      </c>
      <c r="C1003" s="46" t="s">
        <v>1632</v>
      </c>
      <c r="D1003" s="48">
        <v>25342</v>
      </c>
      <c r="E1003" s="49">
        <f t="shared" ca="1" si="28"/>
        <v>57.115653323262841</v>
      </c>
      <c r="F1003" s="50">
        <v>156563157</v>
      </c>
      <c r="G1003" s="51" t="s">
        <v>23</v>
      </c>
      <c r="I1003" s="52" t="s">
        <v>1497</v>
      </c>
      <c r="M1003" s="53" t="s">
        <v>1633</v>
      </c>
    </row>
    <row r="1004" spans="1:21">
      <c r="A1004" s="47">
        <v>20838335</v>
      </c>
      <c r="B1004" s="46" t="s">
        <v>5451</v>
      </c>
      <c r="C1004" s="46" t="s">
        <v>129</v>
      </c>
      <c r="D1004" s="48" t="s">
        <v>52</v>
      </c>
      <c r="E1004" s="49" t="str">
        <f t="shared" ca="1" si="28"/>
        <v/>
      </c>
      <c r="F1004" s="50" t="s">
        <v>5452</v>
      </c>
      <c r="G1004" s="51" t="s">
        <v>70</v>
      </c>
      <c r="H1004" s="52" t="s">
        <v>52</v>
      </c>
      <c r="I1004" s="52" t="s">
        <v>5304</v>
      </c>
      <c r="J1004" s="46" t="s">
        <v>5453</v>
      </c>
      <c r="K1004" s="46" t="s">
        <v>81</v>
      </c>
      <c r="L1004" s="46" t="s">
        <v>546</v>
      </c>
      <c r="M1004" s="52" t="s">
        <v>5454</v>
      </c>
      <c r="N1004" s="46" t="s">
        <v>89</v>
      </c>
      <c r="O1004" s="46" t="s">
        <v>5455</v>
      </c>
      <c r="P1004" s="46" t="s">
        <v>59</v>
      </c>
      <c r="Q1004" s="46" t="s">
        <v>60</v>
      </c>
      <c r="R1004" s="46" t="s">
        <v>61</v>
      </c>
      <c r="S1004" s="46" t="s">
        <v>62</v>
      </c>
      <c r="T1004" s="46" t="s">
        <v>12</v>
      </c>
      <c r="U1004" s="46" t="s">
        <v>63</v>
      </c>
    </row>
    <row r="1005" spans="1:21">
      <c r="A1005" s="47">
        <v>20857513</v>
      </c>
      <c r="B1005" s="46" t="s">
        <v>1469</v>
      </c>
      <c r="C1005" s="46" t="s">
        <v>1470</v>
      </c>
      <c r="D1005" s="48">
        <v>25453</v>
      </c>
      <c r="E1005" s="49">
        <f t="shared" ca="1" si="28"/>
        <v>56.811744712990937</v>
      </c>
      <c r="F1005" s="50">
        <v>154580193</v>
      </c>
      <c r="G1005" s="51" t="s">
        <v>86</v>
      </c>
      <c r="I1005" s="52" t="s">
        <v>1471</v>
      </c>
      <c r="J1005" s="46" t="s">
        <v>1472</v>
      </c>
      <c r="M1005" s="53" t="s">
        <v>1473</v>
      </c>
      <c r="P1005" s="46">
        <v>4</v>
      </c>
    </row>
    <row r="1006" spans="1:21">
      <c r="A1006" s="80">
        <v>20857513</v>
      </c>
      <c r="B1006" s="80" t="s">
        <v>8725</v>
      </c>
      <c r="C1006" s="80" t="s">
        <v>8726</v>
      </c>
      <c r="D1006" s="84">
        <v>25453</v>
      </c>
      <c r="E1006" s="49">
        <f t="shared" ca="1" si="28"/>
        <v>56.811744712990937</v>
      </c>
      <c r="F1006" s="80">
        <v>3816037057</v>
      </c>
      <c r="G1006" s="80" t="s">
        <v>141</v>
      </c>
      <c r="H1006" s="80"/>
      <c r="I1006" s="80" t="s">
        <v>8771</v>
      </c>
      <c r="J1006" s="80"/>
      <c r="K1006" s="80" t="s">
        <v>8772</v>
      </c>
      <c r="L1006" s="80" t="s">
        <v>2002</v>
      </c>
      <c r="M1006" s="80"/>
      <c r="N1006" s="80" t="s">
        <v>8770</v>
      </c>
      <c r="O1006" s="80" t="s">
        <v>8773</v>
      </c>
    </row>
    <row r="1007" spans="1:21">
      <c r="A1007" s="47">
        <v>20877457</v>
      </c>
      <c r="B1007" s="46" t="s">
        <v>359</v>
      </c>
      <c r="C1007" s="46" t="s">
        <v>3658</v>
      </c>
      <c r="D1007" s="48" t="s">
        <v>9576</v>
      </c>
      <c r="E1007" s="49" t="s">
        <v>9577</v>
      </c>
      <c r="F1007" s="50" t="s">
        <v>9578</v>
      </c>
      <c r="G1007" s="51" t="s">
        <v>78</v>
      </c>
      <c r="H1007" s="52" t="s">
        <v>9579</v>
      </c>
      <c r="I1007" s="52" t="s">
        <v>4245</v>
      </c>
      <c r="J1007" s="46" t="s">
        <v>52</v>
      </c>
      <c r="K1007" s="46" t="s">
        <v>81</v>
      </c>
      <c r="L1007" s="46" t="s">
        <v>546</v>
      </c>
      <c r="M1007" s="52" t="s">
        <v>9580</v>
      </c>
      <c r="N1007" s="46" t="s">
        <v>52</v>
      </c>
      <c r="O1007" s="46" t="s">
        <v>52</v>
      </c>
      <c r="P1007" s="46" t="s">
        <v>59</v>
      </c>
      <c r="Q1007" s="46" t="s">
        <v>60</v>
      </c>
      <c r="R1007" s="46" t="s">
        <v>61</v>
      </c>
      <c r="S1007" s="46" t="s">
        <v>62</v>
      </c>
      <c r="T1007" s="46" t="s">
        <v>12</v>
      </c>
      <c r="U1007" s="46" t="s">
        <v>63</v>
      </c>
    </row>
    <row r="1008" spans="1:21">
      <c r="A1008" s="47">
        <v>20880016</v>
      </c>
      <c r="B1008" s="46" t="s">
        <v>685</v>
      </c>
      <c r="C1008" s="46" t="s">
        <v>687</v>
      </c>
      <c r="D1008" s="48">
        <v>25239</v>
      </c>
      <c r="E1008" s="49">
        <f t="shared" ref="E1008:E1016" ca="1" si="29">IF(D1008="","",YEARFRAC(D1008,TODAY(),1))</f>
        <v>57.397658610271904</v>
      </c>
      <c r="F1008" s="50">
        <v>156493240</v>
      </c>
      <c r="G1008" s="51" t="s">
        <v>141</v>
      </c>
      <c r="I1008" s="52" t="s">
        <v>594</v>
      </c>
      <c r="J1008" s="46" t="s">
        <v>688</v>
      </c>
      <c r="M1008" s="53" t="s">
        <v>689</v>
      </c>
      <c r="N1008" s="46">
        <v>4244494</v>
      </c>
      <c r="O1008" s="46">
        <v>202</v>
      </c>
      <c r="P1008" s="46">
        <v>3</v>
      </c>
    </row>
    <row r="1009" spans="1:21">
      <c r="A1009" s="47">
        <v>20884030</v>
      </c>
      <c r="B1009" s="46" t="s">
        <v>2876</v>
      </c>
      <c r="C1009" s="46" t="s">
        <v>27</v>
      </c>
      <c r="D1009" s="48">
        <v>25326</v>
      </c>
      <c r="E1009" s="49">
        <f t="shared" ca="1" si="29"/>
        <v>57.159459969788522</v>
      </c>
      <c r="F1009" s="50">
        <v>154166934</v>
      </c>
      <c r="G1009" s="51" t="s">
        <v>70</v>
      </c>
      <c r="I1009" s="52" t="s">
        <v>2854</v>
      </c>
      <c r="J1009" s="46" t="s">
        <v>816</v>
      </c>
      <c r="M1009" s="53" t="s">
        <v>2877</v>
      </c>
      <c r="N1009" s="46">
        <v>4107223</v>
      </c>
      <c r="O1009" s="46">
        <v>7220</v>
      </c>
      <c r="P1009" s="46">
        <v>1</v>
      </c>
    </row>
    <row r="1010" spans="1:21">
      <c r="A1010" s="47">
        <v>20889207</v>
      </c>
      <c r="B1010" s="46" t="s">
        <v>6584</v>
      </c>
      <c r="C1010" s="46" t="s">
        <v>6585</v>
      </c>
      <c r="D1010" s="48" t="s">
        <v>52</v>
      </c>
      <c r="E1010" s="49" t="str">
        <f t="shared" ca="1" si="29"/>
        <v/>
      </c>
      <c r="F1010" s="50" t="s">
        <v>6586</v>
      </c>
      <c r="G1010" s="51" t="s">
        <v>141</v>
      </c>
      <c r="H1010" s="52" t="s">
        <v>52</v>
      </c>
      <c r="I1010" s="52" t="s">
        <v>1497</v>
      </c>
      <c r="J1010" s="46" t="s">
        <v>56</v>
      </c>
      <c r="K1010" s="46" t="s">
        <v>1206</v>
      </c>
      <c r="L1010" s="46" t="s">
        <v>52</v>
      </c>
      <c r="M1010" s="52" t="s">
        <v>6587</v>
      </c>
      <c r="N1010" s="46" t="s">
        <v>52</v>
      </c>
      <c r="O1010" s="46" t="s">
        <v>52</v>
      </c>
      <c r="P1010" s="46" t="s">
        <v>59</v>
      </c>
      <c r="Q1010" s="46" t="s">
        <v>60</v>
      </c>
      <c r="R1010" s="46" t="s">
        <v>61</v>
      </c>
      <c r="S1010" s="46" t="s">
        <v>62</v>
      </c>
      <c r="T1010" s="46" t="s">
        <v>12</v>
      </c>
      <c r="U1010" s="46" t="s">
        <v>63</v>
      </c>
    </row>
    <row r="1011" spans="1:21">
      <c r="A1011" s="47">
        <v>20889209</v>
      </c>
      <c r="B1011" s="46" t="s">
        <v>927</v>
      </c>
      <c r="C1011" s="46" t="s">
        <v>106</v>
      </c>
      <c r="E1011" s="49" t="str">
        <f t="shared" ca="1" si="29"/>
        <v/>
      </c>
      <c r="F1011" s="50">
        <v>153535419</v>
      </c>
      <c r="G1011" s="51" t="s">
        <v>23</v>
      </c>
      <c r="I1011" s="52" t="s">
        <v>23</v>
      </c>
      <c r="M1011" s="53" t="s">
        <v>5973</v>
      </c>
    </row>
    <row r="1012" spans="1:21">
      <c r="A1012" s="47">
        <v>20891979</v>
      </c>
      <c r="B1012" s="46" t="s">
        <v>520</v>
      </c>
      <c r="C1012" s="46" t="s">
        <v>521</v>
      </c>
      <c r="D1012" s="48" t="s">
        <v>522</v>
      </c>
      <c r="E1012" s="49">
        <f t="shared" ca="1" si="29"/>
        <v>57.159459969788522</v>
      </c>
      <c r="F1012" s="50" t="s">
        <v>523</v>
      </c>
      <c r="G1012" s="51" t="s">
        <v>70</v>
      </c>
      <c r="H1012" s="52" t="s">
        <v>524</v>
      </c>
      <c r="I1012" s="52" t="s">
        <v>24</v>
      </c>
      <c r="J1012" s="46" t="s">
        <v>525</v>
      </c>
      <c r="K1012" s="46" t="s">
        <v>390</v>
      </c>
      <c r="L1012" s="46" t="s">
        <v>52</v>
      </c>
      <c r="M1012" s="52" t="s">
        <v>526</v>
      </c>
      <c r="N1012" s="46" t="s">
        <v>52</v>
      </c>
      <c r="O1012" s="46" t="s">
        <v>52</v>
      </c>
      <c r="P1012" s="46" t="s">
        <v>59</v>
      </c>
      <c r="Q1012" s="46" t="s">
        <v>60</v>
      </c>
      <c r="R1012" s="46" t="s">
        <v>61</v>
      </c>
      <c r="S1012" s="46" t="s">
        <v>62</v>
      </c>
      <c r="T1012" s="46" t="s">
        <v>12</v>
      </c>
      <c r="U1012" s="46" t="s">
        <v>63</v>
      </c>
    </row>
    <row r="1013" spans="1:21">
      <c r="A1013" s="47">
        <v>20977097</v>
      </c>
      <c r="B1013" s="46" t="s">
        <v>167</v>
      </c>
      <c r="C1013" s="46" t="s">
        <v>168</v>
      </c>
      <c r="D1013" s="48">
        <v>25422</v>
      </c>
      <c r="E1013" s="49">
        <f t="shared" ca="1" si="29"/>
        <v>56.896620090634443</v>
      </c>
      <c r="G1013" s="51" t="s">
        <v>141</v>
      </c>
      <c r="I1013" s="52" t="s">
        <v>24</v>
      </c>
      <c r="J1013" s="46" t="s">
        <v>169</v>
      </c>
      <c r="M1013" s="52" t="s">
        <v>170</v>
      </c>
      <c r="N1013" s="46">
        <v>4107571</v>
      </c>
      <c r="P1013" s="46">
        <v>3</v>
      </c>
    </row>
    <row r="1014" spans="1:21">
      <c r="A1014" s="47">
        <v>21026566</v>
      </c>
      <c r="B1014" s="46" t="s">
        <v>144</v>
      </c>
      <c r="C1014" s="52" t="s">
        <v>2587</v>
      </c>
      <c r="D1014" s="48">
        <v>25390</v>
      </c>
      <c r="E1014" s="49">
        <f t="shared" ca="1" si="29"/>
        <v>56.984233383685797</v>
      </c>
      <c r="F1014" s="50">
        <v>4257732</v>
      </c>
      <c r="G1014" s="51" t="s">
        <v>23</v>
      </c>
      <c r="I1014" s="52" t="s">
        <v>3166</v>
      </c>
      <c r="J1014" s="46" t="s">
        <v>3192</v>
      </c>
      <c r="M1014" s="58" t="s">
        <v>25</v>
      </c>
      <c r="N1014" s="55"/>
      <c r="O1014" s="55"/>
    </row>
    <row r="1015" spans="1:21">
      <c r="A1015" s="47">
        <v>21026656</v>
      </c>
      <c r="B1015" s="46" t="s">
        <v>315</v>
      </c>
      <c r="C1015" s="46" t="s">
        <v>1358</v>
      </c>
      <c r="D1015" s="48" t="s">
        <v>1359</v>
      </c>
      <c r="E1015" s="49">
        <f t="shared" ca="1" si="29"/>
        <v>56.973281722054381</v>
      </c>
      <c r="F1015" s="50" t="s">
        <v>1360</v>
      </c>
      <c r="G1015" s="51" t="s">
        <v>70</v>
      </c>
      <c r="H1015" s="52" t="s">
        <v>1361</v>
      </c>
      <c r="I1015" s="59" t="s">
        <v>908</v>
      </c>
      <c r="J1015" s="46" t="s">
        <v>538</v>
      </c>
      <c r="K1015" s="46" t="s">
        <v>390</v>
      </c>
      <c r="L1015" s="46" t="s">
        <v>1362</v>
      </c>
      <c r="M1015" s="52" t="s">
        <v>1363</v>
      </c>
      <c r="N1015" s="46" t="s">
        <v>52</v>
      </c>
      <c r="O1015" s="46" t="s">
        <v>52</v>
      </c>
      <c r="P1015" s="46" t="s">
        <v>59</v>
      </c>
      <c r="Q1015" s="46" t="s">
        <v>60</v>
      </c>
      <c r="R1015" s="46" t="s">
        <v>61</v>
      </c>
      <c r="S1015" s="46" t="s">
        <v>62</v>
      </c>
      <c r="T1015" s="46" t="s">
        <v>12</v>
      </c>
      <c r="U1015" s="46" t="s">
        <v>63</v>
      </c>
    </row>
    <row r="1016" spans="1:21">
      <c r="A1016" s="47">
        <v>21026672</v>
      </c>
      <c r="B1016" s="46" t="s">
        <v>8780</v>
      </c>
      <c r="C1016" s="46" t="s">
        <v>571</v>
      </c>
      <c r="D1016" s="48" t="s">
        <v>52</v>
      </c>
      <c r="E1016" s="49" t="str">
        <f t="shared" ca="1" si="29"/>
        <v/>
      </c>
      <c r="F1016" s="50" t="s">
        <v>52</v>
      </c>
      <c r="G1016" s="51" t="s">
        <v>70</v>
      </c>
      <c r="H1016" s="52" t="s">
        <v>52</v>
      </c>
      <c r="I1016" s="52" t="s">
        <v>23</v>
      </c>
      <c r="J1016" s="46" t="s">
        <v>52</v>
      </c>
      <c r="K1016" s="46" t="s">
        <v>52</v>
      </c>
      <c r="L1016" s="46" t="s">
        <v>546</v>
      </c>
      <c r="M1016" s="52" t="s">
        <v>582</v>
      </c>
      <c r="N1016" s="46" t="s">
        <v>52</v>
      </c>
      <c r="O1016" s="46" t="s">
        <v>52</v>
      </c>
      <c r="P1016" s="46" t="s">
        <v>59</v>
      </c>
      <c r="Q1016" s="46" t="s">
        <v>60</v>
      </c>
      <c r="R1016" s="46" t="s">
        <v>61</v>
      </c>
      <c r="S1016" s="46" t="s">
        <v>62</v>
      </c>
      <c r="T1016" s="46" t="s">
        <v>12</v>
      </c>
      <c r="U1016" s="46" t="s">
        <v>63</v>
      </c>
    </row>
    <row r="1017" spans="1:21">
      <c r="A1017" s="74">
        <v>21026697</v>
      </c>
      <c r="B1017" s="234" t="s">
        <v>7583</v>
      </c>
      <c r="C1017" s="234" t="s">
        <v>9872</v>
      </c>
      <c r="D1017" s="235">
        <v>25396</v>
      </c>
      <c r="E1017" s="236"/>
      <c r="F1017" s="237">
        <v>3814194908</v>
      </c>
      <c r="G1017" s="234" t="s">
        <v>70</v>
      </c>
      <c r="H1017" s="238" t="s">
        <v>5435</v>
      </c>
      <c r="I1017" s="238" t="s">
        <v>908</v>
      </c>
      <c r="J1017" s="234" t="s">
        <v>1873</v>
      </c>
      <c r="K1017" s="234" t="s">
        <v>2002</v>
      </c>
      <c r="L1017" s="234"/>
      <c r="M1017" s="238" t="s">
        <v>9916</v>
      </c>
      <c r="N1017" s="234"/>
      <c r="O1017" s="234"/>
      <c r="P1017" s="234"/>
      <c r="Q1017" s="234"/>
      <c r="R1017" s="234"/>
      <c r="S1017" s="234"/>
      <c r="T1017" s="234"/>
      <c r="U1017" s="234"/>
    </row>
    <row r="1018" spans="1:21">
      <c r="A1018" s="47">
        <v>21026950</v>
      </c>
      <c r="B1018" s="46" t="s">
        <v>415</v>
      </c>
      <c r="C1018" s="46" t="s">
        <v>2224</v>
      </c>
      <c r="D1018" s="48">
        <v>25410</v>
      </c>
      <c r="E1018" s="49">
        <f ca="1">IF(D1018="","",YEARFRAC(D1018,TODAY(),1))</f>
        <v>56.9294750755287</v>
      </c>
      <c r="F1018" s="50">
        <v>155868682</v>
      </c>
      <c r="G1018" s="51" t="s">
        <v>78</v>
      </c>
      <c r="I1018" s="52" t="s">
        <v>1881</v>
      </c>
      <c r="J1018" s="46" t="s">
        <v>2225</v>
      </c>
      <c r="M1018" s="58" t="s">
        <v>25</v>
      </c>
      <c r="N1018" s="46" t="s">
        <v>2226</v>
      </c>
      <c r="P1018" s="46" t="s">
        <v>2227</v>
      </c>
    </row>
    <row r="1019" spans="1:21">
      <c r="A1019" s="47">
        <v>21028992</v>
      </c>
      <c r="B1019" s="46" t="s">
        <v>2503</v>
      </c>
      <c r="C1019" s="52" t="s">
        <v>3858</v>
      </c>
      <c r="E1019" s="49" t="str">
        <f ca="1">IF(D1019="","",YEARFRAC(D1019,TODAY(),1))</f>
        <v/>
      </c>
      <c r="G1019" s="51" t="s">
        <v>23</v>
      </c>
      <c r="I1019" s="52" t="s">
        <v>4245</v>
      </c>
      <c r="J1019" s="46" t="s">
        <v>4321</v>
      </c>
      <c r="M1019" s="53" t="s">
        <v>4322</v>
      </c>
      <c r="N1019" s="55">
        <v>4525679</v>
      </c>
      <c r="O1019" s="55"/>
    </row>
    <row r="1020" spans="1:21">
      <c r="A1020" s="47">
        <v>21054719</v>
      </c>
      <c r="B1020" s="46" t="s">
        <v>218</v>
      </c>
      <c r="C1020" s="46" t="s">
        <v>5023</v>
      </c>
      <c r="D1020" s="48">
        <v>25431</v>
      </c>
      <c r="E1020" s="49">
        <f ca="1">IF(D1020="","",YEARFRAC(D1020,TODAY(),1))</f>
        <v>56.871978851963746</v>
      </c>
      <c r="G1020" s="51" t="s">
        <v>141</v>
      </c>
      <c r="I1020" s="52" t="s">
        <v>4954</v>
      </c>
      <c r="J1020" s="46" t="s">
        <v>5024</v>
      </c>
      <c r="M1020" s="53" t="s">
        <v>5025</v>
      </c>
      <c r="N1020" s="46">
        <v>4252256</v>
      </c>
      <c r="P1020" s="46">
        <v>3</v>
      </c>
    </row>
    <row r="1021" spans="1:21">
      <c r="A1021" s="74">
        <v>21086112</v>
      </c>
      <c r="B1021" s="234" t="s">
        <v>9260</v>
      </c>
      <c r="C1021" s="234" t="s">
        <v>9891</v>
      </c>
      <c r="D1021" s="235">
        <v>25442</v>
      </c>
      <c r="E1021" s="236"/>
      <c r="F1021" s="237">
        <v>3815711389</v>
      </c>
      <c r="G1021" s="234" t="s">
        <v>70</v>
      </c>
      <c r="H1021" s="238" t="s">
        <v>9962</v>
      </c>
      <c r="I1021" s="238" t="s">
        <v>5881</v>
      </c>
      <c r="J1021" s="234" t="s">
        <v>9998</v>
      </c>
      <c r="K1021" s="234" t="s">
        <v>9983</v>
      </c>
      <c r="L1021" s="234"/>
      <c r="M1021" s="238" t="s">
        <v>9930</v>
      </c>
      <c r="N1021" s="234"/>
      <c r="O1021" s="234"/>
      <c r="P1021" s="234"/>
      <c r="Q1021" s="234"/>
      <c r="R1021" s="234"/>
      <c r="S1021" s="234"/>
      <c r="T1021" s="234"/>
      <c r="U1021" s="234"/>
    </row>
    <row r="1022" spans="1:21">
      <c r="A1022" s="47">
        <v>21219090</v>
      </c>
      <c r="B1022" s="46" t="s">
        <v>4429</v>
      </c>
      <c r="C1022" s="46" t="s">
        <v>4436</v>
      </c>
      <c r="D1022" s="48">
        <v>25095</v>
      </c>
      <c r="E1022" s="49">
        <f t="shared" ref="E1022:E1048" ca="1" si="30">IF(D1022="","",YEARFRAC(D1022,TODAY(),1))</f>
        <v>57.789883990719261</v>
      </c>
      <c r="F1022" s="50">
        <v>153044620</v>
      </c>
      <c r="G1022" s="51" t="s">
        <v>70</v>
      </c>
      <c r="I1022" s="52" t="s">
        <v>4245</v>
      </c>
      <c r="J1022" s="46" t="s">
        <v>4437</v>
      </c>
      <c r="M1022" s="53" t="s">
        <v>4438</v>
      </c>
      <c r="N1022" s="46">
        <v>4230970</v>
      </c>
      <c r="P1022" s="46">
        <v>4</v>
      </c>
    </row>
    <row r="1023" spans="1:21">
      <c r="A1023" s="47">
        <v>21320060</v>
      </c>
      <c r="B1023" s="46" t="s">
        <v>5133</v>
      </c>
      <c r="C1023" s="46" t="s">
        <v>5134</v>
      </c>
      <c r="D1023" s="48" t="s">
        <v>52</v>
      </c>
      <c r="E1023" s="49" t="str">
        <f t="shared" ca="1" si="30"/>
        <v/>
      </c>
      <c r="F1023" s="50" t="s">
        <v>5135</v>
      </c>
      <c r="G1023" s="51" t="s">
        <v>86</v>
      </c>
      <c r="H1023" s="52" t="s">
        <v>52</v>
      </c>
      <c r="I1023" s="52" t="s">
        <v>4954</v>
      </c>
      <c r="J1023" s="46" t="s">
        <v>1472</v>
      </c>
      <c r="K1023" s="46" t="s">
        <v>81</v>
      </c>
      <c r="L1023" s="46" t="s">
        <v>52</v>
      </c>
      <c r="M1023" s="53" t="s">
        <v>5092</v>
      </c>
      <c r="N1023" s="46" t="s">
        <v>931</v>
      </c>
      <c r="O1023" s="46" t="s">
        <v>5136</v>
      </c>
      <c r="P1023" s="46" t="s">
        <v>59</v>
      </c>
      <c r="Q1023" s="46" t="s">
        <v>60</v>
      </c>
      <c r="R1023" s="46" t="s">
        <v>61</v>
      </c>
      <c r="S1023" s="46" t="s">
        <v>62</v>
      </c>
      <c r="T1023" s="46" t="s">
        <v>12</v>
      </c>
      <c r="U1023" s="46" t="s">
        <v>63</v>
      </c>
    </row>
    <row r="1024" spans="1:21">
      <c r="A1024" s="47">
        <v>21320089</v>
      </c>
      <c r="B1024" s="46" t="s">
        <v>1839</v>
      </c>
      <c r="C1024" s="46" t="s">
        <v>4485</v>
      </c>
      <c r="D1024" s="48" t="s">
        <v>4486</v>
      </c>
      <c r="E1024" s="49">
        <f t="shared" ca="1" si="30"/>
        <v>56.477064220183486</v>
      </c>
      <c r="F1024" s="50" t="s">
        <v>4487</v>
      </c>
      <c r="G1024" s="51" t="s">
        <v>70</v>
      </c>
      <c r="H1024" s="52" t="s">
        <v>833</v>
      </c>
      <c r="I1024" s="52" t="s">
        <v>4245</v>
      </c>
      <c r="J1024" s="46" t="s">
        <v>4488</v>
      </c>
      <c r="K1024" s="46" t="s">
        <v>390</v>
      </c>
      <c r="L1024" s="46" t="s">
        <v>441</v>
      </c>
      <c r="M1024" s="52" t="s">
        <v>4489</v>
      </c>
      <c r="N1024" s="46" t="s">
        <v>931</v>
      </c>
      <c r="O1024" s="46" t="s">
        <v>4484</v>
      </c>
      <c r="P1024" s="46" t="s">
        <v>59</v>
      </c>
      <c r="Q1024" s="46" t="s">
        <v>60</v>
      </c>
      <c r="R1024" s="46" t="s">
        <v>61</v>
      </c>
      <c r="S1024" s="46" t="s">
        <v>62</v>
      </c>
      <c r="T1024" s="46" t="s">
        <v>12</v>
      </c>
      <c r="U1024" s="46" t="s">
        <v>63</v>
      </c>
    </row>
    <row r="1025" spans="1:21">
      <c r="A1025" s="64">
        <v>21327352</v>
      </c>
      <c r="B1025" s="61" t="s">
        <v>7867</v>
      </c>
      <c r="C1025" s="62" t="s">
        <v>3466</v>
      </c>
      <c r="D1025" s="48">
        <v>25572</v>
      </c>
      <c r="E1025" s="49">
        <f t="shared" ca="1" si="30"/>
        <v>56.48527787117537</v>
      </c>
      <c r="F1025" s="63">
        <v>155165170</v>
      </c>
      <c r="G1025" s="51" t="s">
        <v>23</v>
      </c>
      <c r="I1025" s="52" t="s">
        <v>4499</v>
      </c>
      <c r="J1025" s="61" t="s">
        <v>4665</v>
      </c>
      <c r="K1025" s="61"/>
      <c r="L1025" s="61"/>
      <c r="M1025" s="53" t="s">
        <v>4666</v>
      </c>
      <c r="N1025" s="55"/>
      <c r="O1025" s="55"/>
    </row>
    <row r="1026" spans="1:21">
      <c r="A1026" s="64">
        <v>21327490</v>
      </c>
      <c r="B1026" s="61" t="s">
        <v>374</v>
      </c>
      <c r="C1026" s="62" t="s">
        <v>375</v>
      </c>
      <c r="D1026" s="48">
        <v>25581</v>
      </c>
      <c r="E1026" s="49">
        <f t="shared" ca="1" si="30"/>
        <v>56.460636918199718</v>
      </c>
      <c r="F1026" s="63">
        <v>154126368</v>
      </c>
      <c r="G1026" s="51" t="s">
        <v>23</v>
      </c>
      <c r="I1026" s="52" t="s">
        <v>24</v>
      </c>
      <c r="J1026" s="61" t="s">
        <v>179</v>
      </c>
      <c r="K1026" s="61"/>
      <c r="L1026" s="61"/>
      <c r="M1026" s="53" t="s">
        <v>376</v>
      </c>
      <c r="N1026" s="55"/>
      <c r="O1026" s="55"/>
    </row>
    <row r="1027" spans="1:21">
      <c r="A1027" s="47">
        <v>21327548</v>
      </c>
      <c r="B1027" s="46" t="s">
        <v>711</v>
      </c>
      <c r="C1027" s="46" t="s">
        <v>322</v>
      </c>
      <c r="D1027" s="48">
        <v>25591</v>
      </c>
      <c r="E1027" s="49">
        <f t="shared" ca="1" si="30"/>
        <v>56.433258081560112</v>
      </c>
      <c r="F1027" s="50">
        <v>156009792</v>
      </c>
      <c r="G1027" s="51" t="s">
        <v>86</v>
      </c>
      <c r="I1027" s="52" t="s">
        <v>594</v>
      </c>
      <c r="M1027" s="58" t="s">
        <v>25</v>
      </c>
    </row>
    <row r="1028" spans="1:21">
      <c r="A1028" s="47">
        <v>21328113</v>
      </c>
      <c r="B1028" s="46" t="s">
        <v>3414</v>
      </c>
      <c r="C1028" s="55" t="s">
        <v>3415</v>
      </c>
      <c r="E1028" s="49" t="str">
        <f t="shared" ca="1" si="30"/>
        <v/>
      </c>
      <c r="F1028" s="50">
        <v>154481009</v>
      </c>
      <c r="G1028" s="51" t="s">
        <v>23</v>
      </c>
      <c r="I1028" s="52" t="s">
        <v>3327</v>
      </c>
      <c r="J1028" s="55"/>
      <c r="K1028" s="55"/>
      <c r="L1028" s="55"/>
      <c r="M1028" s="58" t="s">
        <v>25</v>
      </c>
      <c r="N1028" s="55"/>
      <c r="O1028" s="55"/>
    </row>
    <row r="1029" spans="1:21">
      <c r="A1029" s="47">
        <v>21328207</v>
      </c>
      <c r="B1029" s="46" t="s">
        <v>5014</v>
      </c>
      <c r="C1029" s="46" t="s">
        <v>5015</v>
      </c>
      <c r="D1029" s="48">
        <v>25663</v>
      </c>
      <c r="E1029" s="49">
        <f t="shared" ca="1" si="30"/>
        <v>56.236130457754932</v>
      </c>
      <c r="F1029" s="50">
        <v>155672360</v>
      </c>
      <c r="G1029" s="51" t="s">
        <v>141</v>
      </c>
      <c r="I1029" s="52" t="s">
        <v>4954</v>
      </c>
      <c r="J1029" s="46" t="s">
        <v>5016</v>
      </c>
      <c r="M1029" s="52" t="s">
        <v>5017</v>
      </c>
      <c r="P1029" s="46">
        <v>1</v>
      </c>
    </row>
    <row r="1030" spans="1:21">
      <c r="A1030" s="47">
        <v>21328291</v>
      </c>
      <c r="B1030" s="46" t="s">
        <v>5500</v>
      </c>
      <c r="C1030" s="46" t="s">
        <v>5501</v>
      </c>
      <c r="D1030" s="48">
        <v>25668</v>
      </c>
      <c r="E1030" s="49">
        <f t="shared" ca="1" si="30"/>
        <v>56.222441039435132</v>
      </c>
      <c r="F1030" s="50">
        <v>154400694</v>
      </c>
      <c r="G1030" s="51" t="s">
        <v>23</v>
      </c>
      <c r="I1030" s="52" t="s">
        <v>5494</v>
      </c>
      <c r="J1030" s="46" t="s">
        <v>470</v>
      </c>
      <c r="M1030" s="53" t="s">
        <v>5502</v>
      </c>
      <c r="N1030" s="46">
        <v>4218077</v>
      </c>
      <c r="O1030" s="46">
        <v>28</v>
      </c>
    </row>
    <row r="1031" spans="1:21">
      <c r="A1031" s="47">
        <v>21328294</v>
      </c>
      <c r="B1031" s="46" t="s">
        <v>6770</v>
      </c>
      <c r="C1031" s="46" t="s">
        <v>6771</v>
      </c>
      <c r="D1031" s="48" t="s">
        <v>52</v>
      </c>
      <c r="E1031" s="49" t="str">
        <f t="shared" ca="1" si="30"/>
        <v/>
      </c>
      <c r="F1031" s="50" t="s">
        <v>6772</v>
      </c>
      <c r="G1031" s="51" t="s">
        <v>70</v>
      </c>
      <c r="H1031" s="52" t="s">
        <v>6773</v>
      </c>
      <c r="I1031" s="52" t="s">
        <v>908</v>
      </c>
      <c r="J1031" s="46" t="s">
        <v>6774</v>
      </c>
      <c r="K1031" s="46" t="s">
        <v>390</v>
      </c>
      <c r="L1031" s="46" t="s">
        <v>546</v>
      </c>
      <c r="M1031" s="52" t="s">
        <v>6775</v>
      </c>
      <c r="N1031" s="46" t="s">
        <v>52</v>
      </c>
      <c r="O1031" s="46" t="s">
        <v>52</v>
      </c>
      <c r="P1031" s="46" t="s">
        <v>59</v>
      </c>
      <c r="Q1031" s="46" t="s">
        <v>60</v>
      </c>
      <c r="R1031" s="46" t="s">
        <v>61</v>
      </c>
      <c r="S1031" s="46" t="s">
        <v>62</v>
      </c>
      <c r="T1031" s="46" t="s">
        <v>12</v>
      </c>
      <c r="U1031" s="46" t="s">
        <v>63</v>
      </c>
    </row>
    <row r="1032" spans="1:21">
      <c r="A1032" s="47">
        <v>21328297</v>
      </c>
      <c r="B1032" s="46" t="s">
        <v>5014</v>
      </c>
      <c r="C1032" s="46" t="s">
        <v>6093</v>
      </c>
      <c r="D1032" s="48">
        <v>25663</v>
      </c>
      <c r="E1032" s="49">
        <f t="shared" ca="1" si="30"/>
        <v>56.236130457754932</v>
      </c>
      <c r="F1032" s="50">
        <v>155672369</v>
      </c>
      <c r="G1032" s="51" t="s">
        <v>141</v>
      </c>
      <c r="I1032" s="52" t="s">
        <v>23</v>
      </c>
      <c r="M1032" s="53" t="s">
        <v>5017</v>
      </c>
    </row>
    <row r="1033" spans="1:21">
      <c r="A1033" s="47">
        <v>21328390</v>
      </c>
      <c r="B1033" s="46" t="s">
        <v>1195</v>
      </c>
      <c r="C1033" s="46" t="s">
        <v>1085</v>
      </c>
      <c r="D1033" s="48" t="s">
        <v>52</v>
      </c>
      <c r="E1033" s="49" t="str">
        <f t="shared" ca="1" si="30"/>
        <v/>
      </c>
      <c r="F1033" s="50" t="s">
        <v>1196</v>
      </c>
      <c r="G1033" s="51" t="s">
        <v>70</v>
      </c>
      <c r="H1033" s="52" t="s">
        <v>1197</v>
      </c>
      <c r="I1033" s="59" t="s">
        <v>908</v>
      </c>
      <c r="J1033" s="46" t="s">
        <v>316</v>
      </c>
      <c r="K1033" s="46" t="s">
        <v>112</v>
      </c>
      <c r="L1033" s="46" t="s">
        <v>52</v>
      </c>
      <c r="M1033" s="53" t="s">
        <v>1198</v>
      </c>
      <c r="N1033" s="46" t="s">
        <v>931</v>
      </c>
      <c r="O1033" s="46" t="s">
        <v>1199</v>
      </c>
      <c r="P1033" s="46" t="s">
        <v>59</v>
      </c>
      <c r="Q1033" s="46" t="s">
        <v>60</v>
      </c>
      <c r="R1033" s="46" t="s">
        <v>61</v>
      </c>
      <c r="S1033" s="46" t="s">
        <v>62</v>
      </c>
      <c r="T1033" s="46" t="s">
        <v>12</v>
      </c>
      <c r="U1033" s="46" t="s">
        <v>63</v>
      </c>
    </row>
    <row r="1034" spans="1:21">
      <c r="A1034" s="47">
        <v>21328426</v>
      </c>
      <c r="B1034" s="46" t="s">
        <v>3444</v>
      </c>
      <c r="C1034" s="52" t="s">
        <v>571</v>
      </c>
      <c r="D1034" s="48" t="s">
        <v>52</v>
      </c>
      <c r="E1034" s="49" t="str">
        <f t="shared" ca="1" si="30"/>
        <v/>
      </c>
      <c r="F1034" s="50" t="s">
        <v>3445</v>
      </c>
      <c r="G1034" s="51" t="s">
        <v>70</v>
      </c>
      <c r="H1034" s="52" t="s">
        <v>3446</v>
      </c>
      <c r="I1034" s="52" t="s">
        <v>3427</v>
      </c>
      <c r="J1034" s="46" t="s">
        <v>3447</v>
      </c>
      <c r="K1034" s="46" t="s">
        <v>81</v>
      </c>
      <c r="L1034" s="46" t="s">
        <v>52</v>
      </c>
      <c r="M1034" s="53" t="s">
        <v>3448</v>
      </c>
      <c r="N1034" s="55" t="s">
        <v>52</v>
      </c>
      <c r="O1034" s="55" t="s">
        <v>3449</v>
      </c>
      <c r="P1034" s="46" t="s">
        <v>59</v>
      </c>
      <c r="Q1034" s="46" t="s">
        <v>60</v>
      </c>
      <c r="R1034" s="46" t="s">
        <v>61</v>
      </c>
      <c r="S1034" s="46" t="s">
        <v>62</v>
      </c>
      <c r="T1034" s="46" t="s">
        <v>12</v>
      </c>
      <c r="U1034" s="46" t="s">
        <v>63</v>
      </c>
    </row>
    <row r="1035" spans="1:21">
      <c r="A1035" s="47">
        <v>21328472</v>
      </c>
      <c r="B1035" s="46" t="s">
        <v>4653</v>
      </c>
      <c r="C1035" s="52" t="s">
        <v>4654</v>
      </c>
      <c r="E1035" s="49" t="str">
        <f t="shared" ca="1" si="30"/>
        <v/>
      </c>
      <c r="F1035" s="50">
        <v>154065983</v>
      </c>
      <c r="G1035" s="51" t="s">
        <v>78</v>
      </c>
      <c r="I1035" s="52" t="s">
        <v>4499</v>
      </c>
      <c r="J1035" s="46" t="s">
        <v>4655</v>
      </c>
      <c r="M1035" s="53" t="s">
        <v>4656</v>
      </c>
      <c r="N1035" s="55">
        <v>4107312</v>
      </c>
      <c r="O1035" s="55"/>
    </row>
    <row r="1036" spans="1:21">
      <c r="A1036" s="47">
        <v>21328579</v>
      </c>
      <c r="B1036" s="46" t="s">
        <v>3489</v>
      </c>
      <c r="C1036" s="52" t="s">
        <v>3490</v>
      </c>
      <c r="E1036" s="49" t="str">
        <f t="shared" ca="1" si="30"/>
        <v/>
      </c>
      <c r="G1036" s="51" t="s">
        <v>23</v>
      </c>
      <c r="I1036" s="52" t="s">
        <v>3427</v>
      </c>
      <c r="J1036" s="46" t="s">
        <v>3491</v>
      </c>
      <c r="M1036" s="58" t="s">
        <v>25</v>
      </c>
      <c r="N1036" s="55"/>
      <c r="O1036" s="55"/>
    </row>
    <row r="1037" spans="1:21">
      <c r="A1037" s="47">
        <v>21328591</v>
      </c>
      <c r="B1037" s="46" t="s">
        <v>3975</v>
      </c>
      <c r="C1037" s="46" t="s">
        <v>571</v>
      </c>
      <c r="D1037" s="48" t="s">
        <v>5738</v>
      </c>
      <c r="E1037" s="49">
        <f t="shared" ca="1" si="30"/>
        <v>56.137566645852345</v>
      </c>
      <c r="F1037" s="50" t="s">
        <v>5739</v>
      </c>
      <c r="G1037" s="51" t="s">
        <v>70</v>
      </c>
      <c r="H1037" s="52" t="s">
        <v>5740</v>
      </c>
      <c r="I1037" s="52" t="s">
        <v>5494</v>
      </c>
      <c r="J1037" s="46" t="s">
        <v>52</v>
      </c>
      <c r="K1037" s="46" t="s">
        <v>81</v>
      </c>
      <c r="L1037" s="46" t="s">
        <v>546</v>
      </c>
      <c r="M1037" s="58" t="s">
        <v>25</v>
      </c>
      <c r="N1037" s="46" t="s">
        <v>5569</v>
      </c>
      <c r="O1037" s="46" t="s">
        <v>52</v>
      </c>
      <c r="P1037" s="46" t="s">
        <v>59</v>
      </c>
      <c r="Q1037" s="46" t="s">
        <v>60</v>
      </c>
      <c r="R1037" s="46" t="s">
        <v>61</v>
      </c>
      <c r="S1037" s="46" t="s">
        <v>62</v>
      </c>
      <c r="T1037" s="46" t="s">
        <v>12</v>
      </c>
      <c r="U1037" s="46" t="s">
        <v>63</v>
      </c>
    </row>
    <row r="1038" spans="1:21">
      <c r="A1038" s="47">
        <v>21329143</v>
      </c>
      <c r="B1038" s="46" t="s">
        <v>511</v>
      </c>
      <c r="C1038" s="46" t="s">
        <v>2830</v>
      </c>
      <c r="D1038" s="48">
        <v>25755</v>
      </c>
      <c r="E1038" s="49">
        <f t="shared" ca="1" si="30"/>
        <v>55.98424516067054</v>
      </c>
      <c r="G1038" s="51" t="s">
        <v>70</v>
      </c>
      <c r="I1038" s="52" t="s">
        <v>2831</v>
      </c>
      <c r="J1038" s="46" t="s">
        <v>2832</v>
      </c>
      <c r="M1038" s="53" t="s">
        <v>2833</v>
      </c>
      <c r="N1038" s="46">
        <v>4107265</v>
      </c>
      <c r="O1038" s="46">
        <v>6937</v>
      </c>
      <c r="P1038" s="46" t="s">
        <v>1092</v>
      </c>
    </row>
    <row r="1039" spans="1:21">
      <c r="A1039" s="47">
        <v>21329190</v>
      </c>
      <c r="B1039" s="46" t="s">
        <v>4301</v>
      </c>
      <c r="C1039" s="52" t="s">
        <v>4302</v>
      </c>
      <c r="D1039" s="48">
        <v>25751</v>
      </c>
      <c r="E1039" s="49">
        <f t="shared" ca="1" si="30"/>
        <v>55.995196695326385</v>
      </c>
      <c r="F1039" s="50">
        <v>156801646</v>
      </c>
      <c r="G1039" s="51" t="s">
        <v>23</v>
      </c>
      <c r="I1039" s="52" t="s">
        <v>4245</v>
      </c>
      <c r="J1039" s="46" t="s">
        <v>4303</v>
      </c>
      <c r="M1039" s="53" t="s">
        <v>4304</v>
      </c>
      <c r="N1039" s="55"/>
      <c r="O1039" s="55"/>
    </row>
    <row r="1040" spans="1:21">
      <c r="A1040" s="47">
        <v>21329323</v>
      </c>
      <c r="B1040" s="46" t="s">
        <v>4646</v>
      </c>
      <c r="C1040" s="55" t="s">
        <v>2447</v>
      </c>
      <c r="D1040" s="48" t="s">
        <v>52</v>
      </c>
      <c r="E1040" s="49" t="str">
        <f t="shared" ca="1" si="30"/>
        <v/>
      </c>
      <c r="F1040" s="50" t="s">
        <v>4647</v>
      </c>
      <c r="G1040" s="51" t="s">
        <v>70</v>
      </c>
      <c r="H1040" s="52" t="s">
        <v>1780</v>
      </c>
      <c r="I1040" s="52" t="s">
        <v>4499</v>
      </c>
      <c r="J1040" s="55" t="s">
        <v>2300</v>
      </c>
      <c r="K1040" s="55" t="s">
        <v>81</v>
      </c>
      <c r="L1040" s="55" t="s">
        <v>52</v>
      </c>
      <c r="M1040" s="53" t="s">
        <v>4617</v>
      </c>
      <c r="N1040" s="55" t="s">
        <v>4648</v>
      </c>
      <c r="O1040" s="55" t="s">
        <v>52</v>
      </c>
      <c r="P1040" s="46" t="s">
        <v>59</v>
      </c>
      <c r="Q1040" s="46" t="s">
        <v>60</v>
      </c>
      <c r="R1040" s="46" t="s">
        <v>61</v>
      </c>
      <c r="S1040" s="46" t="s">
        <v>62</v>
      </c>
      <c r="T1040" s="46" t="s">
        <v>12</v>
      </c>
      <c r="U1040" s="46" t="s">
        <v>63</v>
      </c>
    </row>
    <row r="1041" spans="1:21">
      <c r="A1041" s="47">
        <v>21331557</v>
      </c>
      <c r="B1041" s="46" t="s">
        <v>3193</v>
      </c>
      <c r="C1041" s="46" t="s">
        <v>1871</v>
      </c>
      <c r="D1041" s="48">
        <v>25588</v>
      </c>
      <c r="E1041" s="49">
        <f t="shared" ca="1" si="30"/>
        <v>56.441471732551996</v>
      </c>
      <c r="F1041" s="50">
        <v>156281012</v>
      </c>
      <c r="G1041" s="51" t="s">
        <v>23</v>
      </c>
      <c r="I1041" s="52" t="s">
        <v>3166</v>
      </c>
      <c r="J1041" s="46" t="s">
        <v>3194</v>
      </c>
      <c r="M1041" s="53" t="s">
        <v>3195</v>
      </c>
      <c r="N1041" s="46">
        <v>4254424</v>
      </c>
      <c r="O1041" s="46">
        <v>47</v>
      </c>
    </row>
    <row r="1042" spans="1:21">
      <c r="A1042" s="47">
        <v>21331893</v>
      </c>
      <c r="B1042" s="46" t="s">
        <v>405</v>
      </c>
      <c r="C1042" s="46" t="s">
        <v>406</v>
      </c>
      <c r="D1042" s="48" t="s">
        <v>52</v>
      </c>
      <c r="E1042" s="49" t="str">
        <f t="shared" ca="1" si="30"/>
        <v/>
      </c>
      <c r="F1042" s="50" t="s">
        <v>407</v>
      </c>
      <c r="G1042" s="51" t="s">
        <v>70</v>
      </c>
      <c r="H1042" s="52" t="s">
        <v>408</v>
      </c>
      <c r="I1042" s="52" t="s">
        <v>24</v>
      </c>
      <c r="J1042" s="46" t="s">
        <v>158</v>
      </c>
      <c r="K1042" s="46" t="s">
        <v>159</v>
      </c>
      <c r="L1042" s="46" t="s">
        <v>52</v>
      </c>
      <c r="M1042" s="53" t="s">
        <v>409</v>
      </c>
      <c r="N1042" s="46" t="s">
        <v>161</v>
      </c>
      <c r="O1042" s="46" t="s">
        <v>52</v>
      </c>
      <c r="P1042" s="46" t="s">
        <v>59</v>
      </c>
      <c r="Q1042" s="46" t="s">
        <v>60</v>
      </c>
      <c r="R1042" s="46" t="s">
        <v>61</v>
      </c>
      <c r="S1042" s="46" t="s">
        <v>62</v>
      </c>
      <c r="T1042" s="46" t="s">
        <v>12</v>
      </c>
      <c r="U1042" s="46" t="s">
        <v>63</v>
      </c>
    </row>
    <row r="1043" spans="1:21">
      <c r="A1043" s="66">
        <v>21334709</v>
      </c>
      <c r="B1043" s="67" t="s">
        <v>425</v>
      </c>
      <c r="C1043" s="52" t="s">
        <v>414</v>
      </c>
      <c r="E1043" s="49" t="str">
        <f t="shared" ca="1" si="30"/>
        <v/>
      </c>
      <c r="F1043" s="57">
        <v>156364640</v>
      </c>
      <c r="G1043" s="51" t="s">
        <v>23</v>
      </c>
      <c r="I1043" s="52" t="s">
        <v>24</v>
      </c>
      <c r="M1043" s="58" t="s">
        <v>25</v>
      </c>
      <c r="N1043" s="55"/>
      <c r="O1043" s="55"/>
    </row>
    <row r="1044" spans="1:21">
      <c r="A1044" s="47">
        <v>21334713</v>
      </c>
      <c r="B1044" s="46" t="s">
        <v>413</v>
      </c>
      <c r="C1044" s="46" t="s">
        <v>2218</v>
      </c>
      <c r="D1044" s="48" t="s">
        <v>3511</v>
      </c>
      <c r="E1044" s="49">
        <f t="shared" ca="1" si="30"/>
        <v>54.367564338692816</v>
      </c>
      <c r="F1044" s="50" t="s">
        <v>3512</v>
      </c>
      <c r="G1044" s="51" t="s">
        <v>70</v>
      </c>
      <c r="H1044" s="52" t="s">
        <v>3513</v>
      </c>
      <c r="I1044" s="52" t="s">
        <v>3427</v>
      </c>
      <c r="J1044" s="46" t="s">
        <v>52</v>
      </c>
      <c r="K1044" s="46" t="s">
        <v>112</v>
      </c>
      <c r="L1044" s="46" t="s">
        <v>546</v>
      </c>
      <c r="M1044" s="58" t="s">
        <v>3514</v>
      </c>
      <c r="N1044" s="46" t="s">
        <v>52</v>
      </c>
      <c r="O1044" s="46" t="s">
        <v>52</v>
      </c>
      <c r="P1044" s="46" t="s">
        <v>59</v>
      </c>
      <c r="Q1044" s="46" t="s">
        <v>60</v>
      </c>
      <c r="R1044" s="46" t="s">
        <v>61</v>
      </c>
      <c r="S1044" s="46" t="s">
        <v>62</v>
      </c>
      <c r="T1044" s="46" t="s">
        <v>12</v>
      </c>
      <c r="U1044" s="46" t="s">
        <v>63</v>
      </c>
    </row>
    <row r="1045" spans="1:21">
      <c r="A1045" s="47">
        <v>21334875</v>
      </c>
      <c r="B1045" s="46" t="s">
        <v>1443</v>
      </c>
      <c r="C1045" s="46" t="s">
        <v>876</v>
      </c>
      <c r="E1045" s="49" t="str">
        <f t="shared" ca="1" si="30"/>
        <v/>
      </c>
      <c r="F1045" s="50">
        <v>156518516</v>
      </c>
      <c r="G1045" s="51" t="s">
        <v>23</v>
      </c>
      <c r="I1045" s="52" t="s">
        <v>1444</v>
      </c>
      <c r="M1045" s="53" t="s">
        <v>1445</v>
      </c>
    </row>
    <row r="1046" spans="1:21">
      <c r="A1046" s="47">
        <v>21335736</v>
      </c>
      <c r="B1046" s="46" t="s">
        <v>574</v>
      </c>
      <c r="C1046" s="52" t="s">
        <v>749</v>
      </c>
      <c r="D1046" s="48">
        <v>25572</v>
      </c>
      <c r="E1046" s="49">
        <f t="shared" ca="1" si="30"/>
        <v>56.48527787117537</v>
      </c>
      <c r="G1046" s="51" t="s">
        <v>37</v>
      </c>
      <c r="I1046" s="52" t="s">
        <v>594</v>
      </c>
      <c r="M1046" s="58" t="s">
        <v>25</v>
      </c>
      <c r="N1046" s="55"/>
      <c r="O1046" s="55"/>
    </row>
    <row r="1047" spans="1:21">
      <c r="A1047" s="47">
        <v>21336944</v>
      </c>
      <c r="B1047" s="46" t="s">
        <v>3330</v>
      </c>
      <c r="C1047" s="46" t="s">
        <v>2873</v>
      </c>
      <c r="D1047" s="48">
        <v>25635</v>
      </c>
      <c r="E1047" s="49">
        <f t="shared" ca="1" si="30"/>
        <v>56.312791200345835</v>
      </c>
      <c r="F1047" s="50" t="s">
        <v>4101</v>
      </c>
      <c r="G1047" s="51" t="s">
        <v>23</v>
      </c>
      <c r="I1047" s="52" t="s">
        <v>4078</v>
      </c>
      <c r="J1047" s="46" t="s">
        <v>4099</v>
      </c>
      <c r="M1047" s="53" t="s">
        <v>4102</v>
      </c>
      <c r="N1047" s="46">
        <v>3865483797</v>
      </c>
    </row>
    <row r="1048" spans="1:21">
      <c r="A1048" s="47">
        <v>21338575</v>
      </c>
      <c r="B1048" s="46" t="s">
        <v>394</v>
      </c>
      <c r="C1048" s="55" t="s">
        <v>2574</v>
      </c>
      <c r="D1048" s="48">
        <v>25722</v>
      </c>
      <c r="E1048" s="49">
        <f t="shared" ca="1" si="30"/>
        <v>56.074595321581249</v>
      </c>
      <c r="F1048" s="50">
        <v>155798838</v>
      </c>
      <c r="G1048" s="51" t="s">
        <v>141</v>
      </c>
      <c r="I1048" s="59" t="s">
        <v>908</v>
      </c>
      <c r="J1048" s="46" t="s">
        <v>1590</v>
      </c>
      <c r="M1048" s="53" t="s">
        <v>2575</v>
      </c>
    </row>
    <row r="1049" spans="1:21">
      <c r="A1049" s="47">
        <v>21338746</v>
      </c>
      <c r="B1049" s="46" t="s">
        <v>9307</v>
      </c>
      <c r="C1049" s="46" t="s">
        <v>9308</v>
      </c>
      <c r="D1049" s="48" t="s">
        <v>9309</v>
      </c>
      <c r="E1049" s="49" t="s">
        <v>9310</v>
      </c>
      <c r="F1049" s="50" t="s">
        <v>9311</v>
      </c>
      <c r="G1049" s="51" t="s">
        <v>70</v>
      </c>
      <c r="H1049" s="52" t="s">
        <v>6749</v>
      </c>
      <c r="I1049" s="52" t="s">
        <v>4499</v>
      </c>
      <c r="J1049" s="46" t="s">
        <v>9312</v>
      </c>
      <c r="K1049" s="46" t="s">
        <v>390</v>
      </c>
      <c r="L1049" s="46" t="s">
        <v>9313</v>
      </c>
      <c r="M1049" s="52" t="s">
        <v>9314</v>
      </c>
      <c r="N1049" s="46" t="s">
        <v>52</v>
      </c>
      <c r="O1049" s="46" t="s">
        <v>52</v>
      </c>
      <c r="P1049" s="46" t="s">
        <v>59</v>
      </c>
      <c r="Q1049" s="46" t="s">
        <v>60</v>
      </c>
      <c r="R1049" s="46" t="s">
        <v>61</v>
      </c>
      <c r="S1049" s="46" t="s">
        <v>62</v>
      </c>
      <c r="T1049" s="46" t="s">
        <v>12</v>
      </c>
      <c r="U1049" s="46" t="s">
        <v>63</v>
      </c>
    </row>
    <row r="1050" spans="1:21">
      <c r="A1050" s="47">
        <v>21338913</v>
      </c>
      <c r="B1050" s="46" t="s">
        <v>742</v>
      </c>
      <c r="C1050" s="52" t="s">
        <v>74</v>
      </c>
      <c r="D1050" s="48">
        <v>25736</v>
      </c>
      <c r="E1050" s="49">
        <f t="shared" ref="E1050:E1083" ca="1" si="31">IF(D1050="","",YEARFRAC(D1050,TODAY(),1))</f>
        <v>56.036264950285798</v>
      </c>
      <c r="F1050" s="50">
        <v>156375957</v>
      </c>
      <c r="G1050" s="51" t="s">
        <v>23</v>
      </c>
      <c r="I1050" s="52" t="s">
        <v>3287</v>
      </c>
      <c r="J1050" s="46" t="s">
        <v>2477</v>
      </c>
      <c r="M1050" s="53" t="s">
        <v>3310</v>
      </c>
      <c r="N1050" s="55"/>
      <c r="O1050" s="55"/>
    </row>
    <row r="1051" spans="1:21">
      <c r="A1051" s="47">
        <v>21609438</v>
      </c>
      <c r="B1051" s="46" t="s">
        <v>377</v>
      </c>
      <c r="C1051" s="52" t="s">
        <v>3032</v>
      </c>
      <c r="D1051" s="48" t="s">
        <v>52</v>
      </c>
      <c r="E1051" s="49" t="str">
        <f t="shared" ca="1" si="31"/>
        <v/>
      </c>
      <c r="F1051" s="50" t="s">
        <v>3033</v>
      </c>
      <c r="G1051" s="51" t="s">
        <v>141</v>
      </c>
      <c r="H1051" s="52" t="s">
        <v>52</v>
      </c>
      <c r="I1051" s="52" t="s">
        <v>2926</v>
      </c>
      <c r="J1051" s="46" t="s">
        <v>3034</v>
      </c>
      <c r="K1051" s="46" t="s">
        <v>81</v>
      </c>
      <c r="L1051" s="46" t="s">
        <v>3035</v>
      </c>
      <c r="M1051" s="53" t="s">
        <v>3036</v>
      </c>
      <c r="N1051" s="55" t="s">
        <v>52</v>
      </c>
      <c r="O1051" s="55" t="s">
        <v>52</v>
      </c>
      <c r="P1051" s="46" t="s">
        <v>59</v>
      </c>
      <c r="Q1051" s="46" t="s">
        <v>60</v>
      </c>
      <c r="R1051" s="46" t="s">
        <v>61</v>
      </c>
      <c r="S1051" s="46" t="s">
        <v>62</v>
      </c>
      <c r="T1051" s="46" t="s">
        <v>12</v>
      </c>
      <c r="U1051" s="46" t="s">
        <v>63</v>
      </c>
    </row>
    <row r="1052" spans="1:21">
      <c r="A1052" s="47">
        <v>21662069</v>
      </c>
      <c r="B1052" s="46" t="s">
        <v>8794</v>
      </c>
      <c r="C1052" s="46" t="s">
        <v>3460</v>
      </c>
      <c r="E1052" s="49" t="str">
        <f t="shared" ca="1" si="31"/>
        <v/>
      </c>
      <c r="F1052" s="50">
        <v>156688644</v>
      </c>
      <c r="G1052" s="51" t="s">
        <v>70</v>
      </c>
      <c r="I1052" s="52" t="s">
        <v>3427</v>
      </c>
      <c r="M1052" s="58" t="s">
        <v>25</v>
      </c>
    </row>
    <row r="1053" spans="1:21">
      <c r="A1053" s="47">
        <v>21665779</v>
      </c>
      <c r="B1053" s="46" t="s">
        <v>47</v>
      </c>
      <c r="C1053" s="46" t="s">
        <v>1663</v>
      </c>
      <c r="E1053" s="49" t="str">
        <f t="shared" ca="1" si="31"/>
        <v/>
      </c>
      <c r="G1053" s="51" t="s">
        <v>23</v>
      </c>
      <c r="I1053" s="52" t="s">
        <v>1657</v>
      </c>
      <c r="M1053" s="53" t="s">
        <v>1664</v>
      </c>
    </row>
    <row r="1054" spans="1:21">
      <c r="A1054" s="47">
        <v>21712647</v>
      </c>
      <c r="B1054" s="46" t="s">
        <v>4525</v>
      </c>
      <c r="C1054" s="46" t="s">
        <v>4526</v>
      </c>
      <c r="E1054" s="49" t="str">
        <f t="shared" ca="1" si="31"/>
        <v/>
      </c>
      <c r="F1054" s="50">
        <v>155490756</v>
      </c>
      <c r="G1054" s="51" t="s">
        <v>23</v>
      </c>
      <c r="I1054" s="52" t="s">
        <v>4499</v>
      </c>
      <c r="M1054" s="53" t="s">
        <v>4527</v>
      </c>
    </row>
    <row r="1055" spans="1:21">
      <c r="A1055" s="47">
        <v>21744058</v>
      </c>
      <c r="B1055" s="46" t="s">
        <v>1823</v>
      </c>
      <c r="C1055" s="46" t="s">
        <v>1138</v>
      </c>
      <c r="D1055" s="48" t="s">
        <v>52</v>
      </c>
      <c r="E1055" s="49" t="str">
        <f t="shared" ca="1" si="31"/>
        <v/>
      </c>
      <c r="F1055" s="50" t="s">
        <v>4492</v>
      </c>
      <c r="G1055" s="51" t="s">
        <v>70</v>
      </c>
      <c r="H1055" s="52" t="s">
        <v>380</v>
      </c>
      <c r="I1055" s="52" t="s">
        <v>4245</v>
      </c>
      <c r="J1055" s="46" t="s">
        <v>4493</v>
      </c>
      <c r="K1055" s="46" t="s">
        <v>81</v>
      </c>
      <c r="L1055" s="46" t="s">
        <v>546</v>
      </c>
      <c r="M1055" s="52" t="s">
        <v>4494</v>
      </c>
      <c r="N1055" s="46" t="s">
        <v>52</v>
      </c>
      <c r="O1055" s="46" t="s">
        <v>4339</v>
      </c>
      <c r="P1055" s="46" t="s">
        <v>59</v>
      </c>
      <c r="Q1055" s="46" t="s">
        <v>60</v>
      </c>
      <c r="R1055" s="46" t="s">
        <v>61</v>
      </c>
      <c r="S1055" s="46" t="s">
        <v>62</v>
      </c>
      <c r="T1055" s="46" t="s">
        <v>12</v>
      </c>
      <c r="U1055" s="46" t="s">
        <v>63</v>
      </c>
    </row>
    <row r="1056" spans="1:21">
      <c r="A1056" s="47">
        <v>21744260</v>
      </c>
      <c r="B1056" s="46" t="s">
        <v>3368</v>
      </c>
      <c r="C1056" s="55" t="s">
        <v>3369</v>
      </c>
      <c r="D1056" s="48">
        <v>25800</v>
      </c>
      <c r="E1056" s="49">
        <f t="shared" ca="1" si="31"/>
        <v>55.861040395792301</v>
      </c>
      <c r="F1056" s="50">
        <v>156731369</v>
      </c>
      <c r="G1056" s="51" t="s">
        <v>141</v>
      </c>
      <c r="I1056" s="52" t="s">
        <v>3327</v>
      </c>
      <c r="J1056" s="55"/>
      <c r="K1056" s="55"/>
      <c r="L1056" s="55"/>
      <c r="M1056" s="53" t="s">
        <v>3370</v>
      </c>
      <c r="N1056" s="55">
        <v>4353681</v>
      </c>
      <c r="O1056" s="55">
        <v>103</v>
      </c>
    </row>
    <row r="1057" spans="1:21">
      <c r="A1057" s="47">
        <v>21744365</v>
      </c>
      <c r="B1057" s="46" t="s">
        <v>1171</v>
      </c>
      <c r="C1057" s="52" t="s">
        <v>1172</v>
      </c>
      <c r="D1057" s="48">
        <v>25803</v>
      </c>
      <c r="E1057" s="49">
        <f t="shared" ca="1" si="31"/>
        <v>55.852826744800424</v>
      </c>
      <c r="F1057" s="50">
        <v>155861148</v>
      </c>
      <c r="G1057" s="51" t="s">
        <v>23</v>
      </c>
      <c r="I1057" s="59" t="s">
        <v>908</v>
      </c>
      <c r="J1057" s="46" t="s">
        <v>673</v>
      </c>
      <c r="M1057" s="53" t="s">
        <v>1115</v>
      </c>
      <c r="N1057" s="55"/>
      <c r="O1057" s="55"/>
    </row>
    <row r="1058" spans="1:21">
      <c r="A1058" s="47">
        <v>21744631</v>
      </c>
      <c r="B1058" s="46" t="s">
        <v>3622</v>
      </c>
      <c r="C1058" s="46" t="s">
        <v>3623</v>
      </c>
      <c r="D1058" s="48" t="s">
        <v>52</v>
      </c>
      <c r="E1058" s="49" t="str">
        <f t="shared" ca="1" si="31"/>
        <v/>
      </c>
      <c r="F1058" s="50" t="s">
        <v>3624</v>
      </c>
      <c r="G1058" s="51" t="s">
        <v>70</v>
      </c>
      <c r="H1058" s="52" t="s">
        <v>2950</v>
      </c>
      <c r="I1058" s="52" t="s">
        <v>3555</v>
      </c>
      <c r="J1058" s="46" t="s">
        <v>3625</v>
      </c>
      <c r="K1058" s="46" t="s">
        <v>81</v>
      </c>
      <c r="L1058" s="46" t="s">
        <v>546</v>
      </c>
      <c r="M1058" s="52" t="s">
        <v>3626</v>
      </c>
      <c r="N1058" s="46" t="s">
        <v>3611</v>
      </c>
      <c r="O1058" s="46" t="s">
        <v>52</v>
      </c>
      <c r="P1058" s="46" t="s">
        <v>59</v>
      </c>
      <c r="Q1058" s="46" t="s">
        <v>60</v>
      </c>
      <c r="R1058" s="46" t="s">
        <v>61</v>
      </c>
      <c r="S1058" s="46" t="s">
        <v>62</v>
      </c>
      <c r="T1058" s="46" t="s">
        <v>12</v>
      </c>
      <c r="U1058" s="46" t="s">
        <v>63</v>
      </c>
    </row>
    <row r="1059" spans="1:21">
      <c r="A1059" s="47">
        <v>21744992</v>
      </c>
      <c r="B1059" s="46" t="s">
        <v>1823</v>
      </c>
      <c r="C1059" s="55" t="s">
        <v>1318</v>
      </c>
      <c r="D1059" s="48">
        <v>25880</v>
      </c>
      <c r="E1059" s="49">
        <f t="shared" ca="1" si="31"/>
        <v>55.642009702675438</v>
      </c>
      <c r="F1059" s="50">
        <v>155818266</v>
      </c>
      <c r="G1059" s="51" t="s">
        <v>23</v>
      </c>
      <c r="I1059" s="65" t="s">
        <v>4708</v>
      </c>
      <c r="M1059" s="53" t="s">
        <v>4792</v>
      </c>
    </row>
    <row r="1060" spans="1:21">
      <c r="A1060" s="47">
        <v>21745459</v>
      </c>
      <c r="B1060" s="46" t="s">
        <v>4139</v>
      </c>
      <c r="C1060" s="46" t="s">
        <v>4140</v>
      </c>
      <c r="D1060" s="48">
        <v>25919</v>
      </c>
      <c r="E1060" s="49">
        <f t="shared" ca="1" si="31"/>
        <v>55.535232239780967</v>
      </c>
      <c r="F1060" s="50">
        <v>156260520</v>
      </c>
      <c r="G1060" s="51" t="s">
        <v>23</v>
      </c>
      <c r="I1060" s="52" t="s">
        <v>4078</v>
      </c>
      <c r="J1060" s="46" t="s">
        <v>224</v>
      </c>
      <c r="M1060" s="53" t="s">
        <v>4141</v>
      </c>
      <c r="N1060" s="46">
        <v>3865483797</v>
      </c>
    </row>
    <row r="1061" spans="1:21">
      <c r="A1061" s="47">
        <v>21745570</v>
      </c>
      <c r="B1061" s="46" t="s">
        <v>428</v>
      </c>
      <c r="C1061" s="46" t="s">
        <v>747</v>
      </c>
      <c r="D1061" s="48">
        <v>25931</v>
      </c>
      <c r="E1061" s="49">
        <f t="shared" ca="1" si="31"/>
        <v>55.502377635813438</v>
      </c>
      <c r="F1061" s="50">
        <v>154386083</v>
      </c>
      <c r="G1061" s="51" t="s">
        <v>70</v>
      </c>
      <c r="I1061" s="52" t="s">
        <v>594</v>
      </c>
      <c r="J1061" s="46" t="s">
        <v>316</v>
      </c>
      <c r="M1061" s="53" t="s">
        <v>748</v>
      </c>
    </row>
    <row r="1062" spans="1:21">
      <c r="A1062" s="47">
        <v>21745709</v>
      </c>
      <c r="B1062" s="46" t="s">
        <v>3553</v>
      </c>
      <c r="C1062" s="52" t="s">
        <v>3554</v>
      </c>
      <c r="D1062" s="48">
        <v>25943</v>
      </c>
      <c r="E1062" s="49">
        <f t="shared" ca="1" si="31"/>
        <v>55.468856947296374</v>
      </c>
      <c r="F1062" s="50">
        <v>154181174</v>
      </c>
      <c r="G1062" s="51" t="s">
        <v>23</v>
      </c>
      <c r="I1062" s="52" t="s">
        <v>3555</v>
      </c>
      <c r="J1062" s="46" t="s">
        <v>3556</v>
      </c>
      <c r="M1062" s="58" t="s">
        <v>25</v>
      </c>
      <c r="N1062" s="55"/>
      <c r="O1062" s="55"/>
    </row>
    <row r="1063" spans="1:21">
      <c r="A1063" s="47">
        <v>21745741</v>
      </c>
      <c r="B1063" s="46" t="s">
        <v>107</v>
      </c>
      <c r="C1063" s="46" t="s">
        <v>108</v>
      </c>
      <c r="D1063" s="48" t="s">
        <v>109</v>
      </c>
      <c r="E1063" s="49">
        <f t="shared" ca="1" si="31"/>
        <v>55.436002737850785</v>
      </c>
      <c r="F1063" s="50" t="s">
        <v>110</v>
      </c>
      <c r="G1063" s="51" t="s">
        <v>70</v>
      </c>
      <c r="H1063" s="52" t="s">
        <v>111</v>
      </c>
      <c r="I1063" s="52" t="s">
        <v>24</v>
      </c>
      <c r="J1063" s="46" t="s">
        <v>52</v>
      </c>
      <c r="K1063" s="46" t="s">
        <v>112</v>
      </c>
      <c r="L1063" s="46" t="s">
        <v>113</v>
      </c>
      <c r="M1063" s="52" t="s">
        <v>114</v>
      </c>
      <c r="N1063" s="46" t="s">
        <v>52</v>
      </c>
      <c r="O1063" s="46" t="s">
        <v>52</v>
      </c>
      <c r="P1063" s="46" t="s">
        <v>59</v>
      </c>
      <c r="Q1063" s="46" t="s">
        <v>60</v>
      </c>
      <c r="R1063" s="46" t="s">
        <v>61</v>
      </c>
      <c r="S1063" s="46" t="s">
        <v>62</v>
      </c>
      <c r="T1063" s="46" t="s">
        <v>12</v>
      </c>
      <c r="U1063" s="46" t="s">
        <v>63</v>
      </c>
    </row>
    <row r="1064" spans="1:21">
      <c r="A1064" s="47">
        <v>21745747</v>
      </c>
      <c r="B1064" s="46" t="s">
        <v>3617</v>
      </c>
      <c r="C1064" s="46" t="s">
        <v>3618</v>
      </c>
      <c r="D1064" s="48" t="s">
        <v>52</v>
      </c>
      <c r="E1064" s="49" t="str">
        <f t="shared" ca="1" si="31"/>
        <v/>
      </c>
      <c r="F1064" s="50" t="s">
        <v>3619</v>
      </c>
      <c r="G1064" s="51" t="s">
        <v>70</v>
      </c>
      <c r="H1064" s="52" t="s">
        <v>3620</v>
      </c>
      <c r="I1064" s="52" t="s">
        <v>3555</v>
      </c>
      <c r="J1064" s="46" t="s">
        <v>52</v>
      </c>
      <c r="K1064" s="46" t="s">
        <v>390</v>
      </c>
      <c r="L1064" s="46" t="s">
        <v>546</v>
      </c>
      <c r="M1064" s="52" t="s">
        <v>3621</v>
      </c>
      <c r="N1064" s="46" t="s">
        <v>3611</v>
      </c>
      <c r="O1064" s="46" t="s">
        <v>52</v>
      </c>
      <c r="P1064" s="46" t="s">
        <v>59</v>
      </c>
      <c r="Q1064" s="46" t="s">
        <v>60</v>
      </c>
      <c r="R1064" s="46" t="s">
        <v>61</v>
      </c>
      <c r="S1064" s="46" t="s">
        <v>62</v>
      </c>
      <c r="T1064" s="46" t="s">
        <v>12</v>
      </c>
      <c r="U1064" s="46" t="s">
        <v>63</v>
      </c>
    </row>
    <row r="1065" spans="1:21">
      <c r="A1065" s="47">
        <v>21745791</v>
      </c>
      <c r="B1065" s="46" t="s">
        <v>3264</v>
      </c>
      <c r="C1065" s="55" t="s">
        <v>223</v>
      </c>
      <c r="D1065" s="48">
        <v>25963</v>
      </c>
      <c r="E1065" s="49">
        <f t="shared" ca="1" si="31"/>
        <v>55.414099931553729</v>
      </c>
      <c r="G1065" s="51" t="s">
        <v>78</v>
      </c>
      <c r="I1065" s="52" t="s">
        <v>3166</v>
      </c>
      <c r="J1065" s="55" t="s">
        <v>3265</v>
      </c>
      <c r="K1065" s="55"/>
      <c r="L1065" s="55"/>
      <c r="M1065" s="53" t="s">
        <v>3266</v>
      </c>
      <c r="N1065" s="55">
        <v>4254425</v>
      </c>
      <c r="O1065" s="55">
        <v>51</v>
      </c>
    </row>
    <row r="1066" spans="1:21">
      <c r="A1066" s="47">
        <v>21745921</v>
      </c>
      <c r="B1066" s="46" t="s">
        <v>1112</v>
      </c>
      <c r="C1066" s="52" t="s">
        <v>1113</v>
      </c>
      <c r="D1066" s="48">
        <v>25970</v>
      </c>
      <c r="E1066" s="49">
        <f t="shared" ca="1" si="31"/>
        <v>55.394934976043807</v>
      </c>
      <c r="F1066" s="50">
        <v>155364516</v>
      </c>
      <c r="G1066" s="51" t="s">
        <v>23</v>
      </c>
      <c r="I1066" s="59" t="s">
        <v>908</v>
      </c>
      <c r="J1066" s="46" t="s">
        <v>1114</v>
      </c>
      <c r="M1066" s="53" t="s">
        <v>1115</v>
      </c>
      <c r="N1066" s="55">
        <v>4247752</v>
      </c>
      <c r="O1066" s="55">
        <v>7084</v>
      </c>
    </row>
    <row r="1067" spans="1:21">
      <c r="A1067" s="64">
        <v>21746943</v>
      </c>
      <c r="B1067" s="61" t="s">
        <v>184</v>
      </c>
      <c r="C1067" s="62" t="s">
        <v>185</v>
      </c>
      <c r="D1067" s="48" t="s">
        <v>186</v>
      </c>
      <c r="E1067" s="49">
        <f t="shared" ca="1" si="31"/>
        <v>55.896632883423791</v>
      </c>
      <c r="F1067" s="63" t="s">
        <v>187</v>
      </c>
      <c r="G1067" s="51" t="s">
        <v>70</v>
      </c>
      <c r="H1067" s="52" t="s">
        <v>188</v>
      </c>
      <c r="I1067" s="52" t="s">
        <v>24</v>
      </c>
      <c r="J1067" s="61" t="s">
        <v>52</v>
      </c>
      <c r="K1067" s="61" t="s">
        <v>81</v>
      </c>
      <c r="L1067" s="61" t="s">
        <v>52</v>
      </c>
      <c r="M1067" s="58" t="s">
        <v>189</v>
      </c>
      <c r="N1067" s="55" t="s">
        <v>82</v>
      </c>
      <c r="O1067" s="55" t="s">
        <v>52</v>
      </c>
      <c r="P1067" s="46" t="s">
        <v>59</v>
      </c>
      <c r="Q1067" s="46" t="s">
        <v>60</v>
      </c>
      <c r="R1067" s="46" t="s">
        <v>61</v>
      </c>
      <c r="S1067" s="46" t="s">
        <v>62</v>
      </c>
      <c r="T1067" s="46" t="s">
        <v>12</v>
      </c>
      <c r="U1067" s="46" t="s">
        <v>63</v>
      </c>
    </row>
    <row r="1068" spans="1:21">
      <c r="A1068" s="47">
        <v>21747531</v>
      </c>
      <c r="B1068" s="46" t="s">
        <v>4566</v>
      </c>
      <c r="C1068" s="52" t="s">
        <v>4567</v>
      </c>
      <c r="D1068" s="48">
        <v>25817</v>
      </c>
      <c r="E1068" s="49">
        <f t="shared" ca="1" si="31"/>
        <v>55.814496373504973</v>
      </c>
      <c r="F1068" s="50">
        <v>155043774</v>
      </c>
      <c r="G1068" s="51" t="s">
        <v>78</v>
      </c>
      <c r="I1068" s="52" t="s">
        <v>4499</v>
      </c>
      <c r="J1068" s="46" t="s">
        <v>4568</v>
      </c>
      <c r="M1068" s="53" t="s">
        <v>4569</v>
      </c>
      <c r="N1068" s="55">
        <v>4107305</v>
      </c>
      <c r="O1068" s="55"/>
    </row>
    <row r="1069" spans="1:21">
      <c r="A1069" s="47">
        <v>21747784</v>
      </c>
      <c r="B1069" s="46" t="s">
        <v>4159</v>
      </c>
      <c r="C1069" s="46" t="s">
        <v>2783</v>
      </c>
      <c r="D1069" s="48">
        <v>25829</v>
      </c>
      <c r="E1069" s="49">
        <f t="shared" ca="1" si="31"/>
        <v>55.781641769537444</v>
      </c>
      <c r="F1069" s="50">
        <v>153020098</v>
      </c>
      <c r="G1069" s="51" t="s">
        <v>23</v>
      </c>
      <c r="I1069" s="52" t="s">
        <v>4078</v>
      </c>
      <c r="J1069" s="46" t="s">
        <v>224</v>
      </c>
      <c r="M1069" s="53" t="s">
        <v>4160</v>
      </c>
      <c r="N1069" s="46">
        <v>3865483797</v>
      </c>
    </row>
    <row r="1070" spans="1:21">
      <c r="A1070" s="47">
        <v>21747942</v>
      </c>
      <c r="B1070" s="46" t="s">
        <v>2294</v>
      </c>
      <c r="C1070" s="52" t="s">
        <v>2295</v>
      </c>
      <c r="D1070" s="48">
        <v>25836</v>
      </c>
      <c r="E1070" s="49">
        <f t="shared" ca="1" si="31"/>
        <v>55.762476583889715</v>
      </c>
      <c r="G1070" s="51" t="s">
        <v>23</v>
      </c>
      <c r="I1070" s="52" t="s">
        <v>1881</v>
      </c>
      <c r="M1070" s="58" t="s">
        <v>25</v>
      </c>
      <c r="N1070" s="55"/>
      <c r="O1070" s="55"/>
    </row>
    <row r="1071" spans="1:21">
      <c r="A1071" s="47">
        <v>21799132</v>
      </c>
      <c r="B1071" s="46" t="s">
        <v>4716</v>
      </c>
      <c r="C1071" s="46" t="s">
        <v>1153</v>
      </c>
      <c r="E1071" s="49" t="str">
        <f t="shared" ca="1" si="31"/>
        <v/>
      </c>
      <c r="F1071" s="50">
        <v>154486879</v>
      </c>
      <c r="G1071" s="51" t="s">
        <v>23</v>
      </c>
      <c r="I1071" s="65" t="s">
        <v>4708</v>
      </c>
      <c r="J1071" s="46" t="s">
        <v>2300</v>
      </c>
      <c r="M1071" s="53" t="s">
        <v>4717</v>
      </c>
      <c r="N1071" s="46">
        <v>4847333</v>
      </c>
    </row>
    <row r="1072" spans="1:21">
      <c r="A1072" s="47">
        <v>21799236</v>
      </c>
      <c r="B1072" s="46" t="s">
        <v>1273</v>
      </c>
      <c r="C1072" s="46" t="s">
        <v>6675</v>
      </c>
      <c r="D1072" s="48" t="s">
        <v>52</v>
      </c>
      <c r="E1072" s="49" t="str">
        <f t="shared" ca="1" si="31"/>
        <v/>
      </c>
      <c r="F1072" s="50" t="s">
        <v>6676</v>
      </c>
      <c r="G1072" s="51" t="s">
        <v>70</v>
      </c>
      <c r="H1072" s="52" t="s">
        <v>6677</v>
      </c>
      <c r="I1072" s="52" t="s">
        <v>3427</v>
      </c>
      <c r="J1072" s="46" t="s">
        <v>52</v>
      </c>
      <c r="K1072" s="46" t="s">
        <v>112</v>
      </c>
      <c r="L1072" s="46" t="s">
        <v>546</v>
      </c>
      <c r="M1072" s="52" t="s">
        <v>6678</v>
      </c>
      <c r="N1072" s="46" t="s">
        <v>52</v>
      </c>
      <c r="O1072" s="46" t="s">
        <v>52</v>
      </c>
      <c r="P1072" s="46" t="s">
        <v>59</v>
      </c>
      <c r="Q1072" s="46" t="s">
        <v>60</v>
      </c>
      <c r="R1072" s="46" t="s">
        <v>61</v>
      </c>
      <c r="S1072" s="46" t="s">
        <v>62</v>
      </c>
      <c r="T1072" s="46" t="s">
        <v>12</v>
      </c>
      <c r="U1072" s="46" t="s">
        <v>63</v>
      </c>
    </row>
    <row r="1073" spans="1:21">
      <c r="A1073" s="47">
        <v>21799894</v>
      </c>
      <c r="B1073" s="46" t="s">
        <v>3543</v>
      </c>
      <c r="C1073" s="46" t="s">
        <v>3544</v>
      </c>
      <c r="D1073" s="48" t="s">
        <v>52</v>
      </c>
      <c r="E1073" s="49" t="str">
        <f t="shared" ca="1" si="31"/>
        <v/>
      </c>
      <c r="F1073" s="50" t="s">
        <v>3545</v>
      </c>
      <c r="G1073" s="51" t="s">
        <v>70</v>
      </c>
      <c r="H1073" s="52" t="s">
        <v>3513</v>
      </c>
      <c r="I1073" s="52" t="s">
        <v>3427</v>
      </c>
      <c r="J1073" s="46" t="s">
        <v>3546</v>
      </c>
      <c r="K1073" s="46" t="s">
        <v>112</v>
      </c>
      <c r="L1073" s="46" t="s">
        <v>546</v>
      </c>
      <c r="M1073" s="52" t="s">
        <v>3547</v>
      </c>
      <c r="N1073" s="46" t="s">
        <v>3548</v>
      </c>
      <c r="O1073" s="46" t="s">
        <v>52</v>
      </c>
      <c r="P1073" s="46" t="s">
        <v>59</v>
      </c>
      <c r="Q1073" s="46" t="s">
        <v>60</v>
      </c>
      <c r="R1073" s="46" t="s">
        <v>61</v>
      </c>
      <c r="S1073" s="46" t="s">
        <v>62</v>
      </c>
      <c r="T1073" s="46" t="s">
        <v>12</v>
      </c>
      <c r="U1073" s="46" t="s">
        <v>63</v>
      </c>
    </row>
    <row r="1074" spans="1:21">
      <c r="A1074" s="47">
        <v>21805042</v>
      </c>
      <c r="B1074" s="46" t="s">
        <v>4106</v>
      </c>
      <c r="C1074" s="46" t="s">
        <v>4107</v>
      </c>
      <c r="D1074" s="48">
        <v>25788</v>
      </c>
      <c r="E1074" s="49">
        <f t="shared" ca="1" si="31"/>
        <v>55.893894999759837</v>
      </c>
      <c r="F1074" s="50" t="s">
        <v>4108</v>
      </c>
      <c r="G1074" s="51" t="s">
        <v>23</v>
      </c>
      <c r="I1074" s="52" t="s">
        <v>4078</v>
      </c>
      <c r="J1074" s="46" t="s">
        <v>4109</v>
      </c>
      <c r="M1074" s="53" t="s">
        <v>4110</v>
      </c>
      <c r="N1074" s="46" t="s">
        <v>4111</v>
      </c>
    </row>
    <row r="1075" spans="1:21">
      <c r="A1075" s="47">
        <v>21805333</v>
      </c>
      <c r="B1075" s="46" t="s">
        <v>472</v>
      </c>
      <c r="C1075" s="46" t="s">
        <v>6393</v>
      </c>
      <c r="E1075" s="49" t="str">
        <f t="shared" ca="1" si="31"/>
        <v/>
      </c>
      <c r="G1075" s="51" t="s">
        <v>23</v>
      </c>
      <c r="I1075" s="52" t="s">
        <v>23</v>
      </c>
      <c r="M1075" s="58" t="s">
        <v>25</v>
      </c>
    </row>
    <row r="1076" spans="1:21">
      <c r="A1076" s="47">
        <v>21812664</v>
      </c>
      <c r="B1076" s="46" t="s">
        <v>4053</v>
      </c>
      <c r="C1076" s="55" t="s">
        <v>274</v>
      </c>
      <c r="D1076" s="48" t="s">
        <v>52</v>
      </c>
      <c r="E1076" s="49" t="str">
        <f t="shared" ca="1" si="31"/>
        <v/>
      </c>
      <c r="F1076" s="50" t="s">
        <v>4054</v>
      </c>
      <c r="G1076" s="51" t="s">
        <v>70</v>
      </c>
      <c r="H1076" s="52" t="s">
        <v>52</v>
      </c>
      <c r="I1076" s="52" t="s">
        <v>3999</v>
      </c>
      <c r="J1076" s="46" t="s">
        <v>4055</v>
      </c>
      <c r="K1076" s="46" t="s">
        <v>81</v>
      </c>
      <c r="L1076" s="46" t="s">
        <v>52</v>
      </c>
      <c r="M1076" s="53" t="s">
        <v>4056</v>
      </c>
      <c r="N1076" s="46" t="s">
        <v>52</v>
      </c>
      <c r="O1076" s="46" t="s">
        <v>52</v>
      </c>
      <c r="P1076" s="46" t="s">
        <v>59</v>
      </c>
      <c r="Q1076" s="46" t="s">
        <v>60</v>
      </c>
      <c r="R1076" s="46" t="s">
        <v>61</v>
      </c>
      <c r="S1076" s="46" t="s">
        <v>62</v>
      </c>
      <c r="T1076" s="46" t="s">
        <v>12</v>
      </c>
      <c r="U1076" s="46" t="s">
        <v>63</v>
      </c>
    </row>
    <row r="1077" spans="1:21">
      <c r="A1077" s="47">
        <v>21823138</v>
      </c>
      <c r="B1077" s="46" t="s">
        <v>2840</v>
      </c>
      <c r="C1077" s="46" t="s">
        <v>2841</v>
      </c>
      <c r="D1077" s="48">
        <v>25955</v>
      </c>
      <c r="E1077" s="49">
        <f t="shared" ca="1" si="31"/>
        <v>55.436002737850785</v>
      </c>
      <c r="F1077" s="50">
        <v>156306987</v>
      </c>
      <c r="G1077" s="51" t="s">
        <v>70</v>
      </c>
      <c r="I1077" s="52" t="s">
        <v>2842</v>
      </c>
      <c r="J1077" s="46" t="s">
        <v>820</v>
      </c>
      <c r="M1077" s="53" t="s">
        <v>2843</v>
      </c>
      <c r="O1077" s="46">
        <v>4107258</v>
      </c>
    </row>
    <row r="1078" spans="1:21">
      <c r="A1078" s="47">
        <v>21829037</v>
      </c>
      <c r="B1078" s="46" t="s">
        <v>207</v>
      </c>
      <c r="C1078" s="52" t="s">
        <v>6123</v>
      </c>
      <c r="D1078" s="48">
        <v>25843</v>
      </c>
      <c r="E1078" s="49">
        <f t="shared" ca="1" si="31"/>
        <v>55.743311398241993</v>
      </c>
      <c r="F1078" s="50">
        <v>155686318</v>
      </c>
      <c r="G1078" s="51" t="s">
        <v>23</v>
      </c>
      <c r="I1078" s="52" t="s">
        <v>23</v>
      </c>
      <c r="J1078" s="46" t="s">
        <v>38</v>
      </c>
      <c r="M1078" s="53" t="s">
        <v>6124</v>
      </c>
      <c r="N1078" s="55">
        <v>4247752</v>
      </c>
      <c r="O1078" s="55">
        <v>7146</v>
      </c>
    </row>
    <row r="1079" spans="1:21">
      <c r="A1079" s="47">
        <v>21829048</v>
      </c>
      <c r="B1079" s="46" t="s">
        <v>8779</v>
      </c>
      <c r="C1079" s="46" t="s">
        <v>1688</v>
      </c>
      <c r="E1079" s="49" t="str">
        <f t="shared" ca="1" si="31"/>
        <v/>
      </c>
      <c r="F1079" s="50">
        <v>154664553</v>
      </c>
      <c r="G1079" s="51" t="s">
        <v>23</v>
      </c>
      <c r="I1079" s="52" t="s">
        <v>1657</v>
      </c>
      <c r="M1079" s="58" t="s">
        <v>25</v>
      </c>
    </row>
    <row r="1080" spans="1:21">
      <c r="A1080" s="47">
        <v>21829062</v>
      </c>
      <c r="B1080" s="46" t="s">
        <v>2813</v>
      </c>
      <c r="C1080" s="46" t="s">
        <v>4843</v>
      </c>
      <c r="D1080" s="48" t="s">
        <v>52</v>
      </c>
      <c r="E1080" s="49" t="str">
        <f t="shared" ca="1" si="31"/>
        <v/>
      </c>
      <c r="F1080" s="50" t="s">
        <v>4919</v>
      </c>
      <c r="G1080" s="51" t="s">
        <v>70</v>
      </c>
      <c r="H1080" s="52" t="s">
        <v>4920</v>
      </c>
      <c r="I1080" s="52" t="s">
        <v>4815</v>
      </c>
      <c r="J1080" s="46" t="s">
        <v>4916</v>
      </c>
      <c r="K1080" s="46" t="s">
        <v>81</v>
      </c>
      <c r="L1080" s="46" t="s">
        <v>546</v>
      </c>
      <c r="M1080" s="52" t="s">
        <v>4921</v>
      </c>
      <c r="N1080" s="46" t="s">
        <v>4918</v>
      </c>
      <c r="O1080" s="46" t="s">
        <v>52</v>
      </c>
      <c r="P1080" s="46" t="s">
        <v>59</v>
      </c>
      <c r="Q1080" s="46" t="s">
        <v>60</v>
      </c>
      <c r="R1080" s="46" t="s">
        <v>61</v>
      </c>
      <c r="S1080" s="46" t="s">
        <v>62</v>
      </c>
      <c r="T1080" s="46" t="s">
        <v>12</v>
      </c>
      <c r="U1080" s="46" t="s">
        <v>63</v>
      </c>
    </row>
    <row r="1081" spans="1:21">
      <c r="A1081" s="47">
        <v>21829290</v>
      </c>
      <c r="B1081" s="46" t="s">
        <v>2521</v>
      </c>
      <c r="C1081" s="46" t="s">
        <v>2522</v>
      </c>
      <c r="D1081" s="48" t="s">
        <v>52</v>
      </c>
      <c r="E1081" s="49" t="str">
        <f t="shared" ca="1" si="31"/>
        <v/>
      </c>
      <c r="F1081" s="50" t="s">
        <v>2523</v>
      </c>
      <c r="G1081" s="51" t="s">
        <v>141</v>
      </c>
      <c r="H1081" s="52" t="s">
        <v>52</v>
      </c>
      <c r="I1081" s="59" t="s">
        <v>2524</v>
      </c>
      <c r="J1081" s="46" t="s">
        <v>2525</v>
      </c>
      <c r="K1081" s="46" t="s">
        <v>81</v>
      </c>
      <c r="L1081" s="46" t="s">
        <v>52</v>
      </c>
      <c r="M1081" s="53" t="s">
        <v>2526</v>
      </c>
      <c r="N1081" s="46" t="s">
        <v>2527</v>
      </c>
      <c r="O1081" s="46" t="s">
        <v>2528</v>
      </c>
      <c r="P1081" s="46" t="s">
        <v>59</v>
      </c>
      <c r="Q1081" s="46" t="s">
        <v>60</v>
      </c>
      <c r="R1081" s="46" t="s">
        <v>61</v>
      </c>
      <c r="S1081" s="46" t="s">
        <v>62</v>
      </c>
      <c r="T1081" s="46" t="s">
        <v>12</v>
      </c>
      <c r="U1081" s="46" t="s">
        <v>63</v>
      </c>
    </row>
    <row r="1082" spans="1:21">
      <c r="A1082" s="47">
        <v>21829333</v>
      </c>
      <c r="B1082" s="46" t="s">
        <v>3244</v>
      </c>
      <c r="C1082" s="46" t="s">
        <v>6578</v>
      </c>
      <c r="D1082" s="48" t="s">
        <v>6579</v>
      </c>
      <c r="E1082" s="49">
        <f t="shared" ca="1" si="31"/>
        <v>55.290896646132786</v>
      </c>
      <c r="F1082" s="50" t="s">
        <v>6580</v>
      </c>
      <c r="G1082" s="51" t="s">
        <v>78</v>
      </c>
      <c r="H1082" s="52" t="s">
        <v>6581</v>
      </c>
      <c r="I1082" s="52" t="s">
        <v>3166</v>
      </c>
      <c r="J1082" s="46" t="s">
        <v>6582</v>
      </c>
      <c r="K1082" s="46" t="s">
        <v>390</v>
      </c>
      <c r="L1082" s="46" t="s">
        <v>546</v>
      </c>
      <c r="M1082" s="52" t="s">
        <v>6583</v>
      </c>
      <c r="N1082" s="46" t="s">
        <v>52</v>
      </c>
      <c r="O1082" s="46" t="s">
        <v>52</v>
      </c>
      <c r="P1082" s="46" t="s">
        <v>59</v>
      </c>
      <c r="Q1082" s="46" t="s">
        <v>60</v>
      </c>
      <c r="R1082" s="46" t="s">
        <v>61</v>
      </c>
      <c r="S1082" s="46" t="s">
        <v>62</v>
      </c>
      <c r="T1082" s="46" t="s">
        <v>12</v>
      </c>
      <c r="U1082" s="46" t="s">
        <v>63</v>
      </c>
    </row>
    <row r="1083" spans="1:21">
      <c r="A1083" s="47">
        <v>21829343</v>
      </c>
      <c r="B1083" s="46" t="s">
        <v>2722</v>
      </c>
      <c r="C1083" s="46" t="s">
        <v>2723</v>
      </c>
      <c r="D1083" s="48">
        <v>26013</v>
      </c>
      <c r="E1083" s="49">
        <f t="shared" ca="1" si="31"/>
        <v>55.277207392197127</v>
      </c>
      <c r="F1083" s="50">
        <v>154963586</v>
      </c>
      <c r="G1083" s="51" t="s">
        <v>70</v>
      </c>
      <c r="I1083" s="52" t="s">
        <v>2720</v>
      </c>
      <c r="M1083" s="53" t="s">
        <v>2724</v>
      </c>
      <c r="P1083" s="46">
        <v>1</v>
      </c>
    </row>
    <row r="1084" spans="1:21">
      <c r="A1084" s="47">
        <v>21829383</v>
      </c>
      <c r="B1084" s="46" t="s">
        <v>3428</v>
      </c>
      <c r="C1084" s="46" t="s">
        <v>9602</v>
      </c>
      <c r="D1084" s="48" t="s">
        <v>9603</v>
      </c>
      <c r="E1084" s="49" t="s">
        <v>9331</v>
      </c>
      <c r="F1084" s="50" t="s">
        <v>9604</v>
      </c>
      <c r="G1084" s="51" t="s">
        <v>70</v>
      </c>
      <c r="H1084" s="52" t="s">
        <v>52</v>
      </c>
      <c r="I1084" s="52" t="s">
        <v>908</v>
      </c>
      <c r="J1084" s="46" t="s">
        <v>52</v>
      </c>
      <c r="K1084" s="46" t="s">
        <v>390</v>
      </c>
      <c r="L1084" s="46" t="s">
        <v>546</v>
      </c>
      <c r="M1084" s="52" t="s">
        <v>9605</v>
      </c>
      <c r="N1084" s="46" t="s">
        <v>52</v>
      </c>
      <c r="O1084" s="46" t="s">
        <v>52</v>
      </c>
      <c r="P1084" s="46" t="s">
        <v>59</v>
      </c>
      <c r="Q1084" s="46" t="s">
        <v>60</v>
      </c>
      <c r="R1084" s="46" t="s">
        <v>61</v>
      </c>
      <c r="S1084" s="46" t="s">
        <v>62</v>
      </c>
      <c r="T1084" s="46" t="s">
        <v>12</v>
      </c>
      <c r="U1084" s="46" t="s">
        <v>63</v>
      </c>
    </row>
    <row r="1085" spans="1:21">
      <c r="A1085" s="47">
        <v>21846191</v>
      </c>
      <c r="B1085" s="46" t="s">
        <v>4330</v>
      </c>
      <c r="C1085" s="46" t="s">
        <v>4331</v>
      </c>
      <c r="D1085" s="48">
        <v>25883</v>
      </c>
      <c r="E1085" s="49">
        <f t="shared" ref="E1085:E1093" ca="1" si="32">IF(D1085="","",YEARFRAC(D1085,TODAY(),1))</f>
        <v>55.633796051683554</v>
      </c>
      <c r="F1085" s="50">
        <v>154647608</v>
      </c>
      <c r="G1085" s="51" t="s">
        <v>70</v>
      </c>
      <c r="I1085" s="52" t="s">
        <v>4245</v>
      </c>
      <c r="J1085" s="46" t="s">
        <v>38</v>
      </c>
      <c r="M1085" s="52" t="s">
        <v>4332</v>
      </c>
      <c r="N1085" s="46">
        <v>4240370</v>
      </c>
      <c r="P1085" s="46">
        <v>4</v>
      </c>
    </row>
    <row r="1086" spans="1:21">
      <c r="A1086" s="80">
        <v>21846191</v>
      </c>
      <c r="B1086" s="80" t="s">
        <v>8727</v>
      </c>
      <c r="C1086" s="80" t="s">
        <v>8728</v>
      </c>
      <c r="D1086" s="84">
        <v>25883</v>
      </c>
      <c r="E1086" s="49">
        <f t="shared" ca="1" si="32"/>
        <v>55.633796051683554</v>
      </c>
      <c r="F1086" s="80">
        <v>3814647608</v>
      </c>
      <c r="G1086" s="80" t="s">
        <v>70</v>
      </c>
      <c r="H1086" s="80" t="s">
        <v>8756</v>
      </c>
      <c r="I1086" s="80" t="s">
        <v>4245</v>
      </c>
      <c r="J1086" s="80"/>
      <c r="K1086" s="80" t="s">
        <v>8757</v>
      </c>
      <c r="L1086" s="80" t="s">
        <v>2002</v>
      </c>
      <c r="M1086" s="80">
        <v>2</v>
      </c>
      <c r="N1086" s="80" t="s">
        <v>8755</v>
      </c>
      <c r="O1086" s="80">
        <v>4240370</v>
      </c>
    </row>
    <row r="1087" spans="1:21">
      <c r="A1087" s="47">
        <v>21893835</v>
      </c>
      <c r="B1087" s="46" t="s">
        <v>321</v>
      </c>
      <c r="C1087" s="46" t="s">
        <v>322</v>
      </c>
      <c r="D1087" s="48">
        <v>25876</v>
      </c>
      <c r="E1087" s="49">
        <f t="shared" ca="1" si="32"/>
        <v>55.652961237331283</v>
      </c>
      <c r="F1087" s="50">
        <v>156266708</v>
      </c>
      <c r="G1087" s="51" t="s">
        <v>23</v>
      </c>
      <c r="I1087" s="52" t="s">
        <v>24</v>
      </c>
      <c r="M1087" s="53" t="s">
        <v>323</v>
      </c>
      <c r="N1087" s="46">
        <v>4107521</v>
      </c>
    </row>
    <row r="1088" spans="1:21">
      <c r="A1088" s="47">
        <v>21894733</v>
      </c>
      <c r="B1088" s="46" t="s">
        <v>4206</v>
      </c>
      <c r="C1088" s="52" t="s">
        <v>4207</v>
      </c>
      <c r="D1088" s="48">
        <v>25923</v>
      </c>
      <c r="E1088" s="49">
        <f t="shared" ca="1" si="32"/>
        <v>55.524280705125122</v>
      </c>
      <c r="G1088" s="51" t="s">
        <v>70</v>
      </c>
      <c r="I1088" s="52" t="s">
        <v>4181</v>
      </c>
      <c r="J1088" s="46" t="s">
        <v>4208</v>
      </c>
      <c r="M1088" s="53" t="s">
        <v>4209</v>
      </c>
      <c r="N1088" s="55"/>
      <c r="O1088" s="55"/>
    </row>
    <row r="1089" spans="1:21">
      <c r="A1089" s="47">
        <v>21919979</v>
      </c>
      <c r="B1089" s="46" t="s">
        <v>3182</v>
      </c>
      <c r="C1089" s="52" t="s">
        <v>724</v>
      </c>
      <c r="E1089" s="49" t="str">
        <f t="shared" ca="1" si="32"/>
        <v/>
      </c>
      <c r="G1089" s="51" t="s">
        <v>23</v>
      </c>
      <c r="I1089" s="52" t="s">
        <v>23</v>
      </c>
      <c r="M1089" s="58" t="s">
        <v>25</v>
      </c>
      <c r="N1089" s="55"/>
      <c r="O1089" s="55"/>
    </row>
    <row r="1090" spans="1:21">
      <c r="A1090" s="64">
        <v>21936389</v>
      </c>
      <c r="B1090" s="61" t="s">
        <v>1301</v>
      </c>
      <c r="C1090" s="62" t="s">
        <v>1302</v>
      </c>
      <c r="D1090" s="48">
        <v>25972</v>
      </c>
      <c r="E1090" s="49">
        <f t="shared" ca="1" si="32"/>
        <v>55.389459274469544</v>
      </c>
      <c r="F1090" s="63">
        <v>155412030</v>
      </c>
      <c r="G1090" s="51" t="s">
        <v>23</v>
      </c>
      <c r="I1090" s="59" t="s">
        <v>908</v>
      </c>
      <c r="J1090" s="61" t="s">
        <v>445</v>
      </c>
      <c r="K1090" s="61"/>
      <c r="L1090" s="61"/>
      <c r="M1090" s="53" t="s">
        <v>1303</v>
      </c>
      <c r="N1090" s="55"/>
      <c r="O1090" s="55"/>
    </row>
    <row r="1091" spans="1:21">
      <c r="A1091" s="47">
        <v>21948337</v>
      </c>
      <c r="B1091" s="46" t="s">
        <v>685</v>
      </c>
      <c r="C1091" s="52" t="s">
        <v>2074</v>
      </c>
      <c r="D1091" s="48">
        <v>24158</v>
      </c>
      <c r="E1091" s="49">
        <f t="shared" ca="1" si="32"/>
        <v>60.356597845601435</v>
      </c>
      <c r="F1091" s="50">
        <v>156453371</v>
      </c>
      <c r="G1091" s="51" t="s">
        <v>23</v>
      </c>
      <c r="I1091" s="52" t="s">
        <v>1881</v>
      </c>
      <c r="J1091" s="46" t="s">
        <v>2075</v>
      </c>
      <c r="M1091" s="53" t="s">
        <v>2076</v>
      </c>
      <c r="N1091" s="55"/>
      <c r="O1091" s="55"/>
    </row>
    <row r="1092" spans="1:21">
      <c r="A1092" s="60">
        <v>22030518</v>
      </c>
      <c r="B1092" s="61" t="s">
        <v>599</v>
      </c>
      <c r="C1092" s="62" t="s">
        <v>600</v>
      </c>
      <c r="D1092" s="48">
        <v>25960</v>
      </c>
      <c r="E1092" s="49">
        <f t="shared" ca="1" si="32"/>
        <v>55.422313483915126</v>
      </c>
      <c r="F1092" s="63">
        <v>155219311</v>
      </c>
      <c r="G1092" s="51" t="s">
        <v>23</v>
      </c>
      <c r="I1092" s="52" t="s">
        <v>594</v>
      </c>
      <c r="J1092" s="61"/>
      <c r="K1092" s="61"/>
      <c r="L1092" s="61"/>
      <c r="M1092" s="58" t="s">
        <v>25</v>
      </c>
      <c r="N1092" s="55"/>
      <c r="O1092" s="55"/>
    </row>
    <row r="1093" spans="1:21">
      <c r="A1093" s="47">
        <v>22031835</v>
      </c>
      <c r="B1093" s="46" t="s">
        <v>273</v>
      </c>
      <c r="C1093" s="46" t="s">
        <v>274</v>
      </c>
      <c r="D1093" s="48">
        <v>26023</v>
      </c>
      <c r="E1093" s="49">
        <f t="shared" ca="1" si="32"/>
        <v>55.249828884325801</v>
      </c>
      <c r="F1093" s="50">
        <v>155009755</v>
      </c>
      <c r="G1093" s="51" t="s">
        <v>78</v>
      </c>
      <c r="I1093" s="52" t="s">
        <v>24</v>
      </c>
      <c r="J1093" s="46" t="s">
        <v>275</v>
      </c>
      <c r="M1093" s="53" t="s">
        <v>276</v>
      </c>
      <c r="N1093" s="46">
        <v>4107539</v>
      </c>
      <c r="P1093" s="46">
        <v>3</v>
      </c>
    </row>
    <row r="1094" spans="1:21">
      <c r="A1094" s="47">
        <v>22050175</v>
      </c>
      <c r="B1094" s="46" t="s">
        <v>9678</v>
      </c>
      <c r="C1094" s="46" t="s">
        <v>9679</v>
      </c>
      <c r="D1094" s="48" t="s">
        <v>9680</v>
      </c>
      <c r="E1094" s="49" t="s">
        <v>9331</v>
      </c>
      <c r="F1094" s="50" t="s">
        <v>9681</v>
      </c>
      <c r="G1094" s="51" t="s">
        <v>70</v>
      </c>
      <c r="H1094" s="52" t="s">
        <v>4688</v>
      </c>
      <c r="I1094" s="52" t="s">
        <v>4499</v>
      </c>
      <c r="J1094" s="46" t="s">
        <v>9682</v>
      </c>
      <c r="K1094" s="46" t="s">
        <v>52</v>
      </c>
      <c r="L1094" s="46" t="s">
        <v>546</v>
      </c>
      <c r="M1094" s="52" t="s">
        <v>9683</v>
      </c>
      <c r="N1094" s="46" t="s">
        <v>52</v>
      </c>
      <c r="O1094" s="46" t="s">
        <v>52</v>
      </c>
      <c r="P1094" s="46" t="s">
        <v>59</v>
      </c>
      <c r="Q1094" s="46" t="s">
        <v>60</v>
      </c>
      <c r="R1094" s="46" t="s">
        <v>61</v>
      </c>
      <c r="S1094" s="46" t="s">
        <v>62</v>
      </c>
      <c r="T1094" s="46" t="s">
        <v>12</v>
      </c>
      <c r="U1094" s="46" t="s">
        <v>63</v>
      </c>
    </row>
    <row r="1095" spans="1:21">
      <c r="A1095" s="47">
        <v>22058809</v>
      </c>
      <c r="B1095" s="46" t="s">
        <v>595</v>
      </c>
      <c r="C1095" s="52" t="s">
        <v>2929</v>
      </c>
      <c r="D1095" s="48">
        <v>26243</v>
      </c>
      <c r="E1095" s="49">
        <f t="shared" ref="E1095:E1101" ca="1" si="33">IF(D1095="","",YEARFRAC(D1095,TODAY(),1))</f>
        <v>54.647501711156742</v>
      </c>
      <c r="F1095" s="50">
        <v>154652351</v>
      </c>
      <c r="G1095" s="51" t="s">
        <v>23</v>
      </c>
      <c r="I1095" s="52" t="s">
        <v>2926</v>
      </c>
      <c r="J1095" s="46" t="s">
        <v>982</v>
      </c>
      <c r="M1095" s="58" t="s">
        <v>25</v>
      </c>
      <c r="N1095" s="55"/>
      <c r="O1095" s="55"/>
    </row>
    <row r="1096" spans="1:21">
      <c r="A1096" s="47">
        <v>22073026</v>
      </c>
      <c r="B1096" s="46" t="s">
        <v>2195</v>
      </c>
      <c r="C1096" s="46" t="s">
        <v>2196</v>
      </c>
      <c r="D1096" s="48">
        <v>25984</v>
      </c>
      <c r="E1096" s="49">
        <f t="shared" ca="1" si="33"/>
        <v>55.356605065023956</v>
      </c>
      <c r="F1096" s="50">
        <v>153020115</v>
      </c>
      <c r="G1096" s="51" t="s">
        <v>352</v>
      </c>
      <c r="I1096" s="52" t="s">
        <v>1881</v>
      </c>
      <c r="M1096" s="53" t="s">
        <v>2197</v>
      </c>
      <c r="N1096" s="46">
        <v>4107583</v>
      </c>
      <c r="O1096" s="46">
        <v>7583</v>
      </c>
    </row>
    <row r="1097" spans="1:21">
      <c r="A1097" s="47">
        <v>22073108</v>
      </c>
      <c r="B1097" s="46" t="s">
        <v>3176</v>
      </c>
      <c r="C1097" s="46" t="s">
        <v>671</v>
      </c>
      <c r="D1097" s="48">
        <v>25989</v>
      </c>
      <c r="E1097" s="49">
        <f t="shared" ca="1" si="33"/>
        <v>55.342915811088297</v>
      </c>
      <c r="F1097" s="50">
        <v>154587094</v>
      </c>
      <c r="G1097" s="51" t="s">
        <v>78</v>
      </c>
      <c r="I1097" s="52" t="s">
        <v>3327</v>
      </c>
      <c r="J1097" s="46" t="s">
        <v>3328</v>
      </c>
      <c r="M1097" s="53" t="s">
        <v>3329</v>
      </c>
      <c r="N1097" s="46">
        <v>4353685</v>
      </c>
      <c r="O1097" s="46">
        <v>124</v>
      </c>
      <c r="P1097" s="46">
        <v>4</v>
      </c>
    </row>
    <row r="1098" spans="1:21">
      <c r="A1098" s="47">
        <v>22073198</v>
      </c>
      <c r="B1098" s="46" t="s">
        <v>6008</v>
      </c>
      <c r="C1098" s="52" t="s">
        <v>131</v>
      </c>
      <c r="E1098" s="49" t="str">
        <f t="shared" ca="1" si="33"/>
        <v/>
      </c>
      <c r="G1098" s="51" t="s">
        <v>23</v>
      </c>
      <c r="I1098" s="52" t="s">
        <v>23</v>
      </c>
      <c r="M1098" s="58" t="s">
        <v>25</v>
      </c>
      <c r="N1098" s="55"/>
      <c r="O1098" s="55"/>
    </row>
    <row r="1099" spans="1:21">
      <c r="A1099" s="47">
        <v>22073287</v>
      </c>
      <c r="B1099" s="46" t="s">
        <v>4752</v>
      </c>
      <c r="C1099" s="46" t="s">
        <v>3202</v>
      </c>
      <c r="D1099" s="48">
        <v>26006</v>
      </c>
      <c r="E1099" s="49">
        <f t="shared" ca="1" si="33"/>
        <v>55.296372347707049</v>
      </c>
      <c r="F1099" s="50">
        <v>155010779</v>
      </c>
      <c r="G1099" s="51" t="s">
        <v>352</v>
      </c>
      <c r="I1099" s="65" t="s">
        <v>4708</v>
      </c>
      <c r="J1099" s="46" t="s">
        <v>1653</v>
      </c>
      <c r="M1099" s="53" t="s">
        <v>4753</v>
      </c>
      <c r="N1099" s="50" t="s">
        <v>4754</v>
      </c>
    </row>
    <row r="1100" spans="1:21">
      <c r="A1100" s="47">
        <v>22073420</v>
      </c>
      <c r="B1100" s="46" t="s">
        <v>195</v>
      </c>
      <c r="C1100" s="46" t="s">
        <v>363</v>
      </c>
      <c r="D1100" s="48" t="s">
        <v>52</v>
      </c>
      <c r="E1100" s="49" t="str">
        <f t="shared" ca="1" si="33"/>
        <v/>
      </c>
      <c r="F1100" s="50" t="s">
        <v>52</v>
      </c>
      <c r="G1100" s="51" t="s">
        <v>70</v>
      </c>
      <c r="H1100" s="52" t="s">
        <v>52</v>
      </c>
      <c r="I1100" s="52" t="s">
        <v>2926</v>
      </c>
      <c r="J1100" s="46" t="s">
        <v>52</v>
      </c>
      <c r="K1100" s="46" t="s">
        <v>81</v>
      </c>
      <c r="L1100" s="46" t="s">
        <v>546</v>
      </c>
      <c r="M1100" s="52" t="s">
        <v>582</v>
      </c>
      <c r="N1100" s="46" t="s">
        <v>52</v>
      </c>
      <c r="O1100" s="46" t="s">
        <v>52</v>
      </c>
      <c r="P1100" s="46" t="s">
        <v>59</v>
      </c>
      <c r="Q1100" s="46" t="s">
        <v>60</v>
      </c>
      <c r="R1100" s="46" t="s">
        <v>61</v>
      </c>
      <c r="S1100" s="46" t="s">
        <v>62</v>
      </c>
      <c r="T1100" s="46" t="s">
        <v>12</v>
      </c>
      <c r="U1100" s="46" t="s">
        <v>63</v>
      </c>
    </row>
    <row r="1101" spans="1:21">
      <c r="A1101" s="47">
        <v>22073496</v>
      </c>
      <c r="B1101" s="46" t="s">
        <v>1558</v>
      </c>
      <c r="C1101" s="46" t="s">
        <v>1559</v>
      </c>
      <c r="D1101" s="48">
        <v>26031</v>
      </c>
      <c r="E1101" s="49">
        <f t="shared" ca="1" si="33"/>
        <v>55.227926078028744</v>
      </c>
      <c r="F1101" s="50">
        <v>3814754595</v>
      </c>
      <c r="G1101" s="51" t="s">
        <v>70</v>
      </c>
      <c r="I1101" s="52" t="s">
        <v>1497</v>
      </c>
      <c r="J1101" s="46" t="s">
        <v>1560</v>
      </c>
      <c r="M1101" s="53" t="s">
        <v>1561</v>
      </c>
      <c r="N1101" s="46">
        <v>4330633</v>
      </c>
      <c r="O1101" s="46">
        <v>221</v>
      </c>
    </row>
    <row r="1102" spans="1:21">
      <c r="A1102" s="47">
        <v>22073620</v>
      </c>
      <c r="B1102" s="46" t="s">
        <v>1273</v>
      </c>
      <c r="C1102" s="46" t="s">
        <v>444</v>
      </c>
      <c r="D1102" s="48" t="s">
        <v>9330</v>
      </c>
      <c r="E1102" s="49" t="s">
        <v>9331</v>
      </c>
      <c r="F1102" s="50" t="s">
        <v>9332</v>
      </c>
      <c r="G1102" s="51" t="s">
        <v>78</v>
      </c>
      <c r="H1102" s="52" t="s">
        <v>9333</v>
      </c>
      <c r="I1102" s="52" t="s">
        <v>908</v>
      </c>
      <c r="J1102" s="46" t="s">
        <v>9334</v>
      </c>
      <c r="K1102" s="46" t="s">
        <v>81</v>
      </c>
      <c r="L1102" s="46" t="s">
        <v>546</v>
      </c>
      <c r="M1102" s="52" t="s">
        <v>9335</v>
      </c>
      <c r="N1102" s="46" t="s">
        <v>52</v>
      </c>
      <c r="O1102" s="46" t="s">
        <v>52</v>
      </c>
      <c r="P1102" s="46" t="s">
        <v>59</v>
      </c>
      <c r="Q1102" s="46" t="s">
        <v>60</v>
      </c>
      <c r="R1102" s="46" t="s">
        <v>61</v>
      </c>
      <c r="S1102" s="46" t="s">
        <v>62</v>
      </c>
      <c r="T1102" s="46" t="s">
        <v>12</v>
      </c>
      <c r="U1102" s="46" t="s">
        <v>63</v>
      </c>
    </row>
    <row r="1103" spans="1:21">
      <c r="A1103" s="47">
        <v>22073712</v>
      </c>
      <c r="B1103" s="46" t="s">
        <v>927</v>
      </c>
      <c r="C1103" s="46" t="s">
        <v>1341</v>
      </c>
      <c r="D1103" s="48" t="s">
        <v>1342</v>
      </c>
      <c r="E1103" s="49">
        <f ca="1">IF(D1103="","",YEARFRAC(D1103,TODAY(),1))</f>
        <v>55.173169062286107</v>
      </c>
      <c r="F1103" s="50" t="s">
        <v>1343</v>
      </c>
      <c r="G1103" s="51" t="s">
        <v>70</v>
      </c>
      <c r="H1103" s="52" t="s">
        <v>111</v>
      </c>
      <c r="I1103" s="59" t="s">
        <v>908</v>
      </c>
      <c r="J1103" s="46" t="s">
        <v>1344</v>
      </c>
      <c r="K1103" s="46" t="s">
        <v>81</v>
      </c>
      <c r="L1103" s="46" t="s">
        <v>546</v>
      </c>
      <c r="M1103" s="52" t="s">
        <v>1345</v>
      </c>
      <c r="N1103" s="46" t="s">
        <v>52</v>
      </c>
      <c r="O1103" s="46" t="s">
        <v>52</v>
      </c>
      <c r="P1103" s="46" t="s">
        <v>59</v>
      </c>
      <c r="Q1103" s="46" t="s">
        <v>60</v>
      </c>
      <c r="R1103" s="46" t="s">
        <v>61</v>
      </c>
      <c r="S1103" s="46" t="s">
        <v>62</v>
      </c>
      <c r="T1103" s="46" t="s">
        <v>12</v>
      </c>
      <c r="U1103" s="46" t="s">
        <v>63</v>
      </c>
    </row>
    <row r="1104" spans="1:21">
      <c r="A1104" s="47">
        <v>22073849</v>
      </c>
      <c r="B1104" s="46" t="s">
        <v>1926</v>
      </c>
      <c r="C1104" s="52" t="s">
        <v>1927</v>
      </c>
      <c r="E1104" s="49" t="str">
        <f ca="1">IF(D1104="","",YEARFRAC(D1104,TODAY(),1))</f>
        <v/>
      </c>
      <c r="F1104" s="50">
        <v>155719550</v>
      </c>
      <c r="G1104" s="51" t="s">
        <v>23</v>
      </c>
      <c r="I1104" s="52" t="s">
        <v>1881</v>
      </c>
      <c r="M1104" s="58" t="s">
        <v>25</v>
      </c>
      <c r="N1104" s="55"/>
      <c r="O1104" s="55"/>
    </row>
    <row r="1105" spans="1:21">
      <c r="A1105" s="74">
        <v>22073971</v>
      </c>
      <c r="B1105" s="234" t="s">
        <v>9877</v>
      </c>
      <c r="C1105" s="234" t="s">
        <v>9878</v>
      </c>
      <c r="D1105" s="235">
        <v>26077</v>
      </c>
      <c r="E1105" s="236"/>
      <c r="F1105" s="237">
        <v>3815727614</v>
      </c>
      <c r="G1105" s="234" t="s">
        <v>70</v>
      </c>
      <c r="H1105" s="238" t="s">
        <v>9951</v>
      </c>
      <c r="I1105" s="238" t="s">
        <v>4499</v>
      </c>
      <c r="J1105" s="234" t="s">
        <v>9987</v>
      </c>
      <c r="K1105" s="234" t="s">
        <v>8745</v>
      </c>
      <c r="L1105" s="234"/>
      <c r="M1105" s="238" t="s">
        <v>9921</v>
      </c>
      <c r="N1105" s="234"/>
      <c r="O1105" s="234"/>
      <c r="P1105" s="234"/>
      <c r="Q1105" s="234"/>
      <c r="R1105" s="234"/>
      <c r="S1105" s="234"/>
      <c r="T1105" s="234"/>
      <c r="U1105" s="234"/>
    </row>
    <row r="1106" spans="1:21">
      <c r="A1106" s="47">
        <v>22086112</v>
      </c>
      <c r="B1106" s="46" t="s">
        <v>2087</v>
      </c>
      <c r="C1106" s="46" t="s">
        <v>2896</v>
      </c>
      <c r="D1106" s="48" t="s">
        <v>2898</v>
      </c>
      <c r="E1106" s="49">
        <f ca="1">IF(D1106="","",YEARFRAC(D1106,TODAY(),1))</f>
        <v>56.841861782477345</v>
      </c>
      <c r="F1106" s="50" t="s">
        <v>2899</v>
      </c>
      <c r="G1106" s="51" t="s">
        <v>70</v>
      </c>
      <c r="H1106" s="52" t="s">
        <v>2900</v>
      </c>
      <c r="I1106" s="52" t="s">
        <v>2893</v>
      </c>
      <c r="J1106" s="46" t="s">
        <v>2901</v>
      </c>
      <c r="K1106" s="46" t="s">
        <v>159</v>
      </c>
      <c r="L1106" s="46" t="s">
        <v>52</v>
      </c>
      <c r="M1106" s="52" t="s">
        <v>2897</v>
      </c>
      <c r="N1106" s="46" t="s">
        <v>2894</v>
      </c>
      <c r="O1106" s="46" t="s">
        <v>2895</v>
      </c>
      <c r="P1106" s="46" t="s">
        <v>59</v>
      </c>
      <c r="Q1106" s="46" t="s">
        <v>60</v>
      </c>
      <c r="R1106" s="46" t="s">
        <v>61</v>
      </c>
      <c r="S1106" s="46" t="s">
        <v>62</v>
      </c>
      <c r="T1106" s="46" t="s">
        <v>12</v>
      </c>
      <c r="U1106" s="46" t="s">
        <v>63</v>
      </c>
    </row>
    <row r="1107" spans="1:21">
      <c r="A1107" s="47">
        <v>22146852</v>
      </c>
      <c r="B1107" s="46" t="s">
        <v>2294</v>
      </c>
      <c r="C1107" s="46" t="s">
        <v>3525</v>
      </c>
      <c r="D1107" s="48" t="s">
        <v>52</v>
      </c>
      <c r="E1107" s="49" t="str">
        <f ca="1">IF(D1107="","",YEARFRAC(D1107,TODAY(),1))</f>
        <v/>
      </c>
      <c r="F1107" s="50" t="s">
        <v>3526</v>
      </c>
      <c r="G1107" s="51" t="s">
        <v>70</v>
      </c>
      <c r="H1107" s="52" t="s">
        <v>3527</v>
      </c>
      <c r="I1107" s="52" t="s">
        <v>3427</v>
      </c>
      <c r="J1107" s="46" t="s">
        <v>52</v>
      </c>
      <c r="K1107" s="46" t="s">
        <v>112</v>
      </c>
      <c r="L1107" s="46" t="s">
        <v>546</v>
      </c>
      <c r="M1107" s="52" t="s">
        <v>3528</v>
      </c>
      <c r="N1107" s="46" t="s">
        <v>931</v>
      </c>
      <c r="O1107" s="46" t="s">
        <v>3529</v>
      </c>
      <c r="P1107" s="46" t="s">
        <v>59</v>
      </c>
      <c r="Q1107" s="46" t="s">
        <v>60</v>
      </c>
      <c r="R1107" s="46" t="s">
        <v>61</v>
      </c>
      <c r="S1107" s="46" t="s">
        <v>62</v>
      </c>
      <c r="T1107" s="46" t="s">
        <v>12</v>
      </c>
      <c r="U1107" s="46" t="s">
        <v>63</v>
      </c>
    </row>
    <row r="1108" spans="1:21">
      <c r="A1108" s="47">
        <v>22180896</v>
      </c>
      <c r="B1108" s="46" t="s">
        <v>690</v>
      </c>
      <c r="C1108" s="46" t="s">
        <v>3544</v>
      </c>
      <c r="D1108" s="48" t="s">
        <v>9533</v>
      </c>
      <c r="E1108" s="49" t="s">
        <v>9331</v>
      </c>
      <c r="F1108" s="50" t="s">
        <v>9534</v>
      </c>
      <c r="G1108" s="51" t="s">
        <v>141</v>
      </c>
      <c r="H1108" s="52" t="s">
        <v>8765</v>
      </c>
      <c r="I1108" s="52" t="s">
        <v>4245</v>
      </c>
      <c r="J1108" s="46" t="s">
        <v>9535</v>
      </c>
      <c r="K1108" s="46" t="s">
        <v>81</v>
      </c>
      <c r="L1108" s="46" t="s">
        <v>546</v>
      </c>
      <c r="M1108" s="52" t="s">
        <v>9536</v>
      </c>
      <c r="N1108" s="46" t="s">
        <v>52</v>
      </c>
      <c r="O1108" s="46" t="s">
        <v>52</v>
      </c>
      <c r="P1108" s="46" t="s">
        <v>59</v>
      </c>
      <c r="Q1108" s="46" t="s">
        <v>60</v>
      </c>
      <c r="R1108" s="46" t="s">
        <v>61</v>
      </c>
      <c r="S1108" s="46" t="s">
        <v>62</v>
      </c>
      <c r="T1108" s="46" t="s">
        <v>12</v>
      </c>
      <c r="U1108" s="46" t="s">
        <v>63</v>
      </c>
    </row>
    <row r="1109" spans="1:21">
      <c r="A1109" s="47">
        <v>22181023</v>
      </c>
      <c r="B1109" s="46" t="s">
        <v>497</v>
      </c>
      <c r="C1109" s="52" t="s">
        <v>3884</v>
      </c>
      <c r="D1109" s="48">
        <v>26078</v>
      </c>
      <c r="E1109" s="49">
        <f t="shared" ref="E1109:E1140" ca="1" si="34">IF(D1109="","",YEARFRAC(D1109,TODAY(),1))</f>
        <v>55.09924709103354</v>
      </c>
      <c r="F1109" s="50">
        <v>154173309</v>
      </c>
      <c r="G1109" s="51" t="s">
        <v>23</v>
      </c>
      <c r="I1109" s="52" t="s">
        <v>3630</v>
      </c>
      <c r="J1109" s="46" t="s">
        <v>3885</v>
      </c>
      <c r="M1109" s="53" t="s">
        <v>3886</v>
      </c>
      <c r="N1109" s="55">
        <v>4107325</v>
      </c>
      <c r="O1109" s="55"/>
    </row>
    <row r="1110" spans="1:21">
      <c r="A1110" s="47">
        <v>22181097</v>
      </c>
      <c r="B1110" s="46" t="s">
        <v>4043</v>
      </c>
      <c r="C1110" s="46" t="s">
        <v>4044</v>
      </c>
      <c r="D1110" s="48" t="s">
        <v>52</v>
      </c>
      <c r="E1110" s="49" t="str">
        <f t="shared" ca="1" si="34"/>
        <v/>
      </c>
      <c r="F1110" s="50" t="s">
        <v>4045</v>
      </c>
      <c r="G1110" s="51" t="s">
        <v>78</v>
      </c>
      <c r="H1110" s="52" t="s">
        <v>52</v>
      </c>
      <c r="I1110" s="52" t="s">
        <v>3999</v>
      </c>
      <c r="J1110" s="46" t="s">
        <v>4046</v>
      </c>
      <c r="K1110" s="46" t="s">
        <v>81</v>
      </c>
      <c r="L1110" s="46" t="s">
        <v>52</v>
      </c>
      <c r="M1110" s="53" t="s">
        <v>4047</v>
      </c>
      <c r="N1110" s="46" t="s">
        <v>4010</v>
      </c>
      <c r="O1110" s="46" t="s">
        <v>52</v>
      </c>
      <c r="P1110" s="46" t="s">
        <v>59</v>
      </c>
      <c r="Q1110" s="46" t="s">
        <v>60</v>
      </c>
      <c r="R1110" s="46" t="s">
        <v>61</v>
      </c>
      <c r="S1110" s="46" t="s">
        <v>62</v>
      </c>
      <c r="T1110" s="46" t="s">
        <v>12</v>
      </c>
      <c r="U1110" s="46" t="s">
        <v>63</v>
      </c>
    </row>
    <row r="1111" spans="1:21">
      <c r="A1111" s="47">
        <v>22181386</v>
      </c>
      <c r="B1111" s="46" t="s">
        <v>2547</v>
      </c>
      <c r="C1111" s="52" t="s">
        <v>2548</v>
      </c>
      <c r="D1111" s="48">
        <v>26095</v>
      </c>
      <c r="E1111" s="49">
        <f t="shared" ca="1" si="34"/>
        <v>55.052703627652292</v>
      </c>
      <c r="G1111" s="51" t="s">
        <v>37</v>
      </c>
      <c r="I1111" s="59" t="s">
        <v>908</v>
      </c>
      <c r="J1111" s="46" t="s">
        <v>982</v>
      </c>
      <c r="M1111" s="58" t="s">
        <v>25</v>
      </c>
      <c r="N1111" s="55"/>
      <c r="O1111" s="55"/>
    </row>
    <row r="1112" spans="1:21">
      <c r="A1112" s="47">
        <v>22211664</v>
      </c>
      <c r="B1112" s="46" t="s">
        <v>5551</v>
      </c>
      <c r="C1112" s="46" t="s">
        <v>5552</v>
      </c>
      <c r="D1112" s="48" t="s">
        <v>5553</v>
      </c>
      <c r="E1112" s="49">
        <f t="shared" ca="1" si="34"/>
        <v>54.882956878850102</v>
      </c>
      <c r="F1112" s="50" t="s">
        <v>5554</v>
      </c>
      <c r="G1112" s="51" t="s">
        <v>78</v>
      </c>
      <c r="H1112" s="52" t="s">
        <v>5555</v>
      </c>
      <c r="I1112" s="52" t="s">
        <v>5494</v>
      </c>
      <c r="J1112" s="46" t="s">
        <v>5556</v>
      </c>
      <c r="K1112" s="46" t="s">
        <v>81</v>
      </c>
      <c r="L1112" s="46" t="s">
        <v>1241</v>
      </c>
      <c r="M1112" s="53" t="s">
        <v>5557</v>
      </c>
      <c r="N1112" s="46" t="s">
        <v>5558</v>
      </c>
      <c r="O1112" s="46" t="s">
        <v>52</v>
      </c>
      <c r="P1112" s="46" t="s">
        <v>59</v>
      </c>
      <c r="Q1112" s="46" t="s">
        <v>60</v>
      </c>
      <c r="R1112" s="46" t="s">
        <v>61</v>
      </c>
      <c r="S1112" s="46" t="s">
        <v>62</v>
      </c>
      <c r="T1112" s="46" t="s">
        <v>12</v>
      </c>
      <c r="U1112" s="46" t="s">
        <v>63</v>
      </c>
    </row>
    <row r="1113" spans="1:21">
      <c r="A1113" s="47">
        <v>22263016</v>
      </c>
      <c r="B1113" s="46" t="s">
        <v>1613</v>
      </c>
      <c r="C1113" s="52" t="s">
        <v>3852</v>
      </c>
      <c r="D1113" s="48">
        <v>28625</v>
      </c>
      <c r="E1113" s="49">
        <f t="shared" ca="1" si="34"/>
        <v>48.126613398893667</v>
      </c>
      <c r="F1113" s="50">
        <v>153204911</v>
      </c>
      <c r="G1113" s="51" t="s">
        <v>23</v>
      </c>
      <c r="I1113" s="52" t="s">
        <v>3630</v>
      </c>
      <c r="J1113" s="46" t="s">
        <v>48</v>
      </c>
      <c r="M1113" s="53" t="s">
        <v>3853</v>
      </c>
      <c r="N1113" s="55"/>
      <c r="O1113" s="55"/>
    </row>
    <row r="1114" spans="1:21">
      <c r="A1114" s="47">
        <v>22263035</v>
      </c>
      <c r="B1114" s="46" t="s">
        <v>6790</v>
      </c>
      <c r="C1114" s="46" t="s">
        <v>6791</v>
      </c>
      <c r="D1114" s="48" t="s">
        <v>52</v>
      </c>
      <c r="E1114" s="49" t="str">
        <f t="shared" ca="1" si="34"/>
        <v/>
      </c>
      <c r="F1114" s="50" t="s">
        <v>6792</v>
      </c>
      <c r="G1114" s="51" t="s">
        <v>86</v>
      </c>
      <c r="H1114" s="52" t="s">
        <v>6793</v>
      </c>
      <c r="I1114" s="52" t="s">
        <v>908</v>
      </c>
      <c r="J1114" s="46" t="s">
        <v>6794</v>
      </c>
      <c r="K1114" s="46" t="s">
        <v>112</v>
      </c>
      <c r="L1114" s="46" t="s">
        <v>546</v>
      </c>
      <c r="M1114" s="52" t="s">
        <v>6795</v>
      </c>
      <c r="N1114" s="46" t="s">
        <v>52</v>
      </c>
      <c r="O1114" s="46" t="s">
        <v>52</v>
      </c>
      <c r="P1114" s="46" t="s">
        <v>59</v>
      </c>
      <c r="Q1114" s="46" t="s">
        <v>60</v>
      </c>
      <c r="R1114" s="46" t="s">
        <v>61</v>
      </c>
      <c r="S1114" s="46" t="s">
        <v>62</v>
      </c>
      <c r="T1114" s="46" t="s">
        <v>12</v>
      </c>
      <c r="U1114" s="46" t="s">
        <v>63</v>
      </c>
    </row>
    <row r="1115" spans="1:21">
      <c r="A1115" s="47">
        <v>22263073</v>
      </c>
      <c r="B1115" s="46" t="s">
        <v>7372</v>
      </c>
      <c r="C1115" s="52" t="s">
        <v>1859</v>
      </c>
      <c r="D1115" s="48" t="s">
        <v>52</v>
      </c>
      <c r="E1115" s="49" t="str">
        <f t="shared" ca="1" si="34"/>
        <v/>
      </c>
      <c r="F1115" s="50" t="s">
        <v>1860</v>
      </c>
      <c r="G1115" s="51" t="s">
        <v>141</v>
      </c>
      <c r="H1115" s="52" t="s">
        <v>52</v>
      </c>
      <c r="I1115" s="52" t="s">
        <v>1657</v>
      </c>
      <c r="J1115" s="46" t="s">
        <v>1861</v>
      </c>
      <c r="K1115" s="46" t="s">
        <v>81</v>
      </c>
      <c r="L1115" s="46" t="s">
        <v>52</v>
      </c>
      <c r="M1115" s="53" t="s">
        <v>1862</v>
      </c>
      <c r="N1115" s="55" t="s">
        <v>1863</v>
      </c>
      <c r="O1115" s="55" t="s">
        <v>52</v>
      </c>
      <c r="P1115" s="46" t="s">
        <v>59</v>
      </c>
      <c r="Q1115" s="46" t="s">
        <v>60</v>
      </c>
      <c r="R1115" s="46" t="s">
        <v>61</v>
      </c>
      <c r="S1115" s="46" t="s">
        <v>62</v>
      </c>
      <c r="T1115" s="46" t="s">
        <v>12</v>
      </c>
      <c r="U1115" s="46" t="s">
        <v>63</v>
      </c>
    </row>
    <row r="1116" spans="1:21">
      <c r="A1116" s="47">
        <v>22263182</v>
      </c>
      <c r="B1116" s="46" t="s">
        <v>4490</v>
      </c>
      <c r="C1116" s="46" t="s">
        <v>1103</v>
      </c>
      <c r="D1116" s="48" t="s">
        <v>52</v>
      </c>
      <c r="E1116" s="49" t="str">
        <f t="shared" ca="1" si="34"/>
        <v/>
      </c>
      <c r="F1116" s="50" t="s">
        <v>4491</v>
      </c>
      <c r="G1116" s="51" t="s">
        <v>70</v>
      </c>
      <c r="H1116" s="52" t="s">
        <v>52</v>
      </c>
      <c r="I1116" s="52" t="s">
        <v>4245</v>
      </c>
      <c r="J1116" s="46" t="s">
        <v>52</v>
      </c>
      <c r="K1116" s="46" t="s">
        <v>81</v>
      </c>
      <c r="L1116" s="46" t="s">
        <v>546</v>
      </c>
      <c r="M1116" s="52" t="s">
        <v>582</v>
      </c>
      <c r="N1116" s="46" t="s">
        <v>52</v>
      </c>
      <c r="O1116" s="46" t="s">
        <v>52</v>
      </c>
      <c r="P1116" s="46" t="s">
        <v>59</v>
      </c>
      <c r="Q1116" s="46" t="s">
        <v>60</v>
      </c>
      <c r="R1116" s="46" t="s">
        <v>61</v>
      </c>
      <c r="S1116" s="46" t="s">
        <v>62</v>
      </c>
      <c r="T1116" s="46" t="s">
        <v>12</v>
      </c>
      <c r="U1116" s="46" t="s">
        <v>63</v>
      </c>
    </row>
    <row r="1117" spans="1:21">
      <c r="A1117" s="47">
        <v>22263363</v>
      </c>
      <c r="B1117" s="46" t="s">
        <v>472</v>
      </c>
      <c r="C1117" s="46" t="s">
        <v>473</v>
      </c>
      <c r="D1117" s="48" t="s">
        <v>52</v>
      </c>
      <c r="E1117" s="49" t="str">
        <f t="shared" ca="1" si="34"/>
        <v/>
      </c>
      <c r="F1117" s="50" t="s">
        <v>474</v>
      </c>
      <c r="G1117" s="51" t="s">
        <v>70</v>
      </c>
      <c r="H1117" s="52" t="s">
        <v>52</v>
      </c>
      <c r="I1117" s="52" t="s">
        <v>24</v>
      </c>
      <c r="J1117" s="46" t="s">
        <v>52</v>
      </c>
      <c r="K1117" s="46" t="s">
        <v>81</v>
      </c>
      <c r="L1117" s="46" t="s">
        <v>52</v>
      </c>
      <c r="M1117" s="53" t="s">
        <v>475</v>
      </c>
      <c r="N1117" s="46" t="s">
        <v>143</v>
      </c>
      <c r="O1117" s="46" t="s">
        <v>52</v>
      </c>
      <c r="P1117" s="46" t="s">
        <v>59</v>
      </c>
      <c r="Q1117" s="46" t="s">
        <v>60</v>
      </c>
      <c r="R1117" s="46" t="s">
        <v>61</v>
      </c>
      <c r="S1117" s="46" t="s">
        <v>62</v>
      </c>
      <c r="T1117" s="46" t="s">
        <v>12</v>
      </c>
      <c r="U1117" s="46" t="s">
        <v>63</v>
      </c>
    </row>
    <row r="1118" spans="1:21">
      <c r="A1118" s="47">
        <v>22263816</v>
      </c>
      <c r="B1118" s="46" t="s">
        <v>1613</v>
      </c>
      <c r="C1118" s="46" t="s">
        <v>3852</v>
      </c>
      <c r="D1118" s="48" t="s">
        <v>52</v>
      </c>
      <c r="E1118" s="49" t="str">
        <f t="shared" ca="1" si="34"/>
        <v/>
      </c>
      <c r="F1118" s="50" t="s">
        <v>3898</v>
      </c>
      <c r="G1118" s="51" t="s">
        <v>86</v>
      </c>
      <c r="H1118" s="52" t="s">
        <v>52</v>
      </c>
      <c r="I1118" s="52" t="s">
        <v>3630</v>
      </c>
      <c r="J1118" s="46" t="s">
        <v>3899</v>
      </c>
      <c r="K1118" s="46" t="s">
        <v>81</v>
      </c>
      <c r="L1118" s="46" t="s">
        <v>1782</v>
      </c>
      <c r="M1118" s="52" t="s">
        <v>3900</v>
      </c>
      <c r="N1118" s="46" t="s">
        <v>3723</v>
      </c>
      <c r="O1118" s="46" t="s">
        <v>52</v>
      </c>
      <c r="P1118" s="46" t="s">
        <v>59</v>
      </c>
      <c r="Q1118" s="46" t="s">
        <v>60</v>
      </c>
      <c r="R1118" s="46" t="s">
        <v>61</v>
      </c>
      <c r="S1118" s="46" t="s">
        <v>62</v>
      </c>
      <c r="T1118" s="46" t="s">
        <v>12</v>
      </c>
      <c r="U1118" s="46" t="s">
        <v>63</v>
      </c>
    </row>
    <row r="1119" spans="1:21">
      <c r="A1119" s="64">
        <v>22263820</v>
      </c>
      <c r="B1119" s="61" t="s">
        <v>4743</v>
      </c>
      <c r="C1119" s="62" t="s">
        <v>6144</v>
      </c>
      <c r="D1119" s="48">
        <v>26160</v>
      </c>
      <c r="E1119" s="49">
        <f t="shared" ca="1" si="34"/>
        <v>54.874743326488705</v>
      </c>
      <c r="F1119" s="63">
        <v>156124747</v>
      </c>
      <c r="G1119" s="51" t="s">
        <v>23</v>
      </c>
      <c r="I1119" s="52" t="s">
        <v>23</v>
      </c>
      <c r="J1119" s="61" t="s">
        <v>800</v>
      </c>
      <c r="K1119" s="61"/>
      <c r="L1119" s="61"/>
      <c r="M1119" s="53" t="s">
        <v>6145</v>
      </c>
      <c r="N1119" s="55"/>
      <c r="O1119" s="55"/>
    </row>
    <row r="1120" spans="1:21">
      <c r="A1120" s="47">
        <v>22263937</v>
      </c>
      <c r="B1120" s="46" t="s">
        <v>419</v>
      </c>
      <c r="C1120" s="46" t="s">
        <v>420</v>
      </c>
      <c r="D1120" s="48">
        <v>26160</v>
      </c>
      <c r="E1120" s="49">
        <f t="shared" ca="1" si="34"/>
        <v>54.874743326488705</v>
      </c>
      <c r="F1120" s="50">
        <v>154678792</v>
      </c>
      <c r="G1120" s="51" t="s">
        <v>70</v>
      </c>
      <c r="I1120" s="52" t="s">
        <v>24</v>
      </c>
      <c r="J1120" s="46" t="s">
        <v>316</v>
      </c>
      <c r="M1120" s="53" t="s">
        <v>421</v>
      </c>
      <c r="N1120" s="46">
        <v>154678732</v>
      </c>
      <c r="Q1120" s="46">
        <v>2</v>
      </c>
    </row>
    <row r="1121" spans="1:21">
      <c r="A1121" s="47">
        <v>22264125</v>
      </c>
      <c r="B1121" s="46" t="s">
        <v>218</v>
      </c>
      <c r="C1121" s="52" t="s">
        <v>219</v>
      </c>
      <c r="E1121" s="49" t="str">
        <f t="shared" ca="1" si="34"/>
        <v/>
      </c>
      <c r="F1121" s="50">
        <v>155218529</v>
      </c>
      <c r="G1121" s="51" t="s">
        <v>70</v>
      </c>
      <c r="I1121" s="52" t="s">
        <v>1497</v>
      </c>
      <c r="J1121" s="46" t="s">
        <v>224</v>
      </c>
      <c r="M1121" s="53" t="s">
        <v>1530</v>
      </c>
      <c r="N1121" s="55">
        <v>4330633</v>
      </c>
      <c r="O1121" s="55"/>
    </row>
    <row r="1122" spans="1:21">
      <c r="A1122" s="47">
        <v>22264234</v>
      </c>
      <c r="B1122" s="46" t="s">
        <v>2484</v>
      </c>
      <c r="C1122" s="46" t="s">
        <v>427</v>
      </c>
      <c r="E1122" s="49" t="str">
        <f t="shared" ca="1" si="34"/>
        <v/>
      </c>
      <c r="F1122" s="50">
        <v>154163173</v>
      </c>
      <c r="G1122" s="51" t="s">
        <v>23</v>
      </c>
      <c r="I1122" s="59" t="s">
        <v>908</v>
      </c>
      <c r="M1122" s="53" t="s">
        <v>2485</v>
      </c>
    </row>
    <row r="1123" spans="1:21">
      <c r="A1123" s="47">
        <v>22264316</v>
      </c>
      <c r="B1123" s="46" t="s">
        <v>2687</v>
      </c>
      <c r="C1123" s="46" t="s">
        <v>2688</v>
      </c>
      <c r="D1123" s="48" t="s">
        <v>52</v>
      </c>
      <c r="E1123" s="49" t="str">
        <f t="shared" ca="1" si="34"/>
        <v/>
      </c>
      <c r="F1123" s="50" t="s">
        <v>2689</v>
      </c>
      <c r="G1123" s="51" t="s">
        <v>70</v>
      </c>
      <c r="H1123" s="52" t="s">
        <v>508</v>
      </c>
      <c r="I1123" s="52" t="s">
        <v>2681</v>
      </c>
      <c r="J1123" s="46" t="s">
        <v>2690</v>
      </c>
      <c r="K1123" s="46" t="s">
        <v>52</v>
      </c>
      <c r="L1123" s="46" t="s">
        <v>52</v>
      </c>
      <c r="M1123" s="52" t="s">
        <v>2691</v>
      </c>
      <c r="N1123" s="46" t="s">
        <v>931</v>
      </c>
      <c r="O1123" s="46" t="s">
        <v>2692</v>
      </c>
      <c r="P1123" s="46" t="s">
        <v>59</v>
      </c>
      <c r="Q1123" s="46" t="s">
        <v>60</v>
      </c>
      <c r="R1123" s="46" t="s">
        <v>61</v>
      </c>
      <c r="S1123" s="46" t="s">
        <v>62</v>
      </c>
      <c r="T1123" s="46" t="s">
        <v>12</v>
      </c>
      <c r="U1123" s="46" t="s">
        <v>63</v>
      </c>
    </row>
    <row r="1124" spans="1:21">
      <c r="A1124" s="47">
        <v>22264426</v>
      </c>
      <c r="B1124" s="46" t="s">
        <v>4793</v>
      </c>
      <c r="C1124" s="52" t="s">
        <v>1249</v>
      </c>
      <c r="E1124" s="49" t="str">
        <f t="shared" ca="1" si="34"/>
        <v/>
      </c>
      <c r="F1124" s="50">
        <v>155021839</v>
      </c>
      <c r="G1124" s="51" t="s">
        <v>23</v>
      </c>
      <c r="I1124" s="65" t="s">
        <v>4708</v>
      </c>
      <c r="J1124" s="46" t="s">
        <v>166</v>
      </c>
      <c r="M1124" s="53" t="s">
        <v>4794</v>
      </c>
      <c r="N1124" s="55"/>
      <c r="O1124" s="55"/>
    </row>
    <row r="1125" spans="1:21">
      <c r="A1125" s="47">
        <v>22264658</v>
      </c>
      <c r="B1125" s="46" t="s">
        <v>4700</v>
      </c>
      <c r="C1125" s="46" t="s">
        <v>4701</v>
      </c>
      <c r="D1125" s="48" t="s">
        <v>52</v>
      </c>
      <c r="E1125" s="49" t="str">
        <f t="shared" ca="1" si="34"/>
        <v/>
      </c>
      <c r="F1125" s="50" t="s">
        <v>4702</v>
      </c>
      <c r="G1125" s="51" t="s">
        <v>70</v>
      </c>
      <c r="H1125" s="52" t="s">
        <v>3716</v>
      </c>
      <c r="I1125" s="52" t="s">
        <v>4499</v>
      </c>
      <c r="J1125" s="46" t="s">
        <v>4703</v>
      </c>
      <c r="K1125" s="46" t="s">
        <v>81</v>
      </c>
      <c r="L1125" s="46" t="s">
        <v>546</v>
      </c>
      <c r="M1125" s="52" t="s">
        <v>4704</v>
      </c>
      <c r="N1125" s="46" t="s">
        <v>4705</v>
      </c>
      <c r="O1125" s="46" t="s">
        <v>52</v>
      </c>
      <c r="P1125" s="46" t="s">
        <v>59</v>
      </c>
      <c r="Q1125" s="46" t="s">
        <v>60</v>
      </c>
      <c r="R1125" s="46" t="s">
        <v>61</v>
      </c>
      <c r="S1125" s="46" t="s">
        <v>62</v>
      </c>
      <c r="T1125" s="46" t="s">
        <v>12</v>
      </c>
      <c r="U1125" s="46" t="s">
        <v>63</v>
      </c>
    </row>
    <row r="1126" spans="1:21">
      <c r="A1126" s="47">
        <v>22264675</v>
      </c>
      <c r="B1126" s="46" t="s">
        <v>399</v>
      </c>
      <c r="C1126" s="55" t="s">
        <v>400</v>
      </c>
      <c r="D1126" s="48" t="s">
        <v>52</v>
      </c>
      <c r="E1126" s="49" t="str">
        <f t="shared" ca="1" si="34"/>
        <v/>
      </c>
      <c r="F1126" s="50" t="s">
        <v>401</v>
      </c>
      <c r="G1126" s="51" t="s">
        <v>70</v>
      </c>
      <c r="H1126" s="52" t="s">
        <v>402</v>
      </c>
      <c r="I1126" s="52" t="s">
        <v>24</v>
      </c>
      <c r="J1126" s="46" t="s">
        <v>316</v>
      </c>
      <c r="K1126" s="46" t="s">
        <v>390</v>
      </c>
      <c r="L1126" s="46" t="s">
        <v>52</v>
      </c>
      <c r="M1126" s="53" t="s">
        <v>403</v>
      </c>
      <c r="N1126" s="46" t="s">
        <v>404</v>
      </c>
      <c r="O1126" s="46" t="s">
        <v>52</v>
      </c>
      <c r="P1126" s="46" t="s">
        <v>59</v>
      </c>
      <c r="Q1126" s="46" t="s">
        <v>60</v>
      </c>
      <c r="R1126" s="46" t="s">
        <v>61</v>
      </c>
      <c r="S1126" s="46" t="s">
        <v>62</v>
      </c>
      <c r="T1126" s="46" t="s">
        <v>12</v>
      </c>
      <c r="U1126" s="46" t="s">
        <v>63</v>
      </c>
    </row>
    <row r="1127" spans="1:21">
      <c r="A1127" s="47">
        <v>22264769</v>
      </c>
      <c r="B1127" s="46" t="s">
        <v>218</v>
      </c>
      <c r="C1127" s="55" t="s">
        <v>2499</v>
      </c>
      <c r="D1127" s="48">
        <v>26251</v>
      </c>
      <c r="E1127" s="49">
        <f t="shared" ca="1" si="34"/>
        <v>54.625598904859686</v>
      </c>
      <c r="F1127" s="50">
        <v>156896659</v>
      </c>
      <c r="G1127" s="51" t="s">
        <v>86</v>
      </c>
      <c r="I1127" s="59" t="s">
        <v>908</v>
      </c>
      <c r="J1127" s="55"/>
      <c r="K1127" s="55"/>
      <c r="L1127" s="55"/>
      <c r="M1127" s="53" t="s">
        <v>2500</v>
      </c>
      <c r="N1127" s="55">
        <v>4215348</v>
      </c>
      <c r="O1127" s="55">
        <v>36</v>
      </c>
    </row>
    <row r="1128" spans="1:21">
      <c r="A1128" s="47">
        <v>22264787</v>
      </c>
      <c r="B1128" s="46" t="s">
        <v>3229</v>
      </c>
      <c r="C1128" s="52" t="s">
        <v>3230</v>
      </c>
      <c r="D1128" s="48">
        <v>26259</v>
      </c>
      <c r="E1128" s="49">
        <f t="shared" ca="1" si="34"/>
        <v>54.603696098562629</v>
      </c>
      <c r="F1128" s="50">
        <v>155942275</v>
      </c>
      <c r="G1128" s="51" t="s">
        <v>70</v>
      </c>
      <c r="I1128" s="52" t="s">
        <v>3166</v>
      </c>
      <c r="J1128" s="46" t="s">
        <v>3231</v>
      </c>
      <c r="M1128" s="53" t="s">
        <v>3232</v>
      </c>
      <c r="N1128" s="55">
        <v>4006858</v>
      </c>
      <c r="O1128" s="55">
        <v>27</v>
      </c>
    </row>
    <row r="1129" spans="1:21">
      <c r="A1129" s="47">
        <v>22264814</v>
      </c>
      <c r="B1129" s="46" t="s">
        <v>6412</v>
      </c>
      <c r="C1129" s="52" t="s">
        <v>6413</v>
      </c>
      <c r="D1129" s="48">
        <v>26265</v>
      </c>
      <c r="E1129" s="49">
        <f t="shared" ca="1" si="34"/>
        <v>54.587268993839835</v>
      </c>
      <c r="F1129" s="50">
        <v>154693555</v>
      </c>
      <c r="G1129" s="51" t="s">
        <v>23</v>
      </c>
      <c r="I1129" s="52" t="s">
        <v>23</v>
      </c>
      <c r="J1129" s="46" t="s">
        <v>6414</v>
      </c>
      <c r="M1129" s="53" t="s">
        <v>4840</v>
      </c>
      <c r="N1129" s="55"/>
      <c r="O1129" s="55"/>
    </row>
    <row r="1130" spans="1:21">
      <c r="A1130" s="47">
        <v>22264831</v>
      </c>
      <c r="B1130" s="46" t="s">
        <v>5621</v>
      </c>
      <c r="C1130" s="46" t="s">
        <v>5622</v>
      </c>
      <c r="D1130" s="48">
        <v>26263</v>
      </c>
      <c r="E1130" s="49">
        <f t="shared" ca="1" si="34"/>
        <v>54.592744695414098</v>
      </c>
      <c r="F1130" s="50">
        <v>155022843</v>
      </c>
      <c r="G1130" s="51" t="s">
        <v>70</v>
      </c>
      <c r="I1130" s="52" t="s">
        <v>5494</v>
      </c>
      <c r="J1130" s="46" t="s">
        <v>2177</v>
      </c>
      <c r="M1130" s="53" t="s">
        <v>5623</v>
      </c>
      <c r="N1130" s="46">
        <v>4218077</v>
      </c>
    </row>
    <row r="1131" spans="1:21">
      <c r="A1131" s="47">
        <v>22264981</v>
      </c>
      <c r="B1131" s="46" t="s">
        <v>5885</v>
      </c>
      <c r="C1131" s="46" t="s">
        <v>5886</v>
      </c>
      <c r="D1131" s="48" t="s">
        <v>52</v>
      </c>
      <c r="E1131" s="49" t="str">
        <f t="shared" ca="1" si="34"/>
        <v/>
      </c>
      <c r="F1131" s="50" t="s">
        <v>5887</v>
      </c>
      <c r="G1131" s="51" t="s">
        <v>78</v>
      </c>
      <c r="H1131" s="52" t="s">
        <v>5888</v>
      </c>
      <c r="I1131" s="52" t="s">
        <v>5881</v>
      </c>
      <c r="J1131" s="46" t="s">
        <v>5404</v>
      </c>
      <c r="K1131" s="46" t="s">
        <v>81</v>
      </c>
      <c r="L1131" s="46" t="s">
        <v>52</v>
      </c>
      <c r="M1131" s="52" t="s">
        <v>5889</v>
      </c>
      <c r="N1131" s="46" t="s">
        <v>5405</v>
      </c>
      <c r="O1131" s="46" t="s">
        <v>52</v>
      </c>
      <c r="P1131" s="46" t="s">
        <v>59</v>
      </c>
      <c r="Q1131" s="46" t="s">
        <v>60</v>
      </c>
      <c r="R1131" s="46" t="s">
        <v>61</v>
      </c>
      <c r="S1131" s="46" t="s">
        <v>62</v>
      </c>
      <c r="T1131" s="46" t="s">
        <v>12</v>
      </c>
      <c r="U1131" s="46" t="s">
        <v>63</v>
      </c>
    </row>
    <row r="1132" spans="1:21">
      <c r="A1132" s="47">
        <v>22280512</v>
      </c>
      <c r="B1132" s="46" t="s">
        <v>4585</v>
      </c>
      <c r="C1132" s="46" t="s">
        <v>902</v>
      </c>
      <c r="D1132" s="48" t="s">
        <v>4586</v>
      </c>
      <c r="E1132" s="49">
        <f t="shared" ca="1" si="34"/>
        <v>54.600958247775495</v>
      </c>
      <c r="F1132" s="50" t="s">
        <v>4587</v>
      </c>
      <c r="G1132" s="51" t="s">
        <v>70</v>
      </c>
      <c r="H1132" s="52" t="s">
        <v>4588</v>
      </c>
      <c r="I1132" s="52" t="s">
        <v>4499</v>
      </c>
      <c r="J1132" s="46" t="s">
        <v>4589</v>
      </c>
      <c r="K1132" s="46" t="s">
        <v>390</v>
      </c>
      <c r="L1132" s="46" t="s">
        <v>1338</v>
      </c>
      <c r="M1132" s="53" t="s">
        <v>4590</v>
      </c>
      <c r="N1132" s="46" t="s">
        <v>52</v>
      </c>
      <c r="O1132" s="46" t="s">
        <v>52</v>
      </c>
      <c r="P1132" s="46" t="s">
        <v>59</v>
      </c>
      <c r="Q1132" s="46" t="s">
        <v>60</v>
      </c>
      <c r="R1132" s="46" t="s">
        <v>61</v>
      </c>
      <c r="S1132" s="46" t="s">
        <v>62</v>
      </c>
      <c r="T1132" s="46" t="s">
        <v>12</v>
      </c>
      <c r="U1132" s="46" t="s">
        <v>63</v>
      </c>
    </row>
    <row r="1133" spans="1:21">
      <c r="A1133" s="47">
        <v>22302167</v>
      </c>
      <c r="B1133" s="46" t="s">
        <v>704</v>
      </c>
      <c r="C1133" s="46" t="s">
        <v>705</v>
      </c>
      <c r="E1133" s="49" t="str">
        <f t="shared" ca="1" si="34"/>
        <v/>
      </c>
      <c r="F1133" s="50">
        <v>156044919</v>
      </c>
      <c r="G1133" s="51" t="s">
        <v>23</v>
      </c>
      <c r="I1133" s="52" t="s">
        <v>594</v>
      </c>
      <c r="M1133" s="53" t="s">
        <v>706</v>
      </c>
    </row>
    <row r="1134" spans="1:21">
      <c r="A1134" s="47">
        <v>22303060</v>
      </c>
      <c r="B1134" s="46" t="s">
        <v>6270</v>
      </c>
      <c r="C1134" s="46" t="s">
        <v>233</v>
      </c>
      <c r="D1134" s="48" t="s">
        <v>6271</v>
      </c>
      <c r="E1134" s="49">
        <f t="shared" ca="1" si="34"/>
        <v>54.962354551676931</v>
      </c>
      <c r="F1134" s="50" t="s">
        <v>6272</v>
      </c>
      <c r="G1134" s="51" t="s">
        <v>78</v>
      </c>
      <c r="H1134" s="52" t="s">
        <v>6273</v>
      </c>
      <c r="I1134" s="52" t="s">
        <v>23</v>
      </c>
      <c r="J1134" s="46" t="s">
        <v>81</v>
      </c>
      <c r="K1134" s="46" t="s">
        <v>3035</v>
      </c>
      <c r="L1134" s="46" t="s">
        <v>6274</v>
      </c>
      <c r="M1134" s="58" t="s">
        <v>25</v>
      </c>
      <c r="N1134" s="46" t="s">
        <v>6275</v>
      </c>
      <c r="O1134" s="46" t="s">
        <v>59</v>
      </c>
      <c r="P1134" s="46" t="s">
        <v>60</v>
      </c>
      <c r="Q1134" s="46" t="s">
        <v>61</v>
      </c>
      <c r="R1134" s="46" t="s">
        <v>62</v>
      </c>
      <c r="S1134" s="46" t="s">
        <v>12</v>
      </c>
      <c r="T1134" s="46" t="s">
        <v>63</v>
      </c>
    </row>
    <row r="1135" spans="1:21">
      <c r="A1135" s="64">
        <v>22331049</v>
      </c>
      <c r="B1135" s="61" t="s">
        <v>3951</v>
      </c>
      <c r="C1135" s="62" t="s">
        <v>3952</v>
      </c>
      <c r="E1135" s="49" t="str">
        <f t="shared" ca="1" si="34"/>
        <v/>
      </c>
      <c r="F1135" s="63"/>
      <c r="G1135" s="51" t="s">
        <v>23</v>
      </c>
      <c r="I1135" s="52" t="s">
        <v>3922</v>
      </c>
      <c r="J1135" s="61" t="s">
        <v>3953</v>
      </c>
      <c r="K1135" s="61"/>
      <c r="L1135" s="61"/>
      <c r="M1135" s="53" t="s">
        <v>3954</v>
      </c>
      <c r="N1135" s="55"/>
      <c r="O1135" s="55"/>
    </row>
    <row r="1136" spans="1:21">
      <c r="A1136" s="47">
        <v>22331107</v>
      </c>
      <c r="B1136" s="46" t="s">
        <v>3061</v>
      </c>
      <c r="C1136" s="46" t="s">
        <v>414</v>
      </c>
      <c r="D1136" s="48" t="s">
        <v>52</v>
      </c>
      <c r="E1136" s="49" t="str">
        <f t="shared" ca="1" si="34"/>
        <v/>
      </c>
      <c r="F1136" s="50" t="s">
        <v>3062</v>
      </c>
      <c r="G1136" s="51" t="s">
        <v>70</v>
      </c>
      <c r="H1136" s="52" t="s">
        <v>52</v>
      </c>
      <c r="I1136" s="52" t="s">
        <v>2926</v>
      </c>
      <c r="J1136" s="46" t="s">
        <v>52</v>
      </c>
      <c r="K1136" s="46" t="s">
        <v>81</v>
      </c>
      <c r="L1136" s="46" t="s">
        <v>52</v>
      </c>
      <c r="M1136" s="52" t="s">
        <v>3063</v>
      </c>
      <c r="N1136" s="46" t="s">
        <v>52</v>
      </c>
      <c r="O1136" s="46" t="s">
        <v>52</v>
      </c>
      <c r="P1136" s="46" t="s">
        <v>59</v>
      </c>
      <c r="Q1136" s="46" t="s">
        <v>60</v>
      </c>
      <c r="R1136" s="46" t="s">
        <v>61</v>
      </c>
      <c r="S1136" s="46" t="s">
        <v>62</v>
      </c>
      <c r="T1136" s="46" t="s">
        <v>12</v>
      </c>
      <c r="U1136" s="46" t="s">
        <v>63</v>
      </c>
    </row>
    <row r="1137" spans="1:21">
      <c r="A1137" s="47">
        <v>22331870</v>
      </c>
      <c r="B1137" s="46" t="s">
        <v>4470</v>
      </c>
      <c r="C1137" s="46" t="s">
        <v>4471</v>
      </c>
      <c r="D1137" s="48" t="s">
        <v>4472</v>
      </c>
      <c r="E1137" s="49">
        <f t="shared" ca="1" si="34"/>
        <v>54.850102669404521</v>
      </c>
      <c r="F1137" s="50" t="s">
        <v>4473</v>
      </c>
      <c r="G1137" s="51" t="s">
        <v>70</v>
      </c>
      <c r="H1137" s="52" t="s">
        <v>4474</v>
      </c>
      <c r="I1137" s="52" t="s">
        <v>4245</v>
      </c>
      <c r="J1137" s="46" t="s">
        <v>4475</v>
      </c>
      <c r="K1137" s="46" t="s">
        <v>81</v>
      </c>
      <c r="L1137" s="46" t="s">
        <v>546</v>
      </c>
      <c r="M1137" s="52" t="s">
        <v>4476</v>
      </c>
      <c r="N1137" s="46" t="s">
        <v>4477</v>
      </c>
      <c r="O1137" s="46" t="s">
        <v>52</v>
      </c>
      <c r="P1137" s="46" t="s">
        <v>59</v>
      </c>
      <c r="Q1137" s="46" t="s">
        <v>60</v>
      </c>
      <c r="R1137" s="46" t="s">
        <v>61</v>
      </c>
      <c r="S1137" s="46" t="s">
        <v>62</v>
      </c>
      <c r="T1137" s="46" t="s">
        <v>12</v>
      </c>
      <c r="U1137" s="46" t="s">
        <v>63</v>
      </c>
    </row>
    <row r="1138" spans="1:21">
      <c r="A1138" s="47">
        <v>22332403</v>
      </c>
      <c r="B1138" s="46" t="s">
        <v>4279</v>
      </c>
      <c r="C1138" s="46" t="s">
        <v>6045</v>
      </c>
      <c r="D1138" s="48" t="s">
        <v>52</v>
      </c>
      <c r="E1138" s="49" t="str">
        <f t="shared" ca="1" si="34"/>
        <v/>
      </c>
      <c r="F1138" s="50" t="s">
        <v>6046</v>
      </c>
      <c r="G1138" s="51" t="s">
        <v>141</v>
      </c>
      <c r="H1138" s="52" t="s">
        <v>52</v>
      </c>
      <c r="I1138" s="52" t="s">
        <v>4815</v>
      </c>
      <c r="J1138" s="46" t="s">
        <v>5772</v>
      </c>
      <c r="K1138" s="46" t="s">
        <v>1206</v>
      </c>
      <c r="L1138" s="46" t="s">
        <v>52</v>
      </c>
      <c r="M1138" s="53" t="s">
        <v>6047</v>
      </c>
      <c r="N1138" s="46" t="s">
        <v>3326</v>
      </c>
      <c r="O1138" s="46" t="s">
        <v>6048</v>
      </c>
      <c r="P1138" s="46" t="s">
        <v>59</v>
      </c>
      <c r="Q1138" s="46" t="s">
        <v>60</v>
      </c>
      <c r="R1138" s="46" t="s">
        <v>61</v>
      </c>
      <c r="S1138" s="46" t="s">
        <v>62</v>
      </c>
      <c r="T1138" s="46" t="s">
        <v>12</v>
      </c>
      <c r="U1138" s="46" t="s">
        <v>63</v>
      </c>
    </row>
    <row r="1139" spans="1:21">
      <c r="A1139" s="47">
        <v>22332445</v>
      </c>
      <c r="B1139" s="46" t="s">
        <v>1964</v>
      </c>
      <c r="C1139" s="52" t="s">
        <v>1965</v>
      </c>
      <c r="D1139" s="48">
        <v>26198</v>
      </c>
      <c r="E1139" s="49">
        <f t="shared" ca="1" si="34"/>
        <v>54.770704996577685</v>
      </c>
      <c r="F1139" s="50">
        <v>154037722</v>
      </c>
      <c r="G1139" s="51" t="s">
        <v>23</v>
      </c>
      <c r="I1139" s="52" t="s">
        <v>1881</v>
      </c>
      <c r="J1139" s="46" t="s">
        <v>1966</v>
      </c>
      <c r="M1139" s="53" t="s">
        <v>1967</v>
      </c>
      <c r="N1139" s="55"/>
      <c r="O1139" s="55"/>
    </row>
    <row r="1140" spans="1:21">
      <c r="A1140" s="47">
        <v>22332640</v>
      </c>
      <c r="B1140" s="46" t="s">
        <v>3094</v>
      </c>
      <c r="C1140" s="46" t="s">
        <v>3095</v>
      </c>
      <c r="D1140" s="48" t="s">
        <v>52</v>
      </c>
      <c r="E1140" s="49" t="str">
        <f t="shared" ca="1" si="34"/>
        <v/>
      </c>
      <c r="F1140" s="50" t="s">
        <v>3096</v>
      </c>
      <c r="G1140" s="51" t="s">
        <v>70</v>
      </c>
      <c r="H1140" s="52" t="s">
        <v>52</v>
      </c>
      <c r="I1140" s="52" t="s">
        <v>2926</v>
      </c>
      <c r="J1140" s="46" t="s">
        <v>52</v>
      </c>
      <c r="K1140" s="46" t="s">
        <v>81</v>
      </c>
      <c r="L1140" s="46" t="s">
        <v>546</v>
      </c>
      <c r="M1140" s="52" t="s">
        <v>582</v>
      </c>
      <c r="N1140" s="46" t="s">
        <v>3044</v>
      </c>
      <c r="O1140" s="46" t="s">
        <v>52</v>
      </c>
      <c r="P1140" s="46" t="s">
        <v>59</v>
      </c>
      <c r="Q1140" s="46" t="s">
        <v>60</v>
      </c>
      <c r="R1140" s="46" t="s">
        <v>61</v>
      </c>
      <c r="S1140" s="46" t="s">
        <v>62</v>
      </c>
      <c r="T1140" s="46" t="s">
        <v>12</v>
      </c>
      <c r="U1140" s="46" t="s">
        <v>63</v>
      </c>
    </row>
    <row r="1141" spans="1:21">
      <c r="A1141" s="47">
        <v>22336110</v>
      </c>
      <c r="B1141" s="46" t="s">
        <v>690</v>
      </c>
      <c r="C1141" s="55" t="s">
        <v>691</v>
      </c>
      <c r="D1141" s="48">
        <v>26293</v>
      </c>
      <c r="E1141" s="49">
        <f t="shared" ref="E1141:E1171" ca="1" si="35">IF(D1141="","",YEARFRAC(D1141,TODAY(),1))</f>
        <v>54.510609171800134</v>
      </c>
      <c r="F1141" s="50">
        <v>153558809</v>
      </c>
      <c r="G1141" s="51" t="s">
        <v>86</v>
      </c>
      <c r="I1141" s="52" t="s">
        <v>594</v>
      </c>
      <c r="J1141" s="55" t="s">
        <v>692</v>
      </c>
      <c r="K1141" s="55"/>
      <c r="L1141" s="55"/>
      <c r="M1141" s="53" t="s">
        <v>693</v>
      </c>
      <c r="N1141" s="55"/>
      <c r="O1141" s="55"/>
    </row>
    <row r="1142" spans="1:21">
      <c r="A1142" s="47">
        <v>22336425</v>
      </c>
      <c r="B1142" s="46" t="s">
        <v>742</v>
      </c>
      <c r="C1142" s="52" t="s">
        <v>6348</v>
      </c>
      <c r="D1142" s="48">
        <v>26318</v>
      </c>
      <c r="E1142" s="49">
        <f t="shared" ca="1" si="35"/>
        <v>54.441485390014435</v>
      </c>
      <c r="G1142" s="51" t="s">
        <v>23</v>
      </c>
      <c r="I1142" s="52" t="s">
        <v>23</v>
      </c>
      <c r="M1142" s="58" t="s">
        <v>25</v>
      </c>
      <c r="N1142" s="55"/>
      <c r="O1142" s="55"/>
    </row>
    <row r="1143" spans="1:21">
      <c r="A1143" s="47">
        <v>22336444</v>
      </c>
      <c r="B1143" s="46" t="s">
        <v>40</v>
      </c>
      <c r="C1143" s="46" t="s">
        <v>2924</v>
      </c>
      <c r="D1143" s="48" t="s">
        <v>52</v>
      </c>
      <c r="E1143" s="49" t="str">
        <f t="shared" ca="1" si="35"/>
        <v/>
      </c>
      <c r="F1143" s="50" t="s">
        <v>6512</v>
      </c>
      <c r="G1143" s="51" t="s">
        <v>70</v>
      </c>
      <c r="H1143" s="52" t="s">
        <v>6513</v>
      </c>
      <c r="I1143" s="52" t="s">
        <v>6514</v>
      </c>
      <c r="J1143" s="46" t="s">
        <v>5254</v>
      </c>
      <c r="K1143" s="46" t="s">
        <v>81</v>
      </c>
      <c r="L1143" s="46" t="s">
        <v>52</v>
      </c>
      <c r="M1143" s="52" t="s">
        <v>6515</v>
      </c>
      <c r="N1143" s="46" t="s">
        <v>52</v>
      </c>
      <c r="O1143" s="46" t="s">
        <v>52</v>
      </c>
      <c r="P1143" s="46" t="s">
        <v>59</v>
      </c>
      <c r="Q1143" s="46" t="s">
        <v>60</v>
      </c>
      <c r="R1143" s="46" t="s">
        <v>61</v>
      </c>
      <c r="S1143" s="46" t="s">
        <v>62</v>
      </c>
      <c r="T1143" s="46" t="s">
        <v>12</v>
      </c>
      <c r="U1143" s="46" t="s">
        <v>63</v>
      </c>
    </row>
    <row r="1144" spans="1:21">
      <c r="A1144" s="47">
        <v>22336462</v>
      </c>
      <c r="B1144" s="46" t="s">
        <v>1310</v>
      </c>
      <c r="C1144" s="46" t="s">
        <v>1608</v>
      </c>
      <c r="D1144" s="48">
        <v>26327</v>
      </c>
      <c r="E1144" s="49">
        <f t="shared" ca="1" si="35"/>
        <v>54.4168450395739</v>
      </c>
      <c r="F1144" s="50">
        <v>156526088</v>
      </c>
      <c r="G1144" s="51" t="s">
        <v>70</v>
      </c>
      <c r="I1144" s="52" t="s">
        <v>1497</v>
      </c>
      <c r="J1144" s="46" t="s">
        <v>316</v>
      </c>
      <c r="M1144" s="53" t="s">
        <v>1609</v>
      </c>
      <c r="N1144" s="46">
        <v>4330633</v>
      </c>
    </row>
    <row r="1145" spans="1:21">
      <c r="A1145" s="47">
        <v>22336584</v>
      </c>
      <c r="B1145" s="46" t="s">
        <v>4072</v>
      </c>
      <c r="C1145" s="46" t="s">
        <v>527</v>
      </c>
      <c r="D1145" s="48" t="s">
        <v>52</v>
      </c>
      <c r="E1145" s="49" t="str">
        <f t="shared" ca="1" si="35"/>
        <v/>
      </c>
      <c r="F1145" s="50" t="s">
        <v>4073</v>
      </c>
      <c r="G1145" s="51" t="s">
        <v>70</v>
      </c>
      <c r="H1145" s="52" t="s">
        <v>4074</v>
      </c>
      <c r="I1145" s="52" t="s">
        <v>3999</v>
      </c>
      <c r="J1145" s="46" t="s">
        <v>52</v>
      </c>
      <c r="K1145" s="46" t="s">
        <v>390</v>
      </c>
      <c r="L1145" s="46" t="s">
        <v>52</v>
      </c>
      <c r="M1145" s="52" t="s">
        <v>4075</v>
      </c>
      <c r="N1145" s="46" t="s">
        <v>4023</v>
      </c>
      <c r="O1145" s="46" t="s">
        <v>52</v>
      </c>
      <c r="P1145" s="46" t="s">
        <v>59</v>
      </c>
      <c r="Q1145" s="46" t="s">
        <v>60</v>
      </c>
      <c r="R1145" s="46" t="s">
        <v>61</v>
      </c>
      <c r="S1145" s="46" t="s">
        <v>62</v>
      </c>
      <c r="T1145" s="46" t="s">
        <v>12</v>
      </c>
      <c r="U1145" s="46" t="s">
        <v>63</v>
      </c>
    </row>
    <row r="1146" spans="1:21">
      <c r="A1146" s="47">
        <v>22336712</v>
      </c>
      <c r="B1146" s="46" t="s">
        <v>5262</v>
      </c>
      <c r="C1146" s="46" t="s">
        <v>5263</v>
      </c>
      <c r="D1146" s="48" t="s">
        <v>52</v>
      </c>
      <c r="E1146" s="49" t="str">
        <f t="shared" ca="1" si="35"/>
        <v/>
      </c>
      <c r="F1146" s="50" t="s">
        <v>5264</v>
      </c>
      <c r="G1146" s="51" t="s">
        <v>78</v>
      </c>
      <c r="H1146" s="52" t="s">
        <v>5265</v>
      </c>
      <c r="I1146" s="52" t="s">
        <v>5259</v>
      </c>
      <c r="J1146" s="46" t="s">
        <v>4985</v>
      </c>
      <c r="K1146" s="46" t="s">
        <v>81</v>
      </c>
      <c r="L1146" s="46" t="s">
        <v>52</v>
      </c>
      <c r="M1146" s="53" t="s">
        <v>5266</v>
      </c>
      <c r="N1146" s="46" t="s">
        <v>931</v>
      </c>
      <c r="O1146" s="46" t="s">
        <v>5267</v>
      </c>
      <c r="P1146" s="46" t="s">
        <v>59</v>
      </c>
      <c r="Q1146" s="46" t="s">
        <v>60</v>
      </c>
      <c r="R1146" s="46" t="s">
        <v>61</v>
      </c>
      <c r="S1146" s="46" t="s">
        <v>62</v>
      </c>
      <c r="T1146" s="46" t="s">
        <v>12</v>
      </c>
      <c r="U1146" s="46" t="s">
        <v>63</v>
      </c>
    </row>
    <row r="1147" spans="1:21">
      <c r="A1147" s="47">
        <v>22387948</v>
      </c>
      <c r="B1147" s="69" t="s">
        <v>1160</v>
      </c>
      <c r="C1147" s="52" t="s">
        <v>1575</v>
      </c>
      <c r="D1147" s="48">
        <v>26286</v>
      </c>
      <c r="E1147" s="49">
        <f t="shared" ca="1" si="35"/>
        <v>54.529774127310063</v>
      </c>
      <c r="G1147" s="51" t="s">
        <v>70</v>
      </c>
      <c r="I1147" s="59" t="s">
        <v>908</v>
      </c>
      <c r="J1147" s="46" t="s">
        <v>316</v>
      </c>
      <c r="M1147" s="53" t="s">
        <v>2546</v>
      </c>
      <c r="N1147" s="55"/>
      <c r="O1147" s="55"/>
    </row>
    <row r="1148" spans="1:21">
      <c r="A1148" s="47">
        <v>22397156</v>
      </c>
      <c r="B1148" s="46" t="s">
        <v>3418</v>
      </c>
      <c r="C1148" s="46" t="s">
        <v>3212</v>
      </c>
      <c r="E1148" s="49" t="str">
        <f t="shared" ca="1" si="35"/>
        <v/>
      </c>
      <c r="G1148" s="51" t="s">
        <v>23</v>
      </c>
      <c r="I1148" s="52" t="s">
        <v>23</v>
      </c>
      <c r="M1148" s="58" t="s">
        <v>25</v>
      </c>
    </row>
    <row r="1149" spans="1:21">
      <c r="A1149" s="47">
        <v>22397327</v>
      </c>
      <c r="B1149" s="46" t="s">
        <v>734</v>
      </c>
      <c r="C1149" s="55" t="s">
        <v>3541</v>
      </c>
      <c r="D1149" s="48">
        <v>26293</v>
      </c>
      <c r="E1149" s="49">
        <f t="shared" ca="1" si="35"/>
        <v>54.510609171800134</v>
      </c>
      <c r="F1149" s="50" t="s">
        <v>3542</v>
      </c>
      <c r="G1149" s="51" t="s">
        <v>78</v>
      </c>
      <c r="I1149" s="52" t="s">
        <v>3427</v>
      </c>
      <c r="J1149" s="55"/>
      <c r="K1149" s="55"/>
      <c r="L1149" s="55"/>
      <c r="M1149" s="58" t="s">
        <v>25</v>
      </c>
      <c r="N1149" s="55"/>
      <c r="O1149" s="55"/>
    </row>
    <row r="1150" spans="1:21">
      <c r="A1150" s="47">
        <v>22414030</v>
      </c>
      <c r="B1150" s="46" t="s">
        <v>750</v>
      </c>
      <c r="C1150" s="52" t="s">
        <v>751</v>
      </c>
      <c r="D1150" s="48">
        <v>26364</v>
      </c>
      <c r="E1150" s="49">
        <f t="shared" ca="1" si="35"/>
        <v>54.315545821096123</v>
      </c>
      <c r="G1150" s="51" t="s">
        <v>70</v>
      </c>
      <c r="I1150" s="52" t="s">
        <v>594</v>
      </c>
      <c r="J1150" s="46" t="s">
        <v>316</v>
      </c>
      <c r="M1150" s="53" t="s">
        <v>752</v>
      </c>
      <c r="N1150" s="55"/>
      <c r="O1150" s="55"/>
    </row>
    <row r="1151" spans="1:21">
      <c r="A1151" s="60">
        <v>22414187</v>
      </c>
      <c r="B1151" s="61" t="s">
        <v>1793</v>
      </c>
      <c r="C1151" s="62" t="s">
        <v>6327</v>
      </c>
      <c r="E1151" s="49" t="str">
        <f t="shared" ca="1" si="35"/>
        <v/>
      </c>
      <c r="F1151" s="63"/>
      <c r="G1151" s="51" t="s">
        <v>23</v>
      </c>
      <c r="I1151" s="52" t="s">
        <v>23</v>
      </c>
      <c r="J1151" s="61"/>
      <c r="K1151" s="61"/>
      <c r="L1151" s="61"/>
      <c r="M1151" s="58" t="s">
        <v>25</v>
      </c>
      <c r="N1151" s="55"/>
      <c r="O1151" s="55"/>
    </row>
    <row r="1152" spans="1:21">
      <c r="A1152" s="47">
        <v>22414324</v>
      </c>
      <c r="B1152" s="46" t="s">
        <v>1926</v>
      </c>
      <c r="C1152" s="46" t="s">
        <v>2815</v>
      </c>
      <c r="D1152" s="48">
        <v>26402</v>
      </c>
      <c r="E1152" s="49">
        <f t="shared" ca="1" si="35"/>
        <v>54.211508785902737</v>
      </c>
      <c r="F1152" s="50">
        <v>156795466</v>
      </c>
      <c r="G1152" s="51" t="s">
        <v>70</v>
      </c>
      <c r="I1152" s="52" t="s">
        <v>2816</v>
      </c>
      <c r="J1152" s="46" t="s">
        <v>2817</v>
      </c>
      <c r="M1152" s="52" t="s">
        <v>2818</v>
      </c>
      <c r="N1152" s="46">
        <v>4247752</v>
      </c>
      <c r="O1152" s="46">
        <v>7142</v>
      </c>
      <c r="P1152" s="46">
        <v>1</v>
      </c>
    </row>
    <row r="1153" spans="1:21">
      <c r="A1153" s="47">
        <v>22414527</v>
      </c>
      <c r="B1153" s="46" t="s">
        <v>4907</v>
      </c>
      <c r="C1153" s="46" t="s">
        <v>4908</v>
      </c>
      <c r="D1153" s="48" t="s">
        <v>4909</v>
      </c>
      <c r="E1153" s="49">
        <f t="shared" ca="1" si="35"/>
        <v>54.181392802030963</v>
      </c>
      <c r="F1153" s="50" t="s">
        <v>4910</v>
      </c>
      <c r="G1153" s="51" t="s">
        <v>70</v>
      </c>
      <c r="H1153" s="52" t="s">
        <v>4911</v>
      </c>
      <c r="I1153" s="52" t="s">
        <v>4815</v>
      </c>
      <c r="J1153" s="46" t="s">
        <v>4912</v>
      </c>
      <c r="K1153" s="46" t="s">
        <v>81</v>
      </c>
      <c r="L1153" s="46" t="s">
        <v>546</v>
      </c>
      <c r="M1153" s="52" t="s">
        <v>4913</v>
      </c>
      <c r="N1153" s="46" t="s">
        <v>4858</v>
      </c>
      <c r="O1153" s="46" t="s">
        <v>52</v>
      </c>
      <c r="P1153" s="46" t="s">
        <v>59</v>
      </c>
      <c r="Q1153" s="46" t="s">
        <v>60</v>
      </c>
      <c r="R1153" s="46" t="s">
        <v>61</v>
      </c>
      <c r="S1153" s="46" t="s">
        <v>62</v>
      </c>
      <c r="T1153" s="46" t="s">
        <v>12</v>
      </c>
      <c r="U1153" s="46" t="s">
        <v>63</v>
      </c>
    </row>
    <row r="1154" spans="1:21">
      <c r="A1154" s="47">
        <v>22414783</v>
      </c>
      <c r="B1154" s="46" t="s">
        <v>342</v>
      </c>
      <c r="C1154" s="46" t="s">
        <v>1173</v>
      </c>
      <c r="D1154" s="48">
        <v>26433</v>
      </c>
      <c r="E1154" s="49">
        <f t="shared" ca="1" si="35"/>
        <v>54.126636467718654</v>
      </c>
      <c r="F1154" s="50">
        <v>155235872</v>
      </c>
      <c r="G1154" s="51" t="s">
        <v>70</v>
      </c>
      <c r="I1154" s="59" t="s">
        <v>908</v>
      </c>
      <c r="M1154" s="53" t="s">
        <v>1174</v>
      </c>
      <c r="N1154" s="46">
        <v>4247752</v>
      </c>
      <c r="O1154" s="46">
        <v>7069</v>
      </c>
    </row>
    <row r="1155" spans="1:21">
      <c r="A1155" s="47">
        <v>22414917</v>
      </c>
      <c r="B1155" s="46" t="s">
        <v>226</v>
      </c>
      <c r="C1155" s="52" t="s">
        <v>2507</v>
      </c>
      <c r="D1155" s="48">
        <v>26458</v>
      </c>
      <c r="E1155" s="49">
        <f t="shared" ca="1" si="35"/>
        <v>54.058191049828267</v>
      </c>
      <c r="F1155" s="50">
        <v>155422995</v>
      </c>
      <c r="G1155" s="51" t="s">
        <v>37</v>
      </c>
      <c r="I1155" s="59" t="s">
        <v>908</v>
      </c>
      <c r="J1155" s="46" t="s">
        <v>1824</v>
      </c>
      <c r="M1155" s="58" t="s">
        <v>25</v>
      </c>
      <c r="N1155" s="55"/>
      <c r="O1155" s="55"/>
    </row>
    <row r="1156" spans="1:21">
      <c r="A1156" s="47">
        <v>22428522</v>
      </c>
      <c r="B1156" s="46" t="s">
        <v>4879</v>
      </c>
      <c r="C1156" s="46" t="s">
        <v>4880</v>
      </c>
      <c r="D1156" s="48" t="s">
        <v>52</v>
      </c>
      <c r="E1156" s="49" t="str">
        <f t="shared" ca="1" si="35"/>
        <v/>
      </c>
      <c r="F1156" s="50" t="s">
        <v>4881</v>
      </c>
      <c r="G1156" s="51" t="s">
        <v>70</v>
      </c>
      <c r="H1156" s="52" t="s">
        <v>4882</v>
      </c>
      <c r="I1156" s="52" t="s">
        <v>4815</v>
      </c>
      <c r="J1156" s="46" t="s">
        <v>4883</v>
      </c>
      <c r="K1156" s="46" t="s">
        <v>52</v>
      </c>
      <c r="L1156" s="46" t="s">
        <v>52</v>
      </c>
      <c r="M1156" s="53" t="s">
        <v>4884</v>
      </c>
      <c r="N1156" s="46" t="s">
        <v>931</v>
      </c>
      <c r="O1156" s="46" t="s">
        <v>4885</v>
      </c>
      <c r="P1156" s="46" t="s">
        <v>59</v>
      </c>
      <c r="Q1156" s="46" t="s">
        <v>60</v>
      </c>
      <c r="R1156" s="46" t="s">
        <v>61</v>
      </c>
      <c r="S1156" s="46" t="s">
        <v>62</v>
      </c>
      <c r="T1156" s="46" t="s">
        <v>12</v>
      </c>
      <c r="U1156" s="46" t="s">
        <v>63</v>
      </c>
    </row>
    <row r="1157" spans="1:21">
      <c r="A1157" s="47">
        <v>22428668</v>
      </c>
      <c r="B1157" s="46" t="s">
        <v>4979</v>
      </c>
      <c r="C1157" s="46" t="s">
        <v>2102</v>
      </c>
      <c r="D1157" s="48">
        <v>26228</v>
      </c>
      <c r="E1157" s="49">
        <f t="shared" ca="1" si="35"/>
        <v>54.688569472963721</v>
      </c>
      <c r="F1157" s="50">
        <v>154675534</v>
      </c>
      <c r="G1157" s="51" t="s">
        <v>23</v>
      </c>
      <c r="I1157" s="52" t="s">
        <v>4954</v>
      </c>
      <c r="M1157" s="53" t="s">
        <v>4980</v>
      </c>
    </row>
    <row r="1158" spans="1:21">
      <c r="A1158" s="47">
        <v>22428875</v>
      </c>
      <c r="B1158" s="46" t="s">
        <v>2674</v>
      </c>
      <c r="C1158" s="46" t="s">
        <v>2675</v>
      </c>
      <c r="E1158" s="49" t="str">
        <f t="shared" ca="1" si="35"/>
        <v/>
      </c>
      <c r="F1158" s="50">
        <v>156669090</v>
      </c>
      <c r="G1158" s="51" t="s">
        <v>23</v>
      </c>
      <c r="I1158" s="52" t="s">
        <v>2671</v>
      </c>
      <c r="M1158" s="58" t="s">
        <v>25</v>
      </c>
    </row>
    <row r="1159" spans="1:21">
      <c r="A1159" s="47">
        <v>22429208</v>
      </c>
      <c r="B1159" s="46" t="s">
        <v>5245</v>
      </c>
      <c r="C1159" s="46" t="s">
        <v>5246</v>
      </c>
      <c r="D1159" s="48" t="s">
        <v>5247</v>
      </c>
      <c r="E1159" s="49">
        <f t="shared" ca="1" si="35"/>
        <v>53.973318731644184</v>
      </c>
      <c r="F1159" s="50" t="s">
        <v>5248</v>
      </c>
      <c r="G1159" s="51" t="s">
        <v>86</v>
      </c>
      <c r="H1159" s="52" t="s">
        <v>52</v>
      </c>
      <c r="I1159" s="52" t="s">
        <v>5176</v>
      </c>
      <c r="J1159" s="46" t="s">
        <v>5249</v>
      </c>
      <c r="K1159" s="46" t="s">
        <v>81</v>
      </c>
      <c r="L1159" s="46" t="s">
        <v>52</v>
      </c>
      <c r="M1159" s="52" t="s">
        <v>5250</v>
      </c>
      <c r="N1159" s="46" t="s">
        <v>5184</v>
      </c>
      <c r="O1159" s="46" t="s">
        <v>5203</v>
      </c>
      <c r="P1159" s="46" t="s">
        <v>59</v>
      </c>
      <c r="Q1159" s="46" t="s">
        <v>60</v>
      </c>
      <c r="R1159" s="46" t="s">
        <v>61</v>
      </c>
      <c r="S1159" s="46" t="s">
        <v>62</v>
      </c>
      <c r="T1159" s="46" t="s">
        <v>12</v>
      </c>
      <c r="U1159" s="46" t="s">
        <v>63</v>
      </c>
    </row>
    <row r="1160" spans="1:21">
      <c r="A1160" s="64">
        <v>22429910</v>
      </c>
      <c r="B1160" s="61" t="s">
        <v>875</v>
      </c>
      <c r="C1160" s="62" t="s">
        <v>876</v>
      </c>
      <c r="D1160" s="48">
        <v>26782</v>
      </c>
      <c r="E1160" s="49">
        <f t="shared" ca="1" si="35"/>
        <v>53.17314810120164</v>
      </c>
      <c r="F1160" s="63">
        <v>155215312</v>
      </c>
      <c r="G1160" s="51" t="s">
        <v>23</v>
      </c>
      <c r="I1160" s="52" t="s">
        <v>848</v>
      </c>
      <c r="J1160" s="61" t="s">
        <v>877</v>
      </c>
      <c r="K1160" s="61"/>
      <c r="L1160" s="61"/>
      <c r="M1160" s="53" t="s">
        <v>878</v>
      </c>
      <c r="N1160" s="55"/>
      <c r="O1160" s="55"/>
    </row>
    <row r="1161" spans="1:21">
      <c r="A1161" s="47">
        <v>22433907</v>
      </c>
      <c r="B1161" s="46" t="s">
        <v>2462</v>
      </c>
      <c r="C1161" s="52" t="s">
        <v>2463</v>
      </c>
      <c r="E1161" s="49" t="str">
        <f t="shared" ca="1" si="35"/>
        <v/>
      </c>
      <c r="G1161" s="51" t="s">
        <v>78</v>
      </c>
      <c r="I1161" s="59" t="s">
        <v>908</v>
      </c>
      <c r="J1161" s="46" t="s">
        <v>2464</v>
      </c>
      <c r="M1161" s="53" t="s">
        <v>2465</v>
      </c>
      <c r="N1161" s="55"/>
      <c r="O1161" s="55"/>
    </row>
    <row r="1162" spans="1:21">
      <c r="A1162" s="60">
        <v>22450023</v>
      </c>
      <c r="B1162" s="61" t="s">
        <v>26</v>
      </c>
      <c r="C1162" s="62" t="s">
        <v>33</v>
      </c>
      <c r="D1162" s="48">
        <v>26228</v>
      </c>
      <c r="E1162" s="49">
        <f t="shared" ca="1" si="35"/>
        <v>54.688569472963721</v>
      </c>
      <c r="F1162" s="63"/>
      <c r="G1162" s="51" t="s">
        <v>23</v>
      </c>
      <c r="I1162" s="52" t="s">
        <v>24</v>
      </c>
      <c r="J1162" s="61" t="s">
        <v>34</v>
      </c>
      <c r="K1162" s="61"/>
      <c r="L1162" s="61"/>
      <c r="M1162" s="53" t="s">
        <v>35</v>
      </c>
      <c r="N1162" s="55"/>
      <c r="O1162" s="55"/>
    </row>
    <row r="1163" spans="1:21">
      <c r="A1163" s="47">
        <v>22451163</v>
      </c>
      <c r="B1163" s="46" t="s">
        <v>26</v>
      </c>
      <c r="C1163" s="52" t="s">
        <v>2102</v>
      </c>
      <c r="D1163" s="48">
        <v>26284</v>
      </c>
      <c r="E1163" s="49">
        <f t="shared" ca="1" si="35"/>
        <v>54.535249828884325</v>
      </c>
      <c r="F1163" s="50">
        <v>156473413</v>
      </c>
      <c r="G1163" s="51" t="s">
        <v>23</v>
      </c>
      <c r="I1163" s="52" t="s">
        <v>4245</v>
      </c>
      <c r="J1163" s="46" t="s">
        <v>48</v>
      </c>
      <c r="M1163" s="58" t="s">
        <v>25</v>
      </c>
      <c r="N1163" s="55"/>
      <c r="O1163" s="55"/>
    </row>
    <row r="1164" spans="1:21">
      <c r="A1164" s="47">
        <v>22451756</v>
      </c>
      <c r="B1164" s="46" t="s">
        <v>983</v>
      </c>
      <c r="C1164" s="46" t="s">
        <v>2669</v>
      </c>
      <c r="D1164" s="48" t="s">
        <v>52</v>
      </c>
      <c r="E1164" s="49" t="str">
        <f t="shared" ca="1" si="35"/>
        <v/>
      </c>
      <c r="F1164" s="50" t="s">
        <v>2670</v>
      </c>
      <c r="G1164" s="51" t="s">
        <v>141</v>
      </c>
      <c r="H1164" s="52" t="s">
        <v>52</v>
      </c>
      <c r="I1164" s="52" t="s">
        <v>2671</v>
      </c>
      <c r="J1164" s="46" t="s">
        <v>2672</v>
      </c>
      <c r="K1164" s="46" t="s">
        <v>81</v>
      </c>
      <c r="L1164" s="46" t="s">
        <v>52</v>
      </c>
      <c r="M1164" s="58" t="s">
        <v>2673</v>
      </c>
      <c r="N1164" s="46" t="s">
        <v>52</v>
      </c>
      <c r="O1164" s="46" t="s">
        <v>52</v>
      </c>
      <c r="P1164" s="46" t="s">
        <v>59</v>
      </c>
      <c r="Q1164" s="46" t="s">
        <v>60</v>
      </c>
      <c r="R1164" s="46" t="s">
        <v>61</v>
      </c>
      <c r="S1164" s="46" t="s">
        <v>62</v>
      </c>
      <c r="T1164" s="46" t="s">
        <v>12</v>
      </c>
      <c r="U1164" s="46" t="s">
        <v>63</v>
      </c>
    </row>
    <row r="1165" spans="1:21">
      <c r="A1165" s="47">
        <v>22455086</v>
      </c>
      <c r="B1165" s="46" t="s">
        <v>5166</v>
      </c>
      <c r="C1165" s="52" t="s">
        <v>6363</v>
      </c>
      <c r="E1165" s="49" t="str">
        <f t="shared" ca="1" si="35"/>
        <v/>
      </c>
      <c r="F1165" s="50">
        <v>156495037</v>
      </c>
      <c r="G1165" s="51" t="s">
        <v>23</v>
      </c>
      <c r="I1165" s="52" t="s">
        <v>23</v>
      </c>
      <c r="M1165" s="53" t="s">
        <v>6364</v>
      </c>
      <c r="N1165" s="55"/>
      <c r="O1165" s="55"/>
    </row>
    <row r="1166" spans="1:21">
      <c r="A1166" s="47">
        <v>22460925</v>
      </c>
      <c r="B1166" s="46" t="s">
        <v>3114</v>
      </c>
      <c r="C1166" s="46" t="s">
        <v>3115</v>
      </c>
      <c r="D1166" s="48" t="s">
        <v>52</v>
      </c>
      <c r="E1166" s="49" t="str">
        <f t="shared" ca="1" si="35"/>
        <v/>
      </c>
      <c r="F1166" s="50" t="s">
        <v>3116</v>
      </c>
      <c r="G1166" s="51" t="s">
        <v>70</v>
      </c>
      <c r="H1166" s="52" t="s">
        <v>52</v>
      </c>
      <c r="I1166" s="52" t="s">
        <v>2926</v>
      </c>
      <c r="J1166" s="46" t="s">
        <v>52</v>
      </c>
      <c r="K1166" s="46" t="s">
        <v>57</v>
      </c>
      <c r="L1166" s="46" t="s">
        <v>52</v>
      </c>
      <c r="M1166" s="52" t="s">
        <v>582</v>
      </c>
      <c r="N1166" s="46" t="s">
        <v>52</v>
      </c>
      <c r="O1166" s="46" t="s">
        <v>52</v>
      </c>
      <c r="P1166" s="46" t="s">
        <v>59</v>
      </c>
      <c r="Q1166" s="46" t="s">
        <v>60</v>
      </c>
      <c r="R1166" s="46" t="s">
        <v>61</v>
      </c>
      <c r="S1166" s="46" t="s">
        <v>62</v>
      </c>
      <c r="T1166" s="46" t="s">
        <v>12</v>
      </c>
      <c r="U1166" s="46" t="s">
        <v>63</v>
      </c>
    </row>
    <row r="1167" spans="1:21">
      <c r="A1167" s="47">
        <v>22482899</v>
      </c>
      <c r="B1167" s="46" t="s">
        <v>4633</v>
      </c>
      <c r="C1167" s="46" t="s">
        <v>4634</v>
      </c>
      <c r="D1167" s="48">
        <v>26548</v>
      </c>
      <c r="E1167" s="49">
        <f t="shared" ca="1" si="35"/>
        <v>53.811787545422867</v>
      </c>
      <c r="F1167" s="50">
        <v>155883696</v>
      </c>
      <c r="G1167" s="51" t="s">
        <v>70</v>
      </c>
      <c r="I1167" s="52" t="s">
        <v>4499</v>
      </c>
      <c r="J1167" s="46" t="s">
        <v>316</v>
      </c>
      <c r="M1167" s="53" t="s">
        <v>4635</v>
      </c>
    </row>
    <row r="1168" spans="1:21">
      <c r="A1168" s="47">
        <v>22558017</v>
      </c>
      <c r="B1168" s="46" t="s">
        <v>3786</v>
      </c>
      <c r="C1168" s="46" t="s">
        <v>3787</v>
      </c>
      <c r="D1168" s="48">
        <v>26611</v>
      </c>
      <c r="E1168" s="49">
        <f t="shared" ca="1" si="35"/>
        <v>53.639305092339093</v>
      </c>
      <c r="F1168" s="50">
        <v>156119436</v>
      </c>
      <c r="G1168" s="51" t="s">
        <v>70</v>
      </c>
      <c r="I1168" s="52" t="s">
        <v>3630</v>
      </c>
      <c r="J1168" s="46" t="s">
        <v>316</v>
      </c>
      <c r="M1168" s="53" t="s">
        <v>3788</v>
      </c>
      <c r="N1168" s="46">
        <v>4222146</v>
      </c>
    </row>
    <row r="1169" spans="1:21">
      <c r="A1169" s="47">
        <v>22612949</v>
      </c>
      <c r="B1169" s="46" t="s">
        <v>226</v>
      </c>
      <c r="C1169" s="52" t="s">
        <v>1974</v>
      </c>
      <c r="D1169" s="48">
        <v>26380</v>
      </c>
      <c r="E1169" s="49">
        <f t="shared" ca="1" si="35"/>
        <v>54.271740753646277</v>
      </c>
      <c r="F1169" s="50">
        <v>155032646</v>
      </c>
      <c r="G1169" s="51" t="s">
        <v>23</v>
      </c>
      <c r="I1169" s="52" t="s">
        <v>5494</v>
      </c>
      <c r="J1169" s="46" t="s">
        <v>5578</v>
      </c>
      <c r="M1169" s="53" t="s">
        <v>5579</v>
      </c>
      <c r="N1169" s="55"/>
      <c r="O1169" s="55"/>
    </row>
    <row r="1170" spans="1:21">
      <c r="A1170" s="47">
        <v>22613364</v>
      </c>
      <c r="B1170" s="46" t="s">
        <v>608</v>
      </c>
      <c r="C1170" s="52" t="s">
        <v>1924</v>
      </c>
      <c r="D1170" s="48">
        <v>26402</v>
      </c>
      <c r="E1170" s="49">
        <f t="shared" ca="1" si="35"/>
        <v>54.211508785902737</v>
      </c>
      <c r="F1170" s="50">
        <v>155264219</v>
      </c>
      <c r="G1170" s="51" t="s">
        <v>23</v>
      </c>
      <c r="I1170" s="52" t="s">
        <v>1881</v>
      </c>
      <c r="M1170" s="53" t="s">
        <v>1925</v>
      </c>
      <c r="N1170" s="55"/>
      <c r="O1170" s="55"/>
    </row>
    <row r="1171" spans="1:21">
      <c r="A1171" s="47">
        <v>22613410</v>
      </c>
      <c r="B1171" s="46" t="s">
        <v>195</v>
      </c>
      <c r="C1171" s="46" t="s">
        <v>1304</v>
      </c>
      <c r="D1171" s="48" t="s">
        <v>52</v>
      </c>
      <c r="E1171" s="49" t="str">
        <f t="shared" ca="1" si="35"/>
        <v/>
      </c>
      <c r="F1171" s="50" t="s">
        <v>1305</v>
      </c>
      <c r="G1171" s="51" t="s">
        <v>70</v>
      </c>
      <c r="H1171" s="52" t="s">
        <v>1306</v>
      </c>
      <c r="I1171" s="59" t="s">
        <v>908</v>
      </c>
      <c r="J1171" s="46" t="s">
        <v>52</v>
      </c>
      <c r="K1171" s="46" t="s">
        <v>112</v>
      </c>
      <c r="L1171" s="46" t="s">
        <v>546</v>
      </c>
      <c r="M1171" s="52" t="s">
        <v>1307</v>
      </c>
      <c r="N1171" s="46" t="s">
        <v>931</v>
      </c>
      <c r="O1171" s="46" t="s">
        <v>1308</v>
      </c>
      <c r="P1171" s="46" t="s">
        <v>59</v>
      </c>
      <c r="Q1171" s="46" t="s">
        <v>60</v>
      </c>
      <c r="R1171" s="46" t="s">
        <v>61</v>
      </c>
      <c r="S1171" s="46" t="s">
        <v>62</v>
      </c>
      <c r="T1171" s="46" t="s">
        <v>12</v>
      </c>
      <c r="U1171" s="46" t="s">
        <v>63</v>
      </c>
    </row>
    <row r="1172" spans="1:21">
      <c r="A1172" s="47">
        <v>22664008</v>
      </c>
      <c r="B1172" s="46" t="s">
        <v>3335</v>
      </c>
      <c r="C1172" s="46" t="s">
        <v>1459</v>
      </c>
      <c r="D1172" s="48" t="s">
        <v>9372</v>
      </c>
      <c r="E1172" s="49" t="s">
        <v>9318</v>
      </c>
      <c r="F1172" s="50" t="s">
        <v>9373</v>
      </c>
      <c r="G1172" s="51" t="s">
        <v>78</v>
      </c>
      <c r="H1172" s="52" t="s">
        <v>9374</v>
      </c>
      <c r="I1172" s="52" t="s">
        <v>4815</v>
      </c>
      <c r="J1172" s="46" t="s">
        <v>9375</v>
      </c>
      <c r="K1172" s="46" t="s">
        <v>1206</v>
      </c>
      <c r="L1172" s="46" t="s">
        <v>546</v>
      </c>
      <c r="M1172" s="52" t="s">
        <v>9376</v>
      </c>
      <c r="N1172" s="46" t="s">
        <v>52</v>
      </c>
      <c r="O1172" s="46" t="s">
        <v>52</v>
      </c>
      <c r="P1172" s="46" t="s">
        <v>59</v>
      </c>
      <c r="Q1172" s="46" t="s">
        <v>60</v>
      </c>
      <c r="R1172" s="46" t="s">
        <v>61</v>
      </c>
      <c r="S1172" s="46" t="s">
        <v>62</v>
      </c>
      <c r="T1172" s="46" t="s">
        <v>12</v>
      </c>
      <c r="U1172" s="46" t="s">
        <v>63</v>
      </c>
    </row>
    <row r="1173" spans="1:21">
      <c r="A1173" s="47">
        <v>22664120</v>
      </c>
      <c r="B1173" s="46" t="s">
        <v>252</v>
      </c>
      <c r="C1173" s="46" t="s">
        <v>3083</v>
      </c>
      <c r="D1173" s="48" t="s">
        <v>52</v>
      </c>
      <c r="E1173" s="49" t="str">
        <f t="shared" ref="E1173:E1207" ca="1" si="36">IF(D1173="","",YEARFRAC(D1173,TODAY(),1))</f>
        <v/>
      </c>
      <c r="F1173" s="50" t="s">
        <v>3084</v>
      </c>
      <c r="G1173" s="51" t="s">
        <v>70</v>
      </c>
      <c r="H1173" s="52" t="s">
        <v>380</v>
      </c>
      <c r="I1173" s="52" t="s">
        <v>2926</v>
      </c>
      <c r="J1173" s="46" t="s">
        <v>3085</v>
      </c>
      <c r="K1173" s="46" t="s">
        <v>81</v>
      </c>
      <c r="L1173" s="46" t="s">
        <v>52</v>
      </c>
      <c r="M1173" s="52" t="s">
        <v>3086</v>
      </c>
      <c r="N1173" s="46" t="s">
        <v>3087</v>
      </c>
      <c r="O1173" s="46" t="s">
        <v>52</v>
      </c>
      <c r="P1173" s="46" t="s">
        <v>59</v>
      </c>
      <c r="Q1173" s="46" t="s">
        <v>60</v>
      </c>
      <c r="R1173" s="46" t="s">
        <v>61</v>
      </c>
      <c r="S1173" s="46" t="s">
        <v>62</v>
      </c>
      <c r="T1173" s="46" t="s">
        <v>12</v>
      </c>
      <c r="U1173" s="46" t="s">
        <v>63</v>
      </c>
    </row>
    <row r="1174" spans="1:21">
      <c r="A1174" s="47">
        <v>22664180</v>
      </c>
      <c r="B1174" s="46" t="s">
        <v>252</v>
      </c>
      <c r="C1174" s="46" t="s">
        <v>2979</v>
      </c>
      <c r="D1174" s="48" t="s">
        <v>52</v>
      </c>
      <c r="E1174" s="49" t="str">
        <f t="shared" ca="1" si="36"/>
        <v/>
      </c>
      <c r="F1174" s="50" t="s">
        <v>2980</v>
      </c>
      <c r="G1174" s="51" t="s">
        <v>78</v>
      </c>
      <c r="H1174" s="52" t="s">
        <v>8777</v>
      </c>
      <c r="I1174" s="52" t="s">
        <v>2926</v>
      </c>
      <c r="J1174" s="46" t="s">
        <v>2981</v>
      </c>
      <c r="K1174" s="46" t="s">
        <v>81</v>
      </c>
      <c r="L1174" s="46" t="s">
        <v>52</v>
      </c>
      <c r="M1174" s="53" t="s">
        <v>2982</v>
      </c>
      <c r="N1174" s="46" t="s">
        <v>52</v>
      </c>
      <c r="O1174" s="46" t="s">
        <v>52</v>
      </c>
      <c r="P1174" s="46" t="s">
        <v>59</v>
      </c>
      <c r="Q1174" s="46" t="s">
        <v>60</v>
      </c>
      <c r="R1174" s="46" t="s">
        <v>61</v>
      </c>
      <c r="S1174" s="46" t="s">
        <v>62</v>
      </c>
      <c r="T1174" s="46" t="s">
        <v>12</v>
      </c>
      <c r="U1174" s="46" t="s">
        <v>63</v>
      </c>
    </row>
    <row r="1175" spans="1:21">
      <c r="A1175" s="47">
        <v>22664437</v>
      </c>
      <c r="B1175" s="46" t="s">
        <v>4809</v>
      </c>
      <c r="C1175" s="46" t="s">
        <v>4810</v>
      </c>
      <c r="D1175" s="48" t="s">
        <v>52</v>
      </c>
      <c r="E1175" s="49" t="str">
        <f t="shared" ca="1" si="36"/>
        <v/>
      </c>
      <c r="F1175" s="50" t="s">
        <v>4811</v>
      </c>
      <c r="G1175" s="51" t="s">
        <v>141</v>
      </c>
      <c r="H1175" s="52" t="s">
        <v>52</v>
      </c>
      <c r="I1175" s="65" t="s">
        <v>4708</v>
      </c>
      <c r="J1175" s="46" t="s">
        <v>4812</v>
      </c>
      <c r="K1175" s="46" t="s">
        <v>1206</v>
      </c>
      <c r="L1175" s="46" t="s">
        <v>546</v>
      </c>
      <c r="M1175" s="52" t="s">
        <v>4813</v>
      </c>
      <c r="N1175" s="46" t="s">
        <v>52</v>
      </c>
      <c r="O1175" s="46" t="s">
        <v>52</v>
      </c>
      <c r="P1175" s="46" t="s">
        <v>59</v>
      </c>
      <c r="Q1175" s="46" t="s">
        <v>60</v>
      </c>
      <c r="R1175" s="46" t="s">
        <v>61</v>
      </c>
      <c r="S1175" s="46" t="s">
        <v>62</v>
      </c>
      <c r="T1175" s="46" t="s">
        <v>12</v>
      </c>
      <c r="U1175" s="46" t="s">
        <v>63</v>
      </c>
    </row>
    <row r="1176" spans="1:21">
      <c r="A1176" s="47">
        <v>22665452</v>
      </c>
      <c r="B1176" s="46" t="s">
        <v>3315</v>
      </c>
      <c r="C1176" s="55" t="s">
        <v>97</v>
      </c>
      <c r="D1176" s="48">
        <v>27470</v>
      </c>
      <c r="E1176" s="49">
        <f t="shared" ca="1" si="36"/>
        <v>51.288158795345652</v>
      </c>
      <c r="F1176" s="50">
        <v>154750163</v>
      </c>
      <c r="G1176" s="51" t="s">
        <v>70</v>
      </c>
      <c r="I1176" s="52" t="s">
        <v>3287</v>
      </c>
      <c r="M1176" s="53" t="s">
        <v>3316</v>
      </c>
    </row>
    <row r="1177" spans="1:21">
      <c r="A1177" s="47">
        <v>22672564</v>
      </c>
      <c r="B1177" s="46" t="s">
        <v>4004</v>
      </c>
      <c r="C1177" s="46" t="s">
        <v>4005</v>
      </c>
      <c r="D1177" s="48" t="s">
        <v>52</v>
      </c>
      <c r="E1177" s="49" t="str">
        <f t="shared" ca="1" si="36"/>
        <v/>
      </c>
      <c r="F1177" s="50" t="s">
        <v>4006</v>
      </c>
      <c r="G1177" s="51" t="s">
        <v>70</v>
      </c>
      <c r="H1177" s="52" t="s">
        <v>4007</v>
      </c>
      <c r="I1177" s="52" t="s">
        <v>3999</v>
      </c>
      <c r="J1177" s="46" t="s">
        <v>4008</v>
      </c>
      <c r="K1177" s="46" t="s">
        <v>390</v>
      </c>
      <c r="L1177" s="46" t="s">
        <v>52</v>
      </c>
      <c r="M1177" s="52" t="s">
        <v>4009</v>
      </c>
      <c r="N1177" s="46" t="s">
        <v>4010</v>
      </c>
      <c r="O1177" s="46" t="s">
        <v>52</v>
      </c>
      <c r="P1177" s="46" t="s">
        <v>59</v>
      </c>
      <c r="Q1177" s="46" t="s">
        <v>60</v>
      </c>
      <c r="R1177" s="46" t="s">
        <v>61</v>
      </c>
      <c r="S1177" s="46" t="s">
        <v>62</v>
      </c>
      <c r="T1177" s="46" t="s">
        <v>12</v>
      </c>
      <c r="U1177" s="46" t="s">
        <v>63</v>
      </c>
    </row>
    <row r="1178" spans="1:21">
      <c r="A1178" s="47">
        <v>22704602</v>
      </c>
      <c r="B1178" s="46" t="s">
        <v>6365</v>
      </c>
      <c r="C1178" s="46" t="s">
        <v>1632</v>
      </c>
      <c r="E1178" s="49" t="str">
        <f t="shared" ca="1" si="36"/>
        <v/>
      </c>
      <c r="G1178" s="51" t="s">
        <v>23</v>
      </c>
      <c r="I1178" s="52" t="s">
        <v>23</v>
      </c>
      <c r="M1178" s="58" t="s">
        <v>25</v>
      </c>
    </row>
    <row r="1179" spans="1:21">
      <c r="A1179" s="47">
        <v>22708009</v>
      </c>
      <c r="B1179" s="46" t="s">
        <v>2983</v>
      </c>
      <c r="C1179" s="52" t="s">
        <v>455</v>
      </c>
      <c r="D1179" s="48">
        <v>26409</v>
      </c>
      <c r="E1179" s="49">
        <f t="shared" ca="1" si="36"/>
        <v>54.192344068893426</v>
      </c>
      <c r="F1179" s="50">
        <v>156430876</v>
      </c>
      <c r="G1179" s="51" t="s">
        <v>70</v>
      </c>
      <c r="I1179" s="52" t="s">
        <v>2926</v>
      </c>
      <c r="J1179" s="46" t="s">
        <v>2984</v>
      </c>
      <c r="M1179" s="53" t="s">
        <v>2985</v>
      </c>
      <c r="N1179" s="55"/>
      <c r="O1179" s="55"/>
    </row>
    <row r="1180" spans="1:21">
      <c r="A1180" s="47">
        <v>22740729</v>
      </c>
      <c r="B1180" s="46" t="s">
        <v>4170</v>
      </c>
      <c r="C1180" s="52" t="s">
        <v>4171</v>
      </c>
      <c r="D1180" s="48">
        <v>26532</v>
      </c>
      <c r="E1180" s="49">
        <f t="shared" ca="1" si="36"/>
        <v>53.855592612872719</v>
      </c>
      <c r="F1180" s="50" t="s">
        <v>4172</v>
      </c>
      <c r="G1180" s="51" t="s">
        <v>23</v>
      </c>
      <c r="I1180" s="52" t="s">
        <v>4078</v>
      </c>
      <c r="M1180" s="53" t="s">
        <v>4173</v>
      </c>
      <c r="N1180" s="55" t="s">
        <v>4111</v>
      </c>
      <c r="O1180" s="55"/>
    </row>
    <row r="1181" spans="1:21">
      <c r="A1181" s="47">
        <v>22759404</v>
      </c>
      <c r="B1181" s="69" t="s">
        <v>1194</v>
      </c>
      <c r="C1181" s="70" t="s">
        <v>5690</v>
      </c>
      <c r="D1181" s="48">
        <v>26418</v>
      </c>
      <c r="E1181" s="49">
        <f t="shared" ca="1" si="36"/>
        <v>54.167703718452884</v>
      </c>
      <c r="F1181" s="50">
        <v>155538094</v>
      </c>
      <c r="G1181" s="51" t="s">
        <v>23</v>
      </c>
      <c r="I1181" s="52" t="s">
        <v>5494</v>
      </c>
      <c r="J1181" s="46" t="s">
        <v>5691</v>
      </c>
      <c r="M1181" s="53" t="s">
        <v>5692</v>
      </c>
      <c r="N1181" s="55">
        <v>4526343</v>
      </c>
      <c r="O1181" s="55"/>
    </row>
    <row r="1182" spans="1:21">
      <c r="A1182" s="47">
        <v>22799070</v>
      </c>
      <c r="B1182" s="46" t="s">
        <v>8782</v>
      </c>
      <c r="C1182" s="46" t="s">
        <v>97</v>
      </c>
      <c r="E1182" s="49" t="str">
        <f t="shared" ca="1" si="36"/>
        <v/>
      </c>
      <c r="F1182" s="50">
        <v>155785970</v>
      </c>
      <c r="G1182" s="51" t="s">
        <v>70</v>
      </c>
      <c r="I1182" s="52" t="s">
        <v>3630</v>
      </c>
      <c r="M1182" s="53" t="s">
        <v>3685</v>
      </c>
    </row>
    <row r="1183" spans="1:21">
      <c r="A1183" s="47">
        <v>22799483</v>
      </c>
      <c r="B1183" s="46" t="s">
        <v>5902</v>
      </c>
      <c r="C1183" s="46" t="s">
        <v>5903</v>
      </c>
      <c r="D1183" s="48" t="s">
        <v>52</v>
      </c>
      <c r="E1183" s="49" t="str">
        <f t="shared" ca="1" si="36"/>
        <v/>
      </c>
      <c r="F1183" s="50" t="s">
        <v>5904</v>
      </c>
      <c r="G1183" s="51" t="s">
        <v>70</v>
      </c>
      <c r="H1183" s="52" t="s">
        <v>2656</v>
      </c>
      <c r="I1183" s="52" t="s">
        <v>5881</v>
      </c>
      <c r="J1183" s="46" t="s">
        <v>52</v>
      </c>
      <c r="K1183" s="46" t="s">
        <v>159</v>
      </c>
      <c r="L1183" s="46" t="s">
        <v>52</v>
      </c>
      <c r="M1183" s="53" t="s">
        <v>5905</v>
      </c>
      <c r="N1183" s="46" t="s">
        <v>931</v>
      </c>
      <c r="O1183" s="46" t="s">
        <v>5906</v>
      </c>
      <c r="P1183" s="46" t="s">
        <v>59</v>
      </c>
      <c r="Q1183" s="46" t="s">
        <v>60</v>
      </c>
      <c r="R1183" s="46" t="s">
        <v>61</v>
      </c>
      <c r="S1183" s="46" t="s">
        <v>62</v>
      </c>
      <c r="T1183" s="46" t="s">
        <v>12</v>
      </c>
      <c r="U1183" s="46" t="s">
        <v>63</v>
      </c>
    </row>
    <row r="1184" spans="1:21">
      <c r="A1184" s="47">
        <v>22804573</v>
      </c>
      <c r="B1184" s="46" t="s">
        <v>3530</v>
      </c>
      <c r="C1184" s="46" t="s">
        <v>322</v>
      </c>
      <c r="D1184" s="48" t="s">
        <v>52</v>
      </c>
      <c r="E1184" s="49" t="str">
        <f t="shared" ca="1" si="36"/>
        <v/>
      </c>
      <c r="F1184" s="50" t="s">
        <v>3531</v>
      </c>
      <c r="G1184" s="51" t="s">
        <v>70</v>
      </c>
      <c r="H1184" s="52" t="s">
        <v>3513</v>
      </c>
      <c r="I1184" s="52" t="s">
        <v>3427</v>
      </c>
      <c r="J1184" s="46" t="s">
        <v>52</v>
      </c>
      <c r="K1184" s="46" t="s">
        <v>390</v>
      </c>
      <c r="L1184" s="46" t="s">
        <v>546</v>
      </c>
      <c r="M1184" s="52" t="s">
        <v>3532</v>
      </c>
      <c r="N1184" s="46" t="s">
        <v>52</v>
      </c>
      <c r="O1184" s="46" t="s">
        <v>3529</v>
      </c>
      <c r="P1184" s="46" t="s">
        <v>59</v>
      </c>
      <c r="Q1184" s="46" t="s">
        <v>60</v>
      </c>
      <c r="R1184" s="46" t="s">
        <v>61</v>
      </c>
      <c r="S1184" s="46" t="s">
        <v>62</v>
      </c>
      <c r="T1184" s="46" t="s">
        <v>12</v>
      </c>
      <c r="U1184" s="46" t="s">
        <v>63</v>
      </c>
    </row>
    <row r="1185" spans="1:21">
      <c r="A1185" s="47">
        <v>22805288</v>
      </c>
      <c r="B1185" s="46" t="s">
        <v>68</v>
      </c>
      <c r="C1185" s="46" t="s">
        <v>69</v>
      </c>
      <c r="D1185" s="48">
        <v>26503</v>
      </c>
      <c r="E1185" s="49">
        <f t="shared" ca="1" si="36"/>
        <v>53.93498929762557</v>
      </c>
      <c r="F1185" s="50">
        <v>155377491</v>
      </c>
      <c r="G1185" s="51" t="s">
        <v>70</v>
      </c>
      <c r="I1185" s="52" t="s">
        <v>24</v>
      </c>
      <c r="J1185" s="46" t="s">
        <v>71</v>
      </c>
      <c r="M1185" s="53" t="s">
        <v>72</v>
      </c>
      <c r="N1185" s="46">
        <v>4107520</v>
      </c>
      <c r="O1185" s="46">
        <v>7520</v>
      </c>
      <c r="P1185" s="46">
        <v>3</v>
      </c>
    </row>
    <row r="1186" spans="1:21">
      <c r="A1186" s="47">
        <v>22805623</v>
      </c>
      <c r="B1186" s="46" t="s">
        <v>2094</v>
      </c>
      <c r="C1186" s="46" t="s">
        <v>3506</v>
      </c>
      <c r="D1186" s="48" t="s">
        <v>3507</v>
      </c>
      <c r="E1186" s="49">
        <f t="shared" ca="1" si="36"/>
        <v>53.891184230175718</v>
      </c>
      <c r="F1186" s="50" t="s">
        <v>3508</v>
      </c>
      <c r="G1186" s="51" t="s">
        <v>70</v>
      </c>
      <c r="H1186" s="52" t="s">
        <v>3231</v>
      </c>
      <c r="I1186" s="52" t="s">
        <v>3427</v>
      </c>
      <c r="J1186" s="46" t="s">
        <v>3509</v>
      </c>
      <c r="K1186" s="46" t="s">
        <v>390</v>
      </c>
      <c r="L1186" s="46" t="s">
        <v>546</v>
      </c>
      <c r="M1186" s="52" t="s">
        <v>3510</v>
      </c>
      <c r="N1186" s="46" t="s">
        <v>52</v>
      </c>
      <c r="O1186" s="46" t="s">
        <v>52</v>
      </c>
      <c r="P1186" s="46" t="s">
        <v>59</v>
      </c>
      <c r="Q1186" s="46" t="s">
        <v>60</v>
      </c>
      <c r="R1186" s="46" t="s">
        <v>61</v>
      </c>
      <c r="S1186" s="46" t="s">
        <v>62</v>
      </c>
      <c r="T1186" s="46" t="s">
        <v>12</v>
      </c>
      <c r="U1186" s="46" t="s">
        <v>63</v>
      </c>
    </row>
    <row r="1187" spans="1:21">
      <c r="A1187" s="47">
        <v>22805647</v>
      </c>
      <c r="B1187" s="46" t="s">
        <v>927</v>
      </c>
      <c r="C1187" s="55" t="s">
        <v>147</v>
      </c>
      <c r="D1187" s="48">
        <v>26520</v>
      </c>
      <c r="E1187" s="49">
        <f t="shared" ca="1" si="36"/>
        <v>53.888446413460102</v>
      </c>
      <c r="F1187" s="50">
        <v>156282117</v>
      </c>
      <c r="G1187" s="51" t="s">
        <v>141</v>
      </c>
      <c r="I1187" s="52" t="s">
        <v>23</v>
      </c>
      <c r="J1187" s="55"/>
      <c r="K1187" s="55"/>
      <c r="L1187" s="55"/>
      <c r="M1187" s="58" t="s">
        <v>25</v>
      </c>
      <c r="N1187" s="55"/>
      <c r="O1187" s="55"/>
    </row>
    <row r="1188" spans="1:21">
      <c r="A1188" s="47">
        <v>22806056</v>
      </c>
      <c r="B1188" s="46" t="s">
        <v>1793</v>
      </c>
      <c r="C1188" s="52" t="s">
        <v>5009</v>
      </c>
      <c r="D1188" s="48">
        <v>26541</v>
      </c>
      <c r="E1188" s="49">
        <f t="shared" ca="1" si="36"/>
        <v>53.830952262432177</v>
      </c>
      <c r="F1188" s="50">
        <v>154011341</v>
      </c>
      <c r="G1188" s="51" t="s">
        <v>70</v>
      </c>
      <c r="I1188" s="65" t="s">
        <v>4954</v>
      </c>
      <c r="J1188" s="46" t="s">
        <v>5102</v>
      </c>
      <c r="M1188" s="58" t="s">
        <v>25</v>
      </c>
      <c r="N1188" s="55"/>
      <c r="O1188" s="55"/>
    </row>
    <row r="1189" spans="1:21">
      <c r="A1189" s="47">
        <v>22806525</v>
      </c>
      <c r="B1189" s="46" t="s">
        <v>774</v>
      </c>
      <c r="C1189" s="55" t="s">
        <v>2218</v>
      </c>
      <c r="D1189" s="48">
        <v>26565</v>
      </c>
      <c r="E1189" s="49">
        <f t="shared" ca="1" si="36"/>
        <v>53.765244661257405</v>
      </c>
      <c r="F1189" s="50">
        <v>155092610</v>
      </c>
      <c r="G1189" s="51" t="s">
        <v>23</v>
      </c>
      <c r="I1189" s="52" t="s">
        <v>3922</v>
      </c>
      <c r="J1189" s="55"/>
      <c r="K1189" s="55"/>
      <c r="L1189" s="55"/>
      <c r="M1189" s="53" t="s">
        <v>3937</v>
      </c>
      <c r="N1189" s="55">
        <v>4231860</v>
      </c>
      <c r="O1189" s="55"/>
    </row>
    <row r="1190" spans="1:21">
      <c r="A1190" s="47">
        <v>22854008</v>
      </c>
      <c r="B1190" s="46" t="s">
        <v>4370</v>
      </c>
      <c r="C1190" s="46" t="s">
        <v>4371</v>
      </c>
      <c r="D1190" s="48">
        <v>26402</v>
      </c>
      <c r="E1190" s="49">
        <f t="shared" ca="1" si="36"/>
        <v>54.211508785902737</v>
      </c>
      <c r="F1190" s="50">
        <v>154471884</v>
      </c>
      <c r="G1190" s="51" t="s">
        <v>70</v>
      </c>
      <c r="I1190" s="52" t="s">
        <v>4245</v>
      </c>
      <c r="J1190" s="46" t="s">
        <v>480</v>
      </c>
      <c r="M1190" s="53" t="s">
        <v>4372</v>
      </c>
      <c r="N1190" s="46">
        <v>4247752</v>
      </c>
      <c r="O1190" s="46">
        <v>7053</v>
      </c>
      <c r="P1190" s="46">
        <v>1</v>
      </c>
    </row>
    <row r="1191" spans="1:21" ht="30">
      <c r="A1191" s="47">
        <v>22877414</v>
      </c>
      <c r="B1191" s="46" t="s">
        <v>252</v>
      </c>
      <c r="C1191" s="46" t="s">
        <v>2826</v>
      </c>
      <c r="D1191" s="48">
        <v>26484</v>
      </c>
      <c r="E1191" s="49">
        <f t="shared" ca="1" si="36"/>
        <v>53.987007815222263</v>
      </c>
      <c r="F1191" s="50">
        <v>155434774</v>
      </c>
      <c r="G1191" s="51" t="s">
        <v>141</v>
      </c>
      <c r="I1191" s="52" t="s">
        <v>5494</v>
      </c>
      <c r="M1191" s="79" t="s">
        <v>5591</v>
      </c>
      <c r="N1191" s="65" t="s">
        <v>5592</v>
      </c>
    </row>
    <row r="1192" spans="1:21">
      <c r="A1192" s="47">
        <v>22877621</v>
      </c>
      <c r="B1192" s="46" t="s">
        <v>2454</v>
      </c>
      <c r="C1192" s="46" t="s">
        <v>106</v>
      </c>
      <c r="D1192" s="48" t="s">
        <v>52</v>
      </c>
      <c r="E1192" s="49" t="str">
        <f t="shared" ca="1" si="36"/>
        <v/>
      </c>
      <c r="F1192" s="50" t="s">
        <v>2455</v>
      </c>
      <c r="G1192" s="51" t="s">
        <v>70</v>
      </c>
      <c r="H1192" s="52" t="s">
        <v>2456</v>
      </c>
      <c r="I1192" s="59" t="s">
        <v>908</v>
      </c>
      <c r="J1192" s="46" t="s">
        <v>52</v>
      </c>
      <c r="K1192" s="46" t="s">
        <v>81</v>
      </c>
      <c r="L1192" s="46" t="s">
        <v>546</v>
      </c>
      <c r="M1192" s="53" t="s">
        <v>2457</v>
      </c>
      <c r="N1192" s="46" t="s">
        <v>2458</v>
      </c>
      <c r="O1192" s="46" t="s">
        <v>2459</v>
      </c>
      <c r="P1192" s="46" t="s">
        <v>59</v>
      </c>
      <c r="Q1192" s="46" t="s">
        <v>60</v>
      </c>
      <c r="R1192" s="46" t="s">
        <v>61</v>
      </c>
      <c r="S1192" s="46" t="s">
        <v>62</v>
      </c>
      <c r="T1192" s="46" t="s">
        <v>12</v>
      </c>
      <c r="U1192" s="46" t="s">
        <v>63</v>
      </c>
    </row>
    <row r="1193" spans="1:21">
      <c r="A1193" s="47">
        <v>22877690</v>
      </c>
      <c r="B1193" s="46" t="s">
        <v>240</v>
      </c>
      <c r="C1193" s="46" t="s">
        <v>2065</v>
      </c>
      <c r="D1193" s="48">
        <v>26522</v>
      </c>
      <c r="E1193" s="49">
        <f t="shared" ca="1" si="36"/>
        <v>53.88297078002887</v>
      </c>
      <c r="F1193" s="50">
        <v>156566222</v>
      </c>
      <c r="G1193" s="51" t="s">
        <v>23</v>
      </c>
      <c r="I1193" s="52" t="s">
        <v>1881</v>
      </c>
      <c r="M1193" s="53" t="s">
        <v>2066</v>
      </c>
    </row>
    <row r="1194" spans="1:21">
      <c r="A1194" s="47">
        <v>22877708</v>
      </c>
      <c r="B1194" s="46" t="s">
        <v>2709</v>
      </c>
      <c r="C1194" s="46" t="s">
        <v>2710</v>
      </c>
      <c r="D1194" s="48">
        <v>26524</v>
      </c>
      <c r="E1194" s="49">
        <f t="shared" ca="1" si="36"/>
        <v>53.877495146597639</v>
      </c>
      <c r="F1194" s="50">
        <v>156435350</v>
      </c>
      <c r="G1194" s="51" t="s">
        <v>78</v>
      </c>
      <c r="I1194" s="52" t="s">
        <v>2694</v>
      </c>
      <c r="J1194" s="46" t="s">
        <v>38</v>
      </c>
      <c r="M1194" s="53" t="s">
        <v>2711</v>
      </c>
      <c r="P1194" s="46">
        <v>4</v>
      </c>
    </row>
    <row r="1195" spans="1:21">
      <c r="A1195" s="47">
        <v>22877820</v>
      </c>
      <c r="B1195" s="46" t="s">
        <v>774</v>
      </c>
      <c r="C1195" s="52" t="s">
        <v>283</v>
      </c>
      <c r="D1195" s="48">
        <v>26533</v>
      </c>
      <c r="E1195" s="49">
        <f t="shared" ca="1" si="36"/>
        <v>53.852854796157104</v>
      </c>
      <c r="F1195" s="50">
        <v>156712217</v>
      </c>
      <c r="G1195" s="51" t="s">
        <v>23</v>
      </c>
      <c r="I1195" s="52" t="s">
        <v>23</v>
      </c>
      <c r="J1195" s="46" t="s">
        <v>2207</v>
      </c>
      <c r="M1195" s="53" t="s">
        <v>2660</v>
      </c>
      <c r="N1195" s="55"/>
      <c r="O1195" s="55"/>
    </row>
    <row r="1196" spans="1:21">
      <c r="A1196" s="47">
        <v>22877863</v>
      </c>
      <c r="B1196" s="46" t="s">
        <v>2053</v>
      </c>
      <c r="C1196" s="46" t="s">
        <v>97</v>
      </c>
      <c r="D1196" s="48">
        <v>26528</v>
      </c>
      <c r="E1196" s="49">
        <f t="shared" ca="1" si="36"/>
        <v>53.866543879735183</v>
      </c>
      <c r="F1196" s="50">
        <v>156813476</v>
      </c>
      <c r="G1196" s="51" t="s">
        <v>78</v>
      </c>
      <c r="I1196" s="52" t="s">
        <v>1881</v>
      </c>
      <c r="J1196" s="46" t="s">
        <v>2054</v>
      </c>
      <c r="M1196" s="53" t="s">
        <v>2055</v>
      </c>
      <c r="O1196" s="46">
        <v>7846</v>
      </c>
    </row>
    <row r="1197" spans="1:21">
      <c r="A1197" s="47">
        <v>22877868</v>
      </c>
      <c r="B1197" s="46" t="s">
        <v>4257</v>
      </c>
      <c r="C1197" s="52" t="s">
        <v>959</v>
      </c>
      <c r="D1197" s="48">
        <v>26532</v>
      </c>
      <c r="E1197" s="49">
        <f t="shared" ca="1" si="36"/>
        <v>53.855592612872719</v>
      </c>
      <c r="F1197" s="50">
        <v>156440525</v>
      </c>
      <c r="G1197" s="51" t="s">
        <v>86</v>
      </c>
      <c r="I1197" s="52" t="s">
        <v>4245</v>
      </c>
      <c r="J1197" s="46" t="s">
        <v>3565</v>
      </c>
      <c r="M1197" s="53" t="s">
        <v>4258</v>
      </c>
      <c r="N1197" s="55">
        <v>4247752</v>
      </c>
      <c r="O1197" s="55">
        <v>7049</v>
      </c>
    </row>
    <row r="1198" spans="1:21">
      <c r="A1198" s="47">
        <v>22877918</v>
      </c>
      <c r="B1198" s="46" t="s">
        <v>6231</v>
      </c>
      <c r="C1198" s="46" t="s">
        <v>548</v>
      </c>
      <c r="E1198" s="49" t="str">
        <f t="shared" ca="1" si="36"/>
        <v/>
      </c>
      <c r="F1198" s="50">
        <v>154635274</v>
      </c>
      <c r="G1198" s="51" t="s">
        <v>23</v>
      </c>
      <c r="I1198" s="52" t="s">
        <v>23</v>
      </c>
      <c r="M1198" s="53" t="s">
        <v>6232</v>
      </c>
    </row>
    <row r="1199" spans="1:21">
      <c r="A1199" s="47">
        <v>22899316</v>
      </c>
      <c r="B1199" s="46" t="s">
        <v>690</v>
      </c>
      <c r="C1199" s="46" t="s">
        <v>139</v>
      </c>
      <c r="D1199" s="48" t="s">
        <v>6627</v>
      </c>
      <c r="E1199" s="49">
        <f t="shared" ca="1" si="36"/>
        <v>53.485271003397045</v>
      </c>
      <c r="F1199" s="50" t="s">
        <v>6628</v>
      </c>
      <c r="G1199" s="51" t="s">
        <v>70</v>
      </c>
      <c r="H1199" s="52" t="s">
        <v>6629</v>
      </c>
      <c r="I1199" s="52" t="s">
        <v>4708</v>
      </c>
      <c r="J1199" s="46" t="s">
        <v>6630</v>
      </c>
      <c r="K1199" s="46" t="s">
        <v>81</v>
      </c>
      <c r="L1199" s="46" t="s">
        <v>546</v>
      </c>
      <c r="M1199" s="52" t="s">
        <v>6631</v>
      </c>
      <c r="N1199" s="46" t="s">
        <v>52</v>
      </c>
      <c r="O1199" s="46" t="s">
        <v>52</v>
      </c>
      <c r="P1199" s="46" t="s">
        <v>59</v>
      </c>
      <c r="Q1199" s="46" t="s">
        <v>60</v>
      </c>
      <c r="R1199" s="46" t="s">
        <v>61</v>
      </c>
      <c r="S1199" s="46" t="s">
        <v>62</v>
      </c>
      <c r="T1199" s="46" t="s">
        <v>12</v>
      </c>
      <c r="U1199" s="46" t="s">
        <v>63</v>
      </c>
    </row>
    <row r="1200" spans="1:21">
      <c r="A1200" s="47">
        <v>22914679</v>
      </c>
      <c r="B1200" s="46" t="s">
        <v>3274</v>
      </c>
      <c r="C1200" s="46" t="s">
        <v>3275</v>
      </c>
      <c r="D1200" s="48">
        <v>27105</v>
      </c>
      <c r="E1200" s="49">
        <f t="shared" ca="1" si="36"/>
        <v>52.288149602231634</v>
      </c>
      <c r="F1200" s="50">
        <v>154126876</v>
      </c>
      <c r="G1200" s="51" t="s">
        <v>23</v>
      </c>
      <c r="I1200" s="52" t="s">
        <v>3166</v>
      </c>
      <c r="J1200" s="46" t="s">
        <v>3194</v>
      </c>
      <c r="M1200" s="53" t="s">
        <v>3276</v>
      </c>
      <c r="N1200" s="46">
        <v>4254424</v>
      </c>
      <c r="O1200" s="46">
        <v>47</v>
      </c>
    </row>
    <row r="1201" spans="1:21">
      <c r="A1201" s="47">
        <v>22945322</v>
      </c>
      <c r="B1201" s="46" t="s">
        <v>5229</v>
      </c>
      <c r="C1201" s="46" t="s">
        <v>5230</v>
      </c>
      <c r="D1201" s="48">
        <v>26559</v>
      </c>
      <c r="E1201" s="49">
        <f t="shared" ca="1" si="36"/>
        <v>53.7816715615511</v>
      </c>
      <c r="F1201" s="50">
        <v>154587922</v>
      </c>
      <c r="G1201" s="51" t="s">
        <v>86</v>
      </c>
      <c r="I1201" s="52" t="s">
        <v>5176</v>
      </c>
      <c r="M1201" s="53" t="s">
        <v>5231</v>
      </c>
      <c r="N1201" s="46">
        <v>4311200</v>
      </c>
      <c r="O1201" s="46" t="s">
        <v>5232</v>
      </c>
      <c r="P1201" s="46">
        <v>4</v>
      </c>
    </row>
    <row r="1202" spans="1:21">
      <c r="A1202" s="80">
        <v>22946600</v>
      </c>
      <c r="B1202" s="80" t="s">
        <v>8811</v>
      </c>
      <c r="C1202" s="80" t="s">
        <v>8729</v>
      </c>
      <c r="D1202" s="84">
        <v>26683</v>
      </c>
      <c r="E1202" s="49">
        <f t="shared" ca="1" si="36"/>
        <v>53.444202200476596</v>
      </c>
      <c r="F1202" s="80">
        <v>3875008006</v>
      </c>
      <c r="G1202" s="80" t="s">
        <v>141</v>
      </c>
      <c r="H1202" s="80"/>
      <c r="I1202" s="80" t="s">
        <v>8750</v>
      </c>
      <c r="J1202" s="80"/>
      <c r="K1202" s="80" t="s">
        <v>8762</v>
      </c>
      <c r="L1202" s="80" t="s">
        <v>2002</v>
      </c>
      <c r="M1202" s="80"/>
      <c r="N1202" s="80" t="s">
        <v>8761</v>
      </c>
      <c r="O1202" s="85" t="s">
        <v>8763</v>
      </c>
    </row>
    <row r="1203" spans="1:21">
      <c r="A1203" s="47">
        <v>23015463</v>
      </c>
      <c r="B1203" s="46" t="s">
        <v>2451</v>
      </c>
      <c r="C1203" s="46" t="s">
        <v>2452</v>
      </c>
      <c r="D1203" s="48">
        <v>26545</v>
      </c>
      <c r="E1203" s="49">
        <f t="shared" ca="1" si="36"/>
        <v>53.820000995569714</v>
      </c>
      <c r="F1203" s="50">
        <v>3814623000</v>
      </c>
      <c r="G1203" s="51" t="s">
        <v>23</v>
      </c>
      <c r="I1203" s="59" t="s">
        <v>908</v>
      </c>
      <c r="J1203" s="46" t="s">
        <v>1030</v>
      </c>
      <c r="M1203" s="53" t="s">
        <v>2453</v>
      </c>
    </row>
    <row r="1204" spans="1:21">
      <c r="A1204" s="47">
        <v>23015469</v>
      </c>
      <c r="B1204" s="46" t="s">
        <v>714</v>
      </c>
      <c r="C1204" s="46" t="s">
        <v>715</v>
      </c>
      <c r="D1204" s="48" t="s">
        <v>52</v>
      </c>
      <c r="E1204" s="49" t="str">
        <f t="shared" ca="1" si="36"/>
        <v/>
      </c>
      <c r="F1204" s="50" t="s">
        <v>716</v>
      </c>
      <c r="G1204" s="51" t="s">
        <v>70</v>
      </c>
      <c r="H1204" s="52" t="s">
        <v>717</v>
      </c>
      <c r="I1204" s="52" t="s">
        <v>594</v>
      </c>
      <c r="J1204" s="46" t="s">
        <v>718</v>
      </c>
      <c r="K1204" s="46" t="s">
        <v>81</v>
      </c>
      <c r="L1204" s="46" t="s">
        <v>52</v>
      </c>
      <c r="M1204" s="53" t="s">
        <v>719</v>
      </c>
      <c r="N1204" s="46" t="s">
        <v>720</v>
      </c>
      <c r="O1204" s="46" t="s">
        <v>721</v>
      </c>
      <c r="P1204" s="46" t="s">
        <v>59</v>
      </c>
      <c r="Q1204" s="46" t="s">
        <v>60</v>
      </c>
      <c r="R1204" s="46" t="s">
        <v>61</v>
      </c>
      <c r="S1204" s="46" t="s">
        <v>62</v>
      </c>
      <c r="T1204" s="46" t="s">
        <v>12</v>
      </c>
      <c r="U1204" s="46" t="s">
        <v>63</v>
      </c>
    </row>
    <row r="1205" spans="1:21">
      <c r="A1205" s="47">
        <v>23015488</v>
      </c>
      <c r="B1205" s="46" t="s">
        <v>3871</v>
      </c>
      <c r="C1205" s="46" t="s">
        <v>1061</v>
      </c>
      <c r="D1205" s="48" t="s">
        <v>52</v>
      </c>
      <c r="E1205" s="49" t="str">
        <f t="shared" ca="1" si="36"/>
        <v/>
      </c>
      <c r="F1205" s="50" t="s">
        <v>3872</v>
      </c>
      <c r="G1205" s="51" t="s">
        <v>141</v>
      </c>
      <c r="H1205" s="52" t="s">
        <v>52</v>
      </c>
      <c r="I1205" s="52" t="s">
        <v>3630</v>
      </c>
      <c r="J1205" s="46" t="s">
        <v>1344</v>
      </c>
      <c r="K1205" s="46" t="s">
        <v>81</v>
      </c>
      <c r="L1205" s="46" t="s">
        <v>52</v>
      </c>
      <c r="M1205" s="53" t="s">
        <v>3873</v>
      </c>
      <c r="N1205" s="46" t="s">
        <v>3723</v>
      </c>
      <c r="O1205" s="46" t="s">
        <v>3724</v>
      </c>
      <c r="P1205" s="46" t="s">
        <v>59</v>
      </c>
      <c r="Q1205" s="46" t="s">
        <v>60</v>
      </c>
      <c r="R1205" s="46" t="s">
        <v>61</v>
      </c>
      <c r="S1205" s="46" t="s">
        <v>62</v>
      </c>
      <c r="T1205" s="46" t="s">
        <v>12</v>
      </c>
      <c r="U1205" s="46" t="s">
        <v>63</v>
      </c>
    </row>
    <row r="1206" spans="1:21">
      <c r="A1206" s="47">
        <v>23015651</v>
      </c>
      <c r="B1206" s="46" t="s">
        <v>3182</v>
      </c>
      <c r="C1206" s="46" t="s">
        <v>902</v>
      </c>
      <c r="D1206" s="48">
        <v>26562</v>
      </c>
      <c r="E1206" s="49">
        <f t="shared" ca="1" si="36"/>
        <v>53.773458111404253</v>
      </c>
      <c r="F1206" s="50">
        <v>155247474</v>
      </c>
      <c r="G1206" s="51" t="s">
        <v>23</v>
      </c>
      <c r="I1206" s="52" t="s">
        <v>3166</v>
      </c>
      <c r="M1206" s="53" t="s">
        <v>3183</v>
      </c>
      <c r="N1206" s="46">
        <v>4254420</v>
      </c>
    </row>
    <row r="1207" spans="1:21">
      <c r="A1207" s="47">
        <v>23015882</v>
      </c>
      <c r="B1207" s="46" t="s">
        <v>364</v>
      </c>
      <c r="C1207" s="55" t="s">
        <v>3255</v>
      </c>
      <c r="D1207" s="48">
        <v>26584</v>
      </c>
      <c r="E1207" s="49">
        <f t="shared" ca="1" si="36"/>
        <v>53.713226143660712</v>
      </c>
      <c r="F1207" s="50">
        <v>156635999</v>
      </c>
      <c r="G1207" s="51" t="s">
        <v>78</v>
      </c>
      <c r="I1207" s="52" t="s">
        <v>3166</v>
      </c>
      <c r="J1207" s="55"/>
      <c r="K1207" s="55"/>
      <c r="L1207" s="55"/>
      <c r="M1207" s="53" t="s">
        <v>3256</v>
      </c>
      <c r="N1207" s="55">
        <v>4254425</v>
      </c>
      <c r="O1207" s="55">
        <v>51</v>
      </c>
    </row>
    <row r="1208" spans="1:21">
      <c r="A1208" s="74">
        <v>23019235</v>
      </c>
      <c r="B1208" s="234" t="s">
        <v>7757</v>
      </c>
      <c r="C1208" s="234" t="s">
        <v>9881</v>
      </c>
      <c r="D1208" s="235">
        <v>26604</v>
      </c>
      <c r="E1208" s="236"/>
      <c r="F1208" s="237">
        <v>3813042526</v>
      </c>
      <c r="G1208" s="234" t="s">
        <v>141</v>
      </c>
      <c r="H1208" s="238" t="s">
        <v>9954</v>
      </c>
      <c r="I1208" s="238" t="s">
        <v>5881</v>
      </c>
      <c r="J1208" s="234" t="s">
        <v>9690</v>
      </c>
      <c r="K1208" s="234" t="s">
        <v>2002</v>
      </c>
      <c r="L1208" s="234"/>
      <c r="M1208" s="238" t="s">
        <v>2858</v>
      </c>
      <c r="N1208" s="234"/>
      <c r="O1208" s="234"/>
      <c r="P1208" s="234"/>
      <c r="Q1208" s="234"/>
      <c r="R1208" s="234"/>
      <c r="S1208" s="234"/>
      <c r="T1208" s="234"/>
      <c r="U1208" s="234"/>
    </row>
    <row r="1209" spans="1:21">
      <c r="A1209" s="47">
        <v>23020149</v>
      </c>
      <c r="B1209" s="46" t="s">
        <v>2622</v>
      </c>
      <c r="C1209" s="52" t="s">
        <v>4999</v>
      </c>
      <c r="D1209" s="48">
        <v>26654</v>
      </c>
      <c r="E1209" s="49">
        <f t="shared" ref="E1209:E1222" ca="1" si="37">IF(D1209="","",YEARFRAC(D1209,TODAY(),1))</f>
        <v>53.521578973567628</v>
      </c>
      <c r="F1209" s="50">
        <v>155725107</v>
      </c>
      <c r="G1209" s="51" t="s">
        <v>70</v>
      </c>
      <c r="I1209" s="65" t="s">
        <v>4954</v>
      </c>
      <c r="J1209" s="46" t="s">
        <v>5145</v>
      </c>
      <c r="M1209" s="53" t="s">
        <v>5146</v>
      </c>
      <c r="N1209" s="55"/>
      <c r="O1209" s="55"/>
    </row>
    <row r="1210" spans="1:21">
      <c r="A1210" s="47">
        <v>23020958</v>
      </c>
      <c r="B1210" s="46" t="s">
        <v>252</v>
      </c>
      <c r="C1210" s="55" t="s">
        <v>5593</v>
      </c>
      <c r="E1210" s="49" t="str">
        <f t="shared" ca="1" si="37"/>
        <v/>
      </c>
      <c r="F1210" s="50">
        <v>156780671</v>
      </c>
      <c r="G1210" s="51" t="s">
        <v>70</v>
      </c>
      <c r="I1210" s="52" t="s">
        <v>5494</v>
      </c>
      <c r="J1210" s="46" t="s">
        <v>5594</v>
      </c>
      <c r="M1210" s="53" t="s">
        <v>5595</v>
      </c>
    </row>
    <row r="1211" spans="1:21">
      <c r="A1211" s="47">
        <v>23021324</v>
      </c>
      <c r="B1211" s="46" t="s">
        <v>3380</v>
      </c>
      <c r="C1211" s="46" t="s">
        <v>5066</v>
      </c>
      <c r="D1211" s="48">
        <v>26717</v>
      </c>
      <c r="E1211" s="49">
        <f t="shared" ca="1" si="37"/>
        <v>53.351112913856916</v>
      </c>
      <c r="F1211" s="50">
        <v>155092382</v>
      </c>
      <c r="G1211" s="51" t="s">
        <v>141</v>
      </c>
      <c r="I1211" s="52" t="s">
        <v>4954</v>
      </c>
      <c r="J1211" s="46" t="s">
        <v>5067</v>
      </c>
      <c r="M1211" s="52" t="s">
        <v>5068</v>
      </c>
      <c r="P1211" s="46">
        <v>1</v>
      </c>
    </row>
    <row r="1212" spans="1:21">
      <c r="A1212" s="47">
        <v>23021542</v>
      </c>
      <c r="B1212" s="46" t="s">
        <v>4976</v>
      </c>
      <c r="C1212" s="52" t="s">
        <v>4977</v>
      </c>
      <c r="E1212" s="49" t="str">
        <f t="shared" ca="1" si="37"/>
        <v/>
      </c>
      <c r="F1212" s="50">
        <v>153049163</v>
      </c>
      <c r="G1212" s="51" t="s">
        <v>23</v>
      </c>
      <c r="I1212" s="65" t="s">
        <v>4954</v>
      </c>
      <c r="J1212" s="46" t="s">
        <v>38</v>
      </c>
      <c r="M1212" s="53" t="s">
        <v>4978</v>
      </c>
      <c r="N1212" s="55">
        <v>4211388</v>
      </c>
      <c r="O1212" s="55"/>
    </row>
    <row r="1213" spans="1:21">
      <c r="A1213" s="75">
        <v>23024623</v>
      </c>
      <c r="B1213" s="46" t="s">
        <v>2531</v>
      </c>
      <c r="C1213" s="52" t="s">
        <v>2098</v>
      </c>
      <c r="D1213" s="48">
        <v>26676</v>
      </c>
      <c r="E1213" s="49">
        <f t="shared" ca="1" si="37"/>
        <v>53.463367641839476</v>
      </c>
      <c r="F1213" s="72">
        <v>155946854</v>
      </c>
      <c r="G1213" s="51" t="s">
        <v>23</v>
      </c>
      <c r="I1213" s="52" t="s">
        <v>1881</v>
      </c>
      <c r="J1213" s="76" t="s">
        <v>2099</v>
      </c>
      <c r="K1213" s="76"/>
      <c r="L1213" s="76"/>
      <c r="M1213" s="77" t="s">
        <v>2100</v>
      </c>
      <c r="N1213" s="55"/>
      <c r="O1213" s="55"/>
    </row>
    <row r="1214" spans="1:21">
      <c r="A1214" s="47">
        <v>23055590</v>
      </c>
      <c r="B1214" s="46" t="s">
        <v>4129</v>
      </c>
      <c r="C1214" s="46" t="s">
        <v>4130</v>
      </c>
      <c r="D1214" s="48">
        <v>27032</v>
      </c>
      <c r="E1214" s="49">
        <f t="shared" ca="1" si="37"/>
        <v>52.488015290835826</v>
      </c>
      <c r="F1214" s="50" t="s">
        <v>4131</v>
      </c>
      <c r="G1214" s="51" t="s">
        <v>23</v>
      </c>
      <c r="I1214" s="52" t="s">
        <v>4078</v>
      </c>
      <c r="J1214" s="46" t="s">
        <v>224</v>
      </c>
      <c r="M1214" s="53" t="s">
        <v>4132</v>
      </c>
    </row>
    <row r="1215" spans="1:21">
      <c r="A1215" s="47">
        <v>23116052</v>
      </c>
      <c r="B1215" s="46" t="s">
        <v>226</v>
      </c>
      <c r="C1215" s="46" t="s">
        <v>1200</v>
      </c>
      <c r="D1215" s="48">
        <v>26603</v>
      </c>
      <c r="E1215" s="49">
        <f t="shared" ca="1" si="37"/>
        <v>53.661207626064012</v>
      </c>
      <c r="F1215" s="50">
        <v>156657408</v>
      </c>
      <c r="G1215" s="51" t="s">
        <v>23</v>
      </c>
      <c r="I1215" s="52" t="s">
        <v>4499</v>
      </c>
      <c r="J1215" s="46" t="s">
        <v>316</v>
      </c>
      <c r="M1215" s="53" t="s">
        <v>4558</v>
      </c>
    </row>
    <row r="1216" spans="1:21">
      <c r="A1216" s="47">
        <v>23116246</v>
      </c>
      <c r="B1216" s="46" t="s">
        <v>3357</v>
      </c>
      <c r="C1216" s="52" t="s">
        <v>6175</v>
      </c>
      <c r="D1216" s="48">
        <v>26602</v>
      </c>
      <c r="E1216" s="49">
        <f t="shared" ca="1" si="37"/>
        <v>53.663945442779628</v>
      </c>
      <c r="F1216" s="50">
        <v>155173753</v>
      </c>
      <c r="G1216" s="51" t="s">
        <v>23</v>
      </c>
      <c r="I1216" s="52" t="s">
        <v>23</v>
      </c>
      <c r="J1216" s="46" t="s">
        <v>6176</v>
      </c>
      <c r="M1216" s="53" t="s">
        <v>6177</v>
      </c>
      <c r="N1216" s="55"/>
      <c r="O1216" s="55"/>
    </row>
    <row r="1217" spans="1:21">
      <c r="A1217" s="47">
        <v>23116307</v>
      </c>
      <c r="B1217" s="46" t="s">
        <v>315</v>
      </c>
      <c r="C1217" s="52" t="s">
        <v>1353</v>
      </c>
      <c r="D1217" s="48" t="s">
        <v>52</v>
      </c>
      <c r="E1217" s="49" t="str">
        <f t="shared" ca="1" si="37"/>
        <v/>
      </c>
      <c r="F1217" s="50" t="s">
        <v>2999</v>
      </c>
      <c r="G1217" s="51" t="s">
        <v>141</v>
      </c>
      <c r="H1217" s="52" t="s">
        <v>52</v>
      </c>
      <c r="I1217" s="52" t="s">
        <v>2926</v>
      </c>
      <c r="J1217" s="46" t="s">
        <v>3000</v>
      </c>
      <c r="K1217" s="46" t="s">
        <v>81</v>
      </c>
      <c r="L1217" s="46" t="s">
        <v>52</v>
      </c>
      <c r="M1217" s="52" t="s">
        <v>3001</v>
      </c>
      <c r="N1217" s="55" t="s">
        <v>3002</v>
      </c>
      <c r="O1217" s="55" t="s">
        <v>52</v>
      </c>
      <c r="P1217" s="46" t="s">
        <v>59</v>
      </c>
      <c r="Q1217" s="46" t="s">
        <v>60</v>
      </c>
      <c r="R1217" s="46" t="s">
        <v>61</v>
      </c>
      <c r="S1217" s="46" t="s">
        <v>62</v>
      </c>
      <c r="T1217" s="46" t="s">
        <v>12</v>
      </c>
      <c r="U1217" s="46" t="s">
        <v>63</v>
      </c>
    </row>
    <row r="1218" spans="1:21">
      <c r="A1218" s="47">
        <v>23116378</v>
      </c>
      <c r="B1218" s="46" t="s">
        <v>5194</v>
      </c>
      <c r="C1218" s="52" t="s">
        <v>5195</v>
      </c>
      <c r="D1218" s="48">
        <v>26626</v>
      </c>
      <c r="E1218" s="49">
        <f t="shared" ca="1" si="37"/>
        <v>53.598237841604856</v>
      </c>
      <c r="F1218" s="50">
        <v>155479535</v>
      </c>
      <c r="G1218" s="51" t="s">
        <v>23</v>
      </c>
      <c r="I1218" s="52" t="s">
        <v>5176</v>
      </c>
      <c r="J1218" s="46" t="s">
        <v>5196</v>
      </c>
      <c r="M1218" s="53" t="s">
        <v>5197</v>
      </c>
      <c r="N1218" s="55">
        <v>4311909</v>
      </c>
      <c r="O1218" s="55"/>
    </row>
    <row r="1219" spans="1:21">
      <c r="A1219" s="47">
        <v>23116496</v>
      </c>
      <c r="B1219" s="46" t="s">
        <v>476</v>
      </c>
      <c r="C1219" s="52" t="s">
        <v>2723</v>
      </c>
      <c r="D1219" s="48">
        <v>26628</v>
      </c>
      <c r="E1219" s="49">
        <f t="shared" ca="1" si="37"/>
        <v>53.592762208173625</v>
      </c>
      <c r="F1219" s="50">
        <v>156810739</v>
      </c>
      <c r="G1219" s="51" t="s">
        <v>23</v>
      </c>
      <c r="I1219" s="52" t="s">
        <v>4181</v>
      </c>
      <c r="J1219" s="46" t="s">
        <v>38</v>
      </c>
      <c r="M1219" s="53" t="s">
        <v>4219</v>
      </c>
      <c r="N1219" s="55">
        <v>4107227</v>
      </c>
      <c r="O1219" s="55"/>
    </row>
    <row r="1220" spans="1:21">
      <c r="A1220" s="47">
        <v>23116558</v>
      </c>
      <c r="B1220" s="46" t="s">
        <v>1500</v>
      </c>
      <c r="C1220" s="46" t="s">
        <v>1501</v>
      </c>
      <c r="D1220" s="48">
        <v>43057</v>
      </c>
      <c r="E1220" s="49">
        <f t="shared" ca="1" si="37"/>
        <v>8.6144578313253017</v>
      </c>
      <c r="F1220" s="50">
        <v>156912422</v>
      </c>
      <c r="G1220" s="51" t="s">
        <v>86</v>
      </c>
      <c r="I1220" s="52" t="s">
        <v>1497</v>
      </c>
      <c r="J1220" s="46" t="s">
        <v>1502</v>
      </c>
      <c r="M1220" s="53" t="s">
        <v>1503</v>
      </c>
      <c r="N1220" s="46">
        <v>4244337</v>
      </c>
      <c r="P1220" s="46">
        <v>1</v>
      </c>
    </row>
    <row r="1221" spans="1:21">
      <c r="A1221" s="47">
        <v>23116597</v>
      </c>
      <c r="B1221" s="46" t="s">
        <v>5670</v>
      </c>
      <c r="C1221" s="52" t="s">
        <v>5671</v>
      </c>
      <c r="E1221" s="49" t="str">
        <f t="shared" ca="1" si="37"/>
        <v/>
      </c>
      <c r="F1221" s="50">
        <v>155002222</v>
      </c>
      <c r="G1221" s="51" t="s">
        <v>78</v>
      </c>
      <c r="I1221" s="52" t="s">
        <v>5494</v>
      </c>
      <c r="J1221" s="46" t="s">
        <v>5672</v>
      </c>
      <c r="M1221" s="53" t="s">
        <v>5673</v>
      </c>
      <c r="N1221" s="55">
        <v>4311430</v>
      </c>
      <c r="O1221" s="55">
        <v>36</v>
      </c>
    </row>
    <row r="1222" spans="1:21">
      <c r="A1222" s="47">
        <v>23116598</v>
      </c>
      <c r="B1222" s="46" t="s">
        <v>2237</v>
      </c>
      <c r="C1222" s="52" t="s">
        <v>2238</v>
      </c>
      <c r="D1222" s="48">
        <v>26631</v>
      </c>
      <c r="E1222" s="49">
        <f t="shared" ca="1" si="37"/>
        <v>53.584548758026784</v>
      </c>
      <c r="F1222" s="50">
        <v>154011531</v>
      </c>
      <c r="G1222" s="51" t="s">
        <v>23</v>
      </c>
      <c r="I1222" s="52" t="s">
        <v>1881</v>
      </c>
      <c r="J1222" s="46" t="s">
        <v>1908</v>
      </c>
      <c r="M1222" s="58" t="s">
        <v>25</v>
      </c>
      <c r="N1222" s="55"/>
      <c r="O1222" s="55"/>
    </row>
    <row r="1223" spans="1:21">
      <c r="A1223" s="47">
        <v>23116798</v>
      </c>
      <c r="B1223" s="46" t="s">
        <v>9503</v>
      </c>
      <c r="C1223" s="46" t="s">
        <v>2772</v>
      </c>
      <c r="D1223" s="48" t="s">
        <v>9504</v>
      </c>
      <c r="E1223" s="49" t="s">
        <v>1782</v>
      </c>
      <c r="F1223" s="50" t="s">
        <v>9505</v>
      </c>
      <c r="G1223" s="51" t="s">
        <v>70</v>
      </c>
      <c r="H1223" s="52" t="s">
        <v>9506</v>
      </c>
      <c r="I1223" s="52" t="s">
        <v>4245</v>
      </c>
      <c r="J1223" s="46" t="s">
        <v>9507</v>
      </c>
      <c r="K1223" s="46" t="s">
        <v>81</v>
      </c>
      <c r="L1223" s="46" t="s">
        <v>546</v>
      </c>
      <c r="M1223" s="52" t="s">
        <v>9508</v>
      </c>
      <c r="N1223" s="46" t="s">
        <v>52</v>
      </c>
      <c r="O1223" s="46" t="s">
        <v>52</v>
      </c>
      <c r="P1223" s="46" t="s">
        <v>59</v>
      </c>
      <c r="Q1223" s="46" t="s">
        <v>60</v>
      </c>
      <c r="R1223" s="46" t="s">
        <v>61</v>
      </c>
      <c r="S1223" s="46" t="s">
        <v>62</v>
      </c>
      <c r="T1223" s="46" t="s">
        <v>12</v>
      </c>
      <c r="U1223" s="46" t="s">
        <v>63</v>
      </c>
    </row>
    <row r="1224" spans="1:21">
      <c r="A1224" s="47">
        <v>23116848</v>
      </c>
      <c r="B1224" s="46" t="s">
        <v>583</v>
      </c>
      <c r="C1224" s="46" t="s">
        <v>584</v>
      </c>
      <c r="D1224" s="48" t="s">
        <v>52</v>
      </c>
      <c r="E1224" s="49" t="str">
        <f t="shared" ref="E1224:E1236" ca="1" si="38">IF(D1224="","",YEARFRAC(D1224,TODAY(),1))</f>
        <v/>
      </c>
      <c r="F1224" s="50" t="s">
        <v>585</v>
      </c>
      <c r="G1224" s="51" t="s">
        <v>70</v>
      </c>
      <c r="H1224" s="52" t="s">
        <v>586</v>
      </c>
      <c r="I1224" s="52" t="s">
        <v>24</v>
      </c>
      <c r="J1224" s="46" t="s">
        <v>52</v>
      </c>
      <c r="K1224" s="46" t="s">
        <v>159</v>
      </c>
      <c r="L1224" s="46" t="s">
        <v>546</v>
      </c>
      <c r="M1224" s="52" t="s">
        <v>587</v>
      </c>
      <c r="N1224" s="46" t="s">
        <v>52</v>
      </c>
      <c r="O1224" s="46" t="s">
        <v>52</v>
      </c>
      <c r="P1224" s="46" t="s">
        <v>59</v>
      </c>
      <c r="Q1224" s="46" t="s">
        <v>60</v>
      </c>
      <c r="R1224" s="46" t="s">
        <v>61</v>
      </c>
      <c r="S1224" s="46" t="s">
        <v>62</v>
      </c>
      <c r="T1224" s="46" t="s">
        <v>12</v>
      </c>
      <c r="U1224" s="46" t="s">
        <v>63</v>
      </c>
    </row>
    <row r="1225" spans="1:21">
      <c r="A1225" s="47">
        <v>23116947</v>
      </c>
      <c r="B1225" s="46" t="s">
        <v>2492</v>
      </c>
      <c r="C1225" s="46" t="s">
        <v>2493</v>
      </c>
      <c r="E1225" s="49" t="str">
        <f t="shared" ca="1" si="38"/>
        <v/>
      </c>
      <c r="F1225" s="50">
        <v>155616908</v>
      </c>
      <c r="G1225" s="51" t="s">
        <v>23</v>
      </c>
      <c r="I1225" s="59" t="s">
        <v>908</v>
      </c>
      <c r="M1225" s="53" t="s">
        <v>2494</v>
      </c>
    </row>
    <row r="1226" spans="1:21">
      <c r="A1226" s="47">
        <v>23117002</v>
      </c>
      <c r="B1226" s="46" t="s">
        <v>6082</v>
      </c>
      <c r="C1226" s="46" t="s">
        <v>3787</v>
      </c>
      <c r="E1226" s="49" t="str">
        <f t="shared" ca="1" si="38"/>
        <v/>
      </c>
      <c r="G1226" s="51" t="s">
        <v>23</v>
      </c>
      <c r="I1226" s="52" t="s">
        <v>23</v>
      </c>
      <c r="M1226" s="58" t="s">
        <v>25</v>
      </c>
    </row>
    <row r="1227" spans="1:21">
      <c r="A1227" s="47">
        <v>23117288</v>
      </c>
      <c r="B1227" s="46" t="s">
        <v>3208</v>
      </c>
      <c r="C1227" s="52" t="s">
        <v>3209</v>
      </c>
      <c r="D1227" s="48">
        <v>26697</v>
      </c>
      <c r="E1227" s="49">
        <f t="shared" ca="1" si="38"/>
        <v>53.405871317750844</v>
      </c>
      <c r="F1227" s="50">
        <v>155126648</v>
      </c>
      <c r="G1227" s="51" t="s">
        <v>23</v>
      </c>
      <c r="I1227" s="52" t="s">
        <v>3166</v>
      </c>
      <c r="J1227" s="46" t="s">
        <v>3210</v>
      </c>
      <c r="M1227" s="53" t="s">
        <v>3211</v>
      </c>
      <c r="N1227" s="55">
        <v>4006858</v>
      </c>
      <c r="O1227" s="55">
        <v>41</v>
      </c>
    </row>
    <row r="1228" spans="1:21">
      <c r="A1228" s="47">
        <v>23117341</v>
      </c>
      <c r="B1228" s="46" t="s">
        <v>3220</v>
      </c>
      <c r="C1228" s="52" t="s">
        <v>3224</v>
      </c>
      <c r="D1228" s="48">
        <v>26706</v>
      </c>
      <c r="E1228" s="49">
        <f t="shared" ca="1" si="38"/>
        <v>53.381230035998577</v>
      </c>
      <c r="F1228" s="50">
        <v>156068023</v>
      </c>
      <c r="G1228" s="51" t="s">
        <v>23</v>
      </c>
      <c r="I1228" s="52" t="s">
        <v>3166</v>
      </c>
      <c r="J1228" s="46" t="s">
        <v>57</v>
      </c>
      <c r="M1228" s="58" t="s">
        <v>25</v>
      </c>
      <c r="N1228" s="55"/>
      <c r="O1228" s="55"/>
    </row>
    <row r="1229" spans="1:21">
      <c r="A1229" s="47">
        <v>23117524</v>
      </c>
      <c r="B1229" s="69" t="s">
        <v>8808</v>
      </c>
      <c r="C1229" s="52" t="s">
        <v>4452</v>
      </c>
      <c r="D1229" s="48" t="s">
        <v>52</v>
      </c>
      <c r="E1229" s="49" t="str">
        <f t="shared" ca="1" si="38"/>
        <v/>
      </c>
      <c r="F1229" s="50" t="s">
        <v>4453</v>
      </c>
      <c r="G1229" s="51" t="s">
        <v>70</v>
      </c>
      <c r="H1229" s="52" t="s">
        <v>52</v>
      </c>
      <c r="I1229" s="52" t="s">
        <v>4245</v>
      </c>
      <c r="J1229" s="46" t="s">
        <v>316</v>
      </c>
      <c r="K1229" s="46" t="s">
        <v>112</v>
      </c>
      <c r="L1229" s="46" t="s">
        <v>52</v>
      </c>
      <c r="M1229" s="53" t="s">
        <v>4454</v>
      </c>
      <c r="N1229" s="55" t="s">
        <v>52</v>
      </c>
      <c r="O1229" s="55" t="s">
        <v>52</v>
      </c>
      <c r="P1229" s="46" t="s">
        <v>59</v>
      </c>
      <c r="Q1229" s="46" t="s">
        <v>60</v>
      </c>
      <c r="R1229" s="46" t="s">
        <v>61</v>
      </c>
      <c r="S1229" s="46" t="s">
        <v>62</v>
      </c>
      <c r="T1229" s="46" t="s">
        <v>12</v>
      </c>
      <c r="U1229" s="46" t="s">
        <v>63</v>
      </c>
    </row>
    <row r="1230" spans="1:21">
      <c r="A1230" s="47">
        <v>23117670</v>
      </c>
      <c r="B1230" s="46" t="s">
        <v>4994</v>
      </c>
      <c r="C1230" s="46" t="s">
        <v>5734</v>
      </c>
      <c r="D1230" s="48" t="s">
        <v>5735</v>
      </c>
      <c r="E1230" s="49">
        <f t="shared" ca="1" si="38"/>
        <v>53.310044110936467</v>
      </c>
      <c r="F1230" s="50" t="s">
        <v>5736</v>
      </c>
      <c r="G1230" s="51" t="s">
        <v>70</v>
      </c>
      <c r="H1230" s="52" t="s">
        <v>1260</v>
      </c>
      <c r="I1230" s="52" t="s">
        <v>5494</v>
      </c>
      <c r="J1230" s="46" t="s">
        <v>3403</v>
      </c>
      <c r="K1230" s="46" t="s">
        <v>81</v>
      </c>
      <c r="L1230" s="46" t="s">
        <v>546</v>
      </c>
      <c r="M1230" s="52" t="s">
        <v>5737</v>
      </c>
      <c r="N1230" s="46" t="s">
        <v>52</v>
      </c>
      <c r="O1230" s="46" t="s">
        <v>52</v>
      </c>
      <c r="P1230" s="46" t="s">
        <v>59</v>
      </c>
      <c r="Q1230" s="46" t="s">
        <v>60</v>
      </c>
      <c r="R1230" s="46" t="s">
        <v>61</v>
      </c>
      <c r="S1230" s="46" t="s">
        <v>62</v>
      </c>
      <c r="T1230" s="46" t="s">
        <v>12</v>
      </c>
      <c r="U1230" s="46" t="s">
        <v>63</v>
      </c>
    </row>
    <row r="1231" spans="1:21">
      <c r="A1231" s="47">
        <v>23117708</v>
      </c>
      <c r="B1231" s="46" t="s">
        <v>6018</v>
      </c>
      <c r="C1231" s="46" t="s">
        <v>6019</v>
      </c>
      <c r="D1231" s="48">
        <v>26724</v>
      </c>
      <c r="E1231" s="49">
        <f t="shared" ca="1" si="38"/>
        <v>53.331947472494036</v>
      </c>
      <c r="G1231" s="51" t="s">
        <v>23</v>
      </c>
      <c r="I1231" s="52" t="s">
        <v>23</v>
      </c>
      <c r="M1231" s="58" t="s">
        <v>25</v>
      </c>
    </row>
    <row r="1232" spans="1:21">
      <c r="A1232" s="47">
        <v>23117818</v>
      </c>
      <c r="B1232" s="46" t="s">
        <v>394</v>
      </c>
      <c r="C1232" s="52" t="s">
        <v>1582</v>
      </c>
      <c r="D1232" s="48">
        <v>26739</v>
      </c>
      <c r="E1232" s="49">
        <f t="shared" ca="1" si="38"/>
        <v>53.290878669573594</v>
      </c>
      <c r="F1232" s="50">
        <v>154765808</v>
      </c>
      <c r="G1232" s="51" t="s">
        <v>86</v>
      </c>
      <c r="I1232" s="52" t="s">
        <v>1497</v>
      </c>
      <c r="J1232" s="46" t="s">
        <v>1583</v>
      </c>
      <c r="M1232" s="53" t="s">
        <v>1584</v>
      </c>
      <c r="N1232" s="55">
        <v>4239456</v>
      </c>
      <c r="O1232" s="55">
        <v>212</v>
      </c>
    </row>
    <row r="1233" spans="1:21">
      <c r="A1233" s="64">
        <v>23117827</v>
      </c>
      <c r="B1233" s="61" t="s">
        <v>4743</v>
      </c>
      <c r="C1233" s="62" t="s">
        <v>4744</v>
      </c>
      <c r="D1233" s="48">
        <v>26739</v>
      </c>
      <c r="E1233" s="49">
        <f t="shared" ca="1" si="38"/>
        <v>53.290878669573594</v>
      </c>
      <c r="F1233" s="63"/>
      <c r="G1233" s="51" t="s">
        <v>23</v>
      </c>
      <c r="I1233" s="65" t="s">
        <v>4708</v>
      </c>
      <c r="J1233" s="61"/>
      <c r="K1233" s="61"/>
      <c r="L1233" s="61"/>
      <c r="M1233" s="53" t="s">
        <v>4745</v>
      </c>
      <c r="N1233" s="55"/>
      <c r="O1233" s="55"/>
    </row>
    <row r="1234" spans="1:21">
      <c r="A1234" s="47">
        <v>23117847</v>
      </c>
      <c r="B1234" s="46" t="s">
        <v>226</v>
      </c>
      <c r="C1234" s="46" t="s">
        <v>895</v>
      </c>
      <c r="D1234" s="48">
        <v>26726</v>
      </c>
      <c r="E1234" s="49">
        <f t="shared" ca="1" si="38"/>
        <v>53.326471632104649</v>
      </c>
      <c r="F1234" s="50">
        <v>155785268</v>
      </c>
      <c r="G1234" s="51" t="s">
        <v>70</v>
      </c>
      <c r="I1234" s="52" t="s">
        <v>889</v>
      </c>
      <c r="J1234" s="46" t="s">
        <v>896</v>
      </c>
      <c r="M1234" s="53" t="s">
        <v>897</v>
      </c>
      <c r="O1234" s="46">
        <v>4247752</v>
      </c>
    </row>
    <row r="1235" spans="1:21">
      <c r="A1235" s="47">
        <v>23118947</v>
      </c>
      <c r="B1235" s="46" t="s">
        <v>2492</v>
      </c>
      <c r="C1235" s="52" t="s">
        <v>843</v>
      </c>
      <c r="E1235" s="49" t="str">
        <f t="shared" ca="1" si="38"/>
        <v/>
      </c>
      <c r="F1235" s="50">
        <v>155616908</v>
      </c>
      <c r="G1235" s="51" t="s">
        <v>78</v>
      </c>
      <c r="I1235" s="52" t="s">
        <v>4499</v>
      </c>
      <c r="J1235" s="46" t="s">
        <v>4540</v>
      </c>
      <c r="M1235" s="53" t="s">
        <v>4541</v>
      </c>
      <c r="N1235" s="55"/>
      <c r="O1235" s="55"/>
    </row>
    <row r="1236" spans="1:21">
      <c r="A1236" s="47">
        <v>23137432</v>
      </c>
      <c r="B1236" s="46" t="s">
        <v>285</v>
      </c>
      <c r="C1236" s="46" t="s">
        <v>3801</v>
      </c>
      <c r="E1236" s="49" t="str">
        <f t="shared" ca="1" si="38"/>
        <v/>
      </c>
      <c r="F1236" s="50">
        <v>156170550</v>
      </c>
      <c r="G1236" s="51" t="s">
        <v>23</v>
      </c>
      <c r="I1236" s="52" t="s">
        <v>3922</v>
      </c>
      <c r="M1236" s="58" t="s">
        <v>25</v>
      </c>
    </row>
    <row r="1237" spans="1:21">
      <c r="A1237" s="47">
        <v>23141145</v>
      </c>
      <c r="B1237" s="46" t="s">
        <v>226</v>
      </c>
      <c r="C1237" s="52" t="s">
        <v>5026</v>
      </c>
      <c r="D1237" s="48" t="s">
        <v>52</v>
      </c>
      <c r="E1237" s="49" t="s">
        <v>52</v>
      </c>
      <c r="F1237" s="50" t="s">
        <v>5028</v>
      </c>
      <c r="G1237" s="51" t="s">
        <v>70</v>
      </c>
      <c r="H1237" s="52" t="s">
        <v>5029</v>
      </c>
      <c r="I1237" s="65" t="s">
        <v>5826</v>
      </c>
      <c r="J1237" s="46" t="s">
        <v>5030</v>
      </c>
      <c r="K1237" s="46" t="s">
        <v>390</v>
      </c>
      <c r="L1237" s="46" t="s">
        <v>546</v>
      </c>
      <c r="M1237" s="53" t="s">
        <v>5031</v>
      </c>
      <c r="N1237" s="55" t="s">
        <v>52</v>
      </c>
      <c r="O1237" s="55" t="s">
        <v>52</v>
      </c>
      <c r="P1237" s="46" t="s">
        <v>59</v>
      </c>
      <c r="Q1237" s="46" t="s">
        <v>60</v>
      </c>
      <c r="R1237" s="46" t="s">
        <v>61</v>
      </c>
      <c r="S1237" s="46" t="s">
        <v>62</v>
      </c>
      <c r="T1237" s="46" t="s">
        <v>12</v>
      </c>
      <c r="U1237" s="46" t="s">
        <v>63</v>
      </c>
    </row>
    <row r="1238" spans="1:21">
      <c r="A1238" s="47">
        <v>23141217</v>
      </c>
      <c r="B1238" s="46" t="s">
        <v>5968</v>
      </c>
      <c r="C1238" s="46" t="s">
        <v>2613</v>
      </c>
      <c r="E1238" s="49" t="str">
        <f ca="1">IF(D1238="","",YEARFRAC(D1238,TODAY(),1))</f>
        <v/>
      </c>
      <c r="G1238" s="51" t="s">
        <v>23</v>
      </c>
      <c r="I1238" s="52" t="s">
        <v>23</v>
      </c>
      <c r="M1238" s="58" t="s">
        <v>25</v>
      </c>
    </row>
    <row r="1239" spans="1:21">
      <c r="A1239" s="47">
        <v>23163670</v>
      </c>
      <c r="B1239" s="46" t="s">
        <v>499</v>
      </c>
      <c r="C1239" s="52" t="s">
        <v>1853</v>
      </c>
      <c r="D1239" s="48">
        <v>31766</v>
      </c>
      <c r="E1239" s="49">
        <f ca="1">IF(D1239="","",YEARFRAC(D1239,TODAY(),1))</f>
        <v>39.527011686143574</v>
      </c>
      <c r="F1239" s="50">
        <v>155940402</v>
      </c>
      <c r="G1239" s="51" t="s">
        <v>23</v>
      </c>
      <c r="I1239" s="52" t="s">
        <v>1657</v>
      </c>
      <c r="J1239" s="46" t="s">
        <v>729</v>
      </c>
      <c r="M1239" s="53" t="s">
        <v>1854</v>
      </c>
      <c r="N1239" s="55">
        <v>4107562</v>
      </c>
      <c r="O1239" s="55"/>
    </row>
    <row r="1240" spans="1:21">
      <c r="A1240" s="74">
        <v>23167760</v>
      </c>
      <c r="B1240" s="234" t="s">
        <v>9036</v>
      </c>
      <c r="C1240" s="234" t="s">
        <v>9037</v>
      </c>
      <c r="D1240" s="235">
        <v>26703</v>
      </c>
      <c r="E1240" s="236"/>
      <c r="F1240" s="237">
        <v>381154632411</v>
      </c>
      <c r="G1240" s="234" t="s">
        <v>70</v>
      </c>
      <c r="H1240" s="238" t="s">
        <v>9974</v>
      </c>
      <c r="I1240" s="252" t="s">
        <v>1497</v>
      </c>
      <c r="J1240" s="234" t="s">
        <v>1873</v>
      </c>
      <c r="K1240" s="234" t="s">
        <v>2002</v>
      </c>
      <c r="L1240" s="234"/>
      <c r="M1240" s="238" t="s">
        <v>1646</v>
      </c>
      <c r="N1240" s="234"/>
      <c r="O1240" s="234"/>
      <c r="P1240" s="234"/>
      <c r="Q1240" s="234"/>
      <c r="R1240" s="234"/>
      <c r="S1240" s="234"/>
      <c r="T1240" s="234"/>
      <c r="U1240" s="234"/>
    </row>
    <row r="1241" spans="1:21">
      <c r="A1241" s="47">
        <v>23178847</v>
      </c>
      <c r="B1241" s="46" t="s">
        <v>226</v>
      </c>
      <c r="C1241" s="46" t="s">
        <v>895</v>
      </c>
      <c r="D1241" s="48">
        <v>26726</v>
      </c>
      <c r="E1241" s="49">
        <f ca="1">IF(D1241="","",YEARFRAC(D1241,TODAY(),1))</f>
        <v>53.326471632104649</v>
      </c>
      <c r="F1241" s="50">
        <v>155785268</v>
      </c>
      <c r="G1241" s="51" t="s">
        <v>70</v>
      </c>
      <c r="I1241" s="52" t="s">
        <v>23</v>
      </c>
      <c r="J1241" s="46" t="s">
        <v>896</v>
      </c>
      <c r="M1241" s="53" t="s">
        <v>897</v>
      </c>
      <c r="N1241" s="46">
        <v>4247752</v>
      </c>
      <c r="O1241" s="46">
        <v>7105</v>
      </c>
      <c r="P1241" s="46">
        <v>1</v>
      </c>
    </row>
    <row r="1242" spans="1:21">
      <c r="A1242" s="74">
        <v>23238026</v>
      </c>
      <c r="B1242" s="234" t="s">
        <v>9905</v>
      </c>
      <c r="C1242" s="234" t="s">
        <v>8345</v>
      </c>
      <c r="D1242" s="235">
        <v>26748</v>
      </c>
      <c r="E1242" s="236"/>
      <c r="F1242" s="237">
        <v>3815559534</v>
      </c>
      <c r="G1242" s="234" t="s">
        <v>78</v>
      </c>
      <c r="H1242" s="238" t="s">
        <v>9970</v>
      </c>
      <c r="I1242" s="238" t="s">
        <v>5881</v>
      </c>
      <c r="J1242" s="234" t="s">
        <v>10007</v>
      </c>
      <c r="K1242" s="234" t="s">
        <v>2002</v>
      </c>
      <c r="L1242" s="234"/>
      <c r="M1242" s="238" t="s">
        <v>9939</v>
      </c>
      <c r="N1242" s="234"/>
      <c r="O1242" s="234"/>
      <c r="P1242" s="234"/>
      <c r="Q1242" s="234"/>
      <c r="R1242" s="234"/>
      <c r="S1242" s="234"/>
      <c r="T1242" s="234"/>
      <c r="U1242" s="234"/>
    </row>
    <row r="1243" spans="1:21">
      <c r="A1243" s="47">
        <v>23238216</v>
      </c>
      <c r="B1243" s="46" t="s">
        <v>5587</v>
      </c>
      <c r="C1243" s="52" t="s">
        <v>5588</v>
      </c>
      <c r="E1243" s="49" t="str">
        <f t="shared" ref="E1243:E1263" ca="1" si="39">IF(D1243="","",YEARFRAC(D1243,TODAY(),1))</f>
        <v/>
      </c>
      <c r="F1243" s="50">
        <v>4526020</v>
      </c>
      <c r="G1243" s="51" t="s">
        <v>23</v>
      </c>
      <c r="I1243" s="52" t="s">
        <v>5494</v>
      </c>
      <c r="J1243" s="55"/>
      <c r="K1243" s="55"/>
      <c r="L1243" s="55"/>
      <c r="M1243" s="58" t="s">
        <v>25</v>
      </c>
      <c r="N1243" s="55"/>
      <c r="O1243" s="55"/>
    </row>
    <row r="1244" spans="1:21">
      <c r="A1244" s="47">
        <v>23238427</v>
      </c>
      <c r="B1244" s="46" t="s">
        <v>3734</v>
      </c>
      <c r="C1244" s="46" t="s">
        <v>3735</v>
      </c>
      <c r="D1244" s="48" t="s">
        <v>52</v>
      </c>
      <c r="E1244" s="49" t="str">
        <f t="shared" ca="1" si="39"/>
        <v/>
      </c>
      <c r="F1244" s="50" t="s">
        <v>3736</v>
      </c>
      <c r="G1244" s="51" t="s">
        <v>352</v>
      </c>
      <c r="H1244" s="52" t="s">
        <v>52</v>
      </c>
      <c r="I1244" s="52" t="s">
        <v>3630</v>
      </c>
      <c r="J1244" s="46" t="s">
        <v>1344</v>
      </c>
      <c r="K1244" s="46" t="s">
        <v>81</v>
      </c>
      <c r="L1244" s="46" t="s">
        <v>1732</v>
      </c>
      <c r="M1244" s="53" t="s">
        <v>3737</v>
      </c>
      <c r="N1244" s="46" t="s">
        <v>3723</v>
      </c>
      <c r="O1244" s="46" t="s">
        <v>3724</v>
      </c>
      <c r="P1244" s="46" t="s">
        <v>59</v>
      </c>
      <c r="Q1244" s="46" t="s">
        <v>60</v>
      </c>
      <c r="R1244" s="46" t="s">
        <v>61</v>
      </c>
      <c r="S1244" s="46" t="s">
        <v>62</v>
      </c>
      <c r="T1244" s="46" t="s">
        <v>12</v>
      </c>
      <c r="U1244" s="46" t="s">
        <v>63</v>
      </c>
    </row>
    <row r="1245" spans="1:21">
      <c r="A1245" s="47">
        <v>23238436</v>
      </c>
      <c r="B1245" s="46" t="s">
        <v>1641</v>
      </c>
      <c r="C1245" s="52" t="s">
        <v>1642</v>
      </c>
      <c r="D1245" s="48">
        <v>26792</v>
      </c>
      <c r="E1245" s="49">
        <f t="shared" ca="1" si="39"/>
        <v>53.145768899254676</v>
      </c>
      <c r="F1245" s="50">
        <v>156807980</v>
      </c>
      <c r="G1245" s="51" t="s">
        <v>23</v>
      </c>
      <c r="I1245" s="52" t="s">
        <v>1497</v>
      </c>
      <c r="J1245" s="46" t="s">
        <v>1088</v>
      </c>
      <c r="M1245" s="53" t="s">
        <v>1643</v>
      </c>
      <c r="N1245" s="55"/>
      <c r="O1245" s="55"/>
    </row>
    <row r="1246" spans="1:21">
      <c r="A1246" s="47">
        <v>23238959</v>
      </c>
      <c r="B1246" s="69" t="s">
        <v>288</v>
      </c>
      <c r="C1246" s="52" t="s">
        <v>2538</v>
      </c>
      <c r="D1246" s="48">
        <v>26822</v>
      </c>
      <c r="E1246" s="49">
        <f t="shared" ca="1" si="39"/>
        <v>53.063631293413778</v>
      </c>
      <c r="G1246" s="51" t="s">
        <v>70</v>
      </c>
      <c r="I1246" s="59" t="s">
        <v>908</v>
      </c>
      <c r="J1246" s="46" t="s">
        <v>2539</v>
      </c>
      <c r="M1246" s="53" t="s">
        <v>2540</v>
      </c>
      <c r="N1246" s="55">
        <v>4212400</v>
      </c>
      <c r="O1246" s="55">
        <v>204</v>
      </c>
    </row>
    <row r="1247" spans="1:21">
      <c r="A1247" s="47">
        <v>23239168</v>
      </c>
      <c r="B1247" s="46" t="s">
        <v>5795</v>
      </c>
      <c r="C1247" s="52" t="s">
        <v>5796</v>
      </c>
      <c r="D1247" s="48">
        <v>26811</v>
      </c>
      <c r="E1247" s="49">
        <f t="shared" ca="1" si="39"/>
        <v>53.093748415555439</v>
      </c>
      <c r="F1247" s="50">
        <v>154664063</v>
      </c>
      <c r="G1247" s="51" t="s">
        <v>23</v>
      </c>
      <c r="I1247" s="52" t="s">
        <v>5761</v>
      </c>
      <c r="J1247" s="46" t="s">
        <v>5797</v>
      </c>
      <c r="M1247" s="58" t="s">
        <v>25</v>
      </c>
      <c r="N1247" s="55"/>
      <c r="O1247" s="55"/>
    </row>
    <row r="1248" spans="1:21">
      <c r="A1248" s="47">
        <v>23239188</v>
      </c>
      <c r="B1248" s="46" t="s">
        <v>983</v>
      </c>
      <c r="C1248" s="46" t="s">
        <v>4800</v>
      </c>
      <c r="D1248" s="48" t="s">
        <v>4801</v>
      </c>
      <c r="E1248" s="49">
        <f t="shared" ca="1" si="39"/>
        <v>53.025300410688025</v>
      </c>
      <c r="F1248" s="50" t="s">
        <v>4802</v>
      </c>
      <c r="G1248" s="51" t="s">
        <v>70</v>
      </c>
      <c r="H1248" s="52" t="s">
        <v>4803</v>
      </c>
      <c r="I1248" s="65" t="s">
        <v>4708</v>
      </c>
      <c r="J1248" s="46" t="s">
        <v>4804</v>
      </c>
      <c r="K1248" s="46" t="s">
        <v>390</v>
      </c>
      <c r="L1248" s="46" t="s">
        <v>546</v>
      </c>
      <c r="M1248" s="52" t="s">
        <v>4805</v>
      </c>
      <c r="N1248" s="46" t="s">
        <v>52</v>
      </c>
      <c r="O1248" s="46" t="s">
        <v>52</v>
      </c>
      <c r="P1248" s="46" t="s">
        <v>59</v>
      </c>
      <c r="Q1248" s="46" t="s">
        <v>60</v>
      </c>
      <c r="R1248" s="46" t="s">
        <v>61</v>
      </c>
      <c r="S1248" s="46" t="s">
        <v>62</v>
      </c>
      <c r="T1248" s="46" t="s">
        <v>12</v>
      </c>
      <c r="U1248" s="46" t="s">
        <v>63</v>
      </c>
    </row>
    <row r="1249" spans="1:21">
      <c r="A1249" s="47">
        <v>23239528</v>
      </c>
      <c r="B1249" s="46" t="s">
        <v>4981</v>
      </c>
      <c r="C1249" s="46" t="s">
        <v>4982</v>
      </c>
      <c r="D1249" s="48" t="s">
        <v>52</v>
      </c>
      <c r="E1249" s="49" t="str">
        <f t="shared" ca="1" si="39"/>
        <v/>
      </c>
      <c r="F1249" s="50" t="s">
        <v>4983</v>
      </c>
      <c r="G1249" s="51" t="s">
        <v>78</v>
      </c>
      <c r="H1249" s="52" t="s">
        <v>4984</v>
      </c>
      <c r="I1249" s="52" t="s">
        <v>4954</v>
      </c>
      <c r="J1249" s="46" t="s">
        <v>4985</v>
      </c>
      <c r="K1249" s="46" t="s">
        <v>81</v>
      </c>
      <c r="L1249" s="46" t="s">
        <v>52</v>
      </c>
      <c r="M1249" s="53" t="s">
        <v>4986</v>
      </c>
      <c r="N1249" s="46" t="s">
        <v>52</v>
      </c>
      <c r="O1249" s="46" t="s">
        <v>845</v>
      </c>
      <c r="P1249" s="46" t="s">
        <v>59</v>
      </c>
      <c r="Q1249" s="46" t="s">
        <v>60</v>
      </c>
      <c r="R1249" s="46" t="s">
        <v>61</v>
      </c>
      <c r="S1249" s="46" t="s">
        <v>62</v>
      </c>
      <c r="T1249" s="46" t="s">
        <v>12</v>
      </c>
      <c r="U1249" s="46" t="s">
        <v>63</v>
      </c>
    </row>
    <row r="1250" spans="1:21">
      <c r="A1250" s="47">
        <v>23257760</v>
      </c>
      <c r="B1250" s="46" t="s">
        <v>199</v>
      </c>
      <c r="C1250" s="52" t="s">
        <v>200</v>
      </c>
      <c r="D1250" s="48">
        <v>26778</v>
      </c>
      <c r="E1250" s="49">
        <f t="shared" ca="1" si="39"/>
        <v>53.184099781980429</v>
      </c>
      <c r="F1250" s="50">
        <v>154122318</v>
      </c>
      <c r="G1250" s="51" t="s">
        <v>23</v>
      </c>
      <c r="I1250" s="52" t="s">
        <v>24</v>
      </c>
      <c r="J1250" s="46" t="s">
        <v>201</v>
      </c>
      <c r="M1250" s="53" t="s">
        <v>202</v>
      </c>
      <c r="N1250" s="55"/>
      <c r="O1250" s="55"/>
    </row>
    <row r="1251" spans="1:21">
      <c r="A1251" s="47">
        <v>23271081</v>
      </c>
      <c r="B1251" s="46" t="s">
        <v>207</v>
      </c>
      <c r="C1251" s="52" t="s">
        <v>1734</v>
      </c>
      <c r="D1251" s="48">
        <v>26750</v>
      </c>
      <c r="E1251" s="49">
        <f t="shared" ca="1" si="39"/>
        <v>53.260761547431926</v>
      </c>
      <c r="F1251" s="50">
        <v>155761709</v>
      </c>
      <c r="G1251" s="51" t="s">
        <v>23</v>
      </c>
      <c r="I1251" s="52" t="s">
        <v>1657</v>
      </c>
      <c r="J1251" s="46" t="s">
        <v>1590</v>
      </c>
      <c r="M1251" s="58" t="s">
        <v>25</v>
      </c>
      <c r="N1251" s="55">
        <v>4107546</v>
      </c>
      <c r="O1251" s="55"/>
    </row>
    <row r="1252" spans="1:21">
      <c r="A1252" s="47">
        <v>23310064</v>
      </c>
      <c r="B1252" s="46" t="s">
        <v>342</v>
      </c>
      <c r="C1252" s="46" t="s">
        <v>2870</v>
      </c>
      <c r="D1252" s="48">
        <v>26756</v>
      </c>
      <c r="E1252" s="49">
        <f t="shared" ca="1" si="39"/>
        <v>53.244334026263751</v>
      </c>
      <c r="F1252" s="50">
        <v>156486848</v>
      </c>
      <c r="G1252" s="51" t="s">
        <v>141</v>
      </c>
      <c r="I1252" s="52" t="s">
        <v>2854</v>
      </c>
      <c r="J1252" s="46" t="s">
        <v>2871</v>
      </c>
      <c r="M1252" s="52" t="s">
        <v>2872</v>
      </c>
      <c r="N1252" s="46">
        <v>4107223</v>
      </c>
      <c r="O1252" s="46">
        <v>7223</v>
      </c>
      <c r="P1252" s="46">
        <v>3</v>
      </c>
    </row>
    <row r="1253" spans="1:21">
      <c r="A1253" s="47">
        <v>23319971</v>
      </c>
      <c r="B1253" s="46" t="s">
        <v>2294</v>
      </c>
      <c r="C1253" s="46" t="s">
        <v>3163</v>
      </c>
      <c r="D1253" s="48">
        <v>26987</v>
      </c>
      <c r="E1253" s="49">
        <f t="shared" ca="1" si="39"/>
        <v>52.611874461288849</v>
      </c>
      <c r="F1253" s="50">
        <v>155185620</v>
      </c>
      <c r="G1253" s="51" t="s">
        <v>86</v>
      </c>
      <c r="I1253" s="52" t="s">
        <v>3127</v>
      </c>
      <c r="M1253" s="53" t="s">
        <v>3164</v>
      </c>
      <c r="O1253" s="46">
        <v>4556119</v>
      </c>
    </row>
    <row r="1254" spans="1:21">
      <c r="A1254" s="47">
        <v>23377039</v>
      </c>
      <c r="B1254" s="46" t="s">
        <v>1119</v>
      </c>
      <c r="C1254" s="52" t="s">
        <v>2078</v>
      </c>
      <c r="D1254" s="48">
        <v>26849</v>
      </c>
      <c r="E1254" s="49">
        <f t="shared" ca="1" si="39"/>
        <v>52.98970744815697</v>
      </c>
      <c r="F1254" s="50">
        <v>156984855</v>
      </c>
      <c r="G1254" s="51" t="s">
        <v>23</v>
      </c>
      <c r="I1254" s="52" t="s">
        <v>1881</v>
      </c>
      <c r="J1254" s="46" t="s">
        <v>2079</v>
      </c>
      <c r="M1254" s="58" t="s">
        <v>25</v>
      </c>
      <c r="N1254" s="55"/>
      <c r="O1254" s="55"/>
    </row>
    <row r="1255" spans="1:21">
      <c r="A1255" s="47">
        <v>23381097</v>
      </c>
      <c r="B1255" s="46" t="s">
        <v>3842</v>
      </c>
      <c r="C1255" s="46" t="s">
        <v>902</v>
      </c>
      <c r="D1255" s="48">
        <v>42943</v>
      </c>
      <c r="E1255" s="49">
        <f t="shared" ca="1" si="39"/>
        <v>8.926615553121577</v>
      </c>
      <c r="F1255" s="50">
        <v>153525698</v>
      </c>
      <c r="G1255" s="51" t="s">
        <v>78</v>
      </c>
      <c r="I1255" s="52" t="s">
        <v>3630</v>
      </c>
      <c r="J1255" s="46" t="s">
        <v>38</v>
      </c>
      <c r="M1255" s="53" t="s">
        <v>3843</v>
      </c>
      <c r="P1255" s="46">
        <v>4</v>
      </c>
    </row>
    <row r="1256" spans="1:21">
      <c r="A1256" s="47">
        <v>23383293</v>
      </c>
      <c r="B1256" s="46" t="s">
        <v>3725</v>
      </c>
      <c r="C1256" s="46" t="s">
        <v>3726</v>
      </c>
      <c r="E1256" s="49" t="str">
        <f t="shared" ca="1" si="39"/>
        <v/>
      </c>
      <c r="F1256" s="50">
        <v>155102189</v>
      </c>
      <c r="G1256" s="51" t="s">
        <v>23</v>
      </c>
      <c r="I1256" s="52" t="s">
        <v>3630</v>
      </c>
      <c r="M1256" s="53" t="s">
        <v>3727</v>
      </c>
    </row>
    <row r="1257" spans="1:21">
      <c r="A1257" s="47">
        <v>23387097</v>
      </c>
      <c r="B1257" s="46" t="s">
        <v>3842</v>
      </c>
      <c r="C1257" s="46" t="s">
        <v>902</v>
      </c>
      <c r="D1257" s="48" t="s">
        <v>52</v>
      </c>
      <c r="E1257" s="49" t="str">
        <f t="shared" ca="1" si="39"/>
        <v/>
      </c>
      <c r="F1257" s="50" t="s">
        <v>3844</v>
      </c>
      <c r="G1257" s="51" t="s">
        <v>86</v>
      </c>
      <c r="H1257" s="52" t="s">
        <v>3845</v>
      </c>
      <c r="I1257" s="52" t="s">
        <v>3630</v>
      </c>
      <c r="J1257" s="46" t="s">
        <v>3846</v>
      </c>
      <c r="K1257" s="46" t="s">
        <v>81</v>
      </c>
      <c r="L1257" s="46" t="s">
        <v>52</v>
      </c>
      <c r="M1257" s="53" t="s">
        <v>3847</v>
      </c>
      <c r="N1257" s="46" t="s">
        <v>3848</v>
      </c>
      <c r="O1257" s="46" t="s">
        <v>52</v>
      </c>
      <c r="P1257" s="46" t="s">
        <v>59</v>
      </c>
      <c r="Q1257" s="46" t="s">
        <v>60</v>
      </c>
      <c r="R1257" s="46" t="s">
        <v>61</v>
      </c>
      <c r="S1257" s="46" t="s">
        <v>62</v>
      </c>
      <c r="T1257" s="46" t="s">
        <v>12</v>
      </c>
      <c r="U1257" s="46" t="s">
        <v>63</v>
      </c>
    </row>
    <row r="1258" spans="1:21">
      <c r="A1258" s="47">
        <v>23411308</v>
      </c>
      <c r="B1258" s="46" t="s">
        <v>2359</v>
      </c>
      <c r="C1258" s="52" t="s">
        <v>962</v>
      </c>
      <c r="D1258" s="48" t="s">
        <v>52</v>
      </c>
      <c r="E1258" s="49" t="str">
        <f t="shared" ca="1" si="39"/>
        <v/>
      </c>
      <c r="F1258" s="50" t="s">
        <v>2360</v>
      </c>
      <c r="G1258" s="51" t="s">
        <v>70</v>
      </c>
      <c r="H1258" s="52" t="s">
        <v>2361</v>
      </c>
      <c r="I1258" s="52" t="s">
        <v>1497</v>
      </c>
      <c r="J1258" s="46" t="s">
        <v>52</v>
      </c>
      <c r="K1258" s="46" t="s">
        <v>390</v>
      </c>
      <c r="L1258" s="46" t="s">
        <v>52</v>
      </c>
      <c r="M1258" s="53" t="s">
        <v>2362</v>
      </c>
      <c r="N1258" s="55" t="s">
        <v>2363</v>
      </c>
      <c r="O1258" s="55" t="s">
        <v>52</v>
      </c>
      <c r="P1258" s="46" t="s">
        <v>59</v>
      </c>
      <c r="Q1258" s="46" t="s">
        <v>60</v>
      </c>
      <c r="R1258" s="46" t="s">
        <v>61</v>
      </c>
      <c r="S1258" s="46" t="s">
        <v>62</v>
      </c>
      <c r="T1258" s="46" t="s">
        <v>12</v>
      </c>
      <c r="U1258" s="46" t="s">
        <v>63</v>
      </c>
    </row>
    <row r="1259" spans="1:21">
      <c r="A1259" s="47">
        <v>23482168</v>
      </c>
      <c r="B1259" s="46" t="s">
        <v>3867</v>
      </c>
      <c r="C1259" s="52" t="s">
        <v>3868</v>
      </c>
      <c r="D1259" s="48">
        <v>26937</v>
      </c>
      <c r="E1259" s="49">
        <f t="shared" ca="1" si="39"/>
        <v>52.748770471023676</v>
      </c>
      <c r="F1259" s="50">
        <v>154626721</v>
      </c>
      <c r="G1259" s="51" t="s">
        <v>23</v>
      </c>
      <c r="I1259" s="52" t="s">
        <v>3630</v>
      </c>
      <c r="J1259" s="46" t="s">
        <v>3869</v>
      </c>
      <c r="M1259" s="53" t="s">
        <v>3870</v>
      </c>
      <c r="N1259" s="55"/>
      <c r="O1259" s="55"/>
    </row>
    <row r="1260" spans="1:21">
      <c r="A1260" s="47">
        <v>23496107</v>
      </c>
      <c r="B1260" s="46" t="s">
        <v>4067</v>
      </c>
      <c r="C1260" s="52" t="s">
        <v>33</v>
      </c>
      <c r="E1260" s="49" t="str">
        <f t="shared" ca="1" si="39"/>
        <v/>
      </c>
      <c r="F1260" s="50">
        <v>156132978</v>
      </c>
      <c r="G1260" s="51" t="s">
        <v>141</v>
      </c>
      <c r="I1260" s="52" t="s">
        <v>4499</v>
      </c>
      <c r="J1260" s="46" t="s">
        <v>234</v>
      </c>
      <c r="M1260" s="58" t="s">
        <v>25</v>
      </c>
      <c r="N1260" s="55">
        <v>4227589</v>
      </c>
      <c r="O1260" s="55"/>
    </row>
    <row r="1261" spans="1:21">
      <c r="A1261" s="47">
        <v>23498695</v>
      </c>
      <c r="B1261" s="46" t="s">
        <v>2862</v>
      </c>
      <c r="C1261" s="46" t="s">
        <v>2863</v>
      </c>
      <c r="D1261" s="48">
        <v>26929</v>
      </c>
      <c r="E1261" s="49">
        <f t="shared" ca="1" si="39"/>
        <v>52.770673832581245</v>
      </c>
      <c r="F1261" s="50">
        <v>155034777</v>
      </c>
      <c r="G1261" s="51" t="s">
        <v>70</v>
      </c>
      <c r="I1261" s="52" t="s">
        <v>2854</v>
      </c>
      <c r="M1261" s="53" t="s">
        <v>2864</v>
      </c>
      <c r="N1261" s="46">
        <v>4107223</v>
      </c>
    </row>
    <row r="1262" spans="1:21">
      <c r="A1262" s="47">
        <v>23517103</v>
      </c>
      <c r="B1262" s="46" t="s">
        <v>3612</v>
      </c>
      <c r="C1262" s="46" t="s">
        <v>3613</v>
      </c>
      <c r="D1262" s="48" t="s">
        <v>52</v>
      </c>
      <c r="E1262" s="49" t="str">
        <f t="shared" ca="1" si="39"/>
        <v/>
      </c>
      <c r="F1262" s="50" t="s">
        <v>3614</v>
      </c>
      <c r="G1262" s="51" t="s">
        <v>70</v>
      </c>
      <c r="H1262" s="52" t="s">
        <v>8774</v>
      </c>
      <c r="I1262" s="52" t="s">
        <v>3555</v>
      </c>
      <c r="J1262" s="46" t="s">
        <v>3615</v>
      </c>
      <c r="K1262" s="46" t="s">
        <v>390</v>
      </c>
      <c r="L1262" s="46" t="s">
        <v>52</v>
      </c>
      <c r="M1262" s="52" t="s">
        <v>3616</v>
      </c>
      <c r="N1262" s="46" t="s">
        <v>3611</v>
      </c>
      <c r="O1262" s="46" t="s">
        <v>52</v>
      </c>
      <c r="P1262" s="46" t="s">
        <v>59</v>
      </c>
      <c r="Q1262" s="46" t="s">
        <v>60</v>
      </c>
      <c r="R1262" s="46" t="s">
        <v>61</v>
      </c>
      <c r="S1262" s="46" t="s">
        <v>62</v>
      </c>
      <c r="T1262" s="46" t="s">
        <v>12</v>
      </c>
      <c r="U1262" s="46" t="s">
        <v>63</v>
      </c>
    </row>
    <row r="1263" spans="1:21">
      <c r="A1263" s="47">
        <v>23517363</v>
      </c>
      <c r="B1263" s="46" t="s">
        <v>1983</v>
      </c>
      <c r="C1263" s="55" t="s">
        <v>1984</v>
      </c>
      <c r="D1263" s="48" t="s">
        <v>1985</v>
      </c>
      <c r="E1263" s="49">
        <f t="shared" ca="1" si="39"/>
        <v>52.836383917253961</v>
      </c>
      <c r="F1263" s="50" t="s">
        <v>1986</v>
      </c>
      <c r="G1263" s="51" t="s">
        <v>78</v>
      </c>
      <c r="H1263" s="52" t="s">
        <v>1987</v>
      </c>
      <c r="I1263" s="52" t="s">
        <v>1881</v>
      </c>
      <c r="J1263" s="46" t="s">
        <v>38</v>
      </c>
      <c r="K1263" s="46" t="s">
        <v>81</v>
      </c>
      <c r="L1263" s="46" t="s">
        <v>52</v>
      </c>
      <c r="M1263" s="53" t="s">
        <v>1988</v>
      </c>
      <c r="N1263" s="46" t="s">
        <v>1936</v>
      </c>
      <c r="O1263" s="46" t="s">
        <v>52</v>
      </c>
      <c r="P1263" s="46" t="s">
        <v>59</v>
      </c>
      <c r="Q1263" s="46" t="s">
        <v>60</v>
      </c>
      <c r="R1263" s="46" t="s">
        <v>61</v>
      </c>
      <c r="S1263" s="46" t="s">
        <v>62</v>
      </c>
      <c r="T1263" s="46" t="s">
        <v>12</v>
      </c>
      <c r="U1263" s="46" t="s">
        <v>63</v>
      </c>
    </row>
    <row r="1264" spans="1:21">
      <c r="A1264" s="47">
        <v>23517381</v>
      </c>
      <c r="B1264" s="46" t="s">
        <v>288</v>
      </c>
      <c r="C1264" s="46" t="s">
        <v>9554</v>
      </c>
      <c r="D1264" s="48" t="s">
        <v>9504</v>
      </c>
      <c r="E1264" s="49" t="s">
        <v>1782</v>
      </c>
      <c r="F1264" s="50" t="s">
        <v>9555</v>
      </c>
      <c r="G1264" s="51" t="s">
        <v>70</v>
      </c>
      <c r="H1264" s="52" t="s">
        <v>9556</v>
      </c>
      <c r="I1264" s="52" t="s">
        <v>5826</v>
      </c>
      <c r="J1264" s="46" t="s">
        <v>9557</v>
      </c>
      <c r="K1264" s="46" t="s">
        <v>52</v>
      </c>
      <c r="L1264" s="46" t="s">
        <v>546</v>
      </c>
      <c r="M1264" s="52" t="s">
        <v>6226</v>
      </c>
      <c r="N1264" s="46" t="s">
        <v>52</v>
      </c>
      <c r="O1264" s="46" t="s">
        <v>52</v>
      </c>
      <c r="P1264" s="46" t="s">
        <v>59</v>
      </c>
      <c r="Q1264" s="46" t="s">
        <v>60</v>
      </c>
      <c r="R1264" s="46" t="s">
        <v>61</v>
      </c>
      <c r="S1264" s="46" t="s">
        <v>62</v>
      </c>
      <c r="T1264" s="46" t="s">
        <v>12</v>
      </c>
      <c r="U1264" s="46" t="s">
        <v>63</v>
      </c>
    </row>
    <row r="1265" spans="1:21">
      <c r="A1265" s="47">
        <v>23517781</v>
      </c>
      <c r="B1265" s="46" t="s">
        <v>288</v>
      </c>
      <c r="C1265" s="46" t="s">
        <v>6225</v>
      </c>
      <c r="E1265" s="49" t="str">
        <f t="shared" ref="E1265:E1286" ca="1" si="40">IF(D1265="","",YEARFRAC(D1265,TODAY(),1))</f>
        <v/>
      </c>
      <c r="F1265" s="72">
        <v>154063705</v>
      </c>
      <c r="G1265" s="51" t="s">
        <v>23</v>
      </c>
      <c r="I1265" s="52" t="s">
        <v>23</v>
      </c>
      <c r="M1265" s="53" t="s">
        <v>6226</v>
      </c>
    </row>
    <row r="1266" spans="1:21">
      <c r="A1266" s="64">
        <v>23517786</v>
      </c>
      <c r="B1266" s="61" t="s">
        <v>377</v>
      </c>
      <c r="C1266" s="62" t="s">
        <v>97</v>
      </c>
      <c r="D1266" s="48">
        <v>26958</v>
      </c>
      <c r="E1266" s="49">
        <f t="shared" ca="1" si="40"/>
        <v>52.691274146935051</v>
      </c>
      <c r="F1266" s="72">
        <v>156701415</v>
      </c>
      <c r="G1266" s="51" t="s">
        <v>23</v>
      </c>
      <c r="I1266" s="52" t="s">
        <v>23</v>
      </c>
      <c r="J1266" s="61"/>
      <c r="K1266" s="61"/>
      <c r="L1266" s="61"/>
      <c r="M1266" s="58" t="s">
        <v>25</v>
      </c>
      <c r="N1266" s="55"/>
      <c r="O1266" s="55"/>
    </row>
    <row r="1267" spans="1:21">
      <c r="A1267" s="47">
        <v>23517981</v>
      </c>
      <c r="B1267" s="46" t="s">
        <v>6647</v>
      </c>
      <c r="C1267" s="46" t="s">
        <v>938</v>
      </c>
      <c r="D1267" s="48" t="s">
        <v>52</v>
      </c>
      <c r="E1267" s="49" t="str">
        <f t="shared" ca="1" si="40"/>
        <v/>
      </c>
      <c r="F1267" s="50" t="s">
        <v>6648</v>
      </c>
      <c r="G1267" s="51" t="s">
        <v>70</v>
      </c>
      <c r="H1267" s="52" t="s">
        <v>6649</v>
      </c>
      <c r="I1267" s="52" t="s">
        <v>3287</v>
      </c>
      <c r="J1267" s="46" t="s">
        <v>6650</v>
      </c>
      <c r="K1267" s="46" t="s">
        <v>81</v>
      </c>
      <c r="L1267" s="46" t="s">
        <v>546</v>
      </c>
      <c r="M1267" s="52" t="s">
        <v>6651</v>
      </c>
      <c r="N1267" s="46" t="s">
        <v>52</v>
      </c>
      <c r="O1267" s="46" t="s">
        <v>52</v>
      </c>
      <c r="P1267" s="46" t="s">
        <v>59</v>
      </c>
      <c r="Q1267" s="46" t="s">
        <v>60</v>
      </c>
      <c r="R1267" s="46" t="s">
        <v>61</v>
      </c>
      <c r="S1267" s="46" t="s">
        <v>62</v>
      </c>
      <c r="T1267" s="46" t="s">
        <v>12</v>
      </c>
      <c r="U1267" s="46" t="s">
        <v>63</v>
      </c>
    </row>
    <row r="1268" spans="1:21">
      <c r="A1268" s="47">
        <v>23518101</v>
      </c>
      <c r="B1268" s="46" t="s">
        <v>891</v>
      </c>
      <c r="C1268" s="46" t="s">
        <v>892</v>
      </c>
      <c r="D1268" s="48">
        <v>26969</v>
      </c>
      <c r="E1268" s="49">
        <f t="shared" ca="1" si="40"/>
        <v>52.661157024793383</v>
      </c>
      <c r="F1268" s="72"/>
      <c r="G1268" s="51" t="s">
        <v>86</v>
      </c>
      <c r="I1268" s="52" t="s">
        <v>889</v>
      </c>
      <c r="J1268" s="46" t="s">
        <v>893</v>
      </c>
      <c r="M1268" s="53" t="s">
        <v>894</v>
      </c>
      <c r="P1268" s="46">
        <v>1</v>
      </c>
    </row>
    <row r="1269" spans="1:21">
      <c r="A1269" s="47">
        <v>23518171</v>
      </c>
      <c r="B1269" s="46" t="s">
        <v>2228</v>
      </c>
      <c r="C1269" s="52" t="s">
        <v>1535</v>
      </c>
      <c r="D1269" s="48">
        <v>26983</v>
      </c>
      <c r="E1269" s="49">
        <f t="shared" ca="1" si="40"/>
        <v>52.62282614206763</v>
      </c>
      <c r="F1269" s="72">
        <v>156815271</v>
      </c>
      <c r="G1269" s="51" t="s">
        <v>23</v>
      </c>
      <c r="I1269" s="52" t="s">
        <v>23</v>
      </c>
      <c r="J1269" s="46" t="s">
        <v>6344</v>
      </c>
      <c r="M1269" s="53" t="s">
        <v>6345</v>
      </c>
      <c r="N1269" s="55"/>
      <c r="O1269" s="55">
        <v>7105</v>
      </c>
    </row>
    <row r="1270" spans="1:21">
      <c r="A1270" s="47">
        <v>23518216</v>
      </c>
      <c r="B1270" s="46" t="s">
        <v>3704</v>
      </c>
      <c r="C1270" s="46" t="s">
        <v>1459</v>
      </c>
      <c r="D1270" s="48">
        <v>27009</v>
      </c>
      <c r="E1270" s="49">
        <f t="shared" ca="1" si="40"/>
        <v>52.55164021700552</v>
      </c>
      <c r="F1270" s="72">
        <v>156731927</v>
      </c>
      <c r="G1270" s="51" t="s">
        <v>70</v>
      </c>
      <c r="I1270" s="52" t="s">
        <v>3630</v>
      </c>
      <c r="J1270" s="46" t="s">
        <v>1563</v>
      </c>
      <c r="M1270" s="53" t="s">
        <v>3705</v>
      </c>
    </row>
    <row r="1271" spans="1:21">
      <c r="A1271" s="47">
        <v>23518353</v>
      </c>
      <c r="B1271" s="46" t="s">
        <v>2026</v>
      </c>
      <c r="C1271" s="46" t="s">
        <v>3576</v>
      </c>
      <c r="D1271" s="48">
        <v>26992</v>
      </c>
      <c r="E1271" s="49">
        <f t="shared" ca="1" si="40"/>
        <v>52.598184860315364</v>
      </c>
      <c r="F1271" s="72">
        <v>156796607</v>
      </c>
      <c r="G1271" s="51" t="s">
        <v>78</v>
      </c>
      <c r="I1271" s="52" t="s">
        <v>3555</v>
      </c>
      <c r="M1271" s="53" t="s">
        <v>3577</v>
      </c>
      <c r="N1271" s="46">
        <v>4211071</v>
      </c>
    </row>
    <row r="1272" spans="1:21">
      <c r="A1272" s="47">
        <v>23518386</v>
      </c>
      <c r="B1272" s="46" t="s">
        <v>260</v>
      </c>
      <c r="C1272" s="46" t="s">
        <v>6195</v>
      </c>
      <c r="E1272" s="49" t="str">
        <f t="shared" ca="1" si="40"/>
        <v/>
      </c>
      <c r="F1272" s="72">
        <v>155984411</v>
      </c>
      <c r="G1272" s="51" t="s">
        <v>23</v>
      </c>
      <c r="I1272" s="52" t="s">
        <v>23</v>
      </c>
      <c r="M1272" s="53" t="s">
        <v>6196</v>
      </c>
    </row>
    <row r="1273" spans="1:21">
      <c r="A1273" s="47">
        <v>23518411</v>
      </c>
      <c r="B1273" s="46" t="s">
        <v>1928</v>
      </c>
      <c r="C1273" s="52" t="s">
        <v>1172</v>
      </c>
      <c r="D1273" s="48">
        <v>26994</v>
      </c>
      <c r="E1273" s="49">
        <f t="shared" ca="1" si="40"/>
        <v>52.592709019925969</v>
      </c>
      <c r="F1273" s="50">
        <v>156713200</v>
      </c>
      <c r="G1273" s="51" t="s">
        <v>23</v>
      </c>
      <c r="I1273" s="52" t="s">
        <v>1881</v>
      </c>
      <c r="J1273" s="46" t="s">
        <v>1929</v>
      </c>
      <c r="M1273" s="53" t="s">
        <v>1930</v>
      </c>
      <c r="N1273" s="55"/>
      <c r="O1273" s="55"/>
    </row>
    <row r="1274" spans="1:21">
      <c r="A1274" s="47">
        <v>23518638</v>
      </c>
      <c r="B1274" s="46" t="s">
        <v>6440</v>
      </c>
      <c r="C1274" s="52" t="s">
        <v>6441</v>
      </c>
      <c r="D1274" s="48">
        <v>27009</v>
      </c>
      <c r="E1274" s="49">
        <f t="shared" ca="1" si="40"/>
        <v>52.55164021700552</v>
      </c>
      <c r="F1274" s="50">
        <v>155391444</v>
      </c>
      <c r="G1274" s="51" t="s">
        <v>23</v>
      </c>
      <c r="I1274" s="52" t="s">
        <v>23</v>
      </c>
      <c r="J1274" s="46" t="s">
        <v>48</v>
      </c>
      <c r="M1274" s="53" t="s">
        <v>6442</v>
      </c>
      <c r="N1274" s="55"/>
      <c r="O1274" s="55"/>
    </row>
    <row r="1275" spans="1:21">
      <c r="A1275" s="47">
        <v>23518746</v>
      </c>
      <c r="B1275" s="46" t="s">
        <v>734</v>
      </c>
      <c r="C1275" s="46" t="s">
        <v>1187</v>
      </c>
      <c r="D1275" s="48">
        <v>27033</v>
      </c>
      <c r="E1275" s="49">
        <f t="shared" ca="1" si="40"/>
        <v>52.485277404690564</v>
      </c>
      <c r="F1275" s="50">
        <v>154047450</v>
      </c>
      <c r="G1275" s="51" t="s">
        <v>86</v>
      </c>
      <c r="I1275" s="59" t="s">
        <v>908</v>
      </c>
      <c r="J1275" s="46" t="s">
        <v>1188</v>
      </c>
      <c r="M1275" s="53" t="s">
        <v>1189</v>
      </c>
      <c r="N1275" s="46">
        <v>4107211</v>
      </c>
      <c r="O1275" s="46">
        <v>7211</v>
      </c>
      <c r="P1275" s="46">
        <v>1</v>
      </c>
    </row>
    <row r="1276" spans="1:21">
      <c r="A1276" s="47">
        <v>23519007</v>
      </c>
      <c r="B1276" s="46" t="s">
        <v>3863</v>
      </c>
      <c r="C1276" s="52" t="s">
        <v>3864</v>
      </c>
      <c r="D1276" s="48">
        <v>27029</v>
      </c>
      <c r="E1276" s="49">
        <f t="shared" ca="1" si="40"/>
        <v>52.496881813111592</v>
      </c>
      <c r="F1276" s="50">
        <v>156264608</v>
      </c>
      <c r="G1276" s="51" t="s">
        <v>23</v>
      </c>
      <c r="I1276" s="52" t="s">
        <v>3630</v>
      </c>
      <c r="J1276" s="46" t="s">
        <v>3865</v>
      </c>
      <c r="M1276" s="53" t="s">
        <v>3866</v>
      </c>
      <c r="N1276" s="55">
        <v>4107359</v>
      </c>
      <c r="O1276" s="55"/>
    </row>
    <row r="1277" spans="1:21">
      <c r="A1277" s="47">
        <v>23519123</v>
      </c>
      <c r="B1277" s="46" t="s">
        <v>3371</v>
      </c>
      <c r="C1277" s="55" t="s">
        <v>1103</v>
      </c>
      <c r="D1277" s="48">
        <v>27045</v>
      </c>
      <c r="E1277" s="49">
        <f t="shared" ca="1" si="40"/>
        <v>52.452422770947408</v>
      </c>
      <c r="F1277" s="50">
        <v>154637201</v>
      </c>
      <c r="G1277" s="51" t="s">
        <v>23</v>
      </c>
      <c r="I1277" s="52" t="s">
        <v>3327</v>
      </c>
      <c r="J1277" s="55" t="s">
        <v>3372</v>
      </c>
      <c r="K1277" s="55"/>
      <c r="L1277" s="55"/>
      <c r="M1277" s="53" t="s">
        <v>3373</v>
      </c>
      <c r="N1277" s="55">
        <v>4353681</v>
      </c>
      <c r="O1277" s="55"/>
    </row>
    <row r="1278" spans="1:21">
      <c r="A1278" s="47">
        <v>23519447</v>
      </c>
      <c r="B1278" s="46" t="s">
        <v>2195</v>
      </c>
      <c r="C1278" s="46" t="s">
        <v>2198</v>
      </c>
      <c r="D1278" s="48" t="s">
        <v>2199</v>
      </c>
      <c r="E1278" s="49">
        <f t="shared" ca="1" si="40"/>
        <v>52.452422770947408</v>
      </c>
      <c r="F1278" s="50" t="s">
        <v>2200</v>
      </c>
      <c r="G1278" s="51" t="s">
        <v>70</v>
      </c>
      <c r="H1278" s="52" t="s">
        <v>2201</v>
      </c>
      <c r="I1278" s="52" t="s">
        <v>1881</v>
      </c>
      <c r="J1278" s="46" t="s">
        <v>52</v>
      </c>
      <c r="K1278" s="46" t="s">
        <v>81</v>
      </c>
      <c r="L1278" s="46" t="s">
        <v>1782</v>
      </c>
      <c r="M1278" s="53" t="s">
        <v>2202</v>
      </c>
      <c r="N1278" s="46" t="s">
        <v>2203</v>
      </c>
      <c r="O1278" s="46" t="s">
        <v>2204</v>
      </c>
      <c r="P1278" s="46" t="s">
        <v>59</v>
      </c>
      <c r="Q1278" s="46" t="s">
        <v>60</v>
      </c>
      <c r="R1278" s="46" t="s">
        <v>61</v>
      </c>
      <c r="S1278" s="46" t="s">
        <v>62</v>
      </c>
      <c r="T1278" s="46" t="s">
        <v>12</v>
      </c>
      <c r="U1278" s="46" t="s">
        <v>63</v>
      </c>
    </row>
    <row r="1279" spans="1:21">
      <c r="A1279" s="47">
        <v>23519455</v>
      </c>
      <c r="B1279" s="46" t="s">
        <v>4964</v>
      </c>
      <c r="C1279" s="52" t="s">
        <v>4965</v>
      </c>
      <c r="D1279" s="48">
        <v>27049</v>
      </c>
      <c r="E1279" s="49">
        <f t="shared" ca="1" si="40"/>
        <v>52.441471226366353</v>
      </c>
      <c r="F1279" s="50">
        <v>155413349</v>
      </c>
      <c r="G1279" s="51" t="s">
        <v>23</v>
      </c>
      <c r="I1279" s="65" t="s">
        <v>4954</v>
      </c>
      <c r="M1279" s="53" t="s">
        <v>4966</v>
      </c>
      <c r="N1279" s="55" t="s">
        <v>4967</v>
      </c>
      <c r="O1279" s="55"/>
    </row>
    <row r="1280" spans="1:21">
      <c r="A1280" s="47">
        <v>23519543</v>
      </c>
      <c r="B1280" s="46" t="s">
        <v>1401</v>
      </c>
      <c r="C1280" s="46" t="s">
        <v>2447</v>
      </c>
      <c r="D1280" s="48" t="s">
        <v>52</v>
      </c>
      <c r="E1280" s="49" t="str">
        <f t="shared" ca="1" si="40"/>
        <v/>
      </c>
      <c r="F1280" s="50" t="s">
        <v>2448</v>
      </c>
      <c r="G1280" s="51" t="s">
        <v>23</v>
      </c>
      <c r="H1280" s="52" t="s">
        <v>52</v>
      </c>
      <c r="I1280" s="59" t="s">
        <v>908</v>
      </c>
      <c r="J1280" s="46" t="s">
        <v>52</v>
      </c>
      <c r="K1280" s="46" t="s">
        <v>81</v>
      </c>
      <c r="L1280" s="46" t="s">
        <v>52</v>
      </c>
      <c r="M1280" s="53" t="s">
        <v>2449</v>
      </c>
      <c r="N1280" s="46" t="s">
        <v>52</v>
      </c>
      <c r="O1280" s="46" t="s">
        <v>52</v>
      </c>
      <c r="P1280" s="46" t="s">
        <v>59</v>
      </c>
      <c r="Q1280" s="46" t="s">
        <v>60</v>
      </c>
      <c r="R1280" s="46" t="s">
        <v>61</v>
      </c>
      <c r="S1280" s="46" t="s">
        <v>62</v>
      </c>
      <c r="T1280" s="46" t="s">
        <v>12</v>
      </c>
      <c r="U1280" s="46" t="s">
        <v>63</v>
      </c>
    </row>
    <row r="1281" spans="1:21">
      <c r="A1281" s="47">
        <v>23519818</v>
      </c>
      <c r="B1281" s="46" t="s">
        <v>742</v>
      </c>
      <c r="C1281" s="46" t="s">
        <v>3106</v>
      </c>
      <c r="D1281" s="48" t="s">
        <v>52</v>
      </c>
      <c r="E1281" s="49" t="str">
        <f t="shared" ca="1" si="40"/>
        <v/>
      </c>
      <c r="F1281" s="50" t="s">
        <v>3107</v>
      </c>
      <c r="G1281" s="51" t="s">
        <v>70</v>
      </c>
      <c r="H1281" s="52" t="s">
        <v>52</v>
      </c>
      <c r="I1281" s="52" t="s">
        <v>2926</v>
      </c>
      <c r="J1281" s="46" t="s">
        <v>52</v>
      </c>
      <c r="K1281" s="46" t="s">
        <v>81</v>
      </c>
      <c r="L1281" s="46" t="s">
        <v>546</v>
      </c>
      <c r="M1281" s="52" t="s">
        <v>3108</v>
      </c>
      <c r="N1281" s="46" t="s">
        <v>52</v>
      </c>
      <c r="O1281" s="46" t="s">
        <v>52</v>
      </c>
      <c r="P1281" s="46" t="s">
        <v>59</v>
      </c>
      <c r="Q1281" s="46" t="s">
        <v>60</v>
      </c>
      <c r="R1281" s="46" t="s">
        <v>61</v>
      </c>
      <c r="S1281" s="46" t="s">
        <v>62</v>
      </c>
      <c r="T1281" s="46" t="s">
        <v>12</v>
      </c>
      <c r="U1281" s="46" t="s">
        <v>63</v>
      </c>
    </row>
    <row r="1282" spans="1:21">
      <c r="A1282" s="60">
        <v>23519882</v>
      </c>
      <c r="B1282" s="61" t="s">
        <v>4847</v>
      </c>
      <c r="C1282" s="62" t="s">
        <v>6125</v>
      </c>
      <c r="D1282" s="48">
        <v>27079</v>
      </c>
      <c r="E1282" s="49">
        <f t="shared" ca="1" si="40"/>
        <v>52.35933464200847</v>
      </c>
      <c r="F1282" s="63">
        <v>155689077</v>
      </c>
      <c r="G1282" s="51" t="s">
        <v>23</v>
      </c>
      <c r="I1282" s="52" t="s">
        <v>23</v>
      </c>
      <c r="J1282" s="61" t="s">
        <v>6126</v>
      </c>
      <c r="K1282" s="61"/>
      <c r="L1282" s="61"/>
      <c r="M1282" s="58" t="s">
        <v>25</v>
      </c>
      <c r="N1282" s="55"/>
      <c r="O1282" s="55"/>
    </row>
    <row r="1283" spans="1:21">
      <c r="A1283" s="47">
        <v>23546099</v>
      </c>
      <c r="B1283" s="46" t="s">
        <v>288</v>
      </c>
      <c r="C1283" s="52" t="s">
        <v>1138</v>
      </c>
      <c r="E1283" s="49" t="str">
        <f t="shared" ca="1" si="40"/>
        <v/>
      </c>
      <c r="G1283" s="51" t="s">
        <v>23</v>
      </c>
      <c r="I1283" s="59" t="s">
        <v>908</v>
      </c>
      <c r="M1283" s="53" t="s">
        <v>1139</v>
      </c>
      <c r="N1283" s="55"/>
      <c r="O1283" s="55"/>
    </row>
    <row r="1284" spans="1:21">
      <c r="A1284" s="47">
        <v>23564530</v>
      </c>
      <c r="B1284" s="46" t="s">
        <v>5529</v>
      </c>
      <c r="C1284" s="46" t="s">
        <v>6032</v>
      </c>
      <c r="D1284" s="48">
        <v>26935</v>
      </c>
      <c r="E1284" s="49">
        <f t="shared" ca="1" si="40"/>
        <v>52.75424631141307</v>
      </c>
      <c r="F1284" s="50">
        <v>155299188</v>
      </c>
      <c r="G1284" s="51" t="s">
        <v>352</v>
      </c>
      <c r="I1284" s="52" t="s">
        <v>23</v>
      </c>
      <c r="J1284" s="46" t="s">
        <v>2846</v>
      </c>
      <c r="M1284" s="58" t="s">
        <v>25</v>
      </c>
      <c r="N1284" s="46">
        <v>4247752</v>
      </c>
      <c r="O1284" s="46">
        <v>7916</v>
      </c>
      <c r="P1284" s="46">
        <v>1</v>
      </c>
    </row>
    <row r="1285" spans="1:21">
      <c r="A1285" s="47">
        <v>23564843</v>
      </c>
      <c r="B1285" s="46" t="s">
        <v>3837</v>
      </c>
      <c r="C1285" s="52" t="s">
        <v>1353</v>
      </c>
      <c r="D1285" s="48">
        <v>26950</v>
      </c>
      <c r="E1285" s="49">
        <f t="shared" ca="1" si="40"/>
        <v>52.71317750849262</v>
      </c>
      <c r="F1285" s="50">
        <v>156244776</v>
      </c>
      <c r="G1285" s="51" t="s">
        <v>23</v>
      </c>
      <c r="I1285" s="52" t="s">
        <v>3630</v>
      </c>
      <c r="M1285" s="53" t="s">
        <v>3838</v>
      </c>
      <c r="N1285" s="55"/>
      <c r="O1285" s="55"/>
    </row>
    <row r="1286" spans="1:21">
      <c r="A1286" s="47">
        <v>23565435</v>
      </c>
      <c r="B1286" s="69" t="s">
        <v>690</v>
      </c>
      <c r="C1286" s="52" t="s">
        <v>6200</v>
      </c>
      <c r="E1286" s="49" t="str">
        <f t="shared" ca="1" si="40"/>
        <v/>
      </c>
      <c r="G1286" s="51" t="s">
        <v>23</v>
      </c>
      <c r="I1286" s="52" t="s">
        <v>23</v>
      </c>
      <c r="M1286" s="58" t="s">
        <v>25</v>
      </c>
      <c r="N1286" s="55"/>
      <c r="O1286" s="55"/>
    </row>
    <row r="1287" spans="1:21">
      <c r="A1287" s="47">
        <v>23594913</v>
      </c>
      <c r="B1287" s="46" t="s">
        <v>1257</v>
      </c>
      <c r="C1287" s="46" t="s">
        <v>9316</v>
      </c>
      <c r="D1287" s="48" t="s">
        <v>9317</v>
      </c>
      <c r="E1287" s="49" t="s">
        <v>9318</v>
      </c>
      <c r="F1287" s="50" t="s">
        <v>9319</v>
      </c>
      <c r="G1287" s="51" t="s">
        <v>70</v>
      </c>
      <c r="H1287" s="52" t="s">
        <v>9320</v>
      </c>
      <c r="I1287" s="52" t="s">
        <v>3427</v>
      </c>
      <c r="J1287" s="46" t="s">
        <v>9321</v>
      </c>
      <c r="K1287" s="46" t="s">
        <v>112</v>
      </c>
      <c r="L1287" s="46" t="s">
        <v>546</v>
      </c>
      <c r="M1287" s="52" t="s">
        <v>9322</v>
      </c>
      <c r="N1287" s="46" t="s">
        <v>52</v>
      </c>
      <c r="O1287" s="46" t="s">
        <v>52</v>
      </c>
      <c r="P1287" s="46" t="s">
        <v>59</v>
      </c>
      <c r="Q1287" s="46" t="s">
        <v>60</v>
      </c>
      <c r="R1287" s="46" t="s">
        <v>61</v>
      </c>
      <c r="S1287" s="46" t="s">
        <v>62</v>
      </c>
      <c r="T1287" s="46" t="s">
        <v>12</v>
      </c>
      <c r="U1287" s="46" t="s">
        <v>63</v>
      </c>
    </row>
    <row r="1288" spans="1:21">
      <c r="A1288" s="66">
        <v>23662807</v>
      </c>
      <c r="B1288" s="67" t="s">
        <v>318</v>
      </c>
      <c r="C1288" s="52" t="s">
        <v>319</v>
      </c>
      <c r="D1288" s="48">
        <v>26954</v>
      </c>
      <c r="E1288" s="49">
        <f t="shared" ref="E1288:E1319" ca="1" si="41">IF(D1288="","",YEARFRAC(D1288,TODAY(),1))</f>
        <v>52.702225827713832</v>
      </c>
      <c r="F1288" s="57">
        <v>156783261</v>
      </c>
      <c r="G1288" s="51" t="s">
        <v>23</v>
      </c>
      <c r="I1288" s="52" t="s">
        <v>24</v>
      </c>
      <c r="M1288" s="53" t="s">
        <v>320</v>
      </c>
      <c r="N1288" s="55"/>
      <c r="O1288" s="55"/>
    </row>
    <row r="1289" spans="1:21">
      <c r="A1289" s="47">
        <v>23826272</v>
      </c>
      <c r="B1289" s="46" t="s">
        <v>359</v>
      </c>
      <c r="C1289" s="46" t="s">
        <v>361</v>
      </c>
      <c r="E1289" s="49" t="str">
        <f t="shared" ca="1" si="41"/>
        <v/>
      </c>
      <c r="F1289" s="50">
        <v>3813016449</v>
      </c>
      <c r="G1289" s="51" t="s">
        <v>37</v>
      </c>
      <c r="I1289" s="52" t="s">
        <v>24</v>
      </c>
      <c r="M1289" s="53"/>
      <c r="N1289" s="46">
        <v>4107534</v>
      </c>
    </row>
    <row r="1290" spans="1:21">
      <c r="A1290" s="47">
        <v>23826784</v>
      </c>
      <c r="B1290" s="46" t="s">
        <v>1040</v>
      </c>
      <c r="C1290" s="46" t="s">
        <v>1521</v>
      </c>
      <c r="E1290" s="49" t="str">
        <f t="shared" ca="1" si="41"/>
        <v/>
      </c>
      <c r="F1290" s="50">
        <v>156661353</v>
      </c>
      <c r="G1290" s="51" t="s">
        <v>23</v>
      </c>
      <c r="I1290" s="52" t="s">
        <v>1497</v>
      </c>
      <c r="M1290" s="58" t="s">
        <v>25</v>
      </c>
    </row>
    <row r="1291" spans="1:21">
      <c r="A1291" s="47">
        <v>23827052</v>
      </c>
      <c r="B1291" s="46" t="s">
        <v>2077</v>
      </c>
      <c r="C1291" s="52" t="s">
        <v>27</v>
      </c>
      <c r="D1291" s="48">
        <v>27121</v>
      </c>
      <c r="E1291" s="49">
        <f t="shared" ca="1" si="41"/>
        <v>52.244343423907424</v>
      </c>
      <c r="G1291" s="51" t="s">
        <v>23</v>
      </c>
      <c r="I1291" s="52" t="s">
        <v>1881</v>
      </c>
      <c r="M1291" s="58" t="s">
        <v>25</v>
      </c>
      <c r="N1291" s="55"/>
      <c r="O1291" s="55"/>
    </row>
    <row r="1292" spans="1:21">
      <c r="A1292" s="47">
        <v>23827324</v>
      </c>
      <c r="B1292" s="46" t="s">
        <v>690</v>
      </c>
      <c r="C1292" s="52" t="s">
        <v>6197</v>
      </c>
      <c r="D1292" s="48">
        <v>27135</v>
      </c>
      <c r="E1292" s="49">
        <f t="shared" ca="1" si="41"/>
        <v>52.206013017873744</v>
      </c>
      <c r="F1292" s="50">
        <v>154787016</v>
      </c>
      <c r="G1292" s="51" t="s">
        <v>23</v>
      </c>
      <c r="I1292" s="52" t="s">
        <v>23</v>
      </c>
      <c r="J1292" s="46" t="s">
        <v>6198</v>
      </c>
      <c r="M1292" s="53" t="s">
        <v>6199</v>
      </c>
      <c r="N1292" s="55"/>
      <c r="O1292" s="55"/>
    </row>
    <row r="1293" spans="1:21">
      <c r="A1293" s="47">
        <v>23827367</v>
      </c>
      <c r="B1293" s="46" t="s">
        <v>3754</v>
      </c>
      <c r="C1293" s="52" t="s">
        <v>3755</v>
      </c>
      <c r="D1293" s="48" t="s">
        <v>52</v>
      </c>
      <c r="E1293" s="49" t="str">
        <f t="shared" ca="1" si="41"/>
        <v/>
      </c>
      <c r="F1293" s="50" t="s">
        <v>3756</v>
      </c>
      <c r="G1293" s="51" t="s">
        <v>70</v>
      </c>
      <c r="H1293" s="52" t="s">
        <v>2650</v>
      </c>
      <c r="I1293" s="52" t="s">
        <v>3630</v>
      </c>
      <c r="J1293" s="46" t="s">
        <v>2264</v>
      </c>
      <c r="K1293" s="46" t="s">
        <v>81</v>
      </c>
      <c r="L1293" s="46" t="s">
        <v>52</v>
      </c>
      <c r="M1293" s="58" t="s">
        <v>25</v>
      </c>
      <c r="N1293" s="55" t="s">
        <v>52</v>
      </c>
      <c r="O1293" s="55" t="s">
        <v>52</v>
      </c>
      <c r="P1293" s="46" t="s">
        <v>59</v>
      </c>
      <c r="Q1293" s="46" t="s">
        <v>60</v>
      </c>
      <c r="R1293" s="46" t="s">
        <v>61</v>
      </c>
      <c r="S1293" s="46" t="s">
        <v>62</v>
      </c>
      <c r="T1293" s="46" t="s">
        <v>12</v>
      </c>
      <c r="U1293" s="46" t="s">
        <v>63</v>
      </c>
    </row>
    <row r="1294" spans="1:21">
      <c r="A1294" s="75">
        <v>23827852</v>
      </c>
      <c r="B1294" s="46" t="s">
        <v>2105</v>
      </c>
      <c r="C1294" s="52" t="s">
        <v>2106</v>
      </c>
      <c r="E1294" s="49" t="str">
        <f t="shared" ca="1" si="41"/>
        <v/>
      </c>
      <c r="F1294" s="72">
        <v>155093236</v>
      </c>
      <c r="G1294" s="51" t="s">
        <v>23</v>
      </c>
      <c r="I1294" s="52" t="s">
        <v>1881</v>
      </c>
      <c r="J1294" s="76" t="s">
        <v>2033</v>
      </c>
      <c r="K1294" s="76"/>
      <c r="L1294" s="76"/>
      <c r="M1294" s="58" t="s">
        <v>25</v>
      </c>
      <c r="N1294" s="55"/>
      <c r="O1294" s="55"/>
    </row>
    <row r="1295" spans="1:21">
      <c r="A1295" s="47">
        <v>23854639</v>
      </c>
      <c r="B1295" s="46" t="s">
        <v>311</v>
      </c>
      <c r="C1295" s="55" t="s">
        <v>6249</v>
      </c>
      <c r="E1295" s="49" t="str">
        <f t="shared" ca="1" si="41"/>
        <v/>
      </c>
      <c r="G1295" s="51" t="s">
        <v>23</v>
      </c>
      <c r="I1295" s="52" t="s">
        <v>23</v>
      </c>
      <c r="J1295" s="55"/>
      <c r="K1295" s="55"/>
      <c r="L1295" s="55"/>
      <c r="M1295" s="58" t="s">
        <v>25</v>
      </c>
      <c r="N1295" s="55"/>
      <c r="O1295" s="55"/>
    </row>
    <row r="1296" spans="1:21">
      <c r="A1296" s="81">
        <v>23859111</v>
      </c>
      <c r="B1296" s="81" t="s">
        <v>7934</v>
      </c>
      <c r="C1296" s="81" t="s">
        <v>8731</v>
      </c>
      <c r="D1296" s="82">
        <v>27491</v>
      </c>
      <c r="E1296" s="49">
        <f t="shared" ca="1" si="41"/>
        <v>51.230663928815879</v>
      </c>
      <c r="F1296" s="50">
        <v>153581382</v>
      </c>
      <c r="G1296" s="81" t="s">
        <v>141</v>
      </c>
      <c r="H1296" s="83" t="s">
        <v>8775</v>
      </c>
      <c r="I1296" s="81" t="s">
        <v>594</v>
      </c>
      <c r="J1296" s="81" t="s">
        <v>8739</v>
      </c>
      <c r="K1296" s="81" t="s">
        <v>1206</v>
      </c>
      <c r="M1296" s="81" t="s">
        <v>8738</v>
      </c>
      <c r="N1296" s="81">
        <v>4244874</v>
      </c>
      <c r="U1296" s="46" t="s">
        <v>63</v>
      </c>
    </row>
    <row r="1297" spans="1:21">
      <c r="A1297" s="47">
        <v>23894351</v>
      </c>
      <c r="B1297" s="46" t="s">
        <v>927</v>
      </c>
      <c r="C1297" s="46" t="s">
        <v>3639</v>
      </c>
      <c r="E1297" s="49" t="str">
        <f t="shared" ca="1" si="41"/>
        <v/>
      </c>
      <c r="F1297" s="50">
        <v>156612829</v>
      </c>
      <c r="G1297" s="51" t="s">
        <v>23</v>
      </c>
      <c r="I1297" s="52" t="s">
        <v>3630</v>
      </c>
      <c r="M1297" s="53" t="s">
        <v>3640</v>
      </c>
    </row>
    <row r="1298" spans="1:21">
      <c r="A1298" s="47">
        <v>23894358</v>
      </c>
      <c r="B1298" s="46" t="s">
        <v>2813</v>
      </c>
      <c r="C1298" s="52" t="s">
        <v>3881</v>
      </c>
      <c r="E1298" s="49" t="str">
        <f t="shared" ca="1" si="41"/>
        <v/>
      </c>
      <c r="F1298" s="50">
        <v>156612829</v>
      </c>
      <c r="G1298" s="51" t="s">
        <v>70</v>
      </c>
      <c r="I1298" s="52" t="s">
        <v>3630</v>
      </c>
      <c r="J1298" s="46" t="s">
        <v>3882</v>
      </c>
      <c r="M1298" s="53" t="s">
        <v>3640</v>
      </c>
      <c r="N1298" s="55" t="s">
        <v>3883</v>
      </c>
      <c r="O1298" s="55"/>
    </row>
    <row r="1299" spans="1:21">
      <c r="A1299" s="64">
        <v>23930071</v>
      </c>
      <c r="B1299" s="61" t="s">
        <v>476</v>
      </c>
      <c r="C1299" s="62" t="s">
        <v>6394</v>
      </c>
      <c r="D1299" s="48">
        <v>27131</v>
      </c>
      <c r="E1299" s="49">
        <f t="shared" ca="1" si="41"/>
        <v>52.216964562454798</v>
      </c>
      <c r="F1299" s="63">
        <v>154447564</v>
      </c>
      <c r="G1299" s="51" t="s">
        <v>23</v>
      </c>
      <c r="I1299" s="52" t="s">
        <v>23</v>
      </c>
      <c r="J1299" s="61" t="s">
        <v>48</v>
      </c>
      <c r="K1299" s="61"/>
      <c r="L1299" s="61"/>
      <c r="M1299" s="53" t="s">
        <v>6395</v>
      </c>
      <c r="N1299" s="55"/>
      <c r="O1299" s="55"/>
    </row>
    <row r="1300" spans="1:21">
      <c r="A1300" s="47">
        <v>23930162</v>
      </c>
      <c r="B1300" s="46" t="s">
        <v>2749</v>
      </c>
      <c r="C1300" s="46" t="s">
        <v>2143</v>
      </c>
      <c r="D1300" s="48">
        <v>27136</v>
      </c>
      <c r="E1300" s="49">
        <f t="shared" ca="1" si="41"/>
        <v>52.203275131728482</v>
      </c>
      <c r="F1300" s="50">
        <v>153568048</v>
      </c>
      <c r="G1300" s="51" t="s">
        <v>78</v>
      </c>
      <c r="I1300" s="52" t="s">
        <v>2744</v>
      </c>
      <c r="J1300" s="46" t="s">
        <v>2750</v>
      </c>
      <c r="M1300" s="58" t="s">
        <v>25</v>
      </c>
      <c r="N1300" s="46">
        <v>4364093</v>
      </c>
      <c r="O1300" s="46">
        <v>7916</v>
      </c>
      <c r="P1300" s="46">
        <v>1</v>
      </c>
    </row>
    <row r="1301" spans="1:21">
      <c r="A1301" s="47">
        <v>23930278</v>
      </c>
      <c r="B1301" s="46" t="s">
        <v>218</v>
      </c>
      <c r="C1301" s="52" t="s">
        <v>2501</v>
      </c>
      <c r="D1301" s="48">
        <v>27120</v>
      </c>
      <c r="E1301" s="49">
        <f t="shared" ca="1" si="41"/>
        <v>52.247081310052685</v>
      </c>
      <c r="F1301" s="50">
        <v>155459020</v>
      </c>
      <c r="G1301" s="51" t="s">
        <v>70</v>
      </c>
      <c r="I1301" s="59" t="s">
        <v>908</v>
      </c>
      <c r="J1301" s="46" t="s">
        <v>2502</v>
      </c>
      <c r="M1301" s="58" t="s">
        <v>25</v>
      </c>
      <c r="N1301" s="55">
        <v>4215075</v>
      </c>
      <c r="O1301" s="55">
        <v>231</v>
      </c>
    </row>
    <row r="1302" spans="1:21">
      <c r="A1302" s="47">
        <v>23930491</v>
      </c>
      <c r="B1302" s="46" t="s">
        <v>1677</v>
      </c>
      <c r="C1302" s="52" t="s">
        <v>92</v>
      </c>
      <c r="D1302" s="48">
        <v>27120</v>
      </c>
      <c r="E1302" s="49">
        <f t="shared" ca="1" si="41"/>
        <v>52.247081310052685</v>
      </c>
      <c r="F1302" s="50">
        <v>155292792</v>
      </c>
      <c r="G1302" s="51" t="s">
        <v>70</v>
      </c>
      <c r="I1302" s="52" t="s">
        <v>24</v>
      </c>
      <c r="M1302" s="53" t="s">
        <v>93</v>
      </c>
      <c r="N1302" s="55">
        <v>4390003</v>
      </c>
      <c r="O1302" s="55"/>
    </row>
    <row r="1303" spans="1:21">
      <c r="A1303" s="47">
        <v>23930783</v>
      </c>
      <c r="B1303" s="46" t="s">
        <v>4730</v>
      </c>
      <c r="C1303" s="52" t="s">
        <v>4676</v>
      </c>
      <c r="D1303" s="48" t="s">
        <v>52</v>
      </c>
      <c r="E1303" s="49" t="str">
        <f t="shared" ca="1" si="41"/>
        <v/>
      </c>
      <c r="F1303" s="50" t="s">
        <v>4731</v>
      </c>
      <c r="G1303" s="51" t="s">
        <v>141</v>
      </c>
      <c r="H1303" s="52" t="s">
        <v>52</v>
      </c>
      <c r="I1303" s="65" t="s">
        <v>4708</v>
      </c>
      <c r="J1303" s="46" t="s">
        <v>4732</v>
      </c>
      <c r="K1303" s="46" t="s">
        <v>81</v>
      </c>
      <c r="L1303" s="46" t="s">
        <v>52</v>
      </c>
      <c r="M1303" s="53" t="s">
        <v>4733</v>
      </c>
      <c r="N1303" s="55" t="s">
        <v>4734</v>
      </c>
      <c r="O1303" s="55" t="s">
        <v>52</v>
      </c>
      <c r="P1303" s="46" t="s">
        <v>59</v>
      </c>
      <c r="Q1303" s="46" t="s">
        <v>60</v>
      </c>
      <c r="R1303" s="46" t="s">
        <v>61</v>
      </c>
      <c r="S1303" s="46" t="s">
        <v>62</v>
      </c>
      <c r="T1303" s="46" t="s">
        <v>12</v>
      </c>
      <c r="U1303" s="46" t="s">
        <v>63</v>
      </c>
    </row>
    <row r="1304" spans="1:21">
      <c r="A1304" s="47">
        <v>23930823</v>
      </c>
      <c r="B1304" s="46" t="s">
        <v>2555</v>
      </c>
      <c r="C1304" s="52" t="s">
        <v>1094</v>
      </c>
      <c r="E1304" s="49" t="str">
        <f t="shared" ca="1" si="41"/>
        <v/>
      </c>
      <c r="F1304" s="50">
        <v>155418646</v>
      </c>
      <c r="G1304" s="51" t="s">
        <v>23</v>
      </c>
      <c r="I1304" s="59" t="s">
        <v>908</v>
      </c>
      <c r="M1304" s="53" t="s">
        <v>2556</v>
      </c>
      <c r="N1304" s="55"/>
      <c r="O1304" s="55"/>
    </row>
    <row r="1305" spans="1:21">
      <c r="A1305" s="47">
        <v>23931160</v>
      </c>
      <c r="B1305" s="46" t="s">
        <v>4673</v>
      </c>
      <c r="C1305" s="46" t="s">
        <v>3888</v>
      </c>
      <c r="D1305" s="48">
        <v>23502</v>
      </c>
      <c r="E1305" s="49">
        <f t="shared" ca="1" si="41"/>
        <v>62.151275476945806</v>
      </c>
      <c r="F1305" s="50">
        <v>155019321</v>
      </c>
      <c r="G1305" s="51" t="s">
        <v>78</v>
      </c>
      <c r="I1305" s="52" t="s">
        <v>4499</v>
      </c>
      <c r="J1305" s="46" t="s">
        <v>4674</v>
      </c>
      <c r="M1305" s="53" t="s">
        <v>4675</v>
      </c>
      <c r="N1305" s="46">
        <v>4227589</v>
      </c>
      <c r="P1305" s="46">
        <v>3</v>
      </c>
    </row>
    <row r="1306" spans="1:21">
      <c r="A1306" s="47">
        <v>23931356</v>
      </c>
      <c r="B1306" s="46" t="s">
        <v>633</v>
      </c>
      <c r="C1306" s="52" t="s">
        <v>223</v>
      </c>
      <c r="D1306" s="48">
        <v>27178</v>
      </c>
      <c r="E1306" s="49">
        <f t="shared" ca="1" si="41"/>
        <v>52.088283913627436</v>
      </c>
      <c r="F1306" s="50">
        <v>154401833</v>
      </c>
      <c r="G1306" s="51" t="s">
        <v>23</v>
      </c>
      <c r="I1306" s="52" t="s">
        <v>5826</v>
      </c>
      <c r="J1306" s="46" t="s">
        <v>48</v>
      </c>
      <c r="M1306" s="53" t="s">
        <v>5837</v>
      </c>
      <c r="N1306" s="55"/>
      <c r="O1306" s="55"/>
    </row>
    <row r="1307" spans="1:21">
      <c r="A1307" s="47">
        <v>23931397</v>
      </c>
      <c r="B1307" s="46" t="s">
        <v>384</v>
      </c>
      <c r="C1307" s="52" t="s">
        <v>385</v>
      </c>
      <c r="D1307" s="48" t="s">
        <v>386</v>
      </c>
      <c r="E1307" s="49">
        <f t="shared" ca="1" si="41"/>
        <v>52.052691393739018</v>
      </c>
      <c r="F1307" s="50" t="s">
        <v>387</v>
      </c>
      <c r="G1307" s="51" t="s">
        <v>70</v>
      </c>
      <c r="H1307" s="52" t="s">
        <v>388</v>
      </c>
      <c r="I1307" s="52" t="s">
        <v>24</v>
      </c>
      <c r="J1307" s="46" t="s">
        <v>389</v>
      </c>
      <c r="K1307" s="46" t="s">
        <v>390</v>
      </c>
      <c r="L1307" s="46" t="s">
        <v>52</v>
      </c>
      <c r="M1307" s="53" t="s">
        <v>391</v>
      </c>
      <c r="N1307" s="55" t="s">
        <v>52</v>
      </c>
      <c r="O1307" s="55" t="s">
        <v>52</v>
      </c>
      <c r="P1307" s="46" t="s">
        <v>59</v>
      </c>
      <c r="Q1307" s="46" t="s">
        <v>60</v>
      </c>
      <c r="R1307" s="46" t="s">
        <v>61</v>
      </c>
      <c r="S1307" s="46" t="s">
        <v>62</v>
      </c>
      <c r="T1307" s="46" t="s">
        <v>12</v>
      </c>
      <c r="U1307" s="46" t="s">
        <v>63</v>
      </c>
    </row>
    <row r="1308" spans="1:21">
      <c r="A1308" s="47">
        <v>23931682</v>
      </c>
      <c r="B1308" s="46" t="s">
        <v>3160</v>
      </c>
      <c r="C1308" s="46" t="s">
        <v>1149</v>
      </c>
      <c r="D1308" s="48">
        <v>27206</v>
      </c>
      <c r="E1308" s="49">
        <f t="shared" ca="1" si="41"/>
        <v>52.011623101560076</v>
      </c>
      <c r="F1308" s="50">
        <v>154065529</v>
      </c>
      <c r="G1308" s="51" t="s">
        <v>78</v>
      </c>
      <c r="I1308" s="52" t="s">
        <v>3127</v>
      </c>
      <c r="J1308" s="55" t="s">
        <v>3161</v>
      </c>
      <c r="K1308" s="55"/>
      <c r="L1308" s="55"/>
      <c r="M1308" s="53" t="s">
        <v>3162</v>
      </c>
      <c r="N1308" s="55">
        <v>4313629</v>
      </c>
      <c r="O1308" s="55"/>
      <c r="P1308" s="46">
        <v>3</v>
      </c>
    </row>
    <row r="1309" spans="1:21">
      <c r="A1309" s="47">
        <v>23931856</v>
      </c>
      <c r="B1309" s="46" t="s">
        <v>5210</v>
      </c>
      <c r="C1309" s="46" t="s">
        <v>4341</v>
      </c>
      <c r="D1309" s="48">
        <v>27219</v>
      </c>
      <c r="E1309" s="49">
        <f t="shared" ca="1" si="41"/>
        <v>51.976030581671658</v>
      </c>
      <c r="F1309" s="50">
        <v>155231129</v>
      </c>
      <c r="G1309" s="51" t="s">
        <v>78</v>
      </c>
      <c r="I1309" s="52" t="s">
        <v>5176</v>
      </c>
      <c r="J1309" s="46" t="s">
        <v>5211</v>
      </c>
      <c r="M1309" s="53" t="s">
        <v>5212</v>
      </c>
      <c r="O1309" s="46">
        <v>4311200</v>
      </c>
    </row>
    <row r="1310" spans="1:21">
      <c r="A1310" s="47">
        <v>23931889</v>
      </c>
      <c r="B1310" s="46" t="s">
        <v>5651</v>
      </c>
      <c r="C1310" s="52" t="s">
        <v>5652</v>
      </c>
      <c r="D1310" s="48">
        <v>27215</v>
      </c>
      <c r="E1310" s="49">
        <f t="shared" ca="1" si="41"/>
        <v>51.986982126252705</v>
      </c>
      <c r="F1310" s="50">
        <v>154648897</v>
      </c>
      <c r="G1310" s="51" t="s">
        <v>23</v>
      </c>
      <c r="I1310" s="52" t="s">
        <v>5494</v>
      </c>
      <c r="J1310" s="46" t="s">
        <v>5653</v>
      </c>
      <c r="M1310" s="53" t="s">
        <v>5654</v>
      </c>
      <c r="N1310" s="55" t="s">
        <v>5655</v>
      </c>
      <c r="O1310" s="55"/>
    </row>
    <row r="1311" spans="1:21">
      <c r="A1311" s="47">
        <v>23984466</v>
      </c>
      <c r="B1311" s="46" t="s">
        <v>5611</v>
      </c>
      <c r="C1311" s="46" t="s">
        <v>215</v>
      </c>
      <c r="D1311" s="48">
        <v>25012</v>
      </c>
      <c r="E1311" s="49">
        <f t="shared" ca="1" si="41"/>
        <v>58.017122969837587</v>
      </c>
      <c r="F1311" s="50">
        <v>154968221</v>
      </c>
      <c r="G1311" s="51" t="s">
        <v>78</v>
      </c>
      <c r="I1311" s="52" t="s">
        <v>5494</v>
      </c>
      <c r="J1311" s="46" t="s">
        <v>5612</v>
      </c>
      <c r="M1311" s="53" t="s">
        <v>5613</v>
      </c>
      <c r="O1311" s="46">
        <v>4218077</v>
      </c>
    </row>
    <row r="1312" spans="1:21">
      <c r="A1312" s="47">
        <v>23984883</v>
      </c>
      <c r="B1312" s="46" t="s">
        <v>1385</v>
      </c>
      <c r="C1312" s="46" t="s">
        <v>4522</v>
      </c>
      <c r="D1312" s="48">
        <v>27266</v>
      </c>
      <c r="E1312" s="49">
        <f t="shared" ca="1" si="41"/>
        <v>51.847349932844295</v>
      </c>
      <c r="F1312" s="50">
        <v>154064412</v>
      </c>
      <c r="G1312" s="51" t="s">
        <v>141</v>
      </c>
      <c r="I1312" s="52" t="s">
        <v>4499</v>
      </c>
      <c r="J1312" s="46" t="s">
        <v>4293</v>
      </c>
      <c r="M1312" s="58" t="s">
        <v>25</v>
      </c>
    </row>
    <row r="1313" spans="1:21">
      <c r="A1313" s="47">
        <v>23985536</v>
      </c>
      <c r="B1313" s="46" t="s">
        <v>5468</v>
      </c>
      <c r="C1313" s="46" t="s">
        <v>131</v>
      </c>
      <c r="D1313" s="48" t="s">
        <v>52</v>
      </c>
      <c r="E1313" s="49" t="str">
        <f t="shared" ca="1" si="41"/>
        <v/>
      </c>
      <c r="F1313" s="50" t="s">
        <v>5469</v>
      </c>
      <c r="G1313" s="51" t="s">
        <v>70</v>
      </c>
      <c r="H1313" s="52" t="s">
        <v>5470</v>
      </c>
      <c r="I1313" s="52" t="s">
        <v>5304</v>
      </c>
      <c r="J1313" s="46" t="s">
        <v>5471</v>
      </c>
      <c r="K1313" s="46" t="s">
        <v>81</v>
      </c>
      <c r="L1313" s="46" t="s">
        <v>546</v>
      </c>
      <c r="M1313" s="52" t="s">
        <v>5472</v>
      </c>
      <c r="N1313" s="46" t="s">
        <v>52</v>
      </c>
      <c r="O1313" s="46" t="s">
        <v>52</v>
      </c>
      <c r="P1313" s="46" t="s">
        <v>59</v>
      </c>
      <c r="Q1313" s="46" t="s">
        <v>60</v>
      </c>
      <c r="R1313" s="46" t="s">
        <v>61</v>
      </c>
      <c r="S1313" s="46" t="s">
        <v>62</v>
      </c>
      <c r="T1313" s="46" t="s">
        <v>12</v>
      </c>
      <c r="U1313" s="46" t="s">
        <v>63</v>
      </c>
    </row>
    <row r="1314" spans="1:21">
      <c r="A1314" s="47">
        <v>23994310</v>
      </c>
      <c r="B1314" s="46" t="s">
        <v>4092</v>
      </c>
      <c r="C1314" s="46" t="s">
        <v>4093</v>
      </c>
      <c r="D1314" s="48">
        <v>27252</v>
      </c>
      <c r="E1314" s="49">
        <f t="shared" ca="1" si="41"/>
        <v>51.885680338877982</v>
      </c>
      <c r="F1314" s="50" t="s">
        <v>4094</v>
      </c>
      <c r="G1314" s="51" t="s">
        <v>23</v>
      </c>
      <c r="I1314" s="52" t="s">
        <v>4078</v>
      </c>
      <c r="J1314" s="46" t="s">
        <v>4079</v>
      </c>
      <c r="M1314" s="53" t="s">
        <v>4095</v>
      </c>
      <c r="N1314" s="46">
        <v>3865483797</v>
      </c>
    </row>
    <row r="1315" spans="1:21">
      <c r="A1315" s="47">
        <v>23994367</v>
      </c>
      <c r="B1315" s="46" t="s">
        <v>4922</v>
      </c>
      <c r="C1315" s="46" t="s">
        <v>4923</v>
      </c>
      <c r="D1315" s="48" t="s">
        <v>52</v>
      </c>
      <c r="E1315" s="49" t="str">
        <f t="shared" ca="1" si="41"/>
        <v/>
      </c>
      <c r="F1315" s="50" t="s">
        <v>4924</v>
      </c>
      <c r="G1315" s="51" t="s">
        <v>70</v>
      </c>
      <c r="H1315" s="52" t="s">
        <v>2616</v>
      </c>
      <c r="I1315" s="52" t="s">
        <v>4815</v>
      </c>
      <c r="J1315" s="46" t="s">
        <v>4925</v>
      </c>
      <c r="K1315" s="46" t="s">
        <v>81</v>
      </c>
      <c r="L1315" s="46" t="s">
        <v>546</v>
      </c>
      <c r="M1315" s="52" t="s">
        <v>4926</v>
      </c>
      <c r="N1315" s="46" t="s">
        <v>4927</v>
      </c>
      <c r="O1315" s="46" t="s">
        <v>4928</v>
      </c>
      <c r="P1315" s="46" t="s">
        <v>59</v>
      </c>
      <c r="Q1315" s="46" t="s">
        <v>60</v>
      </c>
      <c r="R1315" s="46" t="s">
        <v>61</v>
      </c>
      <c r="S1315" s="46" t="s">
        <v>62</v>
      </c>
      <c r="T1315" s="46" t="s">
        <v>12</v>
      </c>
      <c r="U1315" s="46" t="s">
        <v>63</v>
      </c>
    </row>
    <row r="1316" spans="1:21">
      <c r="A1316" s="47">
        <v>24005950</v>
      </c>
      <c r="B1316" s="46" t="s">
        <v>428</v>
      </c>
      <c r="C1316" s="52" t="s">
        <v>1202</v>
      </c>
      <c r="D1316" s="48" t="s">
        <v>52</v>
      </c>
      <c r="E1316" s="49" t="str">
        <f t="shared" ca="1" si="41"/>
        <v/>
      </c>
      <c r="F1316" s="50" t="s">
        <v>1203</v>
      </c>
      <c r="G1316" s="51" t="s">
        <v>78</v>
      </c>
      <c r="H1316" s="52" t="s">
        <v>1204</v>
      </c>
      <c r="I1316" s="59" t="s">
        <v>908</v>
      </c>
      <c r="J1316" s="46" t="s">
        <v>1205</v>
      </c>
      <c r="K1316" s="46" t="s">
        <v>1206</v>
      </c>
      <c r="L1316" s="46" t="s">
        <v>52</v>
      </c>
      <c r="M1316" s="53" t="s">
        <v>1207</v>
      </c>
      <c r="N1316" s="55" t="s">
        <v>52</v>
      </c>
      <c r="O1316" s="55" t="s">
        <v>52</v>
      </c>
      <c r="P1316" s="46" t="s">
        <v>59</v>
      </c>
      <c r="Q1316" s="46" t="s">
        <v>60</v>
      </c>
      <c r="R1316" s="46" t="s">
        <v>61</v>
      </c>
      <c r="S1316" s="46" t="s">
        <v>62</v>
      </c>
      <c r="T1316" s="46" t="s">
        <v>12</v>
      </c>
      <c r="U1316" s="46" t="s">
        <v>63</v>
      </c>
    </row>
    <row r="1317" spans="1:21">
      <c r="A1317" s="47">
        <v>24059021</v>
      </c>
      <c r="B1317" s="46" t="s">
        <v>3887</v>
      </c>
      <c r="C1317" s="46" t="s">
        <v>3888</v>
      </c>
      <c r="D1317" s="48" t="s">
        <v>52</v>
      </c>
      <c r="E1317" s="49" t="str">
        <f t="shared" ca="1" si="41"/>
        <v/>
      </c>
      <c r="F1317" s="50" t="s">
        <v>3889</v>
      </c>
      <c r="G1317" s="51" t="s">
        <v>70</v>
      </c>
      <c r="H1317" s="52" t="s">
        <v>3890</v>
      </c>
      <c r="I1317" s="52" t="s">
        <v>3630</v>
      </c>
      <c r="J1317" s="46" t="s">
        <v>3891</v>
      </c>
      <c r="K1317" s="46" t="s">
        <v>81</v>
      </c>
      <c r="L1317" s="46" t="s">
        <v>52</v>
      </c>
      <c r="M1317" s="53" t="s">
        <v>3892</v>
      </c>
      <c r="N1317" s="46" t="s">
        <v>3893</v>
      </c>
      <c r="O1317" s="46" t="s">
        <v>3894</v>
      </c>
      <c r="P1317" s="46" t="s">
        <v>59</v>
      </c>
      <c r="Q1317" s="46" t="s">
        <v>60</v>
      </c>
      <c r="R1317" s="46" t="s">
        <v>61</v>
      </c>
      <c r="S1317" s="46" t="s">
        <v>62</v>
      </c>
      <c r="T1317" s="46" t="s">
        <v>12</v>
      </c>
      <c r="U1317" s="46" t="s">
        <v>63</v>
      </c>
    </row>
    <row r="1318" spans="1:21">
      <c r="A1318" s="47">
        <v>24059125</v>
      </c>
      <c r="B1318" s="46" t="s">
        <v>4340</v>
      </c>
      <c r="C1318" s="52" t="s">
        <v>4341</v>
      </c>
      <c r="D1318" s="48">
        <v>27218</v>
      </c>
      <c r="E1318" s="49">
        <f t="shared" ca="1" si="41"/>
        <v>51.97876846781692</v>
      </c>
      <c r="F1318" s="50">
        <v>155086131</v>
      </c>
      <c r="G1318" s="51" t="s">
        <v>23</v>
      </c>
      <c r="I1318" s="52" t="s">
        <v>4245</v>
      </c>
      <c r="M1318" s="53" t="s">
        <v>4342</v>
      </c>
      <c r="N1318" s="55"/>
      <c r="O1318" s="55"/>
    </row>
    <row r="1319" spans="1:21">
      <c r="A1319" s="47">
        <v>24059175</v>
      </c>
      <c r="B1319" s="46" t="s">
        <v>3380</v>
      </c>
      <c r="C1319" s="52" t="s">
        <v>135</v>
      </c>
      <c r="D1319" s="48">
        <v>27243</v>
      </c>
      <c r="E1319" s="49">
        <f t="shared" ca="1" si="41"/>
        <v>51.910321314185346</v>
      </c>
      <c r="F1319" s="50">
        <v>154177408</v>
      </c>
      <c r="G1319" s="51" t="s">
        <v>23</v>
      </c>
      <c r="I1319" s="52" t="s">
        <v>5259</v>
      </c>
      <c r="J1319" s="46" t="s">
        <v>238</v>
      </c>
      <c r="M1319" s="58" t="s">
        <v>25</v>
      </c>
      <c r="N1319" s="55">
        <v>4360076</v>
      </c>
      <c r="O1319" s="55"/>
    </row>
    <row r="1320" spans="1:21">
      <c r="A1320" s="47">
        <v>24059179</v>
      </c>
      <c r="B1320" s="46" t="s">
        <v>3380</v>
      </c>
      <c r="C1320" s="52" t="s">
        <v>5274</v>
      </c>
      <c r="D1320" s="48">
        <v>27243</v>
      </c>
      <c r="E1320" s="49">
        <f t="shared" ref="E1320:E1339" ca="1" si="42">IF(D1320="","",YEARFRAC(D1320,TODAY(),1))</f>
        <v>51.910321314185346</v>
      </c>
      <c r="F1320" s="50">
        <v>154177408</v>
      </c>
      <c r="G1320" s="51" t="s">
        <v>23</v>
      </c>
      <c r="I1320" s="52" t="s">
        <v>5259</v>
      </c>
      <c r="J1320" s="46" t="s">
        <v>238</v>
      </c>
      <c r="M1320" s="58" t="s">
        <v>25</v>
      </c>
      <c r="N1320" s="55">
        <v>4360076</v>
      </c>
      <c r="O1320" s="55"/>
    </row>
    <row r="1321" spans="1:21">
      <c r="A1321" s="47">
        <v>24059897</v>
      </c>
      <c r="B1321" s="46" t="s">
        <v>138</v>
      </c>
      <c r="C1321" s="46" t="s">
        <v>2479</v>
      </c>
      <c r="D1321" s="48">
        <v>27261</v>
      </c>
      <c r="E1321" s="49">
        <f t="shared" ca="1" si="42"/>
        <v>51.861039363570612</v>
      </c>
      <c r="F1321" s="50">
        <v>155941734</v>
      </c>
      <c r="G1321" s="51" t="s">
        <v>70</v>
      </c>
      <c r="I1321" s="59" t="s">
        <v>908</v>
      </c>
      <c r="M1321" s="53" t="s">
        <v>2480</v>
      </c>
      <c r="N1321" s="46">
        <v>4349462</v>
      </c>
    </row>
    <row r="1322" spans="1:21">
      <c r="A1322" s="47">
        <v>24059994</v>
      </c>
      <c r="B1322" s="46" t="s">
        <v>5359</v>
      </c>
      <c r="C1322" s="52" t="s">
        <v>1523</v>
      </c>
      <c r="D1322" s="48">
        <v>27291</v>
      </c>
      <c r="E1322" s="49">
        <f t="shared" ca="1" si="42"/>
        <v>51.778902779212721</v>
      </c>
      <c r="G1322" s="51" t="s">
        <v>23</v>
      </c>
      <c r="I1322" s="52" t="s">
        <v>23</v>
      </c>
      <c r="J1322" s="46" t="s">
        <v>38</v>
      </c>
      <c r="M1322" s="53" t="s">
        <v>5362</v>
      </c>
      <c r="N1322" s="55">
        <v>4247752</v>
      </c>
      <c r="O1322" s="55">
        <v>7283</v>
      </c>
    </row>
    <row r="1323" spans="1:21">
      <c r="A1323" s="47">
        <v>24059996</v>
      </c>
      <c r="B1323" s="46" t="s">
        <v>5359</v>
      </c>
      <c r="C1323" s="52" t="s">
        <v>1523</v>
      </c>
      <c r="D1323" s="48" t="s">
        <v>52</v>
      </c>
      <c r="E1323" s="49" t="str">
        <f t="shared" ca="1" si="42"/>
        <v/>
      </c>
      <c r="F1323" s="50" t="s">
        <v>5360</v>
      </c>
      <c r="G1323" s="51" t="s">
        <v>70</v>
      </c>
      <c r="H1323" s="52" t="s">
        <v>2616</v>
      </c>
      <c r="I1323" s="52" t="s">
        <v>5304</v>
      </c>
      <c r="J1323" s="46" t="s">
        <v>5361</v>
      </c>
      <c r="K1323" s="46" t="s">
        <v>52</v>
      </c>
      <c r="L1323" s="46" t="s">
        <v>52</v>
      </c>
      <c r="M1323" s="53" t="s">
        <v>5362</v>
      </c>
      <c r="N1323" s="55" t="s">
        <v>5363</v>
      </c>
      <c r="O1323" s="55" t="s">
        <v>52</v>
      </c>
      <c r="P1323" s="46" t="s">
        <v>59</v>
      </c>
      <c r="Q1323" s="46" t="s">
        <v>60</v>
      </c>
      <c r="R1323" s="46" t="s">
        <v>61</v>
      </c>
      <c r="S1323" s="46" t="s">
        <v>62</v>
      </c>
      <c r="T1323" s="46" t="s">
        <v>12</v>
      </c>
      <c r="U1323" s="46" t="s">
        <v>63</v>
      </c>
    </row>
    <row r="1324" spans="1:21">
      <c r="A1324" s="47">
        <v>24069816</v>
      </c>
      <c r="B1324" s="46" t="s">
        <v>26</v>
      </c>
      <c r="C1324" s="46" t="s">
        <v>3955</v>
      </c>
      <c r="E1324" s="49" t="str">
        <f t="shared" ca="1" si="42"/>
        <v/>
      </c>
      <c r="G1324" s="51" t="s">
        <v>23</v>
      </c>
      <c r="I1324" s="52" t="s">
        <v>3956</v>
      </c>
      <c r="M1324" s="53" t="s">
        <v>3957</v>
      </c>
    </row>
    <row r="1325" spans="1:21">
      <c r="A1325" s="47">
        <v>24098848</v>
      </c>
      <c r="B1325" s="46" t="s">
        <v>4830</v>
      </c>
      <c r="C1325" s="46" t="s">
        <v>4831</v>
      </c>
      <c r="D1325" s="48" t="s">
        <v>52</v>
      </c>
      <c r="E1325" s="49" t="str">
        <f t="shared" ca="1" si="42"/>
        <v/>
      </c>
      <c r="F1325" s="50" t="s">
        <v>4832</v>
      </c>
      <c r="G1325" s="51" t="s">
        <v>86</v>
      </c>
      <c r="H1325" s="52" t="s">
        <v>52</v>
      </c>
      <c r="I1325" s="52" t="s">
        <v>4815</v>
      </c>
      <c r="J1325" s="46" t="s">
        <v>4833</v>
      </c>
      <c r="K1325" s="46" t="s">
        <v>81</v>
      </c>
      <c r="L1325" s="46" t="s">
        <v>52</v>
      </c>
      <c r="M1325" s="53" t="s">
        <v>4834</v>
      </c>
      <c r="N1325" s="46" t="s">
        <v>4835</v>
      </c>
      <c r="O1325" s="46" t="s">
        <v>52</v>
      </c>
      <c r="P1325" s="46" t="s">
        <v>59</v>
      </c>
      <c r="Q1325" s="46" t="s">
        <v>60</v>
      </c>
      <c r="R1325" s="46" t="s">
        <v>61</v>
      </c>
      <c r="S1325" s="46" t="s">
        <v>62</v>
      </c>
      <c r="T1325" s="46" t="s">
        <v>12</v>
      </c>
      <c r="U1325" s="46" t="s">
        <v>63</v>
      </c>
    </row>
    <row r="1326" spans="1:21">
      <c r="A1326" s="47">
        <v>24147391</v>
      </c>
      <c r="B1326" s="46" t="s">
        <v>1565</v>
      </c>
      <c r="C1326" s="55" t="s">
        <v>215</v>
      </c>
      <c r="D1326" s="48">
        <v>27265</v>
      </c>
      <c r="E1326" s="49">
        <f t="shared" ca="1" si="42"/>
        <v>51.850087818989564</v>
      </c>
      <c r="G1326" s="51" t="s">
        <v>78</v>
      </c>
      <c r="I1326" s="52" t="s">
        <v>4078</v>
      </c>
      <c r="J1326" s="55"/>
      <c r="K1326" s="55"/>
      <c r="L1326" s="55"/>
      <c r="M1326" s="53" t="s">
        <v>4142</v>
      </c>
      <c r="N1326" s="55"/>
      <c r="O1326" s="55"/>
    </row>
    <row r="1327" spans="1:21">
      <c r="A1327" s="47">
        <v>24200086</v>
      </c>
      <c r="B1327" s="46" t="s">
        <v>2364</v>
      </c>
      <c r="C1327" s="46" t="s">
        <v>2365</v>
      </c>
      <c r="D1327" s="48" t="s">
        <v>52</v>
      </c>
      <c r="E1327" s="49" t="str">
        <f t="shared" ca="1" si="42"/>
        <v/>
      </c>
      <c r="F1327" s="50" t="s">
        <v>2366</v>
      </c>
      <c r="G1327" s="51" t="s">
        <v>78</v>
      </c>
      <c r="H1327" s="52" t="s">
        <v>2367</v>
      </c>
      <c r="I1327" s="52" t="s">
        <v>1497</v>
      </c>
      <c r="J1327" s="46" t="s">
        <v>2368</v>
      </c>
      <c r="K1327" s="46" t="s">
        <v>81</v>
      </c>
      <c r="L1327" s="46" t="s">
        <v>52</v>
      </c>
      <c r="M1327" s="52" t="s">
        <v>2369</v>
      </c>
      <c r="N1327" s="46" t="s">
        <v>2370</v>
      </c>
      <c r="O1327" s="46" t="s">
        <v>52</v>
      </c>
      <c r="P1327" s="46" t="s">
        <v>59</v>
      </c>
      <c r="Q1327" s="46" t="s">
        <v>60</v>
      </c>
      <c r="R1327" s="46" t="s">
        <v>61</v>
      </c>
      <c r="S1327" s="46" t="s">
        <v>62</v>
      </c>
      <c r="T1327" s="46" t="s">
        <v>12</v>
      </c>
      <c r="U1327" s="46" t="s">
        <v>63</v>
      </c>
    </row>
    <row r="1328" spans="1:21">
      <c r="A1328" s="47">
        <v>24200173</v>
      </c>
      <c r="B1328" s="46" t="s">
        <v>362</v>
      </c>
      <c r="C1328" s="46" t="s">
        <v>6711</v>
      </c>
      <c r="D1328" s="48" t="s">
        <v>52</v>
      </c>
      <c r="E1328" s="49" t="str">
        <f t="shared" ca="1" si="42"/>
        <v/>
      </c>
      <c r="F1328" s="50" t="s">
        <v>6712</v>
      </c>
      <c r="G1328" s="51" t="s">
        <v>141</v>
      </c>
      <c r="H1328" s="52" t="s">
        <v>52</v>
      </c>
      <c r="I1328" s="52" t="s">
        <v>5304</v>
      </c>
      <c r="J1328" s="46" t="s">
        <v>6713</v>
      </c>
      <c r="K1328" s="46" t="s">
        <v>81</v>
      </c>
      <c r="L1328" s="46" t="s">
        <v>546</v>
      </c>
      <c r="M1328" s="52" t="s">
        <v>582</v>
      </c>
      <c r="N1328" s="46" t="s">
        <v>52</v>
      </c>
      <c r="O1328" s="46" t="s">
        <v>52</v>
      </c>
      <c r="P1328" s="46" t="s">
        <v>59</v>
      </c>
      <c r="Q1328" s="46" t="s">
        <v>60</v>
      </c>
      <c r="R1328" s="46" t="s">
        <v>61</v>
      </c>
      <c r="S1328" s="46" t="s">
        <v>62</v>
      </c>
      <c r="T1328" s="46" t="s">
        <v>12</v>
      </c>
      <c r="U1328" s="46" t="s">
        <v>63</v>
      </c>
    </row>
    <row r="1329" spans="1:21">
      <c r="A1329" s="47">
        <v>24200208</v>
      </c>
      <c r="B1329" s="46" t="s">
        <v>622</v>
      </c>
      <c r="C1329" s="52" t="s">
        <v>623</v>
      </c>
      <c r="D1329" s="48">
        <v>27329</v>
      </c>
      <c r="E1329" s="49">
        <f t="shared" ca="1" si="42"/>
        <v>51.674863105692737</v>
      </c>
      <c r="F1329" s="50">
        <v>154654087</v>
      </c>
      <c r="G1329" s="51" t="s">
        <v>23</v>
      </c>
      <c r="I1329" s="52" t="s">
        <v>23</v>
      </c>
      <c r="J1329" s="46" t="s">
        <v>729</v>
      </c>
      <c r="M1329" s="53" t="s">
        <v>6049</v>
      </c>
      <c r="N1329" s="55">
        <v>4247752</v>
      </c>
      <c r="O1329" s="55">
        <v>7156</v>
      </c>
    </row>
    <row r="1330" spans="1:21">
      <c r="A1330" s="47">
        <v>24200313</v>
      </c>
      <c r="B1330" s="46" t="s">
        <v>207</v>
      </c>
      <c r="C1330" s="46" t="s">
        <v>655</v>
      </c>
      <c r="D1330" s="48" t="s">
        <v>656</v>
      </c>
      <c r="E1330" s="49" t="e">
        <f t="shared" ca="1" si="42"/>
        <v>#VALUE!</v>
      </c>
      <c r="F1330" s="50">
        <v>154561220</v>
      </c>
      <c r="G1330" s="51" t="s">
        <v>70</v>
      </c>
      <c r="I1330" s="52" t="s">
        <v>594</v>
      </c>
      <c r="J1330" s="46" t="s">
        <v>657</v>
      </c>
      <c r="M1330" s="53" t="s">
        <v>658</v>
      </c>
      <c r="P1330" s="46">
        <v>4</v>
      </c>
    </row>
    <row r="1331" spans="1:21">
      <c r="A1331" s="47">
        <v>24200383</v>
      </c>
      <c r="B1331" s="46" t="s">
        <v>207</v>
      </c>
      <c r="C1331" s="46" t="s">
        <v>655</v>
      </c>
      <c r="D1331" s="48" t="s">
        <v>52</v>
      </c>
      <c r="E1331" s="49" t="str">
        <f t="shared" ca="1" si="42"/>
        <v/>
      </c>
      <c r="F1331" s="50" t="s">
        <v>787</v>
      </c>
      <c r="G1331" s="51" t="s">
        <v>70</v>
      </c>
      <c r="H1331" s="52" t="s">
        <v>788</v>
      </c>
      <c r="I1331" s="52" t="s">
        <v>594</v>
      </c>
      <c r="J1331" s="46" t="s">
        <v>52</v>
      </c>
      <c r="K1331" s="46" t="s">
        <v>81</v>
      </c>
      <c r="L1331" s="46" t="s">
        <v>546</v>
      </c>
      <c r="M1331" s="52" t="s">
        <v>658</v>
      </c>
      <c r="N1331" s="46" t="s">
        <v>52</v>
      </c>
      <c r="O1331" s="46" t="s">
        <v>52</v>
      </c>
      <c r="P1331" s="46" t="s">
        <v>59</v>
      </c>
      <c r="Q1331" s="46" t="s">
        <v>60</v>
      </c>
      <c r="R1331" s="46" t="s">
        <v>61</v>
      </c>
      <c r="S1331" s="46" t="s">
        <v>62</v>
      </c>
      <c r="T1331" s="46" t="s">
        <v>12</v>
      </c>
      <c r="U1331" s="46" t="s">
        <v>63</v>
      </c>
    </row>
    <row r="1332" spans="1:21">
      <c r="A1332" s="47">
        <v>24200474</v>
      </c>
      <c r="B1332" s="46" t="s">
        <v>218</v>
      </c>
      <c r="C1332" s="55" t="s">
        <v>5349</v>
      </c>
      <c r="D1332" s="48" t="s">
        <v>52</v>
      </c>
      <c r="E1332" s="49" t="str">
        <f t="shared" ca="1" si="42"/>
        <v/>
      </c>
      <c r="F1332" s="50" t="s">
        <v>5350</v>
      </c>
      <c r="G1332" s="51" t="s">
        <v>70</v>
      </c>
      <c r="H1332" s="52" t="s">
        <v>5351</v>
      </c>
      <c r="I1332" s="52" t="s">
        <v>5304</v>
      </c>
      <c r="J1332" s="55" t="s">
        <v>5352</v>
      </c>
      <c r="K1332" s="55" t="s">
        <v>52</v>
      </c>
      <c r="L1332" s="55" t="s">
        <v>52</v>
      </c>
      <c r="M1332" s="53" t="s">
        <v>5353</v>
      </c>
      <c r="N1332" s="55" t="s">
        <v>5354</v>
      </c>
      <c r="O1332" s="55" t="s">
        <v>52</v>
      </c>
      <c r="P1332" s="46" t="s">
        <v>59</v>
      </c>
      <c r="Q1332" s="46" t="s">
        <v>60</v>
      </c>
      <c r="R1332" s="46" t="s">
        <v>61</v>
      </c>
      <c r="S1332" s="46" t="s">
        <v>62</v>
      </c>
      <c r="T1332" s="46" t="s">
        <v>12</v>
      </c>
      <c r="U1332" s="46" t="s">
        <v>63</v>
      </c>
    </row>
    <row r="1333" spans="1:21">
      <c r="A1333" s="47">
        <v>24200608</v>
      </c>
      <c r="B1333" s="46" t="s">
        <v>622</v>
      </c>
      <c r="C1333" s="52" t="s">
        <v>623</v>
      </c>
      <c r="D1333" s="48">
        <v>27329</v>
      </c>
      <c r="E1333" s="49">
        <f t="shared" ca="1" si="42"/>
        <v>51.674863105692737</v>
      </c>
      <c r="F1333" s="50">
        <v>154654087</v>
      </c>
      <c r="G1333" s="51" t="s">
        <v>70</v>
      </c>
      <c r="I1333" s="52" t="s">
        <v>594</v>
      </c>
      <c r="J1333" s="46" t="s">
        <v>624</v>
      </c>
      <c r="M1333" s="58" t="s">
        <v>25</v>
      </c>
      <c r="N1333" s="55">
        <v>4244394</v>
      </c>
      <c r="O1333" s="55">
        <v>223</v>
      </c>
    </row>
    <row r="1334" spans="1:21">
      <c r="A1334" s="47">
        <v>24200813</v>
      </c>
      <c r="B1334" s="46" t="s">
        <v>2766</v>
      </c>
      <c r="C1334" s="46" t="s">
        <v>2767</v>
      </c>
      <c r="D1334" s="48" t="s">
        <v>52</v>
      </c>
      <c r="E1334" s="49" t="str">
        <f t="shared" ca="1" si="42"/>
        <v/>
      </c>
      <c r="F1334" s="50" t="s">
        <v>2768</v>
      </c>
      <c r="G1334" s="51" t="s">
        <v>70</v>
      </c>
      <c r="H1334" s="52" t="s">
        <v>52</v>
      </c>
      <c r="I1334" s="52" t="s">
        <v>2764</v>
      </c>
      <c r="J1334" s="46" t="s">
        <v>2769</v>
      </c>
      <c r="K1334" s="46" t="s">
        <v>159</v>
      </c>
      <c r="L1334" s="46" t="s">
        <v>52</v>
      </c>
      <c r="M1334" s="52" t="s">
        <v>2770</v>
      </c>
      <c r="N1334" s="46" t="s">
        <v>2771</v>
      </c>
      <c r="O1334" s="46" t="s">
        <v>52</v>
      </c>
      <c r="P1334" s="46" t="s">
        <v>59</v>
      </c>
      <c r="Q1334" s="46" t="s">
        <v>60</v>
      </c>
      <c r="R1334" s="46" t="s">
        <v>61</v>
      </c>
      <c r="S1334" s="46" t="s">
        <v>62</v>
      </c>
      <c r="T1334" s="46" t="s">
        <v>12</v>
      </c>
      <c r="U1334" s="46" t="s">
        <v>63</v>
      </c>
    </row>
    <row r="1335" spans="1:21">
      <c r="A1335" s="47">
        <v>24200921</v>
      </c>
      <c r="B1335" s="46" t="s">
        <v>4784</v>
      </c>
      <c r="C1335" s="46" t="s">
        <v>1085</v>
      </c>
      <c r="D1335" s="48" t="s">
        <v>4786</v>
      </c>
      <c r="E1335" s="49">
        <f t="shared" ca="1" si="42"/>
        <v>51.63653269965905</v>
      </c>
      <c r="F1335" s="50" t="s">
        <v>4787</v>
      </c>
      <c r="G1335" s="51" t="s">
        <v>70</v>
      </c>
      <c r="H1335" s="52" t="s">
        <v>111</v>
      </c>
      <c r="I1335" s="65" t="s">
        <v>4708</v>
      </c>
      <c r="J1335" s="46" t="s">
        <v>729</v>
      </c>
      <c r="K1335" s="46" t="s">
        <v>81</v>
      </c>
      <c r="L1335" s="46" t="s">
        <v>546</v>
      </c>
      <c r="M1335" s="52" t="s">
        <v>4788</v>
      </c>
      <c r="N1335" s="46" t="s">
        <v>4789</v>
      </c>
      <c r="O1335" s="46" t="s">
        <v>52</v>
      </c>
      <c r="P1335" s="46" t="s">
        <v>59</v>
      </c>
      <c r="Q1335" s="46" t="s">
        <v>60</v>
      </c>
      <c r="R1335" s="46" t="s">
        <v>61</v>
      </c>
      <c r="S1335" s="46" t="s">
        <v>62</v>
      </c>
      <c r="T1335" s="46" t="s">
        <v>12</v>
      </c>
      <c r="U1335" s="46" t="s">
        <v>63</v>
      </c>
    </row>
    <row r="1336" spans="1:21">
      <c r="A1336" s="47">
        <v>24209921</v>
      </c>
      <c r="B1336" s="46" t="s">
        <v>4784</v>
      </c>
      <c r="C1336" s="46" t="s">
        <v>1085</v>
      </c>
      <c r="D1336" s="48" t="s">
        <v>4785</v>
      </c>
      <c r="E1336" s="49" t="e">
        <f t="shared" ca="1" si="42"/>
        <v>#VALUE!</v>
      </c>
      <c r="F1336" s="50">
        <v>156619692</v>
      </c>
      <c r="G1336" s="51" t="s">
        <v>23</v>
      </c>
      <c r="I1336" s="65" t="s">
        <v>4708</v>
      </c>
      <c r="M1336" s="58" t="s">
        <v>25</v>
      </c>
      <c r="N1336" s="46">
        <v>4847325</v>
      </c>
    </row>
    <row r="1337" spans="1:21">
      <c r="A1337" s="47">
        <v>24253315</v>
      </c>
      <c r="B1337" s="46" t="s">
        <v>3597</v>
      </c>
      <c r="C1337" s="46" t="s">
        <v>3598</v>
      </c>
      <c r="D1337" s="48">
        <v>27332</v>
      </c>
      <c r="E1337" s="49">
        <f t="shared" ca="1" si="42"/>
        <v>51.666649447256944</v>
      </c>
      <c r="F1337" s="50">
        <v>156209199</v>
      </c>
      <c r="G1337" s="51" t="s">
        <v>78</v>
      </c>
      <c r="I1337" s="52" t="s">
        <v>3555</v>
      </c>
      <c r="M1337" s="53" t="s">
        <v>3599</v>
      </c>
      <c r="N1337" s="46">
        <v>4211070</v>
      </c>
    </row>
    <row r="1338" spans="1:21">
      <c r="A1338" s="47">
        <v>24279216</v>
      </c>
      <c r="B1338" s="46" t="s">
        <v>1910</v>
      </c>
      <c r="C1338" s="46" t="s">
        <v>2873</v>
      </c>
      <c r="D1338" s="48">
        <v>27293</v>
      </c>
      <c r="E1338" s="49">
        <f t="shared" ca="1" si="42"/>
        <v>51.773427006922198</v>
      </c>
      <c r="F1338" s="50" t="s">
        <v>4083</v>
      </c>
      <c r="G1338" s="51" t="s">
        <v>23</v>
      </c>
      <c r="I1338" s="52" t="s">
        <v>4078</v>
      </c>
      <c r="J1338" s="46" t="s">
        <v>3313</v>
      </c>
      <c r="M1338" s="53" t="s">
        <v>4084</v>
      </c>
      <c r="N1338" s="46">
        <v>3865483797</v>
      </c>
      <c r="O1338" s="46">
        <v>18</v>
      </c>
    </row>
    <row r="1339" spans="1:21">
      <c r="A1339" s="47">
        <v>24294033</v>
      </c>
      <c r="B1339" s="46" t="s">
        <v>3572</v>
      </c>
      <c r="C1339" s="55" t="s">
        <v>3573</v>
      </c>
      <c r="D1339" s="48">
        <v>27310</v>
      </c>
      <c r="E1339" s="49">
        <f t="shared" ca="1" si="42"/>
        <v>51.726882942452725</v>
      </c>
      <c r="F1339" s="50">
        <v>156402910</v>
      </c>
      <c r="G1339" s="51" t="s">
        <v>86</v>
      </c>
      <c r="I1339" s="52" t="s">
        <v>3555</v>
      </c>
      <c r="J1339" s="55"/>
      <c r="K1339" s="55"/>
      <c r="L1339" s="55"/>
      <c r="M1339" s="58" t="s">
        <v>25</v>
      </c>
      <c r="N1339" s="55"/>
      <c r="O1339" s="55"/>
    </row>
    <row r="1340" spans="1:21">
      <c r="A1340" s="47">
        <v>24301697</v>
      </c>
      <c r="B1340" s="46" t="s">
        <v>2243</v>
      </c>
      <c r="C1340" s="46" t="s">
        <v>9738</v>
      </c>
      <c r="D1340" s="48" t="s">
        <v>9739</v>
      </c>
      <c r="E1340" s="49" t="s">
        <v>9414</v>
      </c>
      <c r="F1340" s="50" t="s">
        <v>9740</v>
      </c>
      <c r="G1340" s="51" t="s">
        <v>141</v>
      </c>
      <c r="H1340" s="52" t="s">
        <v>9741</v>
      </c>
      <c r="I1340" s="52" t="s">
        <v>1497</v>
      </c>
      <c r="J1340" s="46" t="s">
        <v>9742</v>
      </c>
      <c r="K1340" s="46" t="s">
        <v>81</v>
      </c>
      <c r="L1340" s="46" t="s">
        <v>546</v>
      </c>
      <c r="M1340" s="52" t="s">
        <v>9743</v>
      </c>
      <c r="N1340" s="46" t="s">
        <v>52</v>
      </c>
      <c r="O1340" s="46" t="s">
        <v>52</v>
      </c>
      <c r="P1340" s="46" t="s">
        <v>59</v>
      </c>
      <c r="Q1340" s="46" t="s">
        <v>60</v>
      </c>
      <c r="R1340" s="46" t="s">
        <v>61</v>
      </c>
      <c r="S1340" s="46" t="s">
        <v>62</v>
      </c>
      <c r="T1340" s="46" t="s">
        <v>12</v>
      </c>
      <c r="U1340" s="46" t="s">
        <v>63</v>
      </c>
    </row>
    <row r="1341" spans="1:21">
      <c r="A1341" s="64">
        <v>24316864</v>
      </c>
      <c r="B1341" s="61" t="s">
        <v>2026</v>
      </c>
      <c r="C1341" s="62" t="s">
        <v>1834</v>
      </c>
      <c r="D1341" s="48">
        <v>27400</v>
      </c>
      <c r="E1341" s="49">
        <f ca="1">IF(D1341="","",YEARFRAC(D1341,TODAY(),1))</f>
        <v>51.479808350444898</v>
      </c>
      <c r="F1341" s="63">
        <v>156101671</v>
      </c>
      <c r="G1341" s="51" t="s">
        <v>23</v>
      </c>
      <c r="I1341" s="62" t="s">
        <v>6489</v>
      </c>
      <c r="J1341" s="61" t="s">
        <v>6490</v>
      </c>
      <c r="K1341" s="61"/>
      <c r="L1341" s="61"/>
      <c r="M1341" s="53" t="s">
        <v>6491</v>
      </c>
      <c r="N1341" s="55"/>
      <c r="O1341" s="55"/>
    </row>
    <row r="1342" spans="1:21">
      <c r="A1342" s="47">
        <v>24338410</v>
      </c>
      <c r="B1342" s="46" t="s">
        <v>5849</v>
      </c>
      <c r="C1342" s="46" t="s">
        <v>455</v>
      </c>
      <c r="D1342" s="48">
        <v>27389</v>
      </c>
      <c r="E1342" s="49">
        <f ca="1">IF(D1342="","",YEARFRAC(D1342,TODAY(),1))</f>
        <v>51.510589936976956</v>
      </c>
      <c r="F1342" s="50">
        <v>154635516</v>
      </c>
      <c r="G1342" s="51" t="s">
        <v>70</v>
      </c>
      <c r="I1342" s="52" t="s">
        <v>5826</v>
      </c>
      <c r="J1342" s="46" t="s">
        <v>4912</v>
      </c>
      <c r="M1342" s="53" t="s">
        <v>5850</v>
      </c>
      <c r="N1342" s="46">
        <v>4247752</v>
      </c>
      <c r="O1342" s="46">
        <v>7180</v>
      </c>
      <c r="P1342" s="46">
        <v>3</v>
      </c>
    </row>
    <row r="1343" spans="1:21">
      <c r="A1343" s="47">
        <v>24340307</v>
      </c>
      <c r="B1343" s="46" t="s">
        <v>5959</v>
      </c>
      <c r="C1343" s="46" t="s">
        <v>571</v>
      </c>
      <c r="D1343" s="48" t="s">
        <v>52</v>
      </c>
      <c r="E1343" s="49" t="str">
        <f ca="1">IF(D1343="","",YEARFRAC(D1343,TODAY(),1))</f>
        <v/>
      </c>
      <c r="F1343" s="50" t="s">
        <v>5960</v>
      </c>
      <c r="G1343" s="51" t="s">
        <v>70</v>
      </c>
      <c r="H1343" s="52" t="s">
        <v>2656</v>
      </c>
      <c r="I1343" s="52" t="s">
        <v>5881</v>
      </c>
      <c r="J1343" s="46" t="s">
        <v>5961</v>
      </c>
      <c r="K1343" s="46" t="s">
        <v>81</v>
      </c>
      <c r="L1343" s="46" t="s">
        <v>546</v>
      </c>
      <c r="M1343" s="52" t="s">
        <v>5962</v>
      </c>
      <c r="N1343" s="46" t="s">
        <v>5884</v>
      </c>
      <c r="O1343" s="46" t="s">
        <v>52</v>
      </c>
      <c r="P1343" s="46" t="s">
        <v>59</v>
      </c>
      <c r="Q1343" s="46" t="s">
        <v>60</v>
      </c>
      <c r="R1343" s="46" t="s">
        <v>61</v>
      </c>
      <c r="S1343" s="46" t="s">
        <v>62</v>
      </c>
      <c r="T1343" s="46" t="s">
        <v>12</v>
      </c>
      <c r="U1343" s="46" t="s">
        <v>63</v>
      </c>
    </row>
    <row r="1344" spans="1:21">
      <c r="A1344" s="47">
        <v>24340309</v>
      </c>
      <c r="B1344" s="46" t="s">
        <v>2634</v>
      </c>
      <c r="C1344" s="46" t="s">
        <v>2635</v>
      </c>
      <c r="D1344" s="48" t="s">
        <v>2636</v>
      </c>
      <c r="E1344" s="49">
        <f ca="1">IF(D1344="","",YEARFRAC(D1344,TODAY(),1))</f>
        <v>51.584512862899054</v>
      </c>
      <c r="F1344" s="50" t="s">
        <v>2637</v>
      </c>
      <c r="G1344" s="51" t="s">
        <v>70</v>
      </c>
      <c r="H1344" s="52" t="s">
        <v>111</v>
      </c>
      <c r="I1344" s="59" t="s">
        <v>908</v>
      </c>
      <c r="J1344" s="46" t="s">
        <v>2638</v>
      </c>
      <c r="K1344" s="46" t="s">
        <v>390</v>
      </c>
      <c r="L1344" s="46" t="s">
        <v>546</v>
      </c>
      <c r="M1344" s="52" t="s">
        <v>2639</v>
      </c>
      <c r="N1344" s="46" t="s">
        <v>2640</v>
      </c>
      <c r="O1344" s="46" t="s">
        <v>2641</v>
      </c>
      <c r="P1344" s="46" t="s">
        <v>59</v>
      </c>
      <c r="Q1344" s="46" t="s">
        <v>60</v>
      </c>
      <c r="R1344" s="46" t="s">
        <v>61</v>
      </c>
      <c r="S1344" s="46" t="s">
        <v>62</v>
      </c>
      <c r="T1344" s="46" t="s">
        <v>12</v>
      </c>
      <c r="U1344" s="46" t="s">
        <v>63</v>
      </c>
    </row>
    <row r="1345" spans="1:21">
      <c r="A1345" s="47">
        <v>24340614</v>
      </c>
      <c r="B1345" s="46" t="s">
        <v>364</v>
      </c>
      <c r="C1345" s="55" t="s">
        <v>365</v>
      </c>
      <c r="D1345" s="48" t="s">
        <v>52</v>
      </c>
      <c r="E1345" s="49" t="str">
        <f ca="1">IF(D1345="","",YEARFRAC(D1345,TODAY(),1))</f>
        <v/>
      </c>
      <c r="F1345" s="50" t="s">
        <v>366</v>
      </c>
      <c r="G1345" s="51" t="s">
        <v>141</v>
      </c>
      <c r="H1345" s="52" t="s">
        <v>52</v>
      </c>
      <c r="I1345" s="52" t="s">
        <v>24</v>
      </c>
      <c r="J1345" s="55" t="s">
        <v>367</v>
      </c>
      <c r="K1345" s="55" t="s">
        <v>81</v>
      </c>
      <c r="L1345" s="55" t="s">
        <v>52</v>
      </c>
      <c r="M1345" s="53" t="s">
        <v>368</v>
      </c>
      <c r="N1345" s="55" t="s">
        <v>369</v>
      </c>
      <c r="O1345" s="55" t="s">
        <v>370</v>
      </c>
      <c r="P1345" s="46" t="s">
        <v>59</v>
      </c>
      <c r="Q1345" s="46" t="s">
        <v>60</v>
      </c>
      <c r="R1345" s="46" t="s">
        <v>61</v>
      </c>
      <c r="S1345" s="46" t="s">
        <v>62</v>
      </c>
      <c r="T1345" s="46" t="s">
        <v>12</v>
      </c>
      <c r="U1345" s="46" t="s">
        <v>63</v>
      </c>
    </row>
    <row r="1346" spans="1:21">
      <c r="A1346" s="74">
        <v>24346967</v>
      </c>
      <c r="B1346" s="234" t="s">
        <v>9903</v>
      </c>
      <c r="C1346" s="234" t="s">
        <v>9904</v>
      </c>
      <c r="D1346" s="235">
        <v>27458</v>
      </c>
      <c r="E1346" s="236"/>
      <c r="F1346" s="237">
        <v>3816720391</v>
      </c>
      <c r="G1346" s="234" t="s">
        <v>70</v>
      </c>
      <c r="H1346" s="238" t="s">
        <v>6629</v>
      </c>
      <c r="I1346" s="238" t="s">
        <v>5881</v>
      </c>
      <c r="J1346" s="234" t="s">
        <v>10005</v>
      </c>
      <c r="K1346" s="234" t="s">
        <v>9983</v>
      </c>
      <c r="L1346" s="234"/>
      <c r="M1346" s="238" t="s">
        <v>9937</v>
      </c>
      <c r="N1346" s="234"/>
      <c r="O1346" s="234"/>
      <c r="P1346" s="234"/>
      <c r="Q1346" s="234"/>
      <c r="R1346" s="234"/>
      <c r="S1346" s="234"/>
      <c r="T1346" s="234"/>
      <c r="U1346" s="234"/>
    </row>
    <row r="1347" spans="1:21">
      <c r="A1347" s="47">
        <v>24355070</v>
      </c>
      <c r="B1347" s="46" t="s">
        <v>2956</v>
      </c>
      <c r="C1347" s="46" t="s">
        <v>5543</v>
      </c>
      <c r="D1347" s="48">
        <v>27366</v>
      </c>
      <c r="E1347" s="49">
        <f ca="1">IF(D1347="","",YEARFRAC(D1347,TODAY(),1))</f>
        <v>51.573561318318006</v>
      </c>
      <c r="F1347" s="50">
        <v>154407459</v>
      </c>
      <c r="G1347" s="51" t="s">
        <v>70</v>
      </c>
      <c r="I1347" s="52" t="s">
        <v>5494</v>
      </c>
      <c r="J1347" s="46" t="s">
        <v>5544</v>
      </c>
      <c r="M1347" s="53" t="s">
        <v>5545</v>
      </c>
      <c r="N1347" s="46">
        <v>4302766</v>
      </c>
    </row>
    <row r="1348" spans="1:21">
      <c r="A1348" s="74">
        <v>24355229</v>
      </c>
      <c r="B1348" s="234" t="s">
        <v>9069</v>
      </c>
      <c r="C1348" s="234" t="s">
        <v>9890</v>
      </c>
      <c r="D1348" s="235">
        <v>27374</v>
      </c>
      <c r="E1348" s="236"/>
      <c r="F1348" s="237">
        <v>3816746337</v>
      </c>
      <c r="G1348" s="234" t="s">
        <v>78</v>
      </c>
      <c r="H1348" s="238" t="s">
        <v>9961</v>
      </c>
      <c r="I1348" s="238" t="s">
        <v>4499</v>
      </c>
      <c r="J1348" s="234" t="s">
        <v>9997</v>
      </c>
      <c r="K1348" s="234" t="s">
        <v>2002</v>
      </c>
      <c r="L1348" s="234"/>
      <c r="M1348" s="238" t="s">
        <v>6740</v>
      </c>
      <c r="N1348" s="234"/>
      <c r="O1348" s="234"/>
      <c r="P1348" s="234"/>
      <c r="Q1348" s="234"/>
      <c r="R1348" s="234"/>
      <c r="S1348" s="234"/>
      <c r="T1348" s="234"/>
      <c r="U1348" s="234"/>
    </row>
    <row r="1349" spans="1:21">
      <c r="A1349" s="47">
        <v>24355788</v>
      </c>
      <c r="B1349" s="46" t="s">
        <v>4395</v>
      </c>
      <c r="C1349" s="52" t="s">
        <v>4396</v>
      </c>
      <c r="E1349" s="49" t="str">
        <f t="shared" ref="E1349:E1357" ca="1" si="43">IF(D1349="","",YEARFRAC(D1349,TODAY(),1))</f>
        <v/>
      </c>
      <c r="F1349" s="50">
        <v>155302845</v>
      </c>
      <c r="G1349" s="51" t="s">
        <v>37</v>
      </c>
      <c r="I1349" s="52" t="s">
        <v>4245</v>
      </c>
      <c r="J1349" s="46" t="s">
        <v>3565</v>
      </c>
      <c r="M1349" s="53" t="s">
        <v>4397</v>
      </c>
      <c r="N1349" s="55">
        <v>4107232</v>
      </c>
      <c r="O1349" s="55"/>
    </row>
    <row r="1350" spans="1:21">
      <c r="A1350" s="47">
        <v>24399062</v>
      </c>
      <c r="B1350" s="46" t="s">
        <v>2121</v>
      </c>
      <c r="C1350" s="46" t="s">
        <v>2122</v>
      </c>
      <c r="E1350" s="49" t="str">
        <f t="shared" ca="1" si="43"/>
        <v/>
      </c>
      <c r="F1350" s="50">
        <v>154178989</v>
      </c>
      <c r="G1350" s="51" t="s">
        <v>23</v>
      </c>
      <c r="I1350" s="52" t="s">
        <v>1881</v>
      </c>
      <c r="M1350" s="58" t="s">
        <v>25</v>
      </c>
    </row>
    <row r="1351" spans="1:21">
      <c r="A1351" s="47">
        <v>24409278</v>
      </c>
      <c r="B1351" s="46" t="s">
        <v>3335</v>
      </c>
      <c r="C1351" s="46" t="s">
        <v>1068</v>
      </c>
      <c r="D1351" s="48">
        <v>27392</v>
      </c>
      <c r="E1351" s="49">
        <f t="shared" ca="1" si="43"/>
        <v>51.502376278541171</v>
      </c>
      <c r="F1351" s="50">
        <v>156242074</v>
      </c>
      <c r="G1351" s="51" t="s">
        <v>78</v>
      </c>
      <c r="I1351" s="52" t="s">
        <v>5494</v>
      </c>
      <c r="M1351" s="53" t="s">
        <v>5540</v>
      </c>
    </row>
    <row r="1352" spans="1:21">
      <c r="A1352" s="47">
        <v>24409715</v>
      </c>
      <c r="B1352" s="46" t="s">
        <v>4566</v>
      </c>
      <c r="C1352" s="46" t="s">
        <v>5191</v>
      </c>
      <c r="D1352" s="48">
        <v>27444</v>
      </c>
      <c r="E1352" s="49">
        <f t="shared" ca="1" si="43"/>
        <v>51.359342915811091</v>
      </c>
      <c r="F1352" s="50">
        <v>154623727</v>
      </c>
      <c r="G1352" s="51" t="s">
        <v>70</v>
      </c>
      <c r="I1352" s="52" t="s">
        <v>5176</v>
      </c>
      <c r="J1352" s="46" t="s">
        <v>5192</v>
      </c>
      <c r="M1352" s="53" t="s">
        <v>5193</v>
      </c>
      <c r="O1352" s="46">
        <v>4311200</v>
      </c>
    </row>
    <row r="1353" spans="1:21">
      <c r="A1353" s="47">
        <v>24432570</v>
      </c>
      <c r="B1353" s="46" t="s">
        <v>4170</v>
      </c>
      <c r="C1353" s="46" t="s">
        <v>5944</v>
      </c>
      <c r="D1353" s="48" t="s">
        <v>52</v>
      </c>
      <c r="E1353" s="49" t="str">
        <f t="shared" ca="1" si="43"/>
        <v/>
      </c>
      <c r="F1353" s="50" t="s">
        <v>5945</v>
      </c>
      <c r="G1353" s="51" t="s">
        <v>70</v>
      </c>
      <c r="H1353" s="52" t="s">
        <v>5946</v>
      </c>
      <c r="I1353" s="52" t="s">
        <v>5881</v>
      </c>
      <c r="J1353" s="46" t="s">
        <v>52</v>
      </c>
      <c r="K1353" s="46" t="s">
        <v>390</v>
      </c>
      <c r="L1353" s="46" t="s">
        <v>52</v>
      </c>
      <c r="M1353" s="52" t="s">
        <v>5947</v>
      </c>
      <c r="N1353" s="46" t="s">
        <v>5948</v>
      </c>
      <c r="O1353" s="46" t="s">
        <v>52</v>
      </c>
      <c r="P1353" s="46" t="s">
        <v>59</v>
      </c>
      <c r="Q1353" s="46" t="s">
        <v>60</v>
      </c>
      <c r="R1353" s="46" t="s">
        <v>61</v>
      </c>
      <c r="S1353" s="46" t="s">
        <v>62</v>
      </c>
      <c r="T1353" s="46" t="s">
        <v>12</v>
      </c>
      <c r="U1353" s="46" t="s">
        <v>63</v>
      </c>
    </row>
    <row r="1354" spans="1:21">
      <c r="A1354" s="47">
        <v>24453782</v>
      </c>
      <c r="B1354" s="46" t="s">
        <v>5158</v>
      </c>
      <c r="C1354" s="46" t="s">
        <v>5159</v>
      </c>
      <c r="D1354" s="48" t="s">
        <v>52</v>
      </c>
      <c r="E1354" s="49" t="str">
        <f t="shared" ca="1" si="43"/>
        <v/>
      </c>
      <c r="F1354" s="50" t="s">
        <v>5160</v>
      </c>
      <c r="G1354" s="51" t="s">
        <v>70</v>
      </c>
      <c r="H1354" s="52" t="s">
        <v>5161</v>
      </c>
      <c r="I1354" s="52" t="s">
        <v>4954</v>
      </c>
      <c r="J1354" s="46" t="s">
        <v>52</v>
      </c>
      <c r="K1354" s="46" t="s">
        <v>81</v>
      </c>
      <c r="L1354" s="46" t="s">
        <v>52</v>
      </c>
      <c r="M1354" s="52" t="s">
        <v>5162</v>
      </c>
      <c r="N1354" s="46" t="s">
        <v>4998</v>
      </c>
      <c r="O1354" s="46" t="s">
        <v>52</v>
      </c>
      <c r="P1354" s="46" t="s">
        <v>59</v>
      </c>
      <c r="Q1354" s="46" t="s">
        <v>60</v>
      </c>
      <c r="R1354" s="46" t="s">
        <v>61</v>
      </c>
      <c r="S1354" s="46" t="s">
        <v>62</v>
      </c>
      <c r="T1354" s="46" t="s">
        <v>12</v>
      </c>
      <c r="U1354" s="46" t="s">
        <v>63</v>
      </c>
    </row>
    <row r="1355" spans="1:21">
      <c r="A1355" s="47">
        <v>24503478</v>
      </c>
      <c r="B1355" s="46" t="s">
        <v>2158</v>
      </c>
      <c r="C1355" s="52" t="s">
        <v>2159</v>
      </c>
      <c r="D1355" s="48">
        <v>27688</v>
      </c>
      <c r="E1355" s="49">
        <f t="shared" ca="1" si="43"/>
        <v>50.691307323750856</v>
      </c>
      <c r="G1355" s="51" t="s">
        <v>23</v>
      </c>
      <c r="I1355" s="52" t="s">
        <v>1881</v>
      </c>
      <c r="M1355" s="58" t="s">
        <v>25</v>
      </c>
      <c r="N1355" s="55"/>
      <c r="O1355" s="55"/>
    </row>
    <row r="1356" spans="1:21">
      <c r="A1356" s="47">
        <v>24503602</v>
      </c>
      <c r="B1356" s="46" t="s">
        <v>394</v>
      </c>
      <c r="C1356" s="46" t="s">
        <v>2873</v>
      </c>
      <c r="D1356" s="48">
        <v>27722</v>
      </c>
      <c r="E1356" s="49">
        <f t="shared" ca="1" si="43"/>
        <v>50.598220396988367</v>
      </c>
      <c r="F1356" s="50">
        <v>4364257</v>
      </c>
      <c r="G1356" s="51" t="s">
        <v>70</v>
      </c>
      <c r="I1356" s="52" t="s">
        <v>2854</v>
      </c>
      <c r="J1356" s="46" t="s">
        <v>2874</v>
      </c>
      <c r="M1356" s="52" t="s">
        <v>2875</v>
      </c>
      <c r="N1356" s="46">
        <v>4107223</v>
      </c>
      <c r="O1356" s="46">
        <v>7223</v>
      </c>
      <c r="P1356" s="46">
        <v>4</v>
      </c>
    </row>
    <row r="1357" spans="1:21">
      <c r="A1357" s="47">
        <v>24503707</v>
      </c>
      <c r="B1357" s="46" t="s">
        <v>410</v>
      </c>
      <c r="C1357" s="52" t="s">
        <v>2802</v>
      </c>
      <c r="D1357" s="48">
        <v>27732</v>
      </c>
      <c r="E1357" s="49">
        <f t="shared" ca="1" si="43"/>
        <v>50.570841889117041</v>
      </c>
      <c r="G1357" s="51" t="s">
        <v>23</v>
      </c>
      <c r="I1357" s="52" t="s">
        <v>2778</v>
      </c>
      <c r="J1357" s="46" t="s">
        <v>2803</v>
      </c>
      <c r="M1357" s="58" t="s">
        <v>25</v>
      </c>
      <c r="N1357" s="55"/>
      <c r="O1357" s="55"/>
    </row>
    <row r="1358" spans="1:21">
      <c r="A1358" s="47">
        <v>24503749</v>
      </c>
      <c r="B1358" s="46" t="s">
        <v>1655</v>
      </c>
      <c r="C1358" s="46" t="s">
        <v>9687</v>
      </c>
      <c r="D1358" s="48" t="s">
        <v>9688</v>
      </c>
      <c r="E1358" s="49" t="s">
        <v>9414</v>
      </c>
      <c r="F1358" s="50" t="s">
        <v>9689</v>
      </c>
      <c r="G1358" s="51" t="s">
        <v>141</v>
      </c>
      <c r="H1358" s="52" t="s">
        <v>8753</v>
      </c>
      <c r="I1358" s="52" t="s">
        <v>24</v>
      </c>
      <c r="J1358" s="46" t="s">
        <v>9690</v>
      </c>
      <c r="K1358" s="46" t="s">
        <v>81</v>
      </c>
      <c r="L1358" s="46" t="s">
        <v>546</v>
      </c>
      <c r="M1358" s="52" t="s">
        <v>9691</v>
      </c>
      <c r="N1358" s="46" t="s">
        <v>52</v>
      </c>
      <c r="O1358" s="46" t="s">
        <v>52</v>
      </c>
      <c r="P1358" s="46" t="s">
        <v>59</v>
      </c>
      <c r="Q1358" s="46" t="s">
        <v>60</v>
      </c>
      <c r="R1358" s="46" t="s">
        <v>61</v>
      </c>
      <c r="S1358" s="46" t="s">
        <v>62</v>
      </c>
      <c r="T1358" s="46" t="s">
        <v>12</v>
      </c>
      <c r="U1358" s="46" t="s">
        <v>63</v>
      </c>
    </row>
    <row r="1359" spans="1:21">
      <c r="A1359" s="47">
        <v>24503795</v>
      </c>
      <c r="B1359" s="46" t="s">
        <v>2262</v>
      </c>
      <c r="C1359" s="46" t="s">
        <v>178</v>
      </c>
      <c r="D1359" s="48" t="s">
        <v>52</v>
      </c>
      <c r="E1359" s="49" t="str">
        <f t="shared" ref="E1359:E1383" ca="1" si="44">IF(D1359="","",YEARFRAC(D1359,TODAY(),1))</f>
        <v/>
      </c>
      <c r="F1359" s="50" t="s">
        <v>5484</v>
      </c>
      <c r="G1359" s="51" t="s">
        <v>70</v>
      </c>
      <c r="H1359" s="52" t="s">
        <v>5485</v>
      </c>
      <c r="I1359" s="52" t="s">
        <v>5304</v>
      </c>
      <c r="J1359" s="46" t="s">
        <v>3119</v>
      </c>
      <c r="K1359" s="46" t="s">
        <v>81</v>
      </c>
      <c r="L1359" s="46" t="s">
        <v>546</v>
      </c>
      <c r="M1359" s="52" t="s">
        <v>5486</v>
      </c>
      <c r="N1359" s="46" t="s">
        <v>5371</v>
      </c>
      <c r="O1359" s="46" t="s">
        <v>52</v>
      </c>
      <c r="P1359" s="46" t="s">
        <v>59</v>
      </c>
      <c r="Q1359" s="46" t="s">
        <v>60</v>
      </c>
      <c r="R1359" s="46" t="s">
        <v>61</v>
      </c>
      <c r="S1359" s="46" t="s">
        <v>62</v>
      </c>
      <c r="T1359" s="46" t="s">
        <v>12</v>
      </c>
      <c r="U1359" s="46" t="s">
        <v>63</v>
      </c>
    </row>
    <row r="1360" spans="1:21">
      <c r="A1360" s="47">
        <v>24504911</v>
      </c>
      <c r="B1360" s="46" t="s">
        <v>5971</v>
      </c>
      <c r="C1360" s="46" t="s">
        <v>5972</v>
      </c>
      <c r="E1360" s="49" t="str">
        <f t="shared" ca="1" si="44"/>
        <v/>
      </c>
      <c r="G1360" s="51" t="s">
        <v>23</v>
      </c>
      <c r="I1360" s="52" t="s">
        <v>23</v>
      </c>
      <c r="M1360" s="58" t="s">
        <v>25</v>
      </c>
    </row>
    <row r="1361" spans="1:21">
      <c r="A1361" s="47">
        <v>24553106</v>
      </c>
      <c r="B1361" s="46" t="s">
        <v>3749</v>
      </c>
      <c r="C1361" s="46" t="s">
        <v>3750</v>
      </c>
      <c r="D1361" s="48" t="s">
        <v>3751</v>
      </c>
      <c r="E1361" s="49">
        <f t="shared" ca="1" si="44"/>
        <v>51.293634496919921</v>
      </c>
      <c r="F1361" s="50" t="s">
        <v>3752</v>
      </c>
      <c r="G1361" s="51" t="s">
        <v>86</v>
      </c>
      <c r="H1361" s="52" t="s">
        <v>52</v>
      </c>
      <c r="I1361" s="52" t="s">
        <v>3630</v>
      </c>
      <c r="J1361" s="46" t="s">
        <v>1344</v>
      </c>
      <c r="K1361" s="46" t="s">
        <v>81</v>
      </c>
      <c r="L1361" s="46" t="s">
        <v>52</v>
      </c>
      <c r="M1361" s="53" t="s">
        <v>3753</v>
      </c>
      <c r="N1361" s="46" t="s">
        <v>3723</v>
      </c>
      <c r="O1361" s="46" t="s">
        <v>3724</v>
      </c>
      <c r="P1361" s="46" t="s">
        <v>59</v>
      </c>
      <c r="Q1361" s="46" t="s">
        <v>60</v>
      </c>
      <c r="R1361" s="46" t="s">
        <v>61</v>
      </c>
      <c r="S1361" s="46" t="s">
        <v>62</v>
      </c>
      <c r="T1361" s="46" t="s">
        <v>12</v>
      </c>
      <c r="U1361" s="46" t="s">
        <v>63</v>
      </c>
    </row>
    <row r="1362" spans="1:21">
      <c r="A1362" s="47">
        <v>24553185</v>
      </c>
      <c r="B1362" s="46" t="s">
        <v>1613</v>
      </c>
      <c r="C1362" s="46" t="s">
        <v>3156</v>
      </c>
      <c r="D1362" s="48">
        <v>27447</v>
      </c>
      <c r="E1362" s="49">
        <f t="shared" ca="1" si="44"/>
        <v>51.351129363449694</v>
      </c>
      <c r="F1362" s="50">
        <v>155796767</v>
      </c>
      <c r="G1362" s="51" t="s">
        <v>141</v>
      </c>
      <c r="I1362" s="52" t="s">
        <v>3127</v>
      </c>
      <c r="J1362" s="55" t="s">
        <v>38</v>
      </c>
      <c r="K1362" s="55"/>
      <c r="L1362" s="55"/>
      <c r="M1362" s="53" t="s">
        <v>3157</v>
      </c>
      <c r="N1362" s="55">
        <v>4556119</v>
      </c>
      <c r="O1362" s="55"/>
      <c r="P1362" s="55" t="s">
        <v>1092</v>
      </c>
    </row>
    <row r="1363" spans="1:21">
      <c r="A1363" s="47">
        <v>24553198</v>
      </c>
      <c r="B1363" s="46" t="s">
        <v>1906</v>
      </c>
      <c r="C1363" s="46" t="s">
        <v>5933</v>
      </c>
      <c r="D1363" s="48" t="s">
        <v>52</v>
      </c>
      <c r="E1363" s="49" t="str">
        <f t="shared" ca="1" si="44"/>
        <v/>
      </c>
      <c r="F1363" s="50" t="s">
        <v>5934</v>
      </c>
      <c r="G1363" s="51" t="s">
        <v>86</v>
      </c>
      <c r="H1363" s="52" t="s">
        <v>52</v>
      </c>
      <c r="I1363" s="52" t="s">
        <v>5881</v>
      </c>
      <c r="J1363" s="46" t="s">
        <v>5935</v>
      </c>
      <c r="K1363" s="46" t="s">
        <v>81</v>
      </c>
      <c r="L1363" s="46" t="s">
        <v>546</v>
      </c>
      <c r="M1363" s="52" t="s">
        <v>5936</v>
      </c>
      <c r="N1363" s="46" t="s">
        <v>2918</v>
      </c>
      <c r="O1363" s="46" t="s">
        <v>52</v>
      </c>
      <c r="P1363" s="46" t="s">
        <v>59</v>
      </c>
      <c r="Q1363" s="46" t="s">
        <v>60</v>
      </c>
      <c r="R1363" s="46" t="s">
        <v>61</v>
      </c>
      <c r="S1363" s="46" t="s">
        <v>62</v>
      </c>
      <c r="T1363" s="46" t="s">
        <v>12</v>
      </c>
      <c r="U1363" s="46" t="s">
        <v>63</v>
      </c>
    </row>
    <row r="1364" spans="1:21">
      <c r="A1364" s="47">
        <v>24553319</v>
      </c>
      <c r="B1364" s="46" t="s">
        <v>1364</v>
      </c>
      <c r="C1364" s="46" t="s">
        <v>5705</v>
      </c>
      <c r="D1364" s="48">
        <v>27464</v>
      </c>
      <c r="E1364" s="49">
        <f t="shared" ca="1" si="44"/>
        <v>51.304585900068446</v>
      </c>
      <c r="F1364" s="50">
        <v>156044237</v>
      </c>
      <c r="G1364" s="51" t="s">
        <v>70</v>
      </c>
      <c r="I1364" s="52" t="s">
        <v>5494</v>
      </c>
      <c r="J1364" s="46" t="s">
        <v>5706</v>
      </c>
      <c r="M1364" s="53" t="s">
        <v>5707</v>
      </c>
      <c r="N1364" s="46">
        <v>4302766</v>
      </c>
      <c r="P1364" s="46">
        <v>3</v>
      </c>
    </row>
    <row r="1365" spans="1:21">
      <c r="A1365" s="47">
        <v>24553341</v>
      </c>
      <c r="B1365" s="46" t="s">
        <v>5436</v>
      </c>
      <c r="C1365" s="52" t="s">
        <v>2123</v>
      </c>
      <c r="D1365" s="48">
        <v>27480</v>
      </c>
      <c r="E1365" s="49">
        <f t="shared" ca="1" si="44"/>
        <v>51.260780287474333</v>
      </c>
      <c r="G1365" s="51" t="s">
        <v>70</v>
      </c>
      <c r="I1365" s="52" t="s">
        <v>5304</v>
      </c>
      <c r="J1365" s="46" t="s">
        <v>5310</v>
      </c>
      <c r="M1365" s="58" t="s">
        <v>25</v>
      </c>
      <c r="N1365" s="55"/>
      <c r="O1365" s="55"/>
    </row>
    <row r="1366" spans="1:21">
      <c r="A1366" s="47">
        <v>24553486</v>
      </c>
      <c r="B1366" s="46" t="s">
        <v>94</v>
      </c>
      <c r="C1366" s="46" t="s">
        <v>2260</v>
      </c>
      <c r="D1366" s="48" t="s">
        <v>52</v>
      </c>
      <c r="E1366" s="49" t="str">
        <f t="shared" ca="1" si="44"/>
        <v/>
      </c>
      <c r="F1366" s="50" t="s">
        <v>5825</v>
      </c>
      <c r="G1366" s="51" t="s">
        <v>141</v>
      </c>
      <c r="H1366" s="52" t="s">
        <v>52</v>
      </c>
      <c r="I1366" s="52" t="s">
        <v>5826</v>
      </c>
      <c r="J1366" s="46" t="s">
        <v>5827</v>
      </c>
      <c r="K1366" s="46" t="s">
        <v>81</v>
      </c>
      <c r="L1366" s="46" t="s">
        <v>52</v>
      </c>
      <c r="M1366" s="53" t="s">
        <v>5828</v>
      </c>
      <c r="N1366" s="46" t="s">
        <v>52</v>
      </c>
      <c r="O1366" s="46" t="s">
        <v>5829</v>
      </c>
      <c r="P1366" s="46" t="s">
        <v>59</v>
      </c>
      <c r="Q1366" s="46" t="s">
        <v>60</v>
      </c>
      <c r="R1366" s="46" t="s">
        <v>61</v>
      </c>
      <c r="S1366" s="46" t="s">
        <v>62</v>
      </c>
      <c r="T1366" s="46" t="s">
        <v>12</v>
      </c>
      <c r="U1366" s="46" t="s">
        <v>63</v>
      </c>
    </row>
    <row r="1367" spans="1:21">
      <c r="A1367" s="47">
        <v>24553510</v>
      </c>
      <c r="B1367" s="46" t="s">
        <v>734</v>
      </c>
      <c r="C1367" s="46" t="s">
        <v>736</v>
      </c>
      <c r="E1367" s="49" t="str">
        <f t="shared" ca="1" si="44"/>
        <v/>
      </c>
      <c r="F1367" s="50">
        <v>155835373</v>
      </c>
      <c r="G1367" s="51" t="s">
        <v>23</v>
      </c>
      <c r="I1367" s="52" t="s">
        <v>594</v>
      </c>
      <c r="M1367" s="58" t="s">
        <v>25</v>
      </c>
    </row>
    <row r="1368" spans="1:21">
      <c r="A1368" s="47">
        <v>24553770</v>
      </c>
      <c r="B1368" s="46" t="s">
        <v>2923</v>
      </c>
      <c r="C1368" s="46" t="s">
        <v>2924</v>
      </c>
      <c r="D1368" s="48" t="s">
        <v>52</v>
      </c>
      <c r="E1368" s="49" t="str">
        <f t="shared" ca="1" si="44"/>
        <v/>
      </c>
      <c r="F1368" s="50" t="s">
        <v>2925</v>
      </c>
      <c r="G1368" s="51" t="s">
        <v>70</v>
      </c>
      <c r="H1368" s="52" t="s">
        <v>52</v>
      </c>
      <c r="I1368" s="52" t="s">
        <v>2926</v>
      </c>
      <c r="J1368" s="46" t="s">
        <v>2927</v>
      </c>
      <c r="K1368" s="46" t="s">
        <v>112</v>
      </c>
      <c r="L1368" s="46" t="s">
        <v>441</v>
      </c>
      <c r="M1368" s="53" t="s">
        <v>2928</v>
      </c>
      <c r="N1368" s="46" t="s">
        <v>52</v>
      </c>
      <c r="O1368" s="46" t="s">
        <v>52</v>
      </c>
      <c r="P1368" s="46" t="s">
        <v>59</v>
      </c>
      <c r="Q1368" s="46" t="s">
        <v>60</v>
      </c>
      <c r="R1368" s="46" t="s">
        <v>61</v>
      </c>
      <c r="S1368" s="46" t="s">
        <v>62</v>
      </c>
      <c r="T1368" s="46" t="s">
        <v>12</v>
      </c>
      <c r="U1368" s="46" t="s">
        <v>63</v>
      </c>
    </row>
    <row r="1369" spans="1:21">
      <c r="A1369" s="47">
        <v>24553951</v>
      </c>
      <c r="B1369" s="46" t="s">
        <v>4952</v>
      </c>
      <c r="C1369" s="52" t="s">
        <v>4953</v>
      </c>
      <c r="D1369" s="48">
        <v>27504</v>
      </c>
      <c r="E1369" s="49">
        <f t="shared" ca="1" si="44"/>
        <v>51.195071868583163</v>
      </c>
      <c r="F1369" s="50">
        <v>154167520</v>
      </c>
      <c r="G1369" s="51" t="s">
        <v>23</v>
      </c>
      <c r="I1369" s="52" t="s">
        <v>4954</v>
      </c>
      <c r="J1369" s="46" t="s">
        <v>673</v>
      </c>
      <c r="M1369" s="53" t="s">
        <v>4955</v>
      </c>
      <c r="N1369" s="55"/>
      <c r="O1369" s="55"/>
    </row>
    <row r="1370" spans="1:21">
      <c r="A1370" s="47">
        <v>24584184</v>
      </c>
      <c r="B1370" s="46" t="s">
        <v>990</v>
      </c>
      <c r="C1370" s="52" t="s">
        <v>991</v>
      </c>
      <c r="D1370" s="48" t="s">
        <v>52</v>
      </c>
      <c r="E1370" s="49" t="str">
        <f t="shared" ca="1" si="44"/>
        <v/>
      </c>
      <c r="F1370" s="50" t="s">
        <v>992</v>
      </c>
      <c r="G1370" s="51" t="s">
        <v>141</v>
      </c>
      <c r="H1370" s="52" t="s">
        <v>52</v>
      </c>
      <c r="I1370" s="59" t="s">
        <v>908</v>
      </c>
      <c r="J1370" s="46" t="s">
        <v>697</v>
      </c>
      <c r="K1370" s="46" t="s">
        <v>81</v>
      </c>
      <c r="L1370" s="46" t="s">
        <v>52</v>
      </c>
      <c r="M1370" s="53" t="s">
        <v>993</v>
      </c>
      <c r="N1370" s="55" t="s">
        <v>52</v>
      </c>
      <c r="O1370" s="55" t="s">
        <v>932</v>
      </c>
      <c r="P1370" s="46" t="s">
        <v>59</v>
      </c>
      <c r="Q1370" s="46" t="s">
        <v>60</v>
      </c>
      <c r="R1370" s="46" t="s">
        <v>61</v>
      </c>
      <c r="S1370" s="46" t="s">
        <v>62</v>
      </c>
      <c r="T1370" s="46" t="s">
        <v>12</v>
      </c>
      <c r="U1370" s="46" t="s">
        <v>63</v>
      </c>
    </row>
    <row r="1371" spans="1:21">
      <c r="A1371" s="64">
        <v>24621078</v>
      </c>
      <c r="B1371" s="61" t="s">
        <v>850</v>
      </c>
      <c r="C1371" s="62" t="s">
        <v>851</v>
      </c>
      <c r="D1371" s="48">
        <v>27513</v>
      </c>
      <c r="E1371" s="49">
        <f t="shared" ca="1" si="44"/>
        <v>51.170431211498972</v>
      </c>
      <c r="F1371" s="63">
        <v>156554545</v>
      </c>
      <c r="G1371" s="51" t="s">
        <v>23</v>
      </c>
      <c r="I1371" s="52" t="s">
        <v>848</v>
      </c>
      <c r="J1371" s="61" t="s">
        <v>48</v>
      </c>
      <c r="K1371" s="61"/>
      <c r="L1371" s="61"/>
      <c r="M1371" s="53" t="s">
        <v>852</v>
      </c>
      <c r="N1371" s="55"/>
      <c r="O1371" s="55"/>
    </row>
    <row r="1372" spans="1:21">
      <c r="A1372" s="47">
        <v>24622574</v>
      </c>
      <c r="B1372" s="46" t="s">
        <v>47</v>
      </c>
      <c r="C1372" s="46" t="s">
        <v>4961</v>
      </c>
      <c r="D1372" s="48">
        <v>27583</v>
      </c>
      <c r="E1372" s="49">
        <f t="shared" ca="1" si="44"/>
        <v>50.978781656399725</v>
      </c>
      <c r="F1372" s="50">
        <v>155265060</v>
      </c>
      <c r="G1372" s="51" t="s">
        <v>78</v>
      </c>
      <c r="I1372" s="52" t="s">
        <v>4954</v>
      </c>
      <c r="J1372" s="46" t="s">
        <v>4962</v>
      </c>
      <c r="M1372" s="53" t="s">
        <v>4963</v>
      </c>
      <c r="N1372" s="46">
        <v>4253631</v>
      </c>
    </row>
    <row r="1373" spans="1:21">
      <c r="A1373" s="47">
        <v>24641950</v>
      </c>
      <c r="B1373" s="46" t="s">
        <v>1787</v>
      </c>
      <c r="C1373" s="46" t="s">
        <v>3146</v>
      </c>
      <c r="D1373" s="48">
        <v>27609</v>
      </c>
      <c r="E1373" s="49">
        <f t="shared" ca="1" si="44"/>
        <v>50.907597535934293</v>
      </c>
      <c r="F1373" s="50">
        <v>154953271</v>
      </c>
      <c r="G1373" s="51" t="s">
        <v>141</v>
      </c>
      <c r="I1373" s="52" t="s">
        <v>3127</v>
      </c>
      <c r="J1373" s="55"/>
      <c r="K1373" s="55"/>
      <c r="L1373" s="55"/>
      <c r="M1373" s="53" t="s">
        <v>3147</v>
      </c>
      <c r="N1373" s="55"/>
      <c r="O1373" s="55"/>
      <c r="P1373" s="46">
        <v>3</v>
      </c>
    </row>
    <row r="1374" spans="1:21">
      <c r="A1374" s="47">
        <v>24671172</v>
      </c>
      <c r="B1374" s="46" t="s">
        <v>315</v>
      </c>
      <c r="C1374" s="46" t="s">
        <v>2902</v>
      </c>
      <c r="D1374" s="48" t="s">
        <v>2903</v>
      </c>
      <c r="E1374" s="49">
        <f t="shared" ca="1" si="44"/>
        <v>51.15126625598905</v>
      </c>
      <c r="F1374" s="50" t="s">
        <v>2904</v>
      </c>
      <c r="G1374" s="51" t="s">
        <v>78</v>
      </c>
      <c r="H1374" s="52" t="s">
        <v>2892</v>
      </c>
      <c r="I1374" s="52" t="s">
        <v>2893</v>
      </c>
      <c r="J1374" s="46" t="s">
        <v>238</v>
      </c>
      <c r="K1374" s="46" t="s">
        <v>52</v>
      </c>
      <c r="L1374" s="46" t="s">
        <v>52</v>
      </c>
      <c r="M1374" s="53" t="s">
        <v>2905</v>
      </c>
      <c r="N1374" s="46" t="s">
        <v>2894</v>
      </c>
      <c r="O1374" s="46" t="s">
        <v>2895</v>
      </c>
      <c r="P1374" s="46" t="s">
        <v>59</v>
      </c>
      <c r="Q1374" s="46" t="s">
        <v>60</v>
      </c>
      <c r="R1374" s="46" t="s">
        <v>61</v>
      </c>
      <c r="S1374" s="46" t="s">
        <v>62</v>
      </c>
      <c r="T1374" s="46" t="s">
        <v>12</v>
      </c>
      <c r="U1374" s="46" t="s">
        <v>63</v>
      </c>
    </row>
    <row r="1375" spans="1:21">
      <c r="A1375" s="47">
        <v>24792872</v>
      </c>
      <c r="B1375" s="46" t="s">
        <v>1504</v>
      </c>
      <c r="C1375" s="46" t="s">
        <v>2678</v>
      </c>
      <c r="D1375" s="48">
        <v>27617</v>
      </c>
      <c r="E1375" s="49">
        <f t="shared" ca="1" si="44"/>
        <v>50.885694729637237</v>
      </c>
      <c r="F1375" s="50">
        <v>156937954</v>
      </c>
      <c r="G1375" s="51" t="s">
        <v>54</v>
      </c>
      <c r="I1375" s="52" t="s">
        <v>5761</v>
      </c>
      <c r="J1375" s="46" t="s">
        <v>5772</v>
      </c>
      <c r="M1375" s="58" t="s">
        <v>25</v>
      </c>
      <c r="N1375" s="46">
        <v>4364093</v>
      </c>
      <c r="O1375" s="46">
        <v>7916</v>
      </c>
      <c r="P1375" s="46">
        <v>1</v>
      </c>
    </row>
    <row r="1376" spans="1:21">
      <c r="A1376" s="47">
        <v>24802089</v>
      </c>
      <c r="B1376" s="46" t="s">
        <v>875</v>
      </c>
      <c r="C1376" s="46" t="s">
        <v>4707</v>
      </c>
      <c r="E1376" s="49" t="str">
        <f t="shared" ca="1" si="44"/>
        <v/>
      </c>
      <c r="F1376" s="50">
        <v>153313401</v>
      </c>
      <c r="G1376" s="51" t="s">
        <v>23</v>
      </c>
      <c r="I1376" s="52" t="s">
        <v>23</v>
      </c>
      <c r="M1376" s="53" t="s">
        <v>6401</v>
      </c>
    </row>
    <row r="1377" spans="1:21">
      <c r="A1377" s="47">
        <v>24802118</v>
      </c>
      <c r="B1377" s="46" t="s">
        <v>2422</v>
      </c>
      <c r="C1377" s="46" t="s">
        <v>2423</v>
      </c>
      <c r="D1377" s="48" t="s">
        <v>52</v>
      </c>
      <c r="E1377" s="49" t="str">
        <f t="shared" ca="1" si="44"/>
        <v/>
      </c>
      <c r="F1377" s="50" t="s">
        <v>2424</v>
      </c>
      <c r="G1377" s="51" t="s">
        <v>141</v>
      </c>
      <c r="H1377" s="52" t="s">
        <v>52</v>
      </c>
      <c r="I1377" s="52" t="s">
        <v>1497</v>
      </c>
      <c r="J1377" s="46" t="s">
        <v>2425</v>
      </c>
      <c r="K1377" s="46" t="s">
        <v>81</v>
      </c>
      <c r="L1377" s="46" t="s">
        <v>546</v>
      </c>
      <c r="M1377" s="52" t="s">
        <v>2426</v>
      </c>
      <c r="N1377" s="46" t="s">
        <v>2370</v>
      </c>
      <c r="O1377" s="46" t="s">
        <v>52</v>
      </c>
      <c r="P1377" s="46" t="s">
        <v>59</v>
      </c>
      <c r="Q1377" s="46" t="s">
        <v>60</v>
      </c>
      <c r="R1377" s="46" t="s">
        <v>61</v>
      </c>
      <c r="S1377" s="46" t="s">
        <v>62</v>
      </c>
      <c r="T1377" s="46" t="s">
        <v>12</v>
      </c>
      <c r="U1377" s="46" t="s">
        <v>63</v>
      </c>
    </row>
    <row r="1378" spans="1:21">
      <c r="A1378" s="47">
        <v>24802248</v>
      </c>
      <c r="B1378" s="46" t="s">
        <v>1613</v>
      </c>
      <c r="C1378" s="46" t="s">
        <v>2418</v>
      </c>
      <c r="D1378" s="48" t="s">
        <v>2419</v>
      </c>
      <c r="E1378" s="49">
        <f t="shared" ca="1" si="44"/>
        <v>50.937713894592747</v>
      </c>
      <c r="F1378" s="50" t="s">
        <v>1614</v>
      </c>
      <c r="G1378" s="51" t="s">
        <v>70</v>
      </c>
      <c r="H1378" s="52" t="s">
        <v>380</v>
      </c>
      <c r="I1378" s="52" t="s">
        <v>1497</v>
      </c>
      <c r="J1378" s="46" t="s">
        <v>2420</v>
      </c>
      <c r="K1378" s="46" t="s">
        <v>81</v>
      </c>
      <c r="L1378" s="46" t="s">
        <v>52</v>
      </c>
      <c r="M1378" s="52" t="s">
        <v>1617</v>
      </c>
      <c r="N1378" s="46" t="s">
        <v>2421</v>
      </c>
      <c r="O1378" s="46" t="s">
        <v>52</v>
      </c>
      <c r="P1378" s="46" t="s">
        <v>59</v>
      </c>
      <c r="Q1378" s="46" t="s">
        <v>60</v>
      </c>
      <c r="R1378" s="46" t="s">
        <v>61</v>
      </c>
      <c r="S1378" s="46" t="s">
        <v>62</v>
      </c>
      <c r="T1378" s="46" t="s">
        <v>12</v>
      </c>
      <c r="U1378" s="46" t="s">
        <v>63</v>
      </c>
    </row>
    <row r="1379" spans="1:21">
      <c r="A1379" s="47">
        <v>24802284</v>
      </c>
      <c r="B1379" s="46" t="s">
        <v>1613</v>
      </c>
      <c r="C1379" s="46" t="s">
        <v>455</v>
      </c>
      <c r="D1379" s="48" t="s">
        <v>52</v>
      </c>
      <c r="E1379" s="49" t="str">
        <f t="shared" ca="1" si="44"/>
        <v/>
      </c>
      <c r="F1379" s="50" t="s">
        <v>1614</v>
      </c>
      <c r="G1379" s="51" t="s">
        <v>70</v>
      </c>
      <c r="H1379" s="52" t="s">
        <v>1615</v>
      </c>
      <c r="I1379" s="52" t="s">
        <v>1497</v>
      </c>
      <c r="J1379" s="46" t="s">
        <v>1616</v>
      </c>
      <c r="K1379" s="46" t="s">
        <v>81</v>
      </c>
      <c r="L1379" s="46" t="s">
        <v>52</v>
      </c>
      <c r="M1379" s="53" t="s">
        <v>1617</v>
      </c>
      <c r="N1379" s="46" t="s">
        <v>52</v>
      </c>
      <c r="O1379" s="46" t="s">
        <v>1618</v>
      </c>
      <c r="P1379" s="46" t="s">
        <v>59</v>
      </c>
      <c r="Q1379" s="46" t="s">
        <v>60</v>
      </c>
      <c r="R1379" s="46" t="s">
        <v>61</v>
      </c>
      <c r="S1379" s="46" t="s">
        <v>62</v>
      </c>
      <c r="T1379" s="46" t="s">
        <v>12</v>
      </c>
      <c r="U1379" s="46" t="s">
        <v>63</v>
      </c>
    </row>
    <row r="1380" spans="1:21">
      <c r="A1380" s="47">
        <v>24802352</v>
      </c>
      <c r="B1380" s="46" t="s">
        <v>3646</v>
      </c>
      <c r="C1380" s="46" t="s">
        <v>455</v>
      </c>
      <c r="D1380" s="48">
        <v>27430</v>
      </c>
      <c r="E1380" s="49">
        <f t="shared" ca="1" si="44"/>
        <v>51.397672826830934</v>
      </c>
      <c r="F1380" s="50">
        <v>154626980</v>
      </c>
      <c r="G1380" s="51" t="s">
        <v>86</v>
      </c>
      <c r="I1380" s="52" t="s">
        <v>3630</v>
      </c>
      <c r="J1380" s="46" t="s">
        <v>3647</v>
      </c>
      <c r="M1380" s="52" t="s">
        <v>3648</v>
      </c>
      <c r="N1380" s="46">
        <v>4847355</v>
      </c>
      <c r="O1380" s="46">
        <v>7355</v>
      </c>
      <c r="P1380" s="46">
        <v>3</v>
      </c>
    </row>
    <row r="1381" spans="1:21">
      <c r="A1381" s="47">
        <v>24802856</v>
      </c>
      <c r="B1381" s="46" t="s">
        <v>8785</v>
      </c>
      <c r="C1381" s="46" t="s">
        <v>6702</v>
      </c>
      <c r="D1381" s="48" t="s">
        <v>52</v>
      </c>
      <c r="E1381" s="49" t="str">
        <f t="shared" ca="1" si="44"/>
        <v/>
      </c>
      <c r="F1381" s="50" t="s">
        <v>6703</v>
      </c>
      <c r="G1381" s="51" t="s">
        <v>141</v>
      </c>
      <c r="H1381" s="52" t="s">
        <v>52</v>
      </c>
      <c r="I1381" s="52" t="s">
        <v>4499</v>
      </c>
      <c r="J1381" s="46" t="s">
        <v>6704</v>
      </c>
      <c r="K1381" s="46" t="s">
        <v>81</v>
      </c>
      <c r="L1381" s="46" t="s">
        <v>546</v>
      </c>
      <c r="M1381" s="52" t="s">
        <v>6705</v>
      </c>
      <c r="N1381" s="46" t="s">
        <v>52</v>
      </c>
      <c r="O1381" s="46" t="s">
        <v>52</v>
      </c>
      <c r="P1381" s="46" t="s">
        <v>59</v>
      </c>
      <c r="Q1381" s="46" t="s">
        <v>60</v>
      </c>
      <c r="R1381" s="46" t="s">
        <v>61</v>
      </c>
      <c r="S1381" s="46" t="s">
        <v>62</v>
      </c>
      <c r="T1381" s="46" t="s">
        <v>12</v>
      </c>
      <c r="U1381" s="46" t="s">
        <v>63</v>
      </c>
    </row>
    <row r="1382" spans="1:21">
      <c r="A1382" s="47">
        <v>24802894</v>
      </c>
      <c r="B1382" s="46" t="s">
        <v>4067</v>
      </c>
      <c r="C1382" s="46" t="s">
        <v>5227</v>
      </c>
      <c r="D1382" s="48">
        <v>27668</v>
      </c>
      <c r="E1382" s="49">
        <f t="shared" ca="1" si="44"/>
        <v>50.7460643394935</v>
      </c>
      <c r="F1382" s="50">
        <v>156800501</v>
      </c>
      <c r="G1382" s="51" t="s">
        <v>70</v>
      </c>
      <c r="I1382" s="52" t="s">
        <v>5176</v>
      </c>
      <c r="J1382" s="46" t="s">
        <v>628</v>
      </c>
      <c r="M1382" s="53" t="s">
        <v>5228</v>
      </c>
      <c r="O1382" s="46">
        <v>4311200</v>
      </c>
    </row>
    <row r="1383" spans="1:21">
      <c r="A1383" s="47">
        <v>24803011</v>
      </c>
      <c r="B1383" s="46" t="s">
        <v>1568</v>
      </c>
      <c r="C1383" s="52" t="s">
        <v>97</v>
      </c>
      <c r="D1383" s="48">
        <v>27541</v>
      </c>
      <c r="E1383" s="49">
        <f t="shared" ca="1" si="44"/>
        <v>51.093771389459278</v>
      </c>
      <c r="G1383" s="51" t="s">
        <v>23</v>
      </c>
      <c r="I1383" s="52" t="s">
        <v>1497</v>
      </c>
      <c r="J1383" s="46" t="s">
        <v>1569</v>
      </c>
      <c r="M1383" s="53" t="s">
        <v>1570</v>
      </c>
      <c r="N1383" s="55">
        <v>4230056</v>
      </c>
      <c r="O1383" s="55">
        <v>37</v>
      </c>
    </row>
    <row r="1384" spans="1:21">
      <c r="A1384" s="47">
        <v>24803045</v>
      </c>
      <c r="B1384" s="46" t="s">
        <v>9411</v>
      </c>
      <c r="C1384" s="46" t="s">
        <v>9412</v>
      </c>
      <c r="D1384" s="48" t="s">
        <v>9413</v>
      </c>
      <c r="E1384" s="49" t="s">
        <v>9414</v>
      </c>
      <c r="F1384" s="50" t="s">
        <v>9415</v>
      </c>
      <c r="G1384" s="51" t="s">
        <v>70</v>
      </c>
      <c r="H1384" s="52" t="s">
        <v>5510</v>
      </c>
      <c r="I1384" s="52" t="s">
        <v>5761</v>
      </c>
      <c r="J1384" s="46" t="s">
        <v>9416</v>
      </c>
      <c r="K1384" s="46" t="s">
        <v>81</v>
      </c>
      <c r="L1384" s="46" t="s">
        <v>546</v>
      </c>
      <c r="M1384" s="52" t="s">
        <v>9417</v>
      </c>
      <c r="N1384" s="46" t="s">
        <v>52</v>
      </c>
      <c r="O1384" s="46" t="s">
        <v>52</v>
      </c>
      <c r="P1384" s="46" t="s">
        <v>59</v>
      </c>
      <c r="Q1384" s="46" t="s">
        <v>60</v>
      </c>
      <c r="R1384" s="46" t="s">
        <v>61</v>
      </c>
      <c r="S1384" s="46" t="s">
        <v>62</v>
      </c>
      <c r="T1384" s="46" t="s">
        <v>12</v>
      </c>
      <c r="U1384" s="46" t="s">
        <v>63</v>
      </c>
    </row>
    <row r="1385" spans="1:21">
      <c r="A1385" s="47">
        <v>24803141</v>
      </c>
      <c r="B1385" s="46" t="s">
        <v>6421</v>
      </c>
      <c r="C1385" s="52" t="s">
        <v>365</v>
      </c>
      <c r="D1385" s="48">
        <v>27587</v>
      </c>
      <c r="E1385" s="49">
        <f t="shared" ref="E1385:E1401" ca="1" si="45">IF(D1385="","",YEARFRAC(D1385,TODAY(),1))</f>
        <v>50.967830253251201</v>
      </c>
      <c r="F1385" s="50">
        <v>155222230</v>
      </c>
      <c r="G1385" s="51" t="s">
        <v>352</v>
      </c>
      <c r="I1385" s="52" t="s">
        <v>23</v>
      </c>
      <c r="J1385" s="46" t="s">
        <v>38</v>
      </c>
      <c r="M1385" s="58" t="s">
        <v>25</v>
      </c>
      <c r="N1385" s="55">
        <v>4107278</v>
      </c>
      <c r="O1385" s="55">
        <v>7278</v>
      </c>
    </row>
    <row r="1386" spans="1:21">
      <c r="A1386" s="47">
        <v>24803209</v>
      </c>
      <c r="B1386" s="46" t="s">
        <v>2602</v>
      </c>
      <c r="C1386" s="46" t="s">
        <v>2603</v>
      </c>
      <c r="D1386" s="48">
        <v>27556</v>
      </c>
      <c r="E1386" s="49">
        <f t="shared" ca="1" si="45"/>
        <v>51.052703627652292</v>
      </c>
      <c r="F1386" s="50">
        <v>155450061</v>
      </c>
      <c r="G1386" s="51" t="s">
        <v>70</v>
      </c>
      <c r="I1386" s="59" t="s">
        <v>908</v>
      </c>
      <c r="J1386" s="46" t="s">
        <v>38</v>
      </c>
      <c r="M1386" s="53" t="s">
        <v>2604</v>
      </c>
      <c r="O1386" s="46">
        <v>4212400</v>
      </c>
    </row>
    <row r="1387" spans="1:21">
      <c r="A1387" s="47">
        <v>24803211</v>
      </c>
      <c r="B1387" s="46" t="s">
        <v>2579</v>
      </c>
      <c r="C1387" s="46" t="s">
        <v>2580</v>
      </c>
      <c r="D1387" s="48">
        <v>29329</v>
      </c>
      <c r="E1387" s="49">
        <f t="shared" ca="1" si="45"/>
        <v>46.197821401526184</v>
      </c>
      <c r="F1387" s="50">
        <v>154488786</v>
      </c>
      <c r="G1387" s="51" t="s">
        <v>23</v>
      </c>
      <c r="I1387" s="59" t="s">
        <v>908</v>
      </c>
      <c r="M1387" s="53" t="s">
        <v>2581</v>
      </c>
      <c r="N1387" s="46">
        <v>4221195</v>
      </c>
      <c r="O1387" s="46">
        <v>40</v>
      </c>
    </row>
    <row r="1388" spans="1:21">
      <c r="A1388" s="47">
        <v>24803365</v>
      </c>
      <c r="B1388" s="46" t="s">
        <v>1588</v>
      </c>
      <c r="C1388" s="46" t="s">
        <v>6753</v>
      </c>
      <c r="D1388" s="48" t="s">
        <v>52</v>
      </c>
      <c r="E1388" s="49" t="str">
        <f t="shared" ca="1" si="45"/>
        <v/>
      </c>
      <c r="F1388" s="50" t="s">
        <v>6754</v>
      </c>
      <c r="G1388" s="51" t="s">
        <v>141</v>
      </c>
      <c r="H1388" s="52" t="s">
        <v>52</v>
      </c>
      <c r="I1388" s="52" t="s">
        <v>6624</v>
      </c>
      <c r="J1388" s="46" t="s">
        <v>6755</v>
      </c>
      <c r="K1388" s="46" t="s">
        <v>390</v>
      </c>
      <c r="L1388" s="46" t="s">
        <v>546</v>
      </c>
      <c r="M1388" s="52" t="s">
        <v>6756</v>
      </c>
      <c r="N1388" s="46" t="s">
        <v>52</v>
      </c>
      <c r="O1388" s="46" t="s">
        <v>52</v>
      </c>
      <c r="P1388" s="46" t="s">
        <v>59</v>
      </c>
      <c r="Q1388" s="46" t="s">
        <v>60</v>
      </c>
      <c r="R1388" s="46" t="s">
        <v>61</v>
      </c>
      <c r="S1388" s="46" t="s">
        <v>62</v>
      </c>
      <c r="T1388" s="46" t="s">
        <v>12</v>
      </c>
      <c r="U1388" s="46" t="s">
        <v>63</v>
      </c>
    </row>
    <row r="1389" spans="1:21">
      <c r="A1389" s="47">
        <v>24803492</v>
      </c>
      <c r="B1389" s="46" t="s">
        <v>685</v>
      </c>
      <c r="C1389" s="52" t="s">
        <v>6190</v>
      </c>
      <c r="D1389" s="48">
        <v>27620</v>
      </c>
      <c r="E1389" s="49">
        <f t="shared" ca="1" si="45"/>
        <v>50.87748117727584</v>
      </c>
      <c r="F1389" s="50">
        <v>155452394</v>
      </c>
      <c r="G1389" s="51" t="s">
        <v>23</v>
      </c>
      <c r="I1389" s="52" t="s">
        <v>23</v>
      </c>
      <c r="J1389" s="46" t="s">
        <v>6191</v>
      </c>
      <c r="M1389" s="53" t="s">
        <v>6192</v>
      </c>
      <c r="N1389" s="55">
        <v>4107283</v>
      </c>
      <c r="O1389" s="55">
        <v>7145</v>
      </c>
    </row>
    <row r="1390" spans="1:21">
      <c r="A1390" s="47">
        <v>24803550</v>
      </c>
      <c r="B1390" s="46" t="s">
        <v>3201</v>
      </c>
      <c r="C1390" s="52" t="s">
        <v>3202</v>
      </c>
      <c r="D1390" s="48">
        <v>27636</v>
      </c>
      <c r="E1390" s="49">
        <f t="shared" ca="1" si="45"/>
        <v>50.833675564681727</v>
      </c>
      <c r="F1390" s="50">
        <v>154639866</v>
      </c>
      <c r="G1390" s="51" t="s">
        <v>23</v>
      </c>
      <c r="I1390" s="52" t="s">
        <v>3166</v>
      </c>
      <c r="J1390" s="46" t="s">
        <v>224</v>
      </c>
      <c r="M1390" s="53" t="s">
        <v>3203</v>
      </c>
      <c r="N1390" s="55"/>
      <c r="O1390" s="55"/>
    </row>
    <row r="1391" spans="1:21">
      <c r="A1391" s="47">
        <v>24803875</v>
      </c>
      <c r="B1391" s="46" t="s">
        <v>5251</v>
      </c>
      <c r="C1391" s="52" t="s">
        <v>6170</v>
      </c>
      <c r="D1391" s="48" t="s">
        <v>6171</v>
      </c>
      <c r="E1391" s="49">
        <f t="shared" ca="1" si="45"/>
        <v>50.7460643394935</v>
      </c>
      <c r="F1391" s="50" t="s">
        <v>6172</v>
      </c>
      <c r="G1391" s="51" t="s">
        <v>70</v>
      </c>
      <c r="H1391" s="52" t="s">
        <v>1260</v>
      </c>
      <c r="I1391" s="52" t="s">
        <v>23</v>
      </c>
      <c r="J1391" s="46" t="s">
        <v>38</v>
      </c>
      <c r="K1391" s="46" t="s">
        <v>81</v>
      </c>
      <c r="L1391" s="46" t="s">
        <v>52</v>
      </c>
      <c r="M1391" s="53" t="s">
        <v>6173</v>
      </c>
      <c r="N1391" s="55" t="s">
        <v>931</v>
      </c>
      <c r="O1391" s="55" t="s">
        <v>6174</v>
      </c>
      <c r="P1391" s="46" t="s">
        <v>59</v>
      </c>
      <c r="Q1391" s="46" t="s">
        <v>60</v>
      </c>
      <c r="R1391" s="46" t="s">
        <v>61</v>
      </c>
      <c r="S1391" s="46" t="s">
        <v>62</v>
      </c>
      <c r="T1391" s="46" t="s">
        <v>12</v>
      </c>
      <c r="U1391" s="46" t="s">
        <v>63</v>
      </c>
    </row>
    <row r="1392" spans="1:21">
      <c r="A1392" s="47">
        <v>24830971</v>
      </c>
      <c r="B1392" s="46" t="s">
        <v>4333</v>
      </c>
      <c r="C1392" s="46" t="s">
        <v>4334</v>
      </c>
      <c r="D1392" s="48" t="s">
        <v>52</v>
      </c>
      <c r="E1392" s="49" t="str">
        <f t="shared" ca="1" si="45"/>
        <v/>
      </c>
      <c r="F1392" s="50" t="s">
        <v>4335</v>
      </c>
      <c r="G1392" s="51" t="s">
        <v>78</v>
      </c>
      <c r="H1392" s="52" t="s">
        <v>4336</v>
      </c>
      <c r="I1392" s="52" t="s">
        <v>4245</v>
      </c>
      <c r="J1392" s="46" t="s">
        <v>4337</v>
      </c>
      <c r="K1392" s="46" t="s">
        <v>81</v>
      </c>
      <c r="L1392" s="46" t="s">
        <v>546</v>
      </c>
      <c r="M1392" s="52" t="s">
        <v>4338</v>
      </c>
      <c r="N1392" s="46" t="s">
        <v>931</v>
      </c>
      <c r="O1392" s="46" t="s">
        <v>4339</v>
      </c>
      <c r="P1392" s="46" t="s">
        <v>59</v>
      </c>
      <c r="Q1392" s="46" t="s">
        <v>60</v>
      </c>
      <c r="R1392" s="46" t="s">
        <v>61</v>
      </c>
      <c r="S1392" s="46" t="s">
        <v>62</v>
      </c>
      <c r="T1392" s="46" t="s">
        <v>12</v>
      </c>
      <c r="U1392" s="46" t="s">
        <v>63</v>
      </c>
    </row>
    <row r="1393" spans="1:21">
      <c r="A1393" s="47">
        <v>24864426</v>
      </c>
      <c r="B1393" s="46" t="s">
        <v>1504</v>
      </c>
      <c r="C1393" s="46" t="s">
        <v>1505</v>
      </c>
      <c r="D1393" s="48">
        <v>27750</v>
      </c>
      <c r="E1393" s="49">
        <f t="shared" ca="1" si="45"/>
        <v>50.521560574948666</v>
      </c>
      <c r="F1393" s="50">
        <v>154756993</v>
      </c>
      <c r="G1393" s="51" t="s">
        <v>70</v>
      </c>
      <c r="I1393" s="52" t="s">
        <v>1497</v>
      </c>
      <c r="J1393" s="46" t="s">
        <v>1344</v>
      </c>
      <c r="M1393" s="53" t="s">
        <v>1506</v>
      </c>
      <c r="N1393" s="46">
        <v>4330633</v>
      </c>
      <c r="O1393" s="46">
        <v>212</v>
      </c>
      <c r="P1393" s="46">
        <v>1</v>
      </c>
    </row>
    <row r="1394" spans="1:21">
      <c r="A1394" s="47">
        <v>24875863</v>
      </c>
      <c r="B1394" s="46" t="s">
        <v>1216</v>
      </c>
      <c r="C1394" s="52" t="s">
        <v>1818</v>
      </c>
      <c r="E1394" s="49" t="str">
        <f t="shared" ca="1" si="45"/>
        <v/>
      </c>
      <c r="F1394" s="50">
        <v>155007009</v>
      </c>
      <c r="G1394" s="51" t="s">
        <v>70</v>
      </c>
      <c r="I1394" s="52" t="s">
        <v>1657</v>
      </c>
      <c r="J1394" s="46" t="s">
        <v>1819</v>
      </c>
      <c r="M1394" s="53" t="s">
        <v>1820</v>
      </c>
      <c r="N1394" s="55">
        <v>4107558</v>
      </c>
      <c r="O1394" s="55"/>
    </row>
    <row r="1395" spans="1:21">
      <c r="A1395" s="47">
        <v>24888251</v>
      </c>
      <c r="B1395" s="46" t="s">
        <v>1385</v>
      </c>
      <c r="C1395" s="52" t="s">
        <v>4710</v>
      </c>
      <c r="D1395" s="48" t="s">
        <v>4711</v>
      </c>
      <c r="E1395" s="49">
        <f t="shared" ca="1" si="45"/>
        <v>50.647501711156742</v>
      </c>
      <c r="F1395" s="50" t="s">
        <v>4712</v>
      </c>
      <c r="G1395" s="51" t="s">
        <v>37</v>
      </c>
      <c r="H1395" s="52" t="s">
        <v>52</v>
      </c>
      <c r="I1395" s="65" t="s">
        <v>4708</v>
      </c>
      <c r="J1395" s="46" t="s">
        <v>4713</v>
      </c>
      <c r="K1395" s="46" t="s">
        <v>81</v>
      </c>
      <c r="L1395" s="46" t="s">
        <v>52</v>
      </c>
      <c r="M1395" s="53" t="s">
        <v>4714</v>
      </c>
      <c r="N1395" s="55" t="s">
        <v>4715</v>
      </c>
      <c r="O1395" s="55" t="s">
        <v>52</v>
      </c>
      <c r="P1395" s="46" t="s">
        <v>59</v>
      </c>
      <c r="Q1395" s="46" t="s">
        <v>60</v>
      </c>
      <c r="R1395" s="46" t="s">
        <v>61</v>
      </c>
      <c r="S1395" s="46" t="s">
        <v>62</v>
      </c>
      <c r="T1395" s="46" t="s">
        <v>12</v>
      </c>
      <c r="U1395" s="46" t="s">
        <v>63</v>
      </c>
    </row>
    <row r="1396" spans="1:21">
      <c r="A1396" s="47">
        <v>24926818</v>
      </c>
      <c r="B1396" s="46" t="s">
        <v>2966</v>
      </c>
      <c r="C1396" s="46" t="s">
        <v>6830</v>
      </c>
      <c r="D1396" s="48" t="s">
        <v>52</v>
      </c>
      <c r="E1396" s="49" t="str">
        <f t="shared" ca="1" si="45"/>
        <v/>
      </c>
      <c r="F1396" s="50" t="s">
        <v>6831</v>
      </c>
      <c r="G1396" s="51" t="s">
        <v>141</v>
      </c>
      <c r="H1396" s="52" t="s">
        <v>52</v>
      </c>
      <c r="I1396" s="52" t="s">
        <v>4708</v>
      </c>
      <c r="J1396" s="46" t="s">
        <v>6798</v>
      </c>
      <c r="K1396" s="46" t="s">
        <v>81</v>
      </c>
      <c r="L1396" s="46" t="s">
        <v>546</v>
      </c>
      <c r="M1396" s="52" t="s">
        <v>6832</v>
      </c>
      <c r="N1396" s="46" t="s">
        <v>52</v>
      </c>
      <c r="O1396" s="46" t="s">
        <v>52</v>
      </c>
      <c r="P1396" s="46" t="s">
        <v>59</v>
      </c>
      <c r="Q1396" s="46" t="s">
        <v>60</v>
      </c>
      <c r="R1396" s="46" t="s">
        <v>61</v>
      </c>
      <c r="S1396" s="46" t="s">
        <v>62</v>
      </c>
      <c r="T1396" s="46" t="s">
        <v>12</v>
      </c>
      <c r="U1396" s="46" t="s">
        <v>63</v>
      </c>
    </row>
    <row r="1397" spans="1:21">
      <c r="A1397" s="47">
        <v>24926963</v>
      </c>
      <c r="B1397" s="46" t="s">
        <v>2168</v>
      </c>
      <c r="C1397" s="52" t="s">
        <v>2169</v>
      </c>
      <c r="D1397" s="48">
        <v>28051</v>
      </c>
      <c r="E1397" s="49">
        <f t="shared" ca="1" si="45"/>
        <v>49.696800515353232</v>
      </c>
      <c r="F1397" s="50">
        <v>155275322</v>
      </c>
      <c r="G1397" s="51" t="s">
        <v>23</v>
      </c>
      <c r="I1397" s="52" t="s">
        <v>1881</v>
      </c>
      <c r="M1397" s="58" t="s">
        <v>25</v>
      </c>
      <c r="N1397" s="55"/>
      <c r="O1397" s="55"/>
    </row>
    <row r="1398" spans="1:21">
      <c r="A1398" s="47">
        <v>24944524</v>
      </c>
      <c r="B1398" s="46" t="s">
        <v>6495</v>
      </c>
      <c r="C1398" s="46" t="s">
        <v>6496</v>
      </c>
      <c r="D1398" s="48">
        <v>27827</v>
      </c>
      <c r="E1398" s="49">
        <f t="shared" ca="1" si="45"/>
        <v>50.310070861069356</v>
      </c>
      <c r="F1398" s="50">
        <v>156687943</v>
      </c>
      <c r="G1398" s="51" t="s">
        <v>352</v>
      </c>
      <c r="I1398" s="62" t="s">
        <v>6489</v>
      </c>
      <c r="J1398" s="46" t="s">
        <v>38</v>
      </c>
      <c r="M1398" s="53" t="s">
        <v>6497</v>
      </c>
      <c r="N1398" s="46">
        <v>4229118</v>
      </c>
      <c r="O1398" s="46">
        <v>203</v>
      </c>
      <c r="P1398" s="46">
        <v>4</v>
      </c>
    </row>
    <row r="1399" spans="1:21">
      <c r="A1399" s="47">
        <v>24953750</v>
      </c>
      <c r="B1399" s="46" t="s">
        <v>1660</v>
      </c>
      <c r="C1399" s="46" t="s">
        <v>4302</v>
      </c>
      <c r="E1399" s="49" t="str">
        <f t="shared" ca="1" si="45"/>
        <v/>
      </c>
      <c r="G1399" s="51" t="s">
        <v>23</v>
      </c>
      <c r="I1399" s="52" t="s">
        <v>23</v>
      </c>
      <c r="M1399" s="58" t="s">
        <v>25</v>
      </c>
    </row>
    <row r="1400" spans="1:21">
      <c r="A1400" s="47">
        <v>24981076</v>
      </c>
      <c r="B1400" s="46" t="s">
        <v>1273</v>
      </c>
      <c r="C1400" s="52" t="s">
        <v>1634</v>
      </c>
      <c r="D1400" s="48">
        <v>27681</v>
      </c>
      <c r="E1400" s="49">
        <f t="shared" ca="1" si="45"/>
        <v>50.710472279260777</v>
      </c>
      <c r="F1400" s="50">
        <v>154017307</v>
      </c>
      <c r="G1400" s="51" t="s">
        <v>23</v>
      </c>
      <c r="I1400" s="52" t="s">
        <v>1497</v>
      </c>
      <c r="J1400" s="46" t="s">
        <v>1635</v>
      </c>
      <c r="M1400" s="53" t="s">
        <v>1636</v>
      </c>
      <c r="N1400" s="55"/>
      <c r="O1400" s="55"/>
    </row>
    <row r="1401" spans="1:21">
      <c r="A1401" s="47">
        <v>24981374</v>
      </c>
      <c r="B1401" s="46" t="s">
        <v>652</v>
      </c>
      <c r="C1401" s="52" t="s">
        <v>6105</v>
      </c>
      <c r="D1401" s="48">
        <v>27714</v>
      </c>
      <c r="E1401" s="49">
        <f t="shared" ca="1" si="45"/>
        <v>50.620123203285424</v>
      </c>
      <c r="F1401" s="50">
        <v>156489039</v>
      </c>
      <c r="G1401" s="51" t="s">
        <v>23</v>
      </c>
      <c r="I1401" s="52" t="s">
        <v>23</v>
      </c>
      <c r="J1401" s="46" t="s">
        <v>48</v>
      </c>
      <c r="M1401" s="53" t="s">
        <v>6106</v>
      </c>
      <c r="N1401" s="55"/>
      <c r="O1401" s="55"/>
    </row>
    <row r="1402" spans="1:21">
      <c r="A1402" s="74">
        <v>24981470</v>
      </c>
      <c r="B1402" s="234" t="s">
        <v>9884</v>
      </c>
      <c r="C1402" s="234" t="s">
        <v>7413</v>
      </c>
      <c r="D1402" s="235">
        <v>27709</v>
      </c>
      <c r="E1402" s="236"/>
      <c r="F1402" s="237">
        <v>3815335394</v>
      </c>
      <c r="G1402" s="234" t="s">
        <v>70</v>
      </c>
      <c r="H1402" s="238" t="s">
        <v>9956</v>
      </c>
      <c r="I1402" s="264" t="s">
        <v>6549</v>
      </c>
      <c r="J1402" s="234" t="s">
        <v>9993</v>
      </c>
      <c r="K1402" s="234" t="s">
        <v>2002</v>
      </c>
      <c r="L1402" s="234"/>
      <c r="M1402" s="238" t="s">
        <v>9926</v>
      </c>
      <c r="N1402" s="234"/>
      <c r="O1402" s="234"/>
      <c r="P1402" s="234"/>
      <c r="Q1402" s="234"/>
      <c r="R1402" s="234"/>
      <c r="S1402" s="234"/>
      <c r="T1402" s="234"/>
      <c r="U1402" s="234"/>
    </row>
    <row r="1403" spans="1:21">
      <c r="A1403" s="47">
        <v>24982269</v>
      </c>
      <c r="B1403" s="46" t="s">
        <v>4024</v>
      </c>
      <c r="C1403" s="46" t="s">
        <v>3466</v>
      </c>
      <c r="D1403" s="48">
        <v>27688</v>
      </c>
      <c r="E1403" s="49">
        <f t="shared" ref="E1403:E1423" ca="1" si="46">IF(D1403="","",YEARFRAC(D1403,TODAY(),1))</f>
        <v>50.691307323750856</v>
      </c>
      <c r="F1403" s="50">
        <v>154166295</v>
      </c>
      <c r="G1403" s="51" t="s">
        <v>70</v>
      </c>
      <c r="I1403" s="52" t="s">
        <v>3999</v>
      </c>
      <c r="J1403" s="46" t="s">
        <v>224</v>
      </c>
      <c r="M1403" s="53" t="s">
        <v>4025</v>
      </c>
      <c r="N1403" s="46">
        <v>4220751</v>
      </c>
    </row>
    <row r="1404" spans="1:21">
      <c r="A1404" s="47">
        <v>24982288</v>
      </c>
      <c r="B1404" s="46" t="s">
        <v>293</v>
      </c>
      <c r="C1404" s="55" t="s">
        <v>294</v>
      </c>
      <c r="E1404" s="49" t="str">
        <f t="shared" ca="1" si="46"/>
        <v/>
      </c>
      <c r="F1404" s="50">
        <v>155758917</v>
      </c>
      <c r="G1404" s="51" t="s">
        <v>23</v>
      </c>
      <c r="I1404" s="52" t="s">
        <v>24</v>
      </c>
      <c r="M1404" s="53" t="s">
        <v>295</v>
      </c>
    </row>
    <row r="1405" spans="1:21">
      <c r="A1405" s="47">
        <v>24982487</v>
      </c>
      <c r="B1405" s="46" t="s">
        <v>4188</v>
      </c>
      <c r="C1405" s="46" t="s">
        <v>4189</v>
      </c>
      <c r="E1405" s="49" t="str">
        <f t="shared" ca="1" si="46"/>
        <v/>
      </c>
      <c r="F1405" s="50">
        <v>154770912</v>
      </c>
      <c r="G1405" s="51" t="s">
        <v>23</v>
      </c>
      <c r="I1405" s="52" t="s">
        <v>4181</v>
      </c>
      <c r="J1405" s="46" t="s">
        <v>224</v>
      </c>
      <c r="M1405" s="53" t="s">
        <v>4190</v>
      </c>
    </row>
    <row r="1406" spans="1:21">
      <c r="A1406" s="47">
        <v>24982570</v>
      </c>
      <c r="B1406" s="46" t="s">
        <v>766</v>
      </c>
      <c r="C1406" s="46" t="s">
        <v>767</v>
      </c>
      <c r="D1406" s="48">
        <v>27740</v>
      </c>
      <c r="E1406" s="49">
        <f t="shared" ca="1" si="46"/>
        <v>50.548939082819984</v>
      </c>
      <c r="F1406" s="50">
        <v>155956532</v>
      </c>
      <c r="G1406" s="51" t="s">
        <v>23</v>
      </c>
      <c r="I1406" s="52" t="s">
        <v>594</v>
      </c>
      <c r="M1406" s="53" t="s">
        <v>768</v>
      </c>
      <c r="N1406" s="46">
        <v>4244874</v>
      </c>
      <c r="O1406" s="46">
        <v>208</v>
      </c>
    </row>
    <row r="1407" spans="1:21">
      <c r="A1407" s="47">
        <v>24982815</v>
      </c>
      <c r="B1407" s="46" t="s">
        <v>447</v>
      </c>
      <c r="C1407" s="52" t="s">
        <v>448</v>
      </c>
      <c r="D1407" s="48" t="s">
        <v>52</v>
      </c>
      <c r="E1407" s="49" t="str">
        <f t="shared" ca="1" si="46"/>
        <v/>
      </c>
      <c r="F1407" s="50" t="s">
        <v>449</v>
      </c>
      <c r="G1407" s="51" t="s">
        <v>78</v>
      </c>
      <c r="H1407" s="52" t="s">
        <v>450</v>
      </c>
      <c r="I1407" s="52" t="s">
        <v>24</v>
      </c>
      <c r="J1407" s="46" t="s">
        <v>451</v>
      </c>
      <c r="K1407" s="46" t="s">
        <v>81</v>
      </c>
      <c r="L1407" s="46" t="s">
        <v>52</v>
      </c>
      <c r="M1407" s="53" t="s">
        <v>452</v>
      </c>
      <c r="N1407" s="55" t="s">
        <v>453</v>
      </c>
      <c r="O1407" s="55" t="s">
        <v>52</v>
      </c>
      <c r="P1407" s="46" t="s">
        <v>59</v>
      </c>
      <c r="Q1407" s="46" t="s">
        <v>60</v>
      </c>
      <c r="R1407" s="46" t="s">
        <v>61</v>
      </c>
      <c r="S1407" s="46" t="s">
        <v>62</v>
      </c>
      <c r="T1407" s="46" t="s">
        <v>12</v>
      </c>
      <c r="U1407" s="46" t="s">
        <v>63</v>
      </c>
    </row>
    <row r="1408" spans="1:21">
      <c r="A1408" s="47">
        <v>24982872</v>
      </c>
      <c r="B1408" s="46" t="s">
        <v>304</v>
      </c>
      <c r="C1408" s="55" t="s">
        <v>5605</v>
      </c>
      <c r="D1408" s="48" t="s">
        <v>5606</v>
      </c>
      <c r="E1408" s="49">
        <f t="shared" ca="1" si="46"/>
        <v>50.551676933607119</v>
      </c>
      <c r="F1408" s="50" t="s">
        <v>5607</v>
      </c>
      <c r="G1408" s="51" t="s">
        <v>70</v>
      </c>
      <c r="H1408" s="52" t="s">
        <v>5608</v>
      </c>
      <c r="I1408" s="52" t="s">
        <v>5494</v>
      </c>
      <c r="J1408" s="46" t="s">
        <v>5609</v>
      </c>
      <c r="K1408" s="46" t="s">
        <v>81</v>
      </c>
      <c r="L1408" s="46" t="s">
        <v>52</v>
      </c>
      <c r="M1408" s="53" t="s">
        <v>5610</v>
      </c>
      <c r="N1408" s="46" t="s">
        <v>5586</v>
      </c>
      <c r="O1408" s="46" t="s">
        <v>52</v>
      </c>
      <c r="P1408" s="46" t="s">
        <v>59</v>
      </c>
      <c r="Q1408" s="46" t="s">
        <v>60</v>
      </c>
      <c r="R1408" s="46" t="s">
        <v>61</v>
      </c>
      <c r="S1408" s="46" t="s">
        <v>62</v>
      </c>
      <c r="T1408" s="46" t="s">
        <v>12</v>
      </c>
      <c r="U1408" s="46" t="s">
        <v>63</v>
      </c>
    </row>
    <row r="1409" spans="1:21">
      <c r="A1409" s="47">
        <v>24982877</v>
      </c>
      <c r="B1409" s="46" t="s">
        <v>4775</v>
      </c>
      <c r="C1409" s="46" t="s">
        <v>139</v>
      </c>
      <c r="D1409" s="48">
        <v>27772</v>
      </c>
      <c r="E1409" s="49">
        <f t="shared" ca="1" si="46"/>
        <v>50.460650633455018</v>
      </c>
      <c r="F1409" s="50">
        <v>154014709</v>
      </c>
      <c r="G1409" s="51" t="s">
        <v>70</v>
      </c>
      <c r="I1409" s="65" t="s">
        <v>4708</v>
      </c>
      <c r="M1409" s="53" t="s">
        <v>4776</v>
      </c>
      <c r="N1409" s="46">
        <v>7331</v>
      </c>
    </row>
    <row r="1410" spans="1:21">
      <c r="A1410" s="47">
        <v>24982907</v>
      </c>
      <c r="B1410" s="46" t="s">
        <v>4900</v>
      </c>
      <c r="C1410" s="46" t="s">
        <v>902</v>
      </c>
      <c r="D1410" s="48" t="s">
        <v>52</v>
      </c>
      <c r="E1410" s="49" t="str">
        <f t="shared" ca="1" si="46"/>
        <v/>
      </c>
      <c r="F1410" s="50" t="s">
        <v>4901</v>
      </c>
      <c r="G1410" s="51" t="s">
        <v>86</v>
      </c>
      <c r="H1410" s="52" t="s">
        <v>52</v>
      </c>
      <c r="I1410" s="52" t="s">
        <v>4815</v>
      </c>
      <c r="J1410" s="46" t="s">
        <v>3891</v>
      </c>
      <c r="K1410" s="46" t="s">
        <v>81</v>
      </c>
      <c r="L1410" s="46" t="s">
        <v>546</v>
      </c>
      <c r="M1410" s="52" t="s">
        <v>4902</v>
      </c>
      <c r="N1410" s="46" t="s">
        <v>52</v>
      </c>
      <c r="O1410" s="46" t="s">
        <v>4903</v>
      </c>
      <c r="P1410" s="46" t="s">
        <v>59</v>
      </c>
      <c r="Q1410" s="46" t="s">
        <v>60</v>
      </c>
      <c r="R1410" s="46" t="s">
        <v>61</v>
      </c>
      <c r="S1410" s="46" t="s">
        <v>62</v>
      </c>
      <c r="T1410" s="46" t="s">
        <v>12</v>
      </c>
      <c r="U1410" s="46" t="s">
        <v>63</v>
      </c>
    </row>
    <row r="1411" spans="1:21">
      <c r="A1411" s="47">
        <v>25003911</v>
      </c>
      <c r="B1411" s="46" t="s">
        <v>4900</v>
      </c>
      <c r="C1411" s="52" t="s">
        <v>4875</v>
      </c>
      <c r="D1411" s="48">
        <v>27763</v>
      </c>
      <c r="E1411" s="49">
        <f t="shared" ca="1" si="46"/>
        <v>50.485290959845393</v>
      </c>
      <c r="F1411" s="50">
        <v>155774742</v>
      </c>
      <c r="G1411" s="51" t="s">
        <v>23</v>
      </c>
      <c r="I1411" s="52" t="s">
        <v>23</v>
      </c>
      <c r="J1411" s="46" t="s">
        <v>6390</v>
      </c>
      <c r="M1411" s="53" t="s">
        <v>6391</v>
      </c>
      <c r="N1411" s="55"/>
      <c r="O1411" s="55"/>
    </row>
    <row r="1412" spans="1:21">
      <c r="A1412" s="47">
        <v>25004663</v>
      </c>
      <c r="B1412" s="46" t="s">
        <v>443</v>
      </c>
      <c r="C1412" s="46" t="s">
        <v>2623</v>
      </c>
      <c r="D1412" s="48" t="s">
        <v>52</v>
      </c>
      <c r="E1412" s="49" t="str">
        <f t="shared" ca="1" si="46"/>
        <v/>
      </c>
      <c r="F1412" s="50" t="s">
        <v>3422</v>
      </c>
      <c r="G1412" s="51" t="s">
        <v>70</v>
      </c>
      <c r="H1412" s="52" t="s">
        <v>3423</v>
      </c>
      <c r="I1412" s="52" t="s">
        <v>3327</v>
      </c>
      <c r="J1412" s="46" t="s">
        <v>52</v>
      </c>
      <c r="K1412" s="46" t="s">
        <v>390</v>
      </c>
      <c r="L1412" s="46" t="s">
        <v>52</v>
      </c>
      <c r="M1412" s="52" t="s">
        <v>3424</v>
      </c>
      <c r="N1412" s="46" t="s">
        <v>52</v>
      </c>
      <c r="O1412" s="46" t="s">
        <v>52</v>
      </c>
      <c r="P1412" s="46" t="s">
        <v>59</v>
      </c>
      <c r="Q1412" s="46" t="s">
        <v>60</v>
      </c>
      <c r="R1412" s="46" t="s">
        <v>61</v>
      </c>
      <c r="S1412" s="46" t="s">
        <v>62</v>
      </c>
      <c r="T1412" s="46" t="s">
        <v>12</v>
      </c>
      <c r="U1412" s="46" t="s">
        <v>63</v>
      </c>
    </row>
    <row r="1413" spans="1:21">
      <c r="A1413" s="47">
        <v>25021957</v>
      </c>
      <c r="B1413" s="46" t="s">
        <v>1273</v>
      </c>
      <c r="C1413" s="52" t="s">
        <v>6422</v>
      </c>
      <c r="D1413" s="48">
        <v>27732</v>
      </c>
      <c r="E1413" s="49">
        <f t="shared" ca="1" si="46"/>
        <v>50.570841889117041</v>
      </c>
      <c r="F1413" s="50">
        <v>155935498</v>
      </c>
      <c r="G1413" s="51" t="s">
        <v>23</v>
      </c>
      <c r="I1413" s="52" t="s">
        <v>23</v>
      </c>
      <c r="M1413" s="53" t="s">
        <v>6423</v>
      </c>
      <c r="N1413" s="55">
        <v>4107264</v>
      </c>
      <c r="O1413" s="55"/>
    </row>
    <row r="1414" spans="1:21">
      <c r="A1414" s="47">
        <v>25026913</v>
      </c>
      <c r="B1414" s="46" t="s">
        <v>5034</v>
      </c>
      <c r="C1414" s="52" t="s">
        <v>2376</v>
      </c>
      <c r="E1414" s="49" t="str">
        <f t="shared" ca="1" si="46"/>
        <v/>
      </c>
      <c r="F1414" s="50">
        <v>155711949</v>
      </c>
      <c r="G1414" s="51" t="s">
        <v>141</v>
      </c>
      <c r="I1414" s="52" t="s">
        <v>5494</v>
      </c>
      <c r="M1414" s="58" t="s">
        <v>25</v>
      </c>
      <c r="N1414" s="55"/>
      <c r="O1414" s="55"/>
    </row>
    <row r="1415" spans="1:21">
      <c r="A1415" s="47">
        <v>25047805</v>
      </c>
      <c r="B1415" s="46" t="s">
        <v>4167</v>
      </c>
      <c r="C1415" s="46" t="s">
        <v>4168</v>
      </c>
      <c r="D1415" s="48">
        <v>27816</v>
      </c>
      <c r="E1415" s="49">
        <f t="shared" ca="1" si="46"/>
        <v>50.340186815546488</v>
      </c>
      <c r="F1415" s="50">
        <v>155705842</v>
      </c>
      <c r="G1415" s="51" t="s">
        <v>23</v>
      </c>
      <c r="I1415" s="52" t="s">
        <v>4078</v>
      </c>
      <c r="J1415" s="46" t="s">
        <v>120</v>
      </c>
      <c r="M1415" s="53" t="s">
        <v>4169</v>
      </c>
      <c r="N1415" s="46">
        <v>3865483797</v>
      </c>
    </row>
    <row r="1416" spans="1:21">
      <c r="A1416" s="47">
        <v>25076465</v>
      </c>
      <c r="B1416" s="46" t="s">
        <v>4289</v>
      </c>
      <c r="C1416" s="52" t="s">
        <v>4290</v>
      </c>
      <c r="D1416" s="48">
        <v>25545</v>
      </c>
      <c r="E1416" s="49">
        <f t="shared" ca="1" si="46"/>
        <v>56.559856495468281</v>
      </c>
      <c r="F1416" s="50">
        <v>155770202</v>
      </c>
      <c r="G1416" s="51" t="s">
        <v>23</v>
      </c>
      <c r="I1416" s="52" t="s">
        <v>4245</v>
      </c>
      <c r="J1416" s="46" t="s">
        <v>729</v>
      </c>
      <c r="M1416" s="53" t="s">
        <v>4291</v>
      </c>
      <c r="N1416" s="55">
        <v>4237183</v>
      </c>
      <c r="O1416" s="55">
        <v>33</v>
      </c>
    </row>
    <row r="1417" spans="1:21">
      <c r="A1417" s="47">
        <v>25082588</v>
      </c>
      <c r="B1417" s="46" t="s">
        <v>2488</v>
      </c>
      <c r="C1417" s="46" t="s">
        <v>1585</v>
      </c>
      <c r="D1417" s="48" t="s">
        <v>52</v>
      </c>
      <c r="E1417" s="49" t="str">
        <f t="shared" ca="1" si="46"/>
        <v/>
      </c>
      <c r="F1417" s="50" t="s">
        <v>2489</v>
      </c>
      <c r="G1417" s="51" t="s">
        <v>86</v>
      </c>
      <c r="H1417" s="52" t="s">
        <v>52</v>
      </c>
      <c r="I1417" s="59" t="s">
        <v>908</v>
      </c>
      <c r="J1417" s="46" t="s">
        <v>470</v>
      </c>
      <c r="K1417" s="46" t="s">
        <v>81</v>
      </c>
      <c r="L1417" s="46" t="s">
        <v>52</v>
      </c>
      <c r="M1417" s="53" t="s">
        <v>2490</v>
      </c>
      <c r="N1417" s="46" t="s">
        <v>52</v>
      </c>
      <c r="O1417" s="46" t="s">
        <v>2491</v>
      </c>
      <c r="P1417" s="46" t="s">
        <v>59</v>
      </c>
      <c r="Q1417" s="46" t="s">
        <v>60</v>
      </c>
      <c r="R1417" s="46" t="s">
        <v>61</v>
      </c>
      <c r="S1417" s="46" t="s">
        <v>62</v>
      </c>
      <c r="T1417" s="46" t="s">
        <v>12</v>
      </c>
      <c r="U1417" s="46" t="s">
        <v>63</v>
      </c>
    </row>
    <row r="1418" spans="1:21">
      <c r="A1418" s="47">
        <v>25114173</v>
      </c>
      <c r="B1418" s="46" t="s">
        <v>3877</v>
      </c>
      <c r="C1418" s="55" t="s">
        <v>223</v>
      </c>
      <c r="D1418" s="48">
        <v>27765</v>
      </c>
      <c r="E1418" s="49">
        <f t="shared" ca="1" si="46"/>
        <v>50.479815331758644</v>
      </c>
      <c r="F1418" s="50">
        <v>154495314</v>
      </c>
      <c r="G1418" s="51" t="s">
        <v>86</v>
      </c>
      <c r="I1418" s="52" t="s">
        <v>3630</v>
      </c>
      <c r="J1418" s="55"/>
      <c r="K1418" s="55"/>
      <c r="L1418" s="55"/>
      <c r="M1418" s="53" t="s">
        <v>3878</v>
      </c>
      <c r="N1418" s="55">
        <v>4847351</v>
      </c>
      <c r="O1418" s="55"/>
    </row>
    <row r="1419" spans="1:21">
      <c r="A1419" s="47">
        <v>25156424</v>
      </c>
      <c r="B1419" s="46" t="s">
        <v>3708</v>
      </c>
      <c r="C1419" s="55" t="s">
        <v>3709</v>
      </c>
      <c r="D1419" s="48">
        <v>27978</v>
      </c>
      <c r="E1419" s="49">
        <f t="shared" ca="1" si="46"/>
        <v>49.896660940519645</v>
      </c>
      <c r="F1419" s="50">
        <v>155977778</v>
      </c>
      <c r="G1419" s="51" t="s">
        <v>141</v>
      </c>
      <c r="I1419" s="52" t="s">
        <v>3630</v>
      </c>
      <c r="J1419" s="55"/>
      <c r="K1419" s="55"/>
      <c r="L1419" s="55"/>
      <c r="M1419" s="53" t="s">
        <v>3710</v>
      </c>
      <c r="N1419" s="55">
        <v>4213406</v>
      </c>
      <c r="O1419" s="55"/>
    </row>
    <row r="1420" spans="1:21">
      <c r="A1420" s="47">
        <v>25211138</v>
      </c>
      <c r="B1420" s="46" t="s">
        <v>2094</v>
      </c>
      <c r="C1420" s="52" t="s">
        <v>365</v>
      </c>
      <c r="D1420" s="48">
        <v>27777</v>
      </c>
      <c r="E1420" s="49">
        <f t="shared" ca="1" si="46"/>
        <v>50.446961563238133</v>
      </c>
      <c r="F1420" s="50">
        <v>156283871</v>
      </c>
      <c r="G1420" s="51" t="s">
        <v>23</v>
      </c>
      <c r="I1420" s="52" t="s">
        <v>1881</v>
      </c>
      <c r="J1420" s="46" t="s">
        <v>2095</v>
      </c>
      <c r="M1420" s="53" t="s">
        <v>2096</v>
      </c>
      <c r="N1420" s="55"/>
      <c r="O1420" s="55"/>
    </row>
    <row r="1421" spans="1:21">
      <c r="A1421" s="47">
        <v>25211213</v>
      </c>
      <c r="B1421" s="46" t="s">
        <v>428</v>
      </c>
      <c r="C1421" s="46" t="s">
        <v>3945</v>
      </c>
      <c r="E1421" s="49" t="str">
        <f t="shared" ca="1" si="46"/>
        <v/>
      </c>
      <c r="F1421" s="50">
        <v>156043351</v>
      </c>
      <c r="G1421" s="51" t="s">
        <v>70</v>
      </c>
      <c r="I1421" s="52" t="s">
        <v>3922</v>
      </c>
      <c r="M1421" s="53" t="s">
        <v>3946</v>
      </c>
      <c r="N1421" s="46">
        <v>4235955</v>
      </c>
    </row>
    <row r="1422" spans="1:21">
      <c r="A1422" s="75">
        <v>25211295</v>
      </c>
      <c r="B1422" s="46" t="s">
        <v>1953</v>
      </c>
      <c r="C1422" s="52" t="s">
        <v>1954</v>
      </c>
      <c r="D1422" s="48">
        <v>27826</v>
      </c>
      <c r="E1422" s="49">
        <f t="shared" ca="1" si="46"/>
        <v>50.312808675112734</v>
      </c>
      <c r="F1422" s="72">
        <v>154904460</v>
      </c>
      <c r="G1422" s="51" t="s">
        <v>23</v>
      </c>
      <c r="I1422" s="52" t="s">
        <v>1881</v>
      </c>
      <c r="J1422" s="76" t="s">
        <v>1955</v>
      </c>
      <c r="K1422" s="76"/>
      <c r="L1422" s="76"/>
      <c r="M1422" s="77" t="s">
        <v>1956</v>
      </c>
      <c r="N1422" s="55"/>
      <c r="O1422" s="55"/>
    </row>
    <row r="1423" spans="1:21">
      <c r="A1423" s="47">
        <v>25211601</v>
      </c>
      <c r="B1423" s="46" t="s">
        <v>1957</v>
      </c>
      <c r="C1423" s="46" t="s">
        <v>1958</v>
      </c>
      <c r="D1423" s="48" t="s">
        <v>1959</v>
      </c>
      <c r="E1423" s="49">
        <f t="shared" ca="1" si="46"/>
        <v>50.255314580201848</v>
      </c>
      <c r="F1423" s="50" t="s">
        <v>1960</v>
      </c>
      <c r="G1423" s="51" t="s">
        <v>70</v>
      </c>
      <c r="H1423" s="52" t="s">
        <v>52</v>
      </c>
      <c r="I1423" s="52" t="s">
        <v>1881</v>
      </c>
      <c r="J1423" s="46" t="s">
        <v>1961</v>
      </c>
      <c r="K1423" s="46" t="s">
        <v>52</v>
      </c>
      <c r="L1423" s="46" t="s">
        <v>1241</v>
      </c>
      <c r="M1423" s="53" t="s">
        <v>1962</v>
      </c>
      <c r="N1423" s="46" t="s">
        <v>1963</v>
      </c>
      <c r="O1423" s="46" t="s">
        <v>52</v>
      </c>
      <c r="P1423" s="46" t="s">
        <v>59</v>
      </c>
      <c r="Q1423" s="46" t="s">
        <v>60</v>
      </c>
      <c r="R1423" s="46" t="s">
        <v>61</v>
      </c>
      <c r="S1423" s="46" t="s">
        <v>62</v>
      </c>
      <c r="T1423" s="46" t="s">
        <v>12</v>
      </c>
      <c r="U1423" s="46" t="s">
        <v>63</v>
      </c>
    </row>
    <row r="1424" spans="1:21">
      <c r="A1424" s="47">
        <v>25212343</v>
      </c>
      <c r="B1424" s="46" t="s">
        <v>9813</v>
      </c>
      <c r="C1424" s="46" t="s">
        <v>9814</v>
      </c>
      <c r="D1424" s="48" t="s">
        <v>9815</v>
      </c>
      <c r="E1424" s="49" t="s">
        <v>9414</v>
      </c>
      <c r="F1424" s="50" t="s">
        <v>9816</v>
      </c>
      <c r="G1424" s="51" t="s">
        <v>70</v>
      </c>
      <c r="H1424" s="52" t="s">
        <v>9817</v>
      </c>
      <c r="I1424" s="52" t="s">
        <v>2926</v>
      </c>
      <c r="J1424" s="46" t="s">
        <v>9818</v>
      </c>
      <c r="K1424" s="46" t="s">
        <v>390</v>
      </c>
      <c r="L1424" s="46" t="s">
        <v>546</v>
      </c>
      <c r="M1424" s="52" t="s">
        <v>9819</v>
      </c>
      <c r="N1424" s="46" t="s">
        <v>52</v>
      </c>
      <c r="O1424" s="46" t="s">
        <v>52</v>
      </c>
      <c r="P1424" s="46" t="s">
        <v>59</v>
      </c>
      <c r="Q1424" s="46" t="s">
        <v>60</v>
      </c>
      <c r="R1424" s="46" t="s">
        <v>61</v>
      </c>
      <c r="S1424" s="46" t="s">
        <v>62</v>
      </c>
      <c r="T1424" s="46" t="s">
        <v>12</v>
      </c>
      <c r="U1424" s="46" t="s">
        <v>63</v>
      </c>
    </row>
    <row r="1425" spans="1:21">
      <c r="A1425" s="47">
        <v>25212359</v>
      </c>
      <c r="B1425" s="46" t="s">
        <v>1231</v>
      </c>
      <c r="C1425" s="46" t="s">
        <v>1232</v>
      </c>
      <c r="D1425" s="48">
        <v>27831</v>
      </c>
      <c r="E1425" s="49">
        <f t="shared" ref="E1425:E1455" ca="1" si="47">IF(D1425="","",YEARFRAC(D1425,TODAY(),1))</f>
        <v>50.299119604895857</v>
      </c>
      <c r="F1425" s="50">
        <v>156808921</v>
      </c>
      <c r="G1425" s="51" t="s">
        <v>70</v>
      </c>
      <c r="I1425" s="59" t="s">
        <v>908</v>
      </c>
      <c r="M1425" s="53" t="s">
        <v>1233</v>
      </c>
      <c r="N1425" s="46">
        <v>4247752</v>
      </c>
      <c r="O1425" s="46">
        <v>7069</v>
      </c>
    </row>
    <row r="1426" spans="1:21">
      <c r="A1426" s="47">
        <v>25213563</v>
      </c>
      <c r="B1426" s="46" t="s">
        <v>207</v>
      </c>
      <c r="C1426" s="46" t="s">
        <v>6552</v>
      </c>
      <c r="D1426" s="48" t="s">
        <v>6553</v>
      </c>
      <c r="E1426" s="49">
        <f t="shared" ca="1" si="47"/>
        <v>50.271741464462103</v>
      </c>
      <c r="F1426" s="50" t="s">
        <v>6554</v>
      </c>
      <c r="G1426" s="51" t="s">
        <v>141</v>
      </c>
      <c r="H1426" s="52" t="s">
        <v>52</v>
      </c>
      <c r="I1426" s="52" t="s">
        <v>6542</v>
      </c>
      <c r="J1426" s="46" t="s">
        <v>4245</v>
      </c>
      <c r="K1426" s="46" t="s">
        <v>81</v>
      </c>
      <c r="L1426" s="46" t="s">
        <v>546</v>
      </c>
      <c r="M1426" s="52" t="s">
        <v>6555</v>
      </c>
      <c r="N1426" s="46" t="s">
        <v>52</v>
      </c>
      <c r="O1426" s="46" t="s">
        <v>52</v>
      </c>
      <c r="P1426" s="46" t="s">
        <v>59</v>
      </c>
      <c r="Q1426" s="46" t="s">
        <v>60</v>
      </c>
      <c r="R1426" s="46" t="s">
        <v>61</v>
      </c>
      <c r="S1426" s="46" t="s">
        <v>62</v>
      </c>
      <c r="T1426" s="46" t="s">
        <v>12</v>
      </c>
      <c r="U1426" s="46" t="s">
        <v>63</v>
      </c>
    </row>
    <row r="1427" spans="1:21">
      <c r="A1427" s="47">
        <v>25213575</v>
      </c>
      <c r="B1427" s="46" t="s">
        <v>64</v>
      </c>
      <c r="C1427" s="46" t="s">
        <v>1453</v>
      </c>
      <c r="D1427" s="48">
        <v>27841</v>
      </c>
      <c r="E1427" s="49">
        <f t="shared" ca="1" si="47"/>
        <v>50.271741464462103</v>
      </c>
      <c r="F1427" s="50">
        <v>15441732</v>
      </c>
      <c r="G1427" s="51" t="s">
        <v>78</v>
      </c>
      <c r="I1427" s="52" t="s">
        <v>1449</v>
      </c>
      <c r="J1427" s="46" t="s">
        <v>470</v>
      </c>
      <c r="M1427" s="53" t="s">
        <v>1454</v>
      </c>
      <c r="N1427" s="46">
        <v>4221692</v>
      </c>
    </row>
    <row r="1428" spans="1:21">
      <c r="A1428" s="47">
        <v>25214023</v>
      </c>
      <c r="B1428" s="46" t="s">
        <v>1523</v>
      </c>
      <c r="C1428" s="46" t="s">
        <v>6557</v>
      </c>
      <c r="D1428" s="48" t="s">
        <v>52</v>
      </c>
      <c r="E1428" s="49" t="str">
        <f t="shared" ca="1" si="47"/>
        <v/>
      </c>
      <c r="F1428" s="50" t="s">
        <v>6558</v>
      </c>
      <c r="G1428" s="51" t="s">
        <v>141</v>
      </c>
      <c r="H1428" s="52" t="s">
        <v>52</v>
      </c>
      <c r="I1428" s="52" t="s">
        <v>6542</v>
      </c>
      <c r="J1428" s="46" t="s">
        <v>6559</v>
      </c>
      <c r="K1428" s="46" t="s">
        <v>81</v>
      </c>
      <c r="L1428" s="46" t="s">
        <v>52</v>
      </c>
      <c r="M1428" s="52" t="s">
        <v>6560</v>
      </c>
      <c r="N1428" s="46" t="s">
        <v>52</v>
      </c>
      <c r="O1428" s="46" t="s">
        <v>52</v>
      </c>
      <c r="P1428" s="46" t="s">
        <v>59</v>
      </c>
      <c r="Q1428" s="46" t="s">
        <v>60</v>
      </c>
      <c r="R1428" s="46" t="s">
        <v>61</v>
      </c>
      <c r="S1428" s="46" t="s">
        <v>62</v>
      </c>
      <c r="T1428" s="46" t="s">
        <v>12</v>
      </c>
      <c r="U1428" s="46" t="s">
        <v>63</v>
      </c>
    </row>
    <row r="1429" spans="1:21">
      <c r="A1429" s="47">
        <v>25214446</v>
      </c>
      <c r="B1429" s="46" t="s">
        <v>1655</v>
      </c>
      <c r="C1429" s="52" t="s">
        <v>5969</v>
      </c>
      <c r="D1429" s="48">
        <v>27516</v>
      </c>
      <c r="E1429" s="49">
        <f t="shared" ca="1" si="47"/>
        <v>51.162217659137575</v>
      </c>
      <c r="F1429" s="50">
        <v>155674351</v>
      </c>
      <c r="G1429" s="51" t="s">
        <v>23</v>
      </c>
      <c r="I1429" s="52" t="s">
        <v>23</v>
      </c>
      <c r="J1429" s="46" t="s">
        <v>38</v>
      </c>
      <c r="M1429" s="53" t="s">
        <v>5970</v>
      </c>
      <c r="N1429" s="55">
        <v>4107283</v>
      </c>
      <c r="O1429" s="55">
        <v>7145</v>
      </c>
    </row>
    <row r="1430" spans="1:21">
      <c r="A1430" s="47">
        <v>25215951</v>
      </c>
      <c r="B1430" s="46" t="s">
        <v>2087</v>
      </c>
      <c r="C1430" s="46" t="s">
        <v>2772</v>
      </c>
      <c r="E1430" s="49" t="str">
        <f t="shared" ca="1" si="47"/>
        <v/>
      </c>
      <c r="F1430" s="50">
        <v>156404958</v>
      </c>
      <c r="G1430" s="51" t="s">
        <v>23</v>
      </c>
      <c r="I1430" s="52" t="s">
        <v>2671</v>
      </c>
      <c r="M1430" s="58" t="s">
        <v>25</v>
      </c>
    </row>
    <row r="1431" spans="1:21">
      <c r="A1431" s="47">
        <v>25231563</v>
      </c>
      <c r="B1431" s="46" t="s">
        <v>207</v>
      </c>
      <c r="C1431" s="46" t="s">
        <v>6552</v>
      </c>
      <c r="D1431" s="48" t="s">
        <v>52</v>
      </c>
      <c r="E1431" s="49" t="str">
        <f t="shared" ca="1" si="47"/>
        <v/>
      </c>
      <c r="F1431" s="50" t="s">
        <v>6741</v>
      </c>
      <c r="G1431" s="51" t="s">
        <v>141</v>
      </c>
      <c r="H1431" s="52" t="s">
        <v>52</v>
      </c>
      <c r="I1431" s="52" t="s">
        <v>4245</v>
      </c>
      <c r="J1431" s="46" t="s">
        <v>6742</v>
      </c>
      <c r="K1431" s="46" t="s">
        <v>81</v>
      </c>
      <c r="L1431" s="46" t="s">
        <v>546</v>
      </c>
      <c r="M1431" s="52" t="s">
        <v>6555</v>
      </c>
      <c r="N1431" s="46" t="s">
        <v>52</v>
      </c>
      <c r="O1431" s="46" t="s">
        <v>52</v>
      </c>
      <c r="P1431" s="46" t="s">
        <v>59</v>
      </c>
      <c r="Q1431" s="46" t="s">
        <v>60</v>
      </c>
      <c r="R1431" s="46" t="s">
        <v>61</v>
      </c>
      <c r="S1431" s="46" t="s">
        <v>62</v>
      </c>
      <c r="T1431" s="46" t="s">
        <v>12</v>
      </c>
      <c r="U1431" s="46" t="s">
        <v>63</v>
      </c>
    </row>
    <row r="1432" spans="1:21">
      <c r="A1432" s="47">
        <v>25255325</v>
      </c>
      <c r="B1432" s="46" t="s">
        <v>626</v>
      </c>
      <c r="C1432" s="46" t="s">
        <v>627</v>
      </c>
      <c r="D1432" s="48">
        <v>27903</v>
      </c>
      <c r="E1432" s="49">
        <f t="shared" ca="1" si="47"/>
        <v>50.101996993772815</v>
      </c>
      <c r="F1432" s="50">
        <v>155524729</v>
      </c>
      <c r="G1432" s="51" t="s">
        <v>70</v>
      </c>
      <c r="I1432" s="52" t="s">
        <v>594</v>
      </c>
      <c r="J1432" s="46" t="s">
        <v>628</v>
      </c>
      <c r="M1432" s="58" t="s">
        <v>25</v>
      </c>
      <c r="N1432" s="46">
        <v>4244874</v>
      </c>
      <c r="O1432" s="46">
        <v>205</v>
      </c>
    </row>
    <row r="1433" spans="1:21">
      <c r="A1433" s="47">
        <v>25255367</v>
      </c>
      <c r="B1433" s="46" t="s">
        <v>394</v>
      </c>
      <c r="C1433" s="52" t="s">
        <v>3809</v>
      </c>
      <c r="D1433" s="48">
        <v>27918</v>
      </c>
      <c r="E1433" s="49">
        <f t="shared" ca="1" si="47"/>
        <v>50.060929783122184</v>
      </c>
      <c r="F1433" s="50">
        <v>155065155</v>
      </c>
      <c r="G1433" s="51" t="s">
        <v>23</v>
      </c>
      <c r="I1433" s="52" t="s">
        <v>3630</v>
      </c>
      <c r="J1433" s="46" t="s">
        <v>3810</v>
      </c>
      <c r="M1433" s="58" t="s">
        <v>25</v>
      </c>
      <c r="N1433" s="55">
        <v>4222146</v>
      </c>
      <c r="O1433" s="55">
        <v>7455</v>
      </c>
    </row>
    <row r="1434" spans="1:21">
      <c r="A1434" s="47">
        <v>25255423</v>
      </c>
      <c r="B1434" s="46" t="s">
        <v>6482</v>
      </c>
      <c r="C1434" s="46" t="s">
        <v>6667</v>
      </c>
      <c r="D1434" s="48" t="s">
        <v>52</v>
      </c>
      <c r="E1434" s="49" t="str">
        <f t="shared" ca="1" si="47"/>
        <v/>
      </c>
      <c r="F1434" s="50" t="s">
        <v>6668</v>
      </c>
      <c r="G1434" s="51" t="s">
        <v>141</v>
      </c>
      <c r="H1434" s="52" t="s">
        <v>6669</v>
      </c>
      <c r="I1434" s="52" t="s">
        <v>3630</v>
      </c>
      <c r="J1434" s="46" t="s">
        <v>3918</v>
      </c>
      <c r="K1434" s="46" t="s">
        <v>1206</v>
      </c>
      <c r="L1434" s="46" t="s">
        <v>546</v>
      </c>
      <c r="M1434" s="52" t="s">
        <v>6670</v>
      </c>
      <c r="N1434" s="46" t="s">
        <v>52</v>
      </c>
      <c r="O1434" s="46" t="s">
        <v>52</v>
      </c>
      <c r="P1434" s="46" t="s">
        <v>59</v>
      </c>
      <c r="Q1434" s="46" t="s">
        <v>60</v>
      </c>
      <c r="R1434" s="46" t="s">
        <v>61</v>
      </c>
      <c r="S1434" s="46" t="s">
        <v>62</v>
      </c>
      <c r="T1434" s="46" t="s">
        <v>12</v>
      </c>
      <c r="U1434" s="46" t="s">
        <v>63</v>
      </c>
    </row>
    <row r="1435" spans="1:21">
      <c r="A1435" s="47">
        <v>25255652</v>
      </c>
      <c r="B1435" s="46" t="s">
        <v>315</v>
      </c>
      <c r="C1435" s="55" t="s">
        <v>1542</v>
      </c>
      <c r="D1435" s="48">
        <v>28021</v>
      </c>
      <c r="E1435" s="49">
        <f t="shared" ca="1" si="47"/>
        <v>49.778934936654501</v>
      </c>
      <c r="F1435" s="50">
        <v>156670937</v>
      </c>
      <c r="G1435" s="51" t="s">
        <v>141</v>
      </c>
      <c r="I1435" s="52" t="s">
        <v>1497</v>
      </c>
      <c r="J1435" s="46" t="s">
        <v>1543</v>
      </c>
      <c r="M1435" s="53" t="s">
        <v>1544</v>
      </c>
    </row>
    <row r="1436" spans="1:21">
      <c r="A1436" s="47">
        <v>25255781</v>
      </c>
      <c r="B1436" s="46" t="s">
        <v>1317</v>
      </c>
      <c r="C1436" s="46" t="s">
        <v>1318</v>
      </c>
      <c r="D1436" s="48" t="s">
        <v>1319</v>
      </c>
      <c r="E1436" s="49">
        <f t="shared" ca="1" si="47"/>
        <v>49.611928280008591</v>
      </c>
      <c r="F1436" s="50" t="s">
        <v>1320</v>
      </c>
      <c r="G1436" s="51" t="s">
        <v>70</v>
      </c>
      <c r="H1436" s="52" t="s">
        <v>1321</v>
      </c>
      <c r="I1436" s="59" t="s">
        <v>908</v>
      </c>
      <c r="J1436" s="46" t="s">
        <v>1322</v>
      </c>
      <c r="K1436" s="46" t="s">
        <v>390</v>
      </c>
      <c r="L1436" s="46" t="s">
        <v>546</v>
      </c>
      <c r="M1436" s="52" t="s">
        <v>1323</v>
      </c>
      <c r="N1436" s="46" t="s">
        <v>931</v>
      </c>
      <c r="O1436" s="46" t="s">
        <v>1324</v>
      </c>
      <c r="P1436" s="46" t="s">
        <v>59</v>
      </c>
      <c r="Q1436" s="46" t="s">
        <v>60</v>
      </c>
      <c r="R1436" s="46" t="s">
        <v>61</v>
      </c>
      <c r="S1436" s="46" t="s">
        <v>62</v>
      </c>
      <c r="T1436" s="46" t="s">
        <v>12</v>
      </c>
      <c r="U1436" s="46" t="s">
        <v>63</v>
      </c>
    </row>
    <row r="1437" spans="1:21">
      <c r="A1437" s="47">
        <v>25255910</v>
      </c>
      <c r="B1437" s="46" t="s">
        <v>377</v>
      </c>
      <c r="C1437" s="46" t="s">
        <v>4373</v>
      </c>
      <c r="D1437" s="48">
        <v>28136</v>
      </c>
      <c r="E1437" s="49">
        <f t="shared" ca="1" si="47"/>
        <v>49.466104479246525</v>
      </c>
      <c r="F1437" s="50">
        <v>154761238</v>
      </c>
      <c r="G1437" s="51" t="s">
        <v>352</v>
      </c>
      <c r="I1437" s="52" t="s">
        <v>4245</v>
      </c>
      <c r="J1437" s="46" t="s">
        <v>38</v>
      </c>
      <c r="M1437" s="53" t="s">
        <v>4374</v>
      </c>
      <c r="N1437" s="46">
        <v>4247752</v>
      </c>
      <c r="O1437" s="46">
        <v>7020</v>
      </c>
      <c r="P1437" s="46">
        <v>1</v>
      </c>
    </row>
    <row r="1438" spans="1:21">
      <c r="A1438" s="47">
        <v>25255996</v>
      </c>
      <c r="B1438" s="46" t="s">
        <v>2262</v>
      </c>
      <c r="C1438" s="52" t="s">
        <v>2263</v>
      </c>
      <c r="D1438" s="48">
        <v>28152</v>
      </c>
      <c r="E1438" s="49">
        <f t="shared" ca="1" si="47"/>
        <v>49.42229766728726</v>
      </c>
      <c r="G1438" s="51" t="s">
        <v>23</v>
      </c>
      <c r="I1438" s="52" t="s">
        <v>1881</v>
      </c>
      <c r="J1438" s="46" t="s">
        <v>2264</v>
      </c>
      <c r="M1438" s="53" t="s">
        <v>2265</v>
      </c>
      <c r="N1438" s="55"/>
      <c r="O1438" s="55"/>
    </row>
    <row r="1439" spans="1:21">
      <c r="A1439" s="47">
        <v>25318542</v>
      </c>
      <c r="B1439" s="46" t="s">
        <v>3416</v>
      </c>
      <c r="C1439" s="55" t="s">
        <v>27</v>
      </c>
      <c r="E1439" s="49" t="str">
        <f t="shared" ca="1" si="47"/>
        <v/>
      </c>
      <c r="F1439" s="50">
        <v>156413050</v>
      </c>
      <c r="G1439" s="51" t="s">
        <v>23</v>
      </c>
      <c r="I1439" s="52" t="s">
        <v>3327</v>
      </c>
      <c r="J1439" s="55"/>
      <c r="K1439" s="55"/>
      <c r="L1439" s="55"/>
      <c r="M1439" s="53" t="s">
        <v>3417</v>
      </c>
      <c r="N1439" s="55"/>
      <c r="O1439" s="55"/>
    </row>
    <row r="1440" spans="1:21">
      <c r="A1440" s="47">
        <v>25320092</v>
      </c>
      <c r="B1440" s="46" t="s">
        <v>4164</v>
      </c>
      <c r="C1440" s="46" t="s">
        <v>360</v>
      </c>
      <c r="D1440" s="48">
        <v>27869</v>
      </c>
      <c r="E1440" s="49">
        <f t="shared" ca="1" si="47"/>
        <v>50.195082671247583</v>
      </c>
      <c r="F1440" s="50" t="s">
        <v>4165</v>
      </c>
      <c r="G1440" s="51" t="s">
        <v>23</v>
      </c>
      <c r="I1440" s="52" t="s">
        <v>4078</v>
      </c>
      <c r="J1440" s="46" t="s">
        <v>224</v>
      </c>
      <c r="M1440" s="53" t="s">
        <v>4166</v>
      </c>
      <c r="N1440" s="46">
        <v>3865483797</v>
      </c>
    </row>
    <row r="1441" spans="1:21">
      <c r="A1441" s="47">
        <v>25320789</v>
      </c>
      <c r="B1441" s="46" t="s">
        <v>428</v>
      </c>
      <c r="C1441" s="46" t="s">
        <v>3595</v>
      </c>
      <c r="D1441" s="48">
        <v>27998</v>
      </c>
      <c r="E1441" s="49">
        <f t="shared" ca="1" si="47"/>
        <v>49.841904659652137</v>
      </c>
      <c r="G1441" s="51" t="s">
        <v>141</v>
      </c>
      <c r="I1441" s="52" t="s">
        <v>3555</v>
      </c>
      <c r="J1441" s="46" t="s">
        <v>234</v>
      </c>
      <c r="M1441" s="58" t="s">
        <v>25</v>
      </c>
      <c r="N1441" s="46" t="s">
        <v>2869</v>
      </c>
    </row>
    <row r="1442" spans="1:21">
      <c r="A1442" s="47">
        <v>25331326</v>
      </c>
      <c r="B1442" s="46" t="s">
        <v>4096</v>
      </c>
      <c r="C1442" s="46" t="s">
        <v>4097</v>
      </c>
      <c r="D1442" s="48">
        <v>28084</v>
      </c>
      <c r="E1442" s="49">
        <f t="shared" ca="1" si="47"/>
        <v>49.606452651921842</v>
      </c>
      <c r="F1442" s="50" t="s">
        <v>4098</v>
      </c>
      <c r="G1442" s="51" t="s">
        <v>23</v>
      </c>
      <c r="I1442" s="52" t="s">
        <v>4078</v>
      </c>
      <c r="J1442" s="46" t="s">
        <v>4099</v>
      </c>
      <c r="M1442" s="53" t="s">
        <v>4100</v>
      </c>
    </row>
    <row r="1443" spans="1:21">
      <c r="A1443" s="47">
        <v>25331402</v>
      </c>
      <c r="B1443" s="46" t="s">
        <v>996</v>
      </c>
      <c r="C1443" s="52" t="s">
        <v>876</v>
      </c>
      <c r="D1443" s="48">
        <v>28118</v>
      </c>
      <c r="E1443" s="49">
        <f t="shared" ca="1" si="47"/>
        <v>49.513366974447067</v>
      </c>
      <c r="F1443" s="50">
        <v>156222604</v>
      </c>
      <c r="G1443" s="51" t="s">
        <v>23</v>
      </c>
      <c r="I1443" s="59" t="s">
        <v>908</v>
      </c>
      <c r="J1443" s="46" t="s">
        <v>997</v>
      </c>
      <c r="M1443" s="53" t="s">
        <v>998</v>
      </c>
      <c r="N1443" s="55"/>
      <c r="O1443" s="55"/>
    </row>
    <row r="1444" spans="1:21">
      <c r="A1444" s="47">
        <v>25368498</v>
      </c>
      <c r="B1444" s="46" t="s">
        <v>252</v>
      </c>
      <c r="C1444" s="46" t="s">
        <v>6189</v>
      </c>
      <c r="E1444" s="49" t="str">
        <f t="shared" ca="1" si="47"/>
        <v/>
      </c>
      <c r="G1444" s="51" t="s">
        <v>23</v>
      </c>
      <c r="I1444" s="52" t="s">
        <v>23</v>
      </c>
      <c r="M1444" s="58" t="s">
        <v>25</v>
      </c>
    </row>
    <row r="1445" spans="1:21">
      <c r="A1445" s="47">
        <v>25372495</v>
      </c>
      <c r="B1445" s="46" t="s">
        <v>40</v>
      </c>
      <c r="C1445" s="55" t="s">
        <v>3924</v>
      </c>
      <c r="D1445" s="48">
        <v>27927</v>
      </c>
      <c r="E1445" s="49">
        <f t="shared" ca="1" si="47"/>
        <v>50.036289456731801</v>
      </c>
      <c r="F1445" s="50">
        <v>155171425</v>
      </c>
      <c r="G1445" s="51" t="s">
        <v>23</v>
      </c>
      <c r="I1445" s="52" t="s">
        <v>3922</v>
      </c>
      <c r="J1445" s="55" t="s">
        <v>3925</v>
      </c>
      <c r="K1445" s="55"/>
      <c r="L1445" s="55"/>
      <c r="M1445" s="53" t="s">
        <v>3926</v>
      </c>
      <c r="N1445" s="55">
        <v>4231860</v>
      </c>
      <c r="O1445" s="55">
        <v>21</v>
      </c>
    </row>
    <row r="1446" spans="1:21">
      <c r="A1446" s="47">
        <v>25380568</v>
      </c>
      <c r="B1446" s="46" t="s">
        <v>1823</v>
      </c>
      <c r="C1446" s="46" t="s">
        <v>2753</v>
      </c>
      <c r="D1446" s="48" t="s">
        <v>52</v>
      </c>
      <c r="E1446" s="49" t="str">
        <f t="shared" ca="1" si="47"/>
        <v/>
      </c>
      <c r="F1446" s="50" t="s">
        <v>5418</v>
      </c>
      <c r="G1446" s="51" t="s">
        <v>70</v>
      </c>
      <c r="H1446" s="52" t="s">
        <v>2616</v>
      </c>
      <c r="I1446" s="52" t="s">
        <v>5304</v>
      </c>
      <c r="J1446" s="46" t="s">
        <v>38</v>
      </c>
      <c r="K1446" s="46" t="s">
        <v>81</v>
      </c>
      <c r="L1446" s="46" t="s">
        <v>1241</v>
      </c>
      <c r="M1446" s="53" t="s">
        <v>5419</v>
      </c>
      <c r="N1446" s="46" t="s">
        <v>5354</v>
      </c>
      <c r="O1446" s="46" t="s">
        <v>52</v>
      </c>
      <c r="P1446" s="46" t="s">
        <v>59</v>
      </c>
      <c r="Q1446" s="46" t="s">
        <v>60</v>
      </c>
      <c r="R1446" s="46" t="s">
        <v>61</v>
      </c>
      <c r="S1446" s="46" t="s">
        <v>62</v>
      </c>
      <c r="T1446" s="46" t="s">
        <v>12</v>
      </c>
      <c r="U1446" s="46" t="s">
        <v>63</v>
      </c>
    </row>
    <row r="1447" spans="1:21">
      <c r="A1447" s="47">
        <v>25380616</v>
      </c>
      <c r="B1447" s="46" t="s">
        <v>288</v>
      </c>
      <c r="C1447" s="46" t="s">
        <v>3581</v>
      </c>
      <c r="D1447" s="48">
        <v>27906</v>
      </c>
      <c r="E1447" s="49">
        <f t="shared" ca="1" si="47"/>
        <v>50.093783551642687</v>
      </c>
      <c r="F1447" s="50">
        <v>4250880</v>
      </c>
      <c r="G1447" s="51" t="s">
        <v>78</v>
      </c>
      <c r="I1447" s="52" t="s">
        <v>3555</v>
      </c>
      <c r="M1447" s="53" t="s">
        <v>3582</v>
      </c>
    </row>
    <row r="1448" spans="1:21">
      <c r="A1448" s="47">
        <v>25380689</v>
      </c>
      <c r="B1448" s="46" t="s">
        <v>1660</v>
      </c>
      <c r="C1448" s="46" t="s">
        <v>1688</v>
      </c>
      <c r="E1448" s="49" t="str">
        <f t="shared" ca="1" si="47"/>
        <v/>
      </c>
      <c r="G1448" s="51" t="s">
        <v>23</v>
      </c>
      <c r="I1448" s="52" t="s">
        <v>23</v>
      </c>
      <c r="M1448" s="58" t="s">
        <v>25</v>
      </c>
    </row>
    <row r="1449" spans="1:21">
      <c r="A1449" s="47">
        <v>25380707</v>
      </c>
      <c r="B1449" s="46" t="s">
        <v>5150</v>
      </c>
      <c r="C1449" s="46" t="s">
        <v>5151</v>
      </c>
      <c r="D1449" s="48" t="s">
        <v>5152</v>
      </c>
      <c r="E1449" s="49">
        <f t="shared" ca="1" si="47"/>
        <v>50.164966716770451</v>
      </c>
      <c r="F1449" s="50" t="s">
        <v>5153</v>
      </c>
      <c r="G1449" s="51" t="s">
        <v>70</v>
      </c>
      <c r="H1449" s="52" t="s">
        <v>5154</v>
      </c>
      <c r="I1449" s="52" t="s">
        <v>4954</v>
      </c>
      <c r="J1449" s="46" t="s">
        <v>5155</v>
      </c>
      <c r="K1449" s="46" t="s">
        <v>81</v>
      </c>
      <c r="L1449" s="46" t="s">
        <v>1241</v>
      </c>
      <c r="M1449" s="52" t="s">
        <v>5156</v>
      </c>
      <c r="N1449" s="46" t="s">
        <v>5157</v>
      </c>
      <c r="O1449" s="46" t="s">
        <v>52</v>
      </c>
      <c r="P1449" s="46" t="s">
        <v>59</v>
      </c>
      <c r="Q1449" s="46" t="s">
        <v>60</v>
      </c>
      <c r="R1449" s="46" t="s">
        <v>61</v>
      </c>
      <c r="S1449" s="46" t="s">
        <v>62</v>
      </c>
      <c r="T1449" s="46" t="s">
        <v>12</v>
      </c>
      <c r="U1449" s="46" t="s">
        <v>63</v>
      </c>
    </row>
    <row r="1450" spans="1:21">
      <c r="A1450" s="47">
        <v>25421645</v>
      </c>
      <c r="B1450" s="46" t="s">
        <v>3942</v>
      </c>
      <c r="C1450" s="52" t="s">
        <v>3943</v>
      </c>
      <c r="D1450" s="48">
        <v>22915</v>
      </c>
      <c r="E1450" s="49">
        <f t="shared" ca="1" si="47"/>
        <v>63.759740533254707</v>
      </c>
      <c r="F1450" s="50">
        <v>154638088</v>
      </c>
      <c r="G1450" s="51" t="s">
        <v>23</v>
      </c>
      <c r="I1450" s="52" t="s">
        <v>3922</v>
      </c>
      <c r="J1450" s="46" t="s">
        <v>2207</v>
      </c>
      <c r="M1450" s="53" t="s">
        <v>3944</v>
      </c>
      <c r="N1450" s="55"/>
      <c r="O1450" s="55"/>
    </row>
    <row r="1451" spans="1:21">
      <c r="A1451" s="47">
        <v>25444118</v>
      </c>
      <c r="B1451" s="46" t="s">
        <v>5949</v>
      </c>
      <c r="C1451" s="46" t="s">
        <v>5103</v>
      </c>
      <c r="D1451" s="48" t="s">
        <v>52</v>
      </c>
      <c r="E1451" s="49" t="str">
        <f t="shared" ca="1" si="47"/>
        <v/>
      </c>
      <c r="F1451" s="50" t="s">
        <v>5950</v>
      </c>
      <c r="G1451" s="51" t="s">
        <v>70</v>
      </c>
      <c r="H1451" s="52" t="s">
        <v>52</v>
      </c>
      <c r="I1451" s="52" t="s">
        <v>5881</v>
      </c>
      <c r="J1451" s="46" t="s">
        <v>5951</v>
      </c>
      <c r="K1451" s="46" t="s">
        <v>81</v>
      </c>
      <c r="L1451" s="46" t="s">
        <v>52</v>
      </c>
      <c r="M1451" s="52" t="s">
        <v>5952</v>
      </c>
      <c r="N1451" s="46" t="s">
        <v>52</v>
      </c>
      <c r="O1451" s="46" t="s">
        <v>2435</v>
      </c>
      <c r="P1451" s="46" t="s">
        <v>59</v>
      </c>
      <c r="Q1451" s="46" t="s">
        <v>60</v>
      </c>
      <c r="R1451" s="46" t="s">
        <v>61</v>
      </c>
      <c r="S1451" s="46" t="s">
        <v>62</v>
      </c>
      <c r="T1451" s="46" t="s">
        <v>12</v>
      </c>
      <c r="U1451" s="46" t="s">
        <v>63</v>
      </c>
    </row>
    <row r="1452" spans="1:21">
      <c r="A1452" s="47">
        <v>25444253</v>
      </c>
      <c r="B1452" s="46" t="s">
        <v>4847</v>
      </c>
      <c r="C1452" s="52" t="s">
        <v>6127</v>
      </c>
      <c r="E1452" s="49" t="str">
        <f t="shared" ca="1" si="47"/>
        <v/>
      </c>
      <c r="F1452" s="50">
        <v>154035328</v>
      </c>
      <c r="G1452" s="51" t="s">
        <v>70</v>
      </c>
      <c r="I1452" s="52" t="s">
        <v>23</v>
      </c>
      <c r="J1452" s="46" t="s">
        <v>6128</v>
      </c>
      <c r="M1452" s="53" t="s">
        <v>4852</v>
      </c>
      <c r="N1452" s="55">
        <v>4526028</v>
      </c>
      <c r="O1452" s="55"/>
    </row>
    <row r="1453" spans="1:21">
      <c r="A1453" s="47">
        <v>25444256</v>
      </c>
      <c r="B1453" s="46" t="s">
        <v>5764</v>
      </c>
      <c r="C1453" s="46" t="s">
        <v>5765</v>
      </c>
      <c r="D1453" s="48" t="s">
        <v>52</v>
      </c>
      <c r="E1453" s="49" t="str">
        <f t="shared" ca="1" si="47"/>
        <v/>
      </c>
      <c r="F1453" s="50" t="s">
        <v>5766</v>
      </c>
      <c r="G1453" s="51" t="s">
        <v>78</v>
      </c>
      <c r="H1453" s="52" t="s">
        <v>5767</v>
      </c>
      <c r="I1453" s="52" t="s">
        <v>5761</v>
      </c>
      <c r="J1453" s="46" t="s">
        <v>5762</v>
      </c>
      <c r="K1453" s="46" t="s">
        <v>81</v>
      </c>
      <c r="L1453" s="46" t="s">
        <v>3035</v>
      </c>
      <c r="M1453" s="53" t="s">
        <v>5768</v>
      </c>
      <c r="N1453" s="46" t="s">
        <v>2771</v>
      </c>
      <c r="O1453" s="46" t="s">
        <v>52</v>
      </c>
      <c r="P1453" s="46" t="s">
        <v>59</v>
      </c>
      <c r="Q1453" s="46" t="s">
        <v>60</v>
      </c>
      <c r="R1453" s="46" t="s">
        <v>61</v>
      </c>
      <c r="S1453" s="46" t="s">
        <v>62</v>
      </c>
      <c r="T1453" s="46" t="s">
        <v>12</v>
      </c>
      <c r="U1453" s="46" t="s">
        <v>63</v>
      </c>
    </row>
    <row r="1454" spans="1:21">
      <c r="A1454" s="47">
        <v>25444258</v>
      </c>
      <c r="B1454" s="46" t="s">
        <v>4847</v>
      </c>
      <c r="C1454" s="55" t="s">
        <v>4848</v>
      </c>
      <c r="D1454" s="48" t="s">
        <v>4849</v>
      </c>
      <c r="E1454" s="49">
        <f t="shared" ca="1" si="47"/>
        <v>50.096521365686066</v>
      </c>
      <c r="F1454" s="50" t="s">
        <v>4850</v>
      </c>
      <c r="G1454" s="51" t="s">
        <v>86</v>
      </c>
      <c r="H1454" s="52" t="s">
        <v>52</v>
      </c>
      <c r="I1454" s="52" t="s">
        <v>4815</v>
      </c>
      <c r="J1454" s="55" t="s">
        <v>4851</v>
      </c>
      <c r="K1454" s="55" t="s">
        <v>81</v>
      </c>
      <c r="L1454" s="55" t="s">
        <v>52</v>
      </c>
      <c r="M1454" s="53" t="s">
        <v>4852</v>
      </c>
      <c r="N1454" s="55" t="s">
        <v>4853</v>
      </c>
      <c r="O1454" s="55" t="s">
        <v>52</v>
      </c>
      <c r="P1454" s="46" t="s">
        <v>59</v>
      </c>
      <c r="Q1454" s="46" t="s">
        <v>60</v>
      </c>
      <c r="R1454" s="46" t="s">
        <v>61</v>
      </c>
      <c r="S1454" s="46" t="s">
        <v>62</v>
      </c>
      <c r="T1454" s="46" t="s">
        <v>12</v>
      </c>
      <c r="U1454" s="46" t="s">
        <v>63</v>
      </c>
    </row>
    <row r="1455" spans="1:21">
      <c r="A1455" s="47">
        <v>25444260</v>
      </c>
      <c r="B1455" s="46" t="s">
        <v>1655</v>
      </c>
      <c r="C1455" s="55" t="s">
        <v>3627</v>
      </c>
      <c r="D1455" s="48" t="s">
        <v>52</v>
      </c>
      <c r="E1455" s="49" t="str">
        <f t="shared" ca="1" si="47"/>
        <v/>
      </c>
      <c r="F1455" s="50" t="s">
        <v>3628</v>
      </c>
      <c r="G1455" s="51" t="s">
        <v>78</v>
      </c>
      <c r="H1455" s="52" t="s">
        <v>3629</v>
      </c>
      <c r="I1455" s="52" t="s">
        <v>3630</v>
      </c>
      <c r="J1455" s="55" t="s">
        <v>3631</v>
      </c>
      <c r="K1455" s="55" t="s">
        <v>81</v>
      </c>
      <c r="L1455" s="55" t="s">
        <v>52</v>
      </c>
      <c r="M1455" s="53" t="s">
        <v>3632</v>
      </c>
      <c r="N1455" s="55" t="s">
        <v>3633</v>
      </c>
      <c r="O1455" s="55" t="s">
        <v>52</v>
      </c>
      <c r="P1455" s="46" t="s">
        <v>59</v>
      </c>
      <c r="Q1455" s="46" t="s">
        <v>60</v>
      </c>
      <c r="R1455" s="46" t="s">
        <v>61</v>
      </c>
      <c r="S1455" s="46" t="s">
        <v>62</v>
      </c>
      <c r="T1455" s="46" t="s">
        <v>12</v>
      </c>
      <c r="U1455" s="46" t="s">
        <v>63</v>
      </c>
    </row>
    <row r="1456" spans="1:21">
      <c r="A1456" s="47">
        <v>25444454</v>
      </c>
      <c r="B1456" s="46" t="s">
        <v>8211</v>
      </c>
      <c r="C1456" s="46" t="s">
        <v>9423</v>
      </c>
      <c r="D1456" s="48" t="s">
        <v>9424</v>
      </c>
      <c r="E1456" s="49" t="s">
        <v>9425</v>
      </c>
      <c r="F1456" s="50" t="s">
        <v>9426</v>
      </c>
      <c r="G1456" s="51" t="s">
        <v>141</v>
      </c>
      <c r="H1456" s="52" t="s">
        <v>8765</v>
      </c>
      <c r="I1456" s="52" t="s">
        <v>5761</v>
      </c>
      <c r="J1456" s="46" t="s">
        <v>9427</v>
      </c>
      <c r="K1456" s="46" t="s">
        <v>81</v>
      </c>
      <c r="L1456" s="46" t="s">
        <v>546</v>
      </c>
      <c r="M1456" s="52" t="s">
        <v>9428</v>
      </c>
      <c r="N1456" s="46" t="s">
        <v>52</v>
      </c>
      <c r="O1456" s="46" t="s">
        <v>52</v>
      </c>
      <c r="P1456" s="46" t="s">
        <v>59</v>
      </c>
      <c r="Q1456" s="46" t="s">
        <v>60</v>
      </c>
      <c r="R1456" s="46" t="s">
        <v>61</v>
      </c>
      <c r="S1456" s="46" t="s">
        <v>62</v>
      </c>
      <c r="T1456" s="46" t="s">
        <v>12</v>
      </c>
      <c r="U1456" s="46" t="s">
        <v>63</v>
      </c>
    </row>
    <row r="1457" spans="1:21">
      <c r="A1457" s="47">
        <v>25483050</v>
      </c>
      <c r="B1457" s="46" t="s">
        <v>4033</v>
      </c>
      <c r="C1457" s="46" t="s">
        <v>4034</v>
      </c>
      <c r="D1457" s="48">
        <v>28192</v>
      </c>
      <c r="E1457" s="49">
        <f t="shared" ref="E1457:E1482" ca="1" si="48">IF(D1457="","",YEARFRAC(D1457,TODAY(),1))</f>
        <v>49.31278063738911</v>
      </c>
      <c r="F1457" s="50">
        <v>154907879</v>
      </c>
      <c r="G1457" s="51" t="s">
        <v>86</v>
      </c>
      <c r="I1457" s="52" t="s">
        <v>3999</v>
      </c>
      <c r="J1457" s="46" t="s">
        <v>4035</v>
      </c>
      <c r="M1457" s="58" t="s">
        <v>25</v>
      </c>
      <c r="N1457" s="46">
        <v>4220757</v>
      </c>
      <c r="P1457" s="46">
        <v>1</v>
      </c>
    </row>
    <row r="1458" spans="1:21">
      <c r="A1458" s="47">
        <v>25498126</v>
      </c>
      <c r="B1458" s="46" t="s">
        <v>3857</v>
      </c>
      <c r="C1458" s="52" t="s">
        <v>3858</v>
      </c>
      <c r="D1458" s="48">
        <v>27994</v>
      </c>
      <c r="E1458" s="49">
        <f t="shared" ca="1" si="48"/>
        <v>49.852855915825643</v>
      </c>
      <c r="F1458" s="50">
        <v>154146642</v>
      </c>
      <c r="G1458" s="51" t="s">
        <v>23</v>
      </c>
      <c r="I1458" s="52" t="s">
        <v>3630</v>
      </c>
      <c r="J1458" s="46" t="s">
        <v>220</v>
      </c>
      <c r="M1458" s="53" t="s">
        <v>3859</v>
      </c>
      <c r="N1458" s="55"/>
      <c r="O1458" s="55"/>
    </row>
    <row r="1459" spans="1:21">
      <c r="A1459" s="47">
        <v>25498313</v>
      </c>
      <c r="B1459" s="46" t="s">
        <v>652</v>
      </c>
      <c r="C1459" s="46" t="s">
        <v>1727</v>
      </c>
      <c r="E1459" s="49" t="str">
        <f t="shared" ca="1" si="48"/>
        <v/>
      </c>
      <c r="G1459" s="51" t="s">
        <v>23</v>
      </c>
      <c r="I1459" s="52" t="s">
        <v>1657</v>
      </c>
      <c r="M1459" s="53" t="s">
        <v>1728</v>
      </c>
    </row>
    <row r="1460" spans="1:21">
      <c r="A1460" s="47">
        <v>25498735</v>
      </c>
      <c r="B1460" s="46" t="s">
        <v>4067</v>
      </c>
      <c r="C1460" s="46" t="s">
        <v>6493</v>
      </c>
      <c r="D1460" s="48">
        <v>27932</v>
      </c>
      <c r="E1460" s="49">
        <f t="shared" ca="1" si="48"/>
        <v>50.022600386514924</v>
      </c>
      <c r="F1460" s="50">
        <v>155948179</v>
      </c>
      <c r="G1460" s="51" t="s">
        <v>70</v>
      </c>
      <c r="I1460" s="62" t="s">
        <v>6489</v>
      </c>
      <c r="J1460" s="46" t="s">
        <v>38</v>
      </c>
      <c r="M1460" s="53" t="s">
        <v>6494</v>
      </c>
      <c r="N1460" s="46">
        <v>4229118</v>
      </c>
      <c r="O1460" s="46">
        <v>201</v>
      </c>
    </row>
    <row r="1461" spans="1:21">
      <c r="A1461" s="47">
        <v>25498806</v>
      </c>
      <c r="B1461" s="46" t="s">
        <v>6141</v>
      </c>
      <c r="C1461" s="46" t="s">
        <v>6142</v>
      </c>
      <c r="E1461" s="49" t="str">
        <f t="shared" ca="1" si="48"/>
        <v/>
      </c>
      <c r="G1461" s="51" t="s">
        <v>23</v>
      </c>
      <c r="I1461" s="52" t="s">
        <v>23</v>
      </c>
      <c r="M1461" s="58" t="s">
        <v>25</v>
      </c>
    </row>
    <row r="1462" spans="1:21">
      <c r="A1462" s="47">
        <v>25498927</v>
      </c>
      <c r="B1462" s="46" t="s">
        <v>5444</v>
      </c>
      <c r="C1462" s="46" t="s">
        <v>5445</v>
      </c>
      <c r="D1462" s="48" t="s">
        <v>52</v>
      </c>
      <c r="E1462" s="49" t="str">
        <f t="shared" ca="1" si="48"/>
        <v/>
      </c>
      <c r="F1462" s="50" t="s">
        <v>5446</v>
      </c>
      <c r="G1462" s="51" t="s">
        <v>70</v>
      </c>
      <c r="H1462" s="52" t="s">
        <v>52</v>
      </c>
      <c r="I1462" s="52" t="s">
        <v>5304</v>
      </c>
      <c r="J1462" s="46" t="s">
        <v>5447</v>
      </c>
      <c r="K1462" s="46" t="s">
        <v>81</v>
      </c>
      <c r="L1462" s="46" t="s">
        <v>546</v>
      </c>
      <c r="M1462" s="52" t="s">
        <v>5448</v>
      </c>
      <c r="N1462" s="46" t="s">
        <v>5449</v>
      </c>
      <c r="O1462" s="46" t="s">
        <v>5450</v>
      </c>
      <c r="P1462" s="46" t="s">
        <v>59</v>
      </c>
      <c r="Q1462" s="46" t="s">
        <v>60</v>
      </c>
      <c r="R1462" s="46" t="s">
        <v>61</v>
      </c>
      <c r="S1462" s="46" t="s">
        <v>62</v>
      </c>
      <c r="T1462" s="46" t="s">
        <v>12</v>
      </c>
      <c r="U1462" s="46" t="s">
        <v>63</v>
      </c>
    </row>
    <row r="1463" spans="1:21">
      <c r="A1463" s="47">
        <v>25498993</v>
      </c>
      <c r="B1463" s="46" t="s">
        <v>511</v>
      </c>
      <c r="C1463" s="46" t="s">
        <v>5871</v>
      </c>
      <c r="D1463" s="48" t="s">
        <v>52</v>
      </c>
      <c r="E1463" s="49" t="str">
        <f t="shared" ca="1" si="48"/>
        <v/>
      </c>
      <c r="F1463" s="50" t="s">
        <v>5872</v>
      </c>
      <c r="G1463" s="51" t="s">
        <v>70</v>
      </c>
      <c r="H1463" s="52" t="s">
        <v>5873</v>
      </c>
      <c r="I1463" s="52" t="s">
        <v>5863</v>
      </c>
      <c r="J1463" s="46" t="s">
        <v>5874</v>
      </c>
      <c r="K1463" s="46" t="s">
        <v>81</v>
      </c>
      <c r="L1463" s="46" t="s">
        <v>52</v>
      </c>
      <c r="M1463" s="53" t="s">
        <v>5875</v>
      </c>
      <c r="N1463" s="46" t="s">
        <v>52</v>
      </c>
      <c r="O1463" s="46" t="s">
        <v>5865</v>
      </c>
      <c r="P1463" s="46" t="s">
        <v>59</v>
      </c>
      <c r="Q1463" s="46" t="s">
        <v>60</v>
      </c>
      <c r="R1463" s="46" t="s">
        <v>61</v>
      </c>
      <c r="S1463" s="46" t="s">
        <v>62</v>
      </c>
      <c r="T1463" s="46" t="s">
        <v>12</v>
      </c>
      <c r="U1463" s="46" t="s">
        <v>63</v>
      </c>
    </row>
    <row r="1464" spans="1:21">
      <c r="A1464" s="47">
        <v>25503354</v>
      </c>
      <c r="B1464" s="46" t="s">
        <v>742</v>
      </c>
      <c r="C1464" s="52" t="s">
        <v>5698</v>
      </c>
      <c r="D1464" s="48">
        <v>28049</v>
      </c>
      <c r="E1464" s="49">
        <f t="shared" ca="1" si="48"/>
        <v>49.702276143439981</v>
      </c>
      <c r="F1464" s="50">
        <v>155971486</v>
      </c>
      <c r="G1464" s="51" t="s">
        <v>23</v>
      </c>
      <c r="I1464" s="52" t="s">
        <v>5494</v>
      </c>
      <c r="J1464" s="46" t="s">
        <v>238</v>
      </c>
      <c r="M1464" s="53" t="s">
        <v>5699</v>
      </c>
      <c r="N1464" s="55"/>
      <c r="O1464" s="55"/>
    </row>
    <row r="1465" spans="1:21">
      <c r="A1465" s="47">
        <v>25510655</v>
      </c>
      <c r="B1465" s="46" t="s">
        <v>5589</v>
      </c>
      <c r="C1465" s="46" t="s">
        <v>1103</v>
      </c>
      <c r="D1465" s="48">
        <v>28162</v>
      </c>
      <c r="E1465" s="49">
        <f t="shared" ca="1" si="48"/>
        <v>49.394918409812725</v>
      </c>
      <c r="F1465" s="50">
        <v>155016327</v>
      </c>
      <c r="G1465" s="51" t="s">
        <v>70</v>
      </c>
      <c r="I1465" s="52" t="s">
        <v>5494</v>
      </c>
      <c r="M1465" s="53" t="s">
        <v>5590</v>
      </c>
      <c r="N1465" s="46">
        <v>4975928</v>
      </c>
      <c r="P1465" s="46">
        <v>1</v>
      </c>
    </row>
    <row r="1466" spans="1:21">
      <c r="A1466" s="47">
        <v>25542010</v>
      </c>
      <c r="B1466" s="46" t="s">
        <v>5793</v>
      </c>
      <c r="C1466" s="46" t="s">
        <v>6602</v>
      </c>
      <c r="D1466" s="48" t="s">
        <v>52</v>
      </c>
      <c r="E1466" s="49" t="str">
        <f t="shared" ca="1" si="48"/>
        <v/>
      </c>
      <c r="F1466" s="50" t="s">
        <v>6603</v>
      </c>
      <c r="G1466" s="51" t="s">
        <v>141</v>
      </c>
      <c r="H1466" s="52" t="s">
        <v>52</v>
      </c>
      <c r="I1466" s="52" t="s">
        <v>5304</v>
      </c>
      <c r="J1466" s="46" t="s">
        <v>6604</v>
      </c>
      <c r="K1466" s="46" t="s">
        <v>81</v>
      </c>
      <c r="L1466" s="46" t="s">
        <v>52</v>
      </c>
      <c r="M1466" s="52" t="s">
        <v>6605</v>
      </c>
      <c r="N1466" s="46" t="s">
        <v>52</v>
      </c>
      <c r="O1466" s="46" t="s">
        <v>52</v>
      </c>
      <c r="P1466" s="46" t="s">
        <v>59</v>
      </c>
      <c r="Q1466" s="46" t="s">
        <v>60</v>
      </c>
      <c r="R1466" s="46" t="s">
        <v>61</v>
      </c>
      <c r="S1466" s="46" t="s">
        <v>62</v>
      </c>
      <c r="T1466" s="46" t="s">
        <v>12</v>
      </c>
      <c r="U1466" s="46" t="s">
        <v>63</v>
      </c>
    </row>
    <row r="1467" spans="1:21">
      <c r="A1467" s="47">
        <v>25542020</v>
      </c>
      <c r="B1467" s="46" t="s">
        <v>3189</v>
      </c>
      <c r="C1467" s="52" t="s">
        <v>455</v>
      </c>
      <c r="D1467" s="48">
        <v>28026</v>
      </c>
      <c r="E1467" s="49">
        <f t="shared" ca="1" si="48"/>
        <v>49.765245866437624</v>
      </c>
      <c r="F1467" s="50">
        <v>155293390</v>
      </c>
      <c r="G1467" s="51" t="s">
        <v>23</v>
      </c>
      <c r="I1467" s="52" t="s">
        <v>3166</v>
      </c>
      <c r="J1467" s="46" t="s">
        <v>2002</v>
      </c>
      <c r="M1467" s="53" t="s">
        <v>3190</v>
      </c>
      <c r="N1467" s="55">
        <v>4006858</v>
      </c>
      <c r="O1467" s="55">
        <v>59</v>
      </c>
    </row>
    <row r="1468" spans="1:21">
      <c r="A1468" s="47">
        <v>25542067</v>
      </c>
      <c r="B1468" s="46" t="s">
        <v>2472</v>
      </c>
      <c r="C1468" s="52" t="s">
        <v>1208</v>
      </c>
      <c r="E1468" s="49" t="str">
        <f t="shared" ca="1" si="48"/>
        <v/>
      </c>
      <c r="F1468" s="50">
        <v>4518088</v>
      </c>
      <c r="G1468" s="51" t="s">
        <v>23</v>
      </c>
      <c r="I1468" s="52" t="s">
        <v>3922</v>
      </c>
      <c r="J1468" s="55" t="s">
        <v>205</v>
      </c>
      <c r="K1468" s="55"/>
      <c r="L1468" s="55"/>
      <c r="M1468" s="53" t="s">
        <v>2474</v>
      </c>
      <c r="N1468" s="55"/>
      <c r="O1468" s="55"/>
    </row>
    <row r="1469" spans="1:21">
      <c r="A1469" s="47">
        <v>25542289</v>
      </c>
      <c r="B1469" s="46" t="s">
        <v>1190</v>
      </c>
      <c r="C1469" s="46" t="s">
        <v>2209</v>
      </c>
      <c r="D1469" s="48">
        <v>28061</v>
      </c>
      <c r="E1469" s="49">
        <f t="shared" ca="1" si="48"/>
        <v>49.669422374919478</v>
      </c>
      <c r="F1469" s="50">
        <v>156617928</v>
      </c>
      <c r="G1469" s="51" t="s">
        <v>141</v>
      </c>
      <c r="I1469" s="52" t="s">
        <v>1881</v>
      </c>
      <c r="J1469" s="46" t="s">
        <v>2210</v>
      </c>
      <c r="M1469" s="53" t="s">
        <v>2211</v>
      </c>
      <c r="N1469" s="46">
        <v>4107572</v>
      </c>
      <c r="O1469" s="46">
        <v>7572</v>
      </c>
      <c r="P1469" s="46" t="s">
        <v>1092</v>
      </c>
    </row>
    <row r="1470" spans="1:21">
      <c r="A1470" s="60">
        <v>25542406</v>
      </c>
      <c r="B1470" s="61" t="s">
        <v>184</v>
      </c>
      <c r="C1470" s="62" t="s">
        <v>2123</v>
      </c>
      <c r="D1470" s="48">
        <v>28068</v>
      </c>
      <c r="E1470" s="49">
        <f t="shared" ca="1" si="48"/>
        <v>49.650257676615851</v>
      </c>
      <c r="F1470" s="63"/>
      <c r="G1470" s="51" t="s">
        <v>23</v>
      </c>
      <c r="I1470" s="52" t="s">
        <v>3427</v>
      </c>
      <c r="J1470" s="61" t="s">
        <v>48</v>
      </c>
      <c r="K1470" s="61"/>
      <c r="L1470" s="61"/>
      <c r="M1470" s="53" t="s">
        <v>3439</v>
      </c>
      <c r="N1470" s="55"/>
      <c r="O1470" s="55"/>
    </row>
    <row r="1471" spans="1:21">
      <c r="A1471" s="47">
        <v>25542467</v>
      </c>
      <c r="B1471" s="46" t="s">
        <v>2472</v>
      </c>
      <c r="C1471" s="52" t="s">
        <v>2473</v>
      </c>
      <c r="E1471" s="49" t="str">
        <f t="shared" ca="1" si="48"/>
        <v/>
      </c>
      <c r="F1471" s="50">
        <v>156404204</v>
      </c>
      <c r="G1471" s="51" t="s">
        <v>70</v>
      </c>
      <c r="I1471" s="59" t="s">
        <v>908</v>
      </c>
      <c r="J1471" s="46" t="s">
        <v>48</v>
      </c>
      <c r="M1471" s="53" t="s">
        <v>2474</v>
      </c>
      <c r="N1471" s="55"/>
      <c r="O1471" s="55"/>
    </row>
    <row r="1472" spans="1:21">
      <c r="A1472" s="47">
        <v>25542562</v>
      </c>
      <c r="B1472" s="46" t="s">
        <v>2422</v>
      </c>
      <c r="C1472" s="46" t="s">
        <v>1173</v>
      </c>
      <c r="D1472" s="48">
        <v>28084</v>
      </c>
      <c r="E1472" s="49">
        <f t="shared" ca="1" si="48"/>
        <v>49.606452651921842</v>
      </c>
      <c r="F1472" s="50">
        <v>153301549</v>
      </c>
      <c r="G1472" s="51" t="s">
        <v>70</v>
      </c>
      <c r="I1472" s="52" t="s">
        <v>3327</v>
      </c>
      <c r="J1472" s="46" t="s">
        <v>3378</v>
      </c>
      <c r="M1472" s="53" t="s">
        <v>3379</v>
      </c>
      <c r="N1472" s="46">
        <v>4353681</v>
      </c>
      <c r="O1472" s="46">
        <v>101</v>
      </c>
      <c r="P1472" s="46">
        <v>3</v>
      </c>
    </row>
    <row r="1473" spans="1:21">
      <c r="A1473" s="47">
        <v>25542771</v>
      </c>
      <c r="B1473" s="69" t="s">
        <v>5804</v>
      </c>
      <c r="C1473" s="52" t="s">
        <v>5805</v>
      </c>
      <c r="D1473" s="48">
        <v>28109</v>
      </c>
      <c r="E1473" s="49">
        <f t="shared" ca="1" si="48"/>
        <v>49.53800730083745</v>
      </c>
      <c r="G1473" s="51" t="s">
        <v>37</v>
      </c>
      <c r="I1473" s="52" t="s">
        <v>5761</v>
      </c>
      <c r="J1473" s="46" t="s">
        <v>5806</v>
      </c>
      <c r="M1473" s="53" t="s">
        <v>5807</v>
      </c>
      <c r="N1473" s="55"/>
      <c r="O1473" s="55"/>
    </row>
    <row r="1474" spans="1:21">
      <c r="A1474" s="47">
        <v>25543368</v>
      </c>
      <c r="B1474" s="46" t="s">
        <v>2622</v>
      </c>
      <c r="C1474" s="55" t="s">
        <v>4220</v>
      </c>
      <c r="D1474" s="48">
        <v>28049</v>
      </c>
      <c r="E1474" s="49">
        <f t="shared" ca="1" si="48"/>
        <v>49.702276143439981</v>
      </c>
      <c r="F1474" s="50">
        <v>154444208</v>
      </c>
      <c r="G1474" s="51" t="s">
        <v>141</v>
      </c>
      <c r="I1474" s="52" t="s">
        <v>4181</v>
      </c>
      <c r="J1474" s="55"/>
      <c r="K1474" s="55"/>
      <c r="L1474" s="55"/>
      <c r="M1474" s="53" t="s">
        <v>4221</v>
      </c>
      <c r="N1474" s="55">
        <v>4107225</v>
      </c>
      <c r="O1474" s="55"/>
    </row>
    <row r="1475" spans="1:21">
      <c r="A1475" s="47">
        <v>25559253</v>
      </c>
      <c r="B1475" s="46" t="s">
        <v>435</v>
      </c>
      <c r="C1475" s="46" t="s">
        <v>436</v>
      </c>
      <c r="D1475" s="48" t="s">
        <v>437</v>
      </c>
      <c r="E1475" s="49">
        <f t="shared" ca="1" si="48"/>
        <v>49.606452651921842</v>
      </c>
      <c r="F1475" s="50" t="s">
        <v>438</v>
      </c>
      <c r="G1475" s="51" t="s">
        <v>70</v>
      </c>
      <c r="H1475" s="52" t="s">
        <v>439</v>
      </c>
      <c r="I1475" s="52" t="s">
        <v>24</v>
      </c>
      <c r="J1475" s="46" t="s">
        <v>440</v>
      </c>
      <c r="K1475" s="46" t="s">
        <v>390</v>
      </c>
      <c r="L1475" s="46" t="s">
        <v>441</v>
      </c>
      <c r="M1475" s="53" t="s">
        <v>442</v>
      </c>
      <c r="N1475" s="46" t="s">
        <v>52</v>
      </c>
      <c r="O1475" s="46" t="s">
        <v>52</v>
      </c>
      <c r="P1475" s="46" t="s">
        <v>59</v>
      </c>
      <c r="Q1475" s="46" t="s">
        <v>60</v>
      </c>
      <c r="R1475" s="46" t="s">
        <v>61</v>
      </c>
      <c r="S1475" s="46" t="s">
        <v>62</v>
      </c>
      <c r="T1475" s="46" t="s">
        <v>12</v>
      </c>
      <c r="U1475" s="46" t="s">
        <v>63</v>
      </c>
    </row>
    <row r="1476" spans="1:21">
      <c r="A1476" s="64">
        <v>25577897</v>
      </c>
      <c r="B1476" s="61" t="s">
        <v>1032</v>
      </c>
      <c r="C1476" s="62" t="s">
        <v>1033</v>
      </c>
      <c r="D1476" s="48">
        <v>28145</v>
      </c>
      <c r="E1476" s="49">
        <f t="shared" ca="1" si="48"/>
        <v>49.441463147519435</v>
      </c>
      <c r="F1476" s="63">
        <v>156417436</v>
      </c>
      <c r="G1476" s="51" t="s">
        <v>23</v>
      </c>
      <c r="I1476" s="59" t="s">
        <v>908</v>
      </c>
      <c r="J1476" s="61" t="s">
        <v>1034</v>
      </c>
      <c r="K1476" s="61"/>
      <c r="L1476" s="61"/>
      <c r="M1476" s="53" t="s">
        <v>1035</v>
      </c>
      <c r="N1476" s="55"/>
      <c r="O1476" s="55"/>
    </row>
    <row r="1477" spans="1:21">
      <c r="A1477" s="47">
        <v>25596546</v>
      </c>
      <c r="B1477" s="46" t="s">
        <v>921</v>
      </c>
      <c r="C1477" s="52" t="s">
        <v>922</v>
      </c>
      <c r="E1477" s="49" t="str">
        <f t="shared" ca="1" si="48"/>
        <v/>
      </c>
      <c r="G1477" s="51" t="s">
        <v>23</v>
      </c>
      <c r="I1477" s="59" t="s">
        <v>908</v>
      </c>
      <c r="M1477" s="53" t="s">
        <v>923</v>
      </c>
      <c r="N1477" s="55"/>
      <c r="O1477" s="55"/>
    </row>
    <row r="1478" spans="1:21">
      <c r="A1478" s="47">
        <v>25653571</v>
      </c>
      <c r="B1478" s="46" t="s">
        <v>1160</v>
      </c>
      <c r="C1478" s="46" t="s">
        <v>1161</v>
      </c>
      <c r="D1478" s="48">
        <v>28164</v>
      </c>
      <c r="E1478" s="49">
        <f t="shared" ca="1" si="48"/>
        <v>49.389442558317818</v>
      </c>
      <c r="F1478" s="50">
        <v>154122828</v>
      </c>
      <c r="G1478" s="51" t="s">
        <v>78</v>
      </c>
      <c r="I1478" s="59" t="s">
        <v>908</v>
      </c>
      <c r="J1478" s="46" t="s">
        <v>357</v>
      </c>
      <c r="M1478" s="53" t="s">
        <v>1162</v>
      </c>
      <c r="N1478" s="46">
        <v>4247752</v>
      </c>
      <c r="O1478" s="46">
        <v>7096</v>
      </c>
    </row>
    <row r="1479" spans="1:21">
      <c r="A1479" s="47">
        <v>25709455</v>
      </c>
      <c r="B1479" s="46" t="s">
        <v>5643</v>
      </c>
      <c r="C1479" s="46" t="s">
        <v>5644</v>
      </c>
      <c r="D1479" s="48" t="s">
        <v>5645</v>
      </c>
      <c r="E1479" s="49">
        <f t="shared" ca="1" si="48"/>
        <v>49.438725221771982</v>
      </c>
      <c r="F1479" s="50" t="s">
        <v>5646</v>
      </c>
      <c r="G1479" s="51" t="s">
        <v>70</v>
      </c>
      <c r="H1479" s="52" t="s">
        <v>3231</v>
      </c>
      <c r="I1479" s="52" t="s">
        <v>5494</v>
      </c>
      <c r="J1479" s="46" t="s">
        <v>1344</v>
      </c>
      <c r="K1479" s="46" t="s">
        <v>81</v>
      </c>
      <c r="L1479" s="46" t="s">
        <v>52</v>
      </c>
      <c r="M1479" s="53" t="s">
        <v>5647</v>
      </c>
      <c r="N1479" s="46" t="s">
        <v>5648</v>
      </c>
      <c r="O1479" s="46" t="s">
        <v>52</v>
      </c>
      <c r="P1479" s="46" t="s">
        <v>59</v>
      </c>
      <c r="Q1479" s="46" t="s">
        <v>60</v>
      </c>
      <c r="R1479" s="46" t="s">
        <v>61</v>
      </c>
      <c r="S1479" s="46" t="s">
        <v>62</v>
      </c>
      <c r="T1479" s="46" t="s">
        <v>12</v>
      </c>
      <c r="U1479" s="46" t="s">
        <v>63</v>
      </c>
    </row>
    <row r="1480" spans="1:21">
      <c r="A1480" s="47">
        <v>25719517</v>
      </c>
      <c r="B1480" s="46" t="s">
        <v>134</v>
      </c>
      <c r="C1480" s="46" t="s">
        <v>135</v>
      </c>
      <c r="D1480" s="48">
        <v>28293</v>
      </c>
      <c r="E1480" s="49">
        <f t="shared" ca="1" si="48"/>
        <v>49.036250136896285</v>
      </c>
      <c r="F1480" s="50">
        <v>154134132</v>
      </c>
      <c r="G1480" s="51" t="s">
        <v>86</v>
      </c>
      <c r="I1480" s="52" t="s">
        <v>24</v>
      </c>
      <c r="J1480" s="46" t="s">
        <v>132</v>
      </c>
      <c r="M1480" s="53" t="s">
        <v>136</v>
      </c>
      <c r="N1480" s="50" t="s">
        <v>137</v>
      </c>
    </row>
    <row r="1481" spans="1:21">
      <c r="A1481" s="47">
        <v>25721474</v>
      </c>
      <c r="B1481" s="46" t="s">
        <v>595</v>
      </c>
      <c r="C1481" s="52" t="s">
        <v>1496</v>
      </c>
      <c r="D1481" s="48">
        <v>29706</v>
      </c>
      <c r="E1481" s="49">
        <f t="shared" ca="1" si="48"/>
        <v>45.167668591155284</v>
      </c>
      <c r="F1481" s="50">
        <v>155496441</v>
      </c>
      <c r="G1481" s="51" t="s">
        <v>23</v>
      </c>
      <c r="I1481" s="52" t="s">
        <v>1497</v>
      </c>
      <c r="J1481" s="71"/>
      <c r="K1481" s="71"/>
      <c r="L1481" s="71"/>
      <c r="M1481" s="53" t="s">
        <v>1498</v>
      </c>
      <c r="N1481" s="55"/>
      <c r="O1481" s="55"/>
    </row>
    <row r="1482" spans="1:21">
      <c r="A1482" s="47">
        <v>25734543</v>
      </c>
      <c r="B1482" s="46" t="s">
        <v>5420</v>
      </c>
      <c r="C1482" s="46" t="s">
        <v>5421</v>
      </c>
      <c r="D1482" s="48" t="s">
        <v>52</v>
      </c>
      <c r="E1482" s="49" t="str">
        <f t="shared" ca="1" si="48"/>
        <v/>
      </c>
      <c r="F1482" s="50" t="s">
        <v>5422</v>
      </c>
      <c r="G1482" s="51" t="s">
        <v>141</v>
      </c>
      <c r="H1482" s="52" t="s">
        <v>52</v>
      </c>
      <c r="I1482" s="52" t="s">
        <v>5304</v>
      </c>
      <c r="J1482" s="46" t="s">
        <v>5423</v>
      </c>
      <c r="K1482" s="46" t="s">
        <v>81</v>
      </c>
      <c r="L1482" s="46" t="s">
        <v>52</v>
      </c>
      <c r="M1482" s="53" t="s">
        <v>5424</v>
      </c>
      <c r="N1482" s="46" t="s">
        <v>2700</v>
      </c>
      <c r="O1482" s="46" t="s">
        <v>52</v>
      </c>
      <c r="P1482" s="46" t="s">
        <v>59</v>
      </c>
      <c r="Q1482" s="46" t="s">
        <v>60</v>
      </c>
      <c r="R1482" s="46" t="s">
        <v>61</v>
      </c>
      <c r="S1482" s="46" t="s">
        <v>62</v>
      </c>
      <c r="T1482" s="46" t="s">
        <v>12</v>
      </c>
      <c r="U1482" s="46" t="s">
        <v>63</v>
      </c>
    </row>
    <row r="1483" spans="1:21">
      <c r="A1483" s="74">
        <v>25734593</v>
      </c>
      <c r="B1483" s="234" t="s">
        <v>9148</v>
      </c>
      <c r="C1483" s="234" t="s">
        <v>9149</v>
      </c>
      <c r="D1483" s="235">
        <v>28126</v>
      </c>
      <c r="E1483" s="236"/>
      <c r="F1483" s="237">
        <v>3815398090</v>
      </c>
      <c r="G1483" s="234" t="s">
        <v>70</v>
      </c>
      <c r="H1483" s="238" t="s">
        <v>5435</v>
      </c>
      <c r="I1483" s="238" t="s">
        <v>908</v>
      </c>
      <c r="J1483" s="234" t="s">
        <v>10008</v>
      </c>
      <c r="K1483" s="234" t="s">
        <v>2002</v>
      </c>
      <c r="L1483" s="234"/>
      <c r="M1483" s="238" t="s">
        <v>9941</v>
      </c>
      <c r="N1483" s="234"/>
      <c r="O1483" s="234"/>
      <c r="P1483" s="234"/>
      <c r="Q1483" s="234"/>
      <c r="R1483" s="234"/>
      <c r="S1483" s="234"/>
      <c r="T1483" s="234"/>
      <c r="U1483" s="234"/>
    </row>
    <row r="1484" spans="1:21">
      <c r="A1484" s="75">
        <v>25734719</v>
      </c>
      <c r="B1484" s="46" t="s">
        <v>2026</v>
      </c>
      <c r="C1484" s="52" t="s">
        <v>2029</v>
      </c>
      <c r="D1484" s="48">
        <v>28137</v>
      </c>
      <c r="E1484" s="49">
        <f t="shared" ref="E1484:E1511" ca="1" si="49">IF(D1484="","",YEARFRAC(D1484,TODAY(),1))</f>
        <v>49.463366553499071</v>
      </c>
      <c r="F1484" s="72">
        <v>155086687</v>
      </c>
      <c r="G1484" s="51" t="s">
        <v>23</v>
      </c>
      <c r="I1484" s="52" t="s">
        <v>1881</v>
      </c>
      <c r="J1484" s="76" t="s">
        <v>2030</v>
      </c>
      <c r="K1484" s="76"/>
      <c r="L1484" s="76"/>
      <c r="M1484" s="77" t="s">
        <v>2031</v>
      </c>
      <c r="N1484" s="55"/>
      <c r="O1484" s="55"/>
    </row>
    <row r="1485" spans="1:21">
      <c r="A1485" s="64">
        <v>25734945</v>
      </c>
      <c r="B1485" s="61" t="s">
        <v>6236</v>
      </c>
      <c r="C1485" s="62" t="s">
        <v>6237</v>
      </c>
      <c r="D1485" s="48">
        <v>28154</v>
      </c>
      <c r="E1485" s="49">
        <f t="shared" ca="1" si="49"/>
        <v>49.416821815792353</v>
      </c>
      <c r="F1485" s="63">
        <v>155625587</v>
      </c>
      <c r="G1485" s="51" t="s">
        <v>23</v>
      </c>
      <c r="I1485" s="52" t="s">
        <v>23</v>
      </c>
      <c r="J1485" s="61" t="s">
        <v>48</v>
      </c>
      <c r="K1485" s="61"/>
      <c r="L1485" s="61"/>
      <c r="M1485" s="53" t="s">
        <v>6238</v>
      </c>
      <c r="N1485" s="55"/>
      <c r="O1485" s="55"/>
    </row>
    <row r="1486" spans="1:21">
      <c r="A1486" s="47">
        <v>25735232</v>
      </c>
      <c r="B1486" s="46" t="s">
        <v>875</v>
      </c>
      <c r="C1486" s="46" t="s">
        <v>5286</v>
      </c>
      <c r="D1486" s="48" t="s">
        <v>5287</v>
      </c>
      <c r="E1486" s="49">
        <f t="shared" ca="1" si="49"/>
        <v>49.340159894863653</v>
      </c>
      <c r="F1486" s="50" t="s">
        <v>5288</v>
      </c>
      <c r="G1486" s="51" t="s">
        <v>141</v>
      </c>
      <c r="H1486" s="52" t="s">
        <v>52</v>
      </c>
      <c r="I1486" s="52" t="s">
        <v>5259</v>
      </c>
      <c r="J1486" s="46" t="s">
        <v>2089</v>
      </c>
      <c r="K1486" s="46" t="s">
        <v>1206</v>
      </c>
      <c r="L1486" s="46" t="s">
        <v>1241</v>
      </c>
      <c r="M1486" s="52" t="s">
        <v>5289</v>
      </c>
      <c r="N1486" s="46" t="s">
        <v>5157</v>
      </c>
      <c r="O1486" s="46" t="s">
        <v>52</v>
      </c>
      <c r="P1486" s="46" t="s">
        <v>59</v>
      </c>
      <c r="Q1486" s="46" t="s">
        <v>60</v>
      </c>
      <c r="R1486" s="46" t="s">
        <v>61</v>
      </c>
      <c r="S1486" s="46" t="s">
        <v>62</v>
      </c>
      <c r="T1486" s="46" t="s">
        <v>12</v>
      </c>
      <c r="U1486" s="46" t="s">
        <v>63</v>
      </c>
    </row>
    <row r="1487" spans="1:21">
      <c r="A1487" s="47">
        <v>25735261</v>
      </c>
      <c r="B1487" s="46" t="s">
        <v>2912</v>
      </c>
      <c r="C1487" s="46" t="s">
        <v>2913</v>
      </c>
      <c r="D1487" s="48" t="s">
        <v>52</v>
      </c>
      <c r="E1487" s="49" t="str">
        <f t="shared" ca="1" si="49"/>
        <v/>
      </c>
      <c r="F1487" s="50" t="s">
        <v>2914</v>
      </c>
      <c r="G1487" s="51" t="s">
        <v>78</v>
      </c>
      <c r="H1487" s="52" t="s">
        <v>52</v>
      </c>
      <c r="I1487" s="52" t="s">
        <v>2915</v>
      </c>
      <c r="J1487" s="46" t="s">
        <v>2916</v>
      </c>
      <c r="K1487" s="46" t="s">
        <v>81</v>
      </c>
      <c r="L1487" s="46" t="s">
        <v>52</v>
      </c>
      <c r="M1487" s="53" t="s">
        <v>2917</v>
      </c>
      <c r="N1487" s="46" t="s">
        <v>2918</v>
      </c>
      <c r="O1487" s="46" t="s">
        <v>52</v>
      </c>
      <c r="P1487" s="46" t="s">
        <v>59</v>
      </c>
      <c r="Q1487" s="46" t="s">
        <v>60</v>
      </c>
      <c r="R1487" s="46" t="s">
        <v>61</v>
      </c>
      <c r="S1487" s="46" t="s">
        <v>62</v>
      </c>
      <c r="T1487" s="46" t="s">
        <v>12</v>
      </c>
      <c r="U1487" s="46" t="s">
        <v>63</v>
      </c>
    </row>
    <row r="1488" spans="1:21">
      <c r="A1488" s="47">
        <v>25735347</v>
      </c>
      <c r="B1488" s="46" t="s">
        <v>6509</v>
      </c>
      <c r="C1488" s="46" t="s">
        <v>6510</v>
      </c>
      <c r="E1488" s="49" t="str">
        <f t="shared" ca="1" si="49"/>
        <v/>
      </c>
      <c r="F1488" s="50">
        <v>155167461</v>
      </c>
      <c r="G1488" s="51" t="s">
        <v>23</v>
      </c>
      <c r="I1488" s="65" t="s">
        <v>6504</v>
      </c>
      <c r="M1488" s="53" t="s">
        <v>6511</v>
      </c>
    </row>
    <row r="1489" spans="1:21">
      <c r="A1489" s="47">
        <v>25735585</v>
      </c>
      <c r="B1489" s="46" t="s">
        <v>6205</v>
      </c>
      <c r="C1489" s="52" t="s">
        <v>1785</v>
      </c>
      <c r="D1489" s="48">
        <v>27782</v>
      </c>
      <c r="E1489" s="49">
        <f t="shared" ca="1" si="49"/>
        <v>50.433272493021256</v>
      </c>
      <c r="F1489" s="50">
        <v>155092969</v>
      </c>
      <c r="G1489" s="51" t="s">
        <v>23</v>
      </c>
      <c r="I1489" s="52" t="s">
        <v>23</v>
      </c>
      <c r="J1489" s="46" t="s">
        <v>38</v>
      </c>
      <c r="M1489" s="53" t="s">
        <v>6206</v>
      </c>
      <c r="N1489" s="55">
        <v>4107283</v>
      </c>
      <c r="O1489" s="55">
        <v>7146</v>
      </c>
    </row>
    <row r="1490" spans="1:21">
      <c r="A1490" s="47">
        <v>25735665</v>
      </c>
      <c r="B1490" s="46" t="s">
        <v>734</v>
      </c>
      <c r="C1490" s="46" t="s">
        <v>737</v>
      </c>
      <c r="D1490" s="48">
        <v>28145</v>
      </c>
      <c r="E1490" s="49">
        <f t="shared" ca="1" si="49"/>
        <v>49.441463147519435</v>
      </c>
      <c r="F1490" s="50">
        <v>155302040</v>
      </c>
      <c r="G1490" s="51" t="s">
        <v>70</v>
      </c>
      <c r="I1490" s="52" t="s">
        <v>594</v>
      </c>
      <c r="J1490" s="46" t="s">
        <v>316</v>
      </c>
      <c r="M1490" s="53" t="s">
        <v>738</v>
      </c>
    </row>
    <row r="1491" spans="1:21">
      <c r="A1491" s="47">
        <v>25735768</v>
      </c>
      <c r="B1491" s="46" t="s">
        <v>5718</v>
      </c>
      <c r="C1491" s="46" t="s">
        <v>2643</v>
      </c>
      <c r="D1491" s="48">
        <v>28157</v>
      </c>
      <c r="E1491" s="49">
        <f t="shared" ca="1" si="49"/>
        <v>49.408608038549993</v>
      </c>
      <c r="F1491" s="50">
        <v>154159887</v>
      </c>
      <c r="G1491" s="51" t="s">
        <v>86</v>
      </c>
      <c r="I1491" s="52" t="s">
        <v>5494</v>
      </c>
      <c r="J1491" s="46" t="s">
        <v>5719</v>
      </c>
      <c r="M1491" s="53" t="s">
        <v>5720</v>
      </c>
      <c r="P1491" s="46">
        <v>4</v>
      </c>
    </row>
    <row r="1492" spans="1:21">
      <c r="A1492" s="47">
        <v>25735799</v>
      </c>
      <c r="B1492" s="46" t="s">
        <v>3874</v>
      </c>
      <c r="C1492" s="52" t="s">
        <v>3875</v>
      </c>
      <c r="D1492" s="48">
        <v>28157</v>
      </c>
      <c r="E1492" s="49">
        <f t="shared" ca="1" si="49"/>
        <v>49.408608038549993</v>
      </c>
      <c r="F1492" s="50">
        <v>154122330</v>
      </c>
      <c r="G1492" s="51" t="s">
        <v>23</v>
      </c>
      <c r="I1492" s="52" t="s">
        <v>3630</v>
      </c>
      <c r="M1492" s="53" t="s">
        <v>3876</v>
      </c>
      <c r="N1492" s="55"/>
      <c r="O1492" s="55"/>
    </row>
    <row r="1493" spans="1:21">
      <c r="A1493" s="47">
        <v>25735833</v>
      </c>
      <c r="B1493" s="46" t="s">
        <v>3622</v>
      </c>
      <c r="C1493" s="52" t="s">
        <v>4184</v>
      </c>
      <c r="D1493" s="48" t="s">
        <v>52</v>
      </c>
      <c r="E1493" s="49" t="str">
        <f t="shared" ca="1" si="49"/>
        <v/>
      </c>
      <c r="F1493" s="50" t="s">
        <v>4185</v>
      </c>
      <c r="G1493" s="51" t="s">
        <v>70</v>
      </c>
      <c r="H1493" s="52" t="s">
        <v>52</v>
      </c>
      <c r="I1493" s="52" t="s">
        <v>4181</v>
      </c>
      <c r="J1493" s="46" t="s">
        <v>3194</v>
      </c>
      <c r="K1493" s="46" t="s">
        <v>390</v>
      </c>
      <c r="L1493" s="46" t="s">
        <v>52</v>
      </c>
      <c r="M1493" s="53" t="s">
        <v>4186</v>
      </c>
      <c r="N1493" s="55" t="s">
        <v>931</v>
      </c>
      <c r="O1493" s="55" t="s">
        <v>4187</v>
      </c>
      <c r="P1493" s="46" t="s">
        <v>59</v>
      </c>
      <c r="Q1493" s="46" t="s">
        <v>60</v>
      </c>
      <c r="R1493" s="46" t="s">
        <v>61</v>
      </c>
      <c r="S1493" s="46" t="s">
        <v>62</v>
      </c>
      <c r="T1493" s="46" t="s">
        <v>12</v>
      </c>
      <c r="U1493" s="46" t="s">
        <v>63</v>
      </c>
    </row>
    <row r="1494" spans="1:21">
      <c r="A1494" s="47">
        <v>25735939</v>
      </c>
      <c r="B1494" s="46" t="s">
        <v>5018</v>
      </c>
      <c r="C1494" s="52" t="s">
        <v>5019</v>
      </c>
      <c r="E1494" s="49" t="str">
        <f t="shared" ca="1" si="49"/>
        <v/>
      </c>
      <c r="F1494" s="50">
        <v>155016317</v>
      </c>
      <c r="G1494" s="51" t="s">
        <v>70</v>
      </c>
      <c r="I1494" s="65" t="s">
        <v>4954</v>
      </c>
      <c r="J1494" s="46" t="s">
        <v>5020</v>
      </c>
      <c r="M1494" s="53" t="s">
        <v>5021</v>
      </c>
      <c r="N1494" s="55" t="s">
        <v>5022</v>
      </c>
      <c r="O1494" s="55"/>
    </row>
    <row r="1495" spans="1:21">
      <c r="A1495" s="47">
        <v>25735971</v>
      </c>
      <c r="B1495" s="46" t="s">
        <v>1482</v>
      </c>
      <c r="C1495" s="46" t="s">
        <v>1483</v>
      </c>
      <c r="D1495" s="48">
        <v>28176</v>
      </c>
      <c r="E1495" s="49">
        <f t="shared" ca="1" si="49"/>
        <v>49.356587449348375</v>
      </c>
      <c r="F1495" s="50">
        <v>155309433</v>
      </c>
      <c r="G1495" s="51" t="s">
        <v>70</v>
      </c>
      <c r="I1495" s="52" t="s">
        <v>1484</v>
      </c>
      <c r="J1495" s="46" t="s">
        <v>1485</v>
      </c>
      <c r="M1495" s="53" t="s">
        <v>1486</v>
      </c>
      <c r="N1495" s="46">
        <v>4247752</v>
      </c>
      <c r="O1495" s="46">
        <v>7138</v>
      </c>
      <c r="P1495" s="46">
        <v>3</v>
      </c>
    </row>
    <row r="1496" spans="1:21">
      <c r="A1496" s="47">
        <v>25735991</v>
      </c>
      <c r="B1496" s="46" t="s">
        <v>5308</v>
      </c>
      <c r="C1496" s="52" t="s">
        <v>5309</v>
      </c>
      <c r="D1496" s="48">
        <v>28189</v>
      </c>
      <c r="E1496" s="49">
        <f t="shared" ca="1" si="49"/>
        <v>49.320994414631471</v>
      </c>
      <c r="F1496" s="50">
        <v>155349392</v>
      </c>
      <c r="G1496" s="51" t="s">
        <v>70</v>
      </c>
      <c r="I1496" s="52" t="s">
        <v>5304</v>
      </c>
      <c r="J1496" s="46" t="s">
        <v>5310</v>
      </c>
      <c r="M1496" s="53" t="s">
        <v>5311</v>
      </c>
      <c r="N1496" s="55">
        <v>4107223</v>
      </c>
      <c r="O1496" s="55"/>
    </row>
    <row r="1497" spans="1:21">
      <c r="A1497" s="47">
        <v>25736369</v>
      </c>
      <c r="B1497" s="46" t="s">
        <v>3389</v>
      </c>
      <c r="C1497" s="55" t="s">
        <v>3390</v>
      </c>
      <c r="D1497" s="48" t="s">
        <v>52</v>
      </c>
      <c r="E1497" s="49" t="str">
        <f t="shared" ca="1" si="49"/>
        <v/>
      </c>
      <c r="F1497" s="50" t="s">
        <v>3391</v>
      </c>
      <c r="G1497" s="51" t="s">
        <v>23</v>
      </c>
      <c r="H1497" s="52" t="s">
        <v>52</v>
      </c>
      <c r="I1497" s="52" t="s">
        <v>3327</v>
      </c>
      <c r="J1497" s="55" t="s">
        <v>224</v>
      </c>
      <c r="K1497" s="55" t="s">
        <v>390</v>
      </c>
      <c r="L1497" s="55" t="s">
        <v>52</v>
      </c>
      <c r="M1497" s="53" t="s">
        <v>3392</v>
      </c>
      <c r="N1497" s="55" t="s">
        <v>3393</v>
      </c>
      <c r="O1497" s="55" t="s">
        <v>52</v>
      </c>
      <c r="P1497" s="46" t="s">
        <v>59</v>
      </c>
      <c r="Q1497" s="46" t="s">
        <v>60</v>
      </c>
      <c r="R1497" s="46" t="s">
        <v>61</v>
      </c>
      <c r="S1497" s="46" t="s">
        <v>62</v>
      </c>
      <c r="T1497" s="46" t="s">
        <v>12</v>
      </c>
      <c r="U1497" s="46" t="s">
        <v>63</v>
      </c>
    </row>
    <row r="1498" spans="1:21">
      <c r="A1498" s="47">
        <v>25741308</v>
      </c>
      <c r="B1498" s="46" t="s">
        <v>4528</v>
      </c>
      <c r="C1498" s="52" t="s">
        <v>4529</v>
      </c>
      <c r="D1498" s="48">
        <v>28147</v>
      </c>
      <c r="E1498" s="49">
        <f t="shared" ca="1" si="49"/>
        <v>49.435987296024528</v>
      </c>
      <c r="F1498" s="50">
        <v>154481238</v>
      </c>
      <c r="G1498" s="51" t="s">
        <v>23</v>
      </c>
      <c r="I1498" s="52" t="s">
        <v>4499</v>
      </c>
      <c r="J1498" s="46" t="s">
        <v>238</v>
      </c>
      <c r="M1498" s="53" t="s">
        <v>4530</v>
      </c>
      <c r="N1498" s="55">
        <v>4107320</v>
      </c>
      <c r="O1498" s="55"/>
    </row>
    <row r="1499" spans="1:21">
      <c r="A1499" s="47">
        <v>25758684</v>
      </c>
      <c r="B1499" s="46" t="s">
        <v>428</v>
      </c>
      <c r="C1499" s="46" t="s">
        <v>1208</v>
      </c>
      <c r="D1499" s="48">
        <v>27830</v>
      </c>
      <c r="E1499" s="49">
        <f t="shared" ca="1" si="49"/>
        <v>50.301857418939235</v>
      </c>
      <c r="F1499" s="50">
        <v>155132151</v>
      </c>
      <c r="G1499" s="51" t="s">
        <v>70</v>
      </c>
      <c r="I1499" s="59" t="s">
        <v>908</v>
      </c>
      <c r="J1499" s="46" t="s">
        <v>1209</v>
      </c>
      <c r="M1499" s="53" t="s">
        <v>1210</v>
      </c>
      <c r="N1499" s="46">
        <v>4247752</v>
      </c>
      <c r="O1499" s="46">
        <v>7063</v>
      </c>
      <c r="P1499" s="46">
        <v>4</v>
      </c>
    </row>
    <row r="1500" spans="1:21">
      <c r="A1500" s="47">
        <v>25783740</v>
      </c>
      <c r="B1500" s="46" t="s">
        <v>948</v>
      </c>
      <c r="C1500" s="46" t="s">
        <v>1632</v>
      </c>
      <c r="D1500" s="48">
        <v>28319</v>
      </c>
      <c r="E1500" s="49">
        <f t="shared" ca="1" si="49"/>
        <v>48.965064067462492</v>
      </c>
      <c r="F1500" s="50">
        <v>156415545</v>
      </c>
      <c r="G1500" s="51" t="s">
        <v>23</v>
      </c>
      <c r="I1500" s="52" t="s">
        <v>2926</v>
      </c>
      <c r="J1500" s="46" t="s">
        <v>38</v>
      </c>
      <c r="M1500" s="53" t="s">
        <v>2930</v>
      </c>
    </row>
    <row r="1501" spans="1:21">
      <c r="A1501" s="47">
        <v>25800534</v>
      </c>
      <c r="B1501" s="46" t="s">
        <v>4868</v>
      </c>
      <c r="C1501" s="46" t="s">
        <v>4869</v>
      </c>
      <c r="D1501" s="48" t="s">
        <v>52</v>
      </c>
      <c r="E1501" s="49" t="str">
        <f t="shared" ca="1" si="49"/>
        <v/>
      </c>
      <c r="F1501" s="50" t="s">
        <v>4870</v>
      </c>
      <c r="G1501" s="51" t="s">
        <v>86</v>
      </c>
      <c r="H1501" s="52" t="s">
        <v>52</v>
      </c>
      <c r="I1501" s="52" t="s">
        <v>4815</v>
      </c>
      <c r="J1501" s="46" t="s">
        <v>38</v>
      </c>
      <c r="K1501" s="46" t="s">
        <v>81</v>
      </c>
      <c r="L1501" s="46" t="s">
        <v>52</v>
      </c>
      <c r="M1501" s="53" t="s">
        <v>4871</v>
      </c>
      <c r="N1501" s="46" t="s">
        <v>4872</v>
      </c>
      <c r="O1501" s="46" t="s">
        <v>4873</v>
      </c>
      <c r="P1501" s="46" t="s">
        <v>59</v>
      </c>
      <c r="Q1501" s="46" t="s">
        <v>60</v>
      </c>
      <c r="R1501" s="46" t="s">
        <v>61</v>
      </c>
      <c r="S1501" s="46" t="s">
        <v>62</v>
      </c>
      <c r="T1501" s="46" t="s">
        <v>12</v>
      </c>
      <c r="U1501" s="46" t="s">
        <v>63</v>
      </c>
    </row>
    <row r="1502" spans="1:21">
      <c r="A1502" s="47">
        <v>25843050</v>
      </c>
      <c r="B1502" s="46" t="s">
        <v>4033</v>
      </c>
      <c r="C1502" s="52" t="s">
        <v>4034</v>
      </c>
      <c r="D1502" s="48" t="s">
        <v>52</v>
      </c>
      <c r="E1502" s="49" t="str">
        <f t="shared" ca="1" si="49"/>
        <v/>
      </c>
      <c r="F1502" s="50" t="s">
        <v>4864</v>
      </c>
      <c r="G1502" s="51" t="s">
        <v>141</v>
      </c>
      <c r="H1502" s="52" t="s">
        <v>52</v>
      </c>
      <c r="I1502" s="52" t="s">
        <v>4815</v>
      </c>
      <c r="J1502" s="46" t="s">
        <v>4865</v>
      </c>
      <c r="K1502" s="46" t="s">
        <v>81</v>
      </c>
      <c r="L1502" s="46" t="s">
        <v>52</v>
      </c>
      <c r="M1502" s="53" t="s">
        <v>4866</v>
      </c>
      <c r="N1502" s="55" t="s">
        <v>4867</v>
      </c>
      <c r="O1502" s="55" t="s">
        <v>52</v>
      </c>
      <c r="P1502" s="46" t="s">
        <v>59</v>
      </c>
      <c r="Q1502" s="46" t="s">
        <v>60</v>
      </c>
      <c r="R1502" s="46" t="s">
        <v>61</v>
      </c>
      <c r="S1502" s="46" t="s">
        <v>62</v>
      </c>
      <c r="T1502" s="46" t="s">
        <v>12</v>
      </c>
      <c r="U1502" s="46" t="s">
        <v>63</v>
      </c>
    </row>
    <row r="1503" spans="1:21">
      <c r="A1503" s="60">
        <v>25843239</v>
      </c>
      <c r="B1503" s="61" t="s">
        <v>4874</v>
      </c>
      <c r="C1503" s="62" t="s">
        <v>4875</v>
      </c>
      <c r="D1503" s="48" t="s">
        <v>4876</v>
      </c>
      <c r="E1503" s="49">
        <f t="shared" ca="1" si="49"/>
        <v>49.260760048187493</v>
      </c>
      <c r="F1503" s="63" t="s">
        <v>4877</v>
      </c>
      <c r="G1503" s="51" t="s">
        <v>70</v>
      </c>
      <c r="H1503" s="52" t="s">
        <v>380</v>
      </c>
      <c r="I1503" s="52" t="s">
        <v>2720</v>
      </c>
      <c r="J1503" s="61" t="s">
        <v>1668</v>
      </c>
      <c r="K1503" s="61" t="s">
        <v>81</v>
      </c>
      <c r="L1503" s="61" t="s">
        <v>52</v>
      </c>
      <c r="M1503" s="53" t="s">
        <v>4878</v>
      </c>
      <c r="N1503" s="55" t="s">
        <v>931</v>
      </c>
      <c r="O1503" s="55" t="s">
        <v>2730</v>
      </c>
      <c r="P1503" s="46" t="s">
        <v>59</v>
      </c>
      <c r="Q1503" s="46" t="s">
        <v>60</v>
      </c>
      <c r="R1503" s="46" t="s">
        <v>61</v>
      </c>
      <c r="S1503" s="46" t="s">
        <v>62</v>
      </c>
      <c r="T1503" s="46" t="s">
        <v>12</v>
      </c>
      <c r="U1503" s="46" t="s">
        <v>63</v>
      </c>
    </row>
    <row r="1504" spans="1:21">
      <c r="A1504" s="47">
        <v>25843275</v>
      </c>
      <c r="B1504" s="46" t="s">
        <v>4199</v>
      </c>
      <c r="C1504" s="52" t="s">
        <v>1591</v>
      </c>
      <c r="D1504" s="48">
        <v>28222</v>
      </c>
      <c r="E1504" s="49">
        <f t="shared" ca="1" si="49"/>
        <v>49.230642864965503</v>
      </c>
      <c r="F1504" s="50">
        <v>155952669</v>
      </c>
      <c r="G1504" s="51" t="s">
        <v>141</v>
      </c>
      <c r="I1504" s="52" t="s">
        <v>4181</v>
      </c>
      <c r="M1504" s="58" t="s">
        <v>25</v>
      </c>
      <c r="N1504" s="55"/>
      <c r="O1504" s="55"/>
    </row>
    <row r="1505" spans="1:21">
      <c r="A1505" s="47">
        <v>25843480</v>
      </c>
      <c r="B1505" s="46" t="s">
        <v>355</v>
      </c>
      <c r="C1505" s="46" t="s">
        <v>1778</v>
      </c>
      <c r="D1505" s="48" t="s">
        <v>52</v>
      </c>
      <c r="E1505" s="49" t="str">
        <f t="shared" ca="1" si="49"/>
        <v/>
      </c>
      <c r="F1505" s="50" t="s">
        <v>1779</v>
      </c>
      <c r="G1505" s="51" t="s">
        <v>70</v>
      </c>
      <c r="H1505" s="52" t="s">
        <v>1780</v>
      </c>
      <c r="I1505" s="52" t="s">
        <v>1657</v>
      </c>
      <c r="J1505" s="46" t="s">
        <v>1781</v>
      </c>
      <c r="K1505" s="46" t="s">
        <v>81</v>
      </c>
      <c r="L1505" s="46" t="s">
        <v>1782</v>
      </c>
      <c r="M1505" s="53" t="s">
        <v>1783</v>
      </c>
      <c r="N1505" s="46" t="s">
        <v>1784</v>
      </c>
      <c r="O1505" s="46" t="s">
        <v>52</v>
      </c>
      <c r="P1505" s="46" t="s">
        <v>59</v>
      </c>
      <c r="Q1505" s="46" t="s">
        <v>60</v>
      </c>
      <c r="R1505" s="46" t="s">
        <v>61</v>
      </c>
      <c r="S1505" s="46" t="s">
        <v>62</v>
      </c>
      <c r="T1505" s="46" t="s">
        <v>12</v>
      </c>
      <c r="U1505" s="46" t="s">
        <v>63</v>
      </c>
    </row>
    <row r="1506" spans="1:21">
      <c r="A1506" s="47">
        <v>25843590</v>
      </c>
      <c r="B1506" s="46" t="s">
        <v>2495</v>
      </c>
      <c r="C1506" s="55" t="s">
        <v>1202</v>
      </c>
      <c r="D1506" s="48">
        <v>28252</v>
      </c>
      <c r="E1506" s="49">
        <f t="shared" ca="1" si="49"/>
        <v>49.148505092541889</v>
      </c>
      <c r="F1506" s="50">
        <v>154442409</v>
      </c>
      <c r="G1506" s="51" t="s">
        <v>37</v>
      </c>
      <c r="I1506" s="59" t="s">
        <v>908</v>
      </c>
      <c r="J1506" s="46" t="s">
        <v>38</v>
      </c>
      <c r="M1506" s="58" t="s">
        <v>25</v>
      </c>
    </row>
    <row r="1507" spans="1:21">
      <c r="A1507" s="47">
        <v>25843618</v>
      </c>
      <c r="B1507" s="46" t="s">
        <v>1823</v>
      </c>
      <c r="C1507" s="46" t="s">
        <v>4410</v>
      </c>
      <c r="D1507" s="48" t="s">
        <v>52</v>
      </c>
      <c r="E1507" s="49" t="str">
        <f t="shared" ca="1" si="49"/>
        <v/>
      </c>
      <c r="F1507" s="50" t="s">
        <v>4411</v>
      </c>
      <c r="G1507" s="51" t="s">
        <v>70</v>
      </c>
      <c r="H1507" s="52" t="s">
        <v>4412</v>
      </c>
      <c r="I1507" s="52" t="s">
        <v>4245</v>
      </c>
      <c r="J1507" s="46" t="s">
        <v>4413</v>
      </c>
      <c r="K1507" s="46" t="s">
        <v>81</v>
      </c>
      <c r="L1507" s="46" t="s">
        <v>1782</v>
      </c>
      <c r="M1507" s="53" t="s">
        <v>4414</v>
      </c>
      <c r="N1507" s="46" t="s">
        <v>4415</v>
      </c>
      <c r="O1507" s="46" t="s">
        <v>52</v>
      </c>
      <c r="P1507" s="46" t="s">
        <v>59</v>
      </c>
      <c r="Q1507" s="46" t="s">
        <v>60</v>
      </c>
      <c r="R1507" s="46" t="s">
        <v>61</v>
      </c>
      <c r="S1507" s="46" t="s">
        <v>62</v>
      </c>
      <c r="T1507" s="46" t="s">
        <v>12</v>
      </c>
      <c r="U1507" s="46" t="s">
        <v>63</v>
      </c>
    </row>
    <row r="1508" spans="1:21">
      <c r="A1508" s="47">
        <v>25843849</v>
      </c>
      <c r="B1508" s="46" t="s">
        <v>3126</v>
      </c>
      <c r="C1508" s="46" t="s">
        <v>1520</v>
      </c>
      <c r="D1508" s="48">
        <v>28272</v>
      </c>
      <c r="E1508" s="49">
        <f t="shared" ca="1" si="49"/>
        <v>49.093746577592817</v>
      </c>
      <c r="F1508" s="50">
        <v>155305196</v>
      </c>
      <c r="G1508" s="51" t="s">
        <v>78</v>
      </c>
      <c r="I1508" s="52" t="s">
        <v>3127</v>
      </c>
      <c r="J1508" s="46" t="s">
        <v>38</v>
      </c>
      <c r="M1508" s="53" t="s">
        <v>3128</v>
      </c>
      <c r="O1508" s="46">
        <v>4313629</v>
      </c>
    </row>
    <row r="1509" spans="1:21">
      <c r="A1509" s="47">
        <v>25844102</v>
      </c>
      <c r="B1509" s="46" t="s">
        <v>5922</v>
      </c>
      <c r="C1509" s="52" t="s">
        <v>5923</v>
      </c>
      <c r="D1509" s="48" t="s">
        <v>52</v>
      </c>
      <c r="E1509" s="49" t="str">
        <f t="shared" ca="1" si="49"/>
        <v/>
      </c>
      <c r="F1509" s="50" t="s">
        <v>5924</v>
      </c>
      <c r="G1509" s="51" t="s">
        <v>23</v>
      </c>
      <c r="H1509" s="52" t="s">
        <v>52</v>
      </c>
      <c r="I1509" s="52" t="s">
        <v>5881</v>
      </c>
      <c r="J1509" s="46" t="s">
        <v>800</v>
      </c>
      <c r="K1509" s="46" t="s">
        <v>81</v>
      </c>
      <c r="L1509" s="46" t="s">
        <v>52</v>
      </c>
      <c r="M1509" s="53" t="s">
        <v>5925</v>
      </c>
      <c r="N1509" s="55" t="s">
        <v>5926</v>
      </c>
      <c r="O1509" s="55" t="s">
        <v>52</v>
      </c>
      <c r="P1509" s="46" t="s">
        <v>59</v>
      </c>
      <c r="Q1509" s="46" t="s">
        <v>60</v>
      </c>
      <c r="R1509" s="46" t="s">
        <v>61</v>
      </c>
      <c r="S1509" s="46" t="s">
        <v>62</v>
      </c>
      <c r="T1509" s="46" t="s">
        <v>12</v>
      </c>
      <c r="U1509" s="46" t="s">
        <v>63</v>
      </c>
    </row>
    <row r="1510" spans="1:21">
      <c r="A1510" s="47">
        <v>25844148</v>
      </c>
      <c r="B1510" s="46" t="s">
        <v>199</v>
      </c>
      <c r="C1510" s="52" t="s">
        <v>2005</v>
      </c>
      <c r="D1510" s="48" t="s">
        <v>52</v>
      </c>
      <c r="E1510" s="49" t="str">
        <f t="shared" ca="1" si="49"/>
        <v/>
      </c>
      <c r="F1510" s="50" t="s">
        <v>2006</v>
      </c>
      <c r="G1510" s="51" t="s">
        <v>141</v>
      </c>
      <c r="H1510" s="52" t="s">
        <v>52</v>
      </c>
      <c r="I1510" s="52" t="s">
        <v>1881</v>
      </c>
      <c r="J1510" s="46" t="s">
        <v>2007</v>
      </c>
      <c r="K1510" s="46" t="s">
        <v>81</v>
      </c>
      <c r="L1510" s="46" t="s">
        <v>52</v>
      </c>
      <c r="M1510" s="53" t="s">
        <v>2008</v>
      </c>
      <c r="N1510" s="55" t="s">
        <v>52</v>
      </c>
      <c r="O1510" s="55" t="s">
        <v>52</v>
      </c>
      <c r="P1510" s="46" t="s">
        <v>59</v>
      </c>
      <c r="Q1510" s="46" t="s">
        <v>60</v>
      </c>
      <c r="R1510" s="46" t="s">
        <v>61</v>
      </c>
      <c r="S1510" s="46" t="s">
        <v>62</v>
      </c>
      <c r="T1510" s="46" t="s">
        <v>12</v>
      </c>
      <c r="U1510" s="46" t="s">
        <v>63</v>
      </c>
    </row>
    <row r="1511" spans="1:21">
      <c r="A1511" s="47">
        <v>25844152</v>
      </c>
      <c r="B1511" s="46" t="s">
        <v>4781</v>
      </c>
      <c r="C1511" s="46" t="s">
        <v>4782</v>
      </c>
      <c r="E1511" s="49" t="str">
        <f t="shared" ca="1" si="49"/>
        <v/>
      </c>
      <c r="F1511" s="50">
        <v>155639323</v>
      </c>
      <c r="G1511" s="51" t="s">
        <v>23</v>
      </c>
      <c r="I1511" s="65" t="s">
        <v>4708</v>
      </c>
      <c r="M1511" s="53" t="s">
        <v>4783</v>
      </c>
    </row>
    <row r="1512" spans="1:21">
      <c r="A1512" s="74">
        <v>25844620</v>
      </c>
      <c r="B1512" s="234" t="s">
        <v>7293</v>
      </c>
      <c r="C1512" s="234" t="s">
        <v>7294</v>
      </c>
      <c r="D1512" s="235">
        <v>28279</v>
      </c>
      <c r="E1512" s="236"/>
      <c r="F1512" s="237">
        <v>3815006125</v>
      </c>
      <c r="G1512" s="234" t="s">
        <v>70</v>
      </c>
      <c r="H1512" s="238" t="s">
        <v>6623</v>
      </c>
      <c r="I1512" s="264" t="s">
        <v>6549</v>
      </c>
      <c r="J1512" s="234" t="s">
        <v>9990</v>
      </c>
      <c r="K1512" s="234" t="s">
        <v>2002</v>
      </c>
      <c r="L1512" s="234"/>
      <c r="M1512" s="238" t="s">
        <v>9924</v>
      </c>
      <c r="N1512" s="234"/>
      <c r="O1512" s="234"/>
      <c r="P1512" s="234"/>
      <c r="Q1512" s="234"/>
      <c r="R1512" s="234"/>
      <c r="S1512" s="234"/>
      <c r="T1512" s="234"/>
      <c r="U1512" s="234"/>
    </row>
    <row r="1513" spans="1:21">
      <c r="A1513" s="47">
        <v>25844910</v>
      </c>
      <c r="B1513" s="46" t="s">
        <v>359</v>
      </c>
      <c r="C1513" s="55" t="s">
        <v>3251</v>
      </c>
      <c r="D1513" s="48">
        <v>28304</v>
      </c>
      <c r="E1513" s="49">
        <f t="shared" ref="E1513:E1550" ca="1" si="50">IF(D1513="","",YEARFRAC(D1513,TODAY(),1))</f>
        <v>49.006132953674296</v>
      </c>
      <c r="F1513" s="50">
        <v>154346132</v>
      </c>
      <c r="G1513" s="51" t="s">
        <v>141</v>
      </c>
      <c r="I1513" s="52" t="s">
        <v>3166</v>
      </c>
      <c r="J1513" s="46" t="s">
        <v>3252</v>
      </c>
      <c r="M1513" s="53" t="s">
        <v>3253</v>
      </c>
    </row>
    <row r="1514" spans="1:21">
      <c r="A1514" s="47">
        <v>25844988</v>
      </c>
      <c r="B1514" s="46" t="s">
        <v>6746</v>
      </c>
      <c r="C1514" s="46" t="s">
        <v>6747</v>
      </c>
      <c r="D1514" s="48" t="s">
        <v>52</v>
      </c>
      <c r="E1514" s="49" t="str">
        <f t="shared" ca="1" si="50"/>
        <v/>
      </c>
      <c r="F1514" s="50" t="s">
        <v>6748</v>
      </c>
      <c r="G1514" s="51" t="s">
        <v>70</v>
      </c>
      <c r="H1514" s="52" t="s">
        <v>6749</v>
      </c>
      <c r="I1514" s="52" t="s">
        <v>4499</v>
      </c>
      <c r="J1514" s="46" t="s">
        <v>6750</v>
      </c>
      <c r="K1514" s="46" t="s">
        <v>112</v>
      </c>
      <c r="L1514" s="46" t="s">
        <v>546</v>
      </c>
      <c r="M1514" s="52" t="s">
        <v>6751</v>
      </c>
      <c r="N1514" s="46" t="s">
        <v>52</v>
      </c>
      <c r="O1514" s="46" t="s">
        <v>52</v>
      </c>
      <c r="P1514" s="46" t="s">
        <v>59</v>
      </c>
      <c r="Q1514" s="46" t="s">
        <v>60</v>
      </c>
      <c r="R1514" s="46" t="s">
        <v>61</v>
      </c>
      <c r="S1514" s="46" t="s">
        <v>62</v>
      </c>
      <c r="T1514" s="46" t="s">
        <v>12</v>
      </c>
      <c r="U1514" s="46" t="s">
        <v>63</v>
      </c>
    </row>
    <row r="1515" spans="1:21">
      <c r="A1515" s="47">
        <v>25853037</v>
      </c>
      <c r="B1515" s="46" t="s">
        <v>2087</v>
      </c>
      <c r="C1515" s="52" t="s">
        <v>5367</v>
      </c>
      <c r="D1515" s="48" t="s">
        <v>52</v>
      </c>
      <c r="E1515" s="49" t="str">
        <f t="shared" ca="1" si="50"/>
        <v/>
      </c>
      <c r="F1515" s="50" t="s">
        <v>5368</v>
      </c>
      <c r="G1515" s="51" t="s">
        <v>78</v>
      </c>
      <c r="H1515" s="52" t="s">
        <v>4838</v>
      </c>
      <c r="I1515" s="52" t="s">
        <v>5304</v>
      </c>
      <c r="J1515" s="46" t="s">
        <v>5369</v>
      </c>
      <c r="K1515" s="46" t="s">
        <v>81</v>
      </c>
      <c r="L1515" s="46" t="s">
        <v>52</v>
      </c>
      <c r="M1515" s="53" t="s">
        <v>5370</v>
      </c>
      <c r="N1515" s="55" t="s">
        <v>5371</v>
      </c>
      <c r="O1515" s="55" t="s">
        <v>52</v>
      </c>
      <c r="P1515" s="46" t="s">
        <v>59</v>
      </c>
      <c r="Q1515" s="46" t="s">
        <v>60</v>
      </c>
      <c r="R1515" s="46" t="s">
        <v>61</v>
      </c>
      <c r="S1515" s="46" t="s">
        <v>62</v>
      </c>
      <c r="T1515" s="46" t="s">
        <v>12</v>
      </c>
      <c r="U1515" s="46" t="s">
        <v>63</v>
      </c>
    </row>
    <row r="1516" spans="1:21">
      <c r="A1516" s="47">
        <v>25884788</v>
      </c>
      <c r="B1516" s="46" t="s">
        <v>5166</v>
      </c>
      <c r="C1516" s="46" t="s">
        <v>5167</v>
      </c>
      <c r="D1516" s="48" t="s">
        <v>52</v>
      </c>
      <c r="E1516" s="49" t="str">
        <f t="shared" ca="1" si="50"/>
        <v/>
      </c>
      <c r="F1516" s="50" t="s">
        <v>5168</v>
      </c>
      <c r="G1516" s="51" t="s">
        <v>70</v>
      </c>
      <c r="H1516" s="52" t="s">
        <v>52</v>
      </c>
      <c r="I1516" s="52" t="s">
        <v>4954</v>
      </c>
      <c r="J1516" s="46" t="s">
        <v>52</v>
      </c>
      <c r="K1516" s="46" t="s">
        <v>81</v>
      </c>
      <c r="L1516" s="46" t="s">
        <v>546</v>
      </c>
      <c r="M1516" s="52" t="s">
        <v>5169</v>
      </c>
      <c r="N1516" s="46" t="s">
        <v>52</v>
      </c>
      <c r="O1516" s="46" t="s">
        <v>52</v>
      </c>
      <c r="P1516" s="46" t="s">
        <v>59</v>
      </c>
      <c r="Q1516" s="46" t="s">
        <v>60</v>
      </c>
      <c r="R1516" s="46" t="s">
        <v>61</v>
      </c>
      <c r="S1516" s="46" t="s">
        <v>62</v>
      </c>
      <c r="T1516" s="46" t="s">
        <v>12</v>
      </c>
      <c r="U1516" s="46" t="s">
        <v>63</v>
      </c>
    </row>
    <row r="1517" spans="1:21">
      <c r="A1517" s="47">
        <v>25922131</v>
      </c>
      <c r="B1517" s="46" t="s">
        <v>3346</v>
      </c>
      <c r="C1517" s="55" t="s">
        <v>2139</v>
      </c>
      <c r="D1517" s="48">
        <v>28282</v>
      </c>
      <c r="E1517" s="49">
        <f t="shared" ca="1" si="50"/>
        <v>49.066367320118275</v>
      </c>
      <c r="F1517" s="50">
        <v>155477567</v>
      </c>
      <c r="G1517" s="51" t="s">
        <v>23</v>
      </c>
      <c r="I1517" s="52" t="s">
        <v>3327</v>
      </c>
      <c r="J1517" s="55" t="s">
        <v>3347</v>
      </c>
      <c r="K1517" s="55"/>
      <c r="L1517" s="55"/>
      <c r="M1517" s="53" t="s">
        <v>3339</v>
      </c>
      <c r="N1517" s="55">
        <v>43536841</v>
      </c>
      <c r="O1517" s="55">
        <v>106</v>
      </c>
    </row>
    <row r="1518" spans="1:21">
      <c r="A1518" s="47">
        <v>25922947</v>
      </c>
      <c r="B1518" s="46" t="s">
        <v>4974</v>
      </c>
      <c r="C1518" s="46" t="s">
        <v>4130</v>
      </c>
      <c r="D1518" s="48">
        <v>28368</v>
      </c>
      <c r="E1518" s="49">
        <f t="shared" ca="1" si="50"/>
        <v>48.830905705837253</v>
      </c>
      <c r="F1518" s="50">
        <v>156097902</v>
      </c>
      <c r="G1518" s="51" t="s">
        <v>70</v>
      </c>
      <c r="I1518" s="65" t="s">
        <v>4954</v>
      </c>
      <c r="J1518" s="46" t="s">
        <v>628</v>
      </c>
      <c r="M1518" s="53" t="s">
        <v>4975</v>
      </c>
      <c r="N1518" s="46">
        <v>4207562</v>
      </c>
      <c r="P1518" s="46">
        <v>1</v>
      </c>
    </row>
    <row r="1519" spans="1:21">
      <c r="A1519" s="47">
        <v>25923655</v>
      </c>
      <c r="B1519" s="46" t="s">
        <v>311</v>
      </c>
      <c r="C1519" s="46" t="s">
        <v>174</v>
      </c>
      <c r="D1519" s="48" t="s">
        <v>52</v>
      </c>
      <c r="E1519" s="49" t="str">
        <f t="shared" ca="1" si="50"/>
        <v/>
      </c>
      <c r="F1519" s="50" t="s">
        <v>835</v>
      </c>
      <c r="G1519" s="51" t="s">
        <v>70</v>
      </c>
      <c r="H1519" s="52" t="s">
        <v>836</v>
      </c>
      <c r="I1519" s="52" t="s">
        <v>808</v>
      </c>
      <c r="J1519" s="46" t="s">
        <v>52</v>
      </c>
      <c r="K1519" s="46" t="s">
        <v>159</v>
      </c>
      <c r="L1519" s="46" t="s">
        <v>546</v>
      </c>
      <c r="M1519" s="52" t="s">
        <v>837</v>
      </c>
      <c r="N1519" s="46" t="s">
        <v>52</v>
      </c>
      <c r="O1519" s="46" t="s">
        <v>52</v>
      </c>
      <c r="P1519" s="46" t="s">
        <v>59</v>
      </c>
      <c r="Q1519" s="46" t="s">
        <v>60</v>
      </c>
      <c r="R1519" s="46" t="s">
        <v>61</v>
      </c>
      <c r="S1519" s="46" t="s">
        <v>62</v>
      </c>
      <c r="T1519" s="46" t="s">
        <v>12</v>
      </c>
      <c r="U1519" s="46" t="s">
        <v>63</v>
      </c>
    </row>
    <row r="1520" spans="1:21">
      <c r="A1520" s="47">
        <v>25923733</v>
      </c>
      <c r="B1520" s="46" t="s">
        <v>875</v>
      </c>
      <c r="C1520" s="46" t="s">
        <v>3600</v>
      </c>
      <c r="E1520" s="49" t="str">
        <f t="shared" ca="1" si="50"/>
        <v/>
      </c>
      <c r="F1520" s="50">
        <v>154066368</v>
      </c>
      <c r="G1520" s="51" t="s">
        <v>23</v>
      </c>
      <c r="I1520" s="52" t="s">
        <v>3555</v>
      </c>
      <c r="M1520" s="53" t="s">
        <v>3601</v>
      </c>
      <c r="N1520" s="46">
        <v>4211071</v>
      </c>
    </row>
    <row r="1521" spans="1:21">
      <c r="A1521" s="47">
        <v>25950071</v>
      </c>
      <c r="B1521" s="46" t="s">
        <v>476</v>
      </c>
      <c r="C1521" s="52" t="s">
        <v>6396</v>
      </c>
      <c r="D1521" s="48">
        <v>27131</v>
      </c>
      <c r="E1521" s="49">
        <f t="shared" ca="1" si="50"/>
        <v>52.216964562454798</v>
      </c>
      <c r="F1521" s="50">
        <v>154447564</v>
      </c>
      <c r="G1521" s="51" t="s">
        <v>141</v>
      </c>
      <c r="I1521" s="52" t="s">
        <v>23</v>
      </c>
      <c r="J1521" s="46" t="s">
        <v>3565</v>
      </c>
      <c r="M1521" s="53" t="s">
        <v>6395</v>
      </c>
      <c r="N1521" s="55">
        <v>4526029</v>
      </c>
      <c r="O1521" s="55"/>
    </row>
    <row r="1522" spans="1:21">
      <c r="A1522" s="47">
        <v>25992830</v>
      </c>
      <c r="B1522" s="46" t="s">
        <v>195</v>
      </c>
      <c r="C1522" s="46" t="s">
        <v>2003</v>
      </c>
      <c r="D1522" s="48">
        <v>28331</v>
      </c>
      <c r="E1522" s="49">
        <f t="shared" ca="1" si="50"/>
        <v>48.932208958493042</v>
      </c>
      <c r="F1522" s="50">
        <v>155516777</v>
      </c>
      <c r="G1522" s="51" t="s">
        <v>70</v>
      </c>
      <c r="I1522" s="52" t="s">
        <v>1881</v>
      </c>
      <c r="M1522" s="53" t="s">
        <v>2004</v>
      </c>
      <c r="N1522" s="46">
        <v>4364093</v>
      </c>
      <c r="O1522" s="46">
        <v>7719</v>
      </c>
    </row>
    <row r="1523" spans="1:21">
      <c r="A1523" s="47">
        <v>26011505</v>
      </c>
      <c r="B1523" s="46" t="s">
        <v>2422</v>
      </c>
      <c r="C1523" s="46" t="s">
        <v>6527</v>
      </c>
      <c r="D1523" s="48" t="s">
        <v>6528</v>
      </c>
      <c r="E1523" s="49">
        <f t="shared" ca="1" si="50"/>
        <v>49.159456795531703</v>
      </c>
      <c r="F1523" s="50" t="s">
        <v>6529</v>
      </c>
      <c r="G1523" s="51" t="s">
        <v>141</v>
      </c>
      <c r="H1523" s="52" t="s">
        <v>52</v>
      </c>
      <c r="I1523" s="52" t="s">
        <v>6530</v>
      </c>
      <c r="J1523" s="46" t="s">
        <v>52</v>
      </c>
      <c r="K1523" s="46" t="s">
        <v>81</v>
      </c>
      <c r="L1523" s="46" t="s">
        <v>52</v>
      </c>
      <c r="M1523" s="52" t="s">
        <v>6531</v>
      </c>
      <c r="N1523" s="46" t="s">
        <v>6532</v>
      </c>
      <c r="O1523" s="46" t="s">
        <v>52</v>
      </c>
      <c r="P1523" s="46" t="s">
        <v>59</v>
      </c>
      <c r="Q1523" s="46" t="s">
        <v>60</v>
      </c>
      <c r="R1523" s="46" t="s">
        <v>61</v>
      </c>
      <c r="S1523" s="46" t="s">
        <v>62</v>
      </c>
      <c r="T1523" s="46" t="s">
        <v>12</v>
      </c>
      <c r="U1523" s="46" t="s">
        <v>63</v>
      </c>
    </row>
    <row r="1524" spans="1:21">
      <c r="A1524" s="47">
        <v>26012478</v>
      </c>
      <c r="B1524" s="46" t="s">
        <v>1455</v>
      </c>
      <c r="C1524" s="52" t="s">
        <v>1456</v>
      </c>
      <c r="D1524" s="48">
        <v>28288</v>
      </c>
      <c r="E1524" s="49">
        <f t="shared" ca="1" si="50"/>
        <v>49.049939765633553</v>
      </c>
      <c r="F1524" s="50">
        <v>155764607</v>
      </c>
      <c r="G1524" s="51" t="s">
        <v>23</v>
      </c>
      <c r="I1524" s="52" t="s">
        <v>1449</v>
      </c>
      <c r="J1524" s="46" t="s">
        <v>1457</v>
      </c>
      <c r="M1524" s="53" t="s">
        <v>1458</v>
      </c>
      <c r="N1524" s="55"/>
      <c r="O1524" s="55"/>
    </row>
    <row r="1525" spans="1:21">
      <c r="A1525" s="47">
        <v>26013613</v>
      </c>
      <c r="B1525" s="46" t="s">
        <v>5536</v>
      </c>
      <c r="C1525" s="52" t="s">
        <v>5539</v>
      </c>
      <c r="E1525" s="49" t="str">
        <f t="shared" ca="1" si="50"/>
        <v/>
      </c>
      <c r="F1525" s="50">
        <v>155702700</v>
      </c>
      <c r="G1525" s="51" t="s">
        <v>23</v>
      </c>
      <c r="I1525" s="52" t="s">
        <v>5494</v>
      </c>
      <c r="M1525" s="58" t="s">
        <v>25</v>
      </c>
      <c r="N1525" s="55">
        <v>4221692</v>
      </c>
      <c r="O1525" s="55"/>
    </row>
    <row r="1526" spans="1:21">
      <c r="A1526" s="64">
        <v>26013673</v>
      </c>
      <c r="B1526" s="61" t="s">
        <v>2807</v>
      </c>
      <c r="C1526" s="62" t="s">
        <v>2808</v>
      </c>
      <c r="D1526" s="48">
        <v>28339</v>
      </c>
      <c r="E1526" s="49">
        <f t="shared" ca="1" si="50"/>
        <v>48.910305552513414</v>
      </c>
      <c r="F1526" s="63">
        <v>155413303</v>
      </c>
      <c r="G1526" s="51" t="s">
        <v>23</v>
      </c>
      <c r="I1526" s="52" t="s">
        <v>2778</v>
      </c>
      <c r="J1526" s="61" t="s">
        <v>2809</v>
      </c>
      <c r="K1526" s="61"/>
      <c r="L1526" s="61"/>
      <c r="M1526" s="58" t="s">
        <v>25</v>
      </c>
      <c r="N1526" s="55"/>
      <c r="O1526" s="55"/>
    </row>
    <row r="1527" spans="1:21">
      <c r="A1527" s="47">
        <v>26013921</v>
      </c>
      <c r="B1527" s="46" t="s">
        <v>789</v>
      </c>
      <c r="C1527" s="46" t="s">
        <v>1353</v>
      </c>
      <c r="D1527" s="48">
        <v>28350</v>
      </c>
      <c r="E1527" s="49">
        <f t="shared" ca="1" si="50"/>
        <v>48.880188369291425</v>
      </c>
      <c r="F1527" s="50">
        <v>156491699</v>
      </c>
      <c r="G1527" s="51" t="s">
        <v>86</v>
      </c>
      <c r="I1527" s="65" t="s">
        <v>4954</v>
      </c>
      <c r="J1527" s="46" t="s">
        <v>5024</v>
      </c>
      <c r="M1527" s="53" t="s">
        <v>5111</v>
      </c>
      <c r="N1527" s="46">
        <v>4107248</v>
      </c>
      <c r="O1527" s="46">
        <v>7248</v>
      </c>
      <c r="P1527" s="46">
        <v>1</v>
      </c>
    </row>
    <row r="1528" spans="1:21">
      <c r="A1528" s="47">
        <v>26028024</v>
      </c>
      <c r="B1528" s="46" t="s">
        <v>5376</v>
      </c>
      <c r="C1528" s="52" t="s">
        <v>5377</v>
      </c>
      <c r="D1528" s="48" t="s">
        <v>52</v>
      </c>
      <c r="E1528" s="49" t="str">
        <f t="shared" ca="1" si="50"/>
        <v/>
      </c>
      <c r="F1528" s="50" t="s">
        <v>5378</v>
      </c>
      <c r="G1528" s="51" t="s">
        <v>70</v>
      </c>
      <c r="H1528" s="52" t="s">
        <v>2616</v>
      </c>
      <c r="I1528" s="52" t="s">
        <v>5304</v>
      </c>
      <c r="J1528" s="46" t="s">
        <v>5361</v>
      </c>
      <c r="K1528" s="46" t="s">
        <v>52</v>
      </c>
      <c r="L1528" s="46" t="s">
        <v>52</v>
      </c>
      <c r="M1528" s="53" t="s">
        <v>5379</v>
      </c>
      <c r="N1528" s="55" t="s">
        <v>5354</v>
      </c>
      <c r="O1528" s="55" t="s">
        <v>5380</v>
      </c>
      <c r="P1528" s="46" t="s">
        <v>59</v>
      </c>
      <c r="Q1528" s="46" t="s">
        <v>60</v>
      </c>
      <c r="R1528" s="46" t="s">
        <v>61</v>
      </c>
      <c r="S1528" s="46" t="s">
        <v>62</v>
      </c>
      <c r="T1528" s="46" t="s">
        <v>12</v>
      </c>
      <c r="U1528" s="46" t="s">
        <v>63</v>
      </c>
    </row>
    <row r="1529" spans="1:21">
      <c r="A1529" s="47">
        <v>26028279</v>
      </c>
      <c r="B1529" s="46" t="s">
        <v>5793</v>
      </c>
      <c r="C1529" s="52" t="s">
        <v>6335</v>
      </c>
      <c r="D1529" s="48" t="s">
        <v>52</v>
      </c>
      <c r="E1529" s="49" t="str">
        <f t="shared" ca="1" si="50"/>
        <v/>
      </c>
      <c r="F1529" s="50" t="s">
        <v>6336</v>
      </c>
      <c r="G1529" s="51" t="s">
        <v>70</v>
      </c>
      <c r="H1529" s="52" t="s">
        <v>6337</v>
      </c>
      <c r="I1529" s="52" t="s">
        <v>594</v>
      </c>
      <c r="J1529" s="46" t="s">
        <v>451</v>
      </c>
      <c r="K1529" s="46" t="s">
        <v>81</v>
      </c>
      <c r="L1529" s="46" t="s">
        <v>52</v>
      </c>
      <c r="M1529" s="53" t="s">
        <v>6338</v>
      </c>
      <c r="N1529" s="55" t="s">
        <v>52</v>
      </c>
      <c r="O1529" s="55" t="s">
        <v>52</v>
      </c>
      <c r="P1529" s="46" t="s">
        <v>59</v>
      </c>
      <c r="Q1529" s="46" t="s">
        <v>60</v>
      </c>
      <c r="R1529" s="46" t="s">
        <v>61</v>
      </c>
      <c r="S1529" s="46" t="s">
        <v>62</v>
      </c>
      <c r="T1529" s="46" t="s">
        <v>12</v>
      </c>
      <c r="U1529" s="46" t="s">
        <v>63</v>
      </c>
    </row>
    <row r="1530" spans="1:21">
      <c r="A1530" s="47">
        <v>26028695</v>
      </c>
      <c r="B1530" s="46" t="s">
        <v>1680</v>
      </c>
      <c r="C1530" s="46" t="s">
        <v>1681</v>
      </c>
      <c r="D1530" s="48" t="s">
        <v>1682</v>
      </c>
      <c r="E1530" s="49">
        <f t="shared" ca="1" si="50"/>
        <v>48.696747344212021</v>
      </c>
      <c r="F1530" s="50" t="s">
        <v>1683</v>
      </c>
      <c r="G1530" s="51" t="s">
        <v>70</v>
      </c>
      <c r="H1530" s="52" t="s">
        <v>1260</v>
      </c>
      <c r="I1530" s="52" t="s">
        <v>1657</v>
      </c>
      <c r="J1530" s="46" t="s">
        <v>1684</v>
      </c>
      <c r="K1530" s="46" t="s">
        <v>81</v>
      </c>
      <c r="L1530" s="46" t="s">
        <v>52</v>
      </c>
      <c r="M1530" s="52" t="s">
        <v>1685</v>
      </c>
      <c r="N1530" s="46" t="s">
        <v>1686</v>
      </c>
      <c r="O1530" s="46" t="s">
        <v>52</v>
      </c>
      <c r="P1530" s="46" t="s">
        <v>59</v>
      </c>
      <c r="Q1530" s="46" t="s">
        <v>60</v>
      </c>
      <c r="R1530" s="46" t="s">
        <v>61</v>
      </c>
      <c r="S1530" s="46" t="s">
        <v>62</v>
      </c>
      <c r="T1530" s="46" t="s">
        <v>12</v>
      </c>
      <c r="U1530" s="46" t="s">
        <v>63</v>
      </c>
    </row>
    <row r="1531" spans="1:21">
      <c r="A1531" s="47">
        <v>26028746</v>
      </c>
      <c r="B1531" s="46" t="s">
        <v>4289</v>
      </c>
      <c r="C1531" s="46" t="s">
        <v>6060</v>
      </c>
      <c r="D1531" s="48">
        <v>28433</v>
      </c>
      <c r="E1531" s="49">
        <f t="shared" ca="1" si="50"/>
        <v>48.652940532252764</v>
      </c>
      <c r="F1531" s="50">
        <v>156931697</v>
      </c>
      <c r="G1531" s="51" t="s">
        <v>70</v>
      </c>
      <c r="I1531" s="52" t="s">
        <v>23</v>
      </c>
      <c r="J1531" s="46" t="s">
        <v>995</v>
      </c>
      <c r="M1531" s="53" t="s">
        <v>6061</v>
      </c>
      <c r="N1531" s="46">
        <v>4107289</v>
      </c>
    </row>
    <row r="1532" spans="1:21">
      <c r="A1532" s="47">
        <v>26028943</v>
      </c>
      <c r="B1532" s="46" t="s">
        <v>547</v>
      </c>
      <c r="C1532" s="46" t="s">
        <v>5290</v>
      </c>
      <c r="E1532" s="49" t="str">
        <f t="shared" ca="1" si="50"/>
        <v/>
      </c>
      <c r="F1532" s="50">
        <v>153014374</v>
      </c>
      <c r="G1532" s="51" t="s">
        <v>23</v>
      </c>
      <c r="I1532" s="52" t="s">
        <v>5259</v>
      </c>
      <c r="M1532" s="53" t="s">
        <v>5291</v>
      </c>
    </row>
    <row r="1533" spans="1:21">
      <c r="A1533" s="47">
        <v>26029215</v>
      </c>
      <c r="B1533" s="46" t="s">
        <v>5918</v>
      </c>
      <c r="C1533" s="55" t="s">
        <v>274</v>
      </c>
      <c r="D1533" s="48" t="s">
        <v>52</v>
      </c>
      <c r="E1533" s="49" t="str">
        <f t="shared" ca="1" si="50"/>
        <v/>
      </c>
      <c r="F1533" s="50" t="s">
        <v>5919</v>
      </c>
      <c r="G1533" s="51" t="s">
        <v>78</v>
      </c>
      <c r="H1533" s="52" t="s">
        <v>5920</v>
      </c>
      <c r="I1533" s="52" t="s">
        <v>5881</v>
      </c>
      <c r="J1533" s="55" t="s">
        <v>52</v>
      </c>
      <c r="K1533" s="55" t="s">
        <v>81</v>
      </c>
      <c r="L1533" s="55" t="s">
        <v>52</v>
      </c>
      <c r="M1533" s="53" t="s">
        <v>5921</v>
      </c>
      <c r="N1533" s="55" t="s">
        <v>4867</v>
      </c>
      <c r="O1533" s="55" t="s">
        <v>52</v>
      </c>
      <c r="P1533" s="46" t="s">
        <v>59</v>
      </c>
      <c r="Q1533" s="46" t="s">
        <v>60</v>
      </c>
      <c r="R1533" s="46" t="s">
        <v>61</v>
      </c>
      <c r="S1533" s="46" t="s">
        <v>62</v>
      </c>
      <c r="T1533" s="46" t="s">
        <v>12</v>
      </c>
      <c r="U1533" s="46" t="s">
        <v>63</v>
      </c>
    </row>
    <row r="1534" spans="1:21">
      <c r="A1534" s="47">
        <v>26029815</v>
      </c>
      <c r="B1534" s="46" t="s">
        <v>5918</v>
      </c>
      <c r="C1534" s="55" t="s">
        <v>274</v>
      </c>
      <c r="D1534" s="48">
        <v>28413</v>
      </c>
      <c r="E1534" s="49">
        <f t="shared" ca="1" si="50"/>
        <v>48.707699047201835</v>
      </c>
      <c r="F1534" s="50">
        <v>154454040</v>
      </c>
      <c r="G1534" s="51" t="s">
        <v>78</v>
      </c>
      <c r="I1534" s="52" t="s">
        <v>23</v>
      </c>
      <c r="J1534" s="55"/>
      <c r="K1534" s="55"/>
      <c r="L1534" s="55"/>
      <c r="M1534" s="53" t="s">
        <v>5921</v>
      </c>
      <c r="N1534" s="55"/>
      <c r="O1534" s="55"/>
    </row>
    <row r="1535" spans="1:21">
      <c r="A1535" s="47">
        <v>26029937</v>
      </c>
      <c r="B1535" s="46" t="s">
        <v>327</v>
      </c>
      <c r="C1535" s="55" t="s">
        <v>1785</v>
      </c>
      <c r="D1535" s="48">
        <v>28448</v>
      </c>
      <c r="E1535" s="49">
        <f t="shared" ca="1" si="50"/>
        <v>48.61187164604096</v>
      </c>
      <c r="G1535" s="51" t="s">
        <v>141</v>
      </c>
      <c r="I1535" s="52" t="s">
        <v>3630</v>
      </c>
      <c r="J1535" s="55"/>
      <c r="K1535" s="55"/>
      <c r="L1535" s="55"/>
      <c r="M1535" s="53" t="s">
        <v>3792</v>
      </c>
      <c r="N1535" s="55">
        <v>4847356</v>
      </c>
      <c r="O1535" s="55"/>
    </row>
    <row r="1536" spans="1:21">
      <c r="A1536" s="47">
        <v>26030971</v>
      </c>
      <c r="B1536" s="46" t="s">
        <v>6446</v>
      </c>
      <c r="C1536" s="46" t="s">
        <v>6447</v>
      </c>
      <c r="D1536" s="48">
        <v>28471</v>
      </c>
      <c r="E1536" s="49">
        <f t="shared" ca="1" si="50"/>
        <v>48.548899353849521</v>
      </c>
      <c r="F1536" s="50">
        <v>155650977</v>
      </c>
      <c r="G1536" s="51" t="s">
        <v>70</v>
      </c>
      <c r="I1536" s="52" t="s">
        <v>23</v>
      </c>
      <c r="J1536" s="46" t="s">
        <v>6448</v>
      </c>
      <c r="M1536" s="53" t="s">
        <v>6449</v>
      </c>
      <c r="N1536" s="46">
        <v>4247752</v>
      </c>
      <c r="O1536" s="46">
        <v>6947</v>
      </c>
      <c r="P1536" s="46">
        <v>1</v>
      </c>
    </row>
    <row r="1537" spans="1:21">
      <c r="A1537" s="47">
        <v>26137675</v>
      </c>
      <c r="B1537" s="46" t="s">
        <v>541</v>
      </c>
      <c r="C1537" s="46" t="s">
        <v>542</v>
      </c>
      <c r="D1537" s="48" t="s">
        <v>543</v>
      </c>
      <c r="E1537" s="49">
        <f t="shared" ca="1" si="50"/>
        <v>48.792574745372903</v>
      </c>
      <c r="F1537" s="50" t="s">
        <v>544</v>
      </c>
      <c r="G1537" s="51" t="s">
        <v>70</v>
      </c>
      <c r="H1537" s="52" t="s">
        <v>52</v>
      </c>
      <c r="I1537" s="52" t="s">
        <v>24</v>
      </c>
      <c r="J1537" s="46" t="s">
        <v>545</v>
      </c>
      <c r="K1537" s="46" t="s">
        <v>57</v>
      </c>
      <c r="L1537" s="46" t="s">
        <v>546</v>
      </c>
      <c r="M1537" s="58" t="s">
        <v>25</v>
      </c>
      <c r="N1537" s="46" t="s">
        <v>52</v>
      </c>
      <c r="O1537" s="46" t="s">
        <v>52</v>
      </c>
      <c r="P1537" s="46" t="s">
        <v>59</v>
      </c>
      <c r="Q1537" s="46" t="s">
        <v>60</v>
      </c>
      <c r="R1537" s="46" t="s">
        <v>61</v>
      </c>
      <c r="S1537" s="46" t="s">
        <v>62</v>
      </c>
      <c r="T1537" s="46" t="s">
        <v>12</v>
      </c>
      <c r="U1537" s="46" t="s">
        <v>63</v>
      </c>
    </row>
    <row r="1538" spans="1:21">
      <c r="A1538" s="47">
        <v>26137864</v>
      </c>
      <c r="B1538" s="46" t="s">
        <v>5098</v>
      </c>
      <c r="C1538" s="52" t="s">
        <v>6317</v>
      </c>
      <c r="D1538" s="48">
        <v>28389</v>
      </c>
      <c r="E1538" s="49">
        <f t="shared" ca="1" si="50"/>
        <v>48.773409265140728</v>
      </c>
      <c r="G1538" s="51" t="s">
        <v>23</v>
      </c>
      <c r="I1538" s="52" t="s">
        <v>23</v>
      </c>
      <c r="J1538" s="46" t="s">
        <v>6318</v>
      </c>
      <c r="M1538" s="53" t="s">
        <v>6319</v>
      </c>
      <c r="N1538" s="55">
        <v>4211071</v>
      </c>
      <c r="O1538" s="55">
        <v>107</v>
      </c>
    </row>
    <row r="1539" spans="1:21">
      <c r="A1539" s="47">
        <v>26176914</v>
      </c>
      <c r="B1539" s="46" t="s">
        <v>1216</v>
      </c>
      <c r="C1539" s="46" t="s">
        <v>5122</v>
      </c>
      <c r="D1539" s="48" t="s">
        <v>52</v>
      </c>
      <c r="E1539" s="49" t="str">
        <f t="shared" ca="1" si="50"/>
        <v/>
      </c>
      <c r="F1539" s="50" t="s">
        <v>5123</v>
      </c>
      <c r="G1539" s="51" t="s">
        <v>86</v>
      </c>
      <c r="H1539" s="52" t="s">
        <v>52</v>
      </c>
      <c r="I1539" s="52" t="s">
        <v>4954</v>
      </c>
      <c r="J1539" s="46" t="s">
        <v>38</v>
      </c>
      <c r="K1539" s="46" t="s">
        <v>81</v>
      </c>
      <c r="L1539" s="46" t="s">
        <v>52</v>
      </c>
      <c r="M1539" s="53" t="s">
        <v>5124</v>
      </c>
      <c r="N1539" s="46" t="s">
        <v>5125</v>
      </c>
      <c r="O1539" s="46" t="s">
        <v>52</v>
      </c>
      <c r="P1539" s="46" t="s">
        <v>59</v>
      </c>
      <c r="Q1539" s="46" t="s">
        <v>60</v>
      </c>
      <c r="R1539" s="46" t="s">
        <v>61</v>
      </c>
      <c r="S1539" s="46" t="s">
        <v>62</v>
      </c>
      <c r="T1539" s="46" t="s">
        <v>12</v>
      </c>
      <c r="U1539" s="46" t="s">
        <v>63</v>
      </c>
    </row>
    <row r="1540" spans="1:21">
      <c r="A1540" s="47">
        <v>26246391</v>
      </c>
      <c r="B1540" s="46" t="s">
        <v>2304</v>
      </c>
      <c r="C1540" s="46" t="s">
        <v>2684</v>
      </c>
      <c r="D1540" s="48">
        <v>28506</v>
      </c>
      <c r="E1540" s="49">
        <f t="shared" ca="1" si="50"/>
        <v>48.452422193663743</v>
      </c>
      <c r="F1540" s="50" t="s">
        <v>4174</v>
      </c>
      <c r="G1540" s="51" t="s">
        <v>23</v>
      </c>
      <c r="I1540" s="52" t="s">
        <v>4078</v>
      </c>
      <c r="J1540" s="46" t="s">
        <v>4175</v>
      </c>
      <c r="M1540" s="53" t="s">
        <v>4176</v>
      </c>
      <c r="N1540" s="46">
        <v>3865483797</v>
      </c>
    </row>
    <row r="1541" spans="1:21">
      <c r="A1541" s="47">
        <v>26277267</v>
      </c>
      <c r="B1541" s="46" t="s">
        <v>428</v>
      </c>
      <c r="C1541" s="46" t="s">
        <v>5700</v>
      </c>
      <c r="D1541" s="48">
        <v>28472</v>
      </c>
      <c r="E1541" s="49">
        <f t="shared" ca="1" si="50"/>
        <v>48.546161428102067</v>
      </c>
      <c r="F1541" s="50">
        <v>153347946</v>
      </c>
      <c r="G1541" s="51" t="s">
        <v>86</v>
      </c>
      <c r="I1541" s="52" t="s">
        <v>5494</v>
      </c>
      <c r="J1541" s="46" t="s">
        <v>5701</v>
      </c>
      <c r="M1541" s="53" t="s">
        <v>5702</v>
      </c>
      <c r="O1541" s="46">
        <v>4218077</v>
      </c>
    </row>
    <row r="1542" spans="1:21">
      <c r="A1542" s="47">
        <v>26400395</v>
      </c>
      <c r="B1542" s="46" t="s">
        <v>8104</v>
      </c>
      <c r="C1542" s="46" t="s">
        <v>6808</v>
      </c>
      <c r="D1542" s="48" t="s">
        <v>52</v>
      </c>
      <c r="E1542" s="49" t="str">
        <f t="shared" ca="1" si="50"/>
        <v/>
      </c>
      <c r="F1542" s="50" t="s">
        <v>6809</v>
      </c>
      <c r="G1542" s="51" t="s">
        <v>70</v>
      </c>
      <c r="H1542" s="52" t="s">
        <v>6810</v>
      </c>
      <c r="I1542" s="52" t="s">
        <v>1497</v>
      </c>
      <c r="J1542" s="46" t="s">
        <v>6811</v>
      </c>
      <c r="K1542" s="46" t="s">
        <v>81</v>
      </c>
      <c r="L1542" s="46" t="s">
        <v>546</v>
      </c>
      <c r="M1542" s="52" t="s">
        <v>6812</v>
      </c>
      <c r="N1542" s="46" t="s">
        <v>52</v>
      </c>
      <c r="O1542" s="46" t="s">
        <v>52</v>
      </c>
      <c r="P1542" s="46" t="s">
        <v>59</v>
      </c>
      <c r="Q1542" s="46" t="s">
        <v>60</v>
      </c>
      <c r="R1542" s="46" t="s">
        <v>61</v>
      </c>
      <c r="S1542" s="46" t="s">
        <v>62</v>
      </c>
      <c r="T1542" s="46" t="s">
        <v>12</v>
      </c>
      <c r="U1542" s="46" t="s">
        <v>63</v>
      </c>
    </row>
    <row r="1543" spans="1:21">
      <c r="A1543" s="47">
        <v>26408498</v>
      </c>
      <c r="B1543" s="46" t="s">
        <v>207</v>
      </c>
      <c r="C1543" s="52" t="s">
        <v>4548</v>
      </c>
      <c r="D1543" s="48">
        <v>28502</v>
      </c>
      <c r="E1543" s="49">
        <f t="shared" ca="1" si="50"/>
        <v>48.46337374979047</v>
      </c>
      <c r="F1543" s="50">
        <v>155662551</v>
      </c>
      <c r="G1543" s="51" t="s">
        <v>141</v>
      </c>
      <c r="I1543" s="52" t="s">
        <v>4499</v>
      </c>
      <c r="J1543" s="46" t="s">
        <v>4549</v>
      </c>
      <c r="M1543" s="53" t="s">
        <v>4550</v>
      </c>
      <c r="N1543" s="55"/>
      <c r="O1543" s="55"/>
    </row>
    <row r="1544" spans="1:21">
      <c r="A1544" s="47">
        <v>26408527</v>
      </c>
      <c r="B1544" s="46" t="s">
        <v>734</v>
      </c>
      <c r="C1544" s="52" t="s">
        <v>5684</v>
      </c>
      <c r="E1544" s="49" t="str">
        <f t="shared" ca="1" si="50"/>
        <v/>
      </c>
      <c r="F1544" s="50">
        <v>156255929</v>
      </c>
      <c r="G1544" s="51" t="s">
        <v>23</v>
      </c>
      <c r="I1544" s="52" t="s">
        <v>5494</v>
      </c>
      <c r="J1544" s="46" t="s">
        <v>238</v>
      </c>
      <c r="M1544" s="58" t="s">
        <v>25</v>
      </c>
      <c r="N1544" s="55"/>
      <c r="O1544" s="55"/>
    </row>
    <row r="1545" spans="1:21">
      <c r="A1545" s="47">
        <v>26412398</v>
      </c>
      <c r="B1545" s="46" t="s">
        <v>218</v>
      </c>
      <c r="C1545" s="52" t="s">
        <v>6154</v>
      </c>
      <c r="D1545" s="48">
        <v>28522</v>
      </c>
      <c r="E1545" s="49">
        <f t="shared" ca="1" si="50"/>
        <v>48.408615969156841</v>
      </c>
      <c r="F1545" s="50">
        <v>155530361</v>
      </c>
      <c r="G1545" s="51" t="s">
        <v>70</v>
      </c>
      <c r="I1545" s="52" t="s">
        <v>23</v>
      </c>
      <c r="M1545" s="58" t="s">
        <v>25</v>
      </c>
      <c r="N1545" s="55"/>
      <c r="O1545" s="55"/>
    </row>
    <row r="1546" spans="1:21">
      <c r="A1546" s="64">
        <v>26445246</v>
      </c>
      <c r="B1546" s="61" t="s">
        <v>2632</v>
      </c>
      <c r="C1546" s="62" t="s">
        <v>1965</v>
      </c>
      <c r="D1546" s="48">
        <v>28529</v>
      </c>
      <c r="E1546" s="49">
        <f t="shared" ca="1" si="50"/>
        <v>48.389450745935072</v>
      </c>
      <c r="F1546" s="63">
        <v>156786016</v>
      </c>
      <c r="G1546" s="51" t="s">
        <v>23</v>
      </c>
      <c r="I1546" s="59" t="s">
        <v>908</v>
      </c>
      <c r="J1546" s="61" t="s">
        <v>31</v>
      </c>
      <c r="K1546" s="61"/>
      <c r="L1546" s="61"/>
      <c r="M1546" s="53" t="s">
        <v>2633</v>
      </c>
      <c r="N1546" s="55"/>
      <c r="O1546" s="55"/>
    </row>
    <row r="1547" spans="1:21">
      <c r="A1547" s="47">
        <v>26445563</v>
      </c>
      <c r="B1547" s="46" t="s">
        <v>6091</v>
      </c>
      <c r="C1547" s="52" t="s">
        <v>215</v>
      </c>
      <c r="D1547" s="48">
        <v>28540</v>
      </c>
      <c r="E1547" s="49">
        <f t="shared" ca="1" si="50"/>
        <v>48.359333966586576</v>
      </c>
      <c r="F1547" s="50">
        <v>155176454</v>
      </c>
      <c r="G1547" s="51" t="s">
        <v>23</v>
      </c>
      <c r="I1547" s="52" t="s">
        <v>23</v>
      </c>
      <c r="J1547" s="46" t="s">
        <v>48</v>
      </c>
      <c r="M1547" s="53" t="s">
        <v>6092</v>
      </c>
      <c r="N1547" s="55"/>
      <c r="O1547" s="55"/>
    </row>
    <row r="1548" spans="1:21">
      <c r="A1548" s="47">
        <v>26446257</v>
      </c>
      <c r="B1548" s="46" t="s">
        <v>5425</v>
      </c>
      <c r="C1548" s="46" t="s">
        <v>5426</v>
      </c>
      <c r="D1548" s="48">
        <v>28533</v>
      </c>
      <c r="E1548" s="49">
        <f t="shared" ca="1" si="50"/>
        <v>48.378499189808345</v>
      </c>
      <c r="F1548" s="50">
        <v>155795400</v>
      </c>
      <c r="G1548" s="51" t="s">
        <v>70</v>
      </c>
      <c r="I1548" s="52" t="s">
        <v>5304</v>
      </c>
      <c r="J1548" s="46" t="s">
        <v>5427</v>
      </c>
      <c r="M1548" s="53" t="s">
        <v>5428</v>
      </c>
      <c r="N1548" s="46">
        <v>4107261</v>
      </c>
      <c r="O1548" s="46">
        <v>7127</v>
      </c>
      <c r="P1548" s="46">
        <v>3</v>
      </c>
    </row>
    <row r="1549" spans="1:21">
      <c r="A1549" s="47">
        <v>26446877</v>
      </c>
      <c r="B1549" s="46" t="s">
        <v>2248</v>
      </c>
      <c r="C1549" s="55" t="s">
        <v>5128</v>
      </c>
      <c r="D1549" s="48">
        <v>28586</v>
      </c>
      <c r="E1549" s="49">
        <f t="shared" ca="1" si="50"/>
        <v>48.23339107112924</v>
      </c>
      <c r="F1549" s="50">
        <v>154635875</v>
      </c>
      <c r="G1549" s="51" t="s">
        <v>70</v>
      </c>
      <c r="I1549" s="65" t="s">
        <v>4954</v>
      </c>
      <c r="J1549" s="55"/>
      <c r="K1549" s="55"/>
      <c r="L1549" s="55"/>
      <c r="M1549" s="53" t="s">
        <v>5129</v>
      </c>
      <c r="N1549" s="55"/>
      <c r="O1549" s="55"/>
    </row>
    <row r="1550" spans="1:21">
      <c r="A1550" s="47">
        <v>26454127</v>
      </c>
      <c r="B1550" s="46" t="s">
        <v>2622</v>
      </c>
      <c r="C1550" s="46" t="s">
        <v>4232</v>
      </c>
      <c r="D1550" s="48" t="s">
        <v>52</v>
      </c>
      <c r="E1550" s="49" t="str">
        <f t="shared" ca="1" si="50"/>
        <v/>
      </c>
      <c r="F1550" s="50" t="s">
        <v>4233</v>
      </c>
      <c r="G1550" s="51" t="s">
        <v>70</v>
      </c>
      <c r="H1550" s="52" t="s">
        <v>4234</v>
      </c>
      <c r="I1550" s="52" t="s">
        <v>4181</v>
      </c>
      <c r="J1550" s="46" t="s">
        <v>3313</v>
      </c>
      <c r="K1550" s="46" t="s">
        <v>81</v>
      </c>
      <c r="L1550" s="46" t="s">
        <v>52</v>
      </c>
      <c r="M1550" s="52" t="s">
        <v>4235</v>
      </c>
      <c r="N1550" s="46" t="s">
        <v>931</v>
      </c>
      <c r="O1550" s="46" t="s">
        <v>4236</v>
      </c>
      <c r="P1550" s="46" t="s">
        <v>59</v>
      </c>
      <c r="Q1550" s="46" t="s">
        <v>60</v>
      </c>
      <c r="R1550" s="46" t="s">
        <v>61</v>
      </c>
      <c r="S1550" s="46" t="s">
        <v>62</v>
      </c>
      <c r="T1550" s="46" t="s">
        <v>12</v>
      </c>
      <c r="U1550" s="46" t="s">
        <v>63</v>
      </c>
    </row>
    <row r="1551" spans="1:21">
      <c r="A1551" s="47">
        <v>26454194</v>
      </c>
      <c r="B1551" s="46" t="s">
        <v>8115</v>
      </c>
      <c r="C1551" s="46" t="s">
        <v>9857</v>
      </c>
      <c r="D1551" s="48" t="s">
        <v>9858</v>
      </c>
      <c r="E1551" s="49" t="s">
        <v>9667</v>
      </c>
      <c r="F1551" s="50" t="s">
        <v>9859</v>
      </c>
      <c r="G1551" s="51" t="s">
        <v>70</v>
      </c>
      <c r="H1551" s="52" t="s">
        <v>9860</v>
      </c>
      <c r="I1551" s="52" t="s">
        <v>2926</v>
      </c>
      <c r="J1551" s="46" t="s">
        <v>9861</v>
      </c>
      <c r="K1551" s="46" t="s">
        <v>390</v>
      </c>
      <c r="L1551" s="46" t="s">
        <v>546</v>
      </c>
      <c r="M1551" s="52" t="s">
        <v>9862</v>
      </c>
      <c r="N1551" s="46" t="s">
        <v>52</v>
      </c>
      <c r="O1551" s="46" t="s">
        <v>52</v>
      </c>
      <c r="P1551" s="46" t="s">
        <v>59</v>
      </c>
      <c r="Q1551" s="46" t="s">
        <v>60</v>
      </c>
      <c r="R1551" s="46" t="s">
        <v>61</v>
      </c>
      <c r="S1551" s="46" t="s">
        <v>62</v>
      </c>
      <c r="T1551" s="46" t="s">
        <v>12</v>
      </c>
      <c r="U1551" s="46" t="s">
        <v>63</v>
      </c>
    </row>
    <row r="1552" spans="1:21">
      <c r="A1552" s="66">
        <v>26454632</v>
      </c>
      <c r="B1552" s="67" t="s">
        <v>394</v>
      </c>
      <c r="C1552" s="52" t="s">
        <v>398</v>
      </c>
      <c r="D1552" s="48">
        <v>28491</v>
      </c>
      <c r="E1552" s="49">
        <f t="shared" ref="E1552:E1574" ca="1" si="51">IF(D1552="","",YEARFRAC(D1552,TODAY(),1))</f>
        <v>48.49349052913896</v>
      </c>
      <c r="F1552" s="57">
        <v>154634144</v>
      </c>
      <c r="G1552" s="51" t="s">
        <v>23</v>
      </c>
      <c r="I1552" s="52" t="s">
        <v>24</v>
      </c>
      <c r="M1552" s="58" t="s">
        <v>25</v>
      </c>
      <c r="N1552" s="55"/>
      <c r="O1552" s="55"/>
    </row>
    <row r="1553" spans="1:21">
      <c r="A1553" s="47">
        <v>26454669</v>
      </c>
      <c r="B1553" s="69" t="s">
        <v>6428</v>
      </c>
      <c r="C1553" s="52" t="s">
        <v>6429</v>
      </c>
      <c r="E1553" s="49" t="str">
        <f t="shared" ca="1" si="51"/>
        <v/>
      </c>
      <c r="F1553" s="50">
        <v>155013422</v>
      </c>
      <c r="G1553" s="51" t="s">
        <v>23</v>
      </c>
      <c r="I1553" s="52" t="s">
        <v>23</v>
      </c>
      <c r="M1553" s="58" t="s">
        <v>25</v>
      </c>
      <c r="N1553" s="55"/>
      <c r="O1553" s="55"/>
    </row>
    <row r="1554" spans="1:21">
      <c r="A1554" s="47">
        <v>26454917</v>
      </c>
      <c r="B1554" s="46" t="s">
        <v>218</v>
      </c>
      <c r="C1554" s="46" t="s">
        <v>3109</v>
      </c>
      <c r="D1554" s="48" t="s">
        <v>52</v>
      </c>
      <c r="E1554" s="49" t="str">
        <f t="shared" ca="1" si="51"/>
        <v/>
      </c>
      <c r="F1554" s="50" t="s">
        <v>3110</v>
      </c>
      <c r="G1554" s="51" t="s">
        <v>54</v>
      </c>
      <c r="H1554" s="52" t="s">
        <v>52</v>
      </c>
      <c r="I1554" s="52" t="s">
        <v>2926</v>
      </c>
      <c r="J1554" s="46" t="s">
        <v>52</v>
      </c>
      <c r="K1554" s="46" t="s">
        <v>57</v>
      </c>
      <c r="L1554" s="46" t="s">
        <v>546</v>
      </c>
      <c r="M1554" s="52" t="s">
        <v>582</v>
      </c>
      <c r="N1554" s="46" t="s">
        <v>52</v>
      </c>
      <c r="O1554" s="46" t="s">
        <v>52</v>
      </c>
      <c r="P1554" s="46" t="s">
        <v>59</v>
      </c>
      <c r="Q1554" s="46" t="s">
        <v>60</v>
      </c>
      <c r="R1554" s="46" t="s">
        <v>61</v>
      </c>
      <c r="S1554" s="46" t="s">
        <v>62</v>
      </c>
      <c r="T1554" s="46" t="s">
        <v>12</v>
      </c>
      <c r="U1554" s="46" t="s">
        <v>63</v>
      </c>
    </row>
    <row r="1555" spans="1:21">
      <c r="A1555" s="47">
        <v>26454967</v>
      </c>
      <c r="B1555" s="46" t="s">
        <v>971</v>
      </c>
      <c r="C1555" s="46" t="s">
        <v>972</v>
      </c>
      <c r="D1555" s="48">
        <v>28811</v>
      </c>
      <c r="E1555" s="49">
        <f t="shared" ca="1" si="51"/>
        <v>47.617366039000949</v>
      </c>
      <c r="F1555" s="50">
        <v>155752845</v>
      </c>
      <c r="G1555" s="51" t="s">
        <v>70</v>
      </c>
      <c r="I1555" s="59" t="s">
        <v>908</v>
      </c>
      <c r="M1555" s="53" t="s">
        <v>973</v>
      </c>
      <c r="N1555" s="46">
        <v>4107205</v>
      </c>
    </row>
    <row r="1556" spans="1:21">
      <c r="A1556" s="66">
        <v>26455321</v>
      </c>
      <c r="B1556" s="67" t="s">
        <v>285</v>
      </c>
      <c r="C1556" s="52" t="s">
        <v>287</v>
      </c>
      <c r="D1556" s="48">
        <v>28884</v>
      </c>
      <c r="E1556" s="49">
        <f t="shared" ca="1" si="51"/>
        <v>47.416837782340863</v>
      </c>
      <c r="F1556" s="57"/>
      <c r="G1556" s="51" t="s">
        <v>23</v>
      </c>
      <c r="I1556" s="52" t="s">
        <v>24</v>
      </c>
      <c r="M1556" s="58" t="s">
        <v>25</v>
      </c>
      <c r="N1556" s="55"/>
      <c r="O1556" s="55"/>
    </row>
    <row r="1557" spans="1:21">
      <c r="A1557" s="47">
        <v>26455841</v>
      </c>
      <c r="B1557" s="46" t="s">
        <v>608</v>
      </c>
      <c r="C1557" s="46" t="s">
        <v>1634</v>
      </c>
      <c r="D1557" s="48">
        <v>28976</v>
      </c>
      <c r="E1557" s="49">
        <f t="shared" ca="1" si="51"/>
        <v>47.16495550992471</v>
      </c>
      <c r="F1557" s="50">
        <v>156088628</v>
      </c>
      <c r="G1557" s="51" t="s">
        <v>141</v>
      </c>
      <c r="I1557" s="52" t="s">
        <v>5494</v>
      </c>
      <c r="J1557" s="46" t="s">
        <v>5519</v>
      </c>
      <c r="M1557" s="58" t="s">
        <v>25</v>
      </c>
      <c r="O1557" s="46">
        <v>4218077</v>
      </c>
    </row>
    <row r="1558" spans="1:21">
      <c r="A1558" s="47">
        <v>26474429</v>
      </c>
      <c r="B1558" s="46" t="s">
        <v>8789</v>
      </c>
      <c r="C1558" s="46" t="s">
        <v>1072</v>
      </c>
      <c r="E1558" s="49" t="str">
        <f t="shared" ca="1" si="51"/>
        <v/>
      </c>
      <c r="F1558" s="50">
        <v>155659177</v>
      </c>
      <c r="G1558" s="51" t="s">
        <v>23</v>
      </c>
      <c r="I1558" s="59" t="s">
        <v>908</v>
      </c>
      <c r="M1558" s="53" t="s">
        <v>1073</v>
      </c>
    </row>
    <row r="1559" spans="1:21">
      <c r="A1559" s="47">
        <v>26484383</v>
      </c>
      <c r="B1559" s="69" t="s">
        <v>8802</v>
      </c>
      <c r="C1559" s="70" t="s">
        <v>1353</v>
      </c>
      <c r="D1559" s="48">
        <v>28649</v>
      </c>
      <c r="E1559" s="49">
        <f t="shared" ca="1" si="51"/>
        <v>48.060904062133318</v>
      </c>
      <c r="F1559" s="50">
        <v>156428421</v>
      </c>
      <c r="G1559" s="51" t="s">
        <v>23</v>
      </c>
      <c r="I1559" s="52" t="s">
        <v>5494</v>
      </c>
      <c r="J1559" s="46" t="s">
        <v>2264</v>
      </c>
      <c r="M1559" s="53" t="s">
        <v>5717</v>
      </c>
      <c r="N1559" s="55">
        <v>4526343</v>
      </c>
      <c r="O1559" s="55"/>
    </row>
    <row r="1560" spans="1:21">
      <c r="A1560" s="47">
        <v>26485355</v>
      </c>
      <c r="B1560" s="46" t="s">
        <v>1950</v>
      </c>
      <c r="C1560" s="52" t="s">
        <v>832</v>
      </c>
      <c r="D1560" s="48">
        <v>28583</v>
      </c>
      <c r="E1560" s="49">
        <f t="shared" ca="1" si="51"/>
        <v>48.241604738224282</v>
      </c>
      <c r="F1560" s="50">
        <v>154018945</v>
      </c>
      <c r="G1560" s="51" t="s">
        <v>23</v>
      </c>
      <c r="I1560" s="52" t="s">
        <v>1881</v>
      </c>
      <c r="J1560" s="46" t="s">
        <v>1034</v>
      </c>
      <c r="M1560" s="53" t="s">
        <v>1951</v>
      </c>
      <c r="N1560" s="55"/>
      <c r="O1560" s="55"/>
    </row>
    <row r="1561" spans="1:21">
      <c r="A1561" s="47">
        <v>26501156</v>
      </c>
      <c r="B1561" s="46" t="s">
        <v>2163</v>
      </c>
      <c r="C1561" s="52" t="s">
        <v>2164</v>
      </c>
      <c r="D1561" s="48" t="s">
        <v>52</v>
      </c>
      <c r="E1561" s="49" t="str">
        <f t="shared" ca="1" si="51"/>
        <v/>
      </c>
      <c r="F1561" s="50" t="s">
        <v>2165</v>
      </c>
      <c r="G1561" s="51" t="s">
        <v>141</v>
      </c>
      <c r="H1561" s="52" t="s">
        <v>52</v>
      </c>
      <c r="I1561" s="52" t="s">
        <v>1881</v>
      </c>
      <c r="J1561" s="46" t="s">
        <v>2166</v>
      </c>
      <c r="K1561" s="46" t="s">
        <v>81</v>
      </c>
      <c r="L1561" s="46" t="s">
        <v>52</v>
      </c>
      <c r="M1561" s="53" t="s">
        <v>2167</v>
      </c>
      <c r="N1561" s="55" t="s">
        <v>52</v>
      </c>
      <c r="O1561" s="55" t="s">
        <v>52</v>
      </c>
      <c r="P1561" s="46" t="s">
        <v>59</v>
      </c>
      <c r="Q1561" s="46" t="s">
        <v>60</v>
      </c>
      <c r="R1561" s="46" t="s">
        <v>61</v>
      </c>
      <c r="S1561" s="46" t="s">
        <v>62</v>
      </c>
      <c r="T1561" s="46" t="s">
        <v>12</v>
      </c>
      <c r="U1561" s="46" t="s">
        <v>63</v>
      </c>
    </row>
    <row r="1562" spans="1:21">
      <c r="A1562" s="47">
        <v>26506617</v>
      </c>
      <c r="B1562" s="46" t="s">
        <v>1890</v>
      </c>
      <c r="C1562" s="46" t="s">
        <v>4081</v>
      </c>
      <c r="D1562" s="48">
        <v>28628</v>
      </c>
      <c r="E1562" s="49">
        <f t="shared" ca="1" si="51"/>
        <v>48.118399731798625</v>
      </c>
      <c r="F1562" s="50">
        <v>154670832</v>
      </c>
      <c r="G1562" s="51" t="s">
        <v>23</v>
      </c>
      <c r="I1562" s="52" t="s">
        <v>4078</v>
      </c>
      <c r="J1562" s="46" t="s">
        <v>2140</v>
      </c>
      <c r="M1562" s="53" t="s">
        <v>4082</v>
      </c>
      <c r="N1562" s="46">
        <v>3865483797</v>
      </c>
    </row>
    <row r="1563" spans="1:21">
      <c r="A1563" s="47">
        <v>26531319</v>
      </c>
      <c r="B1563" s="46" t="s">
        <v>2243</v>
      </c>
      <c r="C1563" s="52" t="s">
        <v>365</v>
      </c>
      <c r="D1563" s="48">
        <v>28562</v>
      </c>
      <c r="E1563" s="49">
        <f t="shared" ca="1" si="51"/>
        <v>48.29910040788959</v>
      </c>
      <c r="F1563" s="50">
        <v>156594485</v>
      </c>
      <c r="G1563" s="51" t="s">
        <v>23</v>
      </c>
      <c r="I1563" s="52" t="s">
        <v>1881</v>
      </c>
      <c r="J1563" s="46" t="s">
        <v>48</v>
      </c>
      <c r="M1563" s="53" t="s">
        <v>1909</v>
      </c>
      <c r="N1563" s="55"/>
      <c r="O1563" s="55"/>
    </row>
    <row r="1564" spans="1:21">
      <c r="A1564" s="47">
        <v>26579620</v>
      </c>
      <c r="B1564" s="46" t="s">
        <v>2304</v>
      </c>
      <c r="C1564" s="46" t="s">
        <v>2010</v>
      </c>
      <c r="D1564" s="48">
        <v>28594</v>
      </c>
      <c r="E1564" s="49">
        <f t="shared" ca="1" si="51"/>
        <v>48.211487958875786</v>
      </c>
      <c r="F1564" s="50" t="s">
        <v>4177</v>
      </c>
      <c r="G1564" s="51" t="s">
        <v>23</v>
      </c>
      <c r="I1564" s="52" t="s">
        <v>4078</v>
      </c>
      <c r="J1564" s="46" t="s">
        <v>4178</v>
      </c>
      <c r="M1564" s="53" t="s">
        <v>4179</v>
      </c>
      <c r="N1564" s="46">
        <v>3865483797</v>
      </c>
    </row>
    <row r="1565" spans="1:21">
      <c r="A1565" s="47">
        <v>26618665</v>
      </c>
      <c r="B1565" s="46" t="s">
        <v>3037</v>
      </c>
      <c r="C1565" s="52" t="s">
        <v>1103</v>
      </c>
      <c r="D1565" s="48">
        <v>28587</v>
      </c>
      <c r="E1565" s="49">
        <f t="shared" ca="1" si="51"/>
        <v>48.230653182097555</v>
      </c>
      <c r="F1565" s="50">
        <v>154750027</v>
      </c>
      <c r="G1565" s="51" t="s">
        <v>141</v>
      </c>
      <c r="I1565" s="52" t="s">
        <v>2926</v>
      </c>
      <c r="J1565" s="46" t="s">
        <v>38</v>
      </c>
      <c r="M1565" s="53" t="s">
        <v>3038</v>
      </c>
      <c r="N1565" s="55">
        <v>4107372</v>
      </c>
      <c r="O1565" s="55"/>
    </row>
    <row r="1566" spans="1:21">
      <c r="A1566" s="47">
        <v>26638009</v>
      </c>
      <c r="B1566" s="46" t="s">
        <v>5058</v>
      </c>
      <c r="C1566" s="52" t="s">
        <v>1634</v>
      </c>
      <c r="D1566" s="48">
        <v>28597</v>
      </c>
      <c r="E1566" s="49">
        <f t="shared" ca="1" si="51"/>
        <v>48.203274291780744</v>
      </c>
      <c r="F1566" s="50">
        <v>155902318</v>
      </c>
      <c r="G1566" s="51" t="s">
        <v>23</v>
      </c>
      <c r="I1566" s="65" t="s">
        <v>4954</v>
      </c>
      <c r="J1566" s="46" t="s">
        <v>5059</v>
      </c>
      <c r="M1566" s="53" t="s">
        <v>5060</v>
      </c>
      <c r="N1566" s="55"/>
      <c r="O1566" s="55"/>
    </row>
    <row r="1567" spans="1:21">
      <c r="A1567" s="64">
        <v>26638050</v>
      </c>
      <c r="B1567" s="61" t="s">
        <v>443</v>
      </c>
      <c r="C1567" s="62" t="s">
        <v>444</v>
      </c>
      <c r="D1567" s="48">
        <v>24515</v>
      </c>
      <c r="E1567" s="49">
        <f t="shared" ca="1" si="51"/>
        <v>59.378507871321013</v>
      </c>
      <c r="F1567" s="63">
        <v>155291967</v>
      </c>
      <c r="G1567" s="51" t="s">
        <v>23</v>
      </c>
      <c r="I1567" s="52" t="s">
        <v>3166</v>
      </c>
      <c r="J1567" s="61" t="s">
        <v>3270</v>
      </c>
      <c r="K1567" s="61"/>
      <c r="L1567" s="61"/>
      <c r="M1567" s="53" t="s">
        <v>3271</v>
      </c>
      <c r="N1567" s="55"/>
      <c r="O1567" s="55"/>
    </row>
    <row r="1568" spans="1:21">
      <c r="A1568" s="60">
        <v>26638080</v>
      </c>
      <c r="B1568" s="61" t="s">
        <v>443</v>
      </c>
      <c r="C1568" s="62" t="s">
        <v>444</v>
      </c>
      <c r="D1568" s="48">
        <v>28611</v>
      </c>
      <c r="E1568" s="49">
        <f t="shared" ca="1" si="51"/>
        <v>48.164943845337206</v>
      </c>
      <c r="F1568" s="63">
        <v>155474647</v>
      </c>
      <c r="G1568" s="51" t="s">
        <v>23</v>
      </c>
      <c r="I1568" s="52" t="s">
        <v>24</v>
      </c>
      <c r="J1568" s="61" t="s">
        <v>445</v>
      </c>
      <c r="K1568" s="61"/>
      <c r="L1568" s="61"/>
      <c r="M1568" s="53" t="s">
        <v>446</v>
      </c>
      <c r="N1568" s="55"/>
      <c r="O1568" s="55"/>
    </row>
    <row r="1569" spans="1:21">
      <c r="A1569" s="47">
        <v>26638536</v>
      </c>
      <c r="B1569" s="46" t="s">
        <v>901</v>
      </c>
      <c r="C1569" s="46" t="s">
        <v>902</v>
      </c>
      <c r="D1569" s="48" t="s">
        <v>52</v>
      </c>
      <c r="E1569" s="49" t="str">
        <f t="shared" ca="1" si="51"/>
        <v/>
      </c>
      <c r="F1569" s="50" t="s">
        <v>6370</v>
      </c>
      <c r="G1569" s="51" t="s">
        <v>70</v>
      </c>
      <c r="H1569" s="52" t="s">
        <v>1260</v>
      </c>
      <c r="I1569" s="52" t="s">
        <v>23</v>
      </c>
      <c r="J1569" s="46" t="s">
        <v>6371</v>
      </c>
      <c r="K1569" s="46" t="s">
        <v>52</v>
      </c>
      <c r="L1569" s="46" t="s">
        <v>52</v>
      </c>
      <c r="M1569" s="53" t="s">
        <v>6372</v>
      </c>
      <c r="N1569" s="46" t="s">
        <v>52</v>
      </c>
      <c r="O1569" s="46" t="s">
        <v>6283</v>
      </c>
      <c r="P1569" s="46" t="s">
        <v>59</v>
      </c>
      <c r="Q1569" s="46" t="s">
        <v>60</v>
      </c>
      <c r="R1569" s="46" t="s">
        <v>61</v>
      </c>
      <c r="S1569" s="46" t="s">
        <v>62</v>
      </c>
      <c r="T1569" s="46" t="s">
        <v>12</v>
      </c>
      <c r="U1569" s="46" t="s">
        <v>63</v>
      </c>
    </row>
    <row r="1570" spans="1:21">
      <c r="A1570" s="60">
        <v>26638778</v>
      </c>
      <c r="B1570" s="61" t="s">
        <v>184</v>
      </c>
      <c r="C1570" s="62" t="s">
        <v>3440</v>
      </c>
      <c r="D1570" s="48">
        <v>28622</v>
      </c>
      <c r="E1570" s="49">
        <f t="shared" ca="1" si="51"/>
        <v>48.134827065988716</v>
      </c>
      <c r="F1570" s="63"/>
      <c r="G1570" s="51" t="s">
        <v>23</v>
      </c>
      <c r="I1570" s="52" t="s">
        <v>3427</v>
      </c>
      <c r="J1570" s="61" t="s">
        <v>1088</v>
      </c>
      <c r="K1570" s="61"/>
      <c r="L1570" s="61"/>
      <c r="M1570" s="53" t="s">
        <v>3441</v>
      </c>
      <c r="N1570" s="55"/>
      <c r="O1570" s="55"/>
    </row>
    <row r="1571" spans="1:21">
      <c r="A1571" s="47">
        <v>26638836</v>
      </c>
      <c r="B1571" s="46" t="s">
        <v>3176</v>
      </c>
      <c r="C1571" s="46" t="s">
        <v>5773</v>
      </c>
      <c r="D1571" s="48">
        <v>28627</v>
      </c>
      <c r="E1571" s="49">
        <f t="shared" ca="1" si="51"/>
        <v>48.121137620830304</v>
      </c>
      <c r="F1571" s="50">
        <v>153668363</v>
      </c>
      <c r="G1571" s="51" t="s">
        <v>141</v>
      </c>
      <c r="I1571" s="52" t="s">
        <v>5761</v>
      </c>
      <c r="J1571" s="46" t="s">
        <v>5774</v>
      </c>
      <c r="M1571" s="52" t="s">
        <v>5775</v>
      </c>
      <c r="N1571" s="46">
        <v>4364093</v>
      </c>
      <c r="O1571" s="46">
        <v>7916</v>
      </c>
      <c r="P1571" s="46">
        <v>4</v>
      </c>
    </row>
    <row r="1572" spans="1:21">
      <c r="A1572" s="47">
        <v>26638839</v>
      </c>
      <c r="B1572" s="46" t="s">
        <v>901</v>
      </c>
      <c r="C1572" s="46" t="s">
        <v>902</v>
      </c>
      <c r="D1572" s="48">
        <v>28625</v>
      </c>
      <c r="E1572" s="49">
        <f t="shared" ca="1" si="51"/>
        <v>48.126613398893667</v>
      </c>
      <c r="F1572" s="50">
        <v>153204911</v>
      </c>
      <c r="G1572" s="51" t="s">
        <v>70</v>
      </c>
      <c r="I1572" s="52" t="s">
        <v>889</v>
      </c>
      <c r="J1572" s="46" t="s">
        <v>903</v>
      </c>
      <c r="M1572" s="53" t="s">
        <v>904</v>
      </c>
      <c r="O1572" s="46">
        <v>4515253</v>
      </c>
    </row>
    <row r="1573" spans="1:21">
      <c r="A1573" s="47">
        <v>26675972</v>
      </c>
      <c r="B1573" s="46" t="s">
        <v>5126</v>
      </c>
      <c r="C1573" s="55" t="s">
        <v>2753</v>
      </c>
      <c r="D1573" s="48">
        <v>28780</v>
      </c>
      <c r="E1573" s="49">
        <f t="shared" ca="1" si="51"/>
        <v>47.702240598983067</v>
      </c>
      <c r="F1573" s="50">
        <v>156442764</v>
      </c>
      <c r="G1573" s="51" t="s">
        <v>86</v>
      </c>
      <c r="I1573" s="65" t="s">
        <v>4954</v>
      </c>
      <c r="J1573" s="55"/>
      <c r="K1573" s="55"/>
      <c r="L1573" s="55"/>
      <c r="M1573" s="53" t="s">
        <v>5127</v>
      </c>
      <c r="N1573" s="55">
        <v>4107248</v>
      </c>
      <c r="O1573" s="55"/>
    </row>
    <row r="1574" spans="1:21">
      <c r="A1574" s="47">
        <v>26676787</v>
      </c>
      <c r="B1574" s="46" t="s">
        <v>428</v>
      </c>
      <c r="C1574" s="52" t="s">
        <v>2804</v>
      </c>
      <c r="D1574" s="48">
        <v>28651</v>
      </c>
      <c r="E1574" s="49">
        <f t="shared" ca="1" si="51"/>
        <v>48.055428284069954</v>
      </c>
      <c r="F1574" s="50">
        <v>156417708</v>
      </c>
      <c r="G1574" s="51" t="s">
        <v>23</v>
      </c>
      <c r="I1574" s="52" t="s">
        <v>2778</v>
      </c>
      <c r="J1574" s="46" t="s">
        <v>2805</v>
      </c>
      <c r="M1574" s="53" t="s">
        <v>2806</v>
      </c>
      <c r="N1574" s="55"/>
      <c r="O1574" s="55"/>
    </row>
    <row r="1575" spans="1:21">
      <c r="A1575" s="47">
        <v>26684025</v>
      </c>
      <c r="B1575" s="46" t="s">
        <v>6366</v>
      </c>
      <c r="C1575" s="46" t="s">
        <v>9665</v>
      </c>
      <c r="D1575" s="48" t="s">
        <v>9666</v>
      </c>
      <c r="E1575" s="49" t="s">
        <v>9667</v>
      </c>
      <c r="F1575" s="50" t="s">
        <v>9668</v>
      </c>
      <c r="G1575" s="51" t="s">
        <v>70</v>
      </c>
      <c r="H1575" s="52" t="s">
        <v>9669</v>
      </c>
      <c r="I1575" s="52" t="s">
        <v>1497</v>
      </c>
      <c r="J1575" s="46" t="s">
        <v>1873</v>
      </c>
      <c r="K1575" s="46" t="s">
        <v>159</v>
      </c>
      <c r="L1575" s="46" t="s">
        <v>546</v>
      </c>
      <c r="M1575" s="52" t="s">
        <v>9670</v>
      </c>
      <c r="N1575" s="46" t="s">
        <v>52</v>
      </c>
      <c r="O1575" s="46" t="s">
        <v>52</v>
      </c>
      <c r="P1575" s="46" t="s">
        <v>59</v>
      </c>
      <c r="Q1575" s="46" t="s">
        <v>60</v>
      </c>
      <c r="R1575" s="46" t="s">
        <v>61</v>
      </c>
      <c r="S1575" s="46" t="s">
        <v>62</v>
      </c>
      <c r="T1575" s="46" t="s">
        <v>12</v>
      </c>
      <c r="U1575" s="46" t="s">
        <v>63</v>
      </c>
    </row>
    <row r="1576" spans="1:21">
      <c r="A1576" s="47">
        <v>26684064</v>
      </c>
      <c r="B1576" s="46" t="s">
        <v>3360</v>
      </c>
      <c r="C1576" s="55" t="s">
        <v>3361</v>
      </c>
      <c r="D1576" s="48">
        <v>28641</v>
      </c>
      <c r="E1576" s="49">
        <f ca="1">IF(D1576="","",YEARFRAC(D1576,TODAY(),1))</f>
        <v>48.082807174386765</v>
      </c>
      <c r="F1576" s="50">
        <v>154458957</v>
      </c>
      <c r="G1576" s="51" t="s">
        <v>23</v>
      </c>
      <c r="I1576" s="52" t="s">
        <v>3327</v>
      </c>
      <c r="J1576" s="55" t="s">
        <v>3362</v>
      </c>
      <c r="K1576" s="55"/>
      <c r="L1576" s="55"/>
      <c r="M1576" s="53" t="s">
        <v>3363</v>
      </c>
      <c r="N1576" s="55"/>
      <c r="O1576" s="55"/>
    </row>
    <row r="1577" spans="1:21">
      <c r="A1577" s="47">
        <v>26684318</v>
      </c>
      <c r="B1577" s="46" t="s">
        <v>190</v>
      </c>
      <c r="C1577" s="46" t="s">
        <v>2743</v>
      </c>
      <c r="D1577" s="48">
        <v>28658</v>
      </c>
      <c r="E1577" s="49">
        <f ca="1">IF(D1577="","",YEARFRAC(D1577,TODAY(),1))</f>
        <v>48.036263060848185</v>
      </c>
      <c r="F1577" s="50">
        <v>153304363</v>
      </c>
      <c r="G1577" s="51" t="s">
        <v>78</v>
      </c>
      <c r="I1577" s="52" t="s">
        <v>2744</v>
      </c>
      <c r="J1577" s="46" t="s">
        <v>38</v>
      </c>
      <c r="M1577" s="53" t="s">
        <v>2745</v>
      </c>
      <c r="N1577" s="46">
        <v>4248026</v>
      </c>
      <c r="O1577" s="46">
        <v>7185</v>
      </c>
    </row>
    <row r="1578" spans="1:21">
      <c r="A1578" s="47">
        <v>26684469</v>
      </c>
      <c r="B1578" s="46" t="s">
        <v>4772</v>
      </c>
      <c r="C1578" s="52" t="s">
        <v>1736</v>
      </c>
      <c r="D1578" s="48">
        <v>28604</v>
      </c>
      <c r="E1578" s="49">
        <f ca="1">IF(D1578="","",YEARFRAC(D1578,TODAY(),1))</f>
        <v>48.184109068558975</v>
      </c>
      <c r="G1578" s="51" t="s">
        <v>141</v>
      </c>
      <c r="I1578" s="65" t="s">
        <v>4708</v>
      </c>
      <c r="J1578" s="46" t="s">
        <v>4773</v>
      </c>
      <c r="M1578" s="53" t="s">
        <v>4774</v>
      </c>
      <c r="N1578" s="55">
        <v>4231722</v>
      </c>
      <c r="O1578" s="55"/>
    </row>
    <row r="1579" spans="1:21">
      <c r="A1579" s="47">
        <v>26684869</v>
      </c>
      <c r="B1579" s="46" t="s">
        <v>4769</v>
      </c>
      <c r="C1579" s="52" t="s">
        <v>1736</v>
      </c>
      <c r="D1579" s="48">
        <v>28604</v>
      </c>
      <c r="E1579" s="49">
        <f ca="1">IF(D1579="","",YEARFRAC(D1579,TODAY(),1))</f>
        <v>48.184109068558975</v>
      </c>
      <c r="F1579" s="50">
        <v>156098583</v>
      </c>
      <c r="G1579" s="51" t="s">
        <v>23</v>
      </c>
      <c r="I1579" s="65" t="s">
        <v>4708</v>
      </c>
      <c r="J1579" s="46" t="s">
        <v>417</v>
      </c>
      <c r="M1579" s="53" t="s">
        <v>4770</v>
      </c>
      <c r="N1579" s="55" t="s">
        <v>4771</v>
      </c>
      <c r="O1579" s="55"/>
    </row>
    <row r="1580" spans="1:21">
      <c r="A1580" s="47">
        <v>26685498</v>
      </c>
      <c r="B1580" s="46" t="s">
        <v>9801</v>
      </c>
      <c r="C1580" s="46" t="s">
        <v>9802</v>
      </c>
      <c r="D1580" s="48" t="s">
        <v>9803</v>
      </c>
      <c r="E1580" s="49" t="s">
        <v>1241</v>
      </c>
      <c r="F1580" s="50" t="s">
        <v>9804</v>
      </c>
      <c r="G1580" s="51" t="s">
        <v>70</v>
      </c>
      <c r="H1580" s="52" t="s">
        <v>9805</v>
      </c>
      <c r="I1580" s="52" t="s">
        <v>908</v>
      </c>
      <c r="J1580" s="46" t="s">
        <v>9806</v>
      </c>
      <c r="K1580" s="46" t="s">
        <v>390</v>
      </c>
      <c r="L1580" s="46" t="s">
        <v>546</v>
      </c>
      <c r="M1580" s="52" t="s">
        <v>9807</v>
      </c>
      <c r="N1580" s="46" t="s">
        <v>52</v>
      </c>
      <c r="O1580" s="46" t="s">
        <v>52</v>
      </c>
      <c r="P1580" s="46" t="s">
        <v>59</v>
      </c>
      <c r="Q1580" s="46" t="s">
        <v>60</v>
      </c>
      <c r="R1580" s="46" t="s">
        <v>61</v>
      </c>
      <c r="S1580" s="46" t="s">
        <v>62</v>
      </c>
      <c r="T1580" s="46" t="s">
        <v>12</v>
      </c>
      <c r="U1580" s="46" t="s">
        <v>63</v>
      </c>
    </row>
    <row r="1581" spans="1:21">
      <c r="A1581" s="47">
        <v>26722044</v>
      </c>
      <c r="B1581" s="46" t="s">
        <v>2116</v>
      </c>
      <c r="C1581" s="46" t="s">
        <v>2117</v>
      </c>
      <c r="E1581" s="49" t="str">
        <f t="shared" ref="E1581:E1588" ca="1" si="52">IF(D1581="","",YEARFRAC(D1581,TODAY(),1))</f>
        <v/>
      </c>
      <c r="F1581" s="50">
        <v>155947109</v>
      </c>
      <c r="G1581" s="51" t="s">
        <v>23</v>
      </c>
      <c r="I1581" s="52" t="s">
        <v>1881</v>
      </c>
      <c r="M1581" s="53" t="s">
        <v>2118</v>
      </c>
      <c r="N1581" s="46">
        <v>4107589</v>
      </c>
    </row>
    <row r="1582" spans="1:21">
      <c r="A1582" s="47">
        <v>26722084</v>
      </c>
      <c r="B1582" s="46" t="s">
        <v>1677</v>
      </c>
      <c r="C1582" s="46" t="s">
        <v>1521</v>
      </c>
      <c r="D1582" s="48">
        <v>28684</v>
      </c>
      <c r="E1582" s="49">
        <f t="shared" ca="1" si="52"/>
        <v>47.965077946024472</v>
      </c>
      <c r="F1582" s="50">
        <v>155293880</v>
      </c>
      <c r="G1582" s="51" t="s">
        <v>70</v>
      </c>
      <c r="I1582" s="52" t="s">
        <v>1657</v>
      </c>
      <c r="J1582" s="46" t="s">
        <v>1678</v>
      </c>
      <c r="M1582" s="53" t="s">
        <v>1679</v>
      </c>
    </row>
    <row r="1583" spans="1:21">
      <c r="A1583" s="47">
        <v>26722130</v>
      </c>
      <c r="B1583" s="46" t="s">
        <v>863</v>
      </c>
      <c r="C1583" s="46" t="s">
        <v>579</v>
      </c>
      <c r="D1583" s="48">
        <v>28662</v>
      </c>
      <c r="E1583" s="49">
        <f t="shared" ca="1" si="52"/>
        <v>48.025311504721465</v>
      </c>
      <c r="F1583" s="50">
        <v>156365205</v>
      </c>
      <c r="G1583" s="51" t="s">
        <v>141</v>
      </c>
      <c r="I1583" s="59" t="s">
        <v>908</v>
      </c>
      <c r="J1583" s="46" t="s">
        <v>38</v>
      </c>
      <c r="M1583" s="53" t="s">
        <v>2529</v>
      </c>
      <c r="N1583" s="46" t="s">
        <v>2530</v>
      </c>
      <c r="P1583" s="46">
        <v>3</v>
      </c>
    </row>
    <row r="1584" spans="1:21">
      <c r="A1584" s="47">
        <v>26722184</v>
      </c>
      <c r="B1584" s="46" t="s">
        <v>3979</v>
      </c>
      <c r="C1584" s="46" t="s">
        <v>3980</v>
      </c>
      <c r="D1584" s="48">
        <v>28683</v>
      </c>
      <c r="E1584" s="49">
        <f t="shared" ca="1" si="52"/>
        <v>47.967815835056157</v>
      </c>
      <c r="G1584" s="51" t="s">
        <v>141</v>
      </c>
      <c r="I1584" s="52" t="s">
        <v>3956</v>
      </c>
      <c r="J1584" s="46" t="s">
        <v>38</v>
      </c>
      <c r="M1584" s="58" t="s">
        <v>25</v>
      </c>
      <c r="N1584" s="46">
        <v>4215375</v>
      </c>
    </row>
    <row r="1585" spans="1:21">
      <c r="A1585" s="47">
        <v>26722346</v>
      </c>
      <c r="B1585" s="46" t="s">
        <v>2451</v>
      </c>
      <c r="C1585" s="46" t="s">
        <v>5991</v>
      </c>
      <c r="E1585" s="49" t="str">
        <f t="shared" ca="1" si="52"/>
        <v/>
      </c>
      <c r="G1585" s="51" t="s">
        <v>23</v>
      </c>
      <c r="I1585" s="52" t="s">
        <v>23</v>
      </c>
      <c r="M1585" s="53" t="s">
        <v>5992</v>
      </c>
    </row>
    <row r="1586" spans="1:21">
      <c r="A1586" s="47">
        <v>26722359</v>
      </c>
      <c r="B1586" s="46" t="s">
        <v>1660</v>
      </c>
      <c r="C1586" s="46" t="s">
        <v>3921</v>
      </c>
      <c r="E1586" s="49" t="str">
        <f t="shared" ca="1" si="52"/>
        <v/>
      </c>
      <c r="F1586" s="50">
        <v>153529108</v>
      </c>
      <c r="G1586" s="51" t="s">
        <v>23</v>
      </c>
      <c r="I1586" s="52" t="s">
        <v>3922</v>
      </c>
      <c r="M1586" s="53" t="s">
        <v>3923</v>
      </c>
    </row>
    <row r="1587" spans="1:21">
      <c r="A1587" s="47">
        <v>26722770</v>
      </c>
      <c r="B1587" s="46" t="s">
        <v>1588</v>
      </c>
      <c r="C1587" s="52" t="s">
        <v>1591</v>
      </c>
      <c r="D1587" s="48">
        <v>28705</v>
      </c>
      <c r="E1587" s="49">
        <f t="shared" ca="1" si="52"/>
        <v>47.907582276359165</v>
      </c>
      <c r="F1587" s="50">
        <v>156722745</v>
      </c>
      <c r="G1587" s="51" t="s">
        <v>54</v>
      </c>
      <c r="I1587" s="52" t="s">
        <v>1497</v>
      </c>
      <c r="J1587" s="46" t="s">
        <v>982</v>
      </c>
      <c r="M1587" s="58" t="s">
        <v>25</v>
      </c>
      <c r="N1587" s="55">
        <v>4239456</v>
      </c>
      <c r="O1587" s="55"/>
    </row>
    <row r="1588" spans="1:21">
      <c r="A1588" s="47">
        <v>26722853</v>
      </c>
      <c r="B1588" s="46" t="s">
        <v>5974</v>
      </c>
      <c r="C1588" s="46" t="s">
        <v>5975</v>
      </c>
      <c r="D1588" s="68"/>
      <c r="E1588" s="49" t="str">
        <f t="shared" ca="1" si="52"/>
        <v/>
      </c>
      <c r="F1588" s="50">
        <v>154634315</v>
      </c>
      <c r="G1588" s="51" t="s">
        <v>23</v>
      </c>
      <c r="I1588" s="52" t="s">
        <v>23</v>
      </c>
      <c r="M1588" s="53" t="s">
        <v>5976</v>
      </c>
    </row>
    <row r="1589" spans="1:21">
      <c r="A1589" s="47">
        <v>26722921</v>
      </c>
      <c r="B1589" s="46" t="s">
        <v>9827</v>
      </c>
      <c r="C1589" s="46" t="s">
        <v>9828</v>
      </c>
      <c r="D1589" s="48" t="s">
        <v>9829</v>
      </c>
      <c r="E1589" s="49" t="s">
        <v>9667</v>
      </c>
      <c r="F1589" s="50" t="s">
        <v>9830</v>
      </c>
      <c r="G1589" s="51" t="s">
        <v>70</v>
      </c>
      <c r="H1589" s="52" t="s">
        <v>3815</v>
      </c>
      <c r="I1589" s="52" t="s">
        <v>2926</v>
      </c>
      <c r="J1589" s="46" t="s">
        <v>9831</v>
      </c>
      <c r="K1589" s="46" t="s">
        <v>390</v>
      </c>
      <c r="L1589" s="46" t="s">
        <v>546</v>
      </c>
      <c r="M1589" s="52" t="s">
        <v>9832</v>
      </c>
      <c r="N1589" s="46" t="s">
        <v>52</v>
      </c>
      <c r="O1589" s="46" t="s">
        <v>52</v>
      </c>
      <c r="P1589" s="46" t="s">
        <v>59</v>
      </c>
      <c r="Q1589" s="46" t="s">
        <v>60</v>
      </c>
      <c r="R1589" s="46" t="s">
        <v>61</v>
      </c>
      <c r="S1589" s="46" t="s">
        <v>62</v>
      </c>
      <c r="T1589" s="46" t="s">
        <v>12</v>
      </c>
      <c r="U1589" s="46" t="s">
        <v>63</v>
      </c>
    </row>
    <row r="1590" spans="1:21">
      <c r="A1590" s="47">
        <v>26736021</v>
      </c>
      <c r="B1590" s="46" t="s">
        <v>359</v>
      </c>
      <c r="C1590" s="46" t="s">
        <v>1785</v>
      </c>
      <c r="D1590" s="48">
        <v>28684</v>
      </c>
      <c r="E1590" s="49">
        <f t="shared" ref="E1590:E1628" ca="1" si="53">IF(D1590="","",YEARFRAC(D1590,TODAY(),1))</f>
        <v>47.965077946024472</v>
      </c>
      <c r="F1590" s="50">
        <v>156522289</v>
      </c>
      <c r="G1590" s="51" t="s">
        <v>86</v>
      </c>
      <c r="I1590" s="52" t="s">
        <v>1657</v>
      </c>
      <c r="J1590" s="46" t="s">
        <v>38</v>
      </c>
      <c r="M1590" s="53" t="s">
        <v>1786</v>
      </c>
      <c r="P1590" s="46">
        <v>4</v>
      </c>
    </row>
    <row r="1591" spans="1:21">
      <c r="A1591" s="47">
        <v>26743740</v>
      </c>
      <c r="B1591" s="46" t="s">
        <v>794</v>
      </c>
      <c r="C1591" s="46" t="s">
        <v>2371</v>
      </c>
      <c r="D1591" s="48" t="s">
        <v>52</v>
      </c>
      <c r="E1591" s="49" t="str">
        <f t="shared" ca="1" si="53"/>
        <v/>
      </c>
      <c r="F1591" s="50" t="s">
        <v>2372</v>
      </c>
      <c r="G1591" s="51" t="s">
        <v>86</v>
      </c>
      <c r="H1591" s="52" t="s">
        <v>52</v>
      </c>
      <c r="I1591" s="52" t="s">
        <v>1497</v>
      </c>
      <c r="J1591" s="46" t="s">
        <v>396</v>
      </c>
      <c r="K1591" s="46" t="s">
        <v>81</v>
      </c>
      <c r="L1591" s="46" t="s">
        <v>52</v>
      </c>
      <c r="M1591" s="53" t="s">
        <v>2373</v>
      </c>
      <c r="N1591" s="46" t="s">
        <v>1580</v>
      </c>
      <c r="O1591" s="46" t="s">
        <v>2374</v>
      </c>
      <c r="P1591" s="46" t="s">
        <v>59</v>
      </c>
      <c r="Q1591" s="46" t="s">
        <v>60</v>
      </c>
      <c r="R1591" s="46" t="s">
        <v>61</v>
      </c>
      <c r="S1591" s="46" t="s">
        <v>62</v>
      </c>
      <c r="T1591" s="46" t="s">
        <v>12</v>
      </c>
      <c r="U1591" s="46" t="s">
        <v>63</v>
      </c>
    </row>
    <row r="1592" spans="1:21">
      <c r="A1592" s="47">
        <v>26782234</v>
      </c>
      <c r="B1592" s="46" t="s">
        <v>1917</v>
      </c>
      <c r="C1592" s="52" t="s">
        <v>1918</v>
      </c>
      <c r="D1592" s="48">
        <v>28734</v>
      </c>
      <c r="E1592" s="49">
        <f t="shared" ca="1" si="53"/>
        <v>47.82818349444041</v>
      </c>
      <c r="F1592" s="50">
        <v>155751617</v>
      </c>
      <c r="G1592" s="51" t="s">
        <v>23</v>
      </c>
      <c r="I1592" s="52" t="s">
        <v>1881</v>
      </c>
      <c r="J1592" s="55" t="s">
        <v>1919</v>
      </c>
      <c r="K1592" s="55"/>
      <c r="L1592" s="55"/>
      <c r="M1592" s="53" t="s">
        <v>1920</v>
      </c>
      <c r="N1592" s="55"/>
      <c r="O1592" s="55"/>
    </row>
    <row r="1593" spans="1:21">
      <c r="A1593" s="47">
        <v>26782545</v>
      </c>
      <c r="B1593" s="46" t="s">
        <v>1244</v>
      </c>
      <c r="C1593" s="46" t="s">
        <v>3158</v>
      </c>
      <c r="D1593" s="48">
        <v>28744</v>
      </c>
      <c r="E1593" s="49">
        <f t="shared" ca="1" si="53"/>
        <v>47.800804604123599</v>
      </c>
      <c r="F1593" s="50">
        <v>156013638</v>
      </c>
      <c r="G1593" s="51" t="s">
        <v>78</v>
      </c>
      <c r="I1593" s="52" t="s">
        <v>3127</v>
      </c>
      <c r="M1593" s="53" t="s">
        <v>3159</v>
      </c>
    </row>
    <row r="1594" spans="1:21">
      <c r="A1594" s="47">
        <v>26783120</v>
      </c>
      <c r="B1594" s="46" t="s">
        <v>620</v>
      </c>
      <c r="C1594" s="46" t="s">
        <v>1006</v>
      </c>
      <c r="D1594" s="48">
        <v>28764</v>
      </c>
      <c r="E1594" s="49">
        <f t="shared" ca="1" si="53"/>
        <v>47.746046823489969</v>
      </c>
      <c r="F1594" s="50">
        <v>156691228</v>
      </c>
      <c r="G1594" s="51" t="s">
        <v>23</v>
      </c>
      <c r="I1594" s="59" t="s">
        <v>908</v>
      </c>
      <c r="M1594" s="53" t="s">
        <v>1007</v>
      </c>
      <c r="O1594" s="46">
        <v>181</v>
      </c>
    </row>
    <row r="1595" spans="1:21">
      <c r="A1595" s="47">
        <v>26783278</v>
      </c>
      <c r="B1595" s="46" t="s">
        <v>3420</v>
      </c>
      <c r="C1595" s="55" t="s">
        <v>3421</v>
      </c>
      <c r="E1595" s="49" t="str">
        <f t="shared" ca="1" si="53"/>
        <v/>
      </c>
      <c r="F1595" s="50">
        <v>156811415</v>
      </c>
      <c r="G1595" s="51" t="s">
        <v>23</v>
      </c>
      <c r="I1595" s="52" t="s">
        <v>3327</v>
      </c>
      <c r="J1595" s="55"/>
      <c r="K1595" s="55"/>
      <c r="L1595" s="55"/>
      <c r="M1595" s="58" t="s">
        <v>25</v>
      </c>
      <c r="N1595" s="55"/>
      <c r="O1595" s="55"/>
    </row>
    <row r="1596" spans="1:21">
      <c r="A1596" s="47">
        <v>26783381</v>
      </c>
      <c r="B1596" s="46" t="s">
        <v>2789</v>
      </c>
      <c r="C1596" s="46" t="s">
        <v>2790</v>
      </c>
      <c r="D1596" s="48">
        <v>28785</v>
      </c>
      <c r="E1596" s="49">
        <f t="shared" ca="1" si="53"/>
        <v>47.688551153824662</v>
      </c>
      <c r="F1596" s="50">
        <v>155021684</v>
      </c>
      <c r="G1596" s="51" t="s">
        <v>23</v>
      </c>
      <c r="I1596" s="52" t="s">
        <v>2778</v>
      </c>
      <c r="J1596" s="46" t="s">
        <v>2791</v>
      </c>
      <c r="M1596" s="53" t="s">
        <v>2792</v>
      </c>
      <c r="N1596" s="46">
        <v>4107686</v>
      </c>
      <c r="O1596" s="46">
        <v>7686</v>
      </c>
    </row>
    <row r="1597" spans="1:21">
      <c r="A1597" s="47">
        <v>26783489</v>
      </c>
      <c r="B1597" s="46" t="s">
        <v>511</v>
      </c>
      <c r="C1597" s="46" t="s">
        <v>1389</v>
      </c>
      <c r="D1597" s="68"/>
      <c r="E1597" s="49" t="str">
        <f t="shared" ca="1" si="53"/>
        <v/>
      </c>
      <c r="F1597" s="50">
        <v>155279591</v>
      </c>
      <c r="G1597" s="51" t="s">
        <v>23</v>
      </c>
      <c r="I1597" s="52" t="s">
        <v>23</v>
      </c>
      <c r="M1597" s="53" t="s">
        <v>6201</v>
      </c>
    </row>
    <row r="1598" spans="1:21">
      <c r="A1598" s="66">
        <v>26783776</v>
      </c>
      <c r="B1598" s="67" t="s">
        <v>144</v>
      </c>
      <c r="C1598" s="52" t="s">
        <v>106</v>
      </c>
      <c r="E1598" s="49" t="str">
        <f t="shared" ca="1" si="53"/>
        <v/>
      </c>
      <c r="F1598" s="57">
        <v>154453244</v>
      </c>
      <c r="G1598" s="51" t="s">
        <v>23</v>
      </c>
      <c r="I1598" s="52" t="s">
        <v>24</v>
      </c>
      <c r="M1598" s="53" t="s">
        <v>145</v>
      </c>
      <c r="N1598" s="55"/>
      <c r="O1598" s="55"/>
    </row>
    <row r="1599" spans="1:21">
      <c r="A1599" s="47">
        <v>26805803</v>
      </c>
      <c r="B1599" s="46" t="s">
        <v>326</v>
      </c>
      <c r="C1599" s="52" t="s">
        <v>1208</v>
      </c>
      <c r="E1599" s="49" t="str">
        <f t="shared" ca="1" si="53"/>
        <v/>
      </c>
      <c r="F1599" s="50">
        <v>155501365</v>
      </c>
      <c r="G1599" s="51" t="s">
        <v>23</v>
      </c>
      <c r="I1599" s="52" t="s">
        <v>5494</v>
      </c>
      <c r="J1599" s="46" t="s">
        <v>5649</v>
      </c>
      <c r="M1599" s="58" t="s">
        <v>25</v>
      </c>
      <c r="N1599" s="55"/>
      <c r="O1599" s="55"/>
    </row>
    <row r="1600" spans="1:21">
      <c r="A1600" s="47">
        <v>26833237</v>
      </c>
      <c r="B1600" s="46" t="s">
        <v>6408</v>
      </c>
      <c r="C1600" s="46" t="s">
        <v>2796</v>
      </c>
      <c r="D1600" s="48">
        <v>28711</v>
      </c>
      <c r="E1600" s="49">
        <f t="shared" ca="1" si="53"/>
        <v>47.891154942169081</v>
      </c>
      <c r="F1600" s="50">
        <v>155950379</v>
      </c>
      <c r="G1600" s="51" t="s">
        <v>23</v>
      </c>
      <c r="I1600" s="52" t="s">
        <v>23</v>
      </c>
      <c r="M1600" s="53" t="s">
        <v>6409</v>
      </c>
    </row>
    <row r="1601" spans="1:21">
      <c r="A1601" s="75">
        <v>26834035</v>
      </c>
      <c r="B1601" s="46" t="s">
        <v>2248</v>
      </c>
      <c r="C1601" s="52" t="s">
        <v>2249</v>
      </c>
      <c r="D1601" s="48">
        <v>28687</v>
      </c>
      <c r="E1601" s="49">
        <f t="shared" ca="1" si="53"/>
        <v>47.95686427892943</v>
      </c>
      <c r="F1601" s="72">
        <v>154190408</v>
      </c>
      <c r="G1601" s="51" t="s">
        <v>23</v>
      </c>
      <c r="I1601" s="52" t="s">
        <v>1881</v>
      </c>
      <c r="J1601" s="76" t="s">
        <v>2250</v>
      </c>
      <c r="K1601" s="76"/>
      <c r="L1601" s="76"/>
      <c r="M1601" s="77" t="s">
        <v>2251</v>
      </c>
      <c r="N1601" s="55"/>
      <c r="O1601" s="55"/>
    </row>
    <row r="1602" spans="1:21">
      <c r="A1602" s="47">
        <v>26859367</v>
      </c>
      <c r="B1602" s="46" t="s">
        <v>2576</v>
      </c>
      <c r="C1602" s="52" t="s">
        <v>6329</v>
      </c>
      <c r="D1602" s="48">
        <v>28748</v>
      </c>
      <c r="E1602" s="49">
        <f t="shared" ca="1" si="53"/>
        <v>47.789853047996871</v>
      </c>
      <c r="F1602" s="50">
        <v>154036786</v>
      </c>
      <c r="G1602" s="51" t="s">
        <v>23</v>
      </c>
      <c r="I1602" s="52" t="s">
        <v>23</v>
      </c>
      <c r="M1602" s="58" t="s">
        <v>25</v>
      </c>
      <c r="N1602" s="55"/>
      <c r="O1602" s="55"/>
    </row>
    <row r="1603" spans="1:21">
      <c r="A1603" s="47">
        <v>26892754</v>
      </c>
      <c r="B1603" s="46" t="s">
        <v>574</v>
      </c>
      <c r="C1603" s="46" t="s">
        <v>1346</v>
      </c>
      <c r="D1603" s="48" t="s">
        <v>1347</v>
      </c>
      <c r="E1603" s="49">
        <f t="shared" ca="1" si="53"/>
        <v>48.137564955020395</v>
      </c>
      <c r="F1603" s="50" t="s">
        <v>1348</v>
      </c>
      <c r="G1603" s="51" t="s">
        <v>70</v>
      </c>
      <c r="H1603" s="52" t="s">
        <v>1349</v>
      </c>
      <c r="I1603" s="59" t="s">
        <v>908</v>
      </c>
      <c r="J1603" s="46" t="s">
        <v>1350</v>
      </c>
      <c r="K1603" s="46" t="s">
        <v>390</v>
      </c>
      <c r="L1603" s="46" t="s">
        <v>52</v>
      </c>
      <c r="M1603" s="52" t="s">
        <v>1351</v>
      </c>
      <c r="N1603" s="46" t="s">
        <v>52</v>
      </c>
      <c r="O1603" s="46" t="s">
        <v>52</v>
      </c>
      <c r="P1603" s="46" t="s">
        <v>59</v>
      </c>
      <c r="Q1603" s="46" t="s">
        <v>60</v>
      </c>
      <c r="R1603" s="46" t="s">
        <v>61</v>
      </c>
      <c r="S1603" s="46" t="s">
        <v>62</v>
      </c>
      <c r="T1603" s="46" t="s">
        <v>12</v>
      </c>
      <c r="U1603" s="46" t="s">
        <v>63</v>
      </c>
    </row>
    <row r="1604" spans="1:21">
      <c r="A1604" s="47">
        <v>26898681</v>
      </c>
      <c r="B1604" s="46" t="s">
        <v>1538</v>
      </c>
      <c r="C1604" s="52" t="s">
        <v>1539</v>
      </c>
      <c r="E1604" s="49" t="str">
        <f t="shared" ca="1" si="53"/>
        <v/>
      </c>
      <c r="F1604" s="50">
        <v>154627398</v>
      </c>
      <c r="G1604" s="51" t="s">
        <v>70</v>
      </c>
      <c r="I1604" s="52" t="s">
        <v>1497</v>
      </c>
      <c r="J1604" s="46" t="s">
        <v>417</v>
      </c>
      <c r="M1604" s="53" t="s">
        <v>1540</v>
      </c>
      <c r="N1604" s="55">
        <v>4283650</v>
      </c>
      <c r="O1604" s="55"/>
    </row>
    <row r="1605" spans="1:21">
      <c r="A1605" s="47">
        <v>26914506</v>
      </c>
      <c r="B1605" s="46" t="s">
        <v>1793</v>
      </c>
      <c r="C1605" s="52" t="s">
        <v>1555</v>
      </c>
      <c r="D1605" s="48">
        <v>28792</v>
      </c>
      <c r="E1605" s="49">
        <f t="shared" ca="1" si="53"/>
        <v>47.669385930602893</v>
      </c>
      <c r="G1605" s="51" t="s">
        <v>37</v>
      </c>
      <c r="I1605" s="52" t="s">
        <v>5494</v>
      </c>
      <c r="M1605" s="58" t="s">
        <v>25</v>
      </c>
      <c r="N1605" s="55"/>
      <c r="O1605" s="55"/>
    </row>
    <row r="1606" spans="1:21">
      <c r="A1606" s="64">
        <v>26981406</v>
      </c>
      <c r="B1606" s="61" t="s">
        <v>2799</v>
      </c>
      <c r="C1606" s="62" t="s">
        <v>2800</v>
      </c>
      <c r="D1606" s="48">
        <v>28847</v>
      </c>
      <c r="E1606" s="49">
        <f t="shared" ca="1" si="53"/>
        <v>47.518802033860425</v>
      </c>
      <c r="F1606" s="63">
        <v>155164740</v>
      </c>
      <c r="G1606" s="51" t="s">
        <v>23</v>
      </c>
      <c r="I1606" s="52" t="s">
        <v>2778</v>
      </c>
      <c r="J1606" s="61" t="s">
        <v>48</v>
      </c>
      <c r="K1606" s="61"/>
      <c r="L1606" s="61"/>
      <c r="M1606" s="53" t="s">
        <v>2801</v>
      </c>
      <c r="N1606" s="55"/>
      <c r="O1606" s="55"/>
    </row>
    <row r="1607" spans="1:21">
      <c r="A1607" s="47">
        <v>26981974</v>
      </c>
      <c r="B1607" s="46" t="s">
        <v>961</v>
      </c>
      <c r="C1607" s="46" t="s">
        <v>962</v>
      </c>
      <c r="D1607" s="48" t="s">
        <v>963</v>
      </c>
      <c r="E1607" s="49">
        <f t="shared" ca="1" si="53"/>
        <v>47.457905544147842</v>
      </c>
      <c r="F1607" s="50" t="s">
        <v>964</v>
      </c>
      <c r="G1607" s="51" t="s">
        <v>141</v>
      </c>
      <c r="H1607" s="52" t="s">
        <v>52</v>
      </c>
      <c r="I1607" s="59" t="s">
        <v>908</v>
      </c>
      <c r="J1607" s="46" t="s">
        <v>52</v>
      </c>
      <c r="K1607" s="46" t="s">
        <v>81</v>
      </c>
      <c r="L1607" s="46" t="s">
        <v>546</v>
      </c>
      <c r="M1607" s="52" t="s">
        <v>965</v>
      </c>
      <c r="N1607" s="46" t="s">
        <v>966</v>
      </c>
      <c r="O1607" s="46" t="s">
        <v>52</v>
      </c>
      <c r="P1607" s="46" t="s">
        <v>59</v>
      </c>
      <c r="Q1607" s="46" t="s">
        <v>60</v>
      </c>
      <c r="R1607" s="46" t="s">
        <v>61</v>
      </c>
      <c r="S1607" s="46" t="s">
        <v>62</v>
      </c>
      <c r="T1607" s="46" t="s">
        <v>12</v>
      </c>
      <c r="U1607" s="46" t="s">
        <v>63</v>
      </c>
    </row>
    <row r="1608" spans="1:21">
      <c r="A1608" s="47">
        <v>26982288</v>
      </c>
      <c r="B1608" s="46" t="s">
        <v>293</v>
      </c>
      <c r="C1608" s="46" t="s">
        <v>296</v>
      </c>
      <c r="D1608" s="48">
        <v>28051</v>
      </c>
      <c r="E1608" s="49">
        <f t="shared" ca="1" si="53"/>
        <v>49.696800515353232</v>
      </c>
      <c r="F1608" s="50">
        <v>155758917</v>
      </c>
      <c r="G1608" s="51" t="s">
        <v>86</v>
      </c>
      <c r="I1608" s="52" t="s">
        <v>24</v>
      </c>
      <c r="J1608" s="46" t="s">
        <v>297</v>
      </c>
      <c r="M1608" s="53" t="s">
        <v>295</v>
      </c>
      <c r="O1608" s="46" t="s">
        <v>298</v>
      </c>
    </row>
    <row r="1609" spans="1:21">
      <c r="A1609" s="47">
        <v>26982291</v>
      </c>
      <c r="B1609" s="46" t="s">
        <v>207</v>
      </c>
      <c r="C1609" s="52" t="s">
        <v>27</v>
      </c>
      <c r="D1609" s="48">
        <v>28881</v>
      </c>
      <c r="E1609" s="49">
        <f t="shared" ca="1" si="53"/>
        <v>47.42505133470226</v>
      </c>
      <c r="F1609" s="50">
        <v>155210947</v>
      </c>
      <c r="G1609" s="51" t="s">
        <v>23</v>
      </c>
      <c r="I1609" s="52" t="s">
        <v>1881</v>
      </c>
      <c r="J1609" s="55" t="s">
        <v>2033</v>
      </c>
      <c r="K1609" s="55"/>
      <c r="L1609" s="55"/>
      <c r="M1609" s="53" t="s">
        <v>2034</v>
      </c>
      <c r="N1609" s="55"/>
      <c r="O1609" s="55"/>
    </row>
    <row r="1610" spans="1:21">
      <c r="A1610" s="80">
        <v>26982291</v>
      </c>
      <c r="B1610" s="80" t="s">
        <v>8078</v>
      </c>
      <c r="C1610" s="80" t="s">
        <v>8295</v>
      </c>
      <c r="D1610" s="84">
        <v>28881</v>
      </c>
      <c r="E1610" s="49">
        <f t="shared" ca="1" si="53"/>
        <v>47.42505133470226</v>
      </c>
      <c r="F1610" s="80">
        <v>3814034351</v>
      </c>
      <c r="G1610" s="80" t="s">
        <v>141</v>
      </c>
      <c r="H1610" s="80" t="s">
        <v>8765</v>
      </c>
      <c r="I1610" s="80" t="s">
        <v>8766</v>
      </c>
      <c r="J1610" s="80"/>
      <c r="K1610" s="80" t="s">
        <v>8767</v>
      </c>
      <c r="L1610" s="80" t="s">
        <v>2002</v>
      </c>
      <c r="M1610" s="80">
        <v>2</v>
      </c>
      <c r="N1610" s="80" t="s">
        <v>8764</v>
      </c>
      <c r="O1610" s="80">
        <v>4364093</v>
      </c>
    </row>
    <row r="1611" spans="1:21">
      <c r="A1611" s="47">
        <v>26982736</v>
      </c>
      <c r="B1611" s="46" t="s">
        <v>64</v>
      </c>
      <c r="C1611" s="52" t="s">
        <v>65</v>
      </c>
      <c r="D1611" s="48">
        <v>28845</v>
      </c>
      <c r="E1611" s="49">
        <f t="shared" ca="1" si="53"/>
        <v>47.524277811923788</v>
      </c>
      <c r="F1611" s="50">
        <v>3814630321</v>
      </c>
      <c r="G1611" s="51" t="s">
        <v>23</v>
      </c>
      <c r="I1611" s="52" t="s">
        <v>24</v>
      </c>
      <c r="J1611" s="46" t="s">
        <v>66</v>
      </c>
      <c r="M1611" s="53" t="s">
        <v>67</v>
      </c>
      <c r="N1611" s="55"/>
      <c r="O1611" s="55"/>
    </row>
    <row r="1612" spans="1:21">
      <c r="A1612" s="47">
        <v>26984193</v>
      </c>
      <c r="B1612" s="46" t="s">
        <v>2228</v>
      </c>
      <c r="C1612" s="55" t="s">
        <v>4211</v>
      </c>
      <c r="D1612" s="48">
        <v>28790</v>
      </c>
      <c r="E1612" s="49">
        <f t="shared" ca="1" si="53"/>
        <v>47.674861708666256</v>
      </c>
      <c r="F1612" s="50">
        <v>153026759</v>
      </c>
      <c r="G1612" s="51" t="s">
        <v>78</v>
      </c>
      <c r="I1612" s="52" t="s">
        <v>4181</v>
      </c>
      <c r="J1612" s="55"/>
      <c r="K1612" s="55"/>
      <c r="L1612" s="55"/>
      <c r="M1612" s="53" t="s">
        <v>4212</v>
      </c>
      <c r="N1612" s="55"/>
      <c r="O1612" s="55">
        <v>7032</v>
      </c>
    </row>
    <row r="1613" spans="1:21">
      <c r="A1613" s="47">
        <v>27016096</v>
      </c>
      <c r="B1613" s="46" t="s">
        <v>3290</v>
      </c>
      <c r="C1613" s="46" t="s">
        <v>3291</v>
      </c>
      <c r="D1613" s="48">
        <v>28795</v>
      </c>
      <c r="E1613" s="49">
        <f t="shared" ca="1" si="53"/>
        <v>47.661172263507851</v>
      </c>
      <c r="F1613" s="50">
        <v>156749353</v>
      </c>
      <c r="G1613" s="51" t="s">
        <v>37</v>
      </c>
      <c r="I1613" s="52" t="s">
        <v>3287</v>
      </c>
      <c r="J1613" s="46" t="s">
        <v>3292</v>
      </c>
      <c r="M1613" s="53" t="s">
        <v>3293</v>
      </c>
      <c r="O1613" s="46">
        <v>4302967</v>
      </c>
    </row>
    <row r="1614" spans="1:21">
      <c r="A1614" s="47">
        <v>27016126</v>
      </c>
      <c r="B1614" s="46" t="s">
        <v>327</v>
      </c>
      <c r="C1614" s="46" t="s">
        <v>2885</v>
      </c>
      <c r="D1614" s="48">
        <v>28810</v>
      </c>
      <c r="E1614" s="49">
        <f t="shared" ca="1" si="53"/>
        <v>47.620103928032634</v>
      </c>
      <c r="F1614" s="50">
        <v>155102493</v>
      </c>
      <c r="G1614" s="51" t="s">
        <v>86</v>
      </c>
      <c r="I1614" s="52" t="s">
        <v>2886</v>
      </c>
      <c r="J1614" s="46" t="s">
        <v>2887</v>
      </c>
      <c r="M1614" s="53" t="s">
        <v>2888</v>
      </c>
      <c r="N1614" s="46">
        <v>4107283</v>
      </c>
    </row>
    <row r="1615" spans="1:21">
      <c r="A1615" s="47">
        <v>27016270</v>
      </c>
      <c r="B1615" s="46" t="s">
        <v>2291</v>
      </c>
      <c r="C1615" s="46" t="s">
        <v>579</v>
      </c>
      <c r="D1615" s="48">
        <v>28819</v>
      </c>
      <c r="E1615" s="49">
        <f t="shared" ca="1" si="53"/>
        <v>47.595462926747501</v>
      </c>
      <c r="F1615" s="50">
        <v>154128270</v>
      </c>
      <c r="G1615" s="51" t="s">
        <v>70</v>
      </c>
      <c r="I1615" s="52" t="s">
        <v>1881</v>
      </c>
      <c r="J1615" s="46" t="s">
        <v>2292</v>
      </c>
      <c r="M1615" s="53" t="s">
        <v>2293</v>
      </c>
      <c r="N1615" s="46">
        <v>4361936</v>
      </c>
      <c r="P1615" s="46" t="s">
        <v>1092</v>
      </c>
    </row>
    <row r="1616" spans="1:21">
      <c r="A1616" s="47">
        <v>27016279</v>
      </c>
      <c r="B1616" s="46" t="s">
        <v>6591</v>
      </c>
      <c r="C1616" s="46" t="s">
        <v>6592</v>
      </c>
      <c r="D1616" s="48" t="s">
        <v>52</v>
      </c>
      <c r="E1616" s="49" t="str">
        <f t="shared" ca="1" si="53"/>
        <v/>
      </c>
      <c r="F1616" s="50" t="s">
        <v>6593</v>
      </c>
      <c r="G1616" s="51" t="s">
        <v>141</v>
      </c>
      <c r="H1616" s="52" t="s">
        <v>52</v>
      </c>
      <c r="I1616" s="52" t="s">
        <v>1484</v>
      </c>
      <c r="J1616" s="46" t="s">
        <v>52</v>
      </c>
      <c r="K1616" s="46" t="s">
        <v>81</v>
      </c>
      <c r="L1616" s="46" t="s">
        <v>546</v>
      </c>
      <c r="M1616" s="52" t="s">
        <v>6594</v>
      </c>
      <c r="N1616" s="46" t="s">
        <v>52</v>
      </c>
      <c r="O1616" s="46" t="s">
        <v>52</v>
      </c>
      <c r="P1616" s="46" t="s">
        <v>59</v>
      </c>
      <c r="Q1616" s="46" t="s">
        <v>60</v>
      </c>
      <c r="R1616" s="46" t="s">
        <v>61</v>
      </c>
      <c r="S1616" s="46" t="s">
        <v>62</v>
      </c>
      <c r="T1616" s="46" t="s">
        <v>12</v>
      </c>
      <c r="U1616" s="46" t="s">
        <v>63</v>
      </c>
    </row>
    <row r="1617" spans="1:21">
      <c r="A1617" s="47">
        <v>27016351</v>
      </c>
      <c r="B1617" s="46" t="s">
        <v>2026</v>
      </c>
      <c r="C1617" s="46" t="s">
        <v>3662</v>
      </c>
      <c r="D1617" s="48" t="s">
        <v>52</v>
      </c>
      <c r="E1617" s="49" t="str">
        <f t="shared" ca="1" si="53"/>
        <v/>
      </c>
      <c r="F1617" s="50" t="s">
        <v>4542</v>
      </c>
      <c r="G1617" s="51" t="s">
        <v>70</v>
      </c>
      <c r="H1617" s="52" t="s">
        <v>4543</v>
      </c>
      <c r="I1617" s="52" t="s">
        <v>4499</v>
      </c>
      <c r="J1617" s="46" t="s">
        <v>4544</v>
      </c>
      <c r="K1617" s="46" t="s">
        <v>81</v>
      </c>
      <c r="L1617" s="46" t="s">
        <v>52</v>
      </c>
      <c r="M1617" s="52" t="s">
        <v>4545</v>
      </c>
      <c r="N1617" s="46" t="s">
        <v>4546</v>
      </c>
      <c r="O1617" s="46" t="s">
        <v>4547</v>
      </c>
      <c r="P1617" s="46" t="s">
        <v>59</v>
      </c>
      <c r="Q1617" s="46" t="s">
        <v>60</v>
      </c>
      <c r="R1617" s="46" t="s">
        <v>61</v>
      </c>
      <c r="S1617" s="46" t="s">
        <v>62</v>
      </c>
      <c r="T1617" s="46" t="s">
        <v>12</v>
      </c>
      <c r="U1617" s="46" t="s">
        <v>63</v>
      </c>
    </row>
    <row r="1618" spans="1:21">
      <c r="A1618" s="47">
        <v>27016610</v>
      </c>
      <c r="B1618" s="46" t="s">
        <v>288</v>
      </c>
      <c r="C1618" s="46" t="s">
        <v>33</v>
      </c>
      <c r="E1618" s="49" t="str">
        <f t="shared" ca="1" si="53"/>
        <v/>
      </c>
      <c r="F1618" s="50">
        <v>156234918</v>
      </c>
      <c r="G1618" s="51" t="s">
        <v>23</v>
      </c>
      <c r="I1618" s="52" t="s">
        <v>1497</v>
      </c>
      <c r="M1618" s="53" t="s">
        <v>1511</v>
      </c>
      <c r="N1618" s="46">
        <v>4330633</v>
      </c>
      <c r="O1618" s="46">
        <v>216</v>
      </c>
    </row>
    <row r="1619" spans="1:21">
      <c r="A1619" s="47">
        <v>27016620</v>
      </c>
      <c r="B1619" s="46" t="s">
        <v>1538</v>
      </c>
      <c r="C1619" s="52" t="s">
        <v>33</v>
      </c>
      <c r="D1619" s="48">
        <v>28835</v>
      </c>
      <c r="E1619" s="49">
        <f t="shared" ca="1" si="53"/>
        <v>47.551656702240599</v>
      </c>
      <c r="G1619" s="51" t="s">
        <v>86</v>
      </c>
      <c r="I1619" s="52" t="s">
        <v>1497</v>
      </c>
      <c r="J1619" s="46" t="s">
        <v>1541</v>
      </c>
      <c r="M1619" s="53" t="s">
        <v>1511</v>
      </c>
      <c r="N1619" s="55">
        <v>4330633</v>
      </c>
      <c r="O1619" s="55">
        <v>201</v>
      </c>
    </row>
    <row r="1620" spans="1:21">
      <c r="A1620" s="47">
        <v>27016649</v>
      </c>
      <c r="B1620" s="46" t="s">
        <v>3172</v>
      </c>
      <c r="C1620" s="46" t="s">
        <v>3173</v>
      </c>
      <c r="D1620" s="48">
        <v>18220</v>
      </c>
      <c r="E1620" s="49">
        <f t="shared" ca="1" si="53"/>
        <v>76.614623187897081</v>
      </c>
      <c r="F1620" s="50">
        <v>155025596</v>
      </c>
      <c r="G1620" s="51" t="s">
        <v>70</v>
      </c>
      <c r="I1620" s="52" t="s">
        <v>3166</v>
      </c>
      <c r="J1620" s="46" t="s">
        <v>3174</v>
      </c>
      <c r="M1620" s="53" t="s">
        <v>3175</v>
      </c>
      <c r="N1620" s="46">
        <v>4254424</v>
      </c>
      <c r="O1620" s="46">
        <v>34</v>
      </c>
      <c r="P1620" s="46">
        <v>4</v>
      </c>
    </row>
    <row r="1621" spans="1:21">
      <c r="A1621" s="47">
        <v>27017415</v>
      </c>
      <c r="B1621" s="46" t="s">
        <v>4556</v>
      </c>
      <c r="C1621" s="46" t="s">
        <v>1109</v>
      </c>
      <c r="D1621" s="48">
        <v>28869</v>
      </c>
      <c r="E1621" s="49">
        <f t="shared" ca="1" si="53"/>
        <v>47.457905544147842</v>
      </c>
      <c r="F1621" s="50">
        <v>154641898</v>
      </c>
      <c r="G1621" s="51" t="s">
        <v>70</v>
      </c>
      <c r="I1621" s="52" t="s">
        <v>4499</v>
      </c>
      <c r="J1621" s="46" t="s">
        <v>316</v>
      </c>
      <c r="M1621" s="53" t="s">
        <v>4557</v>
      </c>
    </row>
    <row r="1622" spans="1:21">
      <c r="A1622" s="64">
        <v>27017680</v>
      </c>
      <c r="B1622" s="61" t="s">
        <v>96</v>
      </c>
      <c r="C1622" s="62" t="s">
        <v>97</v>
      </c>
      <c r="D1622" s="48">
        <v>27049</v>
      </c>
      <c r="E1622" s="49">
        <f t="shared" ca="1" si="53"/>
        <v>52.441471226366353</v>
      </c>
      <c r="F1622" s="63"/>
      <c r="G1622" s="51" t="s">
        <v>23</v>
      </c>
      <c r="I1622" s="52" t="s">
        <v>24</v>
      </c>
      <c r="J1622" s="61" t="s">
        <v>98</v>
      </c>
      <c r="K1622" s="61"/>
      <c r="L1622" s="61"/>
      <c r="M1622" s="53" t="s">
        <v>99</v>
      </c>
      <c r="N1622" s="55"/>
      <c r="O1622" s="55"/>
    </row>
    <row r="1623" spans="1:21">
      <c r="A1623" s="47">
        <v>27141607</v>
      </c>
      <c r="B1623" s="46" t="s">
        <v>190</v>
      </c>
      <c r="C1623" s="46" t="s">
        <v>4103</v>
      </c>
      <c r="D1623" s="48">
        <v>29001</v>
      </c>
      <c r="E1623" s="49">
        <f t="shared" ca="1" si="53"/>
        <v>47.096509240246405</v>
      </c>
      <c r="F1623" s="50" t="s">
        <v>4104</v>
      </c>
      <c r="G1623" s="51" t="s">
        <v>23</v>
      </c>
      <c r="I1623" s="52" t="s">
        <v>4078</v>
      </c>
      <c r="J1623" s="46" t="s">
        <v>2140</v>
      </c>
      <c r="M1623" s="53" t="s">
        <v>4105</v>
      </c>
      <c r="N1623" s="46">
        <v>3865483797</v>
      </c>
    </row>
    <row r="1624" spans="1:21">
      <c r="A1624" s="47">
        <v>27148834</v>
      </c>
      <c r="B1624" s="69" t="s">
        <v>226</v>
      </c>
      <c r="C1624" s="70" t="s">
        <v>783</v>
      </c>
      <c r="D1624" s="48">
        <v>28660</v>
      </c>
      <c r="E1624" s="49">
        <f t="shared" ca="1" si="53"/>
        <v>48.030787282784821</v>
      </c>
      <c r="F1624" s="50">
        <v>155641864</v>
      </c>
      <c r="G1624" s="51" t="s">
        <v>23</v>
      </c>
      <c r="I1624" s="52" t="s">
        <v>5494</v>
      </c>
      <c r="J1624" s="46" t="s">
        <v>5580</v>
      </c>
      <c r="M1624" s="53" t="s">
        <v>5581</v>
      </c>
      <c r="N1624" s="55">
        <v>4526343</v>
      </c>
      <c r="O1624" s="55"/>
    </row>
    <row r="1625" spans="1:21">
      <c r="A1625" s="47">
        <v>27206329</v>
      </c>
      <c r="B1625" s="46" t="s">
        <v>2243</v>
      </c>
      <c r="C1625" s="46" t="s">
        <v>6570</v>
      </c>
      <c r="D1625" s="48" t="s">
        <v>6571</v>
      </c>
      <c r="E1625" s="49">
        <f t="shared" ca="1" si="53"/>
        <v>47.32101300479124</v>
      </c>
      <c r="F1625" s="50" t="s">
        <v>6572</v>
      </c>
      <c r="G1625" s="51" t="s">
        <v>141</v>
      </c>
      <c r="H1625" s="52" t="s">
        <v>52</v>
      </c>
      <c r="I1625" s="52" t="s">
        <v>3630</v>
      </c>
      <c r="J1625" s="46" t="s">
        <v>56</v>
      </c>
      <c r="K1625" s="46" t="s">
        <v>1206</v>
      </c>
      <c r="L1625" s="46" t="s">
        <v>546</v>
      </c>
      <c r="M1625" s="52" t="s">
        <v>6573</v>
      </c>
      <c r="N1625" s="46" t="s">
        <v>52</v>
      </c>
      <c r="O1625" s="46" t="s">
        <v>52</v>
      </c>
      <c r="P1625" s="46" t="s">
        <v>59</v>
      </c>
      <c r="Q1625" s="46" t="s">
        <v>60</v>
      </c>
      <c r="R1625" s="46" t="s">
        <v>61</v>
      </c>
      <c r="S1625" s="46" t="s">
        <v>62</v>
      </c>
      <c r="T1625" s="46" t="s">
        <v>12</v>
      </c>
      <c r="U1625" s="46" t="s">
        <v>63</v>
      </c>
    </row>
    <row r="1626" spans="1:21">
      <c r="A1626" s="47">
        <v>27206952</v>
      </c>
      <c r="B1626" s="46" t="s">
        <v>4643</v>
      </c>
      <c r="C1626" s="46" t="s">
        <v>8717</v>
      </c>
      <c r="D1626" s="48" t="s">
        <v>52</v>
      </c>
      <c r="E1626" s="49" t="str">
        <f t="shared" ca="1" si="53"/>
        <v/>
      </c>
      <c r="F1626" s="50" t="s">
        <v>8719</v>
      </c>
      <c r="G1626" s="51" t="s">
        <v>141</v>
      </c>
      <c r="H1626" s="52" t="s">
        <v>52</v>
      </c>
      <c r="I1626" s="52" t="s">
        <v>3555</v>
      </c>
      <c r="J1626" s="46" t="s">
        <v>52</v>
      </c>
      <c r="K1626" s="46" t="s">
        <v>81</v>
      </c>
      <c r="L1626" s="46" t="s">
        <v>52</v>
      </c>
      <c r="M1626" s="52" t="s">
        <v>8718</v>
      </c>
      <c r="N1626" s="46" t="s">
        <v>52</v>
      </c>
      <c r="O1626" s="46" t="s">
        <v>52</v>
      </c>
      <c r="P1626" s="46" t="s">
        <v>59</v>
      </c>
      <c r="Q1626" s="46" t="s">
        <v>60</v>
      </c>
      <c r="R1626" s="46" t="s">
        <v>61</v>
      </c>
      <c r="S1626" s="46" t="s">
        <v>62</v>
      </c>
      <c r="T1626" s="46" t="s">
        <v>12</v>
      </c>
      <c r="U1626" s="46" t="s">
        <v>63</v>
      </c>
    </row>
    <row r="1627" spans="1:21">
      <c r="A1627" s="80">
        <v>27206952</v>
      </c>
      <c r="B1627" s="80" t="s">
        <v>6924</v>
      </c>
      <c r="C1627" s="80" t="s">
        <v>6925</v>
      </c>
      <c r="D1627" s="84">
        <v>28943</v>
      </c>
      <c r="E1627" s="49">
        <f t="shared" ca="1" si="53"/>
        <v>47.25530458590007</v>
      </c>
      <c r="F1627" s="80">
        <v>3814577551</v>
      </c>
      <c r="G1627" s="80" t="s">
        <v>141</v>
      </c>
      <c r="H1627" s="80" t="s">
        <v>8753</v>
      </c>
      <c r="I1627" s="80" t="s">
        <v>3555</v>
      </c>
      <c r="J1627" s="80"/>
      <c r="K1627" s="80" t="s">
        <v>8754</v>
      </c>
      <c r="L1627" s="80" t="s">
        <v>1206</v>
      </c>
      <c r="M1627" s="80">
        <v>0</v>
      </c>
      <c r="N1627" s="80" t="s">
        <v>8752</v>
      </c>
      <c r="O1627" s="80">
        <v>3814211071</v>
      </c>
    </row>
    <row r="1628" spans="1:21">
      <c r="A1628" s="47">
        <v>27206962</v>
      </c>
      <c r="B1628" s="46" t="s">
        <v>2774</v>
      </c>
      <c r="C1628" s="46" t="s">
        <v>2775</v>
      </c>
      <c r="D1628" s="48" t="s">
        <v>2776</v>
      </c>
      <c r="E1628" s="49">
        <f t="shared" ca="1" si="53"/>
        <v>47.25530458590007</v>
      </c>
      <c r="F1628" s="50" t="s">
        <v>2777</v>
      </c>
      <c r="G1628" s="51" t="s">
        <v>141</v>
      </c>
      <c r="H1628" s="52" t="s">
        <v>52</v>
      </c>
      <c r="I1628" s="52" t="s">
        <v>2778</v>
      </c>
      <c r="J1628" s="46" t="s">
        <v>2779</v>
      </c>
      <c r="K1628" s="46" t="s">
        <v>81</v>
      </c>
      <c r="L1628" s="46" t="s">
        <v>2780</v>
      </c>
      <c r="M1628" s="53" t="s">
        <v>2781</v>
      </c>
      <c r="N1628" s="46" t="s">
        <v>2782</v>
      </c>
      <c r="O1628" s="46" t="s">
        <v>52</v>
      </c>
      <c r="P1628" s="46" t="s">
        <v>59</v>
      </c>
      <c r="Q1628" s="46" t="s">
        <v>60</v>
      </c>
      <c r="R1628" s="46" t="s">
        <v>61</v>
      </c>
      <c r="S1628" s="46" t="s">
        <v>62</v>
      </c>
      <c r="T1628" s="46" t="s">
        <v>12</v>
      </c>
      <c r="U1628" s="46" t="s">
        <v>63</v>
      </c>
    </row>
    <row r="1629" spans="1:21">
      <c r="A1629" s="47">
        <v>27210084</v>
      </c>
      <c r="B1629" s="46" t="s">
        <v>415</v>
      </c>
      <c r="C1629" s="46" t="s">
        <v>1202</v>
      </c>
      <c r="D1629" s="48" t="s">
        <v>52</v>
      </c>
      <c r="E1629" s="49" t="s">
        <v>52</v>
      </c>
      <c r="F1629" s="50" t="s">
        <v>52</v>
      </c>
      <c r="G1629" s="51" t="s">
        <v>52</v>
      </c>
      <c r="H1629" s="52" t="s">
        <v>52</v>
      </c>
      <c r="I1629" s="52" t="s">
        <v>3990</v>
      </c>
      <c r="J1629" s="46" t="s">
        <v>52</v>
      </c>
      <c r="K1629" s="46" t="s">
        <v>52</v>
      </c>
      <c r="L1629" s="46" t="s">
        <v>546</v>
      </c>
      <c r="M1629" s="52" t="s">
        <v>9482</v>
      </c>
      <c r="N1629" s="46" t="s">
        <v>52</v>
      </c>
      <c r="O1629" s="46" t="s">
        <v>52</v>
      </c>
      <c r="P1629" s="46" t="s">
        <v>59</v>
      </c>
      <c r="Q1629" s="46" t="s">
        <v>60</v>
      </c>
      <c r="R1629" s="46" t="s">
        <v>61</v>
      </c>
      <c r="S1629" s="46" t="s">
        <v>62</v>
      </c>
      <c r="T1629" s="46" t="s">
        <v>12</v>
      </c>
      <c r="U1629" s="46" t="s">
        <v>63</v>
      </c>
    </row>
    <row r="1630" spans="1:21">
      <c r="A1630" s="47">
        <v>27210209</v>
      </c>
      <c r="B1630" s="46" t="s">
        <v>3216</v>
      </c>
      <c r="C1630" s="46" t="s">
        <v>3217</v>
      </c>
      <c r="D1630" s="48">
        <v>28794</v>
      </c>
      <c r="E1630" s="49">
        <f ca="1">IF(D1630="","",YEARFRAC(D1630,TODAY(),1))</f>
        <v>47.663910152539529</v>
      </c>
      <c r="F1630" s="50">
        <v>154192296</v>
      </c>
      <c r="G1630" s="51" t="s">
        <v>23</v>
      </c>
      <c r="I1630" s="52" t="s">
        <v>3166</v>
      </c>
      <c r="J1630" s="46" t="s">
        <v>3218</v>
      </c>
      <c r="M1630" s="53" t="s">
        <v>3219</v>
      </c>
    </row>
    <row r="1631" spans="1:21">
      <c r="A1631" s="47">
        <v>27210323</v>
      </c>
      <c r="B1631" s="46" t="s">
        <v>2679</v>
      </c>
      <c r="C1631" s="46" t="s">
        <v>2680</v>
      </c>
      <c r="D1631" s="48">
        <v>28895</v>
      </c>
      <c r="E1631" s="49">
        <f ca="1">IF(D1631="","",YEARFRAC(D1631,TODAY(),1))</f>
        <v>47.38672142368241</v>
      </c>
      <c r="F1631" s="50">
        <v>3815450366</v>
      </c>
      <c r="G1631" s="51" t="s">
        <v>70</v>
      </c>
      <c r="I1631" s="52" t="s">
        <v>2681</v>
      </c>
      <c r="J1631" s="46" t="s">
        <v>38</v>
      </c>
      <c r="M1631" s="53" t="s">
        <v>2682</v>
      </c>
      <c r="N1631" s="46">
        <v>4247752</v>
      </c>
      <c r="O1631" s="46">
        <v>6919</v>
      </c>
      <c r="P1631" s="46">
        <v>3</v>
      </c>
    </row>
    <row r="1632" spans="1:21">
      <c r="A1632" s="47">
        <v>27210451</v>
      </c>
      <c r="B1632" s="46" t="s">
        <v>4562</v>
      </c>
      <c r="C1632" s="46" t="s">
        <v>4563</v>
      </c>
      <c r="E1632" s="49" t="str">
        <f ca="1">IF(D1632="","",YEARFRAC(D1632,TODAY(),1))</f>
        <v/>
      </c>
      <c r="F1632" s="50">
        <v>155908368</v>
      </c>
      <c r="G1632" s="51" t="s">
        <v>86</v>
      </c>
      <c r="I1632" s="52" t="s">
        <v>4499</v>
      </c>
      <c r="M1632" s="53" t="s">
        <v>4564</v>
      </c>
    </row>
    <row r="1633" spans="1:21">
      <c r="A1633" s="47">
        <v>27210481</v>
      </c>
      <c r="B1633" s="46" t="s">
        <v>4562</v>
      </c>
      <c r="C1633" s="52" t="s">
        <v>4563</v>
      </c>
      <c r="D1633" s="48">
        <v>28908</v>
      </c>
      <c r="E1633" s="49">
        <f ca="1">IF(D1633="","",YEARFRAC(D1633,TODAY(),1))</f>
        <v>47.351129363449694</v>
      </c>
      <c r="G1633" s="51" t="s">
        <v>23</v>
      </c>
      <c r="I1633" s="52" t="s">
        <v>4499</v>
      </c>
      <c r="J1633" s="46" t="s">
        <v>4565</v>
      </c>
      <c r="M1633" s="53" t="s">
        <v>4564</v>
      </c>
      <c r="N1633" s="55"/>
      <c r="O1633" s="55"/>
    </row>
    <row r="1634" spans="1:21">
      <c r="A1634" s="47">
        <v>27210672</v>
      </c>
      <c r="B1634" s="46" t="s">
        <v>342</v>
      </c>
      <c r="C1634" s="46" t="s">
        <v>3299</v>
      </c>
      <c r="D1634" s="48">
        <v>28908</v>
      </c>
      <c r="E1634" s="49">
        <f ca="1">IF(D1634="","",YEARFRAC(D1634,TODAY(),1))</f>
        <v>47.351129363449694</v>
      </c>
      <c r="F1634" s="50">
        <v>155034136</v>
      </c>
      <c r="G1634" s="51" t="s">
        <v>70</v>
      </c>
      <c r="I1634" s="52" t="s">
        <v>3287</v>
      </c>
      <c r="M1634" s="58" t="s">
        <v>25</v>
      </c>
    </row>
    <row r="1635" spans="1:21">
      <c r="A1635" s="74">
        <v>27210849</v>
      </c>
      <c r="B1635" s="234" t="s">
        <v>9887</v>
      </c>
      <c r="C1635" s="234" t="s">
        <v>9269</v>
      </c>
      <c r="D1635" s="235">
        <v>28926</v>
      </c>
      <c r="E1635" s="236"/>
      <c r="F1635" s="237">
        <v>3814179855</v>
      </c>
      <c r="G1635" s="234" t="s">
        <v>70</v>
      </c>
      <c r="H1635" s="238" t="s">
        <v>9958</v>
      </c>
      <c r="I1635" s="238" t="s">
        <v>4499</v>
      </c>
      <c r="J1635" s="234" t="s">
        <v>9995</v>
      </c>
      <c r="K1635" s="234" t="s">
        <v>8745</v>
      </c>
      <c r="L1635" s="234"/>
      <c r="M1635" s="238" t="s">
        <v>9928</v>
      </c>
      <c r="N1635" s="234"/>
      <c r="O1635" s="234"/>
      <c r="P1635" s="234"/>
      <c r="Q1635" s="234"/>
      <c r="R1635" s="234"/>
      <c r="S1635" s="234"/>
      <c r="T1635" s="234"/>
      <c r="U1635" s="234"/>
    </row>
    <row r="1636" spans="1:21">
      <c r="A1636" s="47">
        <v>27210885</v>
      </c>
      <c r="B1636" s="46" t="s">
        <v>1842</v>
      </c>
      <c r="C1636" s="46" t="s">
        <v>165</v>
      </c>
      <c r="D1636" s="48">
        <v>28927</v>
      </c>
      <c r="E1636" s="49">
        <f ca="1">IF(D1636="","",YEARFRAC(D1636,TODAY(),1))</f>
        <v>47.299110198494184</v>
      </c>
      <c r="F1636" s="50">
        <v>154751075</v>
      </c>
      <c r="G1636" s="51" t="s">
        <v>70</v>
      </c>
      <c r="I1636" s="52" t="s">
        <v>1657</v>
      </c>
      <c r="J1636" s="46" t="s">
        <v>1847</v>
      </c>
      <c r="M1636" s="53" t="s">
        <v>1848</v>
      </c>
      <c r="N1636" s="46">
        <v>4107563</v>
      </c>
      <c r="P1636" s="46">
        <v>3</v>
      </c>
    </row>
    <row r="1637" spans="1:21">
      <c r="A1637" s="47">
        <v>27210973</v>
      </c>
      <c r="B1637" s="46" t="s">
        <v>8786</v>
      </c>
      <c r="C1637" s="52" t="s">
        <v>1526</v>
      </c>
      <c r="E1637" s="49" t="str">
        <f ca="1">IF(D1637="","",YEARFRAC(D1637,TODAY(),1))</f>
        <v/>
      </c>
      <c r="G1637" s="51" t="s">
        <v>23</v>
      </c>
      <c r="I1637" s="52" t="s">
        <v>1497</v>
      </c>
      <c r="J1637" s="46" t="s">
        <v>389</v>
      </c>
      <c r="M1637" s="58" t="s">
        <v>25</v>
      </c>
      <c r="N1637" s="55"/>
      <c r="O1637" s="55"/>
    </row>
    <row r="1638" spans="1:21">
      <c r="A1638" s="47">
        <v>27210980</v>
      </c>
      <c r="B1638" s="46" t="s">
        <v>9226</v>
      </c>
      <c r="C1638" s="46" t="s">
        <v>9227</v>
      </c>
      <c r="D1638" s="48" t="s">
        <v>9796</v>
      </c>
      <c r="E1638" s="49" t="s">
        <v>9564</v>
      </c>
      <c r="F1638" s="50" t="s">
        <v>9797</v>
      </c>
      <c r="G1638" s="51" t="s">
        <v>70</v>
      </c>
      <c r="H1638" s="52" t="s">
        <v>9798</v>
      </c>
      <c r="I1638" s="52" t="s">
        <v>908</v>
      </c>
      <c r="J1638" s="46" t="s">
        <v>9799</v>
      </c>
      <c r="K1638" s="46" t="s">
        <v>112</v>
      </c>
      <c r="L1638" s="46" t="s">
        <v>546</v>
      </c>
      <c r="M1638" s="52" t="s">
        <v>9800</v>
      </c>
      <c r="N1638" s="46" t="s">
        <v>52</v>
      </c>
      <c r="O1638" s="46" t="s">
        <v>52</v>
      </c>
      <c r="P1638" s="46" t="s">
        <v>59</v>
      </c>
      <c r="Q1638" s="46" t="s">
        <v>60</v>
      </c>
      <c r="R1638" s="46" t="s">
        <v>61</v>
      </c>
      <c r="S1638" s="46" t="s">
        <v>62</v>
      </c>
      <c r="T1638" s="46" t="s">
        <v>12</v>
      </c>
      <c r="U1638" s="46" t="s">
        <v>63</v>
      </c>
    </row>
    <row r="1639" spans="1:21">
      <c r="A1639" s="47">
        <v>27211228</v>
      </c>
      <c r="B1639" s="46" t="s">
        <v>4126</v>
      </c>
      <c r="C1639" s="46" t="s">
        <v>5054</v>
      </c>
      <c r="D1639" s="48">
        <v>28937</v>
      </c>
      <c r="E1639" s="49">
        <f t="shared" ref="E1639:E1645" ca="1" si="54">IF(D1639="","",YEARFRAC(D1639,TODAY(),1))</f>
        <v>47.271731690622858</v>
      </c>
      <c r="F1639" s="50">
        <v>154657718</v>
      </c>
      <c r="G1639" s="51" t="s">
        <v>141</v>
      </c>
      <c r="I1639" s="52" t="s">
        <v>4954</v>
      </c>
      <c r="J1639" s="46" t="s">
        <v>5055</v>
      </c>
      <c r="M1639" s="52" t="s">
        <v>5056</v>
      </c>
      <c r="P1639" s="46">
        <v>1</v>
      </c>
    </row>
    <row r="1640" spans="1:21">
      <c r="A1640" s="47">
        <v>27211366</v>
      </c>
      <c r="B1640" s="46" t="s">
        <v>3906</v>
      </c>
      <c r="C1640" s="46" t="s">
        <v>3907</v>
      </c>
      <c r="D1640" s="48" t="s">
        <v>3908</v>
      </c>
      <c r="E1640" s="49">
        <f t="shared" ca="1" si="54"/>
        <v>47.285420944558524</v>
      </c>
      <c r="F1640" s="50" t="s">
        <v>3909</v>
      </c>
      <c r="G1640" s="51" t="s">
        <v>70</v>
      </c>
      <c r="H1640" s="52" t="s">
        <v>3910</v>
      </c>
      <c r="I1640" s="52" t="s">
        <v>3630</v>
      </c>
      <c r="J1640" s="46" t="s">
        <v>3911</v>
      </c>
      <c r="K1640" s="46" t="s">
        <v>390</v>
      </c>
      <c r="L1640" s="46" t="s">
        <v>52</v>
      </c>
      <c r="M1640" s="52" t="s">
        <v>3912</v>
      </c>
      <c r="N1640" s="46" t="s">
        <v>52</v>
      </c>
      <c r="O1640" s="46" t="s">
        <v>52</v>
      </c>
      <c r="P1640" s="46" t="s">
        <v>59</v>
      </c>
      <c r="Q1640" s="46" t="s">
        <v>60</v>
      </c>
      <c r="R1640" s="46" t="s">
        <v>61</v>
      </c>
      <c r="S1640" s="46" t="s">
        <v>62</v>
      </c>
      <c r="T1640" s="46" t="s">
        <v>12</v>
      </c>
      <c r="U1640" s="46" t="s">
        <v>63</v>
      </c>
    </row>
    <row r="1641" spans="1:21">
      <c r="A1641" s="47">
        <v>27211409</v>
      </c>
      <c r="B1641" s="46" t="s">
        <v>2039</v>
      </c>
      <c r="C1641" s="52" t="s">
        <v>2102</v>
      </c>
      <c r="E1641" s="49" t="str">
        <f t="shared" ca="1" si="54"/>
        <v/>
      </c>
      <c r="F1641" s="50">
        <v>154740377</v>
      </c>
      <c r="G1641" s="51" t="s">
        <v>23</v>
      </c>
      <c r="I1641" s="52" t="s">
        <v>3922</v>
      </c>
      <c r="J1641" s="55" t="s">
        <v>3935</v>
      </c>
      <c r="K1641" s="55"/>
      <c r="L1641" s="55"/>
      <c r="M1641" s="53" t="s">
        <v>3936</v>
      </c>
      <c r="N1641" s="55"/>
      <c r="O1641" s="55"/>
    </row>
    <row r="1642" spans="1:21">
      <c r="A1642" s="47">
        <v>27224695</v>
      </c>
      <c r="B1642" s="46" t="s">
        <v>218</v>
      </c>
      <c r="C1642" s="46" t="s">
        <v>6574</v>
      </c>
      <c r="D1642" s="48" t="s">
        <v>52</v>
      </c>
      <c r="E1642" s="49" t="str">
        <f t="shared" ca="1" si="54"/>
        <v/>
      </c>
      <c r="F1642" s="50" t="s">
        <v>6575</v>
      </c>
      <c r="G1642" s="51" t="s">
        <v>141</v>
      </c>
      <c r="H1642" s="52" t="s">
        <v>52</v>
      </c>
      <c r="I1642" s="52" t="s">
        <v>55</v>
      </c>
      <c r="J1642" s="46" t="s">
        <v>6576</v>
      </c>
      <c r="K1642" s="46" t="s">
        <v>57</v>
      </c>
      <c r="L1642" s="46" t="s">
        <v>52</v>
      </c>
      <c r="M1642" s="52" t="s">
        <v>6577</v>
      </c>
      <c r="N1642" s="46" t="s">
        <v>52</v>
      </c>
      <c r="O1642" s="46" t="s">
        <v>52</v>
      </c>
      <c r="P1642" s="46" t="s">
        <v>59</v>
      </c>
      <c r="Q1642" s="46" t="s">
        <v>60</v>
      </c>
      <c r="R1642" s="46" t="s">
        <v>61</v>
      </c>
      <c r="S1642" s="46" t="s">
        <v>62</v>
      </c>
      <c r="T1642" s="46" t="s">
        <v>12</v>
      </c>
      <c r="U1642" s="46" t="s">
        <v>63</v>
      </c>
    </row>
    <row r="1643" spans="1:21">
      <c r="A1643" s="64">
        <v>27321673</v>
      </c>
      <c r="B1643" s="61" t="s">
        <v>2192</v>
      </c>
      <c r="C1643" s="62" t="s">
        <v>2193</v>
      </c>
      <c r="D1643" s="48">
        <v>29136</v>
      </c>
      <c r="E1643" s="49">
        <f t="shared" ca="1" si="54"/>
        <v>46.726899383983572</v>
      </c>
      <c r="F1643" s="63">
        <v>3876523270</v>
      </c>
      <c r="G1643" s="51" t="s">
        <v>23</v>
      </c>
      <c r="I1643" s="52" t="s">
        <v>1881</v>
      </c>
      <c r="J1643" s="61" t="s">
        <v>48</v>
      </c>
      <c r="K1643" s="61"/>
      <c r="L1643" s="61"/>
      <c r="M1643" s="53" t="s">
        <v>2194</v>
      </c>
      <c r="N1643" s="55"/>
      <c r="O1643" s="55"/>
    </row>
    <row r="1644" spans="1:21">
      <c r="A1644" s="47">
        <v>27322439</v>
      </c>
      <c r="B1644" s="69" t="s">
        <v>8804</v>
      </c>
      <c r="C1644" s="70" t="s">
        <v>296</v>
      </c>
      <c r="D1644" s="48">
        <v>28961</v>
      </c>
      <c r="E1644" s="49">
        <f t="shared" ca="1" si="54"/>
        <v>47.206023271731688</v>
      </c>
      <c r="F1644" s="50">
        <v>155906148</v>
      </c>
      <c r="G1644" s="51" t="s">
        <v>23</v>
      </c>
      <c r="I1644" s="52" t="s">
        <v>5494</v>
      </c>
      <c r="J1644" s="46" t="s">
        <v>48</v>
      </c>
      <c r="M1644" s="53" t="s">
        <v>5728</v>
      </c>
      <c r="N1644" s="55">
        <v>4526343</v>
      </c>
      <c r="O1644" s="55"/>
    </row>
    <row r="1645" spans="1:21">
      <c r="A1645" s="47">
        <v>27364252</v>
      </c>
      <c r="B1645" s="46" t="s">
        <v>428</v>
      </c>
      <c r="C1645" s="46" t="s">
        <v>3970</v>
      </c>
      <c r="D1645" s="48" t="s">
        <v>52</v>
      </c>
      <c r="E1645" s="49" t="str">
        <f t="shared" ca="1" si="54"/>
        <v/>
      </c>
      <c r="F1645" s="50" t="s">
        <v>3971</v>
      </c>
      <c r="G1645" s="51" t="s">
        <v>141</v>
      </c>
      <c r="H1645" s="52" t="s">
        <v>52</v>
      </c>
      <c r="I1645" s="52" t="s">
        <v>3956</v>
      </c>
      <c r="J1645" s="46" t="s">
        <v>3972</v>
      </c>
      <c r="K1645" s="46" t="s">
        <v>81</v>
      </c>
      <c r="L1645" s="46" t="s">
        <v>52</v>
      </c>
      <c r="M1645" s="58" t="s">
        <v>3973</v>
      </c>
      <c r="N1645" s="46" t="s">
        <v>3974</v>
      </c>
      <c r="O1645" s="46" t="s">
        <v>52</v>
      </c>
      <c r="P1645" s="46" t="s">
        <v>59</v>
      </c>
      <c r="Q1645" s="46" t="s">
        <v>60</v>
      </c>
      <c r="R1645" s="46" t="s">
        <v>61</v>
      </c>
      <c r="S1645" s="46" t="s">
        <v>62</v>
      </c>
      <c r="T1645" s="46" t="s">
        <v>12</v>
      </c>
      <c r="U1645" s="46" t="s">
        <v>63</v>
      </c>
    </row>
    <row r="1646" spans="1:21">
      <c r="A1646" s="74">
        <v>27364281</v>
      </c>
      <c r="B1646" s="234" t="s">
        <v>6928</v>
      </c>
      <c r="C1646" s="234" t="s">
        <v>6907</v>
      </c>
      <c r="D1646" s="235">
        <v>28962</v>
      </c>
      <c r="E1646" s="236"/>
      <c r="F1646" s="237">
        <v>3815160200</v>
      </c>
      <c r="G1646" s="234" t="s">
        <v>70</v>
      </c>
      <c r="H1646" s="238" t="s">
        <v>9973</v>
      </c>
      <c r="I1646" s="238" t="s">
        <v>3555</v>
      </c>
      <c r="J1646" s="234" t="s">
        <v>10009</v>
      </c>
      <c r="K1646" s="234" t="s">
        <v>2002</v>
      </c>
      <c r="L1646" s="234"/>
      <c r="M1646" s="238" t="s">
        <v>9942</v>
      </c>
      <c r="N1646" s="234"/>
      <c r="O1646" s="234"/>
      <c r="P1646" s="234"/>
      <c r="Q1646" s="234"/>
      <c r="R1646" s="234"/>
      <c r="S1646" s="234"/>
      <c r="T1646" s="234"/>
      <c r="U1646" s="234"/>
    </row>
    <row r="1647" spans="1:21">
      <c r="A1647" s="47">
        <v>27364316</v>
      </c>
      <c r="B1647" s="46" t="s">
        <v>2170</v>
      </c>
      <c r="C1647" s="46" t="s">
        <v>2171</v>
      </c>
      <c r="D1647" s="48">
        <v>28965</v>
      </c>
      <c r="E1647" s="49">
        <f ca="1">IF(D1647="","",YEARFRAC(D1647,TODAY(),1))</f>
        <v>47.195071868583163</v>
      </c>
      <c r="F1647" s="50">
        <v>155490020</v>
      </c>
      <c r="G1647" s="51" t="s">
        <v>70</v>
      </c>
      <c r="I1647" s="52" t="s">
        <v>1881</v>
      </c>
      <c r="J1647" s="46" t="s">
        <v>470</v>
      </c>
      <c r="M1647" s="53" t="s">
        <v>2172</v>
      </c>
      <c r="N1647" s="46">
        <v>4364093</v>
      </c>
      <c r="O1647" s="46">
        <v>7704</v>
      </c>
      <c r="P1647" s="46">
        <v>3</v>
      </c>
    </row>
    <row r="1648" spans="1:21">
      <c r="A1648" s="47">
        <v>27364370</v>
      </c>
      <c r="B1648" s="46" t="s">
        <v>3502</v>
      </c>
      <c r="C1648" s="52" t="s">
        <v>3503</v>
      </c>
      <c r="E1648" s="49" t="str">
        <f ca="1">IF(D1648="","",YEARFRAC(D1648,TODAY(),1))</f>
        <v/>
      </c>
      <c r="F1648" s="50">
        <v>154664791</v>
      </c>
      <c r="G1648" s="51" t="s">
        <v>23</v>
      </c>
      <c r="I1648" s="52" t="s">
        <v>3427</v>
      </c>
      <c r="J1648" s="46" t="s">
        <v>545</v>
      </c>
      <c r="M1648" s="58" t="s">
        <v>25</v>
      </c>
      <c r="N1648" s="55" t="s">
        <v>3438</v>
      </c>
      <c r="O1648" s="55"/>
    </row>
    <row r="1649" spans="1:21">
      <c r="A1649" s="47">
        <v>27364727</v>
      </c>
      <c r="B1649" s="46" t="s">
        <v>1833</v>
      </c>
      <c r="C1649" s="52" t="s">
        <v>1834</v>
      </c>
      <c r="D1649" s="48">
        <v>28983</v>
      </c>
      <c r="E1649" s="49">
        <f ca="1">IF(D1649="","",YEARFRAC(D1649,TODAY(),1))</f>
        <v>47.145790554414788</v>
      </c>
      <c r="F1649" s="50">
        <v>156222390</v>
      </c>
      <c r="G1649" s="51" t="s">
        <v>23</v>
      </c>
      <c r="I1649" s="52" t="s">
        <v>1657</v>
      </c>
      <c r="J1649" s="46" t="s">
        <v>1835</v>
      </c>
      <c r="M1649" s="53" t="s">
        <v>1836</v>
      </c>
      <c r="N1649" s="55"/>
      <c r="O1649" s="55"/>
    </row>
    <row r="1650" spans="1:21">
      <c r="A1650" s="47">
        <v>27364743</v>
      </c>
      <c r="B1650" s="46" t="s">
        <v>304</v>
      </c>
      <c r="C1650" s="52" t="s">
        <v>1143</v>
      </c>
      <c r="D1650" s="48">
        <v>28983</v>
      </c>
      <c r="E1650" s="49">
        <f ca="1">IF(D1650="","",YEARFRAC(D1650,TODAY(),1))</f>
        <v>47.145790554414788</v>
      </c>
      <c r="G1650" s="51" t="s">
        <v>37</v>
      </c>
      <c r="I1650" s="59" t="s">
        <v>908</v>
      </c>
      <c r="M1650" s="53" t="s">
        <v>1144</v>
      </c>
      <c r="N1650" s="55">
        <v>4107202</v>
      </c>
      <c r="O1650" s="55"/>
    </row>
    <row r="1651" spans="1:21">
      <c r="A1651" s="47">
        <v>27364980</v>
      </c>
      <c r="B1651" s="46" t="s">
        <v>8919</v>
      </c>
      <c r="C1651" s="46" t="s">
        <v>8920</v>
      </c>
      <c r="D1651" s="48" t="s">
        <v>9616</v>
      </c>
      <c r="E1651" s="49" t="s">
        <v>9564</v>
      </c>
      <c r="F1651" s="50" t="s">
        <v>9617</v>
      </c>
      <c r="G1651" s="51" t="s">
        <v>70</v>
      </c>
      <c r="H1651" s="52" t="s">
        <v>9618</v>
      </c>
      <c r="I1651" s="52" t="s">
        <v>4499</v>
      </c>
      <c r="J1651" s="46" t="s">
        <v>9619</v>
      </c>
      <c r="K1651" s="46" t="s">
        <v>112</v>
      </c>
      <c r="L1651" s="46" t="s">
        <v>546</v>
      </c>
      <c r="M1651" s="52" t="s">
        <v>9620</v>
      </c>
      <c r="N1651" s="46" t="s">
        <v>52</v>
      </c>
      <c r="O1651" s="46" t="s">
        <v>52</v>
      </c>
      <c r="P1651" s="46" t="s">
        <v>59</v>
      </c>
      <c r="Q1651" s="46" t="s">
        <v>60</v>
      </c>
      <c r="R1651" s="46" t="s">
        <v>61</v>
      </c>
      <c r="S1651" s="46" t="s">
        <v>62</v>
      </c>
      <c r="T1651" s="46" t="s">
        <v>12</v>
      </c>
      <c r="U1651" s="46" t="s">
        <v>63</v>
      </c>
    </row>
    <row r="1652" spans="1:21">
      <c r="A1652" s="47">
        <v>27365139</v>
      </c>
      <c r="B1652" s="46" t="s">
        <v>195</v>
      </c>
      <c r="C1652" s="46" t="s">
        <v>1710</v>
      </c>
      <c r="D1652" s="48" t="s">
        <v>1711</v>
      </c>
      <c r="E1652" s="49">
        <f ca="1">IF(D1652="","",YEARFRAC(D1652,TODAY(),1))</f>
        <v>47.110198494182065</v>
      </c>
      <c r="F1652" s="50" t="s">
        <v>1712</v>
      </c>
      <c r="G1652" s="51" t="s">
        <v>352</v>
      </c>
      <c r="H1652" s="52" t="s">
        <v>52</v>
      </c>
      <c r="I1652" s="52" t="s">
        <v>1657</v>
      </c>
      <c r="J1652" s="46" t="s">
        <v>38</v>
      </c>
      <c r="K1652" s="46" t="s">
        <v>52</v>
      </c>
      <c r="L1652" s="46" t="s">
        <v>52</v>
      </c>
      <c r="M1652" s="53" t="s">
        <v>1713</v>
      </c>
      <c r="N1652" s="46" t="s">
        <v>1714</v>
      </c>
      <c r="O1652" s="46" t="s">
        <v>52</v>
      </c>
      <c r="P1652" s="46" t="s">
        <v>59</v>
      </c>
      <c r="Q1652" s="46" t="s">
        <v>60</v>
      </c>
      <c r="R1652" s="46" t="s">
        <v>61</v>
      </c>
      <c r="S1652" s="46" t="s">
        <v>62</v>
      </c>
      <c r="T1652" s="46" t="s">
        <v>12</v>
      </c>
      <c r="U1652" s="46" t="s">
        <v>63</v>
      </c>
    </row>
    <row r="1653" spans="1:21">
      <c r="A1653" s="74">
        <v>27365353</v>
      </c>
      <c r="B1653" s="234" t="s">
        <v>9019</v>
      </c>
      <c r="C1653" s="234" t="s">
        <v>9020</v>
      </c>
      <c r="D1653" s="235">
        <v>29007</v>
      </c>
      <c r="E1653" s="236"/>
      <c r="F1653" s="237">
        <v>3814950435</v>
      </c>
      <c r="G1653" s="234" t="s">
        <v>78</v>
      </c>
      <c r="H1653" s="238" t="s">
        <v>9975</v>
      </c>
      <c r="I1653" s="266" t="s">
        <v>9976</v>
      </c>
      <c r="J1653" s="234" t="s">
        <v>2002</v>
      </c>
      <c r="K1653" s="234" t="s">
        <v>2002</v>
      </c>
      <c r="L1653" s="234"/>
      <c r="M1653" s="238" t="s">
        <v>9943</v>
      </c>
      <c r="N1653" s="234"/>
      <c r="O1653" s="234"/>
      <c r="P1653" s="234"/>
      <c r="Q1653" s="234"/>
      <c r="R1653" s="234"/>
      <c r="S1653" s="234"/>
      <c r="T1653" s="234"/>
      <c r="U1653" s="234"/>
    </row>
    <row r="1654" spans="1:21">
      <c r="A1654" s="47">
        <v>27365551</v>
      </c>
      <c r="B1654" s="46" t="s">
        <v>4600</v>
      </c>
      <c r="C1654" s="52" t="s">
        <v>4601</v>
      </c>
      <c r="D1654" s="48">
        <v>29004</v>
      </c>
      <c r="E1654" s="49">
        <f ca="1">IF(D1654="","",YEARFRAC(D1654,TODAY(),1))</f>
        <v>47.088295687885008</v>
      </c>
      <c r="F1654" s="50">
        <v>154880636</v>
      </c>
      <c r="G1654" s="51" t="s">
        <v>23</v>
      </c>
      <c r="I1654" s="52" t="s">
        <v>4499</v>
      </c>
      <c r="J1654" s="46" t="s">
        <v>48</v>
      </c>
      <c r="M1654" s="53" t="s">
        <v>4602</v>
      </c>
      <c r="N1654" s="55"/>
      <c r="O1654" s="55"/>
    </row>
    <row r="1655" spans="1:21">
      <c r="A1655" s="47">
        <v>27365845</v>
      </c>
      <c r="B1655" s="46" t="s">
        <v>9653</v>
      </c>
      <c r="C1655" s="46" t="s">
        <v>9654</v>
      </c>
      <c r="D1655" s="48" t="s">
        <v>9655</v>
      </c>
      <c r="E1655" s="49" t="s">
        <v>9564</v>
      </c>
      <c r="F1655" s="50" t="s">
        <v>9656</v>
      </c>
      <c r="G1655" s="51" t="s">
        <v>70</v>
      </c>
      <c r="H1655" s="52" t="s">
        <v>9657</v>
      </c>
      <c r="I1655" s="52" t="s">
        <v>24</v>
      </c>
      <c r="J1655" s="46" t="s">
        <v>9658</v>
      </c>
      <c r="K1655" s="46" t="s">
        <v>390</v>
      </c>
      <c r="L1655" s="46" t="s">
        <v>52</v>
      </c>
      <c r="M1655" s="52" t="s">
        <v>9659</v>
      </c>
      <c r="N1655" s="46" t="s">
        <v>52</v>
      </c>
      <c r="O1655" s="46" t="s">
        <v>52</v>
      </c>
      <c r="P1655" s="46" t="s">
        <v>59</v>
      </c>
      <c r="Q1655" s="46" t="s">
        <v>60</v>
      </c>
      <c r="R1655" s="46" t="s">
        <v>61</v>
      </c>
      <c r="S1655" s="46" t="s">
        <v>62</v>
      </c>
      <c r="T1655" s="46" t="s">
        <v>12</v>
      </c>
      <c r="U1655" s="46" t="s">
        <v>63</v>
      </c>
    </row>
    <row r="1656" spans="1:21">
      <c r="A1656" s="47">
        <v>27370049</v>
      </c>
      <c r="B1656" s="46" t="s">
        <v>315</v>
      </c>
      <c r="C1656" s="52" t="s">
        <v>6259</v>
      </c>
      <c r="E1656" s="49" t="str">
        <f ca="1">IF(D1656="","",YEARFRAC(D1656,TODAY(),1))</f>
        <v/>
      </c>
      <c r="G1656" s="51" t="s">
        <v>23</v>
      </c>
      <c r="I1656" s="52" t="s">
        <v>23</v>
      </c>
      <c r="J1656" s="46" t="s">
        <v>6260</v>
      </c>
      <c r="M1656" s="53" t="s">
        <v>6261</v>
      </c>
      <c r="N1656" s="55"/>
      <c r="O1656" s="55" t="s">
        <v>6262</v>
      </c>
    </row>
    <row r="1657" spans="1:21">
      <c r="A1657" s="47">
        <v>27370355</v>
      </c>
      <c r="B1657" s="46" t="s">
        <v>676</v>
      </c>
      <c r="C1657" s="46" t="s">
        <v>9709</v>
      </c>
      <c r="D1657" s="48" t="s">
        <v>9710</v>
      </c>
      <c r="E1657" s="49" t="s">
        <v>9564</v>
      </c>
      <c r="F1657" s="50" t="s">
        <v>9711</v>
      </c>
      <c r="G1657" s="51" t="s">
        <v>78</v>
      </c>
      <c r="H1657" s="52" t="s">
        <v>9712</v>
      </c>
      <c r="I1657" s="52" t="s">
        <v>55</v>
      </c>
      <c r="J1657" s="46" t="s">
        <v>9713</v>
      </c>
      <c r="K1657" s="46" t="s">
        <v>81</v>
      </c>
      <c r="L1657" s="46" t="s">
        <v>546</v>
      </c>
      <c r="M1657" s="52" t="s">
        <v>9714</v>
      </c>
      <c r="N1657" s="46" t="s">
        <v>52</v>
      </c>
      <c r="O1657" s="46" t="s">
        <v>52</v>
      </c>
      <c r="P1657" s="46" t="s">
        <v>59</v>
      </c>
      <c r="Q1657" s="46" t="s">
        <v>60</v>
      </c>
      <c r="R1657" s="46" t="s">
        <v>61</v>
      </c>
      <c r="S1657" s="46" t="s">
        <v>62</v>
      </c>
      <c r="T1657" s="46" t="s">
        <v>12</v>
      </c>
      <c r="U1657" s="46" t="s">
        <v>63</v>
      </c>
    </row>
    <row r="1658" spans="1:21">
      <c r="A1658" s="47">
        <v>27400154</v>
      </c>
      <c r="B1658" s="46" t="s">
        <v>428</v>
      </c>
      <c r="C1658" s="46" t="s">
        <v>3154</v>
      </c>
      <c r="D1658" s="48">
        <v>29082</v>
      </c>
      <c r="E1658" s="49">
        <f t="shared" ref="E1658:E1678" ca="1" si="55">IF(D1658="","",YEARFRAC(D1658,TODAY(),1))</f>
        <v>46.874743326488705</v>
      </c>
      <c r="F1658" s="50">
        <v>155722255</v>
      </c>
      <c r="G1658" s="51" t="s">
        <v>37</v>
      </c>
      <c r="I1658" s="52" t="s">
        <v>3127</v>
      </c>
      <c r="J1658" s="55" t="s">
        <v>234</v>
      </c>
      <c r="K1658" s="55"/>
      <c r="L1658" s="55"/>
      <c r="M1658" s="53" t="s">
        <v>3155</v>
      </c>
      <c r="N1658" s="55">
        <v>4313629</v>
      </c>
      <c r="P1658" s="46">
        <v>3</v>
      </c>
    </row>
    <row r="1659" spans="1:21">
      <c r="A1659" s="47">
        <v>27400260</v>
      </c>
      <c r="B1659" s="46" t="s">
        <v>3958</v>
      </c>
      <c r="C1659" s="52" t="s">
        <v>4956</v>
      </c>
      <c r="D1659" s="48">
        <v>29110</v>
      </c>
      <c r="E1659" s="49">
        <f t="shared" ca="1" si="55"/>
        <v>46.798083504449011</v>
      </c>
      <c r="F1659" s="50">
        <v>155789101</v>
      </c>
      <c r="G1659" s="51" t="s">
        <v>23</v>
      </c>
      <c r="I1659" s="65" t="s">
        <v>4954</v>
      </c>
      <c r="J1659" s="46" t="s">
        <v>38</v>
      </c>
      <c r="M1659" s="53" t="s">
        <v>4957</v>
      </c>
      <c r="N1659" s="55"/>
      <c r="O1659" s="55"/>
    </row>
    <row r="1660" spans="1:21">
      <c r="A1660" s="47">
        <v>27400288</v>
      </c>
      <c r="B1660" s="46" t="s">
        <v>4636</v>
      </c>
      <c r="C1660" s="52" t="s">
        <v>4637</v>
      </c>
      <c r="E1660" s="49" t="str">
        <f t="shared" ca="1" si="55"/>
        <v/>
      </c>
      <c r="F1660" s="50">
        <v>155844845</v>
      </c>
      <c r="G1660" s="51" t="s">
        <v>23</v>
      </c>
      <c r="I1660" s="52" t="s">
        <v>4499</v>
      </c>
      <c r="J1660" s="46" t="s">
        <v>4591</v>
      </c>
      <c r="M1660" s="53" t="s">
        <v>4638</v>
      </c>
      <c r="N1660" s="55"/>
      <c r="O1660" s="55"/>
    </row>
    <row r="1661" spans="1:21">
      <c r="A1661" s="47">
        <v>27400571</v>
      </c>
      <c r="B1661" s="46" t="s">
        <v>779</v>
      </c>
      <c r="C1661" s="46" t="s">
        <v>780</v>
      </c>
      <c r="D1661" s="48" t="s">
        <v>52</v>
      </c>
      <c r="E1661" s="49" t="str">
        <f t="shared" ca="1" si="55"/>
        <v/>
      </c>
      <c r="F1661" s="50" t="s">
        <v>781</v>
      </c>
      <c r="G1661" s="51" t="s">
        <v>70</v>
      </c>
      <c r="H1661" s="52" t="s">
        <v>782</v>
      </c>
      <c r="I1661" s="52" t="s">
        <v>594</v>
      </c>
      <c r="J1661" s="46" t="s">
        <v>52</v>
      </c>
      <c r="K1661" s="46" t="s">
        <v>390</v>
      </c>
      <c r="L1661" s="46" t="s">
        <v>546</v>
      </c>
      <c r="M1661" s="52" t="s">
        <v>582</v>
      </c>
      <c r="N1661" s="46" t="s">
        <v>52</v>
      </c>
      <c r="O1661" s="46" t="s">
        <v>52</v>
      </c>
      <c r="P1661" s="46" t="s">
        <v>59</v>
      </c>
      <c r="Q1661" s="46" t="s">
        <v>60</v>
      </c>
      <c r="R1661" s="46" t="s">
        <v>61</v>
      </c>
      <c r="S1661" s="46" t="s">
        <v>62</v>
      </c>
      <c r="T1661" s="46" t="s">
        <v>12</v>
      </c>
      <c r="U1661" s="46" t="s">
        <v>63</v>
      </c>
    </row>
    <row r="1662" spans="1:21">
      <c r="A1662" s="47">
        <v>27400634</v>
      </c>
      <c r="B1662" s="46" t="s">
        <v>2248</v>
      </c>
      <c r="C1662" s="46" t="s">
        <v>2810</v>
      </c>
      <c r="D1662" s="48">
        <v>29210</v>
      </c>
      <c r="E1662" s="49">
        <f t="shared" ca="1" si="55"/>
        <v>46.5242984257358</v>
      </c>
      <c r="G1662" s="51" t="s">
        <v>86</v>
      </c>
      <c r="I1662" s="52" t="s">
        <v>2778</v>
      </c>
      <c r="M1662" s="53" t="s">
        <v>2811</v>
      </c>
      <c r="N1662" s="54" t="s">
        <v>2812</v>
      </c>
    </row>
    <row r="1663" spans="1:21">
      <c r="A1663" s="47">
        <v>27400903</v>
      </c>
      <c r="B1663" s="46" t="s">
        <v>2026</v>
      </c>
      <c r="C1663" s="52" t="s">
        <v>139</v>
      </c>
      <c r="D1663" s="48">
        <v>29265</v>
      </c>
      <c r="E1663" s="49">
        <f t="shared" ca="1" si="55"/>
        <v>46.373041300168929</v>
      </c>
      <c r="G1663" s="51" t="s">
        <v>23</v>
      </c>
      <c r="I1663" s="52" t="s">
        <v>1881</v>
      </c>
      <c r="M1663" s="53" t="s">
        <v>2032</v>
      </c>
      <c r="N1663" s="55"/>
      <c r="O1663" s="55"/>
    </row>
    <row r="1664" spans="1:21">
      <c r="A1664" s="47">
        <v>27430251</v>
      </c>
      <c r="B1664" s="46" t="s">
        <v>428</v>
      </c>
      <c r="C1664" s="46" t="s">
        <v>803</v>
      </c>
      <c r="D1664" s="48">
        <v>25749</v>
      </c>
      <c r="E1664" s="49">
        <f t="shared" ca="1" si="55"/>
        <v>56.000672462654308</v>
      </c>
      <c r="F1664" s="50">
        <v>154545614</v>
      </c>
      <c r="G1664" s="51" t="s">
        <v>70</v>
      </c>
      <c r="I1664" s="52" t="s">
        <v>804</v>
      </c>
      <c r="J1664" s="46" t="s">
        <v>38</v>
      </c>
      <c r="M1664" s="52" t="s">
        <v>805</v>
      </c>
      <c r="N1664" s="46">
        <v>4247752</v>
      </c>
      <c r="O1664" s="46">
        <v>7228</v>
      </c>
      <c r="P1664" s="46">
        <v>3</v>
      </c>
    </row>
    <row r="1665" spans="1:21">
      <c r="A1665" s="64">
        <v>27454217</v>
      </c>
      <c r="B1665" s="61" t="s">
        <v>3800</v>
      </c>
      <c r="C1665" s="62" t="s">
        <v>3801</v>
      </c>
      <c r="D1665" s="48">
        <v>29294</v>
      </c>
      <c r="E1665" s="49">
        <f t="shared" ca="1" si="55"/>
        <v>46.293644783596434</v>
      </c>
      <c r="F1665" s="63">
        <v>154420410</v>
      </c>
      <c r="G1665" s="51" t="s">
        <v>23</v>
      </c>
      <c r="I1665" s="52" t="s">
        <v>3630</v>
      </c>
      <c r="J1665" s="61" t="s">
        <v>1034</v>
      </c>
      <c r="K1665" s="61"/>
      <c r="L1665" s="61"/>
      <c r="M1665" s="53" t="s">
        <v>3802</v>
      </c>
      <c r="N1665" s="55"/>
      <c r="O1665" s="55"/>
    </row>
    <row r="1666" spans="1:21">
      <c r="A1666" s="47">
        <v>27460133</v>
      </c>
      <c r="B1666" s="46" t="s">
        <v>5998</v>
      </c>
      <c r="C1666" s="46" t="s">
        <v>876</v>
      </c>
      <c r="D1666" s="68"/>
      <c r="E1666" s="49" t="str">
        <f t="shared" ca="1" si="55"/>
        <v/>
      </c>
      <c r="F1666" s="63">
        <v>156049754</v>
      </c>
      <c r="G1666" s="51" t="s">
        <v>23</v>
      </c>
      <c r="I1666" s="52" t="s">
        <v>23</v>
      </c>
      <c r="M1666" s="53" t="s">
        <v>5999</v>
      </c>
    </row>
    <row r="1667" spans="1:21">
      <c r="A1667" s="47">
        <v>27496935</v>
      </c>
      <c r="B1667" s="46" t="s">
        <v>4153</v>
      </c>
      <c r="C1667" s="46" t="s">
        <v>4154</v>
      </c>
      <c r="D1667" s="48">
        <v>28998</v>
      </c>
      <c r="E1667" s="49">
        <f t="shared" ca="1" si="55"/>
        <v>47.104722792607802</v>
      </c>
      <c r="F1667" s="50" t="s">
        <v>4155</v>
      </c>
      <c r="G1667" s="51" t="s">
        <v>23</v>
      </c>
      <c r="I1667" s="52" t="s">
        <v>4078</v>
      </c>
      <c r="J1667" s="46" t="s">
        <v>2140</v>
      </c>
      <c r="M1667" s="53" t="s">
        <v>4156</v>
      </c>
      <c r="N1667" s="46">
        <v>3865482646</v>
      </c>
    </row>
    <row r="1668" spans="1:21">
      <c r="A1668" s="64">
        <v>27512927</v>
      </c>
      <c r="B1668" s="61" t="s">
        <v>6209</v>
      </c>
      <c r="C1668" s="62" t="s">
        <v>6210</v>
      </c>
      <c r="D1668" s="48">
        <v>29256</v>
      </c>
      <c r="E1668" s="49">
        <f t="shared" ca="1" si="55"/>
        <v>46.397681598415566</v>
      </c>
      <c r="F1668" s="63">
        <v>154773882</v>
      </c>
      <c r="G1668" s="51" t="s">
        <v>23</v>
      </c>
      <c r="I1668" s="52" t="s">
        <v>23</v>
      </c>
      <c r="J1668" s="61"/>
      <c r="K1668" s="61"/>
      <c r="L1668" s="61"/>
      <c r="M1668" s="53" t="s">
        <v>6211</v>
      </c>
      <c r="N1668" s="55"/>
      <c r="O1668" s="55"/>
    </row>
    <row r="1669" spans="1:21">
      <c r="A1669" s="47">
        <v>27575100</v>
      </c>
      <c r="B1669" s="46" t="s">
        <v>3649</v>
      </c>
      <c r="C1669" s="46" t="s">
        <v>436</v>
      </c>
      <c r="D1669" s="48">
        <v>29066</v>
      </c>
      <c r="E1669" s="49">
        <f t="shared" ca="1" si="55"/>
        <v>46.918548939082818</v>
      </c>
      <c r="F1669" s="50">
        <v>155632080</v>
      </c>
      <c r="G1669" s="51" t="s">
        <v>70</v>
      </c>
      <c r="I1669" s="52" t="s">
        <v>3630</v>
      </c>
      <c r="J1669" s="46" t="s">
        <v>1472</v>
      </c>
      <c r="M1669" s="53" t="s">
        <v>3650</v>
      </c>
      <c r="N1669" s="46">
        <v>4847353</v>
      </c>
      <c r="O1669" s="46">
        <v>7353</v>
      </c>
      <c r="P1669" s="46">
        <v>3</v>
      </c>
    </row>
    <row r="1670" spans="1:21">
      <c r="A1670" s="47">
        <v>27575169</v>
      </c>
      <c r="B1670" s="46" t="s">
        <v>601</v>
      </c>
      <c r="C1670" s="46" t="s">
        <v>602</v>
      </c>
      <c r="D1670" s="48" t="s">
        <v>603</v>
      </c>
      <c r="E1670" s="49">
        <f t="shared" ca="1" si="55"/>
        <v>46.951403148528406</v>
      </c>
      <c r="F1670" s="50" t="s">
        <v>604</v>
      </c>
      <c r="G1670" s="51" t="s">
        <v>86</v>
      </c>
      <c r="H1670" s="52" t="s">
        <v>52</v>
      </c>
      <c r="I1670" s="52" t="s">
        <v>594</v>
      </c>
      <c r="J1670" s="46" t="s">
        <v>52</v>
      </c>
      <c r="K1670" s="46" t="s">
        <v>81</v>
      </c>
      <c r="L1670" s="46" t="s">
        <v>52</v>
      </c>
      <c r="M1670" s="53" t="s">
        <v>605</v>
      </c>
      <c r="N1670" s="46" t="s">
        <v>606</v>
      </c>
      <c r="O1670" s="46" t="s">
        <v>607</v>
      </c>
      <c r="P1670" s="46" t="s">
        <v>59</v>
      </c>
      <c r="Q1670" s="46" t="s">
        <v>60</v>
      </c>
      <c r="R1670" s="46" t="s">
        <v>61</v>
      </c>
      <c r="S1670" s="46" t="s">
        <v>62</v>
      </c>
      <c r="T1670" s="46" t="s">
        <v>12</v>
      </c>
      <c r="U1670" s="46" t="s">
        <v>63</v>
      </c>
    </row>
    <row r="1671" spans="1:21">
      <c r="A1671" s="47">
        <v>27575187</v>
      </c>
      <c r="B1671" s="46" t="s">
        <v>3939</v>
      </c>
      <c r="C1671" s="46" t="s">
        <v>3940</v>
      </c>
      <c r="E1671" s="49" t="str">
        <f t="shared" ca="1" si="55"/>
        <v/>
      </c>
      <c r="F1671" s="50">
        <v>154807580</v>
      </c>
      <c r="G1671" s="51" t="s">
        <v>23</v>
      </c>
      <c r="I1671" s="52" t="s">
        <v>3922</v>
      </c>
      <c r="M1671" s="53" t="s">
        <v>3941</v>
      </c>
    </row>
    <row r="1672" spans="1:21">
      <c r="A1672" s="47">
        <v>27575318</v>
      </c>
      <c r="B1672" s="46" t="s">
        <v>4929</v>
      </c>
      <c r="C1672" s="46" t="s">
        <v>4930</v>
      </c>
      <c r="D1672" s="48" t="s">
        <v>52</v>
      </c>
      <c r="E1672" s="49" t="str">
        <f t="shared" ca="1" si="55"/>
        <v/>
      </c>
      <c r="F1672" s="50" t="s">
        <v>4931</v>
      </c>
      <c r="G1672" s="51" t="s">
        <v>70</v>
      </c>
      <c r="H1672" s="52" t="s">
        <v>52</v>
      </c>
      <c r="I1672" s="52" t="s">
        <v>4815</v>
      </c>
      <c r="J1672" s="46" t="s">
        <v>4925</v>
      </c>
      <c r="K1672" s="46" t="s">
        <v>81</v>
      </c>
      <c r="L1672" s="46" t="s">
        <v>546</v>
      </c>
      <c r="M1672" s="52" t="s">
        <v>4932</v>
      </c>
      <c r="N1672" s="46" t="s">
        <v>4927</v>
      </c>
      <c r="O1672" s="46" t="s">
        <v>4928</v>
      </c>
      <c r="P1672" s="46" t="s">
        <v>59</v>
      </c>
      <c r="Q1672" s="46" t="s">
        <v>60</v>
      </c>
      <c r="R1672" s="46" t="s">
        <v>61</v>
      </c>
      <c r="S1672" s="46" t="s">
        <v>62</v>
      </c>
      <c r="T1672" s="46" t="s">
        <v>12</v>
      </c>
      <c r="U1672" s="46" t="s">
        <v>63</v>
      </c>
    </row>
    <row r="1673" spans="1:21">
      <c r="A1673" s="47">
        <v>27579882</v>
      </c>
      <c r="B1673" s="46" t="s">
        <v>2569</v>
      </c>
      <c r="C1673" s="55" t="s">
        <v>832</v>
      </c>
      <c r="D1673" s="48">
        <v>29059</v>
      </c>
      <c r="E1673" s="49">
        <f t="shared" ca="1" si="55"/>
        <v>46.937713894592747</v>
      </c>
      <c r="F1673" s="50">
        <v>154589552</v>
      </c>
      <c r="G1673" s="51" t="s">
        <v>78</v>
      </c>
      <c r="I1673" s="59" t="s">
        <v>908</v>
      </c>
      <c r="J1673" s="55"/>
      <c r="K1673" s="55"/>
      <c r="L1673" s="55"/>
      <c r="M1673" s="53" t="s">
        <v>2570</v>
      </c>
      <c r="N1673" s="55">
        <v>4212400</v>
      </c>
      <c r="O1673" s="55">
        <v>226</v>
      </c>
    </row>
    <row r="1674" spans="1:21">
      <c r="A1674" s="47">
        <v>27594473</v>
      </c>
      <c r="B1674" s="46" t="s">
        <v>1906</v>
      </c>
      <c r="C1674" s="46" t="s">
        <v>1003</v>
      </c>
      <c r="D1674" s="48" t="s">
        <v>52</v>
      </c>
      <c r="E1674" s="49" t="str">
        <f t="shared" ca="1" si="55"/>
        <v/>
      </c>
      <c r="F1674" s="50" t="s">
        <v>5890</v>
      </c>
      <c r="G1674" s="51" t="s">
        <v>70</v>
      </c>
      <c r="H1674" s="52" t="s">
        <v>5891</v>
      </c>
      <c r="I1674" s="52" t="s">
        <v>5881</v>
      </c>
      <c r="J1674" s="46" t="s">
        <v>3119</v>
      </c>
      <c r="K1674" s="46" t="s">
        <v>81</v>
      </c>
      <c r="L1674" s="46" t="s">
        <v>52</v>
      </c>
      <c r="M1674" s="53" t="s">
        <v>5892</v>
      </c>
      <c r="N1674" s="46" t="s">
        <v>52</v>
      </c>
      <c r="O1674" s="46" t="s">
        <v>5854</v>
      </c>
      <c r="P1674" s="46" t="s">
        <v>59</v>
      </c>
      <c r="Q1674" s="46" t="s">
        <v>60</v>
      </c>
      <c r="R1674" s="46" t="s">
        <v>61</v>
      </c>
      <c r="S1674" s="46" t="s">
        <v>62</v>
      </c>
      <c r="T1674" s="46" t="s">
        <v>12</v>
      </c>
      <c r="U1674" s="46" t="s">
        <v>63</v>
      </c>
    </row>
    <row r="1675" spans="1:21">
      <c r="A1675" s="47">
        <v>27594642</v>
      </c>
      <c r="B1675" s="46" t="s">
        <v>308</v>
      </c>
      <c r="C1675" s="52" t="s">
        <v>2125</v>
      </c>
      <c r="D1675" s="48" t="s">
        <v>52</v>
      </c>
      <c r="E1675" s="49" t="str">
        <f t="shared" ca="1" si="55"/>
        <v/>
      </c>
      <c r="F1675" s="50" t="s">
        <v>2126</v>
      </c>
      <c r="G1675" s="51" t="s">
        <v>141</v>
      </c>
      <c r="H1675" s="52" t="s">
        <v>52</v>
      </c>
      <c r="I1675" s="52" t="s">
        <v>1881</v>
      </c>
      <c r="J1675" s="46" t="s">
        <v>2127</v>
      </c>
      <c r="K1675" s="46" t="s">
        <v>81</v>
      </c>
      <c r="L1675" s="46" t="s">
        <v>52</v>
      </c>
      <c r="M1675" s="58" t="s">
        <v>2128</v>
      </c>
      <c r="N1675" s="55" t="s">
        <v>52</v>
      </c>
      <c r="O1675" s="55" t="s">
        <v>52</v>
      </c>
      <c r="P1675" s="46" t="s">
        <v>59</v>
      </c>
      <c r="Q1675" s="46" t="s">
        <v>60</v>
      </c>
      <c r="R1675" s="46" t="s">
        <v>61</v>
      </c>
      <c r="S1675" s="46" t="s">
        <v>62</v>
      </c>
      <c r="T1675" s="46" t="s">
        <v>12</v>
      </c>
      <c r="U1675" s="46" t="s">
        <v>63</v>
      </c>
    </row>
    <row r="1676" spans="1:21">
      <c r="A1676" s="47">
        <v>27594942</v>
      </c>
      <c r="B1676" s="46" t="s">
        <v>177</v>
      </c>
      <c r="C1676" s="52" t="s">
        <v>178</v>
      </c>
      <c r="D1676" s="48">
        <v>29122</v>
      </c>
      <c r="E1676" s="49">
        <f t="shared" ca="1" si="55"/>
        <v>46.765229295003422</v>
      </c>
      <c r="F1676" s="50">
        <v>154096008</v>
      </c>
      <c r="G1676" s="51" t="s">
        <v>23</v>
      </c>
      <c r="I1676" s="52" t="s">
        <v>24</v>
      </c>
      <c r="J1676" s="46" t="s">
        <v>179</v>
      </c>
      <c r="M1676" s="53" t="s">
        <v>180</v>
      </c>
      <c r="N1676" s="55"/>
      <c r="O1676" s="55"/>
    </row>
    <row r="1677" spans="1:21">
      <c r="A1677" s="47">
        <v>27595015</v>
      </c>
      <c r="B1677" s="46" t="s">
        <v>2248</v>
      </c>
      <c r="C1677" s="52" t="s">
        <v>4403</v>
      </c>
      <c r="D1677" s="48">
        <v>29112</v>
      </c>
      <c r="E1677" s="49">
        <f t="shared" ca="1" si="55"/>
        <v>46.792607802874741</v>
      </c>
      <c r="F1677" s="50">
        <v>154470348</v>
      </c>
      <c r="G1677" s="51" t="s">
        <v>141</v>
      </c>
      <c r="I1677" s="52" t="s">
        <v>4245</v>
      </c>
      <c r="J1677" s="46" t="s">
        <v>3565</v>
      </c>
      <c r="M1677" s="53" t="s">
        <v>4404</v>
      </c>
      <c r="N1677" s="55">
        <v>4247752</v>
      </c>
      <c r="O1677" s="55">
        <v>7049</v>
      </c>
    </row>
    <row r="1678" spans="1:21">
      <c r="A1678" s="47">
        <v>27595246</v>
      </c>
      <c r="B1678" s="69" t="s">
        <v>6312</v>
      </c>
      <c r="C1678" s="52" t="s">
        <v>328</v>
      </c>
      <c r="D1678" s="48">
        <v>29324</v>
      </c>
      <c r="E1678" s="49">
        <f t="shared" ca="1" si="55"/>
        <v>46.211510456107646</v>
      </c>
      <c r="F1678" s="50">
        <v>155232867</v>
      </c>
      <c r="G1678" s="51" t="s">
        <v>70</v>
      </c>
      <c r="I1678" s="52" t="s">
        <v>23</v>
      </c>
      <c r="J1678" s="46" t="s">
        <v>6313</v>
      </c>
      <c r="M1678" s="53" t="s">
        <v>6314</v>
      </c>
      <c r="N1678" s="55">
        <v>4107267</v>
      </c>
      <c r="O1678" s="55"/>
    </row>
    <row r="1679" spans="1:21">
      <c r="A1679" s="47">
        <v>27595466</v>
      </c>
      <c r="B1679" s="46" t="s">
        <v>9630</v>
      </c>
      <c r="C1679" s="46" t="s">
        <v>7140</v>
      </c>
      <c r="D1679" s="48" t="s">
        <v>9631</v>
      </c>
      <c r="E1679" s="49" t="s">
        <v>1782</v>
      </c>
      <c r="F1679" s="50" t="s">
        <v>9632</v>
      </c>
      <c r="G1679" s="51" t="s">
        <v>141</v>
      </c>
      <c r="H1679" s="52" t="s">
        <v>8765</v>
      </c>
      <c r="I1679" s="52" t="s">
        <v>1497</v>
      </c>
      <c r="J1679" s="46" t="s">
        <v>9633</v>
      </c>
      <c r="K1679" s="46" t="s">
        <v>159</v>
      </c>
      <c r="L1679" s="46" t="s">
        <v>546</v>
      </c>
      <c r="M1679" s="52" t="s">
        <v>9634</v>
      </c>
      <c r="N1679" s="46" t="s">
        <v>52</v>
      </c>
      <c r="O1679" s="46" t="s">
        <v>52</v>
      </c>
      <c r="P1679" s="46" t="s">
        <v>59</v>
      </c>
      <c r="Q1679" s="46" t="s">
        <v>60</v>
      </c>
      <c r="R1679" s="46" t="s">
        <v>61</v>
      </c>
      <c r="S1679" s="46" t="s">
        <v>62</v>
      </c>
      <c r="T1679" s="46" t="s">
        <v>12</v>
      </c>
      <c r="U1679" s="46" t="s">
        <v>63</v>
      </c>
    </row>
    <row r="1680" spans="1:21">
      <c r="A1680" s="47">
        <v>27634054</v>
      </c>
      <c r="B1680" s="46" t="s">
        <v>3398</v>
      </c>
      <c r="C1680" s="55" t="s">
        <v>3399</v>
      </c>
      <c r="E1680" s="49" t="str">
        <f t="shared" ref="E1680:E1686" ca="1" si="56">IF(D1680="","",YEARFRAC(D1680,TODAY(),1))</f>
        <v/>
      </c>
      <c r="F1680" s="50">
        <v>155509149</v>
      </c>
      <c r="G1680" s="51" t="s">
        <v>23</v>
      </c>
      <c r="I1680" s="52" t="s">
        <v>3327</v>
      </c>
      <c r="J1680" s="55"/>
      <c r="K1680" s="55"/>
      <c r="L1680" s="55"/>
      <c r="M1680" s="58" t="s">
        <v>25</v>
      </c>
      <c r="N1680" s="55"/>
      <c r="O1680" s="55"/>
    </row>
    <row r="1681" spans="1:21">
      <c r="A1681" s="47">
        <v>27650750</v>
      </c>
      <c r="B1681" s="46" t="s">
        <v>723</v>
      </c>
      <c r="C1681" s="52" t="s">
        <v>898</v>
      </c>
      <c r="D1681" s="48">
        <v>28965</v>
      </c>
      <c r="E1681" s="49">
        <f t="shared" ca="1" si="56"/>
        <v>47.195071868583163</v>
      </c>
      <c r="F1681" s="50">
        <v>155490020</v>
      </c>
      <c r="G1681" s="51" t="s">
        <v>23</v>
      </c>
      <c r="I1681" s="52" t="s">
        <v>889</v>
      </c>
      <c r="J1681" s="46" t="s">
        <v>899</v>
      </c>
      <c r="M1681" s="53" t="s">
        <v>900</v>
      </c>
      <c r="N1681" s="55"/>
      <c r="O1681" s="55"/>
    </row>
    <row r="1682" spans="1:21">
      <c r="A1682" s="47">
        <v>27650853</v>
      </c>
      <c r="B1682" s="46" t="s">
        <v>1768</v>
      </c>
      <c r="C1682" s="52" t="s">
        <v>1769</v>
      </c>
      <c r="D1682" s="48">
        <v>29133</v>
      </c>
      <c r="E1682" s="49">
        <f t="shared" ca="1" si="56"/>
        <v>46.735112936344969</v>
      </c>
      <c r="G1682" s="51" t="s">
        <v>23</v>
      </c>
      <c r="I1682" s="52" t="s">
        <v>1657</v>
      </c>
      <c r="M1682" s="53" t="s">
        <v>1770</v>
      </c>
      <c r="N1682" s="55">
        <v>4107563</v>
      </c>
      <c r="O1682" s="55"/>
    </row>
    <row r="1683" spans="1:21">
      <c r="A1683" s="47">
        <v>27651109</v>
      </c>
      <c r="B1683" s="46" t="s">
        <v>2231</v>
      </c>
      <c r="C1683" s="52" t="s">
        <v>2232</v>
      </c>
      <c r="D1683" s="48">
        <v>29118</v>
      </c>
      <c r="E1683" s="49">
        <f t="shared" ca="1" si="56"/>
        <v>46.776180698151954</v>
      </c>
      <c r="F1683" s="50">
        <v>154233608</v>
      </c>
      <c r="G1683" s="51" t="s">
        <v>23</v>
      </c>
      <c r="I1683" s="52" t="s">
        <v>1881</v>
      </c>
      <c r="J1683" s="46" t="s">
        <v>2233</v>
      </c>
      <c r="M1683" s="53" t="s">
        <v>2234</v>
      </c>
      <c r="N1683" s="55"/>
      <c r="O1683" s="55"/>
    </row>
    <row r="1684" spans="1:21">
      <c r="A1684" s="47">
        <v>27651507</v>
      </c>
      <c r="B1684" s="46" t="s">
        <v>2795</v>
      </c>
      <c r="C1684" s="46" t="s">
        <v>4637</v>
      </c>
      <c r="D1684" s="48" t="s">
        <v>52</v>
      </c>
      <c r="E1684" s="49" t="str">
        <f t="shared" ca="1" si="56"/>
        <v/>
      </c>
      <c r="F1684" s="50" t="s">
        <v>5398</v>
      </c>
      <c r="G1684" s="51" t="s">
        <v>141</v>
      </c>
      <c r="H1684" s="52" t="s">
        <v>52</v>
      </c>
      <c r="I1684" s="52" t="s">
        <v>5304</v>
      </c>
      <c r="J1684" s="46" t="s">
        <v>52</v>
      </c>
      <c r="K1684" s="46" t="s">
        <v>52</v>
      </c>
      <c r="L1684" s="46" t="s">
        <v>52</v>
      </c>
      <c r="M1684" s="53" t="s">
        <v>5399</v>
      </c>
      <c r="N1684" s="46" t="s">
        <v>931</v>
      </c>
      <c r="O1684" s="46" t="s">
        <v>5400</v>
      </c>
      <c r="P1684" s="46" t="s">
        <v>59</v>
      </c>
      <c r="Q1684" s="46" t="s">
        <v>60</v>
      </c>
      <c r="R1684" s="46" t="s">
        <v>61</v>
      </c>
      <c r="S1684" s="46" t="s">
        <v>62</v>
      </c>
      <c r="T1684" s="46" t="s">
        <v>12</v>
      </c>
      <c r="U1684" s="46" t="s">
        <v>63</v>
      </c>
    </row>
    <row r="1685" spans="1:21">
      <c r="A1685" s="47">
        <v>27651542</v>
      </c>
      <c r="B1685" s="46" t="s">
        <v>5855</v>
      </c>
      <c r="C1685" s="52" t="s">
        <v>5856</v>
      </c>
      <c r="D1685" s="48" t="s">
        <v>5857</v>
      </c>
      <c r="E1685" s="49">
        <f t="shared" ca="1" si="56"/>
        <v>46.644763860369608</v>
      </c>
      <c r="F1685" s="50" t="s">
        <v>5858</v>
      </c>
      <c r="G1685" s="51" t="s">
        <v>352</v>
      </c>
      <c r="H1685" s="52" t="s">
        <v>52</v>
      </c>
      <c r="I1685" s="52" t="s">
        <v>5826</v>
      </c>
      <c r="J1685" s="46" t="s">
        <v>81</v>
      </c>
      <c r="K1685" s="46" t="s">
        <v>81</v>
      </c>
      <c r="L1685" s="46" t="s">
        <v>52</v>
      </c>
      <c r="M1685" s="53" t="s">
        <v>5859</v>
      </c>
      <c r="N1685" s="55" t="s">
        <v>4853</v>
      </c>
      <c r="O1685" s="55" t="s">
        <v>52</v>
      </c>
      <c r="P1685" s="46" t="s">
        <v>59</v>
      </c>
      <c r="Q1685" s="46" t="s">
        <v>60</v>
      </c>
      <c r="R1685" s="46" t="s">
        <v>61</v>
      </c>
      <c r="S1685" s="46" t="s">
        <v>62</v>
      </c>
      <c r="T1685" s="46" t="s">
        <v>12</v>
      </c>
      <c r="U1685" s="46" t="s">
        <v>63</v>
      </c>
    </row>
    <row r="1686" spans="1:21">
      <c r="A1686" s="47">
        <v>27651651</v>
      </c>
      <c r="B1686" s="46" t="s">
        <v>861</v>
      </c>
      <c r="C1686" s="46" t="s">
        <v>5671</v>
      </c>
      <c r="D1686" s="48">
        <v>29164</v>
      </c>
      <c r="E1686" s="49">
        <f t="shared" ca="1" si="56"/>
        <v>46.650239561943877</v>
      </c>
      <c r="F1686" s="50">
        <v>156782644</v>
      </c>
      <c r="G1686" s="51" t="s">
        <v>86</v>
      </c>
      <c r="I1686" s="52" t="s">
        <v>5826</v>
      </c>
      <c r="J1686" s="46" t="s">
        <v>470</v>
      </c>
      <c r="M1686" s="53" t="s">
        <v>5845</v>
      </c>
      <c r="N1686" s="46">
        <v>4247752</v>
      </c>
      <c r="O1686" s="46">
        <v>6956</v>
      </c>
    </row>
    <row r="1687" spans="1:21">
      <c r="A1687" s="47">
        <v>27651674</v>
      </c>
      <c r="B1687" s="46" t="s">
        <v>9561</v>
      </c>
      <c r="C1687" s="46" t="s">
        <v>9562</v>
      </c>
      <c r="D1687" s="48" t="s">
        <v>9563</v>
      </c>
      <c r="E1687" s="49" t="s">
        <v>9564</v>
      </c>
      <c r="F1687" s="50" t="s">
        <v>9565</v>
      </c>
      <c r="G1687" s="51" t="s">
        <v>70</v>
      </c>
      <c r="H1687" s="52" t="s">
        <v>9566</v>
      </c>
      <c r="I1687" s="52" t="s">
        <v>4245</v>
      </c>
      <c r="J1687" s="46" t="s">
        <v>9567</v>
      </c>
      <c r="K1687" s="46" t="s">
        <v>81</v>
      </c>
      <c r="L1687" s="46" t="s">
        <v>546</v>
      </c>
      <c r="M1687" s="52" t="s">
        <v>9568</v>
      </c>
      <c r="N1687" s="46" t="s">
        <v>52</v>
      </c>
      <c r="O1687" s="46" t="s">
        <v>52</v>
      </c>
      <c r="P1687" s="46" t="s">
        <v>59</v>
      </c>
      <c r="Q1687" s="46" t="s">
        <v>60</v>
      </c>
      <c r="R1687" s="46" t="s">
        <v>61</v>
      </c>
      <c r="S1687" s="46" t="s">
        <v>62</v>
      </c>
      <c r="T1687" s="46" t="s">
        <v>12</v>
      </c>
      <c r="U1687" s="46" t="s">
        <v>63</v>
      </c>
    </row>
    <row r="1688" spans="1:21">
      <c r="A1688" s="47">
        <v>27651817</v>
      </c>
      <c r="B1688" s="46" t="s">
        <v>359</v>
      </c>
      <c r="C1688" s="52" t="s">
        <v>3797</v>
      </c>
      <c r="D1688" s="48">
        <v>29179</v>
      </c>
      <c r="E1688" s="49">
        <f ca="1">IF(D1688="","",YEARFRAC(D1688,TODAY(),1))</f>
        <v>46.609171800136892</v>
      </c>
      <c r="F1688" s="50">
        <v>155868888</v>
      </c>
      <c r="G1688" s="51" t="s">
        <v>23</v>
      </c>
      <c r="I1688" s="52" t="s">
        <v>3630</v>
      </c>
      <c r="J1688" s="46" t="s">
        <v>3798</v>
      </c>
      <c r="M1688" s="53" t="s">
        <v>3799</v>
      </c>
      <c r="N1688" s="55">
        <v>4107356</v>
      </c>
      <c r="O1688" s="55"/>
    </row>
    <row r="1689" spans="1:21">
      <c r="A1689" s="47">
        <v>27652555</v>
      </c>
      <c r="B1689" s="46" t="s">
        <v>47</v>
      </c>
      <c r="C1689" s="46" t="s">
        <v>5175</v>
      </c>
      <c r="E1689" s="49" t="str">
        <f ca="1">IF(D1689="","",YEARFRAC(D1689,TODAY(),1))</f>
        <v/>
      </c>
      <c r="F1689" s="50">
        <v>3814010070</v>
      </c>
      <c r="G1689" s="51" t="s">
        <v>23</v>
      </c>
      <c r="I1689" s="52" t="s">
        <v>5176</v>
      </c>
      <c r="M1689" s="53" t="s">
        <v>5177</v>
      </c>
      <c r="N1689" s="46">
        <v>4300127</v>
      </c>
    </row>
    <row r="1690" spans="1:21">
      <c r="A1690" s="60">
        <v>27731175</v>
      </c>
      <c r="B1690" s="61" t="s">
        <v>4991</v>
      </c>
      <c r="C1690" s="62" t="s">
        <v>5546</v>
      </c>
      <c r="D1690" s="48">
        <v>29188</v>
      </c>
      <c r="E1690" s="49">
        <f ca="1">IF(D1690="","",YEARFRAC(D1690,TODAY(),1))</f>
        <v>46.5845311430527</v>
      </c>
      <c r="F1690" s="63">
        <v>155295623</v>
      </c>
      <c r="G1690" s="51" t="s">
        <v>23</v>
      </c>
      <c r="I1690" s="52" t="s">
        <v>5494</v>
      </c>
      <c r="J1690" s="61" t="s">
        <v>2264</v>
      </c>
      <c r="K1690" s="61"/>
      <c r="L1690" s="61"/>
      <c r="M1690" s="53" t="s">
        <v>5547</v>
      </c>
      <c r="N1690" s="55"/>
      <c r="O1690" s="55"/>
    </row>
    <row r="1691" spans="1:21">
      <c r="A1691" s="47">
        <v>27731179</v>
      </c>
      <c r="B1691" s="46" t="s">
        <v>4991</v>
      </c>
      <c r="C1691" s="46" t="s">
        <v>5546</v>
      </c>
      <c r="D1691" s="48">
        <v>29188</v>
      </c>
      <c r="E1691" s="49">
        <f ca="1">IF(D1691="","",YEARFRAC(D1691,TODAY(),1))</f>
        <v>46.5845311430527</v>
      </c>
      <c r="F1691" s="50">
        <v>155295623</v>
      </c>
      <c r="G1691" s="51" t="s">
        <v>23</v>
      </c>
      <c r="I1691" s="52" t="s">
        <v>5494</v>
      </c>
      <c r="J1691" s="46" t="s">
        <v>38</v>
      </c>
      <c r="M1691" s="53" t="s">
        <v>5548</v>
      </c>
      <c r="N1691" s="46">
        <v>4526343</v>
      </c>
    </row>
    <row r="1692" spans="1:21">
      <c r="A1692" s="74">
        <v>27732258</v>
      </c>
      <c r="B1692" s="234" t="s">
        <v>6850</v>
      </c>
      <c r="C1692" s="234" t="s">
        <v>9025</v>
      </c>
      <c r="D1692" s="235">
        <v>29235</v>
      </c>
      <c r="E1692" s="236"/>
      <c r="F1692" s="237">
        <v>3814968642</v>
      </c>
      <c r="G1692" s="234" t="s">
        <v>141</v>
      </c>
      <c r="H1692" s="238" t="s">
        <v>9949</v>
      </c>
      <c r="I1692" s="238" t="s">
        <v>908</v>
      </c>
      <c r="J1692" s="234" t="s">
        <v>9985</v>
      </c>
      <c r="K1692" s="234" t="s">
        <v>9983</v>
      </c>
      <c r="L1692" s="234"/>
      <c r="M1692" s="238" t="s">
        <v>1387</v>
      </c>
      <c r="N1692" s="234"/>
      <c r="O1692" s="234"/>
      <c r="P1692" s="234"/>
      <c r="Q1692" s="234"/>
      <c r="R1692" s="234"/>
      <c r="S1692" s="234"/>
      <c r="T1692" s="234"/>
      <c r="U1692" s="234"/>
    </row>
    <row r="1693" spans="1:21">
      <c r="A1693" s="47">
        <v>27732948</v>
      </c>
      <c r="B1693" s="46" t="s">
        <v>2576</v>
      </c>
      <c r="C1693" s="46" t="s">
        <v>6330</v>
      </c>
      <c r="D1693" s="48">
        <v>29261</v>
      </c>
      <c r="E1693" s="49">
        <f t="shared" ref="E1693:E1707" ca="1" si="57">IF(D1693="","",YEARFRAC(D1693,TODAY(),1))</f>
        <v>46.383992543834104</v>
      </c>
      <c r="F1693" s="50">
        <v>154028489</v>
      </c>
      <c r="G1693" s="51" t="s">
        <v>23</v>
      </c>
      <c r="I1693" s="52" t="s">
        <v>23</v>
      </c>
      <c r="J1693" s="46" t="s">
        <v>6331</v>
      </c>
      <c r="M1693" s="53" t="s">
        <v>6332</v>
      </c>
    </row>
    <row r="1694" spans="1:21">
      <c r="A1694" s="47">
        <v>27732969</v>
      </c>
      <c r="B1694" s="46" t="s">
        <v>226</v>
      </c>
      <c r="C1694" s="55" t="s">
        <v>5899</v>
      </c>
      <c r="D1694" s="48" t="s">
        <v>52</v>
      </c>
      <c r="E1694" s="49" t="str">
        <f t="shared" ca="1" si="57"/>
        <v/>
      </c>
      <c r="F1694" s="50" t="s">
        <v>5900</v>
      </c>
      <c r="G1694" s="51" t="s">
        <v>141</v>
      </c>
      <c r="H1694" s="52" t="s">
        <v>52</v>
      </c>
      <c r="I1694" s="52" t="s">
        <v>5881</v>
      </c>
      <c r="J1694" s="55" t="s">
        <v>800</v>
      </c>
      <c r="K1694" s="55" t="s">
        <v>52</v>
      </c>
      <c r="L1694" s="55" t="s">
        <v>52</v>
      </c>
      <c r="M1694" s="53" t="s">
        <v>5901</v>
      </c>
      <c r="N1694" s="55" t="s">
        <v>4867</v>
      </c>
      <c r="O1694" s="55" t="s">
        <v>52</v>
      </c>
      <c r="P1694" s="46" t="s">
        <v>59</v>
      </c>
      <c r="Q1694" s="46" t="s">
        <v>60</v>
      </c>
      <c r="R1694" s="46" t="s">
        <v>61</v>
      </c>
      <c r="S1694" s="46" t="s">
        <v>62</v>
      </c>
      <c r="T1694" s="46" t="s">
        <v>12</v>
      </c>
      <c r="U1694" s="46" t="s">
        <v>63</v>
      </c>
    </row>
    <row r="1695" spans="1:21">
      <c r="A1695" s="47">
        <v>27735821</v>
      </c>
      <c r="B1695" s="46" t="s">
        <v>734</v>
      </c>
      <c r="C1695" s="46" t="s">
        <v>4147</v>
      </c>
      <c r="D1695" s="48">
        <v>29271</v>
      </c>
      <c r="E1695" s="49">
        <f t="shared" ca="1" si="57"/>
        <v>46.356614434671172</v>
      </c>
      <c r="F1695" s="50" t="s">
        <v>4148</v>
      </c>
      <c r="G1695" s="51" t="s">
        <v>23</v>
      </c>
      <c r="I1695" s="52" t="s">
        <v>4078</v>
      </c>
      <c r="J1695" s="46" t="s">
        <v>224</v>
      </c>
      <c r="M1695" s="53" t="s">
        <v>4149</v>
      </c>
    </row>
    <row r="1696" spans="1:21">
      <c r="A1696" s="47">
        <v>27735827</v>
      </c>
      <c r="B1696" s="46" t="s">
        <v>226</v>
      </c>
      <c r="C1696" s="52" t="s">
        <v>436</v>
      </c>
      <c r="E1696" s="49" t="str">
        <f t="shared" ca="1" si="57"/>
        <v/>
      </c>
      <c r="G1696" s="51" t="s">
        <v>23</v>
      </c>
      <c r="I1696" s="59" t="s">
        <v>908</v>
      </c>
      <c r="M1696" s="53" t="s">
        <v>1101</v>
      </c>
      <c r="N1696" s="55"/>
      <c r="O1696" s="55"/>
    </row>
    <row r="1697" spans="1:21">
      <c r="A1697" s="47">
        <v>27735892</v>
      </c>
      <c r="B1697" s="46" t="s">
        <v>195</v>
      </c>
      <c r="C1697" s="46" t="s">
        <v>6087</v>
      </c>
      <c r="E1697" s="49" t="str">
        <f t="shared" ca="1" si="57"/>
        <v/>
      </c>
      <c r="G1697" s="51" t="s">
        <v>23</v>
      </c>
      <c r="I1697" s="52" t="s">
        <v>23</v>
      </c>
      <c r="M1697" s="58" t="s">
        <v>25</v>
      </c>
    </row>
    <row r="1698" spans="1:21">
      <c r="A1698" s="47">
        <v>27751242</v>
      </c>
      <c r="B1698" s="46" t="s">
        <v>3182</v>
      </c>
      <c r="C1698" s="55" t="s">
        <v>4002</v>
      </c>
      <c r="D1698" s="48">
        <v>28938</v>
      </c>
      <c r="E1698" s="49">
        <f t="shared" ca="1" si="57"/>
        <v>47.26899383983573</v>
      </c>
      <c r="F1698" s="50">
        <v>154685806</v>
      </c>
      <c r="G1698" s="51" t="s">
        <v>352</v>
      </c>
      <c r="I1698" s="52" t="s">
        <v>3999</v>
      </c>
      <c r="J1698" s="55"/>
      <c r="K1698" s="55"/>
      <c r="L1698" s="55"/>
      <c r="M1698" s="53" t="s">
        <v>4003</v>
      </c>
      <c r="N1698" s="55">
        <v>4220751</v>
      </c>
      <c r="O1698" s="55"/>
    </row>
    <row r="1699" spans="1:21">
      <c r="A1699" s="47">
        <v>27751579</v>
      </c>
      <c r="B1699" s="46" t="s">
        <v>742</v>
      </c>
      <c r="C1699" s="52" t="s">
        <v>743</v>
      </c>
      <c r="D1699" s="48">
        <v>29214</v>
      </c>
      <c r="E1699" s="49">
        <f t="shared" ca="1" si="57"/>
        <v>46.513347022587268</v>
      </c>
      <c r="F1699" s="50">
        <v>154199439</v>
      </c>
      <c r="G1699" s="51" t="s">
        <v>23</v>
      </c>
      <c r="I1699" s="52" t="s">
        <v>594</v>
      </c>
      <c r="J1699" s="46" t="s">
        <v>744</v>
      </c>
      <c r="M1699" s="53" t="s">
        <v>745</v>
      </c>
      <c r="N1699" s="55"/>
      <c r="O1699" s="55"/>
    </row>
    <row r="1700" spans="1:21">
      <c r="A1700" s="47">
        <v>27751639</v>
      </c>
      <c r="B1700" s="46" t="s">
        <v>5372</v>
      </c>
      <c r="C1700" s="52" t="s">
        <v>5061</v>
      </c>
      <c r="D1700" s="48" t="s">
        <v>52</v>
      </c>
      <c r="E1700" s="49" t="str">
        <f t="shared" ca="1" si="57"/>
        <v/>
      </c>
      <c r="F1700" s="50" t="s">
        <v>5373</v>
      </c>
      <c r="G1700" s="51" t="s">
        <v>70</v>
      </c>
      <c r="H1700" s="52" t="s">
        <v>380</v>
      </c>
      <c r="I1700" s="52" t="s">
        <v>5304</v>
      </c>
      <c r="J1700" s="46" t="s">
        <v>5374</v>
      </c>
      <c r="K1700" s="46" t="s">
        <v>81</v>
      </c>
      <c r="L1700" s="46" t="s">
        <v>52</v>
      </c>
      <c r="M1700" s="53" t="s">
        <v>5375</v>
      </c>
      <c r="N1700" s="55" t="s">
        <v>52</v>
      </c>
      <c r="O1700" s="55" t="s">
        <v>52</v>
      </c>
      <c r="P1700" s="46" t="s">
        <v>59</v>
      </c>
      <c r="Q1700" s="46" t="s">
        <v>60</v>
      </c>
      <c r="R1700" s="46" t="s">
        <v>61</v>
      </c>
      <c r="S1700" s="46" t="s">
        <v>62</v>
      </c>
      <c r="T1700" s="46" t="s">
        <v>12</v>
      </c>
      <c r="U1700" s="46" t="s">
        <v>63</v>
      </c>
    </row>
    <row r="1701" spans="1:21">
      <c r="A1701" s="47">
        <v>27751765</v>
      </c>
      <c r="B1701" s="46" t="s">
        <v>5355</v>
      </c>
      <c r="C1701" s="52" t="s">
        <v>5356</v>
      </c>
      <c r="D1701" s="48" t="s">
        <v>52</v>
      </c>
      <c r="E1701" s="49" t="str">
        <f t="shared" ca="1" si="57"/>
        <v/>
      </c>
      <c r="F1701" s="50" t="s">
        <v>5357</v>
      </c>
      <c r="G1701" s="51" t="s">
        <v>141</v>
      </c>
      <c r="H1701" s="52" t="s">
        <v>52</v>
      </c>
      <c r="I1701" s="52" t="s">
        <v>5304</v>
      </c>
      <c r="J1701" s="46" t="s">
        <v>3119</v>
      </c>
      <c r="K1701" s="46" t="s">
        <v>52</v>
      </c>
      <c r="L1701" s="46" t="s">
        <v>52</v>
      </c>
      <c r="M1701" s="53" t="s">
        <v>5358</v>
      </c>
      <c r="N1701" s="55" t="s">
        <v>52</v>
      </c>
      <c r="O1701" s="55" t="s">
        <v>52</v>
      </c>
      <c r="P1701" s="46" t="s">
        <v>59</v>
      </c>
      <c r="Q1701" s="46" t="s">
        <v>60</v>
      </c>
      <c r="R1701" s="46" t="s">
        <v>61</v>
      </c>
      <c r="S1701" s="46" t="s">
        <v>62</v>
      </c>
      <c r="T1701" s="46" t="s">
        <v>12</v>
      </c>
      <c r="U1701" s="46" t="s">
        <v>63</v>
      </c>
    </row>
    <row r="1702" spans="1:21">
      <c r="A1702" s="47">
        <v>27751892</v>
      </c>
      <c r="B1702" s="46" t="s">
        <v>461</v>
      </c>
      <c r="C1702" s="52" t="s">
        <v>1621</v>
      </c>
      <c r="D1702" s="48" t="s">
        <v>52</v>
      </c>
      <c r="E1702" s="49" t="str">
        <f t="shared" ca="1" si="57"/>
        <v/>
      </c>
      <c r="F1702" s="50" t="s">
        <v>1622</v>
      </c>
      <c r="G1702" s="51" t="s">
        <v>54</v>
      </c>
      <c r="H1702" s="52" t="s">
        <v>52</v>
      </c>
      <c r="I1702" s="52" t="s">
        <v>1497</v>
      </c>
      <c r="J1702" s="46" t="s">
        <v>982</v>
      </c>
      <c r="K1702" s="46" t="s">
        <v>1206</v>
      </c>
      <c r="L1702" s="46" t="s">
        <v>52</v>
      </c>
      <c r="M1702" s="58" t="s">
        <v>1623</v>
      </c>
      <c r="N1702" s="55" t="s">
        <v>1580</v>
      </c>
      <c r="O1702" s="55" t="s">
        <v>1624</v>
      </c>
      <c r="P1702" s="46" t="s">
        <v>59</v>
      </c>
      <c r="Q1702" s="46" t="s">
        <v>60</v>
      </c>
      <c r="R1702" s="46" t="s">
        <v>61</v>
      </c>
      <c r="S1702" s="46" t="s">
        <v>62</v>
      </c>
      <c r="T1702" s="46" t="s">
        <v>12</v>
      </c>
      <c r="U1702" s="46" t="s">
        <v>63</v>
      </c>
    </row>
    <row r="1703" spans="1:21">
      <c r="A1703" s="47">
        <v>27791579</v>
      </c>
      <c r="B1703" s="46" t="s">
        <v>742</v>
      </c>
      <c r="C1703" s="52" t="s">
        <v>743</v>
      </c>
      <c r="D1703" s="48">
        <v>29214</v>
      </c>
      <c r="E1703" s="49">
        <f t="shared" ca="1" si="57"/>
        <v>46.513347022587268</v>
      </c>
      <c r="F1703" s="50">
        <v>154199439</v>
      </c>
      <c r="G1703" s="51" t="s">
        <v>23</v>
      </c>
      <c r="I1703" s="52" t="s">
        <v>594</v>
      </c>
      <c r="J1703" s="46" t="s">
        <v>746</v>
      </c>
      <c r="M1703" s="58" t="s">
        <v>25</v>
      </c>
      <c r="N1703" s="55">
        <v>4244485</v>
      </c>
      <c r="O1703" s="55">
        <v>206</v>
      </c>
    </row>
    <row r="1704" spans="1:21">
      <c r="A1704" s="47">
        <v>27792969</v>
      </c>
      <c r="B1704" s="46" t="s">
        <v>226</v>
      </c>
      <c r="C1704" s="46" t="s">
        <v>5899</v>
      </c>
      <c r="E1704" s="49" t="str">
        <f t="shared" ca="1" si="57"/>
        <v/>
      </c>
      <c r="F1704" s="50">
        <v>153478333</v>
      </c>
      <c r="G1704" s="51" t="s">
        <v>23</v>
      </c>
      <c r="I1704" s="52" t="s">
        <v>23</v>
      </c>
      <c r="M1704" s="53" t="s">
        <v>6163</v>
      </c>
    </row>
    <row r="1705" spans="1:21">
      <c r="A1705" s="47">
        <v>27843241</v>
      </c>
      <c r="B1705" s="46" t="s">
        <v>26</v>
      </c>
      <c r="C1705" s="46" t="s">
        <v>36</v>
      </c>
      <c r="D1705" s="48">
        <v>29375</v>
      </c>
      <c r="E1705" s="49">
        <f t="shared" ca="1" si="57"/>
        <v>46.071882099376708</v>
      </c>
      <c r="F1705" s="50">
        <v>155052352</v>
      </c>
      <c r="G1705" s="51" t="s">
        <v>37</v>
      </c>
      <c r="I1705" s="52" t="s">
        <v>24</v>
      </c>
      <c r="J1705" s="46" t="s">
        <v>38</v>
      </c>
      <c r="M1705" s="53" t="s">
        <v>39</v>
      </c>
      <c r="N1705" s="46">
        <v>4107517</v>
      </c>
      <c r="O1705" s="46">
        <v>7517</v>
      </c>
      <c r="P1705" s="46">
        <v>3</v>
      </c>
    </row>
    <row r="1706" spans="1:21">
      <c r="A1706" s="47">
        <v>27875209</v>
      </c>
      <c r="B1706" s="46" t="s">
        <v>6761</v>
      </c>
      <c r="C1706" s="46" t="s">
        <v>6762</v>
      </c>
      <c r="D1706" s="48" t="s">
        <v>52</v>
      </c>
      <c r="E1706" s="49" t="str">
        <f t="shared" ca="1" si="57"/>
        <v/>
      </c>
      <c r="F1706" s="50" t="s">
        <v>6763</v>
      </c>
      <c r="G1706" s="51" t="s">
        <v>70</v>
      </c>
      <c r="H1706" s="52" t="s">
        <v>52</v>
      </c>
      <c r="I1706" s="52" t="s">
        <v>4499</v>
      </c>
      <c r="J1706" s="46" t="s">
        <v>6764</v>
      </c>
      <c r="K1706" s="46" t="s">
        <v>112</v>
      </c>
      <c r="L1706" s="46" t="s">
        <v>546</v>
      </c>
      <c r="M1706" s="52" t="s">
        <v>6765</v>
      </c>
      <c r="N1706" s="46" t="s">
        <v>52</v>
      </c>
      <c r="O1706" s="46" t="s">
        <v>52</v>
      </c>
      <c r="P1706" s="46" t="s">
        <v>59</v>
      </c>
      <c r="Q1706" s="46" t="s">
        <v>60</v>
      </c>
      <c r="R1706" s="46" t="s">
        <v>61</v>
      </c>
      <c r="S1706" s="46" t="s">
        <v>62</v>
      </c>
      <c r="T1706" s="46" t="s">
        <v>12</v>
      </c>
      <c r="U1706" s="46" t="s">
        <v>63</v>
      </c>
    </row>
    <row r="1707" spans="1:21">
      <c r="A1707" s="66">
        <v>27886273</v>
      </c>
      <c r="B1707" s="67" t="s">
        <v>226</v>
      </c>
      <c r="C1707" s="52" t="s">
        <v>227</v>
      </c>
      <c r="D1707" s="48" t="s">
        <v>52</v>
      </c>
      <c r="E1707" s="49" t="str">
        <f t="shared" ca="1" si="57"/>
        <v/>
      </c>
      <c r="F1707" s="57" t="s">
        <v>228</v>
      </c>
      <c r="G1707" s="51" t="s">
        <v>141</v>
      </c>
      <c r="H1707" s="52" t="s">
        <v>52</v>
      </c>
      <c r="I1707" s="52" t="s">
        <v>24</v>
      </c>
      <c r="J1707" s="46" t="s">
        <v>229</v>
      </c>
      <c r="K1707" s="46" t="s">
        <v>81</v>
      </c>
      <c r="L1707" s="46" t="s">
        <v>52</v>
      </c>
      <c r="M1707" s="53" t="s">
        <v>230</v>
      </c>
      <c r="N1707" s="55" t="s">
        <v>231</v>
      </c>
      <c r="O1707" s="55" t="s">
        <v>52</v>
      </c>
      <c r="P1707" s="46" t="s">
        <v>59</v>
      </c>
      <c r="Q1707" s="46" t="s">
        <v>60</v>
      </c>
      <c r="R1707" s="46" t="s">
        <v>61</v>
      </c>
      <c r="S1707" s="46" t="s">
        <v>62</v>
      </c>
      <c r="T1707" s="46" t="s">
        <v>12</v>
      </c>
      <c r="U1707" s="46" t="s">
        <v>63</v>
      </c>
    </row>
    <row r="1708" spans="1:21">
      <c r="A1708" s="47">
        <v>27886675</v>
      </c>
      <c r="B1708" s="46" t="s">
        <v>983</v>
      </c>
      <c r="C1708" s="46" t="s">
        <v>9437</v>
      </c>
      <c r="D1708" s="48" t="s">
        <v>52</v>
      </c>
      <c r="E1708" s="49" t="s">
        <v>52</v>
      </c>
      <c r="F1708" s="50" t="s">
        <v>52</v>
      </c>
      <c r="G1708" s="51" t="s">
        <v>52</v>
      </c>
      <c r="H1708" s="52" t="s">
        <v>52</v>
      </c>
      <c r="I1708" s="52" t="s">
        <v>3956</v>
      </c>
      <c r="J1708" s="46" t="s">
        <v>52</v>
      </c>
      <c r="K1708" s="46" t="s">
        <v>52</v>
      </c>
      <c r="L1708" s="46" t="s">
        <v>546</v>
      </c>
      <c r="M1708" s="52" t="s">
        <v>9438</v>
      </c>
      <c r="N1708" s="46" t="s">
        <v>52</v>
      </c>
      <c r="O1708" s="46" t="s">
        <v>52</v>
      </c>
      <c r="P1708" s="46" t="s">
        <v>59</v>
      </c>
      <c r="Q1708" s="46" t="s">
        <v>60</v>
      </c>
      <c r="R1708" s="46" t="s">
        <v>61</v>
      </c>
      <c r="S1708" s="46" t="s">
        <v>62</v>
      </c>
      <c r="T1708" s="46" t="s">
        <v>12</v>
      </c>
      <c r="U1708" s="46" t="s">
        <v>63</v>
      </c>
    </row>
    <row r="1709" spans="1:21">
      <c r="A1709" s="74">
        <v>27944383</v>
      </c>
      <c r="B1709" s="234" t="s">
        <v>9542</v>
      </c>
      <c r="C1709" s="234" t="s">
        <v>3294</v>
      </c>
      <c r="D1709" s="235">
        <v>29319</v>
      </c>
      <c r="E1709" s="236"/>
      <c r="F1709" s="237">
        <v>3815173241</v>
      </c>
      <c r="G1709" s="234" t="s">
        <v>70</v>
      </c>
      <c r="H1709" s="238" t="s">
        <v>5435</v>
      </c>
      <c r="I1709" s="238" t="s">
        <v>4499</v>
      </c>
      <c r="J1709" s="234" t="s">
        <v>6656</v>
      </c>
      <c r="K1709" s="234" t="s">
        <v>2002</v>
      </c>
      <c r="L1709" s="234"/>
      <c r="M1709" s="238" t="s">
        <v>3295</v>
      </c>
      <c r="N1709" s="234"/>
      <c r="O1709" s="234"/>
      <c r="P1709" s="234"/>
      <c r="Q1709" s="234"/>
      <c r="R1709" s="234"/>
      <c r="S1709" s="234"/>
      <c r="T1709" s="234"/>
      <c r="U1709" s="234"/>
    </row>
    <row r="1710" spans="1:21">
      <c r="A1710" s="47">
        <v>27944887</v>
      </c>
      <c r="B1710" s="46" t="s">
        <v>1839</v>
      </c>
      <c r="C1710" s="46" t="s">
        <v>4495</v>
      </c>
      <c r="E1710" s="49" t="str">
        <f t="shared" ref="E1710:E1717" ca="1" si="58">IF(D1710="","",YEARFRAC(D1710,TODAY(),1))</f>
        <v/>
      </c>
      <c r="F1710" s="50">
        <v>156418355</v>
      </c>
      <c r="G1710" s="51" t="s">
        <v>23</v>
      </c>
      <c r="I1710" s="52" t="s">
        <v>4496</v>
      </c>
      <c r="M1710" s="53" t="s">
        <v>4497</v>
      </c>
    </row>
    <row r="1711" spans="1:21">
      <c r="A1711" s="47">
        <v>27945323</v>
      </c>
      <c r="B1711" s="46" t="s">
        <v>4286</v>
      </c>
      <c r="C1711" s="46" t="s">
        <v>4287</v>
      </c>
      <c r="D1711" s="48">
        <v>29357</v>
      </c>
      <c r="E1711" s="49">
        <f t="shared" ca="1" si="58"/>
        <v>46.121162695869984</v>
      </c>
      <c r="F1711" s="50">
        <v>153021222</v>
      </c>
      <c r="G1711" s="51" t="s">
        <v>70</v>
      </c>
      <c r="I1711" s="52" t="s">
        <v>4245</v>
      </c>
      <c r="M1711" s="53" t="s">
        <v>4288</v>
      </c>
      <c r="N1711" s="46">
        <v>4107247</v>
      </c>
    </row>
    <row r="1712" spans="1:21">
      <c r="A1712" s="47">
        <v>27945367</v>
      </c>
      <c r="B1712" s="46" t="s">
        <v>1599</v>
      </c>
      <c r="C1712" s="52" t="s">
        <v>1600</v>
      </c>
      <c r="D1712" s="48">
        <v>29359</v>
      </c>
      <c r="E1712" s="49">
        <f t="shared" ca="1" si="58"/>
        <v>46.115687074037396</v>
      </c>
      <c r="F1712" s="50">
        <v>154015004</v>
      </c>
      <c r="G1712" s="51" t="s">
        <v>23</v>
      </c>
      <c r="I1712" s="52" t="s">
        <v>1497</v>
      </c>
      <c r="J1712" s="46" t="s">
        <v>1601</v>
      </c>
      <c r="M1712" s="53" t="s">
        <v>1602</v>
      </c>
      <c r="N1712" s="55"/>
      <c r="O1712" s="55"/>
    </row>
    <row r="1713" spans="1:21">
      <c r="A1713" s="47">
        <v>27960534</v>
      </c>
      <c r="B1713" s="46" t="s">
        <v>342</v>
      </c>
      <c r="C1713" s="55" t="s">
        <v>345</v>
      </c>
      <c r="D1713" s="48">
        <v>29265</v>
      </c>
      <c r="E1713" s="49">
        <f t="shared" ca="1" si="58"/>
        <v>46.373041300168929</v>
      </c>
      <c r="F1713" s="50">
        <v>153546030</v>
      </c>
      <c r="G1713" s="51" t="s">
        <v>86</v>
      </c>
      <c r="I1713" s="52" t="s">
        <v>24</v>
      </c>
      <c r="M1713" s="53" t="s">
        <v>346</v>
      </c>
    </row>
    <row r="1714" spans="1:21">
      <c r="A1714" s="47">
        <v>27960685</v>
      </c>
      <c r="B1714" s="46" t="s">
        <v>5010</v>
      </c>
      <c r="C1714" s="55" t="s">
        <v>4880</v>
      </c>
      <c r="D1714" s="48">
        <v>29279</v>
      </c>
      <c r="E1714" s="49">
        <f t="shared" ca="1" si="58"/>
        <v>46.334711947340828</v>
      </c>
      <c r="F1714" s="50">
        <v>156098218</v>
      </c>
      <c r="G1714" s="51" t="s">
        <v>70</v>
      </c>
      <c r="I1714" s="65" t="s">
        <v>4954</v>
      </c>
      <c r="J1714" s="55"/>
      <c r="K1714" s="55"/>
      <c r="L1714" s="55"/>
      <c r="M1714" s="53" t="s">
        <v>5011</v>
      </c>
      <c r="N1714" s="55">
        <v>4211388</v>
      </c>
      <c r="O1714" s="55"/>
    </row>
    <row r="1715" spans="1:21">
      <c r="A1715" s="47">
        <v>27961455</v>
      </c>
      <c r="B1715" s="46" t="s">
        <v>940</v>
      </c>
      <c r="C1715" s="52" t="s">
        <v>941</v>
      </c>
      <c r="D1715" s="48">
        <v>40635</v>
      </c>
      <c r="E1715" s="49">
        <f t="shared" ca="1" si="58"/>
        <v>15.24435318275154</v>
      </c>
      <c r="F1715" s="50">
        <v>155770204</v>
      </c>
      <c r="G1715" s="51" t="s">
        <v>70</v>
      </c>
      <c r="I1715" s="59" t="s">
        <v>908</v>
      </c>
      <c r="J1715" s="46" t="s">
        <v>224</v>
      </c>
      <c r="M1715" s="52" t="s">
        <v>942</v>
      </c>
      <c r="N1715" s="55" t="s">
        <v>943</v>
      </c>
      <c r="O1715" s="55"/>
    </row>
    <row r="1716" spans="1:21">
      <c r="A1716" s="47">
        <v>27961528</v>
      </c>
      <c r="B1716" s="46" t="s">
        <v>2696</v>
      </c>
      <c r="C1716" s="46" t="s">
        <v>527</v>
      </c>
      <c r="D1716" s="48" t="s">
        <v>2697</v>
      </c>
      <c r="E1716" s="49">
        <f t="shared" ca="1" si="58"/>
        <v>46.230675132521696</v>
      </c>
      <c r="F1716" s="50" t="s">
        <v>2698</v>
      </c>
      <c r="G1716" s="51" t="s">
        <v>141</v>
      </c>
      <c r="H1716" s="52" t="s">
        <v>52</v>
      </c>
      <c r="I1716" s="52" t="s">
        <v>2694</v>
      </c>
      <c r="J1716" s="46" t="s">
        <v>470</v>
      </c>
      <c r="K1716" s="46" t="s">
        <v>81</v>
      </c>
      <c r="L1716" s="46" t="s">
        <v>52</v>
      </c>
      <c r="M1716" s="53" t="s">
        <v>2699</v>
      </c>
      <c r="N1716" s="46" t="s">
        <v>2700</v>
      </c>
      <c r="O1716" s="46" t="s">
        <v>2701</v>
      </c>
      <c r="P1716" s="46" t="s">
        <v>59</v>
      </c>
      <c r="Q1716" s="46" t="s">
        <v>60</v>
      </c>
      <c r="R1716" s="46" t="s">
        <v>61</v>
      </c>
      <c r="S1716" s="46" t="s">
        <v>62</v>
      </c>
      <c r="T1716" s="46" t="s">
        <v>12</v>
      </c>
      <c r="U1716" s="46" t="s">
        <v>63</v>
      </c>
    </row>
    <row r="1717" spans="1:21">
      <c r="A1717" s="47">
        <v>27961901</v>
      </c>
      <c r="B1717" s="46" t="s">
        <v>1660</v>
      </c>
      <c r="C1717" s="46" t="s">
        <v>4498</v>
      </c>
      <c r="E1717" s="49" t="str">
        <f t="shared" ca="1" si="58"/>
        <v/>
      </c>
      <c r="F1717" s="50">
        <v>155896879</v>
      </c>
      <c r="G1717" s="51" t="s">
        <v>23</v>
      </c>
      <c r="I1717" s="52" t="s">
        <v>4499</v>
      </c>
      <c r="M1717" s="53" t="s">
        <v>4500</v>
      </c>
    </row>
    <row r="1718" spans="1:21">
      <c r="A1718" s="47">
        <v>27961909</v>
      </c>
      <c r="B1718" s="46" t="s">
        <v>4170</v>
      </c>
      <c r="C1718" s="46" t="s">
        <v>227</v>
      </c>
      <c r="D1718" s="48" t="s">
        <v>9591</v>
      </c>
      <c r="E1718" s="49" t="s">
        <v>9592</v>
      </c>
      <c r="F1718" s="50" t="s">
        <v>9593</v>
      </c>
      <c r="G1718" s="51" t="s">
        <v>70</v>
      </c>
      <c r="H1718" s="52" t="s">
        <v>9594</v>
      </c>
      <c r="I1718" s="52" t="s">
        <v>3166</v>
      </c>
      <c r="J1718" s="46" t="s">
        <v>52</v>
      </c>
      <c r="K1718" s="46" t="s">
        <v>390</v>
      </c>
      <c r="L1718" s="46" t="s">
        <v>546</v>
      </c>
      <c r="M1718" s="52" t="s">
        <v>9595</v>
      </c>
      <c r="N1718" s="46" t="s">
        <v>52</v>
      </c>
      <c r="O1718" s="46" t="s">
        <v>52</v>
      </c>
      <c r="P1718" s="46" t="s">
        <v>59</v>
      </c>
      <c r="Q1718" s="46" t="s">
        <v>60</v>
      </c>
      <c r="R1718" s="46" t="s">
        <v>61</v>
      </c>
      <c r="S1718" s="46" t="s">
        <v>62</v>
      </c>
      <c r="T1718" s="46" t="s">
        <v>12</v>
      </c>
      <c r="U1718" s="46" t="s">
        <v>63</v>
      </c>
    </row>
    <row r="1719" spans="1:21">
      <c r="A1719" s="47">
        <v>27962209</v>
      </c>
      <c r="B1719" s="46" t="s">
        <v>1693</v>
      </c>
      <c r="C1719" s="46" t="s">
        <v>1694</v>
      </c>
      <c r="D1719" s="48">
        <v>29348</v>
      </c>
      <c r="E1719" s="49">
        <f t="shared" ref="E1719:E1748" ca="1" si="59">IF(D1719="","",YEARFRAC(D1719,TODAY(),1))</f>
        <v>46.145802994116622</v>
      </c>
      <c r="F1719" s="50">
        <v>155393900</v>
      </c>
      <c r="G1719" s="51" t="s">
        <v>70</v>
      </c>
      <c r="I1719" s="52" t="s">
        <v>1657</v>
      </c>
      <c r="J1719" s="46" t="s">
        <v>1695</v>
      </c>
      <c r="M1719" s="53" t="s">
        <v>1696</v>
      </c>
    </row>
    <row r="1720" spans="1:21">
      <c r="A1720" s="47">
        <v>27962453</v>
      </c>
      <c r="B1720" s="46" t="s">
        <v>3335</v>
      </c>
      <c r="C1720" s="46" t="s">
        <v>3336</v>
      </c>
      <c r="D1720" s="48">
        <v>29349</v>
      </c>
      <c r="E1720" s="49">
        <f t="shared" ca="1" si="59"/>
        <v>46.143065183200328</v>
      </c>
      <c r="F1720" s="50">
        <v>154595563</v>
      </c>
      <c r="G1720" s="51" t="s">
        <v>141</v>
      </c>
      <c r="I1720" s="52" t="s">
        <v>3327</v>
      </c>
      <c r="J1720" s="46" t="s">
        <v>1472</v>
      </c>
      <c r="M1720" s="53" t="s">
        <v>3337</v>
      </c>
      <c r="N1720" s="46">
        <v>4353681</v>
      </c>
      <c r="O1720" s="46">
        <v>110</v>
      </c>
      <c r="P1720" s="46">
        <v>4</v>
      </c>
    </row>
    <row r="1721" spans="1:21">
      <c r="A1721" s="47">
        <v>27962568</v>
      </c>
      <c r="B1721" s="46" t="s">
        <v>6486</v>
      </c>
      <c r="C1721" s="46" t="s">
        <v>2726</v>
      </c>
      <c r="D1721" s="48" t="s">
        <v>52</v>
      </c>
      <c r="E1721" s="49" t="str">
        <f t="shared" ca="1" si="59"/>
        <v/>
      </c>
      <c r="F1721" s="50" t="s">
        <v>52</v>
      </c>
      <c r="G1721" s="51" t="s">
        <v>70</v>
      </c>
      <c r="H1721" s="52" t="s">
        <v>52</v>
      </c>
      <c r="I1721" s="52" t="s">
        <v>23</v>
      </c>
      <c r="J1721" s="46" t="s">
        <v>52</v>
      </c>
      <c r="K1721" s="46" t="s">
        <v>52</v>
      </c>
      <c r="L1721" s="46" t="s">
        <v>546</v>
      </c>
      <c r="M1721" s="52" t="s">
        <v>582</v>
      </c>
      <c r="N1721" s="46" t="s">
        <v>52</v>
      </c>
      <c r="O1721" s="46" t="s">
        <v>52</v>
      </c>
      <c r="P1721" s="46" t="s">
        <v>59</v>
      </c>
      <c r="Q1721" s="46" t="s">
        <v>60</v>
      </c>
      <c r="R1721" s="46" t="s">
        <v>61</v>
      </c>
      <c r="S1721" s="46" t="s">
        <v>62</v>
      </c>
      <c r="T1721" s="46" t="s">
        <v>12</v>
      </c>
      <c r="U1721" s="46" t="s">
        <v>63</v>
      </c>
    </row>
    <row r="1722" spans="1:21">
      <c r="A1722" s="47">
        <v>27972084</v>
      </c>
      <c r="B1722" s="46" t="s">
        <v>6481</v>
      </c>
      <c r="C1722" s="46" t="s">
        <v>6482</v>
      </c>
      <c r="D1722" s="48" t="s">
        <v>52</v>
      </c>
      <c r="E1722" s="49" t="str">
        <f t="shared" ca="1" si="59"/>
        <v/>
      </c>
      <c r="F1722" s="50" t="s">
        <v>6483</v>
      </c>
      <c r="G1722" s="51" t="s">
        <v>70</v>
      </c>
      <c r="H1722" s="52" t="s">
        <v>52</v>
      </c>
      <c r="I1722" s="52" t="s">
        <v>23</v>
      </c>
      <c r="J1722" s="46" t="s">
        <v>52</v>
      </c>
      <c r="K1722" s="46" t="s">
        <v>52</v>
      </c>
      <c r="L1722" s="46" t="s">
        <v>546</v>
      </c>
      <c r="M1722" s="52" t="s">
        <v>6484</v>
      </c>
      <c r="N1722" s="46" t="s">
        <v>52</v>
      </c>
      <c r="O1722" s="46" t="s">
        <v>52</v>
      </c>
      <c r="P1722" s="46" t="s">
        <v>59</v>
      </c>
      <c r="Q1722" s="46" t="s">
        <v>60</v>
      </c>
      <c r="R1722" s="46" t="s">
        <v>61</v>
      </c>
      <c r="S1722" s="46" t="s">
        <v>62</v>
      </c>
      <c r="T1722" s="46" t="s">
        <v>12</v>
      </c>
      <c r="U1722" s="46" t="s">
        <v>63</v>
      </c>
    </row>
    <row r="1723" spans="1:21">
      <c r="A1723" s="47">
        <v>27975948</v>
      </c>
      <c r="B1723" s="46" t="s">
        <v>3947</v>
      </c>
      <c r="C1723" s="46" t="s">
        <v>3948</v>
      </c>
      <c r="D1723" s="48">
        <v>29329</v>
      </c>
      <c r="E1723" s="49">
        <f t="shared" ca="1" si="59"/>
        <v>46.197821401526184</v>
      </c>
      <c r="F1723" s="50">
        <v>155174695</v>
      </c>
      <c r="G1723" s="51" t="s">
        <v>70</v>
      </c>
      <c r="I1723" s="52" t="s">
        <v>3922</v>
      </c>
      <c r="J1723" s="46" t="s">
        <v>3949</v>
      </c>
      <c r="M1723" s="53" t="s">
        <v>3950</v>
      </c>
      <c r="N1723" s="46">
        <v>4321583</v>
      </c>
    </row>
    <row r="1724" spans="1:21">
      <c r="A1724" s="47">
        <v>27994383</v>
      </c>
      <c r="B1724" s="46" t="s">
        <v>863</v>
      </c>
      <c r="C1724" s="52" t="s">
        <v>3294</v>
      </c>
      <c r="E1724" s="49" t="str">
        <f t="shared" ca="1" si="59"/>
        <v/>
      </c>
      <c r="F1724" s="50">
        <v>155307007</v>
      </c>
      <c r="G1724" s="51" t="s">
        <v>70</v>
      </c>
      <c r="I1724" s="52" t="s">
        <v>3287</v>
      </c>
      <c r="J1724" s="46" t="s">
        <v>2486</v>
      </c>
      <c r="M1724" s="53" t="s">
        <v>3295</v>
      </c>
      <c r="N1724" s="55"/>
      <c r="O1724" s="55"/>
    </row>
    <row r="1725" spans="1:21">
      <c r="A1725" s="47">
        <v>28027003</v>
      </c>
      <c r="B1725" s="46" t="s">
        <v>497</v>
      </c>
      <c r="C1725" s="52" t="s">
        <v>1289</v>
      </c>
      <c r="D1725" s="48">
        <v>29378</v>
      </c>
      <c r="E1725" s="49">
        <f t="shared" ca="1" si="59"/>
        <v>46.063668666627834</v>
      </c>
      <c r="F1725" s="50">
        <v>155776931</v>
      </c>
      <c r="G1725" s="51" t="s">
        <v>23</v>
      </c>
      <c r="I1725" s="59" t="s">
        <v>908</v>
      </c>
      <c r="J1725" s="46" t="s">
        <v>1055</v>
      </c>
      <c r="M1725" s="53" t="s">
        <v>1290</v>
      </c>
      <c r="N1725" s="55"/>
      <c r="O1725" s="55"/>
    </row>
    <row r="1726" spans="1:21">
      <c r="A1726" s="47">
        <v>28038489</v>
      </c>
      <c r="B1726" s="46" t="s">
        <v>811</v>
      </c>
      <c r="C1726" s="46" t="s">
        <v>1585</v>
      </c>
      <c r="D1726" s="48">
        <v>29404</v>
      </c>
      <c r="E1726" s="49">
        <f t="shared" ca="1" si="59"/>
        <v>45.992485582804221</v>
      </c>
      <c r="F1726" s="50">
        <v>154012793</v>
      </c>
      <c r="G1726" s="51" t="s">
        <v>141</v>
      </c>
      <c r="I1726" s="52" t="s">
        <v>3999</v>
      </c>
      <c r="M1726" s="53" t="s">
        <v>4029</v>
      </c>
      <c r="N1726" s="46">
        <v>4220751</v>
      </c>
    </row>
    <row r="1727" spans="1:21">
      <c r="A1727" s="47">
        <v>28039503</v>
      </c>
      <c r="B1727" s="46" t="s">
        <v>983</v>
      </c>
      <c r="C1727" s="52" t="s">
        <v>4273</v>
      </c>
      <c r="E1727" s="49" t="str">
        <f t="shared" ca="1" si="59"/>
        <v/>
      </c>
      <c r="F1727" s="50">
        <v>155826094</v>
      </c>
      <c r="G1727" s="51" t="s">
        <v>23</v>
      </c>
      <c r="I1727" s="52" t="s">
        <v>4245</v>
      </c>
      <c r="J1727" s="46" t="s">
        <v>2869</v>
      </c>
      <c r="M1727" s="58" t="s">
        <v>25</v>
      </c>
      <c r="N1727" s="55" t="s">
        <v>4274</v>
      </c>
      <c r="O1727" s="55"/>
    </row>
    <row r="1728" spans="1:21">
      <c r="A1728" s="47">
        <v>28039839</v>
      </c>
      <c r="B1728" s="46" t="s">
        <v>6052</v>
      </c>
      <c r="C1728" s="52" t="s">
        <v>6053</v>
      </c>
      <c r="D1728" s="48">
        <v>29458</v>
      </c>
      <c r="E1728" s="49">
        <f t="shared" ca="1" si="59"/>
        <v>45.844643793324401</v>
      </c>
      <c r="F1728" s="50">
        <v>155818500</v>
      </c>
      <c r="G1728" s="51" t="s">
        <v>23</v>
      </c>
      <c r="I1728" s="52" t="s">
        <v>23</v>
      </c>
      <c r="J1728" s="46" t="s">
        <v>38</v>
      </c>
      <c r="M1728" s="53" t="s">
        <v>6054</v>
      </c>
      <c r="N1728" s="55">
        <v>4247752</v>
      </c>
      <c r="O1728" s="55">
        <v>7145</v>
      </c>
    </row>
    <row r="1729" spans="1:21">
      <c r="A1729" s="47">
        <v>28053203</v>
      </c>
      <c r="B1729" s="46" t="s">
        <v>327</v>
      </c>
      <c r="C1729" s="46" t="s">
        <v>4495</v>
      </c>
      <c r="D1729" s="48" t="s">
        <v>5930</v>
      </c>
      <c r="E1729" s="49">
        <f t="shared" ca="1" si="59"/>
        <v>46.340187569173416</v>
      </c>
      <c r="F1729" s="50" t="s">
        <v>5931</v>
      </c>
      <c r="G1729" s="51" t="s">
        <v>86</v>
      </c>
      <c r="H1729" s="52" t="s">
        <v>52</v>
      </c>
      <c r="I1729" s="52" t="s">
        <v>2720</v>
      </c>
      <c r="J1729" s="46" t="s">
        <v>800</v>
      </c>
      <c r="K1729" s="46" t="s">
        <v>81</v>
      </c>
      <c r="L1729" s="46" t="s">
        <v>546</v>
      </c>
      <c r="M1729" s="52" t="s">
        <v>5932</v>
      </c>
      <c r="N1729" s="46" t="s">
        <v>931</v>
      </c>
      <c r="O1729" s="46" t="s">
        <v>2730</v>
      </c>
      <c r="P1729" s="46" t="s">
        <v>59</v>
      </c>
      <c r="Q1729" s="46" t="s">
        <v>60</v>
      </c>
      <c r="R1729" s="46" t="s">
        <v>61</v>
      </c>
      <c r="S1729" s="46" t="s">
        <v>62</v>
      </c>
      <c r="T1729" s="46" t="s">
        <v>12</v>
      </c>
      <c r="U1729" s="46" t="s">
        <v>63</v>
      </c>
    </row>
    <row r="1730" spans="1:21">
      <c r="A1730" s="47">
        <v>28093734</v>
      </c>
      <c r="B1730" s="46" t="s">
        <v>6252</v>
      </c>
      <c r="C1730" s="52" t="s">
        <v>571</v>
      </c>
      <c r="D1730" s="48">
        <v>29531</v>
      </c>
      <c r="E1730" s="49">
        <f t="shared" ca="1" si="59"/>
        <v>45.644783596435019</v>
      </c>
      <c r="F1730" s="50">
        <v>155745607</v>
      </c>
      <c r="G1730" s="51" t="s">
        <v>23</v>
      </c>
      <c r="I1730" s="52" t="s">
        <v>23</v>
      </c>
      <c r="M1730" s="53" t="s">
        <v>6253</v>
      </c>
      <c r="N1730" s="55">
        <v>4107265</v>
      </c>
      <c r="O1730" s="55"/>
    </row>
    <row r="1731" spans="1:21">
      <c r="A1731" s="47">
        <v>28124512</v>
      </c>
      <c r="B1731" s="46" t="s">
        <v>5461</v>
      </c>
      <c r="C1731" s="46" t="s">
        <v>3858</v>
      </c>
      <c r="D1731" s="48" t="s">
        <v>52</v>
      </c>
      <c r="E1731" s="49" t="str">
        <f t="shared" ca="1" si="59"/>
        <v/>
      </c>
      <c r="F1731" s="50" t="s">
        <v>5462</v>
      </c>
      <c r="G1731" s="51" t="s">
        <v>70</v>
      </c>
      <c r="H1731" s="52" t="s">
        <v>5463</v>
      </c>
      <c r="I1731" s="52" t="s">
        <v>5304</v>
      </c>
      <c r="J1731" s="46" t="s">
        <v>5464</v>
      </c>
      <c r="K1731" s="46" t="s">
        <v>81</v>
      </c>
      <c r="L1731" s="46" t="s">
        <v>52</v>
      </c>
      <c r="M1731" s="52" t="s">
        <v>5465</v>
      </c>
      <c r="N1731" s="46" t="s">
        <v>5466</v>
      </c>
      <c r="O1731" s="46" t="s">
        <v>5467</v>
      </c>
      <c r="P1731" s="46" t="s">
        <v>59</v>
      </c>
      <c r="Q1731" s="46" t="s">
        <v>60</v>
      </c>
      <c r="R1731" s="46" t="s">
        <v>61</v>
      </c>
      <c r="S1731" s="46" t="s">
        <v>62</v>
      </c>
      <c r="T1731" s="46" t="s">
        <v>12</v>
      </c>
      <c r="U1731" s="46" t="s">
        <v>63</v>
      </c>
    </row>
    <row r="1732" spans="1:21">
      <c r="A1732" s="47">
        <v>28137525</v>
      </c>
      <c r="B1732" s="46" t="s">
        <v>1181</v>
      </c>
      <c r="C1732" s="52" t="s">
        <v>1182</v>
      </c>
      <c r="E1732" s="49" t="str">
        <f t="shared" ca="1" si="59"/>
        <v/>
      </c>
      <c r="G1732" s="51" t="s">
        <v>23</v>
      </c>
      <c r="I1732" s="59" t="s">
        <v>908</v>
      </c>
      <c r="M1732" s="53" t="s">
        <v>1183</v>
      </c>
      <c r="N1732" s="55"/>
      <c r="O1732" s="55"/>
    </row>
    <row r="1733" spans="1:21">
      <c r="A1733" s="47">
        <v>28147379</v>
      </c>
      <c r="B1733" s="46" t="s">
        <v>971</v>
      </c>
      <c r="C1733" s="46" t="s">
        <v>974</v>
      </c>
      <c r="D1733" s="48">
        <v>29523</v>
      </c>
      <c r="E1733" s="49">
        <f t="shared" ca="1" si="59"/>
        <v>45.666686083765363</v>
      </c>
      <c r="F1733" s="50">
        <v>155752824</v>
      </c>
      <c r="G1733" s="51" t="s">
        <v>70</v>
      </c>
      <c r="I1733" s="59" t="s">
        <v>908</v>
      </c>
      <c r="M1733" s="53" t="s">
        <v>975</v>
      </c>
      <c r="N1733" s="46">
        <v>4107203</v>
      </c>
    </row>
    <row r="1734" spans="1:21">
      <c r="A1734" s="47">
        <v>28150822</v>
      </c>
      <c r="B1734" s="46" t="s">
        <v>1926</v>
      </c>
      <c r="C1734" s="46" t="s">
        <v>153</v>
      </c>
      <c r="E1734" s="49" t="str">
        <f t="shared" ca="1" si="59"/>
        <v/>
      </c>
      <c r="F1734" s="50">
        <v>154016748</v>
      </c>
      <c r="G1734" s="51" t="s">
        <v>23</v>
      </c>
      <c r="I1734" s="52" t="s">
        <v>5761</v>
      </c>
      <c r="M1734" s="58" t="s">
        <v>25</v>
      </c>
    </row>
    <row r="1735" spans="1:21">
      <c r="A1735" s="47">
        <v>28151127</v>
      </c>
      <c r="B1735" s="69" t="s">
        <v>1534</v>
      </c>
      <c r="C1735" s="52" t="s">
        <v>1535</v>
      </c>
      <c r="D1735" s="48">
        <v>29602</v>
      </c>
      <c r="E1735" s="49">
        <f t="shared" ca="1" si="59"/>
        <v>45.452413546812686</v>
      </c>
      <c r="F1735" s="50">
        <v>155184776</v>
      </c>
      <c r="G1735" s="51" t="s">
        <v>70</v>
      </c>
      <c r="I1735" s="52" t="s">
        <v>1497</v>
      </c>
      <c r="J1735" s="46" t="s">
        <v>1536</v>
      </c>
      <c r="M1735" s="53" t="s">
        <v>1537</v>
      </c>
      <c r="N1735" s="55"/>
      <c r="O1735" s="55"/>
    </row>
    <row r="1736" spans="1:21">
      <c r="A1736" s="47">
        <v>28151197</v>
      </c>
      <c r="B1736" s="46" t="s">
        <v>1032</v>
      </c>
      <c r="C1736" s="46" t="s">
        <v>1523</v>
      </c>
      <c r="D1736" s="48">
        <v>29615</v>
      </c>
      <c r="E1736" s="49">
        <f t="shared" ca="1" si="59"/>
        <v>45.416820427355511</v>
      </c>
      <c r="F1736" s="50">
        <v>155538856</v>
      </c>
      <c r="G1736" s="51" t="s">
        <v>141</v>
      </c>
      <c r="I1736" s="52" t="s">
        <v>1881</v>
      </c>
      <c r="J1736" s="46" t="s">
        <v>353</v>
      </c>
      <c r="M1736" s="53" t="s">
        <v>1982</v>
      </c>
      <c r="N1736" s="46">
        <v>4107585</v>
      </c>
    </row>
    <row r="1737" spans="1:21">
      <c r="A1737" s="47">
        <v>28151268</v>
      </c>
      <c r="B1737" s="46" t="s">
        <v>1973</v>
      </c>
      <c r="C1737" s="46" t="s">
        <v>3689</v>
      </c>
      <c r="D1737" s="48" t="s">
        <v>52</v>
      </c>
      <c r="E1737" s="49" t="str">
        <f t="shared" ca="1" si="59"/>
        <v/>
      </c>
      <c r="F1737" s="50" t="s">
        <v>3690</v>
      </c>
      <c r="G1737" s="51" t="s">
        <v>141</v>
      </c>
      <c r="H1737" s="52" t="s">
        <v>52</v>
      </c>
      <c r="I1737" s="52" t="s">
        <v>3630</v>
      </c>
      <c r="J1737" s="46" t="s">
        <v>2938</v>
      </c>
      <c r="K1737" s="46" t="s">
        <v>81</v>
      </c>
      <c r="L1737" s="46" t="s">
        <v>52</v>
      </c>
      <c r="M1737" s="52" t="s">
        <v>3691</v>
      </c>
      <c r="N1737" s="46" t="s">
        <v>3692</v>
      </c>
      <c r="O1737" s="46" t="s">
        <v>52</v>
      </c>
      <c r="P1737" s="46" t="s">
        <v>59</v>
      </c>
      <c r="Q1737" s="46" t="s">
        <v>60</v>
      </c>
      <c r="R1737" s="46" t="s">
        <v>61</v>
      </c>
      <c r="S1737" s="46" t="s">
        <v>62</v>
      </c>
      <c r="T1737" s="46" t="s">
        <v>12</v>
      </c>
      <c r="U1737" s="46" t="s">
        <v>63</v>
      </c>
    </row>
    <row r="1738" spans="1:21">
      <c r="A1738" s="47">
        <v>28211502</v>
      </c>
      <c r="B1738" s="46" t="s">
        <v>315</v>
      </c>
      <c r="C1738" s="46" t="s">
        <v>1545</v>
      </c>
      <c r="D1738" s="48">
        <v>29404</v>
      </c>
      <c r="E1738" s="49">
        <f t="shared" ca="1" si="59"/>
        <v>45.992485582804221</v>
      </c>
      <c r="F1738" s="50">
        <v>154968272</v>
      </c>
      <c r="G1738" s="51" t="s">
        <v>86</v>
      </c>
      <c r="I1738" s="52" t="s">
        <v>1497</v>
      </c>
      <c r="M1738" s="53" t="s">
        <v>1548</v>
      </c>
      <c r="N1738" s="46">
        <v>4330633</v>
      </c>
      <c r="O1738" s="46">
        <v>263</v>
      </c>
      <c r="P1738" s="46">
        <v>3</v>
      </c>
    </row>
    <row r="1739" spans="1:21">
      <c r="A1739" s="47">
        <v>28212023</v>
      </c>
      <c r="B1739" s="46" t="s">
        <v>2576</v>
      </c>
      <c r="C1739" s="52" t="s">
        <v>2577</v>
      </c>
      <c r="E1739" s="49" t="str">
        <f t="shared" ca="1" si="59"/>
        <v/>
      </c>
      <c r="F1739" s="50">
        <v>155077306</v>
      </c>
      <c r="G1739" s="51" t="s">
        <v>70</v>
      </c>
      <c r="I1739" s="59" t="s">
        <v>908</v>
      </c>
      <c r="J1739" s="46" t="s">
        <v>297</v>
      </c>
      <c r="M1739" s="53" t="s">
        <v>2578</v>
      </c>
      <c r="N1739" s="55"/>
      <c r="O1739" s="55"/>
    </row>
    <row r="1740" spans="1:21">
      <c r="A1740" s="47">
        <v>28221010</v>
      </c>
      <c r="B1740" s="46" t="s">
        <v>2966</v>
      </c>
      <c r="C1740" s="46" t="s">
        <v>667</v>
      </c>
      <c r="D1740" s="48">
        <v>29376</v>
      </c>
      <c r="E1740" s="49">
        <f t="shared" ca="1" si="59"/>
        <v>46.069144288460421</v>
      </c>
      <c r="F1740" s="50">
        <v>155421924</v>
      </c>
      <c r="G1740" s="51" t="s">
        <v>70</v>
      </c>
      <c r="I1740" s="52" t="s">
        <v>594</v>
      </c>
      <c r="J1740" s="46" t="s">
        <v>668</v>
      </c>
      <c r="M1740" s="53" t="s">
        <v>669</v>
      </c>
      <c r="N1740" s="46">
        <v>4240206</v>
      </c>
      <c r="O1740" s="46">
        <v>207</v>
      </c>
      <c r="P1740" s="46">
        <v>1</v>
      </c>
    </row>
    <row r="1741" spans="1:21">
      <c r="A1741" s="47">
        <v>28221068</v>
      </c>
      <c r="B1741" s="46" t="s">
        <v>3661</v>
      </c>
      <c r="C1741" s="52" t="s">
        <v>3662</v>
      </c>
      <c r="D1741" s="48">
        <v>29301</v>
      </c>
      <c r="E1741" s="49">
        <f t="shared" ca="1" si="59"/>
        <v>46.274480107182384</v>
      </c>
      <c r="F1741" s="50">
        <v>155742525</v>
      </c>
      <c r="G1741" s="51" t="s">
        <v>23</v>
      </c>
      <c r="I1741" s="52" t="s">
        <v>3630</v>
      </c>
      <c r="J1741" s="46" t="s">
        <v>48</v>
      </c>
      <c r="M1741" s="53" t="s">
        <v>3663</v>
      </c>
      <c r="N1741" s="55"/>
      <c r="O1741" s="55"/>
    </row>
    <row r="1742" spans="1:21">
      <c r="A1742" s="47">
        <v>28221282</v>
      </c>
      <c r="B1742" s="46" t="s">
        <v>4349</v>
      </c>
      <c r="C1742" s="52" t="s">
        <v>4350</v>
      </c>
      <c r="E1742" s="49" t="str">
        <f t="shared" ca="1" si="59"/>
        <v/>
      </c>
      <c r="F1742" s="50">
        <v>156411499</v>
      </c>
      <c r="G1742" s="51" t="s">
        <v>78</v>
      </c>
      <c r="I1742" s="52" t="s">
        <v>4245</v>
      </c>
      <c r="J1742" s="46" t="s">
        <v>3491</v>
      </c>
      <c r="M1742" s="53" t="s">
        <v>4351</v>
      </c>
      <c r="N1742" s="55" t="s">
        <v>4352</v>
      </c>
      <c r="O1742" s="55"/>
    </row>
    <row r="1743" spans="1:21">
      <c r="A1743" s="47">
        <v>28221502</v>
      </c>
      <c r="B1743" s="46" t="s">
        <v>315</v>
      </c>
      <c r="C1743" s="46" t="s">
        <v>1545</v>
      </c>
      <c r="D1743" s="48">
        <v>29404</v>
      </c>
      <c r="E1743" s="49">
        <f t="shared" ca="1" si="59"/>
        <v>45.992485582804221</v>
      </c>
      <c r="F1743" s="50">
        <v>154968272</v>
      </c>
      <c r="G1743" s="51" t="s">
        <v>86</v>
      </c>
      <c r="I1743" s="52" t="s">
        <v>1497</v>
      </c>
      <c r="M1743" s="53" t="s">
        <v>1546</v>
      </c>
      <c r="O1743" s="46">
        <v>4330633</v>
      </c>
    </row>
    <row r="1744" spans="1:21">
      <c r="A1744" s="47">
        <v>28221525</v>
      </c>
      <c r="B1744" s="46" t="s">
        <v>1248</v>
      </c>
      <c r="C1744" s="52" t="s">
        <v>1249</v>
      </c>
      <c r="D1744" s="48">
        <v>41074</v>
      </c>
      <c r="E1744" s="49">
        <f t="shared" ca="1" si="59"/>
        <v>14.041795948165724</v>
      </c>
      <c r="F1744" s="50">
        <v>155114061</v>
      </c>
      <c r="G1744" s="51" t="s">
        <v>23</v>
      </c>
      <c r="I1744" s="59" t="s">
        <v>908</v>
      </c>
      <c r="J1744" s="46" t="s">
        <v>1250</v>
      </c>
      <c r="M1744" s="53" t="s">
        <v>1251</v>
      </c>
      <c r="N1744" s="55"/>
      <c r="O1744" s="55"/>
    </row>
    <row r="1745" spans="1:21">
      <c r="A1745" s="47">
        <v>28221604</v>
      </c>
      <c r="B1745" s="46" t="s">
        <v>288</v>
      </c>
      <c r="C1745" s="46" t="s">
        <v>4343</v>
      </c>
      <c r="E1745" s="49" t="str">
        <f t="shared" ca="1" si="59"/>
        <v/>
      </c>
      <c r="F1745" s="50">
        <v>154775595</v>
      </c>
      <c r="G1745" s="51" t="s">
        <v>23</v>
      </c>
      <c r="I1745" s="52" t="s">
        <v>4245</v>
      </c>
      <c r="M1745" s="58" t="s">
        <v>25</v>
      </c>
    </row>
    <row r="1746" spans="1:21">
      <c r="A1746" s="64">
        <v>28222134</v>
      </c>
      <c r="B1746" s="61" t="s">
        <v>863</v>
      </c>
      <c r="C1746" s="62" t="s">
        <v>864</v>
      </c>
      <c r="D1746" s="48">
        <v>29430</v>
      </c>
      <c r="E1746" s="49">
        <f t="shared" ca="1" si="59"/>
        <v>45.921302498980602</v>
      </c>
      <c r="F1746" s="63" t="s">
        <v>865</v>
      </c>
      <c r="G1746" s="51" t="s">
        <v>23</v>
      </c>
      <c r="I1746" s="52" t="s">
        <v>848</v>
      </c>
      <c r="J1746" s="61" t="s">
        <v>48</v>
      </c>
      <c r="K1746" s="61"/>
      <c r="L1746" s="61"/>
      <c r="M1746" s="53" t="s">
        <v>866</v>
      </c>
      <c r="N1746" s="55"/>
      <c r="O1746" s="55"/>
    </row>
    <row r="1747" spans="1:21">
      <c r="A1747" s="47">
        <v>28222480</v>
      </c>
      <c r="B1747" s="46" t="s">
        <v>1940</v>
      </c>
      <c r="C1747" s="55" t="s">
        <v>1941</v>
      </c>
      <c r="D1747" s="48" t="s">
        <v>1942</v>
      </c>
      <c r="E1747" s="49">
        <f t="shared" ca="1" si="59"/>
        <v>45.893924389817677</v>
      </c>
      <c r="F1747" s="50" t="s">
        <v>1943</v>
      </c>
      <c r="G1747" s="51" t="s">
        <v>70</v>
      </c>
      <c r="H1747" s="52" t="s">
        <v>380</v>
      </c>
      <c r="I1747" s="52" t="s">
        <v>1881</v>
      </c>
      <c r="J1747" s="46" t="s">
        <v>697</v>
      </c>
      <c r="K1747" s="46" t="s">
        <v>81</v>
      </c>
      <c r="L1747" s="46" t="s">
        <v>52</v>
      </c>
      <c r="M1747" s="53" t="s">
        <v>1944</v>
      </c>
      <c r="N1747" s="46" t="s">
        <v>1936</v>
      </c>
      <c r="O1747" s="46" t="s">
        <v>52</v>
      </c>
      <c r="P1747" s="46" t="s">
        <v>59</v>
      </c>
      <c r="Q1747" s="46" t="s">
        <v>60</v>
      </c>
      <c r="R1747" s="46" t="s">
        <v>61</v>
      </c>
      <c r="S1747" s="46" t="s">
        <v>62</v>
      </c>
      <c r="T1747" s="46" t="s">
        <v>12</v>
      </c>
      <c r="U1747" s="46" t="s">
        <v>63</v>
      </c>
    </row>
    <row r="1748" spans="1:21">
      <c r="A1748" s="47">
        <v>28223196</v>
      </c>
      <c r="B1748" s="46" t="s">
        <v>8807</v>
      </c>
      <c r="C1748" s="52" t="s">
        <v>1296</v>
      </c>
      <c r="E1748" s="49" t="str">
        <f t="shared" ca="1" si="59"/>
        <v/>
      </c>
      <c r="G1748" s="51" t="s">
        <v>23</v>
      </c>
      <c r="I1748" s="59" t="s">
        <v>908</v>
      </c>
      <c r="M1748" s="53" t="s">
        <v>1297</v>
      </c>
      <c r="N1748" s="55">
        <v>4247752</v>
      </c>
      <c r="O1748" s="55">
        <v>7078</v>
      </c>
    </row>
    <row r="1749" spans="1:21">
      <c r="A1749" s="74">
        <v>28223470</v>
      </c>
      <c r="B1749" s="234" t="s">
        <v>9893</v>
      </c>
      <c r="C1749" s="234" t="s">
        <v>7841</v>
      </c>
      <c r="D1749" s="235">
        <v>29494</v>
      </c>
      <c r="E1749" s="236"/>
      <c r="F1749" s="237">
        <v>3815429516</v>
      </c>
      <c r="G1749" s="234" t="s">
        <v>70</v>
      </c>
      <c r="H1749" s="238" t="s">
        <v>6629</v>
      </c>
      <c r="I1749" s="238" t="s">
        <v>4245</v>
      </c>
      <c r="J1749" s="234" t="s">
        <v>9999</v>
      </c>
      <c r="K1749" s="234" t="s">
        <v>2002</v>
      </c>
      <c r="L1749" s="234"/>
      <c r="M1749" s="238" t="s">
        <v>9932</v>
      </c>
      <c r="N1749" s="234"/>
      <c r="O1749" s="234"/>
      <c r="P1749" s="234"/>
      <c r="Q1749" s="234"/>
      <c r="R1749" s="234"/>
      <c r="S1749" s="234"/>
      <c r="T1749" s="234"/>
      <c r="U1749" s="234"/>
    </row>
    <row r="1750" spans="1:21">
      <c r="A1750" s="47">
        <v>28223546</v>
      </c>
      <c r="B1750" s="46" t="s">
        <v>5064</v>
      </c>
      <c r="C1750" s="52" t="s">
        <v>2587</v>
      </c>
      <c r="D1750" s="48">
        <v>29496</v>
      </c>
      <c r="E1750" s="49">
        <f t="shared" ref="E1750:E1781" ca="1" si="60">IF(D1750="","",YEARFRAC(D1750,TODAY(),1))</f>
        <v>45.740606978505269</v>
      </c>
      <c r="F1750" s="50">
        <v>153014232</v>
      </c>
      <c r="G1750" s="51" t="s">
        <v>23</v>
      </c>
      <c r="I1750" s="65" t="s">
        <v>4954</v>
      </c>
      <c r="J1750" s="46" t="s">
        <v>48</v>
      </c>
      <c r="M1750" s="53" t="s">
        <v>5065</v>
      </c>
      <c r="N1750" s="55"/>
      <c r="O1750" s="55"/>
    </row>
    <row r="1751" spans="1:21">
      <c r="A1751" s="47">
        <v>28223634</v>
      </c>
      <c r="B1751" s="46" t="s">
        <v>5312</v>
      </c>
      <c r="C1751" s="46" t="s">
        <v>2123</v>
      </c>
      <c r="D1751" s="48">
        <v>29498</v>
      </c>
      <c r="E1751" s="49">
        <f t="shared" ca="1" si="60"/>
        <v>45.735131356672689</v>
      </c>
      <c r="F1751" s="50">
        <v>155637595</v>
      </c>
      <c r="G1751" s="51" t="s">
        <v>78</v>
      </c>
      <c r="I1751" s="52" t="s">
        <v>5304</v>
      </c>
      <c r="J1751" s="46" t="s">
        <v>38</v>
      </c>
      <c r="M1751" s="53" t="s">
        <v>5313</v>
      </c>
      <c r="O1751" s="46">
        <v>6929</v>
      </c>
      <c r="P1751" s="46" t="s">
        <v>1092</v>
      </c>
    </row>
    <row r="1752" spans="1:21">
      <c r="A1752" s="47">
        <v>28223710</v>
      </c>
      <c r="B1752" s="46" t="s">
        <v>2865</v>
      </c>
      <c r="C1752" s="52" t="s">
        <v>2678</v>
      </c>
      <c r="D1752" s="48">
        <v>29505</v>
      </c>
      <c r="E1752" s="49">
        <f t="shared" ca="1" si="60"/>
        <v>45.715966680258639</v>
      </c>
      <c r="F1752" s="50">
        <v>155113249</v>
      </c>
      <c r="G1752" s="51" t="s">
        <v>23</v>
      </c>
      <c r="I1752" s="52" t="s">
        <v>2854</v>
      </c>
      <c r="J1752" s="46" t="s">
        <v>48</v>
      </c>
      <c r="M1752" s="53" t="s">
        <v>2866</v>
      </c>
      <c r="N1752" s="55"/>
      <c r="O1752" s="55"/>
    </row>
    <row r="1753" spans="1:21">
      <c r="A1753" s="47">
        <v>28223716</v>
      </c>
      <c r="B1753" s="46" t="s">
        <v>2889</v>
      </c>
      <c r="C1753" s="46" t="s">
        <v>2678</v>
      </c>
      <c r="D1753" s="48" t="s">
        <v>2890</v>
      </c>
      <c r="E1753" s="49">
        <f t="shared" ca="1" si="60"/>
        <v>45.715966680258639</v>
      </c>
      <c r="F1753" s="50" t="s">
        <v>2891</v>
      </c>
      <c r="G1753" s="51" t="s">
        <v>70</v>
      </c>
      <c r="H1753" s="52" t="s">
        <v>2892</v>
      </c>
      <c r="I1753" s="52" t="s">
        <v>2893</v>
      </c>
      <c r="J1753" s="46" t="s">
        <v>238</v>
      </c>
      <c r="K1753" s="46" t="s">
        <v>52</v>
      </c>
      <c r="L1753" s="46" t="s">
        <v>52</v>
      </c>
      <c r="M1753" s="78" t="s">
        <v>2866</v>
      </c>
      <c r="N1753" s="46" t="s">
        <v>2894</v>
      </c>
      <c r="O1753" s="46" t="s">
        <v>2895</v>
      </c>
      <c r="P1753" s="46" t="s">
        <v>59</v>
      </c>
      <c r="Q1753" s="46" t="s">
        <v>60</v>
      </c>
      <c r="R1753" s="46" t="s">
        <v>61</v>
      </c>
      <c r="S1753" s="46" t="s">
        <v>62</v>
      </c>
      <c r="T1753" s="46" t="s">
        <v>12</v>
      </c>
      <c r="U1753" s="46" t="s">
        <v>63</v>
      </c>
    </row>
    <row r="1754" spans="1:21">
      <c r="A1754" s="47">
        <v>28290152</v>
      </c>
      <c r="B1754" s="69" t="s">
        <v>315</v>
      </c>
      <c r="C1754" s="70" t="s">
        <v>5708</v>
      </c>
      <c r="D1754" s="48" t="s">
        <v>52</v>
      </c>
      <c r="E1754" s="49" t="str">
        <f t="shared" ca="1" si="60"/>
        <v/>
      </c>
      <c r="F1754" s="50" t="s">
        <v>6263</v>
      </c>
      <c r="G1754" s="51" t="s">
        <v>70</v>
      </c>
      <c r="H1754" s="52" t="s">
        <v>1780</v>
      </c>
      <c r="I1754" s="52" t="s">
        <v>23</v>
      </c>
      <c r="J1754" s="46" t="s">
        <v>48</v>
      </c>
      <c r="K1754" s="46" t="s">
        <v>81</v>
      </c>
      <c r="L1754" s="46" t="s">
        <v>52</v>
      </c>
      <c r="M1754" s="53" t="s">
        <v>6264</v>
      </c>
      <c r="N1754" s="55" t="s">
        <v>6265</v>
      </c>
      <c r="O1754" s="55" t="s">
        <v>52</v>
      </c>
      <c r="P1754" s="46" t="s">
        <v>59</v>
      </c>
      <c r="Q1754" s="46" t="s">
        <v>60</v>
      </c>
      <c r="R1754" s="46" t="s">
        <v>61</v>
      </c>
      <c r="S1754" s="46" t="s">
        <v>62</v>
      </c>
      <c r="T1754" s="46" t="s">
        <v>12</v>
      </c>
      <c r="U1754" s="46" t="s">
        <v>63</v>
      </c>
    </row>
    <row r="1755" spans="1:21">
      <c r="A1755" s="47">
        <v>28290473</v>
      </c>
      <c r="B1755" s="46" t="s">
        <v>190</v>
      </c>
      <c r="C1755" s="52" t="s">
        <v>191</v>
      </c>
      <c r="D1755" s="48">
        <v>29484</v>
      </c>
      <c r="E1755" s="49">
        <f t="shared" ca="1" si="60"/>
        <v>45.773460709500789</v>
      </c>
      <c r="F1755" s="50">
        <v>155661465</v>
      </c>
      <c r="G1755" s="51" t="s">
        <v>23</v>
      </c>
      <c r="I1755" s="52" t="s">
        <v>24</v>
      </c>
      <c r="J1755" s="46" t="s">
        <v>192</v>
      </c>
      <c r="M1755" s="53" t="s">
        <v>193</v>
      </c>
      <c r="N1755" s="55" t="s">
        <v>194</v>
      </c>
      <c r="O1755" s="55"/>
    </row>
    <row r="1756" spans="1:21">
      <c r="A1756" s="47">
        <v>28326318</v>
      </c>
      <c r="B1756" s="46" t="s">
        <v>5830</v>
      </c>
      <c r="C1756" s="46" t="s">
        <v>365</v>
      </c>
      <c r="D1756" s="48">
        <v>29405</v>
      </c>
      <c r="E1756" s="49">
        <f t="shared" ca="1" si="60"/>
        <v>45.989747771887927</v>
      </c>
      <c r="F1756" s="50">
        <v>154720247</v>
      </c>
      <c r="G1756" s="51" t="s">
        <v>86</v>
      </c>
      <c r="I1756" s="52" t="s">
        <v>5826</v>
      </c>
      <c r="J1756" s="46" t="s">
        <v>5831</v>
      </c>
      <c r="M1756" s="53" t="s">
        <v>5832</v>
      </c>
      <c r="P1756" s="46">
        <v>1</v>
      </c>
    </row>
    <row r="1757" spans="1:21">
      <c r="A1757" s="47">
        <v>28418227</v>
      </c>
      <c r="B1757" s="46" t="s">
        <v>2121</v>
      </c>
      <c r="C1757" s="46" t="s">
        <v>3098</v>
      </c>
      <c r="D1757" s="48" t="s">
        <v>52</v>
      </c>
      <c r="E1757" s="49" t="str">
        <f t="shared" ca="1" si="60"/>
        <v/>
      </c>
      <c r="F1757" s="50" t="s">
        <v>5953</v>
      </c>
      <c r="G1757" s="51" t="s">
        <v>70</v>
      </c>
      <c r="H1757" s="52" t="s">
        <v>52</v>
      </c>
      <c r="I1757" s="52" t="s">
        <v>5881</v>
      </c>
      <c r="J1757" s="46" t="s">
        <v>5954</v>
      </c>
      <c r="K1757" s="46" t="s">
        <v>81</v>
      </c>
      <c r="L1757" s="46" t="s">
        <v>52</v>
      </c>
      <c r="M1757" s="52" t="s">
        <v>5955</v>
      </c>
      <c r="N1757" s="46" t="s">
        <v>2729</v>
      </c>
      <c r="O1757" s="46" t="s">
        <v>52</v>
      </c>
      <c r="P1757" s="46" t="s">
        <v>59</v>
      </c>
      <c r="Q1757" s="46" t="s">
        <v>60</v>
      </c>
      <c r="R1757" s="46" t="s">
        <v>61</v>
      </c>
      <c r="S1757" s="46" t="s">
        <v>62</v>
      </c>
      <c r="T1757" s="46" t="s">
        <v>12</v>
      </c>
      <c r="U1757" s="46" t="s">
        <v>63</v>
      </c>
    </row>
    <row r="1758" spans="1:21">
      <c r="A1758" s="47">
        <v>28444504</v>
      </c>
      <c r="B1758" s="46" t="s">
        <v>1325</v>
      </c>
      <c r="C1758" s="46" t="s">
        <v>1326</v>
      </c>
      <c r="D1758" s="48" t="s">
        <v>1327</v>
      </c>
      <c r="E1758" s="49">
        <f t="shared" ca="1" si="60"/>
        <v>45.773460709500789</v>
      </c>
      <c r="F1758" s="50" t="s">
        <v>1328</v>
      </c>
      <c r="G1758" s="51" t="s">
        <v>70</v>
      </c>
      <c r="H1758" s="52" t="s">
        <v>1329</v>
      </c>
      <c r="I1758" s="59" t="s">
        <v>908</v>
      </c>
      <c r="J1758" s="46" t="s">
        <v>1330</v>
      </c>
      <c r="K1758" s="46" t="s">
        <v>159</v>
      </c>
      <c r="L1758" s="46" t="s">
        <v>546</v>
      </c>
      <c r="M1758" s="52" t="s">
        <v>1331</v>
      </c>
      <c r="N1758" s="46" t="s">
        <v>1332</v>
      </c>
      <c r="O1758" s="46" t="s">
        <v>1333</v>
      </c>
      <c r="P1758" s="46" t="s">
        <v>59</v>
      </c>
      <c r="Q1758" s="46" t="s">
        <v>60</v>
      </c>
      <c r="R1758" s="46" t="s">
        <v>61</v>
      </c>
      <c r="S1758" s="46" t="s">
        <v>62</v>
      </c>
      <c r="T1758" s="46" t="s">
        <v>12</v>
      </c>
      <c r="U1758" s="46" t="s">
        <v>63</v>
      </c>
    </row>
    <row r="1759" spans="1:21">
      <c r="A1759" s="47">
        <v>28458542</v>
      </c>
      <c r="B1759" s="46" t="s">
        <v>578</v>
      </c>
      <c r="C1759" s="46" t="s">
        <v>579</v>
      </c>
      <c r="D1759" s="48" t="s">
        <v>52</v>
      </c>
      <c r="E1759" s="49" t="str">
        <f t="shared" ca="1" si="60"/>
        <v/>
      </c>
      <c r="F1759" s="50" t="s">
        <v>580</v>
      </c>
      <c r="G1759" s="51" t="s">
        <v>70</v>
      </c>
      <c r="H1759" s="52" t="s">
        <v>516</v>
      </c>
      <c r="I1759" s="52" t="s">
        <v>24</v>
      </c>
      <c r="J1759" s="46" t="s">
        <v>581</v>
      </c>
      <c r="K1759" s="46" t="s">
        <v>390</v>
      </c>
      <c r="L1759" s="46" t="s">
        <v>546</v>
      </c>
      <c r="M1759" s="52" t="s">
        <v>582</v>
      </c>
      <c r="N1759" s="46" t="s">
        <v>52</v>
      </c>
      <c r="O1759" s="46" t="s">
        <v>52</v>
      </c>
      <c r="P1759" s="46" t="s">
        <v>59</v>
      </c>
      <c r="Q1759" s="46" t="s">
        <v>60</v>
      </c>
      <c r="R1759" s="46" t="s">
        <v>61</v>
      </c>
      <c r="S1759" s="46" t="s">
        <v>62</v>
      </c>
      <c r="T1759" s="46" t="s">
        <v>12</v>
      </c>
      <c r="U1759" s="46" t="s">
        <v>63</v>
      </c>
    </row>
    <row r="1760" spans="1:21">
      <c r="A1760" s="47">
        <v>28476107</v>
      </c>
      <c r="B1760" s="46" t="s">
        <v>4519</v>
      </c>
      <c r="C1760" s="46" t="s">
        <v>4520</v>
      </c>
      <c r="D1760" s="48">
        <v>29510</v>
      </c>
      <c r="E1760" s="49">
        <f t="shared" ca="1" si="60"/>
        <v>45.702277625677169</v>
      </c>
      <c r="F1760" s="50">
        <v>153204726</v>
      </c>
      <c r="G1760" s="51" t="s">
        <v>86</v>
      </c>
      <c r="I1760" s="52" t="s">
        <v>4499</v>
      </c>
      <c r="M1760" s="53" t="s">
        <v>4521</v>
      </c>
      <c r="N1760" s="46">
        <v>4526014</v>
      </c>
    </row>
    <row r="1761" spans="1:21">
      <c r="A1761" s="47">
        <v>28476748</v>
      </c>
      <c r="B1761" s="46" t="s">
        <v>4669</v>
      </c>
      <c r="C1761" s="52" t="s">
        <v>4670</v>
      </c>
      <c r="D1761" s="48">
        <v>29563</v>
      </c>
      <c r="E1761" s="49">
        <f t="shared" ca="1" si="60"/>
        <v>45.55717364711365</v>
      </c>
      <c r="F1761" s="50">
        <v>155972269</v>
      </c>
      <c r="G1761" s="51" t="s">
        <v>23</v>
      </c>
      <c r="I1761" s="52" t="s">
        <v>4499</v>
      </c>
      <c r="J1761" s="46" t="s">
        <v>4671</v>
      </c>
      <c r="M1761" s="53" t="s">
        <v>4672</v>
      </c>
      <c r="N1761" s="55"/>
      <c r="O1761" s="55"/>
    </row>
    <row r="1762" spans="1:21">
      <c r="A1762" s="47">
        <v>28476977</v>
      </c>
      <c r="B1762" s="46" t="s">
        <v>5296</v>
      </c>
      <c r="C1762" s="46" t="s">
        <v>843</v>
      </c>
      <c r="D1762" s="48" t="s">
        <v>52</v>
      </c>
      <c r="E1762" s="49" t="str">
        <f t="shared" ca="1" si="60"/>
        <v/>
      </c>
      <c r="F1762" s="50" t="s">
        <v>5297</v>
      </c>
      <c r="G1762" s="51" t="s">
        <v>70</v>
      </c>
      <c r="H1762" s="52" t="s">
        <v>1260</v>
      </c>
      <c r="I1762" s="52" t="s">
        <v>5176</v>
      </c>
      <c r="J1762" s="46" t="s">
        <v>52</v>
      </c>
      <c r="K1762" s="46" t="s">
        <v>81</v>
      </c>
      <c r="L1762" s="46" t="s">
        <v>52</v>
      </c>
      <c r="M1762" s="52" t="s">
        <v>5298</v>
      </c>
      <c r="N1762" s="46" t="s">
        <v>5184</v>
      </c>
      <c r="O1762" s="46" t="s">
        <v>5299</v>
      </c>
      <c r="P1762" s="46" t="s">
        <v>59</v>
      </c>
      <c r="Q1762" s="46" t="s">
        <v>60</v>
      </c>
      <c r="R1762" s="46" t="s">
        <v>61</v>
      </c>
      <c r="S1762" s="46" t="s">
        <v>62</v>
      </c>
      <c r="T1762" s="46" t="s">
        <v>12</v>
      </c>
      <c r="U1762" s="46" t="s">
        <v>63</v>
      </c>
    </row>
    <row r="1763" spans="1:21">
      <c r="A1763" s="47">
        <v>28496373</v>
      </c>
      <c r="B1763" s="46" t="s">
        <v>1352</v>
      </c>
      <c r="C1763" s="46" t="s">
        <v>1353</v>
      </c>
      <c r="D1763" s="48" t="s">
        <v>1354</v>
      </c>
      <c r="E1763" s="49">
        <f t="shared" ca="1" si="60"/>
        <v>45.408606630557706</v>
      </c>
      <c r="F1763" s="50" t="s">
        <v>1355</v>
      </c>
      <c r="G1763" s="51" t="s">
        <v>70</v>
      </c>
      <c r="H1763" s="52" t="s">
        <v>833</v>
      </c>
      <c r="I1763" s="59" t="s">
        <v>908</v>
      </c>
      <c r="J1763" s="46" t="s">
        <v>1337</v>
      </c>
      <c r="K1763" s="46" t="s">
        <v>390</v>
      </c>
      <c r="L1763" s="46" t="s">
        <v>52</v>
      </c>
      <c r="M1763" s="52" t="s">
        <v>1356</v>
      </c>
      <c r="N1763" s="46" t="s">
        <v>966</v>
      </c>
      <c r="O1763" s="46" t="s">
        <v>1357</v>
      </c>
      <c r="P1763" s="46" t="s">
        <v>59</v>
      </c>
      <c r="Q1763" s="46" t="s">
        <v>60</v>
      </c>
      <c r="R1763" s="46" t="s">
        <v>61</v>
      </c>
      <c r="S1763" s="46" t="s">
        <v>62</v>
      </c>
      <c r="T1763" s="46" t="s">
        <v>12</v>
      </c>
      <c r="U1763" s="46" t="s">
        <v>63</v>
      </c>
    </row>
    <row r="1764" spans="1:21">
      <c r="A1764" s="47">
        <v>28532245</v>
      </c>
      <c r="B1764" s="46" t="s">
        <v>6415</v>
      </c>
      <c r="C1764" s="46" t="s">
        <v>6416</v>
      </c>
      <c r="D1764" s="68"/>
      <c r="E1764" s="49" t="str">
        <f t="shared" ca="1" si="60"/>
        <v/>
      </c>
      <c r="F1764" s="50">
        <v>155043456</v>
      </c>
      <c r="G1764" s="51" t="s">
        <v>23</v>
      </c>
      <c r="I1764" s="52" t="s">
        <v>23</v>
      </c>
      <c r="M1764" s="53" t="s">
        <v>6417</v>
      </c>
    </row>
    <row r="1765" spans="1:21">
      <c r="A1765" s="47">
        <v>28564148</v>
      </c>
      <c r="B1765" s="46" t="s">
        <v>2154</v>
      </c>
      <c r="C1765" s="46" t="s">
        <v>2408</v>
      </c>
      <c r="D1765" s="48" t="s">
        <v>2409</v>
      </c>
      <c r="E1765" s="49">
        <f t="shared" ca="1" si="60"/>
        <v>45.446937682280812</v>
      </c>
      <c r="F1765" s="50" t="s">
        <v>2410</v>
      </c>
      <c r="G1765" s="51" t="s">
        <v>70</v>
      </c>
      <c r="H1765" s="52" t="s">
        <v>2411</v>
      </c>
      <c r="I1765" s="52" t="s">
        <v>1497</v>
      </c>
      <c r="J1765" s="46" t="s">
        <v>2412</v>
      </c>
      <c r="K1765" s="46" t="s">
        <v>390</v>
      </c>
      <c r="L1765" s="46" t="s">
        <v>546</v>
      </c>
      <c r="M1765" s="52" t="s">
        <v>2413</v>
      </c>
      <c r="N1765" s="46" t="s">
        <v>52</v>
      </c>
      <c r="O1765" s="46" t="s">
        <v>52</v>
      </c>
      <c r="P1765" s="46" t="s">
        <v>59</v>
      </c>
      <c r="Q1765" s="46" t="s">
        <v>60</v>
      </c>
      <c r="R1765" s="46" t="s">
        <v>61</v>
      </c>
      <c r="S1765" s="46" t="s">
        <v>62</v>
      </c>
      <c r="T1765" s="46" t="s">
        <v>12</v>
      </c>
      <c r="U1765" s="46" t="s">
        <v>63</v>
      </c>
    </row>
    <row r="1766" spans="1:21">
      <c r="A1766" s="47">
        <v>28646507</v>
      </c>
      <c r="B1766" s="46" t="s">
        <v>8788</v>
      </c>
      <c r="C1766" s="52" t="s">
        <v>1061</v>
      </c>
      <c r="E1766" s="49" t="str">
        <f t="shared" ca="1" si="60"/>
        <v/>
      </c>
      <c r="G1766" s="51" t="s">
        <v>23</v>
      </c>
      <c r="I1766" s="59" t="s">
        <v>908</v>
      </c>
      <c r="J1766" s="46" t="s">
        <v>1062</v>
      </c>
      <c r="M1766" s="53" t="s">
        <v>1063</v>
      </c>
      <c r="N1766" s="55"/>
      <c r="O1766" s="55"/>
    </row>
    <row r="1767" spans="1:21">
      <c r="A1767" s="47">
        <v>28680114</v>
      </c>
      <c r="B1767" s="46" t="s">
        <v>8791</v>
      </c>
      <c r="C1767" s="52" t="s">
        <v>854</v>
      </c>
      <c r="D1767" s="48">
        <v>29588</v>
      </c>
      <c r="E1767" s="49">
        <f t="shared" ca="1" si="60"/>
        <v>45.490744598535798</v>
      </c>
      <c r="F1767" s="50">
        <v>155140661</v>
      </c>
      <c r="G1767" s="51" t="s">
        <v>23</v>
      </c>
      <c r="I1767" s="52" t="s">
        <v>848</v>
      </c>
      <c r="J1767" s="46" t="s">
        <v>855</v>
      </c>
      <c r="M1767" s="53" t="s">
        <v>856</v>
      </c>
      <c r="N1767" s="55"/>
      <c r="O1767" s="55"/>
    </row>
    <row r="1768" spans="1:21">
      <c r="A1768" s="47">
        <v>28680744</v>
      </c>
      <c r="B1768" s="46" t="s">
        <v>547</v>
      </c>
      <c r="C1768" s="46" t="s">
        <v>6418</v>
      </c>
      <c r="D1768" s="48">
        <v>29635</v>
      </c>
      <c r="E1768" s="49">
        <f t="shared" ca="1" si="60"/>
        <v>45.362061782036783</v>
      </c>
      <c r="F1768" s="50">
        <v>155420343</v>
      </c>
      <c r="G1768" s="51" t="s">
        <v>23</v>
      </c>
      <c r="I1768" s="52" t="s">
        <v>23</v>
      </c>
      <c r="J1768" s="46" t="s">
        <v>38</v>
      </c>
      <c r="M1768" s="53" t="s">
        <v>6419</v>
      </c>
      <c r="O1768" s="46" t="s">
        <v>6420</v>
      </c>
    </row>
    <row r="1769" spans="1:21">
      <c r="A1769" s="47">
        <v>28680958</v>
      </c>
      <c r="B1769" s="46" t="s">
        <v>794</v>
      </c>
      <c r="C1769" s="46" t="s">
        <v>2146</v>
      </c>
      <c r="D1769" s="48" t="s">
        <v>52</v>
      </c>
      <c r="E1769" s="49" t="str">
        <f t="shared" ca="1" si="60"/>
        <v/>
      </c>
      <c r="F1769" s="50" t="s">
        <v>2147</v>
      </c>
      <c r="G1769" s="51" t="s">
        <v>78</v>
      </c>
      <c r="H1769" s="52" t="s">
        <v>2148</v>
      </c>
      <c r="I1769" s="52" t="s">
        <v>1881</v>
      </c>
      <c r="J1769" s="46" t="s">
        <v>1717</v>
      </c>
      <c r="K1769" s="46" t="s">
        <v>81</v>
      </c>
      <c r="L1769" s="46" t="s">
        <v>52</v>
      </c>
      <c r="M1769" s="53" t="s">
        <v>2149</v>
      </c>
      <c r="N1769" s="46" t="s">
        <v>2150</v>
      </c>
      <c r="O1769" s="46" t="s">
        <v>52</v>
      </c>
      <c r="P1769" s="46" t="s">
        <v>59</v>
      </c>
      <c r="Q1769" s="46" t="s">
        <v>60</v>
      </c>
      <c r="R1769" s="46" t="s">
        <v>61</v>
      </c>
      <c r="S1769" s="46" t="s">
        <v>62</v>
      </c>
      <c r="T1769" s="46" t="s">
        <v>12</v>
      </c>
      <c r="U1769" s="46" t="s">
        <v>63</v>
      </c>
    </row>
    <row r="1770" spans="1:21">
      <c r="A1770" s="47">
        <v>28681110</v>
      </c>
      <c r="B1770" s="46" t="s">
        <v>218</v>
      </c>
      <c r="C1770" s="46" t="s">
        <v>4200</v>
      </c>
      <c r="E1770" s="49" t="str">
        <f t="shared" ca="1" si="60"/>
        <v/>
      </c>
      <c r="F1770" s="50">
        <v>153526467</v>
      </c>
      <c r="G1770" s="51" t="s">
        <v>23</v>
      </c>
      <c r="I1770" s="52" t="s">
        <v>4181</v>
      </c>
      <c r="M1770" s="53" t="s">
        <v>4201</v>
      </c>
    </row>
    <row r="1771" spans="1:21">
      <c r="A1771" s="47">
        <v>28681684</v>
      </c>
      <c r="B1771" s="46" t="s">
        <v>2642</v>
      </c>
      <c r="C1771" s="46" t="s">
        <v>2643</v>
      </c>
      <c r="D1771" s="48" t="s">
        <v>2644</v>
      </c>
      <c r="E1771" s="49">
        <f t="shared" ca="1" si="60"/>
        <v>45.181358252484969</v>
      </c>
      <c r="F1771" s="50" t="s">
        <v>2645</v>
      </c>
      <c r="G1771" s="51" t="s">
        <v>70</v>
      </c>
      <c r="H1771" s="52" t="s">
        <v>2646</v>
      </c>
      <c r="I1771" s="59" t="s">
        <v>908</v>
      </c>
      <c r="J1771" s="46" t="s">
        <v>2647</v>
      </c>
      <c r="K1771" s="46" t="s">
        <v>81</v>
      </c>
      <c r="L1771" s="46" t="s">
        <v>546</v>
      </c>
      <c r="M1771" s="52" t="s">
        <v>2648</v>
      </c>
      <c r="N1771" s="46" t="s">
        <v>52</v>
      </c>
      <c r="O1771" s="46" t="s">
        <v>52</v>
      </c>
      <c r="P1771" s="46" t="s">
        <v>59</v>
      </c>
      <c r="Q1771" s="46" t="s">
        <v>60</v>
      </c>
      <c r="R1771" s="46" t="s">
        <v>61</v>
      </c>
      <c r="S1771" s="46" t="s">
        <v>62</v>
      </c>
      <c r="T1771" s="46" t="s">
        <v>12</v>
      </c>
      <c r="U1771" s="46" t="s">
        <v>63</v>
      </c>
    </row>
    <row r="1772" spans="1:21">
      <c r="A1772" s="47">
        <v>28681864</v>
      </c>
      <c r="B1772" s="46" t="s">
        <v>2642</v>
      </c>
      <c r="C1772" s="52" t="s">
        <v>2643</v>
      </c>
      <c r="E1772" s="49" t="str">
        <f t="shared" ca="1" si="60"/>
        <v/>
      </c>
      <c r="F1772" s="50">
        <v>155699265</v>
      </c>
      <c r="G1772" s="51" t="s">
        <v>23</v>
      </c>
      <c r="I1772" s="52" t="s">
        <v>23</v>
      </c>
      <c r="M1772" s="53" t="s">
        <v>2648</v>
      </c>
      <c r="N1772" s="55"/>
      <c r="O1772" s="55"/>
    </row>
    <row r="1773" spans="1:21">
      <c r="A1773" s="47">
        <v>28721474</v>
      </c>
      <c r="B1773" s="46" t="s">
        <v>595</v>
      </c>
      <c r="C1773" s="52" t="s">
        <v>1496</v>
      </c>
      <c r="D1773" s="48">
        <v>29706</v>
      </c>
      <c r="E1773" s="49">
        <f t="shared" ca="1" si="60"/>
        <v>45.167668591155284</v>
      </c>
      <c r="F1773" s="50">
        <v>155496441</v>
      </c>
      <c r="G1773" s="51" t="s">
        <v>23</v>
      </c>
      <c r="I1773" s="52" t="s">
        <v>1497</v>
      </c>
      <c r="J1773" s="46" t="s">
        <v>1499</v>
      </c>
      <c r="M1773" s="53" t="s">
        <v>1498</v>
      </c>
      <c r="N1773" s="55"/>
      <c r="O1773" s="55"/>
    </row>
    <row r="1774" spans="1:21">
      <c r="A1774" s="60">
        <v>28721499</v>
      </c>
      <c r="B1774" s="61" t="s">
        <v>359</v>
      </c>
      <c r="C1774" s="62" t="s">
        <v>3301</v>
      </c>
      <c r="D1774" s="48">
        <v>29719</v>
      </c>
      <c r="E1774" s="49">
        <f t="shared" ca="1" si="60"/>
        <v>45.132075471698109</v>
      </c>
      <c r="F1774" s="63"/>
      <c r="G1774" s="51" t="s">
        <v>23</v>
      </c>
      <c r="I1774" s="52" t="s">
        <v>3287</v>
      </c>
      <c r="J1774" s="61" t="s">
        <v>3302</v>
      </c>
      <c r="K1774" s="61"/>
      <c r="L1774" s="61"/>
      <c r="M1774" s="53" t="s">
        <v>3303</v>
      </c>
      <c r="N1774" s="55"/>
      <c r="O1774" s="55"/>
    </row>
    <row r="1775" spans="1:21">
      <c r="A1775" s="47">
        <v>28721630</v>
      </c>
      <c r="B1775" s="46" t="s">
        <v>203</v>
      </c>
      <c r="C1775" s="46" t="s">
        <v>204</v>
      </c>
      <c r="D1775" s="48">
        <v>29750</v>
      </c>
      <c r="E1775" s="49">
        <f t="shared" ca="1" si="60"/>
        <v>45.04719957145408</v>
      </c>
      <c r="F1775" s="50">
        <v>155280641</v>
      </c>
      <c r="G1775" s="51" t="s">
        <v>141</v>
      </c>
      <c r="I1775" s="52" t="s">
        <v>24</v>
      </c>
      <c r="J1775" s="46" t="s">
        <v>205</v>
      </c>
      <c r="M1775" s="53" t="s">
        <v>206</v>
      </c>
      <c r="N1775" s="46">
        <v>4107520</v>
      </c>
      <c r="P1775" s="46">
        <v>3</v>
      </c>
    </row>
    <row r="1776" spans="1:21">
      <c r="A1776" s="47">
        <v>28721914</v>
      </c>
      <c r="B1776" s="46" t="s">
        <v>5198</v>
      </c>
      <c r="C1776" s="46" t="s">
        <v>5199</v>
      </c>
      <c r="D1776" s="48" t="s">
        <v>5200</v>
      </c>
      <c r="E1776" s="49">
        <f t="shared" ca="1" si="60"/>
        <v>44.91304089042319</v>
      </c>
      <c r="F1776" s="50" t="s">
        <v>5201</v>
      </c>
      <c r="G1776" s="51" t="s">
        <v>70</v>
      </c>
      <c r="H1776" s="52" t="s">
        <v>111</v>
      </c>
      <c r="I1776" s="52" t="s">
        <v>5176</v>
      </c>
      <c r="J1776" s="46" t="s">
        <v>470</v>
      </c>
      <c r="K1776" s="46" t="s">
        <v>81</v>
      </c>
      <c r="L1776" s="46" t="s">
        <v>52</v>
      </c>
      <c r="M1776" s="53" t="s">
        <v>5202</v>
      </c>
      <c r="N1776" s="46" t="s">
        <v>5184</v>
      </c>
      <c r="O1776" s="46" t="s">
        <v>5203</v>
      </c>
      <c r="P1776" s="46" t="s">
        <v>59</v>
      </c>
      <c r="Q1776" s="46" t="s">
        <v>60</v>
      </c>
      <c r="R1776" s="46" t="s">
        <v>61</v>
      </c>
      <c r="S1776" s="46" t="s">
        <v>62</v>
      </c>
      <c r="T1776" s="46" t="s">
        <v>12</v>
      </c>
      <c r="U1776" s="46" t="s">
        <v>63</v>
      </c>
    </row>
    <row r="1777" spans="1:21">
      <c r="A1777" s="60">
        <v>28736561</v>
      </c>
      <c r="B1777" s="61" t="s">
        <v>5589</v>
      </c>
      <c r="C1777" s="62" t="s">
        <v>902</v>
      </c>
      <c r="E1777" s="49" t="str">
        <f t="shared" ca="1" si="60"/>
        <v/>
      </c>
      <c r="F1777" s="63">
        <v>153028213</v>
      </c>
      <c r="G1777" s="51" t="s">
        <v>23</v>
      </c>
      <c r="I1777" s="52" t="s">
        <v>23</v>
      </c>
      <c r="J1777" s="61"/>
      <c r="K1777" s="61"/>
      <c r="L1777" s="61"/>
      <c r="M1777" s="53" t="s">
        <v>6181</v>
      </c>
      <c r="N1777" s="55"/>
      <c r="O1777" s="55"/>
    </row>
    <row r="1778" spans="1:21">
      <c r="A1778" s="47">
        <v>28883092</v>
      </c>
      <c r="B1778" s="46" t="s">
        <v>144</v>
      </c>
      <c r="C1778" s="46" t="s">
        <v>6814</v>
      </c>
      <c r="D1778" s="48" t="s">
        <v>52</v>
      </c>
      <c r="E1778" s="49" t="str">
        <f t="shared" ca="1" si="60"/>
        <v/>
      </c>
      <c r="F1778" s="50" t="s">
        <v>6815</v>
      </c>
      <c r="G1778" s="51" t="s">
        <v>78</v>
      </c>
      <c r="H1778" s="52" t="s">
        <v>6816</v>
      </c>
      <c r="I1778" s="52" t="s">
        <v>24</v>
      </c>
      <c r="J1778" s="46" t="s">
        <v>6817</v>
      </c>
      <c r="K1778" s="46" t="s">
        <v>81</v>
      </c>
      <c r="L1778" s="46" t="s">
        <v>546</v>
      </c>
      <c r="M1778" s="52" t="s">
        <v>6818</v>
      </c>
      <c r="N1778" s="46" t="s">
        <v>52</v>
      </c>
      <c r="O1778" s="46" t="s">
        <v>52</v>
      </c>
      <c r="P1778" s="46" t="s">
        <v>59</v>
      </c>
      <c r="Q1778" s="46" t="s">
        <v>60</v>
      </c>
      <c r="R1778" s="46" t="s">
        <v>61</v>
      </c>
      <c r="S1778" s="46" t="s">
        <v>62</v>
      </c>
      <c r="T1778" s="46" t="s">
        <v>12</v>
      </c>
      <c r="U1778" s="46" t="s">
        <v>63</v>
      </c>
    </row>
    <row r="1779" spans="1:21">
      <c r="A1779" s="47">
        <v>28883174</v>
      </c>
      <c r="B1779" s="46" t="s">
        <v>690</v>
      </c>
      <c r="C1779" s="52" t="s">
        <v>1123</v>
      </c>
      <c r="E1779" s="49" t="str">
        <f t="shared" ca="1" si="60"/>
        <v/>
      </c>
      <c r="G1779" s="51" t="s">
        <v>23</v>
      </c>
      <c r="I1779" s="59" t="s">
        <v>908</v>
      </c>
      <c r="J1779" s="46" t="s">
        <v>1124</v>
      </c>
      <c r="M1779" s="53" t="s">
        <v>1125</v>
      </c>
      <c r="N1779" s="55">
        <v>4247752</v>
      </c>
      <c r="O1779" s="55">
        <v>7078</v>
      </c>
    </row>
    <row r="1780" spans="1:21">
      <c r="A1780" s="47">
        <v>28883570</v>
      </c>
      <c r="B1780" s="46" t="s">
        <v>814</v>
      </c>
      <c r="C1780" s="46" t="s">
        <v>815</v>
      </c>
      <c r="D1780" s="48">
        <v>29748</v>
      </c>
      <c r="E1780" s="49">
        <f t="shared" ca="1" si="60"/>
        <v>45.052675435985954</v>
      </c>
      <c r="F1780" s="50">
        <v>156434989</v>
      </c>
      <c r="G1780" s="51" t="s">
        <v>70</v>
      </c>
      <c r="I1780" s="52" t="s">
        <v>808</v>
      </c>
      <c r="J1780" s="46" t="s">
        <v>816</v>
      </c>
      <c r="M1780" s="53" t="s">
        <v>817</v>
      </c>
      <c r="O1780" s="46">
        <v>4247752</v>
      </c>
    </row>
    <row r="1781" spans="1:21">
      <c r="A1781" s="47">
        <v>28883847</v>
      </c>
      <c r="B1781" s="46" t="s">
        <v>350</v>
      </c>
      <c r="C1781" s="52" t="s">
        <v>3022</v>
      </c>
      <c r="D1781" s="48">
        <v>29760</v>
      </c>
      <c r="E1781" s="49">
        <f t="shared" ca="1" si="60"/>
        <v>45.019820248794716</v>
      </c>
      <c r="F1781" s="50">
        <v>154724493</v>
      </c>
      <c r="G1781" s="51" t="s">
        <v>70</v>
      </c>
      <c r="I1781" s="52" t="s">
        <v>2926</v>
      </c>
      <c r="M1781" s="58" t="s">
        <v>25</v>
      </c>
      <c r="N1781" s="55"/>
      <c r="O1781" s="55"/>
    </row>
    <row r="1782" spans="1:21">
      <c r="A1782" s="47">
        <v>28883884</v>
      </c>
      <c r="B1782" s="46" t="s">
        <v>9756</v>
      </c>
      <c r="C1782" s="46" t="s">
        <v>9757</v>
      </c>
      <c r="D1782" s="48" t="s">
        <v>9758</v>
      </c>
      <c r="E1782" s="49" t="s">
        <v>9759</v>
      </c>
      <c r="F1782" s="50" t="s">
        <v>9760</v>
      </c>
      <c r="G1782" s="51" t="s">
        <v>70</v>
      </c>
      <c r="H1782" s="52" t="s">
        <v>9761</v>
      </c>
      <c r="I1782" s="52" t="s">
        <v>908</v>
      </c>
      <c r="J1782" s="46" t="s">
        <v>9748</v>
      </c>
      <c r="K1782" s="46" t="s">
        <v>390</v>
      </c>
      <c r="L1782" s="46" t="s">
        <v>546</v>
      </c>
      <c r="M1782" s="52" t="s">
        <v>9762</v>
      </c>
      <c r="N1782" s="46" t="s">
        <v>52</v>
      </c>
      <c r="O1782" s="46" t="s">
        <v>52</v>
      </c>
      <c r="P1782" s="46" t="s">
        <v>59</v>
      </c>
      <c r="Q1782" s="46" t="s">
        <v>60</v>
      </c>
      <c r="R1782" s="46" t="s">
        <v>61</v>
      </c>
      <c r="S1782" s="46" t="s">
        <v>62</v>
      </c>
      <c r="T1782" s="46" t="s">
        <v>12</v>
      </c>
      <c r="U1782" s="46" t="s">
        <v>63</v>
      </c>
    </row>
    <row r="1783" spans="1:21">
      <c r="A1783" s="47">
        <v>28883892</v>
      </c>
      <c r="B1783" s="46" t="s">
        <v>4196</v>
      </c>
      <c r="C1783" s="52" t="s">
        <v>4197</v>
      </c>
      <c r="D1783" s="48">
        <v>29760</v>
      </c>
      <c r="E1783" s="49">
        <f t="shared" ref="E1783:E1808" ca="1" si="61">IF(D1783="","",YEARFRAC(D1783,TODAY(),1))</f>
        <v>45.019820248794716</v>
      </c>
      <c r="F1783" s="50">
        <v>155392544</v>
      </c>
      <c r="G1783" s="51" t="s">
        <v>23</v>
      </c>
      <c r="I1783" s="52" t="s">
        <v>4181</v>
      </c>
      <c r="J1783" s="46" t="s">
        <v>673</v>
      </c>
      <c r="M1783" s="53" t="s">
        <v>4198</v>
      </c>
      <c r="N1783" s="55"/>
      <c r="O1783" s="55"/>
    </row>
    <row r="1784" spans="1:21">
      <c r="A1784" s="47">
        <v>28884535</v>
      </c>
      <c r="B1784" s="46" t="s">
        <v>146</v>
      </c>
      <c r="C1784" s="52" t="s">
        <v>1672</v>
      </c>
      <c r="D1784" s="48">
        <v>29809</v>
      </c>
      <c r="E1784" s="49">
        <f t="shared" ca="1" si="61"/>
        <v>44.885661567763819</v>
      </c>
      <c r="F1784" s="50">
        <v>154163195</v>
      </c>
      <c r="G1784" s="51" t="s">
        <v>23</v>
      </c>
      <c r="I1784" s="52" t="s">
        <v>5826</v>
      </c>
      <c r="J1784" s="46" t="s">
        <v>48</v>
      </c>
      <c r="M1784" s="53" t="s">
        <v>5833</v>
      </c>
      <c r="N1784" s="55"/>
      <c r="O1784" s="55"/>
    </row>
    <row r="1785" spans="1:21">
      <c r="A1785" s="47">
        <v>28884614</v>
      </c>
      <c r="B1785" s="46" t="s">
        <v>3006</v>
      </c>
      <c r="C1785" s="52" t="s">
        <v>3007</v>
      </c>
      <c r="D1785" s="48" t="s">
        <v>52</v>
      </c>
      <c r="E1785" s="49" t="str">
        <f t="shared" ca="1" si="61"/>
        <v/>
      </c>
      <c r="F1785" s="50" t="s">
        <v>3008</v>
      </c>
      <c r="G1785" s="51" t="s">
        <v>78</v>
      </c>
      <c r="H1785" s="52" t="s">
        <v>3009</v>
      </c>
      <c r="I1785" s="52" t="s">
        <v>2926</v>
      </c>
      <c r="J1785" s="46" t="s">
        <v>417</v>
      </c>
      <c r="K1785" s="46" t="s">
        <v>81</v>
      </c>
      <c r="L1785" s="46" t="s">
        <v>52</v>
      </c>
      <c r="M1785" s="53" t="s">
        <v>3010</v>
      </c>
      <c r="N1785" s="55" t="s">
        <v>3011</v>
      </c>
      <c r="O1785" s="55" t="s">
        <v>52</v>
      </c>
      <c r="P1785" s="46" t="s">
        <v>59</v>
      </c>
      <c r="Q1785" s="46" t="s">
        <v>60</v>
      </c>
      <c r="R1785" s="46" t="s">
        <v>61</v>
      </c>
      <c r="S1785" s="46" t="s">
        <v>62</v>
      </c>
      <c r="T1785" s="46" t="s">
        <v>12</v>
      </c>
      <c r="U1785" s="46" t="s">
        <v>63</v>
      </c>
    </row>
    <row r="1786" spans="1:21">
      <c r="A1786" s="47">
        <v>28893663</v>
      </c>
      <c r="B1786" s="46" t="s">
        <v>4143</v>
      </c>
      <c r="C1786" s="46" t="s">
        <v>4144</v>
      </c>
      <c r="D1786" s="48">
        <v>29803</v>
      </c>
      <c r="E1786" s="49">
        <f t="shared" ca="1" si="61"/>
        <v>44.902089161359442</v>
      </c>
      <c r="F1786" s="50" t="s">
        <v>4145</v>
      </c>
      <c r="G1786" s="51" t="s">
        <v>23</v>
      </c>
      <c r="I1786" s="52" t="s">
        <v>4078</v>
      </c>
      <c r="J1786" s="46" t="s">
        <v>4079</v>
      </c>
      <c r="M1786" s="53" t="s">
        <v>4146</v>
      </c>
      <c r="N1786" s="46">
        <v>3865483797</v>
      </c>
    </row>
    <row r="1787" spans="1:21">
      <c r="A1787" s="47">
        <v>28920031</v>
      </c>
      <c r="B1787" s="46" t="s">
        <v>4170</v>
      </c>
      <c r="C1787" s="46" t="s">
        <v>588</v>
      </c>
      <c r="D1787" s="48" t="s">
        <v>6469</v>
      </c>
      <c r="E1787" s="49">
        <f t="shared" ca="1" si="61"/>
        <v>44.929468484018805</v>
      </c>
      <c r="F1787" s="50" t="s">
        <v>6470</v>
      </c>
      <c r="G1787" s="51" t="s">
        <v>70</v>
      </c>
      <c r="H1787" s="52" t="s">
        <v>6471</v>
      </c>
      <c r="I1787" s="52" t="s">
        <v>23</v>
      </c>
      <c r="J1787" s="46" t="s">
        <v>52</v>
      </c>
      <c r="K1787" s="46" t="s">
        <v>52</v>
      </c>
      <c r="L1787" s="46" t="s">
        <v>546</v>
      </c>
      <c r="M1787" s="52" t="s">
        <v>6472</v>
      </c>
      <c r="N1787" s="46" t="s">
        <v>52</v>
      </c>
      <c r="O1787" s="46" t="s">
        <v>52</v>
      </c>
      <c r="P1787" s="46" t="s">
        <v>59</v>
      </c>
      <c r="Q1787" s="46" t="s">
        <v>60</v>
      </c>
      <c r="R1787" s="46" t="s">
        <v>61</v>
      </c>
      <c r="S1787" s="46" t="s">
        <v>62</v>
      </c>
      <c r="T1787" s="46" t="s">
        <v>12</v>
      </c>
      <c r="U1787" s="46" t="s">
        <v>63</v>
      </c>
    </row>
    <row r="1788" spans="1:21">
      <c r="A1788" s="47">
        <v>28966239</v>
      </c>
      <c r="B1788" s="46" t="s">
        <v>652</v>
      </c>
      <c r="C1788" s="46" t="s">
        <v>6110</v>
      </c>
      <c r="E1788" s="49" t="str">
        <f t="shared" ca="1" si="61"/>
        <v/>
      </c>
      <c r="F1788" s="50">
        <v>154759108</v>
      </c>
      <c r="G1788" s="51" t="s">
        <v>23</v>
      </c>
      <c r="I1788" s="52" t="s">
        <v>23</v>
      </c>
      <c r="M1788" s="58" t="s">
        <v>25</v>
      </c>
    </row>
    <row r="1789" spans="1:21">
      <c r="A1789" s="47">
        <v>29024358</v>
      </c>
      <c r="B1789" s="46" t="s">
        <v>1574</v>
      </c>
      <c r="C1789" s="55" t="s">
        <v>1575</v>
      </c>
      <c r="D1789" s="48" t="s">
        <v>52</v>
      </c>
      <c r="E1789" s="49" t="str">
        <f t="shared" ca="1" si="61"/>
        <v/>
      </c>
      <c r="F1789" s="50" t="s">
        <v>1576</v>
      </c>
      <c r="G1789" s="51" t="s">
        <v>78</v>
      </c>
      <c r="H1789" s="52" t="s">
        <v>1577</v>
      </c>
      <c r="I1789" s="52" t="s">
        <v>1497</v>
      </c>
      <c r="J1789" s="55" t="s">
        <v>1578</v>
      </c>
      <c r="K1789" s="55" t="s">
        <v>81</v>
      </c>
      <c r="L1789" s="55" t="s">
        <v>52</v>
      </c>
      <c r="M1789" s="53" t="s">
        <v>1579</v>
      </c>
      <c r="N1789" s="55" t="s">
        <v>1580</v>
      </c>
      <c r="O1789" s="55" t="s">
        <v>1581</v>
      </c>
      <c r="P1789" s="46" t="s">
        <v>59</v>
      </c>
      <c r="Q1789" s="46" t="s">
        <v>60</v>
      </c>
      <c r="R1789" s="46" t="s">
        <v>61</v>
      </c>
      <c r="S1789" s="46" t="s">
        <v>62</v>
      </c>
      <c r="T1789" s="46" t="s">
        <v>12</v>
      </c>
      <c r="U1789" s="46" t="s">
        <v>63</v>
      </c>
    </row>
    <row r="1790" spans="1:21">
      <c r="A1790" s="47">
        <v>29026236</v>
      </c>
      <c r="B1790" s="46" t="s">
        <v>315</v>
      </c>
      <c r="C1790" s="52" t="s">
        <v>902</v>
      </c>
      <c r="D1790" s="48">
        <v>29839</v>
      </c>
      <c r="E1790" s="49">
        <f t="shared" ca="1" si="61"/>
        <v>44.803523599785727</v>
      </c>
      <c r="F1790" s="50">
        <v>155399857</v>
      </c>
      <c r="G1790" s="51" t="s">
        <v>23</v>
      </c>
      <c r="I1790" s="52" t="s">
        <v>23</v>
      </c>
      <c r="J1790" s="46" t="s">
        <v>48</v>
      </c>
      <c r="M1790" s="53" t="s">
        <v>6258</v>
      </c>
      <c r="N1790" s="55"/>
      <c r="O1790" s="55"/>
    </row>
    <row r="1791" spans="1:21">
      <c r="A1791" s="47">
        <v>29026280</v>
      </c>
      <c r="B1791" s="46" t="s">
        <v>2294</v>
      </c>
      <c r="C1791" s="55" t="s">
        <v>129</v>
      </c>
      <c r="D1791" s="48">
        <v>29886</v>
      </c>
      <c r="E1791" s="49">
        <f t="shared" ca="1" si="61"/>
        <v>44.674840783286704</v>
      </c>
      <c r="F1791" s="50">
        <v>155522687</v>
      </c>
      <c r="G1791" s="51" t="s">
        <v>352</v>
      </c>
      <c r="I1791" s="52" t="s">
        <v>23</v>
      </c>
      <c r="J1791" s="55"/>
      <c r="K1791" s="55"/>
      <c r="L1791" s="55"/>
      <c r="M1791" s="53" t="s">
        <v>6435</v>
      </c>
      <c r="N1791" s="55">
        <v>4247752</v>
      </c>
      <c r="O1791" s="55">
        <v>7114</v>
      </c>
    </row>
    <row r="1792" spans="1:21">
      <c r="A1792" s="47">
        <v>29033241</v>
      </c>
      <c r="B1792" s="46" t="s">
        <v>5979</v>
      </c>
      <c r="C1792" s="52" t="s">
        <v>5980</v>
      </c>
      <c r="E1792" s="49" t="str">
        <f t="shared" ca="1" si="61"/>
        <v/>
      </c>
      <c r="G1792" s="51" t="s">
        <v>23</v>
      </c>
      <c r="I1792" s="52" t="s">
        <v>23</v>
      </c>
      <c r="M1792" s="58" t="s">
        <v>25</v>
      </c>
      <c r="N1792" s="55"/>
      <c r="O1792" s="55"/>
    </row>
    <row r="1793" spans="1:21">
      <c r="A1793" s="47">
        <v>29060073</v>
      </c>
      <c r="B1793" s="46" t="s">
        <v>4836</v>
      </c>
      <c r="C1793" s="46" t="s">
        <v>1061</v>
      </c>
      <c r="D1793" s="48" t="s">
        <v>52</v>
      </c>
      <c r="E1793" s="49" t="str">
        <f t="shared" ca="1" si="61"/>
        <v/>
      </c>
      <c r="F1793" s="50" t="s">
        <v>4837</v>
      </c>
      <c r="G1793" s="51" t="s">
        <v>70</v>
      </c>
      <c r="H1793" s="52" t="s">
        <v>4838</v>
      </c>
      <c r="I1793" s="52" t="s">
        <v>4815</v>
      </c>
      <c r="J1793" s="46" t="s">
        <v>4839</v>
      </c>
      <c r="K1793" s="46" t="s">
        <v>52</v>
      </c>
      <c r="L1793" s="46" t="s">
        <v>52</v>
      </c>
      <c r="M1793" s="53" t="s">
        <v>4840</v>
      </c>
      <c r="N1793" s="46" t="s">
        <v>4841</v>
      </c>
      <c r="O1793" s="46" t="s">
        <v>52</v>
      </c>
      <c r="P1793" s="46" t="s">
        <v>59</v>
      </c>
      <c r="Q1793" s="46" t="s">
        <v>60</v>
      </c>
      <c r="R1793" s="46" t="s">
        <v>61</v>
      </c>
      <c r="S1793" s="46" t="s">
        <v>62</v>
      </c>
      <c r="T1793" s="46" t="s">
        <v>12</v>
      </c>
      <c r="U1793" s="46" t="s">
        <v>63</v>
      </c>
    </row>
    <row r="1794" spans="1:21">
      <c r="A1794" s="47">
        <v>29060415</v>
      </c>
      <c r="B1794" s="46" t="s">
        <v>94</v>
      </c>
      <c r="C1794" s="46" t="s">
        <v>455</v>
      </c>
      <c r="D1794" s="48" t="s">
        <v>52</v>
      </c>
      <c r="E1794" s="49" t="str">
        <f t="shared" ca="1" si="61"/>
        <v/>
      </c>
      <c r="F1794" s="50" t="s">
        <v>4814</v>
      </c>
      <c r="G1794" s="51" t="s">
        <v>86</v>
      </c>
      <c r="H1794" s="52" t="s">
        <v>52</v>
      </c>
      <c r="I1794" s="52" t="s">
        <v>4815</v>
      </c>
      <c r="J1794" s="46" t="s">
        <v>4816</v>
      </c>
      <c r="K1794" s="46" t="s">
        <v>81</v>
      </c>
      <c r="L1794" s="46" t="s">
        <v>52</v>
      </c>
      <c r="M1794" s="53" t="s">
        <v>4817</v>
      </c>
      <c r="N1794" s="46" t="s">
        <v>52</v>
      </c>
      <c r="O1794" s="46" t="s">
        <v>52</v>
      </c>
      <c r="P1794" s="46" t="s">
        <v>59</v>
      </c>
      <c r="Q1794" s="46" t="s">
        <v>60</v>
      </c>
      <c r="R1794" s="46" t="s">
        <v>61</v>
      </c>
      <c r="S1794" s="46" t="s">
        <v>62</v>
      </c>
      <c r="T1794" s="46" t="s">
        <v>12</v>
      </c>
      <c r="U1794" s="46" t="s">
        <v>63</v>
      </c>
    </row>
    <row r="1795" spans="1:21">
      <c r="A1795" s="47">
        <v>29060429</v>
      </c>
      <c r="B1795" s="46" t="s">
        <v>6079</v>
      </c>
      <c r="C1795" s="52" t="s">
        <v>6080</v>
      </c>
      <c r="D1795" s="48">
        <v>29850</v>
      </c>
      <c r="E1795" s="49">
        <f t="shared" ca="1" si="61"/>
        <v>44.773406344860426</v>
      </c>
      <c r="F1795" s="50">
        <v>155479715</v>
      </c>
      <c r="G1795" s="51" t="s">
        <v>23</v>
      </c>
      <c r="I1795" s="52" t="s">
        <v>23</v>
      </c>
      <c r="J1795" s="46" t="s">
        <v>38</v>
      </c>
      <c r="M1795" s="53" t="s">
        <v>6081</v>
      </c>
      <c r="N1795" s="55">
        <v>4247752</v>
      </c>
      <c r="O1795" s="55">
        <v>7146</v>
      </c>
    </row>
    <row r="1796" spans="1:21">
      <c r="A1796" s="47">
        <v>29060912</v>
      </c>
      <c r="B1796" s="46" t="s">
        <v>760</v>
      </c>
      <c r="C1796" s="46" t="s">
        <v>4373</v>
      </c>
      <c r="D1796" s="48" t="s">
        <v>52</v>
      </c>
      <c r="E1796" s="49" t="str">
        <f t="shared" ca="1" si="61"/>
        <v/>
      </c>
      <c r="F1796" s="50" t="s">
        <v>5927</v>
      </c>
      <c r="G1796" s="51" t="s">
        <v>70</v>
      </c>
      <c r="H1796" s="52" t="s">
        <v>1260</v>
      </c>
      <c r="I1796" s="52" t="s">
        <v>5881</v>
      </c>
      <c r="J1796" s="46" t="s">
        <v>5928</v>
      </c>
      <c r="K1796" s="46" t="s">
        <v>81</v>
      </c>
      <c r="L1796" s="46" t="s">
        <v>546</v>
      </c>
      <c r="M1796" s="52" t="s">
        <v>5929</v>
      </c>
      <c r="N1796" s="46" t="s">
        <v>931</v>
      </c>
      <c r="O1796" s="46" t="s">
        <v>52</v>
      </c>
      <c r="P1796" s="46" t="s">
        <v>59</v>
      </c>
      <c r="Q1796" s="46" t="s">
        <v>60</v>
      </c>
      <c r="R1796" s="46" t="s">
        <v>61</v>
      </c>
      <c r="S1796" s="46" t="s">
        <v>62</v>
      </c>
      <c r="T1796" s="46" t="s">
        <v>12</v>
      </c>
      <c r="U1796" s="46" t="s">
        <v>63</v>
      </c>
    </row>
    <row r="1797" spans="1:21">
      <c r="A1797" s="47">
        <v>29061095</v>
      </c>
      <c r="B1797" s="46" t="s">
        <v>1864</v>
      </c>
      <c r="C1797" s="46" t="s">
        <v>1585</v>
      </c>
      <c r="D1797" s="48" t="s">
        <v>52</v>
      </c>
      <c r="E1797" s="49" t="str">
        <f t="shared" ca="1" si="61"/>
        <v/>
      </c>
      <c r="F1797" s="50" t="s">
        <v>1865</v>
      </c>
      <c r="G1797" s="51" t="s">
        <v>70</v>
      </c>
      <c r="H1797" s="52" t="s">
        <v>52</v>
      </c>
      <c r="I1797" s="52" t="s">
        <v>1657</v>
      </c>
      <c r="J1797" s="46" t="s">
        <v>52</v>
      </c>
      <c r="K1797" s="46" t="s">
        <v>57</v>
      </c>
      <c r="L1797" s="46" t="s">
        <v>52</v>
      </c>
      <c r="M1797" s="58" t="s">
        <v>1866</v>
      </c>
      <c r="N1797" s="46" t="s">
        <v>52</v>
      </c>
      <c r="O1797" s="46" t="s">
        <v>52</v>
      </c>
      <c r="P1797" s="46" t="s">
        <v>59</v>
      </c>
      <c r="Q1797" s="46" t="s">
        <v>60</v>
      </c>
      <c r="R1797" s="46" t="s">
        <v>61</v>
      </c>
      <c r="S1797" s="46" t="s">
        <v>62</v>
      </c>
      <c r="T1797" s="46" t="s">
        <v>12</v>
      </c>
      <c r="U1797" s="46" t="s">
        <v>63</v>
      </c>
    </row>
    <row r="1798" spans="1:21">
      <c r="A1798" s="64">
        <v>29061378</v>
      </c>
      <c r="B1798" s="61" t="s">
        <v>5974</v>
      </c>
      <c r="C1798" s="62" t="s">
        <v>5977</v>
      </c>
      <c r="D1798" s="48">
        <v>29890</v>
      </c>
      <c r="E1798" s="49">
        <f t="shared" ca="1" si="61"/>
        <v>44.663889054222963</v>
      </c>
      <c r="F1798" s="63">
        <v>155751972</v>
      </c>
      <c r="G1798" s="51" t="s">
        <v>23</v>
      </c>
      <c r="I1798" s="52" t="s">
        <v>23</v>
      </c>
      <c r="J1798" s="61" t="s">
        <v>48</v>
      </c>
      <c r="K1798" s="61"/>
      <c r="L1798" s="61"/>
      <c r="M1798" s="53" t="s">
        <v>5978</v>
      </c>
      <c r="N1798" s="55"/>
      <c r="O1798" s="55"/>
    </row>
    <row r="1799" spans="1:21">
      <c r="A1799" s="47">
        <v>29073625</v>
      </c>
      <c r="B1799" s="46" t="s">
        <v>350</v>
      </c>
      <c r="C1799" s="52" t="s">
        <v>2557</v>
      </c>
      <c r="D1799" s="48">
        <v>21050</v>
      </c>
      <c r="E1799" s="49">
        <f t="shared" ca="1" si="61"/>
        <v>68.866507607462751</v>
      </c>
      <c r="F1799" s="50">
        <v>154649509</v>
      </c>
      <c r="G1799" s="51" t="s">
        <v>23</v>
      </c>
      <c r="I1799" s="52" t="s">
        <v>3166</v>
      </c>
      <c r="J1799" s="46" t="s">
        <v>3249</v>
      </c>
      <c r="M1799" s="58" t="s">
        <v>25</v>
      </c>
      <c r="N1799" s="55"/>
      <c r="O1799" s="55"/>
    </row>
    <row r="1800" spans="1:21">
      <c r="A1800" s="47">
        <v>29085118</v>
      </c>
      <c r="B1800" s="46" t="s">
        <v>4191</v>
      </c>
      <c r="C1800" s="46" t="s">
        <v>6021</v>
      </c>
      <c r="E1800" s="49" t="str">
        <f t="shared" ca="1" si="61"/>
        <v/>
      </c>
      <c r="G1800" s="51" t="s">
        <v>23</v>
      </c>
      <c r="I1800" s="52" t="s">
        <v>23</v>
      </c>
      <c r="M1800" s="58" t="s">
        <v>25</v>
      </c>
    </row>
    <row r="1801" spans="1:21">
      <c r="A1801" s="47">
        <v>29102855</v>
      </c>
      <c r="B1801" s="46" t="s">
        <v>7152</v>
      </c>
      <c r="C1801" s="46" t="s">
        <v>5335</v>
      </c>
      <c r="D1801" s="48" t="s">
        <v>52</v>
      </c>
      <c r="E1801" s="49" t="str">
        <f t="shared" ca="1" si="61"/>
        <v/>
      </c>
      <c r="F1801" s="50" t="s">
        <v>5336</v>
      </c>
      <c r="G1801" s="51" t="s">
        <v>141</v>
      </c>
      <c r="H1801" s="52" t="s">
        <v>52</v>
      </c>
      <c r="I1801" s="52" t="s">
        <v>5304</v>
      </c>
      <c r="J1801" s="46" t="s">
        <v>5337</v>
      </c>
      <c r="K1801" s="46" t="s">
        <v>81</v>
      </c>
      <c r="L1801" s="46" t="s">
        <v>52</v>
      </c>
      <c r="M1801" s="53" t="s">
        <v>5338</v>
      </c>
      <c r="N1801" s="46" t="s">
        <v>5339</v>
      </c>
      <c r="O1801" s="46" t="s">
        <v>5340</v>
      </c>
      <c r="P1801" s="46" t="s">
        <v>59</v>
      </c>
      <c r="Q1801" s="46" t="s">
        <v>60</v>
      </c>
      <c r="R1801" s="46" t="s">
        <v>61</v>
      </c>
      <c r="S1801" s="46" t="s">
        <v>62</v>
      </c>
      <c r="T1801" s="46" t="s">
        <v>12</v>
      </c>
      <c r="U1801" s="46" t="s">
        <v>63</v>
      </c>
    </row>
    <row r="1802" spans="1:21">
      <c r="A1802" s="47">
        <v>29127108</v>
      </c>
      <c r="B1802" s="46" t="s">
        <v>2941</v>
      </c>
      <c r="C1802" s="46" t="s">
        <v>2942</v>
      </c>
      <c r="D1802" s="48" t="s">
        <v>2943</v>
      </c>
      <c r="E1802" s="49">
        <f t="shared" ca="1" si="61"/>
        <v>44.535206237723941</v>
      </c>
      <c r="F1802" s="50" t="s">
        <v>2944</v>
      </c>
      <c r="G1802" s="51" t="s">
        <v>70</v>
      </c>
      <c r="H1802" s="52" t="s">
        <v>2945</v>
      </c>
      <c r="I1802" s="52" t="s">
        <v>2926</v>
      </c>
      <c r="J1802" s="46" t="s">
        <v>52</v>
      </c>
      <c r="K1802" s="46" t="s">
        <v>112</v>
      </c>
      <c r="L1802" s="46" t="s">
        <v>52</v>
      </c>
      <c r="M1802" s="52" t="s">
        <v>2946</v>
      </c>
      <c r="N1802" s="46" t="s">
        <v>52</v>
      </c>
      <c r="O1802" s="46" t="s">
        <v>52</v>
      </c>
      <c r="P1802" s="46" t="s">
        <v>59</v>
      </c>
      <c r="Q1802" s="46" t="s">
        <v>60</v>
      </c>
      <c r="R1802" s="46" t="s">
        <v>61</v>
      </c>
      <c r="S1802" s="46" t="s">
        <v>62</v>
      </c>
      <c r="T1802" s="46" t="s">
        <v>12</v>
      </c>
      <c r="U1802" s="46" t="s">
        <v>63</v>
      </c>
    </row>
    <row r="1803" spans="1:21">
      <c r="A1803" s="47">
        <v>29175472</v>
      </c>
      <c r="B1803" s="46" t="s">
        <v>138</v>
      </c>
      <c r="C1803" s="52" t="s">
        <v>139</v>
      </c>
      <c r="D1803" s="48" t="s">
        <v>52</v>
      </c>
      <c r="E1803" s="49" t="str">
        <f t="shared" ca="1" si="61"/>
        <v/>
      </c>
      <c r="F1803" s="50" t="s">
        <v>140</v>
      </c>
      <c r="G1803" s="51" t="s">
        <v>141</v>
      </c>
      <c r="H1803" s="52" t="s">
        <v>52</v>
      </c>
      <c r="I1803" s="52" t="s">
        <v>24</v>
      </c>
      <c r="J1803" s="46" t="s">
        <v>48</v>
      </c>
      <c r="K1803" s="46" t="s">
        <v>81</v>
      </c>
      <c r="L1803" s="46" t="s">
        <v>52</v>
      </c>
      <c r="M1803" s="53" t="s">
        <v>142</v>
      </c>
      <c r="N1803" s="55" t="s">
        <v>143</v>
      </c>
      <c r="O1803" s="55" t="s">
        <v>52</v>
      </c>
      <c r="P1803" s="46" t="s">
        <v>59</v>
      </c>
      <c r="Q1803" s="46" t="s">
        <v>60</v>
      </c>
      <c r="R1803" s="46" t="s">
        <v>61</v>
      </c>
      <c r="S1803" s="46" t="s">
        <v>62</v>
      </c>
      <c r="T1803" s="46" t="s">
        <v>12</v>
      </c>
      <c r="U1803" s="46" t="s">
        <v>63</v>
      </c>
    </row>
    <row r="1804" spans="1:21">
      <c r="A1804" s="47">
        <v>29175641</v>
      </c>
      <c r="B1804" s="46" t="s">
        <v>511</v>
      </c>
      <c r="C1804" s="46" t="s">
        <v>512</v>
      </c>
      <c r="D1804" s="48" t="s">
        <v>513</v>
      </c>
      <c r="E1804" s="49">
        <f t="shared" ca="1" si="61"/>
        <v>44.482538330494037</v>
      </c>
      <c r="F1804" s="50" t="s">
        <v>515</v>
      </c>
      <c r="G1804" s="51" t="s">
        <v>70</v>
      </c>
      <c r="H1804" s="52" t="s">
        <v>516</v>
      </c>
      <c r="I1804" s="52" t="s">
        <v>24</v>
      </c>
      <c r="J1804" s="46" t="s">
        <v>517</v>
      </c>
      <c r="K1804" s="46" t="s">
        <v>390</v>
      </c>
      <c r="L1804" s="46" t="s">
        <v>52</v>
      </c>
      <c r="M1804" s="52" t="s">
        <v>518</v>
      </c>
      <c r="N1804" s="46" t="s">
        <v>519</v>
      </c>
      <c r="O1804" s="46" t="s">
        <v>52</v>
      </c>
      <c r="P1804" s="46" t="s">
        <v>59</v>
      </c>
      <c r="Q1804" s="46" t="s">
        <v>60</v>
      </c>
      <c r="R1804" s="46" t="s">
        <v>61</v>
      </c>
      <c r="S1804" s="46" t="s">
        <v>62</v>
      </c>
      <c r="T1804" s="46" t="s">
        <v>12</v>
      </c>
      <c r="U1804" s="46" t="s">
        <v>63</v>
      </c>
    </row>
    <row r="1805" spans="1:21">
      <c r="A1805" s="66">
        <v>29183556</v>
      </c>
      <c r="B1805" s="67" t="s">
        <v>128</v>
      </c>
      <c r="C1805" s="52" t="s">
        <v>129</v>
      </c>
      <c r="D1805" s="48">
        <v>29929</v>
      </c>
      <c r="E1805" s="49">
        <f t="shared" ca="1" si="61"/>
        <v>44.557109695851437</v>
      </c>
      <c r="F1805" s="57">
        <v>155186758</v>
      </c>
      <c r="G1805" s="51" t="s">
        <v>23</v>
      </c>
      <c r="I1805" s="52" t="s">
        <v>24</v>
      </c>
      <c r="M1805" s="58" t="s">
        <v>25</v>
      </c>
      <c r="N1805" s="55"/>
      <c r="O1805" s="55"/>
    </row>
    <row r="1806" spans="1:21">
      <c r="A1806" s="47">
        <v>29183945</v>
      </c>
      <c r="B1806" s="46" t="s">
        <v>2731</v>
      </c>
      <c r="C1806" s="46" t="s">
        <v>2732</v>
      </c>
      <c r="D1806" s="48" t="s">
        <v>2733</v>
      </c>
      <c r="E1806" s="49">
        <f t="shared" ca="1" si="61"/>
        <v>44.383974202969092</v>
      </c>
      <c r="F1806" s="50" t="s">
        <v>2734</v>
      </c>
      <c r="G1806" s="51" t="s">
        <v>78</v>
      </c>
      <c r="H1806" s="52" t="s">
        <v>52</v>
      </c>
      <c r="I1806" s="52" t="s">
        <v>2720</v>
      </c>
      <c r="J1806" s="46" t="s">
        <v>2735</v>
      </c>
      <c r="K1806" s="46" t="s">
        <v>81</v>
      </c>
      <c r="L1806" s="46" t="s">
        <v>52</v>
      </c>
      <c r="M1806" s="53" t="s">
        <v>2736</v>
      </c>
      <c r="N1806" s="46" t="s">
        <v>2729</v>
      </c>
      <c r="O1806" s="46" t="s">
        <v>2730</v>
      </c>
      <c r="P1806" s="46" t="s">
        <v>59</v>
      </c>
      <c r="Q1806" s="46" t="s">
        <v>60</v>
      </c>
      <c r="R1806" s="46" t="s">
        <v>61</v>
      </c>
      <c r="S1806" s="46" t="s">
        <v>62</v>
      </c>
      <c r="T1806" s="46" t="s">
        <v>12</v>
      </c>
      <c r="U1806" s="46" t="s">
        <v>63</v>
      </c>
    </row>
    <row r="1807" spans="1:21">
      <c r="A1807" s="66">
        <v>29200647</v>
      </c>
      <c r="B1807" s="67" t="s">
        <v>467</v>
      </c>
      <c r="C1807" s="52" t="s">
        <v>468</v>
      </c>
      <c r="E1807" s="49" t="str">
        <f t="shared" ca="1" si="61"/>
        <v/>
      </c>
      <c r="F1807" s="57">
        <v>154422074</v>
      </c>
      <c r="G1807" s="51" t="s">
        <v>23</v>
      </c>
      <c r="I1807" s="52" t="s">
        <v>24</v>
      </c>
      <c r="M1807" s="58" t="s">
        <v>25</v>
      </c>
      <c r="N1807" s="55"/>
      <c r="O1807" s="55"/>
    </row>
    <row r="1808" spans="1:21">
      <c r="A1808" s="47">
        <v>29206623</v>
      </c>
      <c r="B1808" s="46" t="s">
        <v>4947</v>
      </c>
      <c r="C1808" s="46" t="s">
        <v>4948</v>
      </c>
      <c r="D1808" s="48" t="s">
        <v>52</v>
      </c>
      <c r="E1808" s="49" t="str">
        <f t="shared" ca="1" si="61"/>
        <v/>
      </c>
      <c r="F1808" s="50" t="s">
        <v>4949</v>
      </c>
      <c r="G1808" s="51" t="s">
        <v>141</v>
      </c>
      <c r="H1808" s="52" t="s">
        <v>52</v>
      </c>
      <c r="I1808" s="52" t="s">
        <v>4815</v>
      </c>
      <c r="J1808" s="46" t="s">
        <v>4950</v>
      </c>
      <c r="K1808" s="46" t="s">
        <v>81</v>
      </c>
      <c r="L1808" s="46" t="s">
        <v>546</v>
      </c>
      <c r="M1808" s="52" t="s">
        <v>4951</v>
      </c>
      <c r="N1808" s="46" t="s">
        <v>4927</v>
      </c>
      <c r="O1808" s="46" t="s">
        <v>52</v>
      </c>
      <c r="P1808" s="46" t="s">
        <v>59</v>
      </c>
      <c r="Q1808" s="46" t="s">
        <v>60</v>
      </c>
      <c r="R1808" s="46" t="s">
        <v>61</v>
      </c>
      <c r="S1808" s="46" t="s">
        <v>62</v>
      </c>
      <c r="T1808" s="46" t="s">
        <v>12</v>
      </c>
      <c r="U1808" s="46" t="s">
        <v>63</v>
      </c>
    </row>
    <row r="1809" spans="1:21">
      <c r="A1809" s="74">
        <v>29242462</v>
      </c>
      <c r="B1809" s="234" t="s">
        <v>8287</v>
      </c>
      <c r="C1809" s="234" t="s">
        <v>9879</v>
      </c>
      <c r="D1809" s="235">
        <v>45553</v>
      </c>
      <c r="E1809" s="236"/>
      <c r="F1809" s="237">
        <v>3815035679</v>
      </c>
      <c r="G1809" s="234" t="s">
        <v>141</v>
      </c>
      <c r="H1809" s="238" t="s">
        <v>9952</v>
      </c>
      <c r="I1809" s="265" t="s">
        <v>6530</v>
      </c>
      <c r="J1809" s="234" t="s">
        <v>9988</v>
      </c>
      <c r="K1809" s="234" t="s">
        <v>2002</v>
      </c>
      <c r="L1809" s="234"/>
      <c r="M1809" s="238" t="s">
        <v>9922</v>
      </c>
      <c r="N1809" s="234"/>
      <c r="O1809" s="234"/>
      <c r="P1809" s="234"/>
      <c r="Q1809" s="234"/>
      <c r="R1809" s="234"/>
      <c r="S1809" s="234"/>
      <c r="T1809" s="234"/>
      <c r="U1809" s="234"/>
    </row>
    <row r="1810" spans="1:21">
      <c r="A1810" s="47">
        <v>29290647</v>
      </c>
      <c r="B1810" s="46" t="s">
        <v>467</v>
      </c>
      <c r="C1810" s="46" t="s">
        <v>469</v>
      </c>
      <c r="D1810" s="48">
        <v>30180</v>
      </c>
      <c r="E1810" s="49">
        <f ca="1">IF(D1810="","",YEARFRAC(D1810,TODAY(),1))</f>
        <v>43.869250425894379</v>
      </c>
      <c r="F1810" s="50">
        <v>154053004</v>
      </c>
      <c r="G1810" s="51" t="s">
        <v>37</v>
      </c>
      <c r="I1810" s="52" t="s">
        <v>24</v>
      </c>
      <c r="J1810" s="46" t="s">
        <v>470</v>
      </c>
      <c r="M1810" s="53" t="s">
        <v>471</v>
      </c>
    </row>
    <row r="1811" spans="1:21">
      <c r="A1811" s="47">
        <v>29310568</v>
      </c>
      <c r="B1811" s="46" t="s">
        <v>1286</v>
      </c>
      <c r="C1811" s="46" t="s">
        <v>3317</v>
      </c>
      <c r="E1811" s="49" t="str">
        <f ca="1">IF(D1811="","",YEARFRAC(D1811,TODAY(),1))</f>
        <v/>
      </c>
      <c r="F1811" s="50">
        <v>154453880</v>
      </c>
      <c r="G1811" s="51" t="s">
        <v>23</v>
      </c>
      <c r="I1811" s="52" t="s">
        <v>3287</v>
      </c>
      <c r="M1811" s="58" t="s">
        <v>25</v>
      </c>
    </row>
    <row r="1812" spans="1:21">
      <c r="A1812" s="47">
        <v>29310871</v>
      </c>
      <c r="B1812" s="46" t="s">
        <v>1964</v>
      </c>
      <c r="C1812" s="46" t="s">
        <v>4721</v>
      </c>
      <c r="D1812" s="48">
        <v>30207</v>
      </c>
      <c r="E1812" s="49">
        <f ca="1">IF(D1812="","",YEARFRAC(D1812,TODAY(),1))</f>
        <v>43.795327330250664</v>
      </c>
      <c r="F1812" s="50">
        <v>154425725</v>
      </c>
      <c r="G1812" s="51" t="s">
        <v>23</v>
      </c>
      <c r="I1812" s="65" t="s">
        <v>4708</v>
      </c>
      <c r="J1812" s="46" t="s">
        <v>38</v>
      </c>
      <c r="M1812" s="53" t="s">
        <v>4722</v>
      </c>
      <c r="N1812" s="46">
        <v>4847390</v>
      </c>
      <c r="O1812" s="46">
        <v>7390</v>
      </c>
    </row>
    <row r="1813" spans="1:21">
      <c r="A1813" s="47">
        <v>29338236</v>
      </c>
      <c r="B1813" s="46" t="s">
        <v>1148</v>
      </c>
      <c r="C1813" s="52" t="s">
        <v>1149</v>
      </c>
      <c r="D1813" s="48">
        <v>29987</v>
      </c>
      <c r="E1813" s="49">
        <f ca="1">IF(D1813="","",YEARFRAC(D1813,TODAY(),1))</f>
        <v>44.397663665125329</v>
      </c>
      <c r="G1813" s="51" t="s">
        <v>23</v>
      </c>
      <c r="I1813" s="59" t="s">
        <v>908</v>
      </c>
      <c r="J1813" s="46" t="s">
        <v>1150</v>
      </c>
      <c r="M1813" s="53" t="s">
        <v>1151</v>
      </c>
      <c r="N1813" s="55"/>
      <c r="O1813" s="55"/>
    </row>
    <row r="1814" spans="1:21">
      <c r="A1814" s="47">
        <v>29338521</v>
      </c>
      <c r="B1814" s="69" t="s">
        <v>8787</v>
      </c>
      <c r="C1814" s="70" t="s">
        <v>30</v>
      </c>
      <c r="D1814" s="48">
        <v>30002</v>
      </c>
      <c r="E1814" s="49">
        <f ca="1">IF(D1814="","",YEARFRAC(D1814,TODAY(),1))</f>
        <v>44.356595278656606</v>
      </c>
      <c r="F1814" s="50">
        <v>154019540</v>
      </c>
      <c r="G1814" s="51" t="s">
        <v>23</v>
      </c>
      <c r="I1814" s="52" t="s">
        <v>5494</v>
      </c>
      <c r="J1814" s="46" t="s">
        <v>5564</v>
      </c>
      <c r="M1814" s="53" t="s">
        <v>5565</v>
      </c>
      <c r="N1814" s="55">
        <v>4526343</v>
      </c>
      <c r="O1814" s="55"/>
    </row>
    <row r="1815" spans="1:21">
      <c r="A1815" s="47">
        <v>29338688</v>
      </c>
      <c r="B1815" s="46" t="s">
        <v>9581</v>
      </c>
      <c r="C1815" s="46" t="s">
        <v>9582</v>
      </c>
      <c r="D1815" s="48" t="s">
        <v>9583</v>
      </c>
      <c r="E1815" s="49" t="s">
        <v>9538</v>
      </c>
      <c r="F1815" s="50" t="s">
        <v>9584</v>
      </c>
      <c r="G1815" s="51" t="s">
        <v>141</v>
      </c>
      <c r="H1815" s="52" t="s">
        <v>52</v>
      </c>
      <c r="I1815" s="52" t="s">
        <v>4245</v>
      </c>
      <c r="J1815" s="46" t="s">
        <v>52</v>
      </c>
      <c r="K1815" s="46" t="s">
        <v>52</v>
      </c>
      <c r="L1815" s="46" t="s">
        <v>546</v>
      </c>
      <c r="M1815" s="52" t="s">
        <v>9585</v>
      </c>
      <c r="N1815" s="46" t="s">
        <v>52</v>
      </c>
      <c r="O1815" s="46" t="s">
        <v>52</v>
      </c>
      <c r="P1815" s="46" t="s">
        <v>59</v>
      </c>
      <c r="Q1815" s="46" t="s">
        <v>60</v>
      </c>
      <c r="R1815" s="46" t="s">
        <v>61</v>
      </c>
      <c r="S1815" s="46" t="s">
        <v>62</v>
      </c>
      <c r="T1815" s="46" t="s">
        <v>12</v>
      </c>
      <c r="U1815" s="46" t="s">
        <v>63</v>
      </c>
    </row>
    <row r="1816" spans="1:21">
      <c r="A1816" s="47">
        <v>29430129</v>
      </c>
      <c r="B1816" s="46" t="s">
        <v>218</v>
      </c>
      <c r="C1816" s="46" t="s">
        <v>527</v>
      </c>
      <c r="D1816" s="48" t="s">
        <v>528</v>
      </c>
      <c r="E1816" s="49">
        <f t="shared" ref="E1816:E1832" ca="1" si="62">IF(D1816="","",YEARFRAC(D1816,TODAY(),1))</f>
        <v>44.315526892187876</v>
      </c>
      <c r="F1816" s="50" t="s">
        <v>529</v>
      </c>
      <c r="G1816" s="51" t="s">
        <v>70</v>
      </c>
      <c r="H1816" s="52" t="s">
        <v>52</v>
      </c>
      <c r="I1816" s="52" t="s">
        <v>24</v>
      </c>
      <c r="J1816" s="46" t="s">
        <v>530</v>
      </c>
      <c r="K1816" s="46" t="s">
        <v>159</v>
      </c>
      <c r="L1816" s="46" t="s">
        <v>52</v>
      </c>
      <c r="M1816" s="52" t="s">
        <v>531</v>
      </c>
      <c r="N1816" s="46" t="s">
        <v>532</v>
      </c>
      <c r="O1816" s="46" t="s">
        <v>52</v>
      </c>
      <c r="P1816" s="46" t="s">
        <v>59</v>
      </c>
      <c r="Q1816" s="46" t="s">
        <v>60</v>
      </c>
      <c r="R1816" s="46" t="s">
        <v>61</v>
      </c>
      <c r="S1816" s="46" t="s">
        <v>62</v>
      </c>
      <c r="T1816" s="46" t="s">
        <v>12</v>
      </c>
      <c r="U1816" s="46" t="s">
        <v>63</v>
      </c>
    </row>
    <row r="1817" spans="1:21">
      <c r="A1817" s="47">
        <v>29430210</v>
      </c>
      <c r="B1817" s="46" t="s">
        <v>828</v>
      </c>
      <c r="C1817" s="46" t="s">
        <v>829</v>
      </c>
      <c r="D1817" s="48">
        <v>30048</v>
      </c>
      <c r="E1817" s="49">
        <f t="shared" ca="1" si="62"/>
        <v>44.230652226819174</v>
      </c>
      <c r="F1817" s="50">
        <v>156593000</v>
      </c>
      <c r="G1817" s="51" t="s">
        <v>70</v>
      </c>
      <c r="I1817" s="52" t="s">
        <v>808</v>
      </c>
      <c r="J1817" s="46" t="s">
        <v>830</v>
      </c>
      <c r="M1817" s="53" t="s">
        <v>831</v>
      </c>
    </row>
    <row r="1818" spans="1:21">
      <c r="A1818" s="47">
        <v>29430338</v>
      </c>
      <c r="B1818" s="46" t="s">
        <v>1097</v>
      </c>
      <c r="C1818" s="52" t="s">
        <v>1634</v>
      </c>
      <c r="D1818" s="48">
        <v>30044</v>
      </c>
      <c r="E1818" s="49">
        <f t="shared" ca="1" si="62"/>
        <v>44.241603796544169</v>
      </c>
      <c r="F1818" s="50">
        <v>156482261</v>
      </c>
      <c r="G1818" s="51" t="s">
        <v>23</v>
      </c>
      <c r="I1818" s="52" t="s">
        <v>3630</v>
      </c>
      <c r="J1818" s="46" t="s">
        <v>673</v>
      </c>
      <c r="M1818" s="53" t="s">
        <v>3711</v>
      </c>
      <c r="N1818" s="55"/>
      <c r="O1818" s="55"/>
    </row>
    <row r="1819" spans="1:21">
      <c r="A1819" s="47">
        <v>29430434</v>
      </c>
      <c r="B1819" s="46" t="s">
        <v>547</v>
      </c>
      <c r="C1819" s="46" t="s">
        <v>4060</v>
      </c>
      <c r="D1819" s="48">
        <v>30060</v>
      </c>
      <c r="E1819" s="49">
        <f t="shared" ca="1" si="62"/>
        <v>44.19779751764419</v>
      </c>
      <c r="F1819" s="50">
        <v>156803953</v>
      </c>
      <c r="G1819" s="51" t="s">
        <v>70</v>
      </c>
      <c r="I1819" s="52" t="s">
        <v>3999</v>
      </c>
      <c r="J1819" s="46" t="s">
        <v>38</v>
      </c>
      <c r="M1819" s="53" t="s">
        <v>4061</v>
      </c>
      <c r="P1819" s="46">
        <v>1</v>
      </c>
    </row>
    <row r="1820" spans="1:21">
      <c r="A1820" s="47">
        <v>29430664</v>
      </c>
      <c r="B1820" s="46" t="s">
        <v>1078</v>
      </c>
      <c r="C1820" s="52" t="s">
        <v>1079</v>
      </c>
      <c r="E1820" s="49" t="str">
        <f t="shared" ca="1" si="62"/>
        <v/>
      </c>
      <c r="G1820" s="51" t="s">
        <v>23</v>
      </c>
      <c r="I1820" s="59" t="s">
        <v>908</v>
      </c>
      <c r="M1820" s="53" t="s">
        <v>1080</v>
      </c>
      <c r="N1820" s="55"/>
      <c r="O1820" s="55"/>
    </row>
    <row r="1821" spans="1:21">
      <c r="A1821" s="64">
        <v>29430865</v>
      </c>
      <c r="B1821" s="61" t="s">
        <v>4886</v>
      </c>
      <c r="C1821" s="62" t="s">
        <v>4887</v>
      </c>
      <c r="D1821" s="48">
        <v>30080</v>
      </c>
      <c r="E1821" s="49">
        <f t="shared" ca="1" si="62"/>
        <v>44.143039669019224</v>
      </c>
      <c r="F1821" s="63">
        <v>154796337</v>
      </c>
      <c r="G1821" s="51" t="s">
        <v>23</v>
      </c>
      <c r="I1821" s="52" t="s">
        <v>4815</v>
      </c>
      <c r="J1821" s="61" t="s">
        <v>48</v>
      </c>
      <c r="K1821" s="61"/>
      <c r="L1821" s="61"/>
      <c r="M1821" s="53" t="s">
        <v>4888</v>
      </c>
      <c r="N1821" s="55"/>
      <c r="O1821" s="55"/>
    </row>
    <row r="1822" spans="1:21">
      <c r="A1822" s="64">
        <v>29451043</v>
      </c>
      <c r="B1822" s="61" t="s">
        <v>863</v>
      </c>
      <c r="C1822" s="62" t="s">
        <v>165</v>
      </c>
      <c r="D1822" s="48">
        <v>30035</v>
      </c>
      <c r="E1822" s="49">
        <f t="shared" ca="1" si="62"/>
        <v>44.266244828425407</v>
      </c>
      <c r="F1822" s="63" t="s">
        <v>867</v>
      </c>
      <c r="G1822" s="51" t="s">
        <v>23</v>
      </c>
      <c r="I1822" s="52" t="s">
        <v>848</v>
      </c>
      <c r="J1822" s="61" t="s">
        <v>868</v>
      </c>
      <c r="K1822" s="61"/>
      <c r="L1822" s="61"/>
      <c r="M1822" s="53" t="s">
        <v>869</v>
      </c>
      <c r="N1822" s="55"/>
      <c r="O1822" s="55"/>
    </row>
    <row r="1823" spans="1:21">
      <c r="A1823" s="47">
        <v>29457423</v>
      </c>
      <c r="B1823" s="46" t="s">
        <v>1032</v>
      </c>
      <c r="C1823" s="52" t="s">
        <v>1036</v>
      </c>
      <c r="E1823" s="49" t="str">
        <f t="shared" ca="1" si="62"/>
        <v/>
      </c>
      <c r="G1823" s="51" t="s">
        <v>23</v>
      </c>
      <c r="I1823" s="59" t="s">
        <v>908</v>
      </c>
      <c r="M1823" s="53" t="s">
        <v>1037</v>
      </c>
      <c r="N1823" s="55"/>
      <c r="O1823" s="55"/>
    </row>
    <row r="1824" spans="1:21">
      <c r="A1824" s="47">
        <v>29532183</v>
      </c>
      <c r="B1824" s="46" t="s">
        <v>1401</v>
      </c>
      <c r="C1824" s="46" t="s">
        <v>2450</v>
      </c>
      <c r="D1824" s="48">
        <v>30106</v>
      </c>
      <c r="E1824" s="49">
        <f t="shared" ca="1" si="62"/>
        <v>44.071854465806766</v>
      </c>
      <c r="F1824" s="50">
        <v>155301714</v>
      </c>
      <c r="G1824" s="51" t="s">
        <v>70</v>
      </c>
      <c r="I1824" s="59" t="s">
        <v>908</v>
      </c>
      <c r="M1824" s="58" t="s">
        <v>25</v>
      </c>
    </row>
    <row r="1825" spans="1:21">
      <c r="A1825" s="47">
        <v>29532427</v>
      </c>
      <c r="B1825" s="46" t="s">
        <v>226</v>
      </c>
      <c r="C1825" s="46" t="s">
        <v>3091</v>
      </c>
      <c r="D1825" s="48" t="s">
        <v>52</v>
      </c>
      <c r="E1825" s="49" t="str">
        <f t="shared" ca="1" si="62"/>
        <v/>
      </c>
      <c r="F1825" s="50" t="s">
        <v>3092</v>
      </c>
      <c r="G1825" s="51" t="s">
        <v>70</v>
      </c>
      <c r="H1825" s="52" t="s">
        <v>52</v>
      </c>
      <c r="I1825" s="52" t="s">
        <v>2926</v>
      </c>
      <c r="J1825" s="46" t="s">
        <v>52</v>
      </c>
      <c r="K1825" s="46" t="s">
        <v>81</v>
      </c>
      <c r="L1825" s="46" t="s">
        <v>546</v>
      </c>
      <c r="M1825" s="52" t="s">
        <v>3093</v>
      </c>
      <c r="N1825" s="46" t="s">
        <v>52</v>
      </c>
      <c r="O1825" s="46" t="s">
        <v>52</v>
      </c>
      <c r="P1825" s="46" t="s">
        <v>59</v>
      </c>
      <c r="Q1825" s="46" t="s">
        <v>60</v>
      </c>
      <c r="R1825" s="46" t="s">
        <v>61</v>
      </c>
      <c r="S1825" s="46" t="s">
        <v>62</v>
      </c>
      <c r="T1825" s="46" t="s">
        <v>12</v>
      </c>
      <c r="U1825" s="46" t="s">
        <v>63</v>
      </c>
    </row>
    <row r="1826" spans="1:21">
      <c r="A1826" s="60">
        <v>29532614</v>
      </c>
      <c r="B1826" s="61" t="s">
        <v>4621</v>
      </c>
      <c r="C1826" s="62" t="s">
        <v>1146</v>
      </c>
      <c r="D1826" s="48">
        <v>30141</v>
      </c>
      <c r="E1826" s="49">
        <f t="shared" ca="1" si="62"/>
        <v>43.976028230713069</v>
      </c>
      <c r="F1826" s="63">
        <v>155321443</v>
      </c>
      <c r="G1826" s="51" t="s">
        <v>23</v>
      </c>
      <c r="I1826" s="52" t="s">
        <v>4499</v>
      </c>
      <c r="J1826" s="61" t="s">
        <v>2264</v>
      </c>
      <c r="K1826" s="61"/>
      <c r="L1826" s="61"/>
      <c r="M1826" s="53" t="s">
        <v>4622</v>
      </c>
      <c r="N1826" s="55"/>
      <c r="O1826" s="55"/>
    </row>
    <row r="1827" spans="1:21">
      <c r="A1827" s="47">
        <v>29533058</v>
      </c>
      <c r="B1827" s="46" t="s">
        <v>146</v>
      </c>
      <c r="C1827" s="46" t="s">
        <v>147</v>
      </c>
      <c r="D1827" s="48" t="s">
        <v>52</v>
      </c>
      <c r="E1827" s="49" t="str">
        <f t="shared" ca="1" si="62"/>
        <v/>
      </c>
      <c r="F1827" s="50" t="s">
        <v>148</v>
      </c>
      <c r="G1827" s="51" t="s">
        <v>141</v>
      </c>
      <c r="H1827" s="52" t="s">
        <v>52</v>
      </c>
      <c r="I1827" s="52" t="s">
        <v>55</v>
      </c>
      <c r="J1827" s="46" t="s">
        <v>149</v>
      </c>
      <c r="K1827" s="46" t="s">
        <v>81</v>
      </c>
      <c r="L1827" s="46" t="s">
        <v>52</v>
      </c>
      <c r="M1827" s="53" t="s">
        <v>150</v>
      </c>
      <c r="N1827" s="46" t="s">
        <v>151</v>
      </c>
      <c r="O1827" s="46" t="s">
        <v>152</v>
      </c>
      <c r="P1827" s="46" t="s">
        <v>59</v>
      </c>
      <c r="Q1827" s="46" t="s">
        <v>60</v>
      </c>
      <c r="R1827" s="46" t="s">
        <v>61</v>
      </c>
      <c r="S1827" s="46" t="s">
        <v>62</v>
      </c>
      <c r="T1827" s="46" t="s">
        <v>12</v>
      </c>
      <c r="U1827" s="46" t="s">
        <v>63</v>
      </c>
    </row>
    <row r="1828" spans="1:21">
      <c r="A1828" s="47">
        <v>29541006</v>
      </c>
      <c r="B1828" s="46" t="s">
        <v>1552</v>
      </c>
      <c r="C1828" s="55" t="s">
        <v>27</v>
      </c>
      <c r="D1828" s="48">
        <v>30075</v>
      </c>
      <c r="E1828" s="49">
        <f t="shared" ca="1" si="62"/>
        <v>44.156729131175467</v>
      </c>
      <c r="F1828" s="50">
        <v>153043641</v>
      </c>
      <c r="G1828" s="51" t="s">
        <v>86</v>
      </c>
      <c r="I1828" s="52" t="s">
        <v>1497</v>
      </c>
      <c r="M1828" s="53" t="s">
        <v>1553</v>
      </c>
    </row>
    <row r="1829" spans="1:21">
      <c r="A1829" s="47">
        <v>29541101</v>
      </c>
      <c r="B1829" s="46" t="s">
        <v>128</v>
      </c>
      <c r="C1829" s="55" t="s">
        <v>3187</v>
      </c>
      <c r="D1829" s="48">
        <v>30164</v>
      </c>
      <c r="E1829" s="49">
        <f t="shared" ca="1" si="62"/>
        <v>43.91305670479435</v>
      </c>
      <c r="F1829" s="50">
        <v>15416490</v>
      </c>
      <c r="G1829" s="51" t="s">
        <v>141</v>
      </c>
      <c r="I1829" s="52" t="s">
        <v>3166</v>
      </c>
      <c r="M1829" s="53" t="s">
        <v>3188</v>
      </c>
    </row>
    <row r="1830" spans="1:21">
      <c r="A1830" s="47">
        <v>29555986</v>
      </c>
      <c r="B1830" s="46" t="s">
        <v>5893</v>
      </c>
      <c r="C1830" s="52" t="s">
        <v>5894</v>
      </c>
      <c r="D1830" s="48" t="s">
        <v>52</v>
      </c>
      <c r="E1830" s="49" t="str">
        <f t="shared" ca="1" si="62"/>
        <v/>
      </c>
      <c r="F1830" s="50" t="s">
        <v>5895</v>
      </c>
      <c r="G1830" s="51" t="s">
        <v>141</v>
      </c>
      <c r="H1830" s="52" t="s">
        <v>52</v>
      </c>
      <c r="I1830" s="52" t="s">
        <v>5881</v>
      </c>
      <c r="J1830" s="46" t="s">
        <v>5896</v>
      </c>
      <c r="K1830" s="46" t="s">
        <v>81</v>
      </c>
      <c r="L1830" s="46" t="s">
        <v>52</v>
      </c>
      <c r="M1830" s="53" t="s">
        <v>5897</v>
      </c>
      <c r="N1830" s="55" t="s">
        <v>5898</v>
      </c>
      <c r="O1830" s="55" t="s">
        <v>52</v>
      </c>
      <c r="P1830" s="46" t="s">
        <v>59</v>
      </c>
      <c r="Q1830" s="46" t="s">
        <v>60</v>
      </c>
      <c r="R1830" s="46" t="s">
        <v>61</v>
      </c>
      <c r="S1830" s="46" t="s">
        <v>62</v>
      </c>
      <c r="T1830" s="46" t="s">
        <v>12</v>
      </c>
      <c r="U1830" s="46" t="s">
        <v>63</v>
      </c>
    </row>
    <row r="1831" spans="1:21">
      <c r="A1831" s="66">
        <v>29583058</v>
      </c>
      <c r="B1831" s="67" t="s">
        <v>146</v>
      </c>
      <c r="C1831" s="52" t="s">
        <v>153</v>
      </c>
      <c r="D1831" s="48">
        <v>30163</v>
      </c>
      <c r="E1831" s="49">
        <f t="shared" ca="1" si="62"/>
        <v>43.915794597225599</v>
      </c>
      <c r="F1831" s="57">
        <v>155029244</v>
      </c>
      <c r="G1831" s="51" t="s">
        <v>23</v>
      </c>
      <c r="I1831" s="52" t="s">
        <v>24</v>
      </c>
      <c r="M1831" s="53" t="s">
        <v>150</v>
      </c>
      <c r="N1831" s="55"/>
      <c r="O1831" s="55"/>
    </row>
    <row r="1832" spans="1:21">
      <c r="A1832" s="47">
        <v>29624719</v>
      </c>
      <c r="B1832" s="69" t="s">
        <v>1762</v>
      </c>
      <c r="C1832" s="70" t="s">
        <v>527</v>
      </c>
      <c r="D1832" s="48">
        <v>30141</v>
      </c>
      <c r="E1832" s="49">
        <f t="shared" ca="1" si="62"/>
        <v>43.976028230713069</v>
      </c>
      <c r="F1832" s="50">
        <v>154199397</v>
      </c>
      <c r="G1832" s="51" t="s">
        <v>23</v>
      </c>
      <c r="I1832" s="52" t="s">
        <v>5494</v>
      </c>
      <c r="J1832" s="46" t="s">
        <v>5601</v>
      </c>
      <c r="M1832" s="53" t="s">
        <v>5602</v>
      </c>
      <c r="N1832" s="55">
        <v>4526343</v>
      </c>
      <c r="O1832" s="55"/>
    </row>
    <row r="1833" spans="1:21">
      <c r="A1833" s="47">
        <v>29640168</v>
      </c>
      <c r="B1833" s="46" t="s">
        <v>3220</v>
      </c>
      <c r="C1833" s="46" t="s">
        <v>9750</v>
      </c>
      <c r="D1833" s="48" t="s">
        <v>9751</v>
      </c>
      <c r="E1833" s="49" t="s">
        <v>9538</v>
      </c>
      <c r="F1833" s="50" t="s">
        <v>9752</v>
      </c>
      <c r="G1833" s="51" t="s">
        <v>70</v>
      </c>
      <c r="H1833" s="52" t="s">
        <v>9753</v>
      </c>
      <c r="I1833" s="52" t="s">
        <v>908</v>
      </c>
      <c r="J1833" s="46" t="s">
        <v>9754</v>
      </c>
      <c r="K1833" s="46" t="s">
        <v>112</v>
      </c>
      <c r="L1833" s="46" t="s">
        <v>546</v>
      </c>
      <c r="M1833" s="52" t="s">
        <v>9755</v>
      </c>
      <c r="N1833" s="46" t="s">
        <v>52</v>
      </c>
      <c r="O1833" s="46" t="s">
        <v>52</v>
      </c>
      <c r="P1833" s="46" t="s">
        <v>59</v>
      </c>
      <c r="Q1833" s="46" t="s">
        <v>60</v>
      </c>
      <c r="R1833" s="46" t="s">
        <v>61</v>
      </c>
      <c r="S1833" s="46" t="s">
        <v>62</v>
      </c>
      <c r="T1833" s="46" t="s">
        <v>12</v>
      </c>
      <c r="U1833" s="46" t="s">
        <v>63</v>
      </c>
    </row>
    <row r="1834" spans="1:21">
      <c r="A1834" s="47">
        <v>29640247</v>
      </c>
      <c r="B1834" s="46" t="s">
        <v>2302</v>
      </c>
      <c r="C1834" s="52" t="s">
        <v>2303</v>
      </c>
      <c r="D1834" s="48">
        <v>30315</v>
      </c>
      <c r="E1834" s="49">
        <f ca="1">IF(D1834="","",YEARFRAC(D1834,TODAY(),1))</f>
        <v>43.49963494767583</v>
      </c>
      <c r="G1834" s="51" t="s">
        <v>23</v>
      </c>
      <c r="I1834" s="52" t="s">
        <v>1881</v>
      </c>
      <c r="M1834" s="58" t="s">
        <v>25</v>
      </c>
      <c r="N1834" s="55"/>
      <c r="O1834" s="55"/>
    </row>
    <row r="1835" spans="1:21">
      <c r="A1835" s="64">
        <v>29640332</v>
      </c>
      <c r="B1835" s="61" t="s">
        <v>3261</v>
      </c>
      <c r="C1835" s="62" t="s">
        <v>3262</v>
      </c>
      <c r="D1835" s="48">
        <v>30339</v>
      </c>
      <c r="E1835" s="49">
        <f ca="1">IF(D1835="","",YEARFRAC(D1835,TODAY(),1))</f>
        <v>43.433264887063658</v>
      </c>
      <c r="F1835" s="63">
        <v>155975561</v>
      </c>
      <c r="G1835" s="51" t="s">
        <v>23</v>
      </c>
      <c r="I1835" s="52" t="s">
        <v>3166</v>
      </c>
      <c r="J1835" s="61" t="s">
        <v>48</v>
      </c>
      <c r="K1835" s="61"/>
      <c r="L1835" s="61"/>
      <c r="M1835" s="53" t="s">
        <v>3263</v>
      </c>
      <c r="N1835" s="55"/>
      <c r="O1835" s="55"/>
    </row>
    <row r="1836" spans="1:21">
      <c r="A1836" s="47">
        <v>29640389</v>
      </c>
      <c r="B1836" s="46" t="s">
        <v>9744</v>
      </c>
      <c r="C1836" s="46" t="s">
        <v>955</v>
      </c>
      <c r="D1836" s="48" t="s">
        <v>9745</v>
      </c>
      <c r="E1836" s="49" t="s">
        <v>9538</v>
      </c>
      <c r="F1836" s="50" t="s">
        <v>9746</v>
      </c>
      <c r="G1836" s="51" t="s">
        <v>70</v>
      </c>
      <c r="H1836" s="52" t="s">
        <v>9747</v>
      </c>
      <c r="I1836" s="52" t="s">
        <v>908</v>
      </c>
      <c r="J1836" s="46" t="s">
        <v>9748</v>
      </c>
      <c r="K1836" s="46" t="s">
        <v>390</v>
      </c>
      <c r="L1836" s="46" t="s">
        <v>546</v>
      </c>
      <c r="M1836" s="52" t="s">
        <v>9749</v>
      </c>
      <c r="N1836" s="46" t="s">
        <v>52</v>
      </c>
      <c r="O1836" s="46" t="s">
        <v>52</v>
      </c>
      <c r="P1836" s="46" t="s">
        <v>59</v>
      </c>
      <c r="Q1836" s="46" t="s">
        <v>60</v>
      </c>
      <c r="R1836" s="46" t="s">
        <v>61</v>
      </c>
      <c r="S1836" s="46" t="s">
        <v>62</v>
      </c>
      <c r="T1836" s="46" t="s">
        <v>12</v>
      </c>
      <c r="U1836" s="46" t="s">
        <v>63</v>
      </c>
    </row>
    <row r="1837" spans="1:21">
      <c r="A1837" s="47">
        <v>29640419</v>
      </c>
      <c r="B1837" s="46" t="s">
        <v>1603</v>
      </c>
      <c r="C1837" s="52" t="s">
        <v>5118</v>
      </c>
      <c r="E1837" s="49" t="str">
        <f t="shared" ref="E1837:E1846" ca="1" si="63">IF(D1837="","",YEARFRAC(D1837,TODAY(),1))</f>
        <v/>
      </c>
      <c r="F1837" s="50">
        <v>155067784</v>
      </c>
      <c r="G1837" s="51" t="s">
        <v>23</v>
      </c>
      <c r="I1837" s="65" t="s">
        <v>4954</v>
      </c>
      <c r="J1837" s="46" t="s">
        <v>5119</v>
      </c>
      <c r="M1837" s="53" t="s">
        <v>5120</v>
      </c>
      <c r="N1837" s="55" t="s">
        <v>5121</v>
      </c>
      <c r="O1837" s="55"/>
    </row>
    <row r="1838" spans="1:21">
      <c r="A1838" s="47">
        <v>29640889</v>
      </c>
      <c r="B1838" s="46" t="s">
        <v>954</v>
      </c>
      <c r="C1838" s="52" t="s">
        <v>955</v>
      </c>
      <c r="D1838" s="48">
        <v>30342</v>
      </c>
      <c r="E1838" s="49">
        <f t="shared" ca="1" si="63"/>
        <v>43.42505133470226</v>
      </c>
      <c r="F1838" s="50">
        <v>153017829</v>
      </c>
      <c r="G1838" s="51" t="s">
        <v>23</v>
      </c>
      <c r="I1838" s="59" t="s">
        <v>908</v>
      </c>
      <c r="J1838" s="46" t="s">
        <v>956</v>
      </c>
      <c r="M1838" s="53" t="s">
        <v>957</v>
      </c>
      <c r="N1838" s="55"/>
      <c r="O1838" s="55"/>
    </row>
    <row r="1839" spans="1:21">
      <c r="A1839" s="47">
        <v>29666064</v>
      </c>
      <c r="B1839" s="46" t="s">
        <v>1466</v>
      </c>
      <c r="C1839" s="52" t="s">
        <v>1467</v>
      </c>
      <c r="D1839" s="48">
        <v>30176</v>
      </c>
      <c r="E1839" s="49">
        <f t="shared" ca="1" si="63"/>
        <v>43.880201995619366</v>
      </c>
      <c r="F1839" s="50">
        <v>156230044</v>
      </c>
      <c r="G1839" s="51" t="s">
        <v>141</v>
      </c>
      <c r="I1839" s="52" t="s">
        <v>1460</v>
      </c>
      <c r="J1839" s="46" t="s">
        <v>290</v>
      </c>
      <c r="M1839" s="53" t="s">
        <v>1468</v>
      </c>
      <c r="N1839" s="55"/>
      <c r="O1839" s="55"/>
    </row>
    <row r="1840" spans="1:21">
      <c r="A1840" s="47">
        <v>29666606</v>
      </c>
      <c r="B1840" s="46" t="s">
        <v>3485</v>
      </c>
      <c r="C1840" s="52" t="s">
        <v>106</v>
      </c>
      <c r="E1840" s="49" t="str">
        <f t="shared" ca="1" si="63"/>
        <v/>
      </c>
      <c r="F1840" s="50">
        <v>154668307</v>
      </c>
      <c r="G1840" s="51" t="s">
        <v>23</v>
      </c>
      <c r="I1840" s="52" t="s">
        <v>3427</v>
      </c>
      <c r="J1840" s="46" t="s">
        <v>3486</v>
      </c>
      <c r="M1840" s="58" t="s">
        <v>25</v>
      </c>
      <c r="N1840" s="55"/>
      <c r="O1840" s="55"/>
    </row>
    <row r="1841" spans="1:21">
      <c r="A1841" s="47">
        <v>29666713</v>
      </c>
      <c r="B1841" s="46" t="s">
        <v>3487</v>
      </c>
      <c r="C1841" s="55" t="s">
        <v>27</v>
      </c>
      <c r="D1841" s="48">
        <v>30208</v>
      </c>
      <c r="E1841" s="49">
        <f t="shared" ca="1" si="63"/>
        <v>43.792589437819416</v>
      </c>
      <c r="F1841" s="50">
        <v>155653226</v>
      </c>
      <c r="G1841" s="51" t="s">
        <v>352</v>
      </c>
      <c r="I1841" s="52" t="s">
        <v>3427</v>
      </c>
      <c r="J1841" s="55" t="s">
        <v>637</v>
      </c>
      <c r="K1841" s="55"/>
      <c r="L1841" s="55"/>
      <c r="M1841" s="53" t="s">
        <v>3488</v>
      </c>
      <c r="N1841" s="55">
        <v>4107221</v>
      </c>
      <c r="O1841" s="55"/>
    </row>
    <row r="1842" spans="1:21">
      <c r="A1842" s="47">
        <v>29666790</v>
      </c>
      <c r="B1842" s="46" t="s">
        <v>789</v>
      </c>
      <c r="C1842" s="55" t="s">
        <v>5112</v>
      </c>
      <c r="D1842" s="48">
        <v>30226</v>
      </c>
      <c r="E1842" s="49">
        <f t="shared" ca="1" si="63"/>
        <v>43.743307374056947</v>
      </c>
      <c r="F1842" s="50">
        <v>156191986</v>
      </c>
      <c r="G1842" s="51" t="s">
        <v>141</v>
      </c>
      <c r="I1842" s="65" t="s">
        <v>4954</v>
      </c>
      <c r="J1842" s="55"/>
      <c r="K1842" s="55"/>
      <c r="L1842" s="55"/>
      <c r="M1842" s="53" t="s">
        <v>5113</v>
      </c>
      <c r="N1842" s="55"/>
      <c r="O1842" s="55"/>
    </row>
    <row r="1843" spans="1:21">
      <c r="A1843" s="47">
        <v>29729433</v>
      </c>
      <c r="B1843" s="46" t="s">
        <v>1057</v>
      </c>
      <c r="C1843" s="52" t="s">
        <v>1058</v>
      </c>
      <c r="E1843" s="49" t="str">
        <f t="shared" ca="1" si="63"/>
        <v/>
      </c>
      <c r="G1843" s="51" t="s">
        <v>23</v>
      </c>
      <c r="I1843" s="59" t="s">
        <v>908</v>
      </c>
      <c r="M1843" s="53" t="s">
        <v>1059</v>
      </c>
      <c r="N1843" s="55"/>
      <c r="O1843" s="55"/>
    </row>
    <row r="1844" spans="1:21">
      <c r="A1844" s="74">
        <v>29743258</v>
      </c>
      <c r="B1844" s="46" t="s">
        <v>144</v>
      </c>
      <c r="C1844" s="46" t="s">
        <v>4283</v>
      </c>
      <c r="D1844" s="48" t="s">
        <v>5180</v>
      </c>
      <c r="E1844" s="49">
        <f t="shared" ca="1" si="63"/>
        <v>43.781637868094421</v>
      </c>
      <c r="F1844" s="50" t="s">
        <v>5181</v>
      </c>
      <c r="G1844" s="51" t="s">
        <v>70</v>
      </c>
      <c r="H1844" s="52" t="s">
        <v>1260</v>
      </c>
      <c r="I1844" s="52" t="s">
        <v>5176</v>
      </c>
      <c r="J1844" s="46" t="s">
        <v>5182</v>
      </c>
      <c r="K1844" s="46" t="s">
        <v>81</v>
      </c>
      <c r="L1844" s="46" t="s">
        <v>546</v>
      </c>
      <c r="M1844" s="53" t="s">
        <v>5183</v>
      </c>
      <c r="N1844" s="46" t="s">
        <v>5184</v>
      </c>
      <c r="O1844" s="46" t="s">
        <v>5185</v>
      </c>
      <c r="P1844" s="46" t="s">
        <v>59</v>
      </c>
      <c r="Q1844" s="46" t="s">
        <v>60</v>
      </c>
      <c r="R1844" s="46" t="s">
        <v>61</v>
      </c>
      <c r="S1844" s="46" t="s">
        <v>62</v>
      </c>
      <c r="T1844" s="46" t="s">
        <v>12</v>
      </c>
      <c r="U1844" s="46" t="s">
        <v>63</v>
      </c>
    </row>
    <row r="1845" spans="1:21">
      <c r="A1845" s="47">
        <v>29743945</v>
      </c>
      <c r="B1845" s="46" t="s">
        <v>5843</v>
      </c>
      <c r="C1845" s="52" t="s">
        <v>2179</v>
      </c>
      <c r="D1845" s="48">
        <v>30204</v>
      </c>
      <c r="E1845" s="49">
        <f t="shared" ca="1" si="63"/>
        <v>43.80354100754441</v>
      </c>
      <c r="F1845" s="50">
        <v>155046418</v>
      </c>
      <c r="G1845" s="51" t="s">
        <v>23</v>
      </c>
      <c r="I1845" s="52" t="s">
        <v>5826</v>
      </c>
      <c r="J1845" s="46" t="s">
        <v>48</v>
      </c>
      <c r="M1845" s="53" t="s">
        <v>5844</v>
      </c>
      <c r="N1845" s="55"/>
      <c r="O1845" s="55"/>
    </row>
    <row r="1846" spans="1:21">
      <c r="A1846" s="64">
        <v>29745026</v>
      </c>
      <c r="B1846" s="61" t="s">
        <v>6388</v>
      </c>
      <c r="C1846" s="62" t="s">
        <v>6389</v>
      </c>
      <c r="D1846" s="48">
        <v>30270</v>
      </c>
      <c r="E1846" s="49">
        <f t="shared" ca="1" si="63"/>
        <v>43.622840107082013</v>
      </c>
      <c r="F1846" s="63">
        <v>155304495</v>
      </c>
      <c r="G1846" s="51" t="s">
        <v>23</v>
      </c>
      <c r="I1846" s="52" t="s">
        <v>23</v>
      </c>
      <c r="J1846" s="61"/>
      <c r="K1846" s="61"/>
      <c r="L1846" s="61"/>
      <c r="M1846" s="58" t="s">
        <v>25</v>
      </c>
      <c r="N1846" s="55"/>
      <c r="O1846" s="55"/>
    </row>
    <row r="1847" spans="1:21">
      <c r="A1847" s="74">
        <v>29750470</v>
      </c>
      <c r="B1847" s="234" t="s">
        <v>9885</v>
      </c>
      <c r="C1847" s="234" t="s">
        <v>9886</v>
      </c>
      <c r="D1847" s="235">
        <v>30292</v>
      </c>
      <c r="E1847" s="236"/>
      <c r="F1847" s="237">
        <v>3865332431</v>
      </c>
      <c r="G1847" s="234" t="s">
        <v>78</v>
      </c>
      <c r="H1847" s="238" t="s">
        <v>9957</v>
      </c>
      <c r="I1847" s="267" t="s">
        <v>6608</v>
      </c>
      <c r="J1847" s="234" t="s">
        <v>9994</v>
      </c>
      <c r="K1847" s="234" t="s">
        <v>390</v>
      </c>
      <c r="L1847" s="234"/>
      <c r="M1847" s="238" t="s">
        <v>9927</v>
      </c>
      <c r="N1847" s="234"/>
      <c r="O1847" s="234"/>
      <c r="P1847" s="234"/>
      <c r="Q1847" s="234"/>
      <c r="R1847" s="234"/>
      <c r="S1847" s="234"/>
      <c r="T1847" s="234"/>
      <c r="U1847" s="234"/>
    </row>
    <row r="1848" spans="1:21">
      <c r="A1848" s="47">
        <v>29786084</v>
      </c>
      <c r="B1848" s="46" t="s">
        <v>3474</v>
      </c>
      <c r="C1848" s="46" t="s">
        <v>512</v>
      </c>
      <c r="E1848" s="49" t="str">
        <f t="shared" ref="E1848:E1854" ca="1" si="64">IF(D1848="","",YEARFRAC(D1848,TODAY(),1))</f>
        <v/>
      </c>
      <c r="F1848" s="50">
        <v>156227739</v>
      </c>
      <c r="G1848" s="51" t="s">
        <v>23</v>
      </c>
      <c r="I1848" s="52" t="s">
        <v>23</v>
      </c>
      <c r="M1848" s="53" t="s">
        <v>6295</v>
      </c>
    </row>
    <row r="1849" spans="1:21">
      <c r="A1849" s="47">
        <v>29838285</v>
      </c>
      <c r="B1849" s="46" t="s">
        <v>5440</v>
      </c>
      <c r="C1849" s="52" t="s">
        <v>5441</v>
      </c>
      <c r="D1849" s="48" t="s">
        <v>52</v>
      </c>
      <c r="E1849" s="49" t="str">
        <f t="shared" ca="1" si="64"/>
        <v/>
      </c>
      <c r="F1849" s="50" t="s">
        <v>5442</v>
      </c>
      <c r="G1849" s="51" t="s">
        <v>70</v>
      </c>
      <c r="H1849" s="52" t="s">
        <v>3716</v>
      </c>
      <c r="I1849" s="52" t="s">
        <v>5304</v>
      </c>
      <c r="J1849" s="46" t="s">
        <v>3119</v>
      </c>
      <c r="K1849" s="46" t="s">
        <v>52</v>
      </c>
      <c r="L1849" s="46" t="s">
        <v>52</v>
      </c>
      <c r="M1849" s="53" t="s">
        <v>5443</v>
      </c>
      <c r="N1849" s="55" t="s">
        <v>5307</v>
      </c>
      <c r="O1849" s="55" t="s">
        <v>52</v>
      </c>
      <c r="P1849" s="46" t="s">
        <v>59</v>
      </c>
      <c r="Q1849" s="46" t="s">
        <v>60</v>
      </c>
      <c r="R1849" s="46" t="s">
        <v>61</v>
      </c>
      <c r="S1849" s="46" t="s">
        <v>62</v>
      </c>
      <c r="T1849" s="46" t="s">
        <v>12</v>
      </c>
      <c r="U1849" s="46" t="s">
        <v>63</v>
      </c>
    </row>
    <row r="1850" spans="1:21">
      <c r="A1850" s="47">
        <v>29877721</v>
      </c>
      <c r="B1850" s="46" t="s">
        <v>1765</v>
      </c>
      <c r="C1850" s="52" t="s">
        <v>1766</v>
      </c>
      <c r="D1850" s="48">
        <v>30237</v>
      </c>
      <c r="E1850" s="49">
        <f t="shared" ca="1" si="64"/>
        <v>43.713190557313212</v>
      </c>
      <c r="F1850" s="50">
        <v>155306478</v>
      </c>
      <c r="G1850" s="51" t="s">
        <v>23</v>
      </c>
      <c r="I1850" s="52" t="s">
        <v>1657</v>
      </c>
      <c r="M1850" s="53" t="s">
        <v>1767</v>
      </c>
      <c r="N1850" s="55">
        <v>4107546</v>
      </c>
      <c r="O1850" s="55"/>
    </row>
    <row r="1851" spans="1:21">
      <c r="A1851" s="47">
        <v>29877883</v>
      </c>
      <c r="B1851" s="46" t="s">
        <v>6679</v>
      </c>
      <c r="C1851" s="46" t="s">
        <v>6680</v>
      </c>
      <c r="D1851" s="48" t="s">
        <v>52</v>
      </c>
      <c r="E1851" s="49" t="str">
        <f t="shared" ca="1" si="64"/>
        <v/>
      </c>
      <c r="F1851" s="50" t="s">
        <v>6681</v>
      </c>
      <c r="G1851" s="51" t="s">
        <v>70</v>
      </c>
      <c r="H1851" s="52" t="s">
        <v>6682</v>
      </c>
      <c r="I1851" s="52" t="s">
        <v>24</v>
      </c>
      <c r="J1851" s="46" t="s">
        <v>6683</v>
      </c>
      <c r="K1851" s="46" t="s">
        <v>112</v>
      </c>
      <c r="L1851" s="46" t="s">
        <v>546</v>
      </c>
      <c r="M1851" s="52" t="s">
        <v>6684</v>
      </c>
      <c r="N1851" s="46" t="s">
        <v>52</v>
      </c>
      <c r="O1851" s="46" t="s">
        <v>52</v>
      </c>
      <c r="P1851" s="46" t="s">
        <v>59</v>
      </c>
      <c r="Q1851" s="46" t="s">
        <v>60</v>
      </c>
      <c r="R1851" s="46" t="s">
        <v>61</v>
      </c>
      <c r="S1851" s="46" t="s">
        <v>62</v>
      </c>
      <c r="T1851" s="46" t="s">
        <v>12</v>
      </c>
      <c r="U1851" s="46" t="s">
        <v>63</v>
      </c>
    </row>
    <row r="1852" spans="1:21">
      <c r="A1852" s="47">
        <v>29878052</v>
      </c>
      <c r="B1852" s="46" t="s">
        <v>167</v>
      </c>
      <c r="C1852" s="55" t="s">
        <v>33</v>
      </c>
      <c r="D1852" s="48" t="s">
        <v>3568</v>
      </c>
      <c r="E1852" s="49" t="e">
        <f t="shared" ca="1" si="64"/>
        <v>#VALUE!</v>
      </c>
      <c r="F1852" s="50">
        <v>153039740</v>
      </c>
      <c r="G1852" s="51" t="s">
        <v>23</v>
      </c>
      <c r="I1852" s="52" t="s">
        <v>3555</v>
      </c>
      <c r="J1852" s="55"/>
      <c r="K1852" s="55"/>
      <c r="L1852" s="55"/>
      <c r="M1852" s="53" t="s">
        <v>3569</v>
      </c>
      <c r="N1852" s="55">
        <v>4211071</v>
      </c>
      <c r="O1852" s="55"/>
    </row>
    <row r="1853" spans="1:21">
      <c r="A1853" s="47">
        <v>29878564</v>
      </c>
      <c r="B1853" s="46" t="s">
        <v>4735</v>
      </c>
      <c r="C1853" s="46" t="s">
        <v>4736</v>
      </c>
      <c r="D1853" s="48">
        <v>30297</v>
      </c>
      <c r="E1853" s="49">
        <f t="shared" ca="1" si="64"/>
        <v>43.548917011438306</v>
      </c>
      <c r="F1853" s="50">
        <v>154468993</v>
      </c>
      <c r="G1853" s="51" t="s">
        <v>70</v>
      </c>
      <c r="I1853" s="65" t="s">
        <v>4708</v>
      </c>
      <c r="J1853" s="46" t="s">
        <v>4737</v>
      </c>
      <c r="M1853" s="53" t="s">
        <v>4738</v>
      </c>
    </row>
    <row r="1854" spans="1:21">
      <c r="A1854" s="47">
        <v>29878683</v>
      </c>
      <c r="B1854" s="46" t="s">
        <v>4777</v>
      </c>
      <c r="C1854" s="52" t="s">
        <v>4778</v>
      </c>
      <c r="D1854" s="48">
        <v>30306</v>
      </c>
      <c r="E1854" s="49">
        <f t="shared" ca="1" si="64"/>
        <v>43.524275979557068</v>
      </c>
      <c r="G1854" s="51" t="s">
        <v>141</v>
      </c>
      <c r="I1854" s="65" t="s">
        <v>4708</v>
      </c>
      <c r="J1854" s="46" t="s">
        <v>4662</v>
      </c>
      <c r="M1854" s="53" t="s">
        <v>4753</v>
      </c>
      <c r="N1854" s="55">
        <v>4107338</v>
      </c>
      <c r="O1854" s="55"/>
    </row>
    <row r="1855" spans="1:21">
      <c r="A1855" s="47">
        <v>29879043</v>
      </c>
      <c r="B1855" s="46" t="s">
        <v>1371</v>
      </c>
      <c r="C1855" s="46" t="s">
        <v>9774</v>
      </c>
      <c r="D1855" s="48" t="s">
        <v>9775</v>
      </c>
      <c r="E1855" s="49" t="s">
        <v>9538</v>
      </c>
      <c r="F1855" s="50" t="s">
        <v>9776</v>
      </c>
      <c r="G1855" s="51" t="s">
        <v>70</v>
      </c>
      <c r="H1855" s="52" t="s">
        <v>9777</v>
      </c>
      <c r="I1855" s="52" t="s">
        <v>908</v>
      </c>
      <c r="J1855" s="46" t="s">
        <v>9778</v>
      </c>
      <c r="K1855" s="46" t="s">
        <v>112</v>
      </c>
      <c r="L1855" s="46" t="s">
        <v>546</v>
      </c>
      <c r="M1855" s="52" t="s">
        <v>9779</v>
      </c>
      <c r="N1855" s="46" t="s">
        <v>52</v>
      </c>
      <c r="O1855" s="46" t="s">
        <v>52</v>
      </c>
      <c r="P1855" s="46" t="s">
        <v>59</v>
      </c>
      <c r="Q1855" s="46" t="s">
        <v>60</v>
      </c>
      <c r="R1855" s="46" t="s">
        <v>61</v>
      </c>
      <c r="S1855" s="46" t="s">
        <v>62</v>
      </c>
      <c r="T1855" s="46" t="s">
        <v>12</v>
      </c>
      <c r="U1855" s="46" t="s">
        <v>63</v>
      </c>
    </row>
    <row r="1856" spans="1:21">
      <c r="A1856" s="60">
        <v>29914125</v>
      </c>
      <c r="B1856" s="61" t="s">
        <v>3296</v>
      </c>
      <c r="C1856" s="62" t="s">
        <v>3297</v>
      </c>
      <c r="D1856" s="48">
        <v>30316</v>
      </c>
      <c r="E1856" s="49">
        <f t="shared" ref="E1856:E1862" ca="1" si="65">IF(D1856="","",YEARFRAC(D1856,TODAY(),1))</f>
        <v>43.496897055244581</v>
      </c>
      <c r="F1856" s="63"/>
      <c r="G1856" s="51" t="s">
        <v>23</v>
      </c>
      <c r="I1856" s="52" t="s">
        <v>3287</v>
      </c>
      <c r="J1856" s="61" t="s">
        <v>48</v>
      </c>
      <c r="K1856" s="61"/>
      <c r="L1856" s="61"/>
      <c r="M1856" s="53" t="s">
        <v>3298</v>
      </c>
      <c r="N1856" s="55"/>
      <c r="O1856" s="55"/>
    </row>
    <row r="1857" spans="1:21">
      <c r="A1857" s="47">
        <v>29997386</v>
      </c>
      <c r="B1857" s="46" t="s">
        <v>3400</v>
      </c>
      <c r="C1857" s="46" t="s">
        <v>3401</v>
      </c>
      <c r="D1857" s="48" t="s">
        <v>52</v>
      </c>
      <c r="E1857" s="49" t="str">
        <f t="shared" ca="1" si="65"/>
        <v/>
      </c>
      <c r="F1857" s="50" t="s">
        <v>3402</v>
      </c>
      <c r="G1857" s="51" t="s">
        <v>70</v>
      </c>
      <c r="H1857" s="52" t="s">
        <v>2357</v>
      </c>
      <c r="I1857" s="52" t="s">
        <v>3327</v>
      </c>
      <c r="J1857" s="46" t="s">
        <v>3403</v>
      </c>
      <c r="K1857" s="46" t="s">
        <v>81</v>
      </c>
      <c r="L1857" s="46" t="s">
        <v>52</v>
      </c>
      <c r="M1857" s="53" t="s">
        <v>3404</v>
      </c>
      <c r="N1857" s="46" t="s">
        <v>52</v>
      </c>
      <c r="O1857" s="46" t="s">
        <v>52</v>
      </c>
      <c r="P1857" s="46" t="s">
        <v>59</v>
      </c>
      <c r="Q1857" s="46" t="s">
        <v>60</v>
      </c>
      <c r="R1857" s="46" t="s">
        <v>61</v>
      </c>
      <c r="S1857" s="46" t="s">
        <v>62</v>
      </c>
      <c r="T1857" s="46" t="s">
        <v>12</v>
      </c>
      <c r="U1857" s="46" t="s">
        <v>63</v>
      </c>
    </row>
    <row r="1858" spans="1:21">
      <c r="A1858" s="47">
        <v>29997496</v>
      </c>
      <c r="B1858" s="46" t="s">
        <v>5318</v>
      </c>
      <c r="C1858" s="46" t="s">
        <v>5319</v>
      </c>
      <c r="D1858" s="48" t="s">
        <v>52</v>
      </c>
      <c r="E1858" s="49" t="str">
        <f t="shared" ca="1" si="65"/>
        <v/>
      </c>
      <c r="F1858" s="50" t="s">
        <v>5320</v>
      </c>
      <c r="G1858" s="51" t="s">
        <v>78</v>
      </c>
      <c r="H1858" s="52" t="s">
        <v>5321</v>
      </c>
      <c r="I1858" s="52" t="s">
        <v>5304</v>
      </c>
      <c r="J1858" s="46" t="s">
        <v>5322</v>
      </c>
      <c r="K1858" s="46" t="s">
        <v>81</v>
      </c>
      <c r="L1858" s="46" t="s">
        <v>1782</v>
      </c>
      <c r="M1858" s="53" t="s">
        <v>5323</v>
      </c>
      <c r="N1858" s="46" t="s">
        <v>2884</v>
      </c>
      <c r="O1858" s="46" t="s">
        <v>52</v>
      </c>
      <c r="P1858" s="46" t="s">
        <v>59</v>
      </c>
      <c r="Q1858" s="46" t="s">
        <v>60</v>
      </c>
      <c r="R1858" s="46" t="s">
        <v>61</v>
      </c>
      <c r="S1858" s="46" t="s">
        <v>62</v>
      </c>
      <c r="T1858" s="46" t="s">
        <v>12</v>
      </c>
      <c r="U1858" s="46" t="s">
        <v>63</v>
      </c>
    </row>
    <row r="1859" spans="1:21">
      <c r="A1859" s="47">
        <v>29997678</v>
      </c>
      <c r="B1859" s="46" t="s">
        <v>6347</v>
      </c>
      <c r="C1859" s="52" t="s">
        <v>1853</v>
      </c>
      <c r="D1859" s="48">
        <v>30371</v>
      </c>
      <c r="E1859" s="49">
        <f t="shared" ca="1" si="65"/>
        <v>43.345653661875431</v>
      </c>
      <c r="F1859" s="50">
        <v>154168794</v>
      </c>
      <c r="G1859" s="51" t="s">
        <v>23</v>
      </c>
      <c r="I1859" s="52" t="s">
        <v>23</v>
      </c>
      <c r="M1859" s="58" t="s">
        <v>25</v>
      </c>
      <c r="N1859" s="55"/>
      <c r="O1859" s="55"/>
    </row>
    <row r="1860" spans="1:21">
      <c r="A1860" s="47">
        <v>29997715</v>
      </c>
      <c r="B1860" s="46" t="s">
        <v>2270</v>
      </c>
      <c r="C1860" s="46" t="s">
        <v>363</v>
      </c>
      <c r="D1860" s="48" t="s">
        <v>52</v>
      </c>
      <c r="E1860" s="49" t="str">
        <f t="shared" ca="1" si="65"/>
        <v/>
      </c>
      <c r="F1860" s="50" t="s">
        <v>2271</v>
      </c>
      <c r="G1860" s="51" t="s">
        <v>70</v>
      </c>
      <c r="H1860" s="52" t="s">
        <v>2272</v>
      </c>
      <c r="I1860" s="52" t="s">
        <v>1881</v>
      </c>
      <c r="J1860" s="46" t="s">
        <v>52</v>
      </c>
      <c r="K1860" s="46" t="s">
        <v>390</v>
      </c>
      <c r="L1860" s="46" t="s">
        <v>52</v>
      </c>
      <c r="M1860" s="53" t="s">
        <v>2273</v>
      </c>
      <c r="N1860" s="46" t="s">
        <v>89</v>
      </c>
      <c r="O1860" s="46" t="s">
        <v>2274</v>
      </c>
      <c r="P1860" s="46" t="s">
        <v>59</v>
      </c>
      <c r="Q1860" s="46" t="s">
        <v>60</v>
      </c>
      <c r="R1860" s="46" t="s">
        <v>61</v>
      </c>
      <c r="S1860" s="46" t="s">
        <v>62</v>
      </c>
      <c r="T1860" s="46" t="s">
        <v>12</v>
      </c>
      <c r="U1860" s="46" t="s">
        <v>63</v>
      </c>
    </row>
    <row r="1861" spans="1:21">
      <c r="A1861" s="47">
        <v>29997858</v>
      </c>
      <c r="B1861" s="46" t="s">
        <v>1046</v>
      </c>
      <c r="C1861" s="52" t="s">
        <v>1047</v>
      </c>
      <c r="D1861" s="48">
        <v>30355</v>
      </c>
      <c r="E1861" s="49">
        <f t="shared" ca="1" si="65"/>
        <v>43.389459274469544</v>
      </c>
      <c r="F1861" s="50">
        <v>3814724867</v>
      </c>
      <c r="G1861" s="51" t="s">
        <v>23</v>
      </c>
      <c r="I1861" s="59" t="s">
        <v>908</v>
      </c>
      <c r="J1861" s="46" t="s">
        <v>1048</v>
      </c>
      <c r="M1861" s="53" t="s">
        <v>1049</v>
      </c>
      <c r="N1861" s="55"/>
      <c r="O1861" s="55"/>
    </row>
    <row r="1862" spans="1:21">
      <c r="A1862" s="47">
        <v>29997979</v>
      </c>
      <c r="B1862" s="46" t="s">
        <v>4512</v>
      </c>
      <c r="C1862" s="46" t="s">
        <v>527</v>
      </c>
      <c r="D1862" s="48" t="s">
        <v>4513</v>
      </c>
      <c r="E1862" s="49">
        <f t="shared" ca="1" si="65"/>
        <v>43.367556468172488</v>
      </c>
      <c r="F1862" s="50" t="s">
        <v>4514</v>
      </c>
      <c r="G1862" s="51" t="s">
        <v>78</v>
      </c>
      <c r="H1862" s="52" t="s">
        <v>4515</v>
      </c>
      <c r="I1862" s="52" t="s">
        <v>4499</v>
      </c>
      <c r="J1862" s="46" t="s">
        <v>4516</v>
      </c>
      <c r="K1862" s="46" t="s">
        <v>81</v>
      </c>
      <c r="L1862" s="46" t="s">
        <v>52</v>
      </c>
      <c r="M1862" s="53" t="s">
        <v>4517</v>
      </c>
      <c r="N1862" s="46" t="s">
        <v>4518</v>
      </c>
      <c r="O1862" s="46" t="s">
        <v>52</v>
      </c>
      <c r="P1862" s="46" t="s">
        <v>59</v>
      </c>
      <c r="Q1862" s="46" t="s">
        <v>60</v>
      </c>
      <c r="R1862" s="46" t="s">
        <v>61</v>
      </c>
      <c r="S1862" s="46" t="s">
        <v>62</v>
      </c>
      <c r="T1862" s="46" t="s">
        <v>12</v>
      </c>
      <c r="U1862" s="46" t="s">
        <v>63</v>
      </c>
    </row>
    <row r="1863" spans="1:21">
      <c r="A1863" s="47">
        <v>29998495</v>
      </c>
      <c r="B1863" s="46" t="s">
        <v>2087</v>
      </c>
      <c r="C1863" s="46" t="s">
        <v>1572</v>
      </c>
      <c r="D1863" s="48" t="s">
        <v>9537</v>
      </c>
      <c r="E1863" s="49" t="s">
        <v>9538</v>
      </c>
      <c r="F1863" s="50" t="s">
        <v>9539</v>
      </c>
      <c r="G1863" s="51" t="s">
        <v>141</v>
      </c>
      <c r="H1863" s="52" t="s">
        <v>9540</v>
      </c>
      <c r="I1863" s="52" t="s">
        <v>4245</v>
      </c>
      <c r="J1863" s="46" t="s">
        <v>3080</v>
      </c>
      <c r="K1863" s="46" t="s">
        <v>81</v>
      </c>
      <c r="L1863" s="46" t="s">
        <v>546</v>
      </c>
      <c r="M1863" s="52" t="s">
        <v>9541</v>
      </c>
      <c r="N1863" s="46" t="s">
        <v>52</v>
      </c>
      <c r="O1863" s="46" t="s">
        <v>52</v>
      </c>
      <c r="P1863" s="46" t="s">
        <v>59</v>
      </c>
      <c r="Q1863" s="46" t="s">
        <v>60</v>
      </c>
      <c r="R1863" s="46" t="s">
        <v>61</v>
      </c>
      <c r="S1863" s="46" t="s">
        <v>62</v>
      </c>
      <c r="T1863" s="46" t="s">
        <v>12</v>
      </c>
      <c r="U1863" s="46" t="s">
        <v>63</v>
      </c>
    </row>
    <row r="1864" spans="1:21">
      <c r="A1864" s="47">
        <v>29999714</v>
      </c>
      <c r="B1864" s="46" t="s">
        <v>2576</v>
      </c>
      <c r="C1864" s="46" t="s">
        <v>3811</v>
      </c>
      <c r="E1864" s="49" t="str">
        <f t="shared" ref="E1864:E1877" ca="1" si="66">IF(D1864="","",YEARFRAC(D1864,TODAY(),1))</f>
        <v/>
      </c>
      <c r="G1864" s="51" t="s">
        <v>23</v>
      </c>
      <c r="I1864" s="52" t="s">
        <v>3630</v>
      </c>
      <c r="M1864" s="53" t="s">
        <v>3812</v>
      </c>
    </row>
    <row r="1865" spans="1:21">
      <c r="A1865" s="47">
        <v>30069005</v>
      </c>
      <c r="B1865" s="46" t="s">
        <v>144</v>
      </c>
      <c r="C1865" s="52" t="s">
        <v>1703</v>
      </c>
      <c r="D1865" s="48">
        <v>30372</v>
      </c>
      <c r="E1865" s="49">
        <f t="shared" ca="1" si="66"/>
        <v>43.342915811088297</v>
      </c>
      <c r="F1865" s="50">
        <v>154883189</v>
      </c>
      <c r="G1865" s="51" t="s">
        <v>23</v>
      </c>
      <c r="I1865" s="52" t="s">
        <v>1657</v>
      </c>
      <c r="J1865" s="46" t="s">
        <v>205</v>
      </c>
      <c r="M1865" s="58" t="s">
        <v>25</v>
      </c>
      <c r="N1865" s="55"/>
      <c r="O1865" s="55"/>
    </row>
    <row r="1866" spans="1:21">
      <c r="A1866" s="47">
        <v>30069252</v>
      </c>
      <c r="B1866" s="46" t="s">
        <v>1793</v>
      </c>
      <c r="C1866" s="55" t="s">
        <v>1161</v>
      </c>
      <c r="D1866" s="48">
        <v>30384</v>
      </c>
      <c r="E1866" s="49">
        <f t="shared" ca="1" si="66"/>
        <v>43.310061601642708</v>
      </c>
      <c r="F1866" s="50">
        <v>153049743</v>
      </c>
      <c r="G1866" s="51" t="s">
        <v>141</v>
      </c>
      <c r="I1866" s="52" t="s">
        <v>1657</v>
      </c>
      <c r="J1866" s="55"/>
      <c r="K1866" s="55"/>
      <c r="L1866" s="55"/>
      <c r="M1866" s="53" t="s">
        <v>1794</v>
      </c>
      <c r="N1866" s="55">
        <v>4107551</v>
      </c>
      <c r="O1866" s="55"/>
    </row>
    <row r="1867" spans="1:21">
      <c r="A1867" s="47">
        <v>30069677</v>
      </c>
      <c r="B1867" s="46" t="s">
        <v>2612</v>
      </c>
      <c r="C1867" s="46" t="s">
        <v>2613</v>
      </c>
      <c r="D1867" s="48">
        <v>30468</v>
      </c>
      <c r="E1867" s="49">
        <f t="shared" ca="1" si="66"/>
        <v>43.080082135523611</v>
      </c>
      <c r="F1867" s="50">
        <v>156773121</v>
      </c>
      <c r="G1867" s="51" t="s">
        <v>86</v>
      </c>
      <c r="I1867" s="59" t="s">
        <v>908</v>
      </c>
      <c r="J1867" s="46" t="s">
        <v>2614</v>
      </c>
      <c r="M1867" s="53" t="s">
        <v>2467</v>
      </c>
      <c r="N1867" s="46">
        <v>4212400</v>
      </c>
    </row>
    <row r="1868" spans="1:21">
      <c r="A1868" s="47">
        <v>30069858</v>
      </c>
      <c r="B1868" s="46" t="s">
        <v>883</v>
      </c>
      <c r="C1868" s="55" t="s">
        <v>4676</v>
      </c>
      <c r="D1868" s="48">
        <v>31603</v>
      </c>
      <c r="E1868" s="49">
        <f t="shared" ca="1" si="66"/>
        <v>39.973288814691152</v>
      </c>
      <c r="F1868" s="50">
        <v>155199043</v>
      </c>
      <c r="G1868" s="51" t="s">
        <v>86</v>
      </c>
      <c r="I1868" s="52" t="s">
        <v>4499</v>
      </c>
      <c r="J1868" s="55" t="s">
        <v>234</v>
      </c>
      <c r="K1868" s="55"/>
      <c r="L1868" s="55"/>
      <c r="M1868" s="58" t="s">
        <v>25</v>
      </c>
      <c r="N1868" s="55">
        <v>4847305</v>
      </c>
      <c r="O1868" s="55"/>
    </row>
    <row r="1869" spans="1:21">
      <c r="A1869" s="64">
        <v>30069864</v>
      </c>
      <c r="B1869" s="61" t="s">
        <v>26</v>
      </c>
      <c r="C1869" s="62" t="s">
        <v>2436</v>
      </c>
      <c r="D1869" s="48">
        <v>30525</v>
      </c>
      <c r="E1869" s="49">
        <f t="shared" ca="1" si="66"/>
        <v>42.924024640657088</v>
      </c>
      <c r="F1869" s="63">
        <v>153527114</v>
      </c>
      <c r="G1869" s="51" t="s">
        <v>23</v>
      </c>
      <c r="I1869" s="59" t="s">
        <v>908</v>
      </c>
      <c r="J1869" s="61" t="s">
        <v>48</v>
      </c>
      <c r="K1869" s="61"/>
      <c r="L1869" s="61"/>
      <c r="M1869" s="53" t="s">
        <v>2437</v>
      </c>
      <c r="N1869" s="55"/>
      <c r="O1869" s="55"/>
    </row>
    <row r="1870" spans="1:21">
      <c r="A1870" s="47">
        <v>30090802</v>
      </c>
      <c r="B1870" s="46" t="s">
        <v>5012</v>
      </c>
      <c r="C1870" s="55" t="s">
        <v>5013</v>
      </c>
      <c r="D1870" s="48">
        <v>30530</v>
      </c>
      <c r="E1870" s="49">
        <f t="shared" ca="1" si="66"/>
        <v>42.910335386721421</v>
      </c>
      <c r="F1870" s="50">
        <v>155099258</v>
      </c>
      <c r="G1870" s="51" t="s">
        <v>70</v>
      </c>
      <c r="I1870" s="65" t="s">
        <v>4954</v>
      </c>
      <c r="J1870" s="55"/>
      <c r="K1870" s="55"/>
      <c r="L1870" s="55"/>
      <c r="M1870" s="58" t="s">
        <v>25</v>
      </c>
      <c r="N1870" s="55">
        <v>4247752</v>
      </c>
      <c r="O1870" s="55">
        <v>7196</v>
      </c>
    </row>
    <row r="1871" spans="1:21">
      <c r="A1871" s="47">
        <v>30116373</v>
      </c>
      <c r="B1871" s="46" t="s">
        <v>2151</v>
      </c>
      <c r="C1871" s="52" t="s">
        <v>2853</v>
      </c>
      <c r="D1871" s="48">
        <v>30490</v>
      </c>
      <c r="E1871" s="49">
        <f t="shared" ca="1" si="66"/>
        <v>43.019849418206711</v>
      </c>
      <c r="F1871" s="50">
        <v>154133416</v>
      </c>
      <c r="G1871" s="51" t="s">
        <v>70</v>
      </c>
      <c r="I1871" s="52" t="s">
        <v>3630</v>
      </c>
      <c r="J1871" s="46" t="s">
        <v>3790</v>
      </c>
      <c r="M1871" s="53" t="s">
        <v>3791</v>
      </c>
      <c r="N1871" s="55"/>
      <c r="O1871" s="55"/>
    </row>
    <row r="1872" spans="1:21">
      <c r="A1872" s="47">
        <v>30117287</v>
      </c>
      <c r="B1872" s="46" t="s">
        <v>541</v>
      </c>
      <c r="C1872" s="52" t="s">
        <v>1585</v>
      </c>
      <c r="D1872" s="48">
        <v>30396</v>
      </c>
      <c r="E1872" s="49">
        <f t="shared" ca="1" si="66"/>
        <v>43.277207392197127</v>
      </c>
      <c r="G1872" s="51" t="s">
        <v>70</v>
      </c>
      <c r="I1872" s="52" t="s">
        <v>1497</v>
      </c>
      <c r="J1872" s="46" t="s">
        <v>1586</v>
      </c>
      <c r="M1872" s="53" t="s">
        <v>1587</v>
      </c>
      <c r="N1872" s="55"/>
      <c r="O1872" s="55"/>
    </row>
    <row r="1873" spans="1:21">
      <c r="A1873" s="47">
        <v>30117418</v>
      </c>
      <c r="B1873" s="46" t="s">
        <v>6615</v>
      </c>
      <c r="C1873" s="46" t="s">
        <v>97</v>
      </c>
      <c r="D1873" s="48" t="s">
        <v>6616</v>
      </c>
      <c r="E1873" s="49">
        <f t="shared" ca="1" si="66"/>
        <v>43.247091033538673</v>
      </c>
      <c r="F1873" s="50" t="s">
        <v>6617</v>
      </c>
      <c r="G1873" s="51" t="s">
        <v>141</v>
      </c>
      <c r="H1873" s="52" t="s">
        <v>52</v>
      </c>
      <c r="I1873" s="52" t="s">
        <v>5863</v>
      </c>
      <c r="J1873" s="46" t="s">
        <v>52</v>
      </c>
      <c r="K1873" s="46" t="s">
        <v>81</v>
      </c>
      <c r="L1873" s="46" t="s">
        <v>546</v>
      </c>
      <c r="M1873" s="52" t="s">
        <v>6618</v>
      </c>
      <c r="N1873" s="46" t="s">
        <v>52</v>
      </c>
      <c r="O1873" s="46" t="s">
        <v>52</v>
      </c>
      <c r="P1873" s="46" t="s">
        <v>59</v>
      </c>
      <c r="Q1873" s="46" t="s">
        <v>60</v>
      </c>
      <c r="R1873" s="46" t="s">
        <v>61</v>
      </c>
      <c r="S1873" s="46" t="s">
        <v>62</v>
      </c>
      <c r="T1873" s="46" t="s">
        <v>12</v>
      </c>
      <c r="U1873" s="46" t="s">
        <v>63</v>
      </c>
    </row>
    <row r="1874" spans="1:21">
      <c r="A1874" s="47">
        <v>30177792</v>
      </c>
      <c r="B1874" s="46" t="s">
        <v>304</v>
      </c>
      <c r="C1874" s="46" t="s">
        <v>129</v>
      </c>
      <c r="E1874" s="49" t="str">
        <f t="shared" ca="1" si="66"/>
        <v/>
      </c>
      <c r="F1874" s="50">
        <v>155154046</v>
      </c>
      <c r="G1874" s="51" t="s">
        <v>23</v>
      </c>
      <c r="I1874" s="52" t="s">
        <v>23</v>
      </c>
      <c r="M1874" s="53"/>
    </row>
    <row r="1875" spans="1:21">
      <c r="A1875" s="47">
        <v>30268063</v>
      </c>
      <c r="B1875" s="46" t="s">
        <v>1631</v>
      </c>
      <c r="C1875" s="52" t="s">
        <v>1632</v>
      </c>
      <c r="D1875" s="48" t="s">
        <v>52</v>
      </c>
      <c r="E1875" s="49" t="str">
        <f t="shared" ca="1" si="66"/>
        <v/>
      </c>
      <c r="F1875" s="50" t="s">
        <v>2615</v>
      </c>
      <c r="G1875" s="51" t="s">
        <v>70</v>
      </c>
      <c r="H1875" s="52" t="s">
        <v>2616</v>
      </c>
      <c r="I1875" s="59" t="s">
        <v>908</v>
      </c>
      <c r="J1875" s="46" t="s">
        <v>417</v>
      </c>
      <c r="K1875" s="46" t="s">
        <v>112</v>
      </c>
      <c r="L1875" s="46" t="s">
        <v>52</v>
      </c>
      <c r="M1875" s="53" t="s">
        <v>2617</v>
      </c>
      <c r="N1875" s="55" t="s">
        <v>52</v>
      </c>
      <c r="O1875" s="55" t="s">
        <v>52</v>
      </c>
      <c r="P1875" s="46" t="s">
        <v>59</v>
      </c>
      <c r="Q1875" s="46" t="s">
        <v>60</v>
      </c>
      <c r="R1875" s="46" t="s">
        <v>61</v>
      </c>
      <c r="S1875" s="46" t="s">
        <v>62</v>
      </c>
      <c r="T1875" s="46" t="s">
        <v>12</v>
      </c>
      <c r="U1875" s="46" t="s">
        <v>63</v>
      </c>
    </row>
    <row r="1876" spans="1:21">
      <c r="A1876" s="47">
        <v>30268079</v>
      </c>
      <c r="B1876" s="46" t="s">
        <v>1067</v>
      </c>
      <c r="C1876" s="52" t="s">
        <v>1068</v>
      </c>
      <c r="E1876" s="49" t="str">
        <f t="shared" ca="1" si="66"/>
        <v/>
      </c>
      <c r="G1876" s="51" t="s">
        <v>23</v>
      </c>
      <c r="I1876" s="59" t="s">
        <v>908</v>
      </c>
      <c r="M1876" s="53" t="s">
        <v>1069</v>
      </c>
      <c r="N1876" s="55"/>
      <c r="O1876" s="55"/>
    </row>
    <row r="1877" spans="1:21">
      <c r="A1877" s="47">
        <v>30268714</v>
      </c>
      <c r="B1877" s="46" t="s">
        <v>499</v>
      </c>
      <c r="C1877" s="46" t="s">
        <v>769</v>
      </c>
      <c r="D1877" s="48" t="s">
        <v>770</v>
      </c>
      <c r="E1877" s="49">
        <f t="shared" ca="1" si="66"/>
        <v>43.080082135523611</v>
      </c>
      <c r="F1877" s="50" t="s">
        <v>771</v>
      </c>
      <c r="G1877" s="51" t="s">
        <v>70</v>
      </c>
      <c r="H1877" s="52" t="s">
        <v>52</v>
      </c>
      <c r="I1877" s="52" t="s">
        <v>594</v>
      </c>
      <c r="J1877" s="46" t="s">
        <v>772</v>
      </c>
      <c r="K1877" s="46" t="s">
        <v>81</v>
      </c>
      <c r="L1877" s="46" t="s">
        <v>546</v>
      </c>
      <c r="M1877" s="52" t="s">
        <v>773</v>
      </c>
      <c r="N1877" s="46" t="s">
        <v>52</v>
      </c>
      <c r="O1877" s="46" t="s">
        <v>52</v>
      </c>
      <c r="P1877" s="46" t="s">
        <v>59</v>
      </c>
      <c r="Q1877" s="46" t="s">
        <v>60</v>
      </c>
      <c r="R1877" s="46" t="s">
        <v>61</v>
      </c>
      <c r="S1877" s="46" t="s">
        <v>62</v>
      </c>
      <c r="T1877" s="46" t="s">
        <v>12</v>
      </c>
      <c r="U1877" s="46" t="s">
        <v>63</v>
      </c>
    </row>
    <row r="1878" spans="1:21">
      <c r="A1878" s="47">
        <v>30268715</v>
      </c>
      <c r="B1878" s="46" t="s">
        <v>256</v>
      </c>
      <c r="C1878" s="46" t="s">
        <v>9527</v>
      </c>
      <c r="D1878" s="48" t="s">
        <v>9528</v>
      </c>
      <c r="E1878" s="49" t="s">
        <v>9529</v>
      </c>
      <c r="F1878" s="50" t="s">
        <v>9530</v>
      </c>
      <c r="G1878" s="51" t="s">
        <v>141</v>
      </c>
      <c r="H1878" s="52" t="s">
        <v>52</v>
      </c>
      <c r="I1878" s="52" t="s">
        <v>4245</v>
      </c>
      <c r="J1878" s="46" t="s">
        <v>9531</v>
      </c>
      <c r="K1878" s="46" t="s">
        <v>81</v>
      </c>
      <c r="L1878" s="46" t="s">
        <v>546</v>
      </c>
      <c r="M1878" s="52" t="s">
        <v>9532</v>
      </c>
      <c r="N1878" s="46" t="s">
        <v>52</v>
      </c>
      <c r="O1878" s="46" t="s">
        <v>52</v>
      </c>
      <c r="P1878" s="46" t="s">
        <v>59</v>
      </c>
      <c r="Q1878" s="46" t="s">
        <v>60</v>
      </c>
      <c r="R1878" s="46" t="s">
        <v>61</v>
      </c>
      <c r="S1878" s="46" t="s">
        <v>62</v>
      </c>
      <c r="T1878" s="46" t="s">
        <v>12</v>
      </c>
      <c r="U1878" s="46" t="s">
        <v>63</v>
      </c>
    </row>
    <row r="1879" spans="1:21">
      <c r="A1879" s="60">
        <v>30303224</v>
      </c>
      <c r="B1879" s="61" t="s">
        <v>976</v>
      </c>
      <c r="C1879" s="62" t="s">
        <v>977</v>
      </c>
      <c r="D1879" s="48">
        <v>30460</v>
      </c>
      <c r="E1879" s="49">
        <f t="shared" ref="E1879:E1891" ca="1" si="67">IF(D1879="","",YEARFRAC(D1879,TODAY(),1))</f>
        <v>43.101984941820668</v>
      </c>
      <c r="F1879" s="63">
        <v>155993353</v>
      </c>
      <c r="G1879" s="51" t="s">
        <v>23</v>
      </c>
      <c r="I1879" s="59" t="s">
        <v>908</v>
      </c>
      <c r="J1879" s="61" t="s">
        <v>978</v>
      </c>
      <c r="K1879" s="61"/>
      <c r="L1879" s="61"/>
      <c r="M1879" s="53" t="s">
        <v>979</v>
      </c>
      <c r="N1879" s="55"/>
      <c r="O1879" s="55"/>
    </row>
    <row r="1880" spans="1:21">
      <c r="A1880" s="47">
        <v>30339120</v>
      </c>
      <c r="B1880" s="46" t="s">
        <v>4553</v>
      </c>
      <c r="C1880" s="46" t="s">
        <v>4554</v>
      </c>
      <c r="E1880" s="49" t="str">
        <f t="shared" ca="1" si="67"/>
        <v/>
      </c>
      <c r="G1880" s="51" t="s">
        <v>23</v>
      </c>
      <c r="I1880" s="52" t="s">
        <v>4499</v>
      </c>
      <c r="M1880" s="53" t="s">
        <v>4555</v>
      </c>
    </row>
    <row r="1881" spans="1:21">
      <c r="A1881" s="47">
        <v>30357266</v>
      </c>
      <c r="B1881" s="46" t="s">
        <v>3578</v>
      </c>
      <c r="C1881" s="55" t="s">
        <v>165</v>
      </c>
      <c r="D1881" s="48">
        <v>30627</v>
      </c>
      <c r="E1881" s="49">
        <f t="shared" ca="1" si="67"/>
        <v>42.644763860369608</v>
      </c>
      <c r="F1881" s="50">
        <v>154385377</v>
      </c>
      <c r="G1881" s="51" t="s">
        <v>78</v>
      </c>
      <c r="I1881" s="52" t="s">
        <v>3555</v>
      </c>
      <c r="J1881" s="55"/>
      <c r="K1881" s="55"/>
      <c r="L1881" s="55"/>
      <c r="M1881" s="53" t="s">
        <v>3579</v>
      </c>
      <c r="N1881" s="55"/>
      <c r="O1881" s="55">
        <v>125</v>
      </c>
    </row>
    <row r="1882" spans="1:21">
      <c r="A1882" s="47">
        <v>30357304</v>
      </c>
      <c r="B1882" s="46" t="s">
        <v>350</v>
      </c>
      <c r="C1882" s="46" t="s">
        <v>588</v>
      </c>
      <c r="D1882" s="48">
        <v>30455</v>
      </c>
      <c r="E1882" s="49">
        <f t="shared" ca="1" si="67"/>
        <v>43.115674195756334</v>
      </c>
      <c r="F1882" s="50">
        <v>156649527</v>
      </c>
      <c r="G1882" s="51" t="s">
        <v>78</v>
      </c>
      <c r="I1882" s="52" t="s">
        <v>589</v>
      </c>
      <c r="J1882" s="46" t="s">
        <v>38</v>
      </c>
      <c r="M1882" s="53" t="s">
        <v>590</v>
      </c>
      <c r="N1882" s="46">
        <v>4247752</v>
      </c>
      <c r="O1882" s="46" t="s">
        <v>591</v>
      </c>
      <c r="P1882" s="46">
        <v>4</v>
      </c>
    </row>
    <row r="1883" spans="1:21">
      <c r="A1883" s="47">
        <v>30357310</v>
      </c>
      <c r="B1883" s="46" t="s">
        <v>3574</v>
      </c>
      <c r="C1883" s="46" t="s">
        <v>1496</v>
      </c>
      <c r="E1883" s="49" t="str">
        <f t="shared" ca="1" si="67"/>
        <v/>
      </c>
      <c r="F1883" s="50">
        <v>156218780</v>
      </c>
      <c r="G1883" s="51" t="s">
        <v>23</v>
      </c>
      <c r="I1883" s="52" t="s">
        <v>3555</v>
      </c>
      <c r="M1883" s="53" t="s">
        <v>3575</v>
      </c>
    </row>
    <row r="1884" spans="1:21">
      <c r="A1884" s="47">
        <v>30357522</v>
      </c>
      <c r="B1884" s="46" t="s">
        <v>1885</v>
      </c>
      <c r="C1884" s="55" t="s">
        <v>571</v>
      </c>
      <c r="D1884" s="48">
        <v>30670</v>
      </c>
      <c r="E1884" s="49">
        <f t="shared" ca="1" si="67"/>
        <v>42.527036276522928</v>
      </c>
      <c r="F1884" s="50">
        <v>154690099</v>
      </c>
      <c r="G1884" s="51" t="s">
        <v>86</v>
      </c>
      <c r="I1884" s="52" t="s">
        <v>1881</v>
      </c>
      <c r="J1884" s="55"/>
      <c r="K1884" s="55"/>
      <c r="L1884" s="55"/>
      <c r="M1884" s="53" t="s">
        <v>1886</v>
      </c>
      <c r="N1884" s="55">
        <v>4364093</v>
      </c>
      <c r="O1884" s="55">
        <v>8517</v>
      </c>
    </row>
    <row r="1885" spans="1:21">
      <c r="A1885" s="47">
        <v>30408472</v>
      </c>
      <c r="B1885" s="46" t="s">
        <v>5204</v>
      </c>
      <c r="C1885" s="46" t="s">
        <v>5205</v>
      </c>
      <c r="D1885" s="48" t="s">
        <v>5206</v>
      </c>
      <c r="E1885" s="49">
        <f t="shared" ca="1" si="67"/>
        <v>42.907597535934293</v>
      </c>
      <c r="F1885" s="50" t="s">
        <v>5207</v>
      </c>
      <c r="G1885" s="51" t="s">
        <v>70</v>
      </c>
      <c r="H1885" s="52" t="s">
        <v>111</v>
      </c>
      <c r="I1885" s="52" t="s">
        <v>5176</v>
      </c>
      <c r="J1885" s="46" t="s">
        <v>5208</v>
      </c>
      <c r="K1885" s="46" t="s">
        <v>81</v>
      </c>
      <c r="L1885" s="46" t="s">
        <v>52</v>
      </c>
      <c r="M1885" s="52" t="s">
        <v>5209</v>
      </c>
      <c r="N1885" s="46" t="s">
        <v>5184</v>
      </c>
      <c r="O1885" s="46" t="s">
        <v>5203</v>
      </c>
      <c r="P1885" s="46" t="s">
        <v>59</v>
      </c>
      <c r="Q1885" s="46" t="s">
        <v>60</v>
      </c>
      <c r="R1885" s="46" t="s">
        <v>61</v>
      </c>
      <c r="S1885" s="46" t="s">
        <v>62</v>
      </c>
      <c r="T1885" s="46" t="s">
        <v>12</v>
      </c>
      <c r="U1885" s="46" t="s">
        <v>63</v>
      </c>
    </row>
    <row r="1886" spans="1:21">
      <c r="A1886" s="64">
        <v>30409472</v>
      </c>
      <c r="B1886" s="61" t="s">
        <v>5204</v>
      </c>
      <c r="C1886" s="62" t="s">
        <v>5205</v>
      </c>
      <c r="D1886" s="48">
        <v>30531</v>
      </c>
      <c r="E1886" s="49">
        <f t="shared" ca="1" si="67"/>
        <v>42.907597535934293</v>
      </c>
      <c r="F1886" s="63">
        <v>156227190</v>
      </c>
      <c r="G1886" s="51" t="s">
        <v>23</v>
      </c>
      <c r="I1886" s="52" t="s">
        <v>5176</v>
      </c>
      <c r="J1886" s="61" t="s">
        <v>5300</v>
      </c>
      <c r="K1886" s="61"/>
      <c r="L1886" s="61"/>
      <c r="M1886" s="53" t="s">
        <v>5301</v>
      </c>
      <c r="N1886" s="55"/>
      <c r="O1886" s="55"/>
    </row>
    <row r="1887" spans="1:21">
      <c r="A1887" s="47">
        <v>30442283</v>
      </c>
      <c r="B1887" s="46" t="s">
        <v>774</v>
      </c>
      <c r="C1887" s="46" t="s">
        <v>4552</v>
      </c>
      <c r="E1887" s="49" t="str">
        <f t="shared" ca="1" si="67"/>
        <v/>
      </c>
      <c r="F1887" s="50">
        <v>156823131</v>
      </c>
      <c r="G1887" s="51" t="s">
        <v>23</v>
      </c>
      <c r="I1887" s="52" t="s">
        <v>4499</v>
      </c>
      <c r="M1887" s="58" t="s">
        <v>25</v>
      </c>
    </row>
    <row r="1888" spans="1:21">
      <c r="A1888" s="47">
        <v>30442895</v>
      </c>
      <c r="B1888" s="46" t="s">
        <v>6450</v>
      </c>
      <c r="C1888" s="46" t="s">
        <v>6451</v>
      </c>
      <c r="D1888" s="48">
        <v>30579</v>
      </c>
      <c r="E1888" s="49">
        <f t="shared" ca="1" si="67"/>
        <v>42.776180698151954</v>
      </c>
      <c r="F1888" s="50">
        <v>154039327</v>
      </c>
      <c r="G1888" s="51" t="s">
        <v>141</v>
      </c>
      <c r="I1888" s="52" t="s">
        <v>23</v>
      </c>
      <c r="J1888" s="46" t="s">
        <v>38</v>
      </c>
      <c r="M1888" s="53" t="s">
        <v>6452</v>
      </c>
      <c r="N1888" s="46">
        <v>4248016</v>
      </c>
    </row>
    <row r="1889" spans="1:21">
      <c r="A1889" s="47">
        <v>30497078</v>
      </c>
      <c r="B1889" s="46" t="s">
        <v>4991</v>
      </c>
      <c r="C1889" s="52" t="s">
        <v>2430</v>
      </c>
      <c r="E1889" s="49" t="str">
        <f t="shared" ca="1" si="67"/>
        <v/>
      </c>
      <c r="F1889" s="50">
        <v>156688802</v>
      </c>
      <c r="G1889" s="51" t="s">
        <v>23</v>
      </c>
      <c r="I1889" s="52" t="s">
        <v>5494</v>
      </c>
      <c r="M1889" s="53" t="s">
        <v>5549</v>
      </c>
      <c r="N1889" s="55"/>
      <c r="O1889" s="55"/>
    </row>
    <row r="1890" spans="1:21">
      <c r="A1890" s="47">
        <v>30497427</v>
      </c>
      <c r="B1890" s="46" t="s">
        <v>662</v>
      </c>
      <c r="C1890" s="52" t="s">
        <v>1074</v>
      </c>
      <c r="D1890" s="48">
        <v>30620</v>
      </c>
      <c r="E1890" s="49">
        <f t="shared" ca="1" si="67"/>
        <v>42.663928815879537</v>
      </c>
      <c r="F1890" s="50">
        <v>154635233</v>
      </c>
      <c r="G1890" s="51" t="s">
        <v>23</v>
      </c>
      <c r="I1890" s="59" t="s">
        <v>908</v>
      </c>
      <c r="J1890" s="46" t="s">
        <v>1075</v>
      </c>
      <c r="M1890" s="53" t="s">
        <v>1076</v>
      </c>
      <c r="N1890" s="55"/>
      <c r="O1890" s="55"/>
    </row>
    <row r="1891" spans="1:21">
      <c r="A1891" s="47">
        <v>30497477</v>
      </c>
      <c r="B1891" s="46" t="s">
        <v>662</v>
      </c>
      <c r="C1891" s="52" t="s">
        <v>1074</v>
      </c>
      <c r="D1891" s="48">
        <v>23315</v>
      </c>
      <c r="E1891" s="49">
        <f t="shared" ca="1" si="67"/>
        <v>62.663928815879537</v>
      </c>
      <c r="F1891" s="50">
        <v>154635233</v>
      </c>
      <c r="G1891" s="51" t="s">
        <v>23</v>
      </c>
      <c r="I1891" s="59" t="s">
        <v>908</v>
      </c>
      <c r="J1891" s="46" t="s">
        <v>1077</v>
      </c>
      <c r="M1891" s="53" t="s">
        <v>1076</v>
      </c>
      <c r="N1891" s="55"/>
      <c r="O1891" s="55"/>
    </row>
    <row r="1892" spans="1:21">
      <c r="A1892" s="74">
        <v>30497540</v>
      </c>
      <c r="B1892" s="234" t="s">
        <v>6868</v>
      </c>
      <c r="C1892" s="234" t="s">
        <v>8923</v>
      </c>
      <c r="D1892" s="235">
        <v>30626</v>
      </c>
      <c r="E1892" s="236"/>
      <c r="F1892" s="237">
        <v>3816695821</v>
      </c>
      <c r="G1892" s="234" t="s">
        <v>78</v>
      </c>
      <c r="H1892" s="238" t="s">
        <v>9959</v>
      </c>
      <c r="I1892" s="267" t="s">
        <v>6608</v>
      </c>
      <c r="J1892" s="234" t="s">
        <v>6609</v>
      </c>
      <c r="K1892" s="234" t="s">
        <v>390</v>
      </c>
      <c r="L1892" s="234"/>
      <c r="M1892" s="238" t="s">
        <v>9929</v>
      </c>
      <c r="N1892" s="234"/>
      <c r="O1892" s="234"/>
      <c r="P1892" s="234"/>
      <c r="Q1892" s="234"/>
      <c r="R1892" s="234"/>
      <c r="S1892" s="234"/>
      <c r="T1892" s="234"/>
      <c r="U1892" s="234"/>
    </row>
    <row r="1893" spans="1:21">
      <c r="A1893" s="47">
        <v>30497559</v>
      </c>
      <c r="B1893" s="46" t="s">
        <v>5795</v>
      </c>
      <c r="C1893" s="46" t="s">
        <v>6539</v>
      </c>
      <c r="D1893" s="48" t="s">
        <v>6540</v>
      </c>
      <c r="E1893" s="49">
        <f t="shared" ref="E1893:E1907" ca="1" si="68">IF(D1893="","",YEARFRAC(D1893,TODAY(),1))</f>
        <v>42.945927446954144</v>
      </c>
      <c r="F1893" s="50" t="s">
        <v>6541</v>
      </c>
      <c r="G1893" s="51" t="s">
        <v>141</v>
      </c>
      <c r="H1893" s="52" t="s">
        <v>52</v>
      </c>
      <c r="I1893" s="52" t="s">
        <v>6542</v>
      </c>
      <c r="J1893" s="46" t="s">
        <v>6543</v>
      </c>
      <c r="K1893" s="46" t="s">
        <v>1206</v>
      </c>
      <c r="L1893" s="46" t="s">
        <v>546</v>
      </c>
      <c r="M1893" s="52" t="s">
        <v>6544</v>
      </c>
      <c r="N1893" s="46" t="s">
        <v>52</v>
      </c>
      <c r="O1893" s="46" t="s">
        <v>52</v>
      </c>
      <c r="P1893" s="46" t="s">
        <v>59</v>
      </c>
      <c r="Q1893" s="46" t="s">
        <v>60</v>
      </c>
      <c r="R1893" s="46" t="s">
        <v>61</v>
      </c>
      <c r="S1893" s="46" t="s">
        <v>62</v>
      </c>
      <c r="T1893" s="46" t="s">
        <v>12</v>
      </c>
      <c r="U1893" s="46" t="s">
        <v>63</v>
      </c>
    </row>
    <row r="1894" spans="1:21">
      <c r="A1894" s="47">
        <v>30497720</v>
      </c>
      <c r="B1894" s="46" t="s">
        <v>2990</v>
      </c>
      <c r="C1894" s="46" t="s">
        <v>131</v>
      </c>
      <c r="D1894" s="48">
        <v>30555</v>
      </c>
      <c r="E1894" s="49">
        <f t="shared" ca="1" si="68"/>
        <v>42.841889117043124</v>
      </c>
      <c r="F1894" s="50">
        <v>155791078</v>
      </c>
      <c r="G1894" s="51" t="s">
        <v>86</v>
      </c>
      <c r="I1894" s="52" t="s">
        <v>2926</v>
      </c>
      <c r="J1894" s="46" t="s">
        <v>38</v>
      </c>
      <c r="M1894" s="52" t="s">
        <v>2991</v>
      </c>
      <c r="N1894" s="46">
        <v>4847372</v>
      </c>
      <c r="P1894" s="46">
        <v>4</v>
      </c>
    </row>
    <row r="1895" spans="1:21">
      <c r="A1895" s="47">
        <v>30539099</v>
      </c>
      <c r="B1895" s="46" t="s">
        <v>905</v>
      </c>
      <c r="C1895" s="52" t="s">
        <v>906</v>
      </c>
      <c r="D1895" s="48">
        <v>30634</v>
      </c>
      <c r="E1895" s="49">
        <f t="shared" ca="1" si="68"/>
        <v>42.625598904859686</v>
      </c>
      <c r="F1895" s="50" t="s">
        <v>907</v>
      </c>
      <c r="G1895" s="51" t="s">
        <v>23</v>
      </c>
      <c r="I1895" s="59" t="s">
        <v>908</v>
      </c>
      <c r="J1895" s="46" t="s">
        <v>909</v>
      </c>
      <c r="M1895" s="53" t="s">
        <v>910</v>
      </c>
      <c r="N1895" s="55"/>
      <c r="O1895" s="55"/>
    </row>
    <row r="1896" spans="1:21">
      <c r="A1896" s="47">
        <v>30539453</v>
      </c>
      <c r="B1896" s="46" t="s">
        <v>2919</v>
      </c>
      <c r="C1896" s="46" t="s">
        <v>3712</v>
      </c>
      <c r="D1896" s="48">
        <v>30743</v>
      </c>
      <c r="E1896" s="49">
        <f t="shared" ca="1" si="68"/>
        <v>42.326499426970585</v>
      </c>
      <c r="F1896" s="50">
        <v>154040988</v>
      </c>
      <c r="G1896" s="51" t="s">
        <v>70</v>
      </c>
      <c r="I1896" s="52" t="s">
        <v>3630</v>
      </c>
      <c r="J1896" s="46" t="s">
        <v>3713</v>
      </c>
      <c r="M1896" s="53" t="s">
        <v>3714</v>
      </c>
      <c r="P1896" s="46" t="s">
        <v>1092</v>
      </c>
    </row>
    <row r="1897" spans="1:21">
      <c r="A1897" s="47">
        <v>30597790</v>
      </c>
      <c r="B1897" s="46" t="s">
        <v>3039</v>
      </c>
      <c r="C1897" s="46" t="s">
        <v>3040</v>
      </c>
      <c r="D1897" s="48">
        <v>30610</v>
      </c>
      <c r="E1897" s="49">
        <f t="shared" ca="1" si="68"/>
        <v>42.691307323750856</v>
      </c>
      <c r="F1897" s="50">
        <v>155344075</v>
      </c>
      <c r="G1897" s="51" t="s">
        <v>141</v>
      </c>
      <c r="I1897" s="52" t="s">
        <v>2926</v>
      </c>
      <c r="M1897" s="58" t="s">
        <v>25</v>
      </c>
      <c r="N1897" s="46">
        <v>4303727</v>
      </c>
    </row>
    <row r="1898" spans="1:21">
      <c r="A1898" s="64">
        <v>30598449</v>
      </c>
      <c r="B1898" s="61" t="s">
        <v>6376</v>
      </c>
      <c r="C1898" s="62" t="s">
        <v>363</v>
      </c>
      <c r="E1898" s="49" t="str">
        <f t="shared" ca="1" si="68"/>
        <v/>
      </c>
      <c r="F1898" s="63">
        <v>156429434</v>
      </c>
      <c r="G1898" s="51" t="s">
        <v>23</v>
      </c>
      <c r="I1898" s="52" t="s">
        <v>23</v>
      </c>
      <c r="J1898" s="61"/>
      <c r="K1898" s="61"/>
      <c r="L1898" s="61"/>
      <c r="M1898" s="53" t="s">
        <v>6377</v>
      </c>
      <c r="N1898" s="55"/>
      <c r="O1898" s="55"/>
    </row>
    <row r="1899" spans="1:21">
      <c r="A1899" s="47">
        <v>30598547</v>
      </c>
      <c r="B1899" s="46" t="s">
        <v>2400</v>
      </c>
      <c r="C1899" s="46" t="s">
        <v>2401</v>
      </c>
      <c r="D1899" s="48" t="s">
        <v>2402</v>
      </c>
      <c r="E1899" s="49">
        <f t="shared" ca="1" si="68"/>
        <v>42.562628336755644</v>
      </c>
      <c r="F1899" s="50" t="s">
        <v>2403</v>
      </c>
      <c r="G1899" s="51" t="s">
        <v>70</v>
      </c>
      <c r="H1899" s="52" t="s">
        <v>2404</v>
      </c>
      <c r="I1899" s="52" t="s">
        <v>1497</v>
      </c>
      <c r="J1899" s="46" t="s">
        <v>2405</v>
      </c>
      <c r="K1899" s="46" t="s">
        <v>390</v>
      </c>
      <c r="L1899" s="46" t="s">
        <v>441</v>
      </c>
      <c r="M1899" s="52" t="s">
        <v>2406</v>
      </c>
      <c r="N1899" s="46" t="s">
        <v>2399</v>
      </c>
      <c r="O1899" s="46" t="s">
        <v>52</v>
      </c>
      <c r="P1899" s="46" t="s">
        <v>59</v>
      </c>
      <c r="Q1899" s="46" t="s">
        <v>60</v>
      </c>
      <c r="R1899" s="46" t="s">
        <v>61</v>
      </c>
      <c r="S1899" s="46" t="s">
        <v>62</v>
      </c>
      <c r="T1899" s="46" t="s">
        <v>12</v>
      </c>
      <c r="U1899" s="46" t="s">
        <v>63</v>
      </c>
    </row>
    <row r="1900" spans="1:21">
      <c r="A1900" s="47">
        <v>30598579</v>
      </c>
      <c r="B1900" s="46" t="s">
        <v>4938</v>
      </c>
      <c r="C1900" s="46" t="s">
        <v>4939</v>
      </c>
      <c r="D1900" s="48" t="s">
        <v>52</v>
      </c>
      <c r="E1900" s="49" t="str">
        <f t="shared" ca="1" si="68"/>
        <v/>
      </c>
      <c r="F1900" s="50" t="s">
        <v>4940</v>
      </c>
      <c r="G1900" s="51" t="s">
        <v>70</v>
      </c>
      <c r="H1900" s="52" t="s">
        <v>52</v>
      </c>
      <c r="I1900" s="52" t="s">
        <v>4815</v>
      </c>
      <c r="J1900" s="46" t="s">
        <v>4883</v>
      </c>
      <c r="K1900" s="46" t="s">
        <v>81</v>
      </c>
      <c r="L1900" s="46" t="s">
        <v>546</v>
      </c>
      <c r="M1900" s="52" t="s">
        <v>4941</v>
      </c>
      <c r="N1900" s="46" t="s">
        <v>4891</v>
      </c>
      <c r="O1900" s="46" t="s">
        <v>52</v>
      </c>
      <c r="P1900" s="46" t="s">
        <v>59</v>
      </c>
      <c r="Q1900" s="46" t="s">
        <v>60</v>
      </c>
      <c r="R1900" s="46" t="s">
        <v>61</v>
      </c>
      <c r="S1900" s="46" t="s">
        <v>62</v>
      </c>
      <c r="T1900" s="46" t="s">
        <v>12</v>
      </c>
      <c r="U1900" s="46" t="s">
        <v>63</v>
      </c>
    </row>
    <row r="1901" spans="1:21">
      <c r="A1901" s="47">
        <v>30606953</v>
      </c>
      <c r="B1901" s="46" t="s">
        <v>3606</v>
      </c>
      <c r="C1901" s="46" t="s">
        <v>3607</v>
      </c>
      <c r="D1901" s="48" t="s">
        <v>3608</v>
      </c>
      <c r="E1901" s="49">
        <f t="shared" ca="1" si="68"/>
        <v>42.195084681013626</v>
      </c>
      <c r="F1901" s="50" t="s">
        <v>3609</v>
      </c>
      <c r="G1901" s="51" t="s">
        <v>70</v>
      </c>
      <c r="H1901" s="52" t="s">
        <v>3055</v>
      </c>
      <c r="I1901" s="52" t="s">
        <v>3555</v>
      </c>
      <c r="J1901" s="46" t="s">
        <v>52</v>
      </c>
      <c r="K1901" s="46" t="s">
        <v>390</v>
      </c>
      <c r="L1901" s="46" t="s">
        <v>546</v>
      </c>
      <c r="M1901" s="58" t="s">
        <v>3610</v>
      </c>
      <c r="N1901" s="46" t="s">
        <v>3611</v>
      </c>
      <c r="O1901" s="46" t="s">
        <v>52</v>
      </c>
      <c r="P1901" s="46" t="s">
        <v>59</v>
      </c>
      <c r="Q1901" s="46" t="s">
        <v>60</v>
      </c>
      <c r="R1901" s="46" t="s">
        <v>61</v>
      </c>
      <c r="S1901" s="46" t="s">
        <v>62</v>
      </c>
      <c r="T1901" s="46" t="s">
        <v>12</v>
      </c>
      <c r="U1901" s="46" t="s">
        <v>63</v>
      </c>
    </row>
    <row r="1902" spans="1:21">
      <c r="A1902" s="47">
        <v>30690783</v>
      </c>
      <c r="B1902" s="46" t="s">
        <v>326</v>
      </c>
      <c r="C1902" s="46" t="s">
        <v>8694</v>
      </c>
      <c r="D1902" s="48" t="s">
        <v>52</v>
      </c>
      <c r="E1902" s="49" t="str">
        <f t="shared" ca="1" si="68"/>
        <v/>
      </c>
      <c r="F1902" s="50" t="s">
        <v>8696</v>
      </c>
      <c r="G1902" s="51" t="s">
        <v>141</v>
      </c>
      <c r="H1902" s="52" t="s">
        <v>52</v>
      </c>
      <c r="I1902" s="52" t="s">
        <v>1497</v>
      </c>
      <c r="J1902" s="46" t="s">
        <v>8667</v>
      </c>
      <c r="K1902" s="46" t="s">
        <v>8668</v>
      </c>
      <c r="L1902" s="46" t="s">
        <v>546</v>
      </c>
      <c r="M1902" s="52" t="s">
        <v>8695</v>
      </c>
      <c r="N1902" s="46" t="s">
        <v>52</v>
      </c>
      <c r="O1902" s="46" t="s">
        <v>52</v>
      </c>
      <c r="P1902" s="46" t="s">
        <v>59</v>
      </c>
      <c r="Q1902" s="46" t="s">
        <v>60</v>
      </c>
      <c r="R1902" s="46" t="s">
        <v>61</v>
      </c>
      <c r="S1902" s="46" t="s">
        <v>62</v>
      </c>
      <c r="T1902" s="46" t="s">
        <v>12</v>
      </c>
      <c r="U1902" s="46" t="s">
        <v>63</v>
      </c>
    </row>
    <row r="1903" spans="1:21">
      <c r="A1903" s="47">
        <v>30759476</v>
      </c>
      <c r="B1903" s="46" t="s">
        <v>1487</v>
      </c>
      <c r="C1903" s="46" t="s">
        <v>1488</v>
      </c>
      <c r="D1903" s="48">
        <v>30731</v>
      </c>
      <c r="E1903" s="49">
        <f t="shared" ca="1" si="68"/>
        <v>42.359353113459825</v>
      </c>
      <c r="F1903" s="50">
        <v>155302095</v>
      </c>
      <c r="G1903" s="51" t="s">
        <v>86</v>
      </c>
      <c r="I1903" s="52" t="s">
        <v>1484</v>
      </c>
      <c r="J1903" s="46" t="s">
        <v>38</v>
      </c>
      <c r="M1903" s="53" t="s">
        <v>1489</v>
      </c>
      <c r="P1903" s="46">
        <v>1</v>
      </c>
    </row>
    <row r="1904" spans="1:21">
      <c r="A1904" s="47">
        <v>30759508</v>
      </c>
      <c r="B1904" s="46" t="s">
        <v>1229</v>
      </c>
      <c r="C1904" s="46" t="s">
        <v>876</v>
      </c>
      <c r="E1904" s="49" t="str">
        <f t="shared" ca="1" si="68"/>
        <v/>
      </c>
      <c r="F1904" s="50">
        <v>154156400</v>
      </c>
      <c r="G1904" s="51" t="s">
        <v>23</v>
      </c>
      <c r="I1904" s="59" t="s">
        <v>908</v>
      </c>
      <c r="M1904" s="53" t="s">
        <v>1230</v>
      </c>
    </row>
    <row r="1905" spans="1:21">
      <c r="A1905" s="47">
        <v>30759570</v>
      </c>
      <c r="B1905" s="46" t="s">
        <v>2795</v>
      </c>
      <c r="C1905" s="46" t="s">
        <v>2796</v>
      </c>
      <c r="D1905" s="48">
        <v>30739</v>
      </c>
      <c r="E1905" s="49">
        <f t="shared" ca="1" si="68"/>
        <v>42.337450655800332</v>
      </c>
      <c r="F1905" s="50">
        <v>154132595</v>
      </c>
      <c r="G1905" s="51" t="s">
        <v>86</v>
      </c>
      <c r="I1905" s="52" t="s">
        <v>2778</v>
      </c>
      <c r="J1905" s="46" t="s">
        <v>2797</v>
      </c>
      <c r="M1905" s="53" t="s">
        <v>2798</v>
      </c>
      <c r="N1905" s="46">
        <v>4364093</v>
      </c>
      <c r="O1905" s="46">
        <v>7687</v>
      </c>
      <c r="P1905" s="46">
        <v>4</v>
      </c>
    </row>
    <row r="1906" spans="1:21">
      <c r="A1906" s="47">
        <v>30759927</v>
      </c>
      <c r="B1906" s="46" t="s">
        <v>4933</v>
      </c>
      <c r="C1906" s="46" t="s">
        <v>4934</v>
      </c>
      <c r="D1906" s="48" t="s">
        <v>52</v>
      </c>
      <c r="E1906" s="49" t="str">
        <f t="shared" ca="1" si="68"/>
        <v/>
      </c>
      <c r="F1906" s="50" t="s">
        <v>4935</v>
      </c>
      <c r="G1906" s="51" t="s">
        <v>70</v>
      </c>
      <c r="H1906" s="52" t="s">
        <v>52</v>
      </c>
      <c r="I1906" s="52" t="s">
        <v>4815</v>
      </c>
      <c r="J1906" s="46" t="s">
        <v>4936</v>
      </c>
      <c r="K1906" s="46" t="s">
        <v>81</v>
      </c>
      <c r="L1906" s="46" t="s">
        <v>52</v>
      </c>
      <c r="M1906" s="52" t="s">
        <v>4937</v>
      </c>
      <c r="N1906" s="46" t="s">
        <v>4867</v>
      </c>
      <c r="O1906" s="46" t="s">
        <v>52</v>
      </c>
      <c r="P1906" s="46" t="s">
        <v>59</v>
      </c>
      <c r="Q1906" s="46" t="s">
        <v>60</v>
      </c>
      <c r="R1906" s="46" t="s">
        <v>61</v>
      </c>
      <c r="S1906" s="46" t="s">
        <v>62</v>
      </c>
      <c r="T1906" s="46" t="s">
        <v>12</v>
      </c>
      <c r="U1906" s="46" t="s">
        <v>63</v>
      </c>
    </row>
    <row r="1907" spans="1:21">
      <c r="A1907" s="47">
        <v>30759960</v>
      </c>
      <c r="B1907" s="69" t="s">
        <v>5505</v>
      </c>
      <c r="C1907" s="70" t="s">
        <v>671</v>
      </c>
      <c r="E1907" s="49" t="str">
        <f t="shared" ca="1" si="68"/>
        <v/>
      </c>
      <c r="F1907" s="50">
        <v>155604267</v>
      </c>
      <c r="G1907" s="51" t="s">
        <v>23</v>
      </c>
      <c r="I1907" s="52" t="s">
        <v>5494</v>
      </c>
      <c r="J1907" s="46" t="s">
        <v>5506</v>
      </c>
      <c r="M1907" s="53" t="s">
        <v>5507</v>
      </c>
      <c r="N1907" s="55">
        <v>4526343</v>
      </c>
      <c r="O1907" s="55"/>
    </row>
    <row r="1908" spans="1:21">
      <c r="A1908" s="74">
        <v>30760033</v>
      </c>
      <c r="B1908" s="234" t="s">
        <v>9737</v>
      </c>
      <c r="C1908" s="234" t="s">
        <v>1453</v>
      </c>
      <c r="D1908" s="235">
        <v>30770</v>
      </c>
      <c r="E1908" s="236"/>
      <c r="F1908" s="237">
        <v>3812730000</v>
      </c>
      <c r="G1908" s="234" t="s">
        <v>141</v>
      </c>
      <c r="H1908" s="238" t="s">
        <v>9969</v>
      </c>
      <c r="I1908" s="238" t="s">
        <v>3555</v>
      </c>
      <c r="J1908" s="234" t="s">
        <v>10006</v>
      </c>
      <c r="K1908" s="234" t="s">
        <v>2002</v>
      </c>
      <c r="L1908" s="234"/>
      <c r="M1908" s="238" t="s">
        <v>9938</v>
      </c>
      <c r="N1908" s="234"/>
      <c r="O1908" s="234"/>
      <c r="P1908" s="234"/>
      <c r="Q1908" s="234"/>
      <c r="R1908" s="234"/>
      <c r="S1908" s="234"/>
      <c r="T1908" s="234"/>
      <c r="U1908" s="234"/>
    </row>
    <row r="1909" spans="1:21">
      <c r="A1909" s="47">
        <v>30760295</v>
      </c>
      <c r="B1909" s="46" t="s">
        <v>3706</v>
      </c>
      <c r="C1909" s="46" t="s">
        <v>416</v>
      </c>
      <c r="D1909" s="48">
        <v>30786</v>
      </c>
      <c r="E1909" s="49">
        <f t="shared" ref="E1909:E1924" ca="1" si="69">IF(D1909="","",YEARFRAC(D1909,TODAY(),1))</f>
        <v>42.208773717050811</v>
      </c>
      <c r="F1909" s="50">
        <v>155330559</v>
      </c>
      <c r="G1909" s="51" t="s">
        <v>70</v>
      </c>
      <c r="I1909" s="52" t="s">
        <v>3630</v>
      </c>
      <c r="J1909" s="46" t="s">
        <v>297</v>
      </c>
      <c r="M1909" s="53" t="s">
        <v>3707</v>
      </c>
      <c r="P1909" s="46">
        <v>3</v>
      </c>
    </row>
    <row r="1910" spans="1:21">
      <c r="A1910" s="47">
        <v>30760509</v>
      </c>
      <c r="B1910" s="46" t="s">
        <v>130</v>
      </c>
      <c r="C1910" s="46" t="s">
        <v>131</v>
      </c>
      <c r="D1910" s="48">
        <v>30798</v>
      </c>
      <c r="E1910" s="49">
        <f t="shared" ca="1" si="69"/>
        <v>42.175920030561571</v>
      </c>
      <c r="F1910" s="50">
        <v>156265642</v>
      </c>
      <c r="G1910" s="51" t="s">
        <v>70</v>
      </c>
      <c r="I1910" s="52" t="s">
        <v>24</v>
      </c>
      <c r="J1910" s="46" t="s">
        <v>132</v>
      </c>
      <c r="M1910" s="53" t="s">
        <v>133</v>
      </c>
      <c r="N1910" s="46">
        <v>4107535</v>
      </c>
    </row>
    <row r="1911" spans="1:21">
      <c r="A1911" s="47">
        <v>30835435</v>
      </c>
      <c r="B1911" s="46" t="s">
        <v>1538</v>
      </c>
      <c r="C1911" s="52" t="s">
        <v>512</v>
      </c>
      <c r="D1911" s="48">
        <v>30838</v>
      </c>
      <c r="E1911" s="49">
        <f t="shared" ca="1" si="69"/>
        <v>42.066407742264104</v>
      </c>
      <c r="F1911" s="50">
        <v>154463725</v>
      </c>
      <c r="G1911" s="51" t="s">
        <v>23</v>
      </c>
      <c r="I1911" s="52" t="s">
        <v>2926</v>
      </c>
      <c r="M1911" s="53" t="s">
        <v>2998</v>
      </c>
      <c r="N1911" s="55">
        <v>4107372</v>
      </c>
      <c r="O1911" s="55"/>
    </row>
    <row r="1912" spans="1:21">
      <c r="A1912" s="47">
        <v>31001288</v>
      </c>
      <c r="B1912" s="46" t="s">
        <v>4706</v>
      </c>
      <c r="C1912" s="52" t="s">
        <v>4707</v>
      </c>
      <c r="E1912" s="49" t="str">
        <f t="shared" ca="1" si="69"/>
        <v/>
      </c>
      <c r="G1912" s="51" t="s">
        <v>23</v>
      </c>
      <c r="I1912" s="65" t="s">
        <v>4708</v>
      </c>
      <c r="M1912" s="53" t="s">
        <v>4709</v>
      </c>
      <c r="N1912" s="55"/>
      <c r="O1912" s="55"/>
    </row>
    <row r="1913" spans="1:21">
      <c r="A1913" s="47">
        <v>31001609</v>
      </c>
      <c r="B1913" s="46" t="s">
        <v>2879</v>
      </c>
      <c r="C1913" s="46" t="s">
        <v>2880</v>
      </c>
      <c r="D1913" s="48">
        <v>30854</v>
      </c>
      <c r="E1913" s="49">
        <f t="shared" ca="1" si="69"/>
        <v>42.022602826945118</v>
      </c>
      <c r="F1913" s="50">
        <v>155456219</v>
      </c>
      <c r="G1913" s="51" t="s">
        <v>141</v>
      </c>
      <c r="I1913" s="52" t="s">
        <v>2854</v>
      </c>
      <c r="M1913" s="53" t="s">
        <v>2881</v>
      </c>
      <c r="N1913" s="46">
        <v>4107223</v>
      </c>
    </row>
    <row r="1914" spans="1:21">
      <c r="A1914" s="47">
        <v>31001972</v>
      </c>
      <c r="B1914" s="46" t="s">
        <v>226</v>
      </c>
      <c r="C1914" s="52" t="s">
        <v>1103</v>
      </c>
      <c r="D1914" s="48">
        <v>30862</v>
      </c>
      <c r="E1914" s="49">
        <f t="shared" ca="1" si="69"/>
        <v>42.000700369285624</v>
      </c>
      <c r="F1914" s="50">
        <v>155655499</v>
      </c>
      <c r="G1914" s="51" t="s">
        <v>23</v>
      </c>
      <c r="I1914" s="59" t="s">
        <v>908</v>
      </c>
      <c r="J1914" s="46" t="s">
        <v>1104</v>
      </c>
      <c r="M1914" s="53" t="s">
        <v>1105</v>
      </c>
      <c r="N1914" s="55"/>
      <c r="O1914" s="55"/>
    </row>
    <row r="1915" spans="1:21">
      <c r="A1915" s="47">
        <v>31008633</v>
      </c>
      <c r="B1915" s="46" t="s">
        <v>620</v>
      </c>
      <c r="C1915" s="46" t="s">
        <v>436</v>
      </c>
      <c r="E1915" s="49" t="str">
        <f t="shared" ca="1" si="69"/>
        <v/>
      </c>
      <c r="F1915" s="50">
        <v>154580239</v>
      </c>
      <c r="G1915" s="51" t="s">
        <v>86</v>
      </c>
      <c r="I1915" s="52" t="s">
        <v>594</v>
      </c>
      <c r="M1915" s="53" t="s">
        <v>621</v>
      </c>
    </row>
    <row r="1916" spans="1:21">
      <c r="A1916" s="64">
        <v>31025533</v>
      </c>
      <c r="B1916" s="61" t="s">
        <v>218</v>
      </c>
      <c r="C1916" s="62" t="s">
        <v>1087</v>
      </c>
      <c r="D1916" s="48">
        <v>30931</v>
      </c>
      <c r="E1916" s="49">
        <f t="shared" ca="1" si="69"/>
        <v>41.811791671972493</v>
      </c>
      <c r="F1916" s="63">
        <v>154636343</v>
      </c>
      <c r="G1916" s="51" t="s">
        <v>23</v>
      </c>
      <c r="I1916" s="59" t="s">
        <v>908</v>
      </c>
      <c r="J1916" s="61" t="s">
        <v>1088</v>
      </c>
      <c r="K1916" s="61"/>
      <c r="L1916" s="61"/>
      <c r="M1916" s="53" t="s">
        <v>1089</v>
      </c>
      <c r="N1916" s="55"/>
      <c r="O1916" s="55"/>
    </row>
    <row r="1917" spans="1:21">
      <c r="A1917" s="47">
        <v>31030239</v>
      </c>
      <c r="B1917" s="46" t="s">
        <v>1216</v>
      </c>
      <c r="C1917" s="52" t="s">
        <v>6352</v>
      </c>
      <c r="D1917" s="48">
        <v>30922</v>
      </c>
      <c r="E1917" s="49">
        <f t="shared" ca="1" si="69"/>
        <v>41.836431936839425</v>
      </c>
      <c r="F1917" s="50">
        <v>155714951</v>
      </c>
      <c r="G1917" s="51" t="s">
        <v>23</v>
      </c>
      <c r="I1917" s="52" t="s">
        <v>23</v>
      </c>
      <c r="J1917" s="46" t="s">
        <v>6353</v>
      </c>
      <c r="M1917" s="53" t="s">
        <v>4791</v>
      </c>
      <c r="N1917" s="55"/>
      <c r="O1917" s="55"/>
    </row>
    <row r="1918" spans="1:21">
      <c r="A1918" s="47">
        <v>31030289</v>
      </c>
      <c r="B1918" s="46" t="s">
        <v>1216</v>
      </c>
      <c r="C1918" s="52" t="s">
        <v>4790</v>
      </c>
      <c r="D1918" s="48">
        <v>30922</v>
      </c>
      <c r="E1918" s="49">
        <f t="shared" ca="1" si="69"/>
        <v>41.836431936839425</v>
      </c>
      <c r="G1918" s="51" t="s">
        <v>78</v>
      </c>
      <c r="I1918" s="65" t="s">
        <v>4708</v>
      </c>
      <c r="J1918" s="46" t="s">
        <v>4773</v>
      </c>
      <c r="M1918" s="53" t="s">
        <v>4791</v>
      </c>
      <c r="N1918" s="55">
        <v>4107334</v>
      </c>
      <c r="O1918" s="55">
        <v>7334</v>
      </c>
    </row>
    <row r="1919" spans="1:21">
      <c r="A1919" s="47">
        <v>31030443</v>
      </c>
      <c r="B1919" s="46" t="s">
        <v>497</v>
      </c>
      <c r="C1919" s="46" t="s">
        <v>6487</v>
      </c>
      <c r="D1919" s="48" t="s">
        <v>52</v>
      </c>
      <c r="E1919" s="49" t="str">
        <f t="shared" ca="1" si="69"/>
        <v/>
      </c>
      <c r="F1919" s="50" t="s">
        <v>6488</v>
      </c>
      <c r="G1919" s="51" t="s">
        <v>70</v>
      </c>
      <c r="I1919" s="52" t="s">
        <v>23</v>
      </c>
    </row>
    <row r="1920" spans="1:21">
      <c r="A1920" s="64">
        <v>31030478</v>
      </c>
      <c r="B1920" s="61" t="s">
        <v>1707</v>
      </c>
      <c r="C1920" s="62" t="s">
        <v>6242</v>
      </c>
      <c r="D1920" s="48">
        <v>30998</v>
      </c>
      <c r="E1920" s="49">
        <f t="shared" ca="1" si="69"/>
        <v>41.628358589074239</v>
      </c>
      <c r="F1920" s="63">
        <v>15644312</v>
      </c>
      <c r="G1920" s="51" t="s">
        <v>23</v>
      </c>
      <c r="I1920" s="52" t="s">
        <v>23</v>
      </c>
      <c r="J1920" s="61" t="s">
        <v>6243</v>
      </c>
      <c r="K1920" s="61"/>
      <c r="L1920" s="61"/>
      <c r="M1920" s="53" t="s">
        <v>6244</v>
      </c>
      <c r="N1920" s="55"/>
      <c r="O1920" s="55"/>
    </row>
    <row r="1921" spans="1:21">
      <c r="A1921" s="47">
        <v>31030485</v>
      </c>
      <c r="B1921" s="46" t="s">
        <v>3578</v>
      </c>
      <c r="C1921" s="46" t="s">
        <v>6644</v>
      </c>
      <c r="D1921" s="48" t="s">
        <v>52</v>
      </c>
      <c r="E1921" s="49" t="str">
        <f t="shared" ca="1" si="69"/>
        <v/>
      </c>
      <c r="F1921" s="50" t="s">
        <v>6645</v>
      </c>
      <c r="G1921" s="51" t="s">
        <v>141</v>
      </c>
      <c r="H1921" s="52" t="s">
        <v>52</v>
      </c>
      <c r="I1921" s="52" t="s">
        <v>6624</v>
      </c>
      <c r="J1921" s="46" t="s">
        <v>3972</v>
      </c>
      <c r="K1921" s="46" t="s">
        <v>81</v>
      </c>
      <c r="L1921" s="46" t="s">
        <v>546</v>
      </c>
      <c r="M1921" s="52" t="s">
        <v>6646</v>
      </c>
      <c r="N1921" s="46" t="s">
        <v>52</v>
      </c>
      <c r="O1921" s="46" t="s">
        <v>52</v>
      </c>
      <c r="P1921" s="46" t="s">
        <v>59</v>
      </c>
      <c r="Q1921" s="46" t="s">
        <v>60</v>
      </c>
      <c r="R1921" s="46" t="s">
        <v>61</v>
      </c>
      <c r="S1921" s="46" t="s">
        <v>62</v>
      </c>
      <c r="T1921" s="46" t="s">
        <v>12</v>
      </c>
      <c r="U1921" s="46" t="s">
        <v>63</v>
      </c>
    </row>
    <row r="1922" spans="1:21">
      <c r="A1922" s="47">
        <v>31030695</v>
      </c>
      <c r="B1922" s="46" t="s">
        <v>2541</v>
      </c>
      <c r="C1922" s="46" t="s">
        <v>95</v>
      </c>
      <c r="D1922" s="48">
        <v>31060</v>
      </c>
      <c r="E1922" s="49">
        <f t="shared" ca="1" si="69"/>
        <v>41.4606258148631</v>
      </c>
      <c r="F1922" s="50">
        <v>154548210</v>
      </c>
      <c r="G1922" s="51" t="s">
        <v>70</v>
      </c>
      <c r="I1922" s="59" t="s">
        <v>908</v>
      </c>
      <c r="J1922" s="46" t="s">
        <v>297</v>
      </c>
      <c r="M1922" s="53" t="s">
        <v>2542</v>
      </c>
    </row>
    <row r="1923" spans="1:21">
      <c r="A1923" s="47">
        <v>31030930</v>
      </c>
      <c r="B1923" s="46" t="s">
        <v>5988</v>
      </c>
      <c r="C1923" s="46" t="s">
        <v>1208</v>
      </c>
      <c r="D1923" s="48">
        <v>31135</v>
      </c>
      <c r="E1923" s="49">
        <f t="shared" ca="1" si="69"/>
        <v>41.255280312907431</v>
      </c>
      <c r="F1923" s="50">
        <v>155881484</v>
      </c>
      <c r="G1923" s="51" t="s">
        <v>23</v>
      </c>
      <c r="I1923" s="52" t="s">
        <v>23</v>
      </c>
      <c r="J1923" s="46" t="s">
        <v>38</v>
      </c>
      <c r="M1923" s="58" t="s">
        <v>25</v>
      </c>
      <c r="O1923" s="46" t="s">
        <v>591</v>
      </c>
    </row>
    <row r="1924" spans="1:21">
      <c r="A1924" s="47">
        <v>31038016</v>
      </c>
      <c r="B1924" s="46" t="s">
        <v>822</v>
      </c>
      <c r="C1924" s="46" t="s">
        <v>823</v>
      </c>
      <c r="D1924" s="48">
        <v>30868</v>
      </c>
      <c r="E1924" s="49">
        <f t="shared" ca="1" si="69"/>
        <v>41.984273526041001</v>
      </c>
      <c r="F1924" s="50">
        <v>154039355</v>
      </c>
      <c r="G1924" s="51" t="s">
        <v>141</v>
      </c>
      <c r="I1924" s="52" t="s">
        <v>808</v>
      </c>
      <c r="J1924" s="46" t="s">
        <v>38</v>
      </c>
      <c r="M1924" s="58" t="s">
        <v>25</v>
      </c>
      <c r="O1924" s="46">
        <v>4107254</v>
      </c>
    </row>
    <row r="1925" spans="1:21">
      <c r="A1925" s="47">
        <v>31040181</v>
      </c>
      <c r="B1925" s="46" t="s">
        <v>321</v>
      </c>
      <c r="C1925" s="46" t="s">
        <v>9463</v>
      </c>
      <c r="D1925" s="48" t="s">
        <v>52</v>
      </c>
      <c r="E1925" s="49" t="s">
        <v>52</v>
      </c>
      <c r="F1925" s="50" t="s">
        <v>52</v>
      </c>
      <c r="G1925" s="51" t="s">
        <v>52</v>
      </c>
      <c r="H1925" s="52" t="s">
        <v>52</v>
      </c>
      <c r="I1925" s="52" t="s">
        <v>52</v>
      </c>
      <c r="J1925" s="46" t="s">
        <v>9464</v>
      </c>
      <c r="K1925" s="46" t="s">
        <v>52</v>
      </c>
      <c r="L1925" s="46" t="s">
        <v>52</v>
      </c>
      <c r="M1925" s="52" t="s">
        <v>9465</v>
      </c>
      <c r="N1925" s="46" t="s">
        <v>52</v>
      </c>
      <c r="O1925" s="46" t="s">
        <v>52</v>
      </c>
      <c r="P1925" s="46" t="s">
        <v>59</v>
      </c>
      <c r="Q1925" s="46" t="s">
        <v>60</v>
      </c>
      <c r="R1925" s="46" t="s">
        <v>61</v>
      </c>
      <c r="S1925" s="46" t="s">
        <v>62</v>
      </c>
      <c r="T1925" s="46" t="s">
        <v>12</v>
      </c>
      <c r="U1925" s="46" t="s">
        <v>63</v>
      </c>
    </row>
    <row r="1926" spans="1:21">
      <c r="A1926" s="47">
        <v>31052533</v>
      </c>
      <c r="B1926" s="46" t="s">
        <v>676</v>
      </c>
      <c r="C1926" s="46" t="s">
        <v>1087</v>
      </c>
      <c r="D1926" s="48">
        <v>30931</v>
      </c>
      <c r="E1926" s="49">
        <f t="shared" ref="E1926:E1933" ca="1" si="70">IF(D1926="","",YEARFRAC(D1926,TODAY(),1))</f>
        <v>41.811791671972493</v>
      </c>
      <c r="F1926" s="50">
        <v>154363643</v>
      </c>
      <c r="G1926" s="51" t="s">
        <v>70</v>
      </c>
      <c r="I1926" s="59" t="s">
        <v>908</v>
      </c>
      <c r="J1926" s="46" t="s">
        <v>1090</v>
      </c>
      <c r="M1926" s="53" t="s">
        <v>1091</v>
      </c>
      <c r="P1926" s="46" t="s">
        <v>1092</v>
      </c>
    </row>
    <row r="1927" spans="1:21">
      <c r="A1927" s="47">
        <v>31126876</v>
      </c>
      <c r="B1927" s="46" t="s">
        <v>8673</v>
      </c>
      <c r="C1927" s="46" t="s">
        <v>8674</v>
      </c>
      <c r="D1927" s="48" t="s">
        <v>52</v>
      </c>
      <c r="E1927" s="49" t="str">
        <f t="shared" ca="1" si="70"/>
        <v/>
      </c>
      <c r="F1927" s="50" t="s">
        <v>8676</v>
      </c>
      <c r="G1927" s="51" t="s">
        <v>52</v>
      </c>
      <c r="H1927" s="52" t="s">
        <v>52</v>
      </c>
      <c r="I1927" s="52" t="s">
        <v>1497</v>
      </c>
      <c r="J1927" s="46" t="s">
        <v>8667</v>
      </c>
      <c r="K1927" s="46" t="s">
        <v>8668</v>
      </c>
      <c r="L1927" s="46" t="s">
        <v>546</v>
      </c>
      <c r="M1927" s="52" t="s">
        <v>8675</v>
      </c>
      <c r="N1927" s="46" t="s">
        <v>52</v>
      </c>
      <c r="O1927" s="46" t="s">
        <v>52</v>
      </c>
      <c r="P1927" s="46" t="s">
        <v>59</v>
      </c>
      <c r="Q1927" s="46" t="s">
        <v>60</v>
      </c>
      <c r="R1927" s="46" t="s">
        <v>61</v>
      </c>
      <c r="S1927" s="46" t="s">
        <v>62</v>
      </c>
      <c r="T1927" s="46" t="s">
        <v>12</v>
      </c>
      <c r="U1927" s="46" t="s">
        <v>63</v>
      </c>
    </row>
    <row r="1928" spans="1:21">
      <c r="A1928" s="64">
        <v>31127261</v>
      </c>
      <c r="B1928" s="61" t="s">
        <v>5630</v>
      </c>
      <c r="C1928" s="62" t="s">
        <v>5631</v>
      </c>
      <c r="D1928" s="48">
        <v>30898</v>
      </c>
      <c r="E1928" s="49">
        <f t="shared" ca="1" si="70"/>
        <v>41.902139309817905</v>
      </c>
      <c r="F1928" s="63">
        <v>155030760</v>
      </c>
      <c r="G1928" s="51" t="s">
        <v>23</v>
      </c>
      <c r="I1928" s="52" t="s">
        <v>5494</v>
      </c>
      <c r="J1928" s="61" t="s">
        <v>48</v>
      </c>
      <c r="K1928" s="61"/>
      <c r="L1928" s="61"/>
      <c r="M1928" s="53" t="s">
        <v>5632</v>
      </c>
      <c r="N1928" s="55"/>
      <c r="O1928" s="55"/>
    </row>
    <row r="1929" spans="1:21">
      <c r="A1929" s="47">
        <v>31127367</v>
      </c>
      <c r="B1929" s="46" t="s">
        <v>690</v>
      </c>
      <c r="C1929" s="46" t="s">
        <v>1085</v>
      </c>
      <c r="D1929" s="48">
        <v>30905</v>
      </c>
      <c r="E1929" s="49">
        <f t="shared" ca="1" si="70"/>
        <v>41.88297465936585</v>
      </c>
      <c r="F1929" s="50">
        <v>154123980</v>
      </c>
      <c r="G1929" s="51" t="s">
        <v>352</v>
      </c>
      <c r="I1929" s="52" t="s">
        <v>5494</v>
      </c>
      <c r="J1929" s="46" t="s">
        <v>470</v>
      </c>
      <c r="M1929" s="53" t="s">
        <v>5600</v>
      </c>
    </row>
    <row r="1930" spans="1:21">
      <c r="A1930" s="47">
        <v>31127445</v>
      </c>
      <c r="B1930" s="46" t="s">
        <v>5251</v>
      </c>
      <c r="C1930" s="46" t="s">
        <v>1182</v>
      </c>
      <c r="D1930" s="48" t="s">
        <v>5252</v>
      </c>
      <c r="E1930" s="49">
        <f t="shared" ca="1" si="70"/>
        <v>41.861072201706357</v>
      </c>
      <c r="F1930" s="50" t="s">
        <v>5253</v>
      </c>
      <c r="G1930" s="51" t="s">
        <v>70</v>
      </c>
      <c r="H1930" s="52" t="s">
        <v>52</v>
      </c>
      <c r="I1930" s="52" t="s">
        <v>5176</v>
      </c>
      <c r="J1930" s="46" t="s">
        <v>5254</v>
      </c>
      <c r="K1930" s="46" t="s">
        <v>81</v>
      </c>
      <c r="L1930" s="46" t="s">
        <v>546</v>
      </c>
      <c r="M1930" s="52" t="s">
        <v>5255</v>
      </c>
      <c r="N1930" s="46" t="s">
        <v>5256</v>
      </c>
      <c r="O1930" s="46" t="s">
        <v>52</v>
      </c>
      <c r="P1930" s="46" t="s">
        <v>59</v>
      </c>
      <c r="Q1930" s="46" t="s">
        <v>60</v>
      </c>
      <c r="R1930" s="46" t="s">
        <v>61</v>
      </c>
      <c r="S1930" s="46" t="s">
        <v>62</v>
      </c>
      <c r="T1930" s="46" t="s">
        <v>12</v>
      </c>
      <c r="U1930" s="46" t="s">
        <v>63</v>
      </c>
    </row>
    <row r="1931" spans="1:21">
      <c r="A1931" s="47">
        <v>31127710</v>
      </c>
      <c r="B1931" s="46" t="s">
        <v>311</v>
      </c>
      <c r="C1931" s="52" t="s">
        <v>3782</v>
      </c>
      <c r="D1931" s="48" t="s">
        <v>3783</v>
      </c>
      <c r="E1931" s="49">
        <f t="shared" ca="1" si="70"/>
        <v>41.910352731440213</v>
      </c>
      <c r="F1931" s="50" t="s">
        <v>3784</v>
      </c>
      <c r="G1931" s="51" t="s">
        <v>141</v>
      </c>
      <c r="H1931" s="52" t="s">
        <v>52</v>
      </c>
      <c r="I1931" s="52" t="s">
        <v>3630</v>
      </c>
      <c r="J1931" s="46" t="s">
        <v>2477</v>
      </c>
      <c r="K1931" s="46" t="s">
        <v>81</v>
      </c>
      <c r="L1931" s="46" t="s">
        <v>52</v>
      </c>
      <c r="M1931" s="53" t="s">
        <v>3785</v>
      </c>
      <c r="N1931" s="55" t="s">
        <v>52</v>
      </c>
      <c r="O1931" s="55" t="s">
        <v>52</v>
      </c>
      <c r="P1931" s="46" t="s">
        <v>59</v>
      </c>
      <c r="Q1931" s="46" t="s">
        <v>60</v>
      </c>
      <c r="R1931" s="46" t="s">
        <v>61</v>
      </c>
      <c r="S1931" s="46" t="s">
        <v>62</v>
      </c>
      <c r="T1931" s="46" t="s">
        <v>12</v>
      </c>
      <c r="U1931" s="46" t="s">
        <v>63</v>
      </c>
    </row>
    <row r="1932" spans="1:21">
      <c r="A1932" s="47">
        <v>31128239</v>
      </c>
      <c r="B1932" s="46" t="s">
        <v>4112</v>
      </c>
      <c r="C1932" s="46" t="s">
        <v>3888</v>
      </c>
      <c r="D1932" s="48">
        <v>30959</v>
      </c>
      <c r="E1932" s="49">
        <f t="shared" ca="1" si="70"/>
        <v>41.735133070164267</v>
      </c>
      <c r="F1932" s="50">
        <v>154136450</v>
      </c>
      <c r="G1932" s="51" t="s">
        <v>23</v>
      </c>
      <c r="I1932" s="52" t="s">
        <v>4078</v>
      </c>
      <c r="J1932" s="46" t="s">
        <v>224</v>
      </c>
      <c r="M1932" s="53" t="s">
        <v>4113</v>
      </c>
      <c r="N1932" s="46">
        <v>3865483797</v>
      </c>
    </row>
    <row r="1933" spans="1:21">
      <c r="A1933" s="47">
        <v>31171753</v>
      </c>
      <c r="B1933" s="46" t="s">
        <v>6404</v>
      </c>
      <c r="C1933" s="46" t="s">
        <v>6405</v>
      </c>
      <c r="D1933" s="48" t="s">
        <v>6406</v>
      </c>
      <c r="E1933" s="49" t="e">
        <f t="shared" ca="1" si="70"/>
        <v>#VALUE!</v>
      </c>
      <c r="F1933" s="50">
        <v>155440840</v>
      </c>
      <c r="G1933" s="51" t="s">
        <v>78</v>
      </c>
      <c r="I1933" s="52" t="s">
        <v>23</v>
      </c>
      <c r="J1933" s="46" t="s">
        <v>38</v>
      </c>
      <c r="M1933" s="53" t="s">
        <v>6407</v>
      </c>
      <c r="N1933" s="46">
        <v>4247752</v>
      </c>
      <c r="O1933" s="46">
        <v>7145</v>
      </c>
    </row>
    <row r="1934" spans="1:21">
      <c r="A1934" s="47">
        <v>31173838</v>
      </c>
      <c r="B1934" s="46" t="s">
        <v>1032</v>
      </c>
      <c r="C1934" s="46" t="s">
        <v>9249</v>
      </c>
      <c r="D1934" s="48" t="s">
        <v>9338</v>
      </c>
      <c r="E1934" s="49" t="s">
        <v>9339</v>
      </c>
      <c r="F1934" s="50" t="s">
        <v>9340</v>
      </c>
      <c r="G1934" s="51" t="s">
        <v>70</v>
      </c>
      <c r="H1934" s="52" t="s">
        <v>9341</v>
      </c>
      <c r="I1934" s="52" t="s">
        <v>1497</v>
      </c>
      <c r="J1934" s="46" t="s">
        <v>9342</v>
      </c>
      <c r="K1934" s="46" t="s">
        <v>112</v>
      </c>
      <c r="L1934" s="46" t="s">
        <v>546</v>
      </c>
      <c r="M1934" s="52" t="s">
        <v>9343</v>
      </c>
      <c r="N1934" s="46" t="s">
        <v>52</v>
      </c>
      <c r="O1934" s="46" t="s">
        <v>52</v>
      </c>
      <c r="P1934" s="46" t="s">
        <v>59</v>
      </c>
      <c r="Q1934" s="46" t="s">
        <v>60</v>
      </c>
      <c r="R1934" s="46" t="s">
        <v>61</v>
      </c>
      <c r="S1934" s="46" t="s">
        <v>62</v>
      </c>
      <c r="T1934" s="46" t="s">
        <v>12</v>
      </c>
      <c r="U1934" s="46" t="s">
        <v>63</v>
      </c>
    </row>
    <row r="1935" spans="1:21">
      <c r="A1935" s="47">
        <v>31173872</v>
      </c>
      <c r="B1935" s="46" t="s">
        <v>207</v>
      </c>
      <c r="C1935" s="52" t="s">
        <v>1064</v>
      </c>
      <c r="D1935" s="48">
        <v>31048</v>
      </c>
      <c r="E1935" s="49">
        <f ca="1">IF(D1935="","",YEARFRAC(D1935,TODAY(),1))</f>
        <v>41.493481095176008</v>
      </c>
      <c r="F1935" s="50">
        <v>155705333</v>
      </c>
      <c r="G1935" s="51" t="s">
        <v>23</v>
      </c>
      <c r="I1935" s="59" t="s">
        <v>908</v>
      </c>
      <c r="J1935" s="46" t="s">
        <v>1065</v>
      </c>
      <c r="M1935" s="53" t="s">
        <v>1066</v>
      </c>
      <c r="N1935" s="55"/>
      <c r="O1935" s="55"/>
    </row>
    <row r="1936" spans="1:21">
      <c r="A1936" s="47">
        <v>31193114</v>
      </c>
      <c r="B1936" s="46" t="s">
        <v>2549</v>
      </c>
      <c r="C1936" s="52" t="s">
        <v>2550</v>
      </c>
      <c r="D1936" s="48">
        <v>30929</v>
      </c>
      <c r="E1936" s="49">
        <f ca="1">IF(D1936="","",YEARFRAC(D1936,TODAY(),1))</f>
        <v>41.81726728638737</v>
      </c>
      <c r="F1936" s="50">
        <v>155865074</v>
      </c>
      <c r="G1936" s="51" t="s">
        <v>23</v>
      </c>
      <c r="I1936" s="59" t="s">
        <v>908</v>
      </c>
      <c r="J1936" s="46" t="s">
        <v>1016</v>
      </c>
      <c r="M1936" s="53" t="s">
        <v>2551</v>
      </c>
      <c r="N1936" s="55"/>
      <c r="O1936" s="55"/>
    </row>
    <row r="1937" spans="1:21">
      <c r="A1937" s="47">
        <v>31253722</v>
      </c>
      <c r="B1937" s="46" t="s">
        <v>2867</v>
      </c>
      <c r="C1937" s="46" t="s">
        <v>2868</v>
      </c>
      <c r="D1937" s="48">
        <v>30946</v>
      </c>
      <c r="E1937" s="49">
        <f ca="1">IF(D1937="","",YEARFRAC(D1937,TODAY(),1))</f>
        <v>41.770724563860945</v>
      </c>
      <c r="F1937" s="50">
        <v>155293457</v>
      </c>
      <c r="G1937" s="51" t="s">
        <v>141</v>
      </c>
      <c r="I1937" s="52" t="s">
        <v>2854</v>
      </c>
      <c r="J1937" s="46" t="s">
        <v>2869</v>
      </c>
      <c r="M1937" s="58" t="s">
        <v>25</v>
      </c>
      <c r="N1937" s="46" t="s">
        <v>2869</v>
      </c>
    </row>
    <row r="1938" spans="1:21">
      <c r="A1938" s="47">
        <v>31253897</v>
      </c>
      <c r="B1938" s="46" t="s">
        <v>5415</v>
      </c>
      <c r="C1938" s="46" t="s">
        <v>30</v>
      </c>
      <c r="D1938" s="48" t="s">
        <v>52</v>
      </c>
      <c r="E1938" s="49" t="str">
        <f ca="1">IF(D1938="","",YEARFRAC(D1938,TODAY(),1))</f>
        <v/>
      </c>
      <c r="F1938" s="50" t="s">
        <v>5416</v>
      </c>
      <c r="G1938" s="51" t="s">
        <v>86</v>
      </c>
      <c r="H1938" s="52" t="s">
        <v>52</v>
      </c>
      <c r="I1938" s="52" t="s">
        <v>5304</v>
      </c>
      <c r="J1938" s="46" t="s">
        <v>5393</v>
      </c>
      <c r="K1938" s="46" t="s">
        <v>52</v>
      </c>
      <c r="L1938" s="46" t="s">
        <v>52</v>
      </c>
      <c r="M1938" s="53" t="s">
        <v>5417</v>
      </c>
      <c r="N1938" s="46" t="s">
        <v>2884</v>
      </c>
      <c r="O1938" s="46" t="s">
        <v>5408</v>
      </c>
      <c r="P1938" s="46" t="s">
        <v>59</v>
      </c>
      <c r="Q1938" s="46" t="s">
        <v>60</v>
      </c>
      <c r="R1938" s="46" t="s">
        <v>61</v>
      </c>
      <c r="S1938" s="46" t="s">
        <v>62</v>
      </c>
      <c r="T1938" s="46" t="s">
        <v>12</v>
      </c>
      <c r="U1938" s="46" t="s">
        <v>63</v>
      </c>
    </row>
    <row r="1939" spans="1:21">
      <c r="A1939" s="47">
        <v>31253981</v>
      </c>
      <c r="B1939" s="46" t="s">
        <v>5045</v>
      </c>
      <c r="C1939" s="46" t="s">
        <v>9451</v>
      </c>
      <c r="D1939" s="48" t="s">
        <v>52</v>
      </c>
      <c r="E1939" s="49" t="s">
        <v>52</v>
      </c>
      <c r="F1939" s="50" t="s">
        <v>52</v>
      </c>
      <c r="G1939" s="51" t="s">
        <v>52</v>
      </c>
      <c r="H1939" s="52" t="s">
        <v>52</v>
      </c>
      <c r="I1939" s="52" t="s">
        <v>52</v>
      </c>
      <c r="J1939" s="46" t="s">
        <v>52</v>
      </c>
      <c r="K1939" s="46" t="s">
        <v>52</v>
      </c>
      <c r="L1939" s="46" t="s">
        <v>546</v>
      </c>
      <c r="M1939" s="239" t="s">
        <v>9452</v>
      </c>
      <c r="N1939" s="46" t="s">
        <v>52</v>
      </c>
      <c r="O1939" s="46" t="s">
        <v>52</v>
      </c>
      <c r="P1939" s="46" t="s">
        <v>59</v>
      </c>
      <c r="Q1939" s="46" t="s">
        <v>60</v>
      </c>
      <c r="R1939" s="46" t="s">
        <v>61</v>
      </c>
      <c r="S1939" s="46" t="s">
        <v>62</v>
      </c>
      <c r="T1939" s="46" t="s">
        <v>12</v>
      </c>
      <c r="U1939" s="46" t="s">
        <v>63</v>
      </c>
    </row>
    <row r="1940" spans="1:21">
      <c r="A1940" s="60">
        <v>31254271</v>
      </c>
      <c r="B1940" s="61" t="s">
        <v>6074</v>
      </c>
      <c r="C1940" s="62" t="s">
        <v>2924</v>
      </c>
      <c r="D1940" s="48">
        <v>30977</v>
      </c>
      <c r="E1940" s="49">
        <f ca="1">IF(D1940="","",YEARFRAC(D1940,TODAY(),1))</f>
        <v>41.68585254043041</v>
      </c>
      <c r="F1940" s="63">
        <v>155248704</v>
      </c>
      <c r="G1940" s="51" t="s">
        <v>23</v>
      </c>
      <c r="I1940" s="52" t="s">
        <v>23</v>
      </c>
      <c r="J1940" s="61" t="s">
        <v>48</v>
      </c>
      <c r="K1940" s="61"/>
      <c r="L1940" s="61"/>
      <c r="M1940" s="58" t="s">
        <v>25</v>
      </c>
      <c r="N1940" s="55"/>
      <c r="O1940" s="55"/>
    </row>
    <row r="1941" spans="1:21">
      <c r="A1941" s="47">
        <v>31254677</v>
      </c>
      <c r="B1941" s="46" t="s">
        <v>7656</v>
      </c>
      <c r="C1941" s="46" t="s">
        <v>97</v>
      </c>
      <c r="D1941" s="48" t="s">
        <v>9792</v>
      </c>
      <c r="E1941" s="49" t="s">
        <v>9339</v>
      </c>
      <c r="F1941" s="50" t="s">
        <v>9793</v>
      </c>
      <c r="G1941" s="51" t="s">
        <v>70</v>
      </c>
      <c r="H1941" s="52" t="s">
        <v>1222</v>
      </c>
      <c r="I1941" s="52" t="s">
        <v>908</v>
      </c>
      <c r="J1941" s="46" t="s">
        <v>9794</v>
      </c>
      <c r="K1941" s="46" t="s">
        <v>112</v>
      </c>
      <c r="L1941" s="46" t="s">
        <v>52</v>
      </c>
      <c r="M1941" s="52" t="s">
        <v>9795</v>
      </c>
      <c r="N1941" s="46" t="s">
        <v>52</v>
      </c>
      <c r="O1941" s="46" t="s">
        <v>52</v>
      </c>
      <c r="P1941" s="46" t="s">
        <v>59</v>
      </c>
      <c r="Q1941" s="46" t="s">
        <v>60</v>
      </c>
      <c r="R1941" s="46" t="s">
        <v>61</v>
      </c>
      <c r="S1941" s="46" t="s">
        <v>62</v>
      </c>
      <c r="T1941" s="46" t="s">
        <v>12</v>
      </c>
      <c r="U1941" s="46" t="s">
        <v>63</v>
      </c>
    </row>
    <row r="1942" spans="1:21">
      <c r="A1942" s="47">
        <v>31275812</v>
      </c>
      <c r="B1942" s="46" t="s">
        <v>327</v>
      </c>
      <c r="C1942" s="46" t="s">
        <v>838</v>
      </c>
      <c r="D1942" s="48" t="s">
        <v>52</v>
      </c>
      <c r="E1942" s="49" t="str">
        <f t="shared" ref="E1942:E1965" ca="1" si="71">IF(D1942="","",YEARFRAC(D1942,TODAY(),1))</f>
        <v/>
      </c>
      <c r="F1942" s="50" t="s">
        <v>839</v>
      </c>
      <c r="G1942" s="51" t="s">
        <v>70</v>
      </c>
      <c r="H1942" s="52" t="s">
        <v>840</v>
      </c>
      <c r="I1942" s="52" t="s">
        <v>808</v>
      </c>
      <c r="J1942" s="46" t="s">
        <v>52</v>
      </c>
      <c r="K1942" s="46" t="s">
        <v>81</v>
      </c>
      <c r="L1942" s="46" t="s">
        <v>546</v>
      </c>
      <c r="M1942" s="52" t="s">
        <v>841</v>
      </c>
      <c r="N1942" s="46" t="s">
        <v>52</v>
      </c>
      <c r="O1942" s="46" t="s">
        <v>52</v>
      </c>
      <c r="P1942" s="46" t="s">
        <v>59</v>
      </c>
      <c r="Q1942" s="46" t="s">
        <v>60</v>
      </c>
      <c r="R1942" s="46" t="s">
        <v>61</v>
      </c>
      <c r="S1942" s="46" t="s">
        <v>62</v>
      </c>
      <c r="T1942" s="46" t="s">
        <v>12</v>
      </c>
      <c r="U1942" s="46" t="s">
        <v>63</v>
      </c>
    </row>
    <row r="1943" spans="1:21">
      <c r="A1943" s="47">
        <v>31322920</v>
      </c>
      <c r="B1943" s="46" t="s">
        <v>2026</v>
      </c>
      <c r="C1943" s="55" t="s">
        <v>5441</v>
      </c>
      <c r="D1943" s="48">
        <v>30993</v>
      </c>
      <c r="E1943" s="49">
        <f t="shared" ca="1" si="71"/>
        <v>41.642047625111424</v>
      </c>
      <c r="F1943" s="50">
        <v>154750806</v>
      </c>
      <c r="G1943" s="51" t="s">
        <v>86</v>
      </c>
      <c r="I1943" s="52" t="s">
        <v>23</v>
      </c>
      <c r="J1943" s="55"/>
      <c r="K1943" s="55"/>
      <c r="L1943" s="55"/>
      <c r="M1943" s="53" t="s">
        <v>6121</v>
      </c>
      <c r="N1943" s="55">
        <v>4107258</v>
      </c>
      <c r="O1943" s="55"/>
    </row>
    <row r="1944" spans="1:21">
      <c r="A1944" s="47">
        <v>31323020</v>
      </c>
      <c r="B1944" s="46" t="s">
        <v>2009</v>
      </c>
      <c r="C1944" s="52" t="s">
        <v>2013</v>
      </c>
      <c r="D1944" s="48">
        <v>31014</v>
      </c>
      <c r="E1944" s="49">
        <f t="shared" ca="1" si="71"/>
        <v>41.584553673755252</v>
      </c>
      <c r="F1944" s="50">
        <v>153321299</v>
      </c>
      <c r="G1944" s="51" t="s">
        <v>23</v>
      </c>
      <c r="I1944" s="52" t="s">
        <v>1881</v>
      </c>
      <c r="J1944" s="46" t="s">
        <v>2014</v>
      </c>
      <c r="M1944" s="53" t="s">
        <v>2015</v>
      </c>
      <c r="N1944" s="55"/>
      <c r="O1944" s="55"/>
    </row>
    <row r="1945" spans="1:21">
      <c r="A1945" s="47">
        <v>31323198</v>
      </c>
      <c r="B1945" s="46" t="s">
        <v>94</v>
      </c>
      <c r="C1945" s="52" t="s">
        <v>95</v>
      </c>
      <c r="D1945" s="48" t="s">
        <v>52</v>
      </c>
      <c r="E1945" s="49" t="str">
        <f t="shared" ca="1" si="71"/>
        <v/>
      </c>
      <c r="F1945" s="50" t="s">
        <v>5302</v>
      </c>
      <c r="G1945" s="51" t="s">
        <v>78</v>
      </c>
      <c r="H1945" s="52" t="s">
        <v>5303</v>
      </c>
      <c r="I1945" s="52" t="s">
        <v>5304</v>
      </c>
      <c r="J1945" s="46" t="s">
        <v>5305</v>
      </c>
      <c r="K1945" s="46" t="s">
        <v>81</v>
      </c>
      <c r="L1945" s="46" t="s">
        <v>52</v>
      </c>
      <c r="M1945" s="53" t="s">
        <v>5306</v>
      </c>
      <c r="N1945" s="55" t="s">
        <v>5307</v>
      </c>
      <c r="O1945" s="55" t="s">
        <v>52</v>
      </c>
      <c r="P1945" s="46" t="s">
        <v>59</v>
      </c>
      <c r="Q1945" s="46" t="s">
        <v>60</v>
      </c>
      <c r="R1945" s="46" t="s">
        <v>61</v>
      </c>
      <c r="S1945" s="46" t="s">
        <v>62</v>
      </c>
      <c r="T1945" s="46" t="s">
        <v>12</v>
      </c>
      <c r="U1945" s="46" t="s">
        <v>63</v>
      </c>
    </row>
    <row r="1946" spans="1:21">
      <c r="A1946" s="47">
        <v>31323421</v>
      </c>
      <c r="B1946" s="46" t="s">
        <v>2045</v>
      </c>
      <c r="C1946" s="52" t="s">
        <v>2046</v>
      </c>
      <c r="D1946" s="48">
        <v>31037</v>
      </c>
      <c r="E1946" s="49">
        <f t="shared" ca="1" si="71"/>
        <v>41.521584107984211</v>
      </c>
      <c r="F1946" s="50">
        <v>154016112</v>
      </c>
      <c r="G1946" s="51" t="s">
        <v>23</v>
      </c>
      <c r="I1946" s="52" t="s">
        <v>1881</v>
      </c>
      <c r="J1946" s="46" t="s">
        <v>234</v>
      </c>
      <c r="M1946" s="53" t="s">
        <v>2047</v>
      </c>
      <c r="N1946" s="55"/>
      <c r="O1946" s="55"/>
    </row>
    <row r="1947" spans="1:21">
      <c r="A1947" s="64">
        <v>31327548</v>
      </c>
      <c r="B1947" s="61" t="s">
        <v>711</v>
      </c>
      <c r="C1947" s="62" t="s">
        <v>322</v>
      </c>
      <c r="D1947" s="48">
        <v>25591</v>
      </c>
      <c r="E1947" s="49">
        <f t="shared" ca="1" si="71"/>
        <v>56.433258081560112</v>
      </c>
      <c r="F1947" s="63">
        <v>156009792</v>
      </c>
      <c r="G1947" s="51" t="s">
        <v>23</v>
      </c>
      <c r="I1947" s="52" t="s">
        <v>594</v>
      </c>
      <c r="J1947" s="61" t="s">
        <v>712</v>
      </c>
      <c r="K1947" s="61"/>
      <c r="L1947" s="61"/>
      <c r="M1947" s="53" t="s">
        <v>713</v>
      </c>
      <c r="N1947" s="55"/>
      <c r="O1947" s="55"/>
    </row>
    <row r="1948" spans="1:21">
      <c r="A1948" s="47">
        <v>31425208</v>
      </c>
      <c r="B1948" s="46" t="s">
        <v>2785</v>
      </c>
      <c r="C1948" s="52" t="s">
        <v>6119</v>
      </c>
      <c r="D1948" s="48">
        <v>31050</v>
      </c>
      <c r="E1948" s="49">
        <f t="shared" ca="1" si="71"/>
        <v>41.488005215123856</v>
      </c>
      <c r="F1948" s="50">
        <v>156546152</v>
      </c>
      <c r="G1948" s="51" t="s">
        <v>23</v>
      </c>
      <c r="I1948" s="52" t="s">
        <v>23</v>
      </c>
      <c r="J1948" s="46" t="s">
        <v>417</v>
      </c>
      <c r="M1948" s="53" t="s">
        <v>6120</v>
      </c>
      <c r="N1948" s="55">
        <v>4215706</v>
      </c>
      <c r="O1948" s="55"/>
    </row>
    <row r="1949" spans="1:21">
      <c r="A1949" s="47">
        <v>31425395</v>
      </c>
      <c r="B1949" s="46" t="s">
        <v>958</v>
      </c>
      <c r="C1949" s="46" t="s">
        <v>959</v>
      </c>
      <c r="D1949" s="48">
        <v>31081</v>
      </c>
      <c r="E1949" s="49">
        <f t="shared" ca="1" si="71"/>
        <v>41.403129074315515</v>
      </c>
      <c r="F1949" s="50">
        <v>156529460</v>
      </c>
      <c r="G1949" s="51" t="s">
        <v>70</v>
      </c>
      <c r="I1949" s="59" t="s">
        <v>908</v>
      </c>
      <c r="J1949" s="46" t="s">
        <v>960</v>
      </c>
      <c r="M1949" s="58" t="s">
        <v>25</v>
      </c>
    </row>
    <row r="1950" spans="1:21">
      <c r="A1950" s="47">
        <v>31425584</v>
      </c>
      <c r="B1950" s="46" t="s">
        <v>1655</v>
      </c>
      <c r="C1950" s="52" t="s">
        <v>1656</v>
      </c>
      <c r="D1950" s="48">
        <v>31096</v>
      </c>
      <c r="E1950" s="49">
        <f t="shared" ca="1" si="71"/>
        <v>41.362059973924381</v>
      </c>
      <c r="F1950" s="50">
        <v>154059155</v>
      </c>
      <c r="G1950" s="51" t="s">
        <v>23</v>
      </c>
      <c r="I1950" s="52" t="s">
        <v>1657</v>
      </c>
      <c r="J1950" s="46" t="s">
        <v>1658</v>
      </c>
      <c r="M1950" s="53" t="s">
        <v>1659</v>
      </c>
      <c r="N1950" s="55"/>
      <c r="O1950" s="55"/>
    </row>
    <row r="1951" spans="1:21">
      <c r="A1951" s="47">
        <v>31425836</v>
      </c>
      <c r="B1951" s="46" t="s">
        <v>4067</v>
      </c>
      <c r="C1951" s="46" t="s">
        <v>4068</v>
      </c>
      <c r="D1951" s="48" t="s">
        <v>52</v>
      </c>
      <c r="E1951" s="49" t="str">
        <f t="shared" ca="1" si="71"/>
        <v/>
      </c>
      <c r="F1951" s="50" t="s">
        <v>4069</v>
      </c>
      <c r="G1951" s="51" t="s">
        <v>141</v>
      </c>
      <c r="H1951" s="52" t="s">
        <v>52</v>
      </c>
      <c r="I1951" s="52" t="s">
        <v>3999</v>
      </c>
      <c r="J1951" s="46" t="s">
        <v>4070</v>
      </c>
      <c r="K1951" s="46" t="s">
        <v>81</v>
      </c>
      <c r="L1951" s="46" t="s">
        <v>1241</v>
      </c>
      <c r="M1951" s="52" t="s">
        <v>4071</v>
      </c>
      <c r="N1951" s="46" t="s">
        <v>52</v>
      </c>
      <c r="O1951" s="46" t="s">
        <v>52</v>
      </c>
      <c r="P1951" s="46" t="s">
        <v>59</v>
      </c>
      <c r="Q1951" s="46" t="s">
        <v>60</v>
      </c>
      <c r="R1951" s="46" t="s">
        <v>61</v>
      </c>
      <c r="S1951" s="46" t="s">
        <v>62</v>
      </c>
      <c r="T1951" s="46" t="s">
        <v>12</v>
      </c>
      <c r="U1951" s="46" t="s">
        <v>63</v>
      </c>
    </row>
    <row r="1952" spans="1:21">
      <c r="A1952" s="47">
        <v>31425939</v>
      </c>
      <c r="B1952" s="46" t="s">
        <v>218</v>
      </c>
      <c r="C1952" s="46" t="s">
        <v>1741</v>
      </c>
      <c r="D1952" s="48" t="s">
        <v>1742</v>
      </c>
      <c r="E1952" s="49">
        <f t="shared" ca="1" si="71"/>
        <v>41.342894393741851</v>
      </c>
      <c r="F1952" s="50" t="s">
        <v>1743</v>
      </c>
      <c r="G1952" s="51" t="s">
        <v>141</v>
      </c>
      <c r="H1952" s="52" t="s">
        <v>52</v>
      </c>
      <c r="I1952" s="52" t="s">
        <v>1657</v>
      </c>
      <c r="J1952" s="46" t="s">
        <v>545</v>
      </c>
      <c r="K1952" s="46" t="s">
        <v>1206</v>
      </c>
      <c r="L1952" s="46" t="s">
        <v>52</v>
      </c>
      <c r="M1952" s="53" t="s">
        <v>1744</v>
      </c>
      <c r="N1952" s="46" t="s">
        <v>89</v>
      </c>
      <c r="O1952" s="46" t="s">
        <v>52</v>
      </c>
      <c r="P1952" s="46" t="s">
        <v>59</v>
      </c>
      <c r="Q1952" s="46" t="s">
        <v>60</v>
      </c>
      <c r="R1952" s="46" t="s">
        <v>61</v>
      </c>
      <c r="S1952" s="46" t="s">
        <v>62</v>
      </c>
      <c r="T1952" s="46" t="s">
        <v>12</v>
      </c>
      <c r="U1952" s="46" t="s">
        <v>63</v>
      </c>
    </row>
    <row r="1953" spans="1:21">
      <c r="A1953" s="47">
        <v>31429138</v>
      </c>
      <c r="B1953" s="46" t="s">
        <v>1401</v>
      </c>
      <c r="C1953" s="46" t="s">
        <v>5989</v>
      </c>
      <c r="E1953" s="49" t="str">
        <f t="shared" ca="1" si="71"/>
        <v/>
      </c>
      <c r="F1953" s="50">
        <v>155616797</v>
      </c>
      <c r="G1953" s="51" t="s">
        <v>23</v>
      </c>
      <c r="I1953" s="52" t="s">
        <v>23</v>
      </c>
      <c r="M1953" s="53" t="s">
        <v>5990</v>
      </c>
    </row>
    <row r="1954" spans="1:21">
      <c r="A1954" s="47">
        <v>31430248</v>
      </c>
      <c r="B1954" s="46" t="s">
        <v>472</v>
      </c>
      <c r="C1954" s="52" t="s">
        <v>2266</v>
      </c>
      <c r="D1954" s="48">
        <v>31248</v>
      </c>
      <c r="E1954" s="49">
        <f t="shared" ca="1" si="71"/>
        <v>40.945893089960883</v>
      </c>
      <c r="F1954" s="50">
        <v>154136513</v>
      </c>
      <c r="G1954" s="51" t="s">
        <v>70</v>
      </c>
      <c r="I1954" s="52" t="s">
        <v>1881</v>
      </c>
      <c r="M1954" s="53" t="s">
        <v>2267</v>
      </c>
      <c r="N1954" s="55">
        <v>4107571</v>
      </c>
      <c r="O1954" s="55"/>
    </row>
    <row r="1955" spans="1:21">
      <c r="A1955" s="47">
        <v>31505906</v>
      </c>
      <c r="B1955" s="46" t="s">
        <v>3068</v>
      </c>
      <c r="C1955" s="46" t="s">
        <v>3069</v>
      </c>
      <c r="D1955" s="48" t="s">
        <v>52</v>
      </c>
      <c r="E1955" s="49" t="str">
        <f t="shared" ca="1" si="71"/>
        <v/>
      </c>
      <c r="F1955" s="50" t="s">
        <v>3070</v>
      </c>
      <c r="G1955" s="51" t="s">
        <v>70</v>
      </c>
      <c r="H1955" s="52" t="s">
        <v>52</v>
      </c>
      <c r="I1955" s="52" t="s">
        <v>2926</v>
      </c>
      <c r="J1955" s="46" t="s">
        <v>52</v>
      </c>
      <c r="K1955" s="46" t="s">
        <v>57</v>
      </c>
      <c r="L1955" s="46" t="s">
        <v>52</v>
      </c>
      <c r="M1955" s="52" t="s">
        <v>3071</v>
      </c>
      <c r="N1955" s="46" t="s">
        <v>52</v>
      </c>
      <c r="O1955" s="46" t="s">
        <v>52</v>
      </c>
      <c r="P1955" s="46" t="s">
        <v>59</v>
      </c>
      <c r="Q1955" s="46" t="s">
        <v>60</v>
      </c>
      <c r="R1955" s="46" t="s">
        <v>61</v>
      </c>
      <c r="S1955" s="46" t="s">
        <v>62</v>
      </c>
      <c r="T1955" s="46" t="s">
        <v>12</v>
      </c>
      <c r="U1955" s="46" t="s">
        <v>63</v>
      </c>
    </row>
    <row r="1956" spans="1:21">
      <c r="A1956" s="47">
        <v>31543232</v>
      </c>
      <c r="B1956" s="46" t="s">
        <v>6229</v>
      </c>
      <c r="C1956" s="46" t="s">
        <v>6230</v>
      </c>
      <c r="E1956" s="49" t="str">
        <f t="shared" ca="1" si="71"/>
        <v/>
      </c>
      <c r="G1956" s="51" t="s">
        <v>23</v>
      </c>
      <c r="I1956" s="52" t="s">
        <v>23</v>
      </c>
      <c r="M1956" s="58" t="s">
        <v>25</v>
      </c>
    </row>
    <row r="1957" spans="1:21">
      <c r="A1957" s="47">
        <v>31587261</v>
      </c>
      <c r="B1957" s="46" t="s">
        <v>3057</v>
      </c>
      <c r="C1957" s="46" t="s">
        <v>3058</v>
      </c>
      <c r="D1957" s="48" t="s">
        <v>52</v>
      </c>
      <c r="E1957" s="49" t="str">
        <f t="shared" ca="1" si="71"/>
        <v/>
      </c>
      <c r="F1957" s="50" t="s">
        <v>3059</v>
      </c>
      <c r="G1957" s="51" t="s">
        <v>70</v>
      </c>
      <c r="H1957" s="52" t="s">
        <v>52</v>
      </c>
      <c r="I1957" s="52" t="s">
        <v>2926</v>
      </c>
      <c r="J1957" s="46" t="s">
        <v>52</v>
      </c>
      <c r="K1957" s="46" t="s">
        <v>52</v>
      </c>
      <c r="L1957" s="46" t="s">
        <v>546</v>
      </c>
      <c r="M1957" s="52" t="s">
        <v>3060</v>
      </c>
      <c r="N1957" s="46" t="s">
        <v>52</v>
      </c>
      <c r="O1957" s="46" t="s">
        <v>52</v>
      </c>
      <c r="P1957" s="46" t="s">
        <v>59</v>
      </c>
      <c r="Q1957" s="46" t="s">
        <v>60</v>
      </c>
      <c r="R1957" s="46" t="s">
        <v>61</v>
      </c>
      <c r="S1957" s="46" t="s">
        <v>62</v>
      </c>
      <c r="T1957" s="46" t="s">
        <v>12</v>
      </c>
      <c r="U1957" s="46" t="s">
        <v>63</v>
      </c>
    </row>
    <row r="1958" spans="1:21">
      <c r="A1958" s="47">
        <v>31588049</v>
      </c>
      <c r="B1958" s="46" t="s">
        <v>8803</v>
      </c>
      <c r="C1958" s="46" t="s">
        <v>1353</v>
      </c>
      <c r="E1958" s="49" t="str">
        <f t="shared" ca="1" si="71"/>
        <v/>
      </c>
      <c r="F1958" s="50">
        <v>155422500</v>
      </c>
      <c r="G1958" s="51" t="s">
        <v>23</v>
      </c>
      <c r="I1958" s="52" t="s">
        <v>23</v>
      </c>
      <c r="M1958" s="53" t="s">
        <v>6387</v>
      </c>
    </row>
    <row r="1959" spans="1:21">
      <c r="A1959" s="47">
        <v>31588509</v>
      </c>
      <c r="B1959" s="46" t="s">
        <v>2341</v>
      </c>
      <c r="C1959" s="46" t="s">
        <v>2342</v>
      </c>
      <c r="D1959" s="48" t="s">
        <v>52</v>
      </c>
      <c r="E1959" s="49" t="str">
        <f t="shared" ca="1" si="71"/>
        <v/>
      </c>
      <c r="F1959" s="50" t="s">
        <v>2343</v>
      </c>
      <c r="G1959" s="51" t="s">
        <v>70</v>
      </c>
      <c r="H1959" s="52" t="s">
        <v>2344</v>
      </c>
      <c r="I1959" s="52" t="s">
        <v>1881</v>
      </c>
      <c r="J1959" s="46" t="s">
        <v>52</v>
      </c>
      <c r="K1959" s="46" t="s">
        <v>112</v>
      </c>
      <c r="L1959" s="46" t="s">
        <v>546</v>
      </c>
      <c r="M1959" s="52" t="s">
        <v>2345</v>
      </c>
      <c r="N1959" s="46" t="s">
        <v>52</v>
      </c>
      <c r="O1959" s="46" t="s">
        <v>52</v>
      </c>
      <c r="P1959" s="46" t="s">
        <v>59</v>
      </c>
      <c r="Q1959" s="46" t="s">
        <v>60</v>
      </c>
      <c r="R1959" s="46" t="s">
        <v>61</v>
      </c>
      <c r="S1959" s="46" t="s">
        <v>62</v>
      </c>
      <c r="T1959" s="46" t="s">
        <v>12</v>
      </c>
      <c r="U1959" s="46" t="s">
        <v>63</v>
      </c>
    </row>
    <row r="1960" spans="1:21">
      <c r="A1960" s="47">
        <v>31588554</v>
      </c>
      <c r="B1960" s="46" t="s">
        <v>5163</v>
      </c>
      <c r="C1960" s="46" t="s">
        <v>2678</v>
      </c>
      <c r="D1960" s="48" t="s">
        <v>52</v>
      </c>
      <c r="E1960" s="49" t="str">
        <f t="shared" ca="1" si="71"/>
        <v/>
      </c>
      <c r="F1960" s="50" t="s">
        <v>5164</v>
      </c>
      <c r="G1960" s="51" t="s">
        <v>70</v>
      </c>
      <c r="H1960" s="52" t="s">
        <v>52</v>
      </c>
      <c r="I1960" s="52" t="s">
        <v>4954</v>
      </c>
      <c r="J1960" s="46" t="s">
        <v>5072</v>
      </c>
      <c r="K1960" s="46" t="s">
        <v>81</v>
      </c>
      <c r="L1960" s="46" t="s">
        <v>52</v>
      </c>
      <c r="M1960" s="52" t="s">
        <v>5165</v>
      </c>
      <c r="N1960" s="46" t="s">
        <v>52</v>
      </c>
      <c r="O1960" s="46" t="s">
        <v>52</v>
      </c>
      <c r="P1960" s="46" t="s">
        <v>59</v>
      </c>
      <c r="Q1960" s="46" t="s">
        <v>60</v>
      </c>
      <c r="R1960" s="46" t="s">
        <v>61</v>
      </c>
      <c r="S1960" s="46" t="s">
        <v>62</v>
      </c>
      <c r="T1960" s="46" t="s">
        <v>12</v>
      </c>
      <c r="U1960" s="46" t="s">
        <v>63</v>
      </c>
    </row>
    <row r="1961" spans="1:21">
      <c r="A1961" s="47">
        <v>31588602</v>
      </c>
      <c r="B1961" s="46" t="s">
        <v>3097</v>
      </c>
      <c r="C1961" s="46" t="s">
        <v>3098</v>
      </c>
      <c r="D1961" s="48" t="s">
        <v>52</v>
      </c>
      <c r="E1961" s="49" t="str">
        <f t="shared" ca="1" si="71"/>
        <v/>
      </c>
      <c r="F1961" s="50" t="s">
        <v>3099</v>
      </c>
      <c r="G1961" s="51" t="s">
        <v>70</v>
      </c>
      <c r="H1961" s="52" t="s">
        <v>52</v>
      </c>
      <c r="I1961" s="52" t="s">
        <v>2926</v>
      </c>
      <c r="J1961" s="46" t="s">
        <v>697</v>
      </c>
      <c r="K1961" s="46" t="s">
        <v>81</v>
      </c>
      <c r="L1961" s="46" t="s">
        <v>546</v>
      </c>
      <c r="M1961" s="52" t="s">
        <v>3100</v>
      </c>
      <c r="N1961" s="46" t="s">
        <v>52</v>
      </c>
      <c r="O1961" s="46" t="s">
        <v>52</v>
      </c>
      <c r="P1961" s="46" t="s">
        <v>59</v>
      </c>
      <c r="Q1961" s="46" t="s">
        <v>60</v>
      </c>
      <c r="R1961" s="46" t="s">
        <v>61</v>
      </c>
      <c r="S1961" s="46" t="s">
        <v>62</v>
      </c>
      <c r="T1961" s="46" t="s">
        <v>12</v>
      </c>
      <c r="U1961" s="46" t="s">
        <v>63</v>
      </c>
    </row>
    <row r="1962" spans="1:21">
      <c r="A1962" s="47">
        <v>31588739</v>
      </c>
      <c r="B1962" s="69" t="s">
        <v>8796</v>
      </c>
      <c r="C1962" s="70" t="s">
        <v>3662</v>
      </c>
      <c r="D1962" s="48">
        <v>31159</v>
      </c>
      <c r="E1962" s="49">
        <f t="shared" ca="1" si="71"/>
        <v>41.189569752281614</v>
      </c>
      <c r="F1962" s="50">
        <v>154154759</v>
      </c>
      <c r="G1962" s="51" t="s">
        <v>23</v>
      </c>
      <c r="I1962" s="52" t="s">
        <v>5494</v>
      </c>
      <c r="J1962" s="46" t="s">
        <v>5634</v>
      </c>
      <c r="M1962" s="53" t="s">
        <v>5635</v>
      </c>
      <c r="N1962" s="55">
        <v>4526343</v>
      </c>
      <c r="O1962" s="55"/>
    </row>
    <row r="1963" spans="1:21">
      <c r="A1963" s="47">
        <v>31588755</v>
      </c>
      <c r="B1963" s="46" t="s">
        <v>315</v>
      </c>
      <c r="C1963" s="52" t="s">
        <v>6266</v>
      </c>
      <c r="D1963" s="48">
        <v>31171</v>
      </c>
      <c r="E1963" s="49">
        <f t="shared" ca="1" si="71"/>
        <v>41.156714471968712</v>
      </c>
      <c r="G1963" s="51" t="s">
        <v>141</v>
      </c>
      <c r="I1963" s="52" t="s">
        <v>23</v>
      </c>
      <c r="M1963" s="58" t="s">
        <v>25</v>
      </c>
      <c r="N1963" s="55"/>
      <c r="O1963" s="55"/>
    </row>
    <row r="1964" spans="1:21">
      <c r="A1964" s="47">
        <v>31589222</v>
      </c>
      <c r="B1964" s="46" t="s">
        <v>734</v>
      </c>
      <c r="C1964" s="46" t="s">
        <v>3593</v>
      </c>
      <c r="D1964" s="48">
        <v>31203</v>
      </c>
      <c r="E1964" s="49">
        <f t="shared" ca="1" si="71"/>
        <v>41.069100391134292</v>
      </c>
      <c r="F1964" s="50">
        <v>156494058</v>
      </c>
      <c r="G1964" s="51" t="s">
        <v>70</v>
      </c>
      <c r="I1964" s="52" t="s">
        <v>3555</v>
      </c>
      <c r="M1964" s="53" t="s">
        <v>3594</v>
      </c>
      <c r="N1964" s="46">
        <v>4211071</v>
      </c>
      <c r="O1964" s="46">
        <v>112</v>
      </c>
    </row>
    <row r="1965" spans="1:21">
      <c r="A1965" s="47">
        <v>31589261</v>
      </c>
      <c r="B1965" s="46" t="s">
        <v>3122</v>
      </c>
      <c r="C1965" s="46" t="s">
        <v>3058</v>
      </c>
      <c r="D1965" s="48" t="s">
        <v>52</v>
      </c>
      <c r="E1965" s="49" t="str">
        <f t="shared" ca="1" si="71"/>
        <v/>
      </c>
      <c r="F1965" s="50" t="s">
        <v>3059</v>
      </c>
      <c r="G1965" s="51" t="s">
        <v>78</v>
      </c>
      <c r="H1965" s="52" t="s">
        <v>3123</v>
      </c>
      <c r="I1965" s="52" t="s">
        <v>2926</v>
      </c>
      <c r="J1965" s="46" t="s">
        <v>3124</v>
      </c>
      <c r="K1965" s="46" t="s">
        <v>81</v>
      </c>
      <c r="L1965" s="46" t="s">
        <v>546</v>
      </c>
      <c r="M1965" s="52" t="s">
        <v>3125</v>
      </c>
      <c r="N1965" s="46" t="s">
        <v>3044</v>
      </c>
      <c r="O1965" s="46" t="s">
        <v>52</v>
      </c>
      <c r="P1965" s="46" t="s">
        <v>59</v>
      </c>
      <c r="Q1965" s="46" t="s">
        <v>60</v>
      </c>
      <c r="R1965" s="46" t="s">
        <v>61</v>
      </c>
      <c r="S1965" s="46" t="s">
        <v>62</v>
      </c>
      <c r="T1965" s="46" t="s">
        <v>12</v>
      </c>
      <c r="U1965" s="46" t="s">
        <v>63</v>
      </c>
    </row>
    <row r="1966" spans="1:21">
      <c r="A1966" s="74">
        <v>31589271</v>
      </c>
      <c r="B1966" s="234" t="s">
        <v>7911</v>
      </c>
      <c r="C1966" s="234" t="s">
        <v>9898</v>
      </c>
      <c r="D1966" s="235">
        <v>31208</v>
      </c>
      <c r="E1966" s="236"/>
      <c r="F1966" s="237">
        <v>3815236228</v>
      </c>
      <c r="G1966" s="234" t="s">
        <v>70</v>
      </c>
      <c r="H1966" s="238" t="s">
        <v>6749</v>
      </c>
      <c r="I1966" s="238" t="s">
        <v>4499</v>
      </c>
      <c r="J1966" s="234" t="s">
        <v>10002</v>
      </c>
      <c r="K1966" s="234" t="s">
        <v>8745</v>
      </c>
      <c r="L1966" s="234"/>
      <c r="M1966" s="238" t="s">
        <v>9934</v>
      </c>
      <c r="N1966" s="234"/>
      <c r="O1966" s="234"/>
      <c r="P1966" s="234"/>
      <c r="Q1966" s="234"/>
      <c r="R1966" s="234"/>
      <c r="S1966" s="234"/>
      <c r="T1966" s="234"/>
      <c r="U1966" s="234"/>
    </row>
    <row r="1967" spans="1:21">
      <c r="A1967" s="47">
        <v>31589500</v>
      </c>
      <c r="B1967" s="46" t="s">
        <v>9702</v>
      </c>
      <c r="C1967" s="46" t="s">
        <v>9703</v>
      </c>
      <c r="D1967" s="48" t="s">
        <v>9704</v>
      </c>
      <c r="E1967" s="49" t="s">
        <v>9339</v>
      </c>
      <c r="F1967" s="50" t="s">
        <v>9705</v>
      </c>
      <c r="G1967" s="51" t="s">
        <v>141</v>
      </c>
      <c r="H1967" s="52" t="s">
        <v>9706</v>
      </c>
      <c r="I1967" s="52" t="s">
        <v>4815</v>
      </c>
      <c r="J1967" s="46" t="s">
        <v>9707</v>
      </c>
      <c r="K1967" s="46" t="s">
        <v>81</v>
      </c>
      <c r="L1967" s="46" t="s">
        <v>546</v>
      </c>
      <c r="M1967" s="52" t="s">
        <v>9708</v>
      </c>
      <c r="N1967" s="46" t="s">
        <v>52</v>
      </c>
      <c r="O1967" s="46" t="s">
        <v>52</v>
      </c>
      <c r="P1967" s="46" t="s">
        <v>59</v>
      </c>
      <c r="Q1967" s="46" t="s">
        <v>60</v>
      </c>
      <c r="R1967" s="46" t="s">
        <v>61</v>
      </c>
      <c r="S1967" s="46" t="s">
        <v>62</v>
      </c>
      <c r="T1967" s="46" t="s">
        <v>12</v>
      </c>
      <c r="U1967" s="46" t="s">
        <v>63</v>
      </c>
    </row>
    <row r="1968" spans="1:21">
      <c r="A1968" s="47">
        <v>31589520</v>
      </c>
      <c r="B1968" s="46" t="s">
        <v>1446</v>
      </c>
      <c r="C1968" s="46" t="s">
        <v>1447</v>
      </c>
      <c r="D1968" s="48">
        <v>31219</v>
      </c>
      <c r="E1968" s="49">
        <f ca="1">IF(D1968="","",YEARFRAC(D1968,TODAY(),1))</f>
        <v>41.025293350717078</v>
      </c>
      <c r="F1968" s="50" t="s">
        <v>1448</v>
      </c>
      <c r="G1968" s="51" t="s">
        <v>37</v>
      </c>
      <c r="H1968" s="52" t="s">
        <v>52</v>
      </c>
      <c r="I1968" s="52" t="s">
        <v>1449</v>
      </c>
      <c r="J1968" s="46" t="s">
        <v>1450</v>
      </c>
      <c r="K1968" s="46" t="s">
        <v>81</v>
      </c>
      <c r="L1968" s="46" t="s">
        <v>546</v>
      </c>
      <c r="M1968" s="52" t="s">
        <v>1451</v>
      </c>
      <c r="N1968" s="46" t="s">
        <v>1452</v>
      </c>
      <c r="O1968" s="46" t="s">
        <v>1362</v>
      </c>
      <c r="P1968" s="46" t="s">
        <v>59</v>
      </c>
      <c r="Q1968" s="46" t="s">
        <v>60</v>
      </c>
      <c r="R1968" s="46" t="s">
        <v>61</v>
      </c>
      <c r="S1968" s="46" t="s">
        <v>62</v>
      </c>
      <c r="T1968" s="46" t="s">
        <v>12</v>
      </c>
      <c r="U1968" s="46" t="s">
        <v>63</v>
      </c>
    </row>
    <row r="1969" spans="1:21">
      <c r="A1969" s="47">
        <v>31589537</v>
      </c>
      <c r="B1969" s="46" t="s">
        <v>2844</v>
      </c>
      <c r="C1969" s="52" t="s">
        <v>4988</v>
      </c>
      <c r="D1969" s="48">
        <v>31199</v>
      </c>
      <c r="E1969" s="49">
        <f ca="1">IF(D1969="","",YEARFRAC(D1969,TODAY(),1))</f>
        <v>41.08005215123859</v>
      </c>
      <c r="F1969" s="50">
        <v>155700106</v>
      </c>
      <c r="G1969" s="51" t="s">
        <v>23</v>
      </c>
      <c r="I1969" s="65" t="s">
        <v>4954</v>
      </c>
      <c r="J1969" s="46" t="s">
        <v>48</v>
      </c>
      <c r="M1969" s="53" t="s">
        <v>4989</v>
      </c>
      <c r="N1969" s="55"/>
      <c r="O1969" s="55"/>
    </row>
    <row r="1970" spans="1:21">
      <c r="A1970" s="47">
        <v>31589704</v>
      </c>
      <c r="B1970" s="46" t="s">
        <v>6304</v>
      </c>
      <c r="C1970" s="52" t="s">
        <v>6305</v>
      </c>
      <c r="D1970" s="48" t="s">
        <v>52</v>
      </c>
      <c r="E1970" s="49" t="str">
        <f ca="1">IF(D1970="","",YEARFRAC(D1970,TODAY(),1))</f>
        <v/>
      </c>
      <c r="F1970" s="50" t="s">
        <v>6306</v>
      </c>
      <c r="G1970" s="51" t="s">
        <v>78</v>
      </c>
      <c r="H1970" s="52" t="s">
        <v>6307</v>
      </c>
      <c r="I1970" s="52" t="s">
        <v>5863</v>
      </c>
      <c r="J1970" s="46" t="s">
        <v>6308</v>
      </c>
      <c r="K1970" s="46" t="s">
        <v>81</v>
      </c>
      <c r="L1970" s="46" t="s">
        <v>52</v>
      </c>
      <c r="M1970" s="53" t="s">
        <v>6309</v>
      </c>
      <c r="N1970" s="55" t="s">
        <v>52</v>
      </c>
      <c r="O1970" s="55" t="s">
        <v>52</v>
      </c>
      <c r="P1970" s="46" t="s">
        <v>59</v>
      </c>
      <c r="Q1970" s="46" t="s">
        <v>60</v>
      </c>
      <c r="R1970" s="46" t="s">
        <v>61</v>
      </c>
      <c r="S1970" s="46" t="s">
        <v>62</v>
      </c>
      <c r="T1970" s="46" t="s">
        <v>12</v>
      </c>
      <c r="U1970" s="46" t="s">
        <v>63</v>
      </c>
    </row>
    <row r="1971" spans="1:21">
      <c r="A1971" s="47">
        <v>31589812</v>
      </c>
      <c r="B1971" s="46" t="s">
        <v>6068</v>
      </c>
      <c r="C1971" s="46" t="s">
        <v>363</v>
      </c>
      <c r="E1971" s="49" t="str">
        <f ca="1">IF(D1971="","",YEARFRAC(D1971,TODAY(),1))</f>
        <v/>
      </c>
      <c r="F1971" s="50">
        <v>155866310</v>
      </c>
      <c r="G1971" s="51" t="s">
        <v>23</v>
      </c>
      <c r="I1971" s="52" t="s">
        <v>23</v>
      </c>
      <c r="M1971" s="53" t="s">
        <v>6069</v>
      </c>
    </row>
    <row r="1972" spans="1:21">
      <c r="A1972" s="47">
        <v>31607223</v>
      </c>
      <c r="B1972" s="46" t="s">
        <v>574</v>
      </c>
      <c r="C1972" s="46" t="s">
        <v>9660</v>
      </c>
      <c r="D1972" s="48" t="s">
        <v>9661</v>
      </c>
      <c r="E1972" s="49" t="s">
        <v>9339</v>
      </c>
      <c r="F1972" s="50" t="s">
        <v>9662</v>
      </c>
      <c r="G1972" s="51" t="s">
        <v>70</v>
      </c>
      <c r="H1972" s="52" t="s">
        <v>9663</v>
      </c>
      <c r="I1972" s="52" t="s">
        <v>4815</v>
      </c>
      <c r="J1972" s="46" t="s">
        <v>3636</v>
      </c>
      <c r="K1972" s="46" t="s">
        <v>159</v>
      </c>
      <c r="L1972" s="46" t="s">
        <v>546</v>
      </c>
      <c r="M1972" s="52" t="s">
        <v>9664</v>
      </c>
      <c r="N1972" s="46" t="s">
        <v>52</v>
      </c>
      <c r="O1972" s="46" t="s">
        <v>52</v>
      </c>
      <c r="P1972" s="46" t="s">
        <v>59</v>
      </c>
      <c r="Q1972" s="46" t="s">
        <v>60</v>
      </c>
      <c r="R1972" s="46" t="s">
        <v>61</v>
      </c>
      <c r="S1972" s="46" t="s">
        <v>62</v>
      </c>
      <c r="T1972" s="46" t="s">
        <v>12</v>
      </c>
      <c r="U1972" s="46" t="s">
        <v>63</v>
      </c>
    </row>
    <row r="1973" spans="1:21">
      <c r="A1973" s="47">
        <v>31619320</v>
      </c>
      <c r="B1973" s="46" t="s">
        <v>350</v>
      </c>
      <c r="C1973" s="46" t="s">
        <v>1562</v>
      </c>
      <c r="D1973" s="48">
        <v>31198</v>
      </c>
      <c r="E1973" s="49">
        <f t="shared" ref="E1973:E1983" ca="1" si="72">IF(D1973="","",YEARFRAC(D1973,TODAY(),1))</f>
        <v>41.08279009126467</v>
      </c>
      <c r="F1973" s="50">
        <v>156355787</v>
      </c>
      <c r="G1973" s="51" t="s">
        <v>70</v>
      </c>
      <c r="I1973" s="52" t="s">
        <v>1497</v>
      </c>
      <c r="J1973" s="46" t="s">
        <v>1563</v>
      </c>
      <c r="M1973" s="53" t="s">
        <v>1564</v>
      </c>
    </row>
    <row r="1974" spans="1:21">
      <c r="A1974" s="47">
        <v>31644246</v>
      </c>
      <c r="B1974" s="46" t="s">
        <v>983</v>
      </c>
      <c r="C1974" s="52" t="s">
        <v>2693</v>
      </c>
      <c r="E1974" s="49" t="str">
        <f t="shared" ca="1" si="72"/>
        <v/>
      </c>
      <c r="F1974" s="50">
        <v>4107260</v>
      </c>
      <c r="G1974" s="51" t="s">
        <v>23</v>
      </c>
      <c r="I1974" s="52" t="s">
        <v>2694</v>
      </c>
      <c r="J1974" s="55" t="s">
        <v>205</v>
      </c>
      <c r="K1974" s="55"/>
      <c r="L1974" s="55"/>
      <c r="M1974" s="53" t="s">
        <v>2695</v>
      </c>
      <c r="N1974" s="55"/>
      <c r="O1974" s="55"/>
    </row>
    <row r="1975" spans="1:21">
      <c r="A1975" s="47">
        <v>31644258</v>
      </c>
      <c r="B1975" s="46" t="s">
        <v>927</v>
      </c>
      <c r="C1975" s="46" t="s">
        <v>933</v>
      </c>
      <c r="D1975" s="48">
        <v>31278</v>
      </c>
      <c r="E1975" s="49">
        <f t="shared" ca="1" si="72"/>
        <v>40.863754889178615</v>
      </c>
      <c r="F1975" s="50">
        <v>153578864</v>
      </c>
      <c r="G1975" s="51" t="s">
        <v>70</v>
      </c>
      <c r="I1975" s="59" t="s">
        <v>908</v>
      </c>
      <c r="J1975" s="46" t="s">
        <v>934</v>
      </c>
      <c r="M1975" s="53" t="s">
        <v>935</v>
      </c>
      <c r="P1975" s="46">
        <v>1</v>
      </c>
    </row>
    <row r="1976" spans="1:21">
      <c r="A1976" s="47">
        <v>31644266</v>
      </c>
      <c r="B1976" s="46" t="s">
        <v>3149</v>
      </c>
      <c r="C1976" s="46" t="s">
        <v>3307</v>
      </c>
      <c r="D1976" s="48">
        <v>31275</v>
      </c>
      <c r="E1976" s="49">
        <f t="shared" ca="1" si="72"/>
        <v>40.871968709256848</v>
      </c>
      <c r="G1976" s="51" t="s">
        <v>70</v>
      </c>
      <c r="I1976" s="52" t="s">
        <v>3287</v>
      </c>
      <c r="J1976" s="46" t="s">
        <v>3308</v>
      </c>
      <c r="M1976" s="53" t="s">
        <v>3309</v>
      </c>
      <c r="N1976" s="46">
        <v>4302967</v>
      </c>
    </row>
    <row r="1977" spans="1:21">
      <c r="A1977" s="47">
        <v>31644419</v>
      </c>
      <c r="B1977" s="46" t="s">
        <v>4504</v>
      </c>
      <c r="C1977" s="46" t="s">
        <v>2613</v>
      </c>
      <c r="D1977" s="48">
        <v>31215</v>
      </c>
      <c r="E1977" s="49">
        <f t="shared" ca="1" si="72"/>
        <v>41.036245110821383</v>
      </c>
      <c r="F1977" s="50">
        <v>156616075</v>
      </c>
      <c r="G1977" s="51" t="s">
        <v>86</v>
      </c>
      <c r="I1977" s="52" t="s">
        <v>4499</v>
      </c>
      <c r="J1977" s="46" t="s">
        <v>38</v>
      </c>
      <c r="M1977" s="53" t="s">
        <v>4505</v>
      </c>
    </row>
    <row r="1978" spans="1:21">
      <c r="A1978" s="47">
        <v>31644470</v>
      </c>
      <c r="B1978" s="46" t="s">
        <v>574</v>
      </c>
      <c r="C1978" s="46" t="s">
        <v>575</v>
      </c>
      <c r="D1978" s="48" t="s">
        <v>52</v>
      </c>
      <c r="E1978" s="49" t="str">
        <f t="shared" ca="1" si="72"/>
        <v/>
      </c>
      <c r="F1978" s="50" t="s">
        <v>576</v>
      </c>
      <c r="G1978" s="51" t="s">
        <v>70</v>
      </c>
      <c r="H1978" s="52" t="s">
        <v>439</v>
      </c>
      <c r="I1978" s="52" t="s">
        <v>24</v>
      </c>
      <c r="J1978" s="46" t="s">
        <v>52</v>
      </c>
      <c r="K1978" s="46" t="s">
        <v>112</v>
      </c>
      <c r="L1978" s="46" t="s">
        <v>546</v>
      </c>
      <c r="M1978" s="52" t="s">
        <v>577</v>
      </c>
      <c r="N1978" s="46" t="s">
        <v>52</v>
      </c>
      <c r="O1978" s="46" t="s">
        <v>52</v>
      </c>
      <c r="P1978" s="46" t="s">
        <v>59</v>
      </c>
      <c r="Q1978" s="46" t="s">
        <v>60</v>
      </c>
      <c r="R1978" s="46" t="s">
        <v>61</v>
      </c>
      <c r="S1978" s="46" t="s">
        <v>62</v>
      </c>
      <c r="T1978" s="46" t="s">
        <v>12</v>
      </c>
      <c r="U1978" s="46" t="s">
        <v>63</v>
      </c>
    </row>
    <row r="1979" spans="1:21">
      <c r="A1979" s="47">
        <v>31644581</v>
      </c>
      <c r="B1979" s="46" t="s">
        <v>3679</v>
      </c>
      <c r="C1979" s="55" t="s">
        <v>6030</v>
      </c>
      <c r="D1979" s="48">
        <v>31287</v>
      </c>
      <c r="E1979" s="49">
        <f t="shared" ca="1" si="72"/>
        <v>40.839113428943939</v>
      </c>
      <c r="F1979" s="50">
        <v>154777063</v>
      </c>
      <c r="G1979" s="51" t="s">
        <v>86</v>
      </c>
      <c r="I1979" s="52" t="s">
        <v>23</v>
      </c>
      <c r="J1979" s="46" t="s">
        <v>3265</v>
      </c>
      <c r="M1979" s="53" t="s">
        <v>6031</v>
      </c>
    </row>
    <row r="1980" spans="1:21">
      <c r="A1980" s="47">
        <v>31644846</v>
      </c>
      <c r="B1980" s="46" t="s">
        <v>983</v>
      </c>
      <c r="C1980" s="52" t="s">
        <v>3888</v>
      </c>
      <c r="D1980" s="48">
        <v>31302</v>
      </c>
      <c r="E1980" s="49">
        <f t="shared" ca="1" si="72"/>
        <v>40.798044328552805</v>
      </c>
      <c r="F1980" s="50">
        <v>154720498</v>
      </c>
      <c r="G1980" s="51" t="s">
        <v>23</v>
      </c>
      <c r="I1980" s="52" t="s">
        <v>23</v>
      </c>
      <c r="J1980" s="46" t="s">
        <v>48</v>
      </c>
      <c r="M1980" s="53" t="s">
        <v>6017</v>
      </c>
      <c r="N1980" s="55"/>
      <c r="O1980" s="55"/>
    </row>
    <row r="1981" spans="1:21">
      <c r="A1981" s="47">
        <v>31733485</v>
      </c>
      <c r="B1981" s="46" t="s">
        <v>1129</v>
      </c>
      <c r="C1981" s="52" t="s">
        <v>1130</v>
      </c>
      <c r="D1981" s="48">
        <v>31251</v>
      </c>
      <c r="E1981" s="49">
        <f t="shared" ca="1" si="72"/>
        <v>40.937679269882658</v>
      </c>
      <c r="F1981" s="50">
        <v>156299704</v>
      </c>
      <c r="G1981" s="51" t="s">
        <v>23</v>
      </c>
      <c r="I1981" s="59" t="s">
        <v>908</v>
      </c>
      <c r="J1981" s="46" t="s">
        <v>1131</v>
      </c>
      <c r="M1981" s="53" t="s">
        <v>1132</v>
      </c>
      <c r="N1981" s="55"/>
      <c r="O1981" s="55"/>
    </row>
    <row r="1982" spans="1:21">
      <c r="A1982" s="47">
        <v>31770453</v>
      </c>
      <c r="B1982" s="46" t="s">
        <v>2709</v>
      </c>
      <c r="C1982" s="52" t="s">
        <v>3046</v>
      </c>
      <c r="D1982" s="48">
        <v>31342</v>
      </c>
      <c r="E1982" s="49">
        <f t="shared" ca="1" si="72"/>
        <v>40.688526727509775</v>
      </c>
      <c r="F1982" s="50">
        <v>155504663</v>
      </c>
      <c r="G1982" s="51" t="s">
        <v>23</v>
      </c>
      <c r="I1982" s="52" t="s">
        <v>2926</v>
      </c>
      <c r="J1982" s="46" t="s">
        <v>673</v>
      </c>
      <c r="M1982" s="53" t="s">
        <v>3047</v>
      </c>
      <c r="N1982" s="55"/>
      <c r="O1982" s="55"/>
    </row>
    <row r="1983" spans="1:21">
      <c r="A1983" s="47">
        <v>31809522</v>
      </c>
      <c r="B1983" s="46" t="s">
        <v>4907</v>
      </c>
      <c r="C1983" s="46" t="s">
        <v>106</v>
      </c>
      <c r="D1983" s="48" t="s">
        <v>52</v>
      </c>
      <c r="E1983" s="49" t="str">
        <f t="shared" ca="1" si="72"/>
        <v/>
      </c>
      <c r="F1983" s="50" t="s">
        <v>6776</v>
      </c>
      <c r="G1983" s="51" t="s">
        <v>70</v>
      </c>
      <c r="H1983" s="52" t="s">
        <v>4693</v>
      </c>
      <c r="I1983" s="52" t="s">
        <v>4499</v>
      </c>
      <c r="J1983" s="46" t="s">
        <v>52</v>
      </c>
      <c r="K1983" s="46" t="s">
        <v>390</v>
      </c>
      <c r="L1983" s="46" t="s">
        <v>546</v>
      </c>
      <c r="M1983" s="52" t="s">
        <v>6777</v>
      </c>
      <c r="N1983" s="46" t="s">
        <v>52</v>
      </c>
      <c r="O1983" s="46" t="s">
        <v>52</v>
      </c>
      <c r="P1983" s="46" t="s">
        <v>59</v>
      </c>
      <c r="Q1983" s="46" t="s">
        <v>60</v>
      </c>
      <c r="R1983" s="46" t="s">
        <v>61</v>
      </c>
      <c r="S1983" s="46" t="s">
        <v>62</v>
      </c>
      <c r="T1983" s="46" t="s">
        <v>12</v>
      </c>
      <c r="U1983" s="46" t="s">
        <v>63</v>
      </c>
    </row>
    <row r="1984" spans="1:21">
      <c r="A1984" s="74">
        <v>31809569</v>
      </c>
      <c r="B1984" s="234" t="s">
        <v>9899</v>
      </c>
      <c r="C1984" s="234" t="s">
        <v>9900</v>
      </c>
      <c r="D1984" s="235">
        <v>31330</v>
      </c>
      <c r="E1984" s="236"/>
      <c r="F1984" s="237">
        <v>3815759500</v>
      </c>
      <c r="G1984" s="234" t="s">
        <v>141</v>
      </c>
      <c r="H1984" s="238" t="s">
        <v>9966</v>
      </c>
      <c r="I1984" s="238" t="s">
        <v>908</v>
      </c>
      <c r="J1984" s="234" t="s">
        <v>3972</v>
      </c>
      <c r="K1984" s="234" t="s">
        <v>2002</v>
      </c>
      <c r="L1984" s="234"/>
      <c r="M1984" s="238" t="s">
        <v>9935</v>
      </c>
      <c r="N1984" s="234"/>
      <c r="O1984" s="234"/>
      <c r="P1984" s="234"/>
      <c r="Q1984" s="234"/>
      <c r="R1984" s="234"/>
      <c r="S1984" s="234"/>
      <c r="T1984" s="234"/>
      <c r="U1984" s="234"/>
    </row>
    <row r="1985" spans="1:21">
      <c r="A1985" s="47">
        <v>31809903</v>
      </c>
      <c r="B1985" s="46" t="s">
        <v>3380</v>
      </c>
      <c r="C1985" s="46" t="s">
        <v>3381</v>
      </c>
      <c r="D1985" s="48">
        <v>31361</v>
      </c>
      <c r="E1985" s="49">
        <f t="shared" ref="E1985:E1994" ca="1" si="73">IF(D1985="","",YEARFRAC(D1985,TODAY(),1))</f>
        <v>40.636505867014343</v>
      </c>
      <c r="F1985" s="50">
        <v>154589891</v>
      </c>
      <c r="G1985" s="51" t="s">
        <v>78</v>
      </c>
      <c r="I1985" s="52" t="s">
        <v>3327</v>
      </c>
      <c r="J1985" s="46" t="s">
        <v>470</v>
      </c>
      <c r="M1985" s="53" t="s">
        <v>3382</v>
      </c>
      <c r="N1985" s="46">
        <v>4353681</v>
      </c>
      <c r="O1985" s="46">
        <v>111</v>
      </c>
      <c r="P1985" s="46">
        <v>4</v>
      </c>
    </row>
    <row r="1986" spans="1:21">
      <c r="A1986" s="47">
        <v>31810199</v>
      </c>
      <c r="B1986" s="46" t="s">
        <v>1097</v>
      </c>
      <c r="C1986" s="52" t="s">
        <v>1098</v>
      </c>
      <c r="E1986" s="49" t="str">
        <f t="shared" ca="1" si="73"/>
        <v/>
      </c>
      <c r="F1986" s="50">
        <v>154974839</v>
      </c>
      <c r="G1986" s="51" t="s">
        <v>70</v>
      </c>
      <c r="I1986" s="59" t="s">
        <v>908</v>
      </c>
      <c r="J1986" s="46" t="s">
        <v>1099</v>
      </c>
      <c r="M1986" s="53" t="s">
        <v>1100</v>
      </c>
      <c r="N1986" s="55"/>
      <c r="O1986" s="55"/>
    </row>
    <row r="1987" spans="1:21">
      <c r="A1987" s="47">
        <v>31816834</v>
      </c>
      <c r="B1987" s="46" t="s">
        <v>288</v>
      </c>
      <c r="C1987" s="52" t="s">
        <v>1141</v>
      </c>
      <c r="D1987" s="48">
        <v>31327</v>
      </c>
      <c r="E1987" s="49">
        <f t="shared" ca="1" si="73"/>
        <v>40.729595827900916</v>
      </c>
      <c r="F1987" s="50">
        <v>155561234</v>
      </c>
      <c r="G1987" s="51" t="s">
        <v>23</v>
      </c>
      <c r="I1987" s="59" t="s">
        <v>908</v>
      </c>
      <c r="J1987" s="46" t="s">
        <v>1055</v>
      </c>
      <c r="M1987" s="53" t="s">
        <v>1142</v>
      </c>
      <c r="N1987" s="55"/>
      <c r="O1987" s="55"/>
    </row>
    <row r="1988" spans="1:21">
      <c r="A1988" s="47">
        <v>31842029</v>
      </c>
      <c r="B1988" s="46" t="s">
        <v>5233</v>
      </c>
      <c r="C1988" s="46" t="s">
        <v>5234</v>
      </c>
      <c r="D1988" s="48" t="s">
        <v>52</v>
      </c>
      <c r="E1988" s="49" t="str">
        <f t="shared" ca="1" si="73"/>
        <v/>
      </c>
      <c r="F1988" s="50" t="s">
        <v>5235</v>
      </c>
      <c r="G1988" s="51" t="s">
        <v>86</v>
      </c>
      <c r="H1988" s="52" t="s">
        <v>52</v>
      </c>
      <c r="I1988" s="52" t="s">
        <v>5176</v>
      </c>
      <c r="J1988" s="46" t="s">
        <v>5236</v>
      </c>
      <c r="K1988" s="46" t="s">
        <v>81</v>
      </c>
      <c r="L1988" s="46" t="s">
        <v>1782</v>
      </c>
      <c r="M1988" s="53" t="s">
        <v>5237</v>
      </c>
      <c r="N1988" s="46" t="s">
        <v>5184</v>
      </c>
      <c r="O1988" s="46" t="s">
        <v>5203</v>
      </c>
      <c r="P1988" s="46" t="s">
        <v>59</v>
      </c>
      <c r="Q1988" s="46" t="s">
        <v>60</v>
      </c>
      <c r="R1988" s="46" t="s">
        <v>61</v>
      </c>
      <c r="S1988" s="46" t="s">
        <v>62</v>
      </c>
      <c r="T1988" s="46" t="s">
        <v>12</v>
      </c>
      <c r="U1988" s="46" t="s">
        <v>63</v>
      </c>
    </row>
    <row r="1989" spans="1:21">
      <c r="A1989" s="47">
        <v>31842349</v>
      </c>
      <c r="B1989" s="46" t="s">
        <v>476</v>
      </c>
      <c r="C1989" s="52" t="s">
        <v>4416</v>
      </c>
      <c r="E1989" s="49" t="str">
        <f t="shared" ca="1" si="73"/>
        <v/>
      </c>
      <c r="G1989" s="51" t="s">
        <v>141</v>
      </c>
      <c r="I1989" s="52" t="s">
        <v>4245</v>
      </c>
      <c r="J1989" s="46" t="s">
        <v>417</v>
      </c>
      <c r="M1989" s="58" t="s">
        <v>25</v>
      </c>
      <c r="N1989" s="55" t="s">
        <v>4417</v>
      </c>
      <c r="O1989" s="55"/>
    </row>
    <row r="1990" spans="1:21">
      <c r="A1990" s="47">
        <v>31842375</v>
      </c>
      <c r="B1990" s="46" t="s">
        <v>2335</v>
      </c>
      <c r="C1990" s="46" t="s">
        <v>2336</v>
      </c>
      <c r="D1990" s="48" t="s">
        <v>2337</v>
      </c>
      <c r="E1990" s="49">
        <f t="shared" ca="1" si="73"/>
        <v>40.568057366362453</v>
      </c>
      <c r="F1990" s="50" t="s">
        <v>2338</v>
      </c>
      <c r="G1990" s="51" t="s">
        <v>70</v>
      </c>
      <c r="H1990" s="52" t="s">
        <v>2339</v>
      </c>
      <c r="I1990" s="52" t="s">
        <v>1881</v>
      </c>
      <c r="J1990" s="46" t="s">
        <v>52</v>
      </c>
      <c r="K1990" s="46" t="s">
        <v>52</v>
      </c>
      <c r="L1990" s="46" t="s">
        <v>52</v>
      </c>
      <c r="M1990" s="52" t="s">
        <v>2340</v>
      </c>
      <c r="N1990" s="46" t="s">
        <v>52</v>
      </c>
      <c r="O1990" s="46" t="s">
        <v>52</v>
      </c>
      <c r="P1990" s="46" t="s">
        <v>59</v>
      </c>
      <c r="Q1990" s="46" t="s">
        <v>60</v>
      </c>
      <c r="R1990" s="46" t="s">
        <v>61</v>
      </c>
      <c r="S1990" s="46" t="s">
        <v>62</v>
      </c>
      <c r="T1990" s="46" t="s">
        <v>12</v>
      </c>
      <c r="U1990" s="46" t="s">
        <v>63</v>
      </c>
    </row>
    <row r="1991" spans="1:21">
      <c r="A1991" s="47">
        <v>31842821</v>
      </c>
      <c r="B1991" s="46" t="s">
        <v>7136</v>
      </c>
      <c r="C1991" s="46" t="s">
        <v>5995</v>
      </c>
      <c r="D1991" s="48">
        <v>31396</v>
      </c>
      <c r="E1991" s="49">
        <f t="shared" ca="1" si="73"/>
        <v>40.540677966101697</v>
      </c>
      <c r="F1991" s="50">
        <v>156442235</v>
      </c>
      <c r="G1991" s="51" t="s">
        <v>78</v>
      </c>
      <c r="I1991" s="52" t="s">
        <v>23</v>
      </c>
      <c r="J1991" s="46" t="s">
        <v>1668</v>
      </c>
      <c r="M1991" s="58" t="s">
        <v>25</v>
      </c>
      <c r="N1991" s="46" t="s">
        <v>38</v>
      </c>
    </row>
    <row r="1992" spans="1:21">
      <c r="A1992" s="47">
        <v>31857331</v>
      </c>
      <c r="B1992" s="46" t="s">
        <v>4914</v>
      </c>
      <c r="C1992" s="46" t="s">
        <v>2497</v>
      </c>
      <c r="D1992" s="48" t="s">
        <v>52</v>
      </c>
      <c r="E1992" s="49" t="str">
        <f t="shared" ca="1" si="73"/>
        <v/>
      </c>
      <c r="F1992" s="50" t="s">
        <v>4915</v>
      </c>
      <c r="G1992" s="51" t="s">
        <v>70</v>
      </c>
      <c r="H1992" s="52" t="s">
        <v>380</v>
      </c>
      <c r="I1992" s="52" t="s">
        <v>4815</v>
      </c>
      <c r="J1992" s="46" t="s">
        <v>4916</v>
      </c>
      <c r="K1992" s="46" t="s">
        <v>81</v>
      </c>
      <c r="L1992" s="46" t="s">
        <v>546</v>
      </c>
      <c r="M1992" s="52" t="s">
        <v>4917</v>
      </c>
      <c r="N1992" s="46" t="s">
        <v>4918</v>
      </c>
      <c r="O1992" s="46" t="s">
        <v>52</v>
      </c>
      <c r="P1992" s="46" t="s">
        <v>59</v>
      </c>
      <c r="Q1992" s="46" t="s">
        <v>60</v>
      </c>
      <c r="R1992" s="46" t="s">
        <v>61</v>
      </c>
      <c r="S1992" s="46" t="s">
        <v>62</v>
      </c>
      <c r="T1992" s="46" t="s">
        <v>12</v>
      </c>
      <c r="U1992" s="46" t="s">
        <v>63</v>
      </c>
    </row>
    <row r="1993" spans="1:21">
      <c r="A1993" s="47">
        <v>31857397</v>
      </c>
      <c r="B1993" s="46" t="s">
        <v>1549</v>
      </c>
      <c r="C1993" s="46" t="s">
        <v>1550</v>
      </c>
      <c r="D1993" s="48">
        <v>31282</v>
      </c>
      <c r="E1993" s="49">
        <f t="shared" ca="1" si="73"/>
        <v>40.852803129074317</v>
      </c>
      <c r="F1993" s="50">
        <v>154126535</v>
      </c>
      <c r="G1993" s="51" t="s">
        <v>70</v>
      </c>
      <c r="I1993" s="52" t="s">
        <v>1497</v>
      </c>
      <c r="M1993" s="53" t="s">
        <v>1551</v>
      </c>
      <c r="N1993" s="46">
        <v>4330633</v>
      </c>
      <c r="O1993" s="46">
        <v>216</v>
      </c>
    </row>
    <row r="1994" spans="1:21">
      <c r="A1994" s="47">
        <v>31903485</v>
      </c>
      <c r="B1994" s="46" t="s">
        <v>3686</v>
      </c>
      <c r="C1994" s="52" t="s">
        <v>3687</v>
      </c>
      <c r="D1994" s="48">
        <v>31480</v>
      </c>
      <c r="E1994" s="49">
        <f t="shared" ca="1" si="73"/>
        <v>40.310050083472454</v>
      </c>
      <c r="F1994" s="50">
        <v>156513664</v>
      </c>
      <c r="G1994" s="51" t="s">
        <v>23</v>
      </c>
      <c r="I1994" s="52" t="s">
        <v>3630</v>
      </c>
      <c r="J1994" s="46" t="s">
        <v>212</v>
      </c>
      <c r="M1994" s="53" t="s">
        <v>3688</v>
      </c>
      <c r="N1994" s="55"/>
      <c r="O1994" s="55"/>
    </row>
    <row r="1995" spans="1:21">
      <c r="A1995" s="47">
        <v>31903614</v>
      </c>
      <c r="B1995" s="46" t="s">
        <v>9621</v>
      </c>
      <c r="C1995" s="46" t="s">
        <v>9622</v>
      </c>
      <c r="D1995" s="48" t="s">
        <v>52</v>
      </c>
      <c r="E1995" s="49" t="s">
        <v>52</v>
      </c>
      <c r="F1995" s="50" t="s">
        <v>9623</v>
      </c>
      <c r="G1995" s="51" t="s">
        <v>78</v>
      </c>
      <c r="H1995" s="52" t="s">
        <v>9624</v>
      </c>
      <c r="I1995" s="52" t="s">
        <v>6624</v>
      </c>
      <c r="J1995" s="46" t="s">
        <v>52</v>
      </c>
      <c r="K1995" s="46" t="s">
        <v>81</v>
      </c>
      <c r="L1995" s="46" t="s">
        <v>546</v>
      </c>
      <c r="M1995" s="52" t="s">
        <v>9625</v>
      </c>
      <c r="N1995" s="46" t="s">
        <v>52</v>
      </c>
      <c r="O1995" s="46" t="s">
        <v>52</v>
      </c>
      <c r="P1995" s="46" t="s">
        <v>59</v>
      </c>
      <c r="Q1995" s="46" t="s">
        <v>60</v>
      </c>
      <c r="R1995" s="46" t="s">
        <v>61</v>
      </c>
      <c r="S1995" s="46" t="s">
        <v>62</v>
      </c>
      <c r="T1995" s="46" t="s">
        <v>12</v>
      </c>
      <c r="U1995" s="46" t="s">
        <v>63</v>
      </c>
    </row>
    <row r="1996" spans="1:21">
      <c r="A1996" s="60">
        <v>31961597</v>
      </c>
      <c r="B1996" s="61" t="s">
        <v>6310</v>
      </c>
      <c r="C1996" s="62" t="s">
        <v>3115</v>
      </c>
      <c r="E1996" s="49" t="str">
        <f t="shared" ref="E1996:E2004" ca="1" si="74">IF(D1996="","",YEARFRAC(D1996,TODAY(),1))</f>
        <v/>
      </c>
      <c r="F1996" s="63">
        <v>156289830</v>
      </c>
      <c r="G1996" s="51" t="s">
        <v>23</v>
      </c>
      <c r="I1996" s="52" t="s">
        <v>23</v>
      </c>
      <c r="J1996" s="61"/>
      <c r="K1996" s="61"/>
      <c r="L1996" s="61"/>
      <c r="M1996" s="53" t="s">
        <v>6311</v>
      </c>
      <c r="N1996" s="55"/>
      <c r="O1996" s="55"/>
    </row>
    <row r="1997" spans="1:21">
      <c r="A1997" s="64">
        <v>32012359</v>
      </c>
      <c r="B1997" s="61" t="s">
        <v>2961</v>
      </c>
      <c r="C1997" s="62" t="s">
        <v>253</v>
      </c>
      <c r="D1997" s="48" t="s">
        <v>52</v>
      </c>
      <c r="E1997" s="49" t="str">
        <f t="shared" ca="1" si="74"/>
        <v/>
      </c>
      <c r="F1997" s="63" t="s">
        <v>2962</v>
      </c>
      <c r="G1997" s="51" t="s">
        <v>70</v>
      </c>
      <c r="H1997" s="52" t="s">
        <v>2963</v>
      </c>
      <c r="I1997" s="52" t="s">
        <v>2926</v>
      </c>
      <c r="J1997" s="61" t="s">
        <v>2964</v>
      </c>
      <c r="K1997" s="61" t="s">
        <v>112</v>
      </c>
      <c r="L1997" s="61" t="s">
        <v>441</v>
      </c>
      <c r="M1997" s="58" t="s">
        <v>2965</v>
      </c>
      <c r="N1997" s="55" t="s">
        <v>52</v>
      </c>
      <c r="O1997" s="55" t="s">
        <v>52</v>
      </c>
      <c r="P1997" s="46" t="s">
        <v>59</v>
      </c>
      <c r="Q1997" s="46" t="s">
        <v>60</v>
      </c>
      <c r="R1997" s="46" t="s">
        <v>61</v>
      </c>
      <c r="S1997" s="46" t="s">
        <v>62</v>
      </c>
      <c r="T1997" s="46" t="s">
        <v>12</v>
      </c>
      <c r="U1997" s="46" t="s">
        <v>63</v>
      </c>
    </row>
    <row r="1998" spans="1:21">
      <c r="A1998" s="47">
        <v>32077522</v>
      </c>
      <c r="B1998" s="46" t="s">
        <v>3456</v>
      </c>
      <c r="C1998" s="55" t="s">
        <v>3457</v>
      </c>
      <c r="D1998" s="48">
        <v>31425</v>
      </c>
      <c r="E1998" s="49">
        <f t="shared" ca="1" si="74"/>
        <v>40.460634390651087</v>
      </c>
      <c r="F1998" s="50">
        <v>155956225</v>
      </c>
      <c r="G1998" s="51" t="s">
        <v>23</v>
      </c>
      <c r="I1998" s="52" t="s">
        <v>3427</v>
      </c>
      <c r="J1998" s="55" t="s">
        <v>38</v>
      </c>
      <c r="K1998" s="55"/>
      <c r="L1998" s="55"/>
      <c r="M1998" s="53" t="s">
        <v>3458</v>
      </c>
      <c r="N1998" s="55">
        <v>4107221</v>
      </c>
      <c r="O1998" s="55"/>
    </row>
    <row r="1999" spans="1:21">
      <c r="A1999" s="47">
        <v>32109721</v>
      </c>
      <c r="B1999" s="46" t="s">
        <v>428</v>
      </c>
      <c r="C1999" s="46" t="s">
        <v>3549</v>
      </c>
      <c r="D1999" s="48" t="s">
        <v>52</v>
      </c>
      <c r="E1999" s="49" t="str">
        <f t="shared" ca="1" si="74"/>
        <v/>
      </c>
      <c r="F1999" s="50" t="s">
        <v>3550</v>
      </c>
      <c r="G1999" s="51" t="s">
        <v>70</v>
      </c>
      <c r="H1999" s="52" t="s">
        <v>3551</v>
      </c>
      <c r="I1999" s="52" t="s">
        <v>3427</v>
      </c>
      <c r="J1999" s="46" t="s">
        <v>2735</v>
      </c>
      <c r="K1999" s="46" t="s">
        <v>81</v>
      </c>
      <c r="L1999" s="46" t="s">
        <v>546</v>
      </c>
      <c r="M1999" s="52" t="s">
        <v>3552</v>
      </c>
      <c r="N1999" s="46" t="s">
        <v>52</v>
      </c>
      <c r="O1999" s="46" t="s">
        <v>52</v>
      </c>
      <c r="P1999" s="46" t="s">
        <v>59</v>
      </c>
      <c r="Q1999" s="46" t="s">
        <v>60</v>
      </c>
      <c r="R1999" s="46" t="s">
        <v>61</v>
      </c>
      <c r="S1999" s="46" t="s">
        <v>62</v>
      </c>
      <c r="T1999" s="46" t="s">
        <v>12</v>
      </c>
      <c r="U1999" s="46" t="s">
        <v>63</v>
      </c>
    </row>
    <row r="2000" spans="1:21">
      <c r="A2000" s="47">
        <v>32110544</v>
      </c>
      <c r="B2000" s="46" t="s">
        <v>3277</v>
      </c>
      <c r="C2000" s="46" t="s">
        <v>3278</v>
      </c>
      <c r="D2000" s="48" t="s">
        <v>52</v>
      </c>
      <c r="E2000" s="49" t="str">
        <f t="shared" ca="1" si="74"/>
        <v/>
      </c>
      <c r="F2000" s="50" t="s">
        <v>3279</v>
      </c>
      <c r="G2000" s="51" t="s">
        <v>70</v>
      </c>
      <c r="H2000" s="52" t="s">
        <v>388</v>
      </c>
      <c r="I2000" s="52" t="s">
        <v>3166</v>
      </c>
      <c r="J2000" s="46" t="s">
        <v>3280</v>
      </c>
      <c r="K2000" s="46" t="s">
        <v>390</v>
      </c>
      <c r="L2000" s="46" t="s">
        <v>546</v>
      </c>
      <c r="M2000" s="52" t="s">
        <v>582</v>
      </c>
      <c r="N2000" s="46" t="s">
        <v>3281</v>
      </c>
      <c r="O2000" s="46" t="s">
        <v>52</v>
      </c>
      <c r="P2000" s="46" t="s">
        <v>59</v>
      </c>
      <c r="Q2000" s="46" t="s">
        <v>60</v>
      </c>
      <c r="R2000" s="46" t="s">
        <v>61</v>
      </c>
      <c r="S2000" s="46" t="s">
        <v>62</v>
      </c>
      <c r="T2000" s="46" t="s">
        <v>12</v>
      </c>
      <c r="U2000" s="46" t="s">
        <v>63</v>
      </c>
    </row>
    <row r="2001" spans="1:21">
      <c r="A2001" s="47">
        <v>32110828</v>
      </c>
      <c r="B2001" s="46" t="s">
        <v>2294</v>
      </c>
      <c r="C2001" s="46" t="s">
        <v>3111</v>
      </c>
      <c r="D2001" s="48" t="s">
        <v>52</v>
      </c>
      <c r="E2001" s="49" t="str">
        <f t="shared" ca="1" si="74"/>
        <v/>
      </c>
      <c r="F2001" s="50" t="s">
        <v>3112</v>
      </c>
      <c r="G2001" s="51" t="s">
        <v>70</v>
      </c>
      <c r="H2001" s="52" t="s">
        <v>52</v>
      </c>
      <c r="I2001" s="52" t="s">
        <v>2926</v>
      </c>
      <c r="J2001" s="46" t="s">
        <v>52</v>
      </c>
      <c r="K2001" s="46" t="s">
        <v>81</v>
      </c>
      <c r="L2001" s="46" t="s">
        <v>546</v>
      </c>
      <c r="M2001" s="52" t="s">
        <v>3113</v>
      </c>
      <c r="N2001" s="46" t="s">
        <v>52</v>
      </c>
      <c r="O2001" s="46" t="s">
        <v>52</v>
      </c>
      <c r="P2001" s="46" t="s">
        <v>59</v>
      </c>
      <c r="Q2001" s="46" t="s">
        <v>60</v>
      </c>
      <c r="R2001" s="46" t="s">
        <v>61</v>
      </c>
      <c r="S2001" s="46" t="s">
        <v>62</v>
      </c>
      <c r="T2001" s="46" t="s">
        <v>12</v>
      </c>
      <c r="U2001" s="46" t="s">
        <v>63</v>
      </c>
    </row>
    <row r="2002" spans="1:21">
      <c r="A2002" s="47">
        <v>32115718</v>
      </c>
      <c r="B2002" s="46" t="s">
        <v>2389</v>
      </c>
      <c r="C2002" s="46" t="s">
        <v>2390</v>
      </c>
      <c r="D2002" s="48" t="s">
        <v>2391</v>
      </c>
      <c r="E2002" s="49">
        <f t="shared" ca="1" si="74"/>
        <v>40.170417362270449</v>
      </c>
      <c r="F2002" s="50" t="s">
        <v>2392</v>
      </c>
      <c r="G2002" s="51" t="s">
        <v>86</v>
      </c>
      <c r="H2002" s="52" t="s">
        <v>52</v>
      </c>
      <c r="I2002" s="52" t="s">
        <v>1497</v>
      </c>
      <c r="J2002" s="46" t="s">
        <v>2393</v>
      </c>
      <c r="K2002" s="46" t="s">
        <v>81</v>
      </c>
      <c r="L2002" s="46" t="s">
        <v>546</v>
      </c>
      <c r="M2002" s="52" t="s">
        <v>2394</v>
      </c>
      <c r="N2002" s="46" t="s">
        <v>2395</v>
      </c>
      <c r="O2002" s="46" t="s">
        <v>52</v>
      </c>
      <c r="P2002" s="46" t="s">
        <v>59</v>
      </c>
      <c r="Q2002" s="46" t="s">
        <v>60</v>
      </c>
      <c r="R2002" s="46" t="s">
        <v>61</v>
      </c>
      <c r="S2002" s="46" t="s">
        <v>62</v>
      </c>
      <c r="T2002" s="46" t="s">
        <v>12</v>
      </c>
      <c r="U2002" s="46" t="s">
        <v>63</v>
      </c>
    </row>
    <row r="2003" spans="1:21">
      <c r="A2003" s="47">
        <v>32115802</v>
      </c>
      <c r="B2003" s="46" t="s">
        <v>2718</v>
      </c>
      <c r="C2003" s="46" t="s">
        <v>2719</v>
      </c>
      <c r="D2003" s="48">
        <v>31552</v>
      </c>
      <c r="E2003" s="49">
        <f t="shared" ca="1" si="74"/>
        <v>40.112921535893157</v>
      </c>
      <c r="F2003" s="50">
        <v>156396306</v>
      </c>
      <c r="G2003" s="51" t="s">
        <v>141</v>
      </c>
      <c r="I2003" s="52" t="s">
        <v>2720</v>
      </c>
      <c r="J2003" s="46" t="s">
        <v>38</v>
      </c>
      <c r="M2003" s="53" t="s">
        <v>2721</v>
      </c>
      <c r="N2003" s="46">
        <v>4107276</v>
      </c>
      <c r="O2003" s="46">
        <v>6943</v>
      </c>
      <c r="P2003" s="46">
        <v>1</v>
      </c>
    </row>
    <row r="2004" spans="1:21">
      <c r="A2004" s="47">
        <v>32115890</v>
      </c>
      <c r="B2004" s="46" t="s">
        <v>541</v>
      </c>
      <c r="C2004" s="46" t="s">
        <v>1061</v>
      </c>
      <c r="D2004" s="48" t="s">
        <v>52</v>
      </c>
      <c r="E2004" s="49" t="str">
        <f t="shared" ca="1" si="74"/>
        <v/>
      </c>
      <c r="F2004" s="50" t="s">
        <v>6757</v>
      </c>
      <c r="G2004" s="51" t="s">
        <v>70</v>
      </c>
      <c r="H2004" s="52" t="s">
        <v>6758</v>
      </c>
      <c r="I2004" s="52" t="s">
        <v>4499</v>
      </c>
      <c r="J2004" s="46" t="s">
        <v>6759</v>
      </c>
      <c r="K2004" s="46" t="s">
        <v>81</v>
      </c>
      <c r="L2004" s="46" t="s">
        <v>546</v>
      </c>
      <c r="M2004" s="52" t="s">
        <v>6760</v>
      </c>
      <c r="N2004" s="46" t="s">
        <v>52</v>
      </c>
      <c r="O2004" s="46" t="s">
        <v>52</v>
      </c>
      <c r="P2004" s="46" t="s">
        <v>59</v>
      </c>
      <c r="Q2004" s="46" t="s">
        <v>60</v>
      </c>
      <c r="R2004" s="46" t="s">
        <v>61</v>
      </c>
      <c r="S2004" s="46" t="s">
        <v>62</v>
      </c>
      <c r="T2004" s="46" t="s">
        <v>12</v>
      </c>
      <c r="U2004" s="46" t="s">
        <v>63</v>
      </c>
    </row>
    <row r="2005" spans="1:21">
      <c r="A2005" s="47">
        <v>32115934</v>
      </c>
      <c r="B2005" s="46" t="s">
        <v>8436</v>
      </c>
      <c r="C2005" s="46" t="s">
        <v>1801</v>
      </c>
      <c r="D2005" s="48" t="s">
        <v>9721</v>
      </c>
      <c r="E2005" s="49" t="s">
        <v>9512</v>
      </c>
      <c r="F2005" s="50" t="s">
        <v>9722</v>
      </c>
      <c r="G2005" s="51" t="s">
        <v>78</v>
      </c>
      <c r="H2005" s="52" t="s">
        <v>52</v>
      </c>
      <c r="I2005" s="52" t="s">
        <v>2720</v>
      </c>
      <c r="J2005" s="46" t="s">
        <v>52</v>
      </c>
      <c r="K2005" s="46" t="s">
        <v>81</v>
      </c>
      <c r="L2005" s="46" t="s">
        <v>546</v>
      </c>
      <c r="M2005" s="52" t="s">
        <v>9723</v>
      </c>
      <c r="N2005" s="46" t="s">
        <v>52</v>
      </c>
      <c r="O2005" s="46" t="s">
        <v>52</v>
      </c>
      <c r="P2005" s="46" t="s">
        <v>59</v>
      </c>
      <c r="Q2005" s="46" t="s">
        <v>60</v>
      </c>
      <c r="R2005" s="46" t="s">
        <v>61</v>
      </c>
      <c r="S2005" s="46" t="s">
        <v>62</v>
      </c>
      <c r="T2005" s="46" t="s">
        <v>12</v>
      </c>
      <c r="U2005" s="46" t="s">
        <v>63</v>
      </c>
    </row>
    <row r="2006" spans="1:21">
      <c r="A2006" s="47">
        <v>32134246</v>
      </c>
      <c r="B2006" s="46" t="s">
        <v>1571</v>
      </c>
      <c r="C2006" s="46" t="s">
        <v>4368</v>
      </c>
      <c r="D2006" s="48">
        <v>31449</v>
      </c>
      <c r="E2006" s="49">
        <f t="shared" ref="E2006:E2028" ca="1" si="75">IF(D2006="","",YEARFRAC(D2006,TODAY(),1))</f>
        <v>40.394924874791322</v>
      </c>
      <c r="F2006" s="50">
        <v>155695757</v>
      </c>
      <c r="G2006" s="51" t="s">
        <v>70</v>
      </c>
      <c r="I2006" s="52" t="s">
        <v>4245</v>
      </c>
      <c r="J2006" s="46" t="s">
        <v>316</v>
      </c>
      <c r="M2006" s="53" t="s">
        <v>4369</v>
      </c>
    </row>
    <row r="2007" spans="1:21">
      <c r="A2007" s="47">
        <v>32144069</v>
      </c>
      <c r="B2007" s="46" t="s">
        <v>5186</v>
      </c>
      <c r="C2007" s="46" t="s">
        <v>5187</v>
      </c>
      <c r="D2007" s="48">
        <v>31549</v>
      </c>
      <c r="E2007" s="49">
        <f t="shared" ca="1" si="75"/>
        <v>40.121135225375625</v>
      </c>
      <c r="F2007" s="50">
        <v>155402828</v>
      </c>
      <c r="G2007" s="51" t="s">
        <v>86</v>
      </c>
      <c r="I2007" s="52" t="s">
        <v>5176</v>
      </c>
      <c r="J2007" s="46" t="s">
        <v>5188</v>
      </c>
      <c r="M2007" s="53" t="s">
        <v>5189</v>
      </c>
      <c r="N2007" s="46" t="s">
        <v>5190</v>
      </c>
      <c r="O2007" s="46">
        <v>212</v>
      </c>
    </row>
    <row r="2008" spans="1:21">
      <c r="A2008" s="47">
        <v>32158209</v>
      </c>
      <c r="B2008" s="46" t="s">
        <v>1900</v>
      </c>
      <c r="C2008" s="55" t="s">
        <v>1901</v>
      </c>
      <c r="D2008" s="48" t="s">
        <v>1902</v>
      </c>
      <c r="E2008" s="49">
        <f t="shared" ca="1" si="75"/>
        <v>40.392186978297161</v>
      </c>
      <c r="F2008" s="50" t="s">
        <v>1903</v>
      </c>
      <c r="G2008" s="51" t="s">
        <v>70</v>
      </c>
      <c r="H2008" s="52" t="s">
        <v>1904</v>
      </c>
      <c r="I2008" s="52" t="s">
        <v>1881</v>
      </c>
      <c r="J2008" s="55" t="s">
        <v>52</v>
      </c>
      <c r="K2008" s="55" t="s">
        <v>81</v>
      </c>
      <c r="L2008" s="55" t="s">
        <v>52</v>
      </c>
      <c r="M2008" s="53" t="s">
        <v>1905</v>
      </c>
      <c r="N2008" s="55" t="s">
        <v>52</v>
      </c>
      <c r="O2008" s="55" t="s">
        <v>52</v>
      </c>
      <c r="P2008" s="46" t="s">
        <v>59</v>
      </c>
      <c r="Q2008" s="46" t="s">
        <v>60</v>
      </c>
      <c r="R2008" s="46" t="s">
        <v>61</v>
      </c>
      <c r="S2008" s="46" t="s">
        <v>62</v>
      </c>
      <c r="T2008" s="46" t="s">
        <v>12</v>
      </c>
      <c r="U2008" s="46" t="s">
        <v>63</v>
      </c>
    </row>
    <row r="2009" spans="1:21">
      <c r="A2009" s="47">
        <v>32201237</v>
      </c>
      <c r="B2009" s="46" t="s">
        <v>6735</v>
      </c>
      <c r="C2009" s="46" t="s">
        <v>4341</v>
      </c>
      <c r="D2009" s="48" t="s">
        <v>52</v>
      </c>
      <c r="E2009" s="49" t="str">
        <f t="shared" ca="1" si="75"/>
        <v/>
      </c>
      <c r="F2009" s="50" t="s">
        <v>6736</v>
      </c>
      <c r="G2009" s="51" t="s">
        <v>86</v>
      </c>
      <c r="H2009" s="52" t="s">
        <v>6737</v>
      </c>
      <c r="I2009" s="52" t="s">
        <v>808</v>
      </c>
      <c r="J2009" s="46" t="s">
        <v>52</v>
      </c>
      <c r="K2009" s="46" t="s">
        <v>159</v>
      </c>
      <c r="L2009" s="46" t="s">
        <v>546</v>
      </c>
      <c r="M2009" s="52" t="s">
        <v>6738</v>
      </c>
      <c r="N2009" s="46" t="s">
        <v>52</v>
      </c>
      <c r="O2009" s="46" t="s">
        <v>52</v>
      </c>
      <c r="P2009" s="46" t="s">
        <v>59</v>
      </c>
      <c r="Q2009" s="46" t="s">
        <v>60</v>
      </c>
      <c r="R2009" s="46" t="s">
        <v>61</v>
      </c>
      <c r="S2009" s="46" t="s">
        <v>62</v>
      </c>
      <c r="T2009" s="46" t="s">
        <v>12</v>
      </c>
      <c r="U2009" s="46" t="s">
        <v>63</v>
      </c>
    </row>
    <row r="2010" spans="1:21">
      <c r="A2010" s="47">
        <v>32201380</v>
      </c>
      <c r="B2010" s="46" t="s">
        <v>3860</v>
      </c>
      <c r="C2010" s="52" t="s">
        <v>3861</v>
      </c>
      <c r="D2010" s="48">
        <v>31501</v>
      </c>
      <c r="E2010" s="49">
        <f t="shared" ca="1" si="75"/>
        <v>40.252554257095156</v>
      </c>
      <c r="F2010" s="50">
        <v>155105107</v>
      </c>
      <c r="G2010" s="51" t="s">
        <v>23</v>
      </c>
      <c r="I2010" s="52" t="s">
        <v>3630</v>
      </c>
      <c r="J2010" s="46" t="s">
        <v>1088</v>
      </c>
      <c r="M2010" s="53" t="s">
        <v>3862</v>
      </c>
      <c r="N2010" s="55"/>
      <c r="O2010" s="55"/>
    </row>
    <row r="2011" spans="1:21">
      <c r="A2011" s="60">
        <v>32201492</v>
      </c>
      <c r="B2011" s="61" t="s">
        <v>1512</v>
      </c>
      <c r="C2011" s="62" t="s">
        <v>1513</v>
      </c>
      <c r="D2011" s="48" t="s">
        <v>52</v>
      </c>
      <c r="E2011" s="49" t="str">
        <f t="shared" ca="1" si="75"/>
        <v/>
      </c>
      <c r="F2011" s="63" t="s">
        <v>1514</v>
      </c>
      <c r="G2011" s="51" t="s">
        <v>141</v>
      </c>
      <c r="H2011" s="52" t="s">
        <v>52</v>
      </c>
      <c r="I2011" s="52" t="s">
        <v>1497</v>
      </c>
      <c r="J2011" s="61" t="s">
        <v>1515</v>
      </c>
      <c r="K2011" s="61" t="s">
        <v>81</v>
      </c>
      <c r="L2011" s="61" t="s">
        <v>52</v>
      </c>
      <c r="M2011" s="53" t="s">
        <v>1516</v>
      </c>
      <c r="N2011" s="55" t="s">
        <v>52</v>
      </c>
      <c r="O2011" s="55" t="s">
        <v>52</v>
      </c>
      <c r="P2011" s="46" t="s">
        <v>59</v>
      </c>
      <c r="Q2011" s="46" t="s">
        <v>60</v>
      </c>
      <c r="R2011" s="46" t="s">
        <v>61</v>
      </c>
      <c r="S2011" s="46" t="s">
        <v>62</v>
      </c>
      <c r="T2011" s="46" t="s">
        <v>12</v>
      </c>
      <c r="U2011" s="46" t="s">
        <v>63</v>
      </c>
    </row>
    <row r="2012" spans="1:21">
      <c r="A2012" s="47">
        <v>32201633</v>
      </c>
      <c r="B2012" s="46" t="s">
        <v>327</v>
      </c>
      <c r="C2012" s="46" t="s">
        <v>3793</v>
      </c>
      <c r="D2012" s="48" t="s">
        <v>52</v>
      </c>
      <c r="E2012" s="49" t="str">
        <f t="shared" ca="1" si="75"/>
        <v/>
      </c>
      <c r="F2012" s="50" t="s">
        <v>3794</v>
      </c>
      <c r="G2012" s="51" t="s">
        <v>86</v>
      </c>
      <c r="H2012" s="52" t="s">
        <v>52</v>
      </c>
      <c r="I2012" s="52" t="s">
        <v>3630</v>
      </c>
      <c r="J2012" s="46" t="s">
        <v>52</v>
      </c>
      <c r="K2012" s="46" t="s">
        <v>81</v>
      </c>
      <c r="L2012" s="46" t="s">
        <v>52</v>
      </c>
      <c r="M2012" s="53" t="s">
        <v>3795</v>
      </c>
      <c r="N2012" s="46" t="s">
        <v>52</v>
      </c>
      <c r="O2012" s="46" t="s">
        <v>52</v>
      </c>
      <c r="P2012" s="46" t="s">
        <v>59</v>
      </c>
      <c r="Q2012" s="46" t="s">
        <v>60</v>
      </c>
      <c r="R2012" s="46" t="s">
        <v>61</v>
      </c>
      <c r="S2012" s="46" t="s">
        <v>62</v>
      </c>
      <c r="T2012" s="46" t="s">
        <v>12</v>
      </c>
      <c r="U2012" s="46" t="s">
        <v>63</v>
      </c>
    </row>
    <row r="2013" spans="1:21">
      <c r="A2013" s="60">
        <v>32201735</v>
      </c>
      <c r="B2013" s="61" t="s">
        <v>2228</v>
      </c>
      <c r="C2013" s="62" t="s">
        <v>6346</v>
      </c>
      <c r="D2013" s="48">
        <v>31514</v>
      </c>
      <c r="E2013" s="49">
        <f t="shared" ca="1" si="75"/>
        <v>40.21696160267112</v>
      </c>
      <c r="F2013" s="63">
        <v>3815890148</v>
      </c>
      <c r="G2013" s="51" t="s">
        <v>23</v>
      </c>
      <c r="I2013" s="52" t="s">
        <v>23</v>
      </c>
      <c r="J2013" s="61"/>
      <c r="K2013" s="61"/>
      <c r="L2013" s="61"/>
      <c r="M2013" s="58" t="s">
        <v>25</v>
      </c>
      <c r="N2013" s="55"/>
      <c r="O2013" s="55"/>
    </row>
    <row r="2014" spans="1:21">
      <c r="A2014" s="47">
        <v>32202336</v>
      </c>
      <c r="B2014" s="46" t="s">
        <v>4286</v>
      </c>
      <c r="C2014" s="46" t="s">
        <v>4465</v>
      </c>
      <c r="D2014" s="48" t="s">
        <v>4466</v>
      </c>
      <c r="E2014" s="49">
        <f t="shared" ca="1" si="75"/>
        <v>39.83913188647746</v>
      </c>
      <c r="F2014" s="50" t="s">
        <v>4467</v>
      </c>
      <c r="G2014" s="51" t="s">
        <v>86</v>
      </c>
      <c r="H2014" s="52" t="s">
        <v>52</v>
      </c>
      <c r="I2014" s="52" t="s">
        <v>4245</v>
      </c>
      <c r="J2014" s="46" t="s">
        <v>4468</v>
      </c>
      <c r="K2014" s="46" t="s">
        <v>81</v>
      </c>
      <c r="L2014" s="46" t="s">
        <v>546</v>
      </c>
      <c r="M2014" s="52" t="s">
        <v>4469</v>
      </c>
      <c r="N2014" s="46" t="s">
        <v>52</v>
      </c>
      <c r="O2014" s="46" t="s">
        <v>52</v>
      </c>
      <c r="P2014" s="46" t="s">
        <v>59</v>
      </c>
      <c r="Q2014" s="46" t="s">
        <v>60</v>
      </c>
      <c r="R2014" s="46" t="s">
        <v>61</v>
      </c>
      <c r="S2014" s="46" t="s">
        <v>62</v>
      </c>
      <c r="T2014" s="46" t="s">
        <v>12</v>
      </c>
      <c r="U2014" s="46" t="s">
        <v>63</v>
      </c>
    </row>
    <row r="2015" spans="1:21">
      <c r="A2015" s="47">
        <v>32235561</v>
      </c>
      <c r="B2015" s="46" t="s">
        <v>4478</v>
      </c>
      <c r="C2015" s="46" t="s">
        <v>4479</v>
      </c>
      <c r="D2015" s="48" t="s">
        <v>4480</v>
      </c>
      <c r="E2015" s="49">
        <f t="shared" ca="1" si="75"/>
        <v>39.748781302170286</v>
      </c>
      <c r="F2015" s="50" t="s">
        <v>4481</v>
      </c>
      <c r="G2015" s="51" t="s">
        <v>70</v>
      </c>
      <c r="H2015" s="52" t="s">
        <v>4482</v>
      </c>
      <c r="I2015" s="52" t="s">
        <v>4245</v>
      </c>
      <c r="J2015" s="46" t="s">
        <v>52</v>
      </c>
      <c r="K2015" s="46" t="s">
        <v>112</v>
      </c>
      <c r="L2015" s="46" t="s">
        <v>52</v>
      </c>
      <c r="M2015" s="52" t="s">
        <v>4483</v>
      </c>
      <c r="N2015" s="46" t="s">
        <v>52</v>
      </c>
      <c r="O2015" s="46" t="s">
        <v>4484</v>
      </c>
      <c r="P2015" s="46" t="s">
        <v>59</v>
      </c>
      <c r="Q2015" s="46" t="s">
        <v>60</v>
      </c>
      <c r="R2015" s="46" t="s">
        <v>61</v>
      </c>
      <c r="S2015" s="46" t="s">
        <v>62</v>
      </c>
      <c r="T2015" s="46" t="s">
        <v>12</v>
      </c>
      <c r="U2015" s="46" t="s">
        <v>63</v>
      </c>
    </row>
    <row r="2016" spans="1:21">
      <c r="A2016" s="47">
        <v>32371793</v>
      </c>
      <c r="B2016" s="46" t="s">
        <v>3364</v>
      </c>
      <c r="C2016" s="55" t="s">
        <v>3365</v>
      </c>
      <c r="D2016" s="48">
        <v>31546</v>
      </c>
      <c r="E2016" s="49">
        <f t="shared" ca="1" si="75"/>
        <v>40.129348914858099</v>
      </c>
      <c r="F2016" s="50">
        <v>154068539</v>
      </c>
      <c r="G2016" s="51" t="s">
        <v>70</v>
      </c>
      <c r="I2016" s="52" t="s">
        <v>3327</v>
      </c>
      <c r="J2016" s="46" t="s">
        <v>3366</v>
      </c>
      <c r="M2016" s="53" t="s">
        <v>3367</v>
      </c>
    </row>
    <row r="2017" spans="1:21">
      <c r="A2017" s="47">
        <v>32408684</v>
      </c>
      <c r="B2017" s="46" t="s">
        <v>927</v>
      </c>
      <c r="C2017" s="46" t="s">
        <v>6520</v>
      </c>
      <c r="D2017" s="48">
        <v>31594</v>
      </c>
      <c r="E2017" s="49">
        <f t="shared" ca="1" si="75"/>
        <v>39.997929883138561</v>
      </c>
      <c r="F2017" s="50">
        <v>153541412</v>
      </c>
      <c r="G2017" s="51" t="s">
        <v>86</v>
      </c>
      <c r="I2017" s="52" t="s">
        <v>6521</v>
      </c>
      <c r="M2017" s="53" t="s">
        <v>6522</v>
      </c>
      <c r="N2017" s="46">
        <v>4245904</v>
      </c>
      <c r="P2017" s="46">
        <v>3</v>
      </c>
    </row>
    <row r="2018" spans="1:21">
      <c r="A2018" s="75">
        <v>32409113</v>
      </c>
      <c r="B2018" s="46" t="s">
        <v>2042</v>
      </c>
      <c r="C2018" s="52" t="s">
        <v>2043</v>
      </c>
      <c r="D2018" s="48">
        <v>31336</v>
      </c>
      <c r="E2018" s="49">
        <f t="shared" ca="1" si="75"/>
        <v>40.704954367666232</v>
      </c>
      <c r="F2018" s="72">
        <v>155692488</v>
      </c>
      <c r="G2018" s="51" t="s">
        <v>23</v>
      </c>
      <c r="I2018" s="52" t="s">
        <v>1881</v>
      </c>
      <c r="J2018" s="76" t="s">
        <v>2033</v>
      </c>
      <c r="K2018" s="76"/>
      <c r="L2018" s="76"/>
      <c r="M2018" s="77" t="s">
        <v>2044</v>
      </c>
      <c r="N2018" s="55"/>
      <c r="O2018" s="55"/>
    </row>
    <row r="2019" spans="1:21">
      <c r="A2019" s="47">
        <v>32412091</v>
      </c>
      <c r="B2019" s="46" t="s">
        <v>311</v>
      </c>
      <c r="C2019" s="46" t="s">
        <v>1772</v>
      </c>
      <c r="E2019" s="49" t="str">
        <f t="shared" ca="1" si="75"/>
        <v/>
      </c>
      <c r="F2019" s="50">
        <v>156067170</v>
      </c>
      <c r="G2019" s="51" t="s">
        <v>23</v>
      </c>
      <c r="I2019" s="52" t="s">
        <v>1657</v>
      </c>
      <c r="M2019" s="53" t="s">
        <v>1773</v>
      </c>
    </row>
    <row r="2020" spans="1:21">
      <c r="A2020" s="47">
        <v>32412209</v>
      </c>
      <c r="B2020" s="46" t="s">
        <v>2834</v>
      </c>
      <c r="C2020" s="46" t="s">
        <v>2835</v>
      </c>
      <c r="D2020" s="48">
        <v>31583</v>
      </c>
      <c r="E2020" s="49">
        <f t="shared" ca="1" si="75"/>
        <v>40.02804674457429</v>
      </c>
      <c r="F2020" s="50">
        <v>155133762</v>
      </c>
      <c r="G2020" s="51" t="s">
        <v>70</v>
      </c>
      <c r="I2020" s="52" t="s">
        <v>2831</v>
      </c>
      <c r="J2020" s="46" t="s">
        <v>38</v>
      </c>
      <c r="M2020" s="53" t="s">
        <v>2833</v>
      </c>
      <c r="N2020" s="46">
        <v>4107265</v>
      </c>
      <c r="O2020" s="46">
        <v>6937</v>
      </c>
      <c r="P2020" s="46" t="s">
        <v>1092</v>
      </c>
    </row>
    <row r="2021" spans="1:21">
      <c r="A2021" s="47">
        <v>32412589</v>
      </c>
      <c r="B2021" s="46" t="s">
        <v>6166</v>
      </c>
      <c r="C2021" s="55" t="s">
        <v>6167</v>
      </c>
      <c r="E2021" s="49" t="str">
        <f t="shared" ca="1" si="75"/>
        <v/>
      </c>
      <c r="G2021" s="51" t="s">
        <v>23</v>
      </c>
      <c r="I2021" s="52" t="s">
        <v>23</v>
      </c>
      <c r="J2021" s="55"/>
      <c r="K2021" s="55"/>
      <c r="L2021" s="55"/>
      <c r="M2021" s="58" t="s">
        <v>25</v>
      </c>
      <c r="N2021" s="55"/>
      <c r="O2021" s="55"/>
    </row>
    <row r="2022" spans="1:21">
      <c r="A2022" s="47">
        <v>32412614</v>
      </c>
      <c r="B2022" s="46" t="s">
        <v>4580</v>
      </c>
      <c r="C2022" s="52" t="s">
        <v>4581</v>
      </c>
      <c r="D2022" s="48">
        <v>31609</v>
      </c>
      <c r="E2022" s="49">
        <f t="shared" ca="1" si="75"/>
        <v>39.956861435726211</v>
      </c>
      <c r="F2022" s="50">
        <v>155045530</v>
      </c>
      <c r="G2022" s="51" t="s">
        <v>23</v>
      </c>
      <c r="I2022" s="52" t="s">
        <v>4499</v>
      </c>
      <c r="J2022" s="46" t="s">
        <v>4582</v>
      </c>
      <c r="M2022" s="53" t="s">
        <v>4583</v>
      </c>
      <c r="N2022" s="55">
        <v>4107312</v>
      </c>
      <c r="O2022" s="55"/>
    </row>
    <row r="2023" spans="1:21">
      <c r="A2023" s="47">
        <v>32412796</v>
      </c>
      <c r="B2023" s="46" t="s">
        <v>222</v>
      </c>
      <c r="C2023" s="55" t="s">
        <v>223</v>
      </c>
      <c r="E2023" s="49" t="str">
        <f t="shared" ca="1" si="75"/>
        <v/>
      </c>
      <c r="F2023" s="50">
        <v>155104832</v>
      </c>
      <c r="G2023" s="51" t="s">
        <v>70</v>
      </c>
      <c r="I2023" s="52" t="s">
        <v>24</v>
      </c>
      <c r="J2023" s="46" t="s">
        <v>224</v>
      </c>
      <c r="M2023" s="53" t="s">
        <v>225</v>
      </c>
    </row>
    <row r="2024" spans="1:21">
      <c r="A2024" s="47">
        <v>32455863</v>
      </c>
      <c r="B2024" s="46" t="s">
        <v>2158</v>
      </c>
      <c r="C2024" s="46" t="s">
        <v>2676</v>
      </c>
      <c r="D2024" s="48">
        <v>31706</v>
      </c>
      <c r="E2024" s="49">
        <f t="shared" ca="1" si="75"/>
        <v>39.691285475792988</v>
      </c>
      <c r="F2024" s="50">
        <v>155881466</v>
      </c>
      <c r="G2024" s="51" t="s">
        <v>141</v>
      </c>
      <c r="I2024" s="52" t="s">
        <v>2671</v>
      </c>
      <c r="J2024" s="46" t="s">
        <v>664</v>
      </c>
      <c r="M2024" s="58" t="s">
        <v>25</v>
      </c>
      <c r="N2024" s="46">
        <v>4303138</v>
      </c>
      <c r="P2024" s="46">
        <v>4</v>
      </c>
    </row>
    <row r="2025" spans="1:21">
      <c r="A2025" s="47">
        <v>32459158</v>
      </c>
      <c r="B2025" s="46" t="s">
        <v>1477</v>
      </c>
      <c r="C2025" s="52" t="s">
        <v>1478</v>
      </c>
      <c r="D2025" s="48">
        <v>31695</v>
      </c>
      <c r="E2025" s="49">
        <f t="shared" ca="1" si="75"/>
        <v>39.721402337228717</v>
      </c>
      <c r="F2025" s="50">
        <v>154474632</v>
      </c>
      <c r="G2025" s="51" t="s">
        <v>23</v>
      </c>
      <c r="I2025" s="52" t="s">
        <v>1479</v>
      </c>
      <c r="J2025" s="46" t="s">
        <v>1480</v>
      </c>
      <c r="M2025" s="53" t="s">
        <v>1481</v>
      </c>
      <c r="N2025" s="55"/>
      <c r="O2025" s="55"/>
    </row>
    <row r="2026" spans="1:21">
      <c r="A2026" s="47">
        <v>32459564</v>
      </c>
      <c r="B2026" s="46" t="s">
        <v>620</v>
      </c>
      <c r="C2026" s="52" t="s">
        <v>2830</v>
      </c>
      <c r="D2026" s="48">
        <v>31722</v>
      </c>
      <c r="E2026" s="49">
        <f t="shared" ca="1" si="75"/>
        <v>39.647479131886477</v>
      </c>
      <c r="F2026" s="50">
        <v>153016262</v>
      </c>
      <c r="G2026" s="51" t="s">
        <v>23</v>
      </c>
      <c r="I2026" s="65" t="s">
        <v>4708</v>
      </c>
      <c r="J2026" s="46" t="s">
        <v>48</v>
      </c>
      <c r="M2026" s="53" t="s">
        <v>4718</v>
      </c>
      <c r="N2026" s="55"/>
      <c r="O2026" s="55"/>
    </row>
    <row r="2027" spans="1:21">
      <c r="A2027" s="47">
        <v>32459652</v>
      </c>
      <c r="B2027" s="46" t="s">
        <v>3854</v>
      </c>
      <c r="C2027" s="55" t="s">
        <v>3855</v>
      </c>
      <c r="D2027" s="48">
        <v>31720</v>
      </c>
      <c r="E2027" s="49">
        <f t="shared" ca="1" si="75"/>
        <v>39.652954924874791</v>
      </c>
      <c r="F2027" s="50">
        <v>153478479</v>
      </c>
      <c r="G2027" s="51" t="s">
        <v>86</v>
      </c>
      <c r="I2027" s="52" t="s">
        <v>3630</v>
      </c>
      <c r="J2027" s="55"/>
      <c r="K2027" s="55"/>
      <c r="L2027" s="55"/>
      <c r="M2027" s="58" t="s">
        <v>25</v>
      </c>
      <c r="N2027" s="55">
        <v>4847356</v>
      </c>
      <c r="O2027" s="55"/>
    </row>
    <row r="2028" spans="1:21">
      <c r="A2028" s="47">
        <v>32460088</v>
      </c>
      <c r="B2028" s="46" t="s">
        <v>6685</v>
      </c>
      <c r="C2028" s="46" t="s">
        <v>165</v>
      </c>
      <c r="D2028" s="48" t="s">
        <v>52</v>
      </c>
      <c r="E2028" s="49" t="str">
        <f t="shared" ca="1" si="75"/>
        <v/>
      </c>
      <c r="F2028" s="50" t="s">
        <v>6686</v>
      </c>
      <c r="G2028" s="51" t="s">
        <v>86</v>
      </c>
      <c r="H2028" s="52" t="s">
        <v>52</v>
      </c>
      <c r="I2028" s="52" t="s">
        <v>5881</v>
      </c>
      <c r="J2028" s="46" t="s">
        <v>3119</v>
      </c>
      <c r="K2028" s="46" t="s">
        <v>81</v>
      </c>
      <c r="L2028" s="46" t="s">
        <v>546</v>
      </c>
      <c r="M2028" s="52" t="s">
        <v>6687</v>
      </c>
      <c r="N2028" s="46" t="s">
        <v>52</v>
      </c>
      <c r="O2028" s="46" t="s">
        <v>52</v>
      </c>
      <c r="P2028" s="46" t="s">
        <v>59</v>
      </c>
      <c r="Q2028" s="46" t="s">
        <v>60</v>
      </c>
      <c r="R2028" s="46" t="s">
        <v>61</v>
      </c>
      <c r="S2028" s="46" t="s">
        <v>62</v>
      </c>
      <c r="T2028" s="46" t="s">
        <v>12</v>
      </c>
      <c r="U2028" s="46" t="s">
        <v>63</v>
      </c>
    </row>
    <row r="2029" spans="1:21">
      <c r="A2029" s="47">
        <v>32460156</v>
      </c>
      <c r="B2029" s="46" t="s">
        <v>9509</v>
      </c>
      <c r="C2029" s="46" t="s">
        <v>9510</v>
      </c>
      <c r="D2029" s="48" t="s">
        <v>9511</v>
      </c>
      <c r="E2029" s="49" t="s">
        <v>9512</v>
      </c>
      <c r="F2029" s="50" t="s">
        <v>9513</v>
      </c>
      <c r="G2029" s="51" t="s">
        <v>70</v>
      </c>
      <c r="H2029" s="52" t="s">
        <v>9514</v>
      </c>
      <c r="I2029" s="52" t="s">
        <v>4245</v>
      </c>
      <c r="J2029" s="46" t="s">
        <v>9515</v>
      </c>
      <c r="K2029" s="46" t="s">
        <v>81</v>
      </c>
      <c r="L2029" s="46" t="s">
        <v>546</v>
      </c>
      <c r="M2029" s="52" t="s">
        <v>9516</v>
      </c>
      <c r="N2029" s="46" t="s">
        <v>52</v>
      </c>
      <c r="O2029" s="46" t="s">
        <v>52</v>
      </c>
      <c r="P2029" s="46" t="s">
        <v>59</v>
      </c>
      <c r="Q2029" s="46" t="s">
        <v>60</v>
      </c>
      <c r="R2029" s="46" t="s">
        <v>61</v>
      </c>
      <c r="S2029" s="46" t="s">
        <v>62</v>
      </c>
      <c r="T2029" s="46" t="s">
        <v>12</v>
      </c>
      <c r="U2029" s="46" t="s">
        <v>63</v>
      </c>
    </row>
    <row r="2030" spans="1:21">
      <c r="A2030" s="47">
        <v>32460389</v>
      </c>
      <c r="B2030" s="46" t="s">
        <v>1762</v>
      </c>
      <c r="C2030" s="46" t="s">
        <v>571</v>
      </c>
      <c r="D2030" s="48">
        <v>31425</v>
      </c>
      <c r="E2030" s="49">
        <f t="shared" ref="E2030:E2052" ca="1" si="76">IF(D2030="","",YEARFRAC(D2030,TODAY(),1))</f>
        <v>40.460634390651087</v>
      </c>
      <c r="F2030" s="50">
        <v>156755620</v>
      </c>
      <c r="G2030" s="51" t="s">
        <v>70</v>
      </c>
      <c r="I2030" s="52" t="s">
        <v>1657</v>
      </c>
      <c r="J2030" s="46" t="s">
        <v>1763</v>
      </c>
      <c r="M2030" s="53" t="s">
        <v>1764</v>
      </c>
      <c r="N2030" s="46">
        <v>4364093</v>
      </c>
      <c r="O2030" s="46">
        <v>7556</v>
      </c>
      <c r="P2030" s="46">
        <v>3</v>
      </c>
    </row>
    <row r="2031" spans="1:21">
      <c r="A2031" s="47">
        <v>32460682</v>
      </c>
      <c r="B2031" s="46" t="s">
        <v>1244</v>
      </c>
      <c r="C2031" s="52" t="s">
        <v>351</v>
      </c>
      <c r="D2031" s="48" t="s">
        <v>52</v>
      </c>
      <c r="E2031" s="49" t="str">
        <f t="shared" ca="1" si="76"/>
        <v/>
      </c>
      <c r="F2031" s="50" t="s">
        <v>1245</v>
      </c>
      <c r="G2031" s="51" t="s">
        <v>352</v>
      </c>
      <c r="H2031" s="52" t="s">
        <v>52</v>
      </c>
      <c r="I2031" s="59" t="s">
        <v>908</v>
      </c>
      <c r="J2031" s="46" t="s">
        <v>545</v>
      </c>
      <c r="K2031" s="46" t="s">
        <v>1206</v>
      </c>
      <c r="L2031" s="46" t="s">
        <v>52</v>
      </c>
      <c r="M2031" s="53" t="s">
        <v>1246</v>
      </c>
      <c r="N2031" s="55" t="s">
        <v>1247</v>
      </c>
      <c r="O2031" s="55" t="s">
        <v>52</v>
      </c>
      <c r="P2031" s="46" t="s">
        <v>59</v>
      </c>
      <c r="Q2031" s="46" t="s">
        <v>60</v>
      </c>
      <c r="R2031" s="46" t="s">
        <v>61</v>
      </c>
      <c r="S2031" s="46" t="s">
        <v>62</v>
      </c>
      <c r="T2031" s="46" t="s">
        <v>12</v>
      </c>
      <c r="U2031" s="46" t="s">
        <v>63</v>
      </c>
    </row>
    <row r="2032" spans="1:21">
      <c r="A2032" s="47">
        <v>32460837</v>
      </c>
      <c r="B2032" s="46" t="s">
        <v>4112</v>
      </c>
      <c r="C2032" s="46" t="s">
        <v>5341</v>
      </c>
      <c r="D2032" s="48" t="s">
        <v>52</v>
      </c>
      <c r="E2032" s="49" t="str">
        <f t="shared" ca="1" si="76"/>
        <v/>
      </c>
      <c r="F2032" s="50" t="s">
        <v>5342</v>
      </c>
      <c r="G2032" s="51" t="s">
        <v>78</v>
      </c>
      <c r="H2032" s="52" t="s">
        <v>380</v>
      </c>
      <c r="I2032" s="52" t="s">
        <v>5304</v>
      </c>
      <c r="J2032" s="46" t="s">
        <v>5343</v>
      </c>
      <c r="K2032" s="46" t="s">
        <v>52</v>
      </c>
      <c r="L2032" s="46" t="s">
        <v>52</v>
      </c>
      <c r="M2032" s="53" t="s">
        <v>5344</v>
      </c>
      <c r="N2032" s="46" t="s">
        <v>931</v>
      </c>
      <c r="O2032" s="46" t="s">
        <v>5345</v>
      </c>
      <c r="P2032" s="46" t="s">
        <v>59</v>
      </c>
      <c r="Q2032" s="46" t="s">
        <v>60</v>
      </c>
      <c r="R2032" s="46" t="s">
        <v>61</v>
      </c>
      <c r="S2032" s="46" t="s">
        <v>62</v>
      </c>
      <c r="T2032" s="46" t="s">
        <v>12</v>
      </c>
      <c r="U2032" s="46" t="s">
        <v>63</v>
      </c>
    </row>
    <row r="2033" spans="1:21">
      <c r="A2033" s="47">
        <v>32460930</v>
      </c>
      <c r="B2033" s="46" t="s">
        <v>4643</v>
      </c>
      <c r="C2033" s="52" t="s">
        <v>1029</v>
      </c>
      <c r="D2033" s="48">
        <v>31774</v>
      </c>
      <c r="E2033" s="49">
        <f t="shared" ca="1" si="76"/>
        <v>39.505108514190319</v>
      </c>
      <c r="F2033" s="50">
        <v>156857432</v>
      </c>
      <c r="G2033" s="51" t="s">
        <v>23</v>
      </c>
      <c r="I2033" s="52" t="s">
        <v>23</v>
      </c>
      <c r="J2033" s="46" t="s">
        <v>6318</v>
      </c>
      <c r="M2033" s="53" t="s">
        <v>6361</v>
      </c>
      <c r="N2033" s="55">
        <v>4211071</v>
      </c>
      <c r="O2033" s="55">
        <v>107</v>
      </c>
    </row>
    <row r="2034" spans="1:21">
      <c r="A2034" s="47">
        <v>32461088</v>
      </c>
      <c r="B2034" s="46" t="s">
        <v>2026</v>
      </c>
      <c r="C2034" s="52" t="s">
        <v>6507</v>
      </c>
      <c r="D2034" s="48">
        <v>31766</v>
      </c>
      <c r="E2034" s="49">
        <f t="shared" ca="1" si="76"/>
        <v>39.527011686143574</v>
      </c>
      <c r="F2034" s="50">
        <v>155611334</v>
      </c>
      <c r="G2034" s="51" t="s">
        <v>23</v>
      </c>
      <c r="I2034" s="65" t="s">
        <v>6504</v>
      </c>
      <c r="J2034" s="46" t="s">
        <v>899</v>
      </c>
      <c r="M2034" s="53" t="s">
        <v>6508</v>
      </c>
      <c r="N2034" s="55"/>
      <c r="O2034" s="55"/>
    </row>
    <row r="2035" spans="1:21">
      <c r="A2035" s="64">
        <v>32493203</v>
      </c>
      <c r="B2035" s="61" t="s">
        <v>73</v>
      </c>
      <c r="C2035" s="62" t="s">
        <v>74</v>
      </c>
      <c r="D2035" s="48">
        <v>31811</v>
      </c>
      <c r="E2035" s="49">
        <f t="shared" ca="1" si="76"/>
        <v>39.403148528405204</v>
      </c>
      <c r="F2035" s="63"/>
      <c r="G2035" s="51" t="s">
        <v>23</v>
      </c>
      <c r="I2035" s="52" t="s">
        <v>24</v>
      </c>
      <c r="J2035" s="61" t="s">
        <v>75</v>
      </c>
      <c r="K2035" s="61"/>
      <c r="L2035" s="61"/>
      <c r="M2035" s="53" t="s">
        <v>76</v>
      </c>
      <c r="N2035" s="55"/>
      <c r="O2035" s="55"/>
    </row>
    <row r="2036" spans="1:21">
      <c r="A2036" s="60">
        <v>32493293</v>
      </c>
      <c r="B2036" s="61" t="s">
        <v>73</v>
      </c>
      <c r="C2036" s="62" t="s">
        <v>74</v>
      </c>
      <c r="D2036" s="48" t="s">
        <v>52</v>
      </c>
      <c r="E2036" s="49" t="str">
        <f t="shared" ca="1" si="76"/>
        <v/>
      </c>
      <c r="F2036" s="63" t="s">
        <v>77</v>
      </c>
      <c r="G2036" s="51" t="s">
        <v>78</v>
      </c>
      <c r="H2036" s="52" t="s">
        <v>79</v>
      </c>
      <c r="I2036" s="52" t="s">
        <v>24</v>
      </c>
      <c r="J2036" s="61" t="s">
        <v>80</v>
      </c>
      <c r="K2036" s="61" t="s">
        <v>81</v>
      </c>
      <c r="L2036" s="61" t="s">
        <v>52</v>
      </c>
      <c r="M2036" s="53" t="s">
        <v>76</v>
      </c>
      <c r="N2036" s="55" t="s">
        <v>82</v>
      </c>
      <c r="O2036" s="55" t="s">
        <v>52</v>
      </c>
      <c r="P2036" s="46" t="s">
        <v>59</v>
      </c>
      <c r="Q2036" s="46" t="s">
        <v>60</v>
      </c>
      <c r="R2036" s="46" t="s">
        <v>61</v>
      </c>
      <c r="S2036" s="46" t="s">
        <v>62</v>
      </c>
      <c r="T2036" s="46" t="s">
        <v>12</v>
      </c>
      <c r="U2036" s="46" t="s">
        <v>63</v>
      </c>
    </row>
    <row r="2037" spans="1:21">
      <c r="A2037" s="47">
        <v>32493499</v>
      </c>
      <c r="B2037" s="46" t="s">
        <v>1422</v>
      </c>
      <c r="C2037" s="46" t="s">
        <v>1423</v>
      </c>
      <c r="D2037" s="48" t="s">
        <v>52</v>
      </c>
      <c r="E2037" s="49" t="str">
        <f t="shared" ca="1" si="76"/>
        <v/>
      </c>
      <c r="F2037" s="50" t="s">
        <v>1424</v>
      </c>
      <c r="G2037" s="51" t="s">
        <v>70</v>
      </c>
      <c r="H2037" s="52" t="s">
        <v>1425</v>
      </c>
      <c r="I2037" s="59" t="s">
        <v>908</v>
      </c>
      <c r="J2037" s="46" t="s">
        <v>52</v>
      </c>
      <c r="K2037" s="46" t="s">
        <v>81</v>
      </c>
      <c r="L2037" s="46" t="s">
        <v>546</v>
      </c>
      <c r="M2037" s="52" t="s">
        <v>1426</v>
      </c>
      <c r="N2037" s="46" t="s">
        <v>52</v>
      </c>
      <c r="O2037" s="46" t="s">
        <v>52</v>
      </c>
      <c r="P2037" s="46" t="s">
        <v>59</v>
      </c>
      <c r="Q2037" s="46" t="s">
        <v>60</v>
      </c>
      <c r="R2037" s="46" t="s">
        <v>61</v>
      </c>
      <c r="S2037" s="46" t="s">
        <v>62</v>
      </c>
      <c r="T2037" s="46" t="s">
        <v>12</v>
      </c>
      <c r="U2037" s="46" t="s">
        <v>63</v>
      </c>
    </row>
    <row r="2038" spans="1:21">
      <c r="A2038" s="47">
        <v>32501409</v>
      </c>
      <c r="B2038" s="46" t="s">
        <v>2466</v>
      </c>
      <c r="C2038" s="52" t="s">
        <v>1632</v>
      </c>
      <c r="E2038" s="49" t="str">
        <f t="shared" ca="1" si="76"/>
        <v/>
      </c>
      <c r="F2038" s="50">
        <v>154166475</v>
      </c>
      <c r="G2038" s="51" t="s">
        <v>70</v>
      </c>
      <c r="I2038" s="59" t="s">
        <v>908</v>
      </c>
      <c r="M2038" s="53" t="s">
        <v>2467</v>
      </c>
      <c r="N2038" s="55">
        <v>4212400</v>
      </c>
      <c r="O2038" s="55"/>
    </row>
    <row r="2039" spans="1:21">
      <c r="A2039" s="47">
        <v>32501411</v>
      </c>
      <c r="B2039" s="46" t="s">
        <v>6296</v>
      </c>
      <c r="C2039" s="46" t="s">
        <v>584</v>
      </c>
      <c r="D2039" s="48">
        <v>31744</v>
      </c>
      <c r="E2039" s="49">
        <f t="shared" ca="1" si="76"/>
        <v>39.587245409015026</v>
      </c>
      <c r="F2039" s="50">
        <v>156329852</v>
      </c>
      <c r="G2039" s="51" t="s">
        <v>352</v>
      </c>
      <c r="I2039" s="52" t="s">
        <v>23</v>
      </c>
      <c r="J2039" s="46" t="s">
        <v>38</v>
      </c>
      <c r="M2039" s="53" t="s">
        <v>6297</v>
      </c>
      <c r="N2039" s="46">
        <v>4247752</v>
      </c>
      <c r="O2039" s="46">
        <v>7146</v>
      </c>
    </row>
    <row r="2040" spans="1:21">
      <c r="A2040" s="47">
        <v>32501804</v>
      </c>
      <c r="B2040" s="46" t="s">
        <v>2248</v>
      </c>
      <c r="C2040" s="46" t="s">
        <v>4405</v>
      </c>
      <c r="D2040" s="48">
        <v>31744</v>
      </c>
      <c r="E2040" s="49">
        <f t="shared" ca="1" si="76"/>
        <v>39.587245409015026</v>
      </c>
      <c r="F2040" s="50">
        <v>154729312</v>
      </c>
      <c r="G2040" s="51" t="s">
        <v>23</v>
      </c>
      <c r="I2040" s="52" t="s">
        <v>4245</v>
      </c>
      <c r="J2040" s="46" t="s">
        <v>38</v>
      </c>
      <c r="M2040" s="53" t="s">
        <v>4406</v>
      </c>
      <c r="N2040" s="46">
        <v>4247752</v>
      </c>
      <c r="O2040" s="46">
        <v>7049</v>
      </c>
    </row>
    <row r="2041" spans="1:21">
      <c r="A2041" s="47">
        <v>32501890</v>
      </c>
      <c r="B2041" s="46" t="s">
        <v>2048</v>
      </c>
      <c r="C2041" s="46" t="s">
        <v>2049</v>
      </c>
      <c r="D2041" s="48">
        <v>31787</v>
      </c>
      <c r="E2041" s="49">
        <f t="shared" ca="1" si="76"/>
        <v>39.468856947296374</v>
      </c>
      <c r="F2041" s="50">
        <v>156241808</v>
      </c>
      <c r="G2041" s="51" t="s">
        <v>70</v>
      </c>
      <c r="I2041" s="52" t="s">
        <v>1881</v>
      </c>
      <c r="J2041" s="46" t="s">
        <v>2050</v>
      </c>
      <c r="M2041" s="52" t="s">
        <v>2051</v>
      </c>
      <c r="N2041" s="46">
        <v>4107576</v>
      </c>
      <c r="P2041" s="46">
        <v>4</v>
      </c>
    </row>
    <row r="2042" spans="1:21">
      <c r="A2042" s="47">
        <v>32513757</v>
      </c>
      <c r="B2042" s="46" t="s">
        <v>622</v>
      </c>
      <c r="C2042" s="46" t="s">
        <v>5487</v>
      </c>
      <c r="D2042" s="48" t="s">
        <v>52</v>
      </c>
      <c r="E2042" s="49" t="str">
        <f t="shared" ca="1" si="76"/>
        <v/>
      </c>
      <c r="F2042" s="50" t="s">
        <v>5488</v>
      </c>
      <c r="G2042" s="51" t="s">
        <v>70</v>
      </c>
      <c r="H2042" s="52" t="s">
        <v>1260</v>
      </c>
      <c r="I2042" s="52" t="s">
        <v>5304</v>
      </c>
      <c r="J2042" s="46" t="s">
        <v>5337</v>
      </c>
      <c r="K2042" s="46" t="s">
        <v>81</v>
      </c>
      <c r="L2042" s="46" t="s">
        <v>52</v>
      </c>
      <c r="M2042" s="52" t="s">
        <v>5489</v>
      </c>
      <c r="N2042" s="46" t="s">
        <v>5466</v>
      </c>
      <c r="O2042" s="46" t="s">
        <v>52</v>
      </c>
      <c r="P2042" s="46" t="s">
        <v>59</v>
      </c>
      <c r="Q2042" s="46" t="s">
        <v>60</v>
      </c>
      <c r="R2042" s="46" t="s">
        <v>61</v>
      </c>
      <c r="S2042" s="46" t="s">
        <v>62</v>
      </c>
      <c r="T2042" s="46" t="s">
        <v>12</v>
      </c>
      <c r="U2042" s="46" t="s">
        <v>63</v>
      </c>
    </row>
    <row r="2043" spans="1:21">
      <c r="A2043" s="47">
        <v>32513798</v>
      </c>
      <c r="B2043" s="46" t="s">
        <v>570</v>
      </c>
      <c r="C2043" s="46" t="s">
        <v>571</v>
      </c>
      <c r="D2043" s="48" t="s">
        <v>52</v>
      </c>
      <c r="E2043" s="49" t="str">
        <f t="shared" ca="1" si="76"/>
        <v/>
      </c>
      <c r="F2043" s="50" t="s">
        <v>572</v>
      </c>
      <c r="G2043" s="51" t="s">
        <v>70</v>
      </c>
      <c r="H2043" s="52" t="s">
        <v>568</v>
      </c>
      <c r="I2043" s="52" t="s">
        <v>24</v>
      </c>
      <c r="J2043" s="46" t="s">
        <v>52</v>
      </c>
      <c r="K2043" s="46" t="s">
        <v>112</v>
      </c>
      <c r="L2043" s="46" t="s">
        <v>546</v>
      </c>
      <c r="M2043" s="52" t="s">
        <v>573</v>
      </c>
      <c r="N2043" s="46" t="s">
        <v>52</v>
      </c>
      <c r="O2043" s="46" t="s">
        <v>52</v>
      </c>
      <c r="P2043" s="46" t="s">
        <v>59</v>
      </c>
      <c r="Q2043" s="46" t="s">
        <v>60</v>
      </c>
      <c r="R2043" s="46" t="s">
        <v>61</v>
      </c>
      <c r="S2043" s="46" t="s">
        <v>62</v>
      </c>
      <c r="T2043" s="46" t="s">
        <v>12</v>
      </c>
      <c r="U2043" s="46" t="s">
        <v>63</v>
      </c>
    </row>
    <row r="2044" spans="1:21">
      <c r="A2044" s="47">
        <v>32525926</v>
      </c>
      <c r="B2044" s="46" t="s">
        <v>6003</v>
      </c>
      <c r="C2044" s="52" t="s">
        <v>1353</v>
      </c>
      <c r="D2044" s="48">
        <v>31723</v>
      </c>
      <c r="E2044" s="49">
        <f t="shared" ca="1" si="76"/>
        <v>39.644741235392317</v>
      </c>
      <c r="F2044" s="50">
        <v>154623310</v>
      </c>
      <c r="G2044" s="51" t="s">
        <v>23</v>
      </c>
      <c r="I2044" s="52" t="s">
        <v>23</v>
      </c>
      <c r="J2044" s="46" t="s">
        <v>6004</v>
      </c>
      <c r="M2044" s="53" t="s">
        <v>6005</v>
      </c>
      <c r="N2044" s="55">
        <v>4313740</v>
      </c>
      <c r="O2044" s="55"/>
    </row>
    <row r="2045" spans="1:21">
      <c r="A2045" s="47">
        <v>32589448</v>
      </c>
      <c r="B2045" s="46" t="s">
        <v>288</v>
      </c>
      <c r="C2045" s="46" t="s">
        <v>2753</v>
      </c>
      <c r="D2045" s="48">
        <v>32097</v>
      </c>
      <c r="E2045" s="49">
        <f t="shared" ca="1" si="76"/>
        <v>38.620123203285424</v>
      </c>
      <c r="F2045" s="50">
        <v>156291767</v>
      </c>
      <c r="G2045" s="51" t="s">
        <v>78</v>
      </c>
      <c r="I2045" s="52" t="s">
        <v>2754</v>
      </c>
      <c r="J2045" s="46" t="s">
        <v>38</v>
      </c>
      <c r="M2045" s="53" t="s">
        <v>2755</v>
      </c>
      <c r="N2045" s="46">
        <v>4215706</v>
      </c>
      <c r="P2045" s="46">
        <v>4</v>
      </c>
    </row>
    <row r="2046" spans="1:21">
      <c r="A2046" s="47">
        <v>32601881</v>
      </c>
      <c r="B2046" s="69" t="s">
        <v>7239</v>
      </c>
      <c r="C2046" s="70" t="s">
        <v>5694</v>
      </c>
      <c r="D2046" s="48">
        <v>31673</v>
      </c>
      <c r="E2046" s="49">
        <f t="shared" ca="1" si="76"/>
        <v>39.781636060100169</v>
      </c>
      <c r="F2046" s="50">
        <v>155730379</v>
      </c>
      <c r="G2046" s="51" t="s">
        <v>23</v>
      </c>
      <c r="I2046" s="52" t="s">
        <v>5494</v>
      </c>
      <c r="J2046" s="46" t="s">
        <v>5695</v>
      </c>
      <c r="M2046" s="58" t="s">
        <v>25</v>
      </c>
      <c r="N2046" s="55">
        <v>4526343</v>
      </c>
      <c r="O2046" s="55"/>
    </row>
    <row r="2047" spans="1:21">
      <c r="A2047" s="47">
        <v>32629805</v>
      </c>
      <c r="B2047" s="46" t="s">
        <v>592</v>
      </c>
      <c r="C2047" s="52" t="s">
        <v>924</v>
      </c>
      <c r="D2047" s="48">
        <v>31868</v>
      </c>
      <c r="E2047" s="49">
        <f t="shared" ca="1" si="76"/>
        <v>39.247091033538673</v>
      </c>
      <c r="F2047" s="50">
        <v>154489467</v>
      </c>
      <c r="G2047" s="51" t="s">
        <v>23</v>
      </c>
      <c r="I2047" s="59" t="s">
        <v>908</v>
      </c>
      <c r="J2047" s="46" t="s">
        <v>925</v>
      </c>
      <c r="M2047" s="53" t="s">
        <v>926</v>
      </c>
      <c r="N2047" s="55"/>
      <c r="O2047" s="55"/>
    </row>
    <row r="2048" spans="1:21">
      <c r="A2048" s="47">
        <v>32684771</v>
      </c>
      <c r="B2048" s="46" t="s">
        <v>7642</v>
      </c>
      <c r="C2048" s="52" t="s">
        <v>987</v>
      </c>
      <c r="E2048" s="49" t="str">
        <f t="shared" ca="1" si="76"/>
        <v/>
      </c>
      <c r="G2048" s="51" t="s">
        <v>23</v>
      </c>
      <c r="I2048" s="59" t="s">
        <v>908</v>
      </c>
      <c r="J2048" s="46" t="s">
        <v>988</v>
      </c>
      <c r="M2048" s="53" t="s">
        <v>989</v>
      </c>
      <c r="N2048" s="55">
        <v>4247752</v>
      </c>
      <c r="O2048" s="55">
        <v>7085</v>
      </c>
    </row>
    <row r="2049" spans="1:21">
      <c r="A2049" s="47">
        <v>32775072</v>
      </c>
      <c r="B2049" s="46" t="s">
        <v>458</v>
      </c>
      <c r="C2049" s="55" t="s">
        <v>97</v>
      </c>
      <c r="D2049" s="48">
        <v>31822</v>
      </c>
      <c r="E2049" s="49">
        <f t="shared" ca="1" si="76"/>
        <v>39.37303216974675</v>
      </c>
      <c r="F2049" s="50">
        <v>154725360</v>
      </c>
      <c r="G2049" s="51" t="s">
        <v>23</v>
      </c>
      <c r="I2049" s="52" t="s">
        <v>2764</v>
      </c>
      <c r="J2049" s="55"/>
      <c r="K2049" s="55"/>
      <c r="L2049" s="55"/>
      <c r="M2049" s="53" t="s">
        <v>2765</v>
      </c>
      <c r="N2049" s="55"/>
      <c r="O2049" s="55"/>
    </row>
    <row r="2050" spans="1:21">
      <c r="A2050" s="80">
        <v>32775448</v>
      </c>
      <c r="B2050" s="80" t="s">
        <v>7512</v>
      </c>
      <c r="C2050" s="80" t="s">
        <v>8730</v>
      </c>
      <c r="D2050" s="84">
        <v>31876</v>
      </c>
      <c r="E2050" s="49">
        <f t="shared" ca="1" si="76"/>
        <v>39.225188227241617</v>
      </c>
      <c r="F2050" s="80">
        <v>3814443206</v>
      </c>
      <c r="G2050" s="80" t="s">
        <v>70</v>
      </c>
      <c r="H2050" s="80" t="s">
        <v>8741</v>
      </c>
      <c r="I2050" s="265" t="s">
        <v>24</v>
      </c>
      <c r="J2050" s="80"/>
      <c r="K2050" s="80" t="s">
        <v>8742</v>
      </c>
      <c r="L2050" s="80" t="s">
        <v>2002</v>
      </c>
      <c r="M2050" s="80">
        <v>5</v>
      </c>
      <c r="N2050" s="80" t="s">
        <v>8740</v>
      </c>
      <c r="O2050" s="80">
        <v>4247752</v>
      </c>
    </row>
    <row r="2051" spans="1:21">
      <c r="A2051" s="47">
        <v>32775540</v>
      </c>
      <c r="B2051" s="46" t="s">
        <v>1798</v>
      </c>
      <c r="C2051" s="46" t="s">
        <v>1801</v>
      </c>
      <c r="D2051" s="48" t="s">
        <v>52</v>
      </c>
      <c r="E2051" s="49" t="str">
        <f t="shared" ca="1" si="76"/>
        <v/>
      </c>
      <c r="F2051" s="50" t="s">
        <v>1802</v>
      </c>
      <c r="G2051" s="51" t="s">
        <v>141</v>
      </c>
      <c r="H2051" s="52" t="s">
        <v>52</v>
      </c>
      <c r="I2051" s="52" t="s">
        <v>1657</v>
      </c>
      <c r="J2051" s="46" t="s">
        <v>1300</v>
      </c>
      <c r="K2051" s="46" t="s">
        <v>81</v>
      </c>
      <c r="L2051" s="46" t="s">
        <v>52</v>
      </c>
      <c r="M2051" s="53" t="s">
        <v>1803</v>
      </c>
      <c r="N2051" s="46" t="s">
        <v>1804</v>
      </c>
      <c r="O2051" s="46" t="s">
        <v>52</v>
      </c>
      <c r="P2051" s="46" t="s">
        <v>59</v>
      </c>
      <c r="Q2051" s="46" t="s">
        <v>60</v>
      </c>
      <c r="R2051" s="46" t="s">
        <v>61</v>
      </c>
      <c r="S2051" s="46" t="s">
        <v>62</v>
      </c>
      <c r="T2051" s="46" t="s">
        <v>12</v>
      </c>
      <c r="U2051" s="46" t="s">
        <v>63</v>
      </c>
    </row>
    <row r="2052" spans="1:21">
      <c r="A2052" s="47">
        <v>32775577</v>
      </c>
      <c r="B2052" s="46" t="s">
        <v>1081</v>
      </c>
      <c r="C2052" s="52" t="s">
        <v>1082</v>
      </c>
      <c r="D2052" s="48">
        <v>31844</v>
      </c>
      <c r="E2052" s="49">
        <f t="shared" ca="1" si="76"/>
        <v>39.312799452429843</v>
      </c>
      <c r="F2052" s="50">
        <v>155248613</v>
      </c>
      <c r="G2052" s="51" t="s">
        <v>23</v>
      </c>
      <c r="I2052" s="59" t="s">
        <v>908</v>
      </c>
      <c r="J2052" s="46" t="s">
        <v>1083</v>
      </c>
      <c r="M2052" s="53" t="s">
        <v>1084</v>
      </c>
      <c r="N2052" s="55"/>
      <c r="O2052" s="55"/>
    </row>
    <row r="2053" spans="1:21">
      <c r="A2053" s="47">
        <v>32809573</v>
      </c>
      <c r="B2053" s="46" t="s">
        <v>9434</v>
      </c>
      <c r="C2053" s="46" t="s">
        <v>9435</v>
      </c>
      <c r="D2053" s="48" t="s">
        <v>52</v>
      </c>
      <c r="E2053" s="49" t="s">
        <v>52</v>
      </c>
      <c r="F2053" s="50" t="s">
        <v>52</v>
      </c>
      <c r="G2053" s="51" t="s">
        <v>52</v>
      </c>
      <c r="H2053" s="52" t="s">
        <v>52</v>
      </c>
      <c r="I2053" s="52" t="s">
        <v>3630</v>
      </c>
      <c r="J2053" s="46" t="s">
        <v>52</v>
      </c>
      <c r="K2053" s="46" t="s">
        <v>52</v>
      </c>
      <c r="L2053" s="46" t="s">
        <v>546</v>
      </c>
      <c r="M2053" s="52" t="s">
        <v>9436</v>
      </c>
      <c r="N2053" s="46" t="s">
        <v>52</v>
      </c>
      <c r="O2053" s="46" t="s">
        <v>52</v>
      </c>
      <c r="P2053" s="46" t="s">
        <v>59</v>
      </c>
      <c r="Q2053" s="46" t="s">
        <v>60</v>
      </c>
      <c r="R2053" s="46" t="s">
        <v>61</v>
      </c>
      <c r="S2053" s="46" t="s">
        <v>62</v>
      </c>
      <c r="T2053" s="46" t="s">
        <v>12</v>
      </c>
      <c r="U2053" s="46" t="s">
        <v>63</v>
      </c>
    </row>
    <row r="2054" spans="1:21">
      <c r="A2054" s="47">
        <v>32820894</v>
      </c>
      <c r="B2054" s="46" t="s">
        <v>9671</v>
      </c>
      <c r="C2054" s="46" t="s">
        <v>9672</v>
      </c>
      <c r="D2054" s="48" t="s">
        <v>9673</v>
      </c>
      <c r="E2054" s="49" t="s">
        <v>9393</v>
      </c>
      <c r="F2054" s="50" t="s">
        <v>9674</v>
      </c>
      <c r="G2054" s="51" t="s">
        <v>70</v>
      </c>
      <c r="H2054" s="52" t="s">
        <v>9675</v>
      </c>
      <c r="I2054" s="52" t="s">
        <v>24</v>
      </c>
      <c r="J2054" s="46" t="s">
        <v>9676</v>
      </c>
      <c r="K2054" s="46" t="s">
        <v>390</v>
      </c>
      <c r="L2054" s="46" t="s">
        <v>546</v>
      </c>
      <c r="M2054" s="52" t="s">
        <v>9677</v>
      </c>
      <c r="N2054" s="46" t="s">
        <v>52</v>
      </c>
      <c r="O2054" s="46" t="s">
        <v>52</v>
      </c>
      <c r="P2054" s="46" t="s">
        <v>59</v>
      </c>
      <c r="Q2054" s="46" t="s">
        <v>60</v>
      </c>
      <c r="R2054" s="46" t="s">
        <v>61</v>
      </c>
      <c r="S2054" s="46" t="s">
        <v>62</v>
      </c>
      <c r="T2054" s="46" t="s">
        <v>12</v>
      </c>
      <c r="U2054" s="46" t="s">
        <v>63</v>
      </c>
    </row>
    <row r="2055" spans="1:21">
      <c r="A2055" s="47">
        <v>32828709</v>
      </c>
      <c r="B2055" s="46" t="s">
        <v>2087</v>
      </c>
      <c r="C2055" s="46" t="s">
        <v>3140</v>
      </c>
      <c r="D2055" s="48">
        <v>31905</v>
      </c>
      <c r="E2055" s="49">
        <f ca="1">IF(D2055="","",YEARFRAC(D2055,TODAY(),1))</f>
        <v>39.145790554414788</v>
      </c>
      <c r="F2055" s="50">
        <v>154901734</v>
      </c>
      <c r="G2055" s="51" t="s">
        <v>141</v>
      </c>
      <c r="I2055" s="52" t="s">
        <v>3127</v>
      </c>
      <c r="J2055" s="55" t="s">
        <v>234</v>
      </c>
      <c r="K2055" s="55"/>
      <c r="L2055" s="55"/>
      <c r="M2055" s="53" t="s">
        <v>3141</v>
      </c>
      <c r="N2055" s="55"/>
      <c r="O2055" s="55"/>
      <c r="P2055" s="46">
        <v>4</v>
      </c>
    </row>
    <row r="2056" spans="1:21">
      <c r="A2056" s="47">
        <v>32852817</v>
      </c>
      <c r="B2056" s="46" t="s">
        <v>3927</v>
      </c>
      <c r="C2056" s="52" t="s">
        <v>3928</v>
      </c>
      <c r="D2056" s="48">
        <v>31765</v>
      </c>
      <c r="E2056" s="49">
        <f ca="1">IF(D2056="","",YEARFRAC(D2056,TODAY(),1))</f>
        <v>39.529749582637727</v>
      </c>
      <c r="F2056" s="50">
        <v>156385237</v>
      </c>
      <c r="G2056" s="51" t="s">
        <v>23</v>
      </c>
      <c r="I2056" s="52" t="s">
        <v>3922</v>
      </c>
      <c r="J2056" s="46" t="s">
        <v>3929</v>
      </c>
      <c r="M2056" s="53" t="s">
        <v>3930</v>
      </c>
      <c r="N2056" s="55"/>
      <c r="O2056" s="55"/>
    </row>
    <row r="2057" spans="1:21">
      <c r="A2057" s="47">
        <v>32853340</v>
      </c>
      <c r="B2057" s="46" t="s">
        <v>701</v>
      </c>
      <c r="C2057" s="52" t="s">
        <v>702</v>
      </c>
      <c r="D2057" s="48">
        <v>31864</v>
      </c>
      <c r="E2057" s="49">
        <f ca="1">IF(D2057="","",YEARFRAC(D2057,TODAY(),1))</f>
        <v>39.258042436687198</v>
      </c>
      <c r="F2057" s="50">
        <v>154772146</v>
      </c>
      <c r="G2057" s="51" t="s">
        <v>23</v>
      </c>
      <c r="I2057" s="52" t="s">
        <v>594</v>
      </c>
      <c r="J2057" s="46" t="s">
        <v>673</v>
      </c>
      <c r="M2057" s="53" t="s">
        <v>703</v>
      </c>
      <c r="N2057" s="55"/>
      <c r="O2057" s="55"/>
    </row>
    <row r="2058" spans="1:21">
      <c r="A2058" s="47">
        <v>32853368</v>
      </c>
      <c r="B2058" s="46" t="s">
        <v>9390</v>
      </c>
      <c r="C2058" s="46" t="s">
        <v>9391</v>
      </c>
      <c r="D2058" s="48" t="s">
        <v>9392</v>
      </c>
      <c r="E2058" s="49" t="s">
        <v>9393</v>
      </c>
      <c r="F2058" s="50" t="s">
        <v>9394</v>
      </c>
      <c r="G2058" s="51" t="s">
        <v>54</v>
      </c>
      <c r="H2058" s="52" t="s">
        <v>52</v>
      </c>
      <c r="I2058" s="52" t="s">
        <v>5176</v>
      </c>
      <c r="J2058" s="46" t="s">
        <v>9395</v>
      </c>
      <c r="K2058" s="46" t="s">
        <v>57</v>
      </c>
      <c r="L2058" s="46" t="s">
        <v>52</v>
      </c>
      <c r="M2058" s="52" t="s">
        <v>9396</v>
      </c>
      <c r="N2058" s="46" t="s">
        <v>52</v>
      </c>
      <c r="O2058" s="46" t="s">
        <v>52</v>
      </c>
      <c r="P2058" s="46" t="s">
        <v>59</v>
      </c>
      <c r="Q2058" s="46" t="s">
        <v>60</v>
      </c>
      <c r="R2058" s="46" t="s">
        <v>61</v>
      </c>
      <c r="S2058" s="46" t="s">
        <v>62</v>
      </c>
      <c r="T2058" s="46" t="s">
        <v>12</v>
      </c>
      <c r="U2058" s="46" t="s">
        <v>63</v>
      </c>
    </row>
    <row r="2059" spans="1:21">
      <c r="A2059" s="47">
        <v>32853533</v>
      </c>
      <c r="B2059" s="46" t="s">
        <v>8784</v>
      </c>
      <c r="C2059" s="46" t="s">
        <v>6596</v>
      </c>
      <c r="D2059" s="48" t="s">
        <v>52</v>
      </c>
      <c r="E2059" s="49" t="str">
        <f t="shared" ref="E2059:E2067" ca="1" si="77">IF(D2059="","",YEARFRAC(D2059,TODAY(),1))</f>
        <v/>
      </c>
      <c r="F2059" s="50" t="s">
        <v>6597</v>
      </c>
      <c r="G2059" s="51" t="s">
        <v>70</v>
      </c>
      <c r="H2059" s="52" t="s">
        <v>6598</v>
      </c>
      <c r="I2059" s="52" t="s">
        <v>908</v>
      </c>
      <c r="J2059" s="46" t="s">
        <v>6599</v>
      </c>
      <c r="K2059" s="46" t="s">
        <v>112</v>
      </c>
      <c r="L2059" s="46" t="s">
        <v>546</v>
      </c>
      <c r="M2059" s="52" t="s">
        <v>6600</v>
      </c>
      <c r="N2059" s="46" t="s">
        <v>52</v>
      </c>
      <c r="O2059" s="46" t="s">
        <v>52</v>
      </c>
      <c r="P2059" s="46" t="s">
        <v>59</v>
      </c>
      <c r="Q2059" s="46" t="s">
        <v>60</v>
      </c>
      <c r="R2059" s="46" t="s">
        <v>61</v>
      </c>
      <c r="S2059" s="46" t="s">
        <v>62</v>
      </c>
      <c r="T2059" s="46" t="s">
        <v>12</v>
      </c>
      <c r="U2059" s="46" t="s">
        <v>63</v>
      </c>
    </row>
    <row r="2060" spans="1:21">
      <c r="A2060" s="47">
        <v>32853583</v>
      </c>
      <c r="B2060" s="46" t="s">
        <v>6658</v>
      </c>
      <c r="C2060" s="46" t="s">
        <v>2623</v>
      </c>
      <c r="D2060" s="48" t="s">
        <v>52</v>
      </c>
      <c r="E2060" s="49" t="str">
        <f t="shared" ca="1" si="77"/>
        <v/>
      </c>
      <c r="F2060" s="50" t="s">
        <v>6659</v>
      </c>
      <c r="G2060" s="51" t="s">
        <v>70</v>
      </c>
      <c r="H2060" s="52" t="s">
        <v>6660</v>
      </c>
      <c r="I2060" s="52" t="s">
        <v>908</v>
      </c>
      <c r="J2060" s="46" t="s">
        <v>6661</v>
      </c>
      <c r="K2060" s="46" t="s">
        <v>159</v>
      </c>
      <c r="L2060" s="46" t="s">
        <v>546</v>
      </c>
      <c r="M2060" s="52" t="s">
        <v>6662</v>
      </c>
      <c r="N2060" s="46" t="s">
        <v>52</v>
      </c>
      <c r="O2060" s="46" t="s">
        <v>52</v>
      </c>
      <c r="P2060" s="46" t="s">
        <v>59</v>
      </c>
      <c r="Q2060" s="46" t="s">
        <v>60</v>
      </c>
      <c r="R2060" s="46" t="s">
        <v>61</v>
      </c>
      <c r="S2060" s="46" t="s">
        <v>62</v>
      </c>
      <c r="T2060" s="46" t="s">
        <v>12</v>
      </c>
      <c r="U2060" s="46" t="s">
        <v>63</v>
      </c>
    </row>
    <row r="2061" spans="1:21">
      <c r="A2061" s="47">
        <v>32894798</v>
      </c>
      <c r="B2061" s="46" t="s">
        <v>1254</v>
      </c>
      <c r="C2061" s="52" t="s">
        <v>1255</v>
      </c>
      <c r="D2061" s="48">
        <v>31918</v>
      </c>
      <c r="E2061" s="49">
        <f t="shared" ca="1" si="77"/>
        <v>39.110198494182065</v>
      </c>
      <c r="F2061" s="50">
        <v>153362111</v>
      </c>
      <c r="G2061" s="51" t="s">
        <v>23</v>
      </c>
      <c r="I2061" s="59" t="s">
        <v>908</v>
      </c>
      <c r="J2061" s="71"/>
      <c r="K2061" s="71"/>
      <c r="L2061" s="71"/>
      <c r="M2061" s="53" t="s">
        <v>1256</v>
      </c>
      <c r="N2061" s="55"/>
      <c r="O2061" s="55"/>
    </row>
    <row r="2062" spans="1:21">
      <c r="A2062" s="47">
        <v>32903447</v>
      </c>
      <c r="B2062" s="46" t="s">
        <v>2622</v>
      </c>
      <c r="C2062" s="52" t="s">
        <v>2623</v>
      </c>
      <c r="D2062" s="48">
        <v>31860</v>
      </c>
      <c r="E2062" s="49">
        <f t="shared" ca="1" si="77"/>
        <v>39.26899383983573</v>
      </c>
      <c r="F2062" s="50">
        <v>156437429</v>
      </c>
      <c r="G2062" s="51" t="s">
        <v>23</v>
      </c>
      <c r="I2062" s="59" t="s">
        <v>908</v>
      </c>
      <c r="M2062" s="53" t="s">
        <v>2624</v>
      </c>
      <c r="N2062" s="55">
        <v>4215075</v>
      </c>
      <c r="O2062" s="55"/>
    </row>
    <row r="2063" spans="1:21">
      <c r="A2063" s="47">
        <v>32927192</v>
      </c>
      <c r="B2063" s="46" t="s">
        <v>428</v>
      </c>
      <c r="C2063" s="55" t="s">
        <v>1211</v>
      </c>
      <c r="D2063" s="48">
        <v>32030</v>
      </c>
      <c r="E2063" s="49">
        <f t="shared" ca="1" si="77"/>
        <v>38.803559206023273</v>
      </c>
      <c r="F2063" s="50">
        <v>155974512</v>
      </c>
      <c r="G2063" s="51" t="s">
        <v>141</v>
      </c>
      <c r="I2063" s="59" t="s">
        <v>908</v>
      </c>
      <c r="J2063" s="55"/>
      <c r="K2063" s="55"/>
      <c r="L2063" s="55"/>
      <c r="M2063" s="53" t="s">
        <v>1212</v>
      </c>
      <c r="N2063" s="55">
        <v>4247752</v>
      </c>
      <c r="O2063" s="55">
        <v>7094</v>
      </c>
    </row>
    <row r="2064" spans="1:21">
      <c r="A2064" s="47">
        <v>32927371</v>
      </c>
      <c r="B2064" s="46" t="s">
        <v>5381</v>
      </c>
      <c r="C2064" s="52" t="s">
        <v>527</v>
      </c>
      <c r="D2064" s="48" t="s">
        <v>52</v>
      </c>
      <c r="E2064" s="49" t="str">
        <f t="shared" ca="1" si="77"/>
        <v/>
      </c>
      <c r="F2064" s="50" t="s">
        <v>5382</v>
      </c>
      <c r="G2064" s="51" t="s">
        <v>141</v>
      </c>
      <c r="H2064" s="52" t="s">
        <v>52</v>
      </c>
      <c r="I2064" s="52" t="s">
        <v>5304</v>
      </c>
      <c r="J2064" s="46" t="s">
        <v>5352</v>
      </c>
      <c r="K2064" s="46" t="s">
        <v>81</v>
      </c>
      <c r="L2064" s="46" t="s">
        <v>52</v>
      </c>
      <c r="M2064" s="53" t="s">
        <v>5383</v>
      </c>
      <c r="N2064" s="55" t="s">
        <v>5354</v>
      </c>
      <c r="O2064" s="55" t="s">
        <v>52</v>
      </c>
      <c r="P2064" s="46" t="s">
        <v>59</v>
      </c>
      <c r="Q2064" s="46" t="s">
        <v>60</v>
      </c>
      <c r="R2064" s="46" t="s">
        <v>61</v>
      </c>
      <c r="S2064" s="46" t="s">
        <v>62</v>
      </c>
      <c r="T2064" s="46" t="s">
        <v>12</v>
      </c>
      <c r="U2064" s="46" t="s">
        <v>63</v>
      </c>
    </row>
    <row r="2065" spans="1:21">
      <c r="A2065" s="66">
        <v>32927374</v>
      </c>
      <c r="B2065" s="67" t="s">
        <v>47</v>
      </c>
      <c r="C2065" s="52" t="s">
        <v>51</v>
      </c>
      <c r="D2065" s="48" t="s">
        <v>52</v>
      </c>
      <c r="E2065" s="49" t="str">
        <f t="shared" ca="1" si="77"/>
        <v/>
      </c>
      <c r="F2065" s="57" t="s">
        <v>53</v>
      </c>
      <c r="G2065" s="51" t="s">
        <v>54</v>
      </c>
      <c r="H2065" s="52" t="s">
        <v>52</v>
      </c>
      <c r="I2065" s="52" t="s">
        <v>55</v>
      </c>
      <c r="J2065" s="46" t="s">
        <v>56</v>
      </c>
      <c r="K2065" s="46" t="s">
        <v>57</v>
      </c>
      <c r="L2065" s="46" t="s">
        <v>52</v>
      </c>
      <c r="M2065" s="58" t="s">
        <v>58</v>
      </c>
      <c r="N2065" s="55" t="s">
        <v>52</v>
      </c>
      <c r="O2065" s="55" t="s">
        <v>52</v>
      </c>
      <c r="P2065" s="46" t="s">
        <v>59</v>
      </c>
      <c r="Q2065" s="46" t="s">
        <v>60</v>
      </c>
      <c r="R2065" s="46" t="s">
        <v>61</v>
      </c>
      <c r="S2065" s="46" t="s">
        <v>62</v>
      </c>
      <c r="T2065" s="46" t="s">
        <v>12</v>
      </c>
      <c r="U2065" s="46" t="s">
        <v>63</v>
      </c>
    </row>
    <row r="2066" spans="1:21">
      <c r="A2066" s="47">
        <v>32927634</v>
      </c>
      <c r="B2066" s="46" t="s">
        <v>2283</v>
      </c>
      <c r="C2066" s="52" t="s">
        <v>2286</v>
      </c>
      <c r="D2066" s="48">
        <v>31952</v>
      </c>
      <c r="E2066" s="49">
        <f t="shared" ca="1" si="77"/>
        <v>39.017111567419576</v>
      </c>
      <c r="F2066" s="50">
        <v>154956905</v>
      </c>
      <c r="G2066" s="51" t="s">
        <v>23</v>
      </c>
      <c r="I2066" s="52" t="s">
        <v>1881</v>
      </c>
      <c r="J2066" s="55" t="s">
        <v>2002</v>
      </c>
      <c r="K2066" s="55"/>
      <c r="L2066" s="55"/>
      <c r="M2066" s="53" t="s">
        <v>2287</v>
      </c>
      <c r="N2066" s="55"/>
      <c r="O2066" s="55"/>
    </row>
    <row r="2067" spans="1:21">
      <c r="A2067" s="47">
        <v>32927760</v>
      </c>
      <c r="B2067" s="46" t="s">
        <v>1913</v>
      </c>
      <c r="C2067" s="46" t="s">
        <v>1914</v>
      </c>
      <c r="D2067" s="48">
        <v>31971</v>
      </c>
      <c r="E2067" s="49">
        <f t="shared" ca="1" si="77"/>
        <v>38.965092402464066</v>
      </c>
      <c r="F2067" s="50">
        <v>153525325</v>
      </c>
      <c r="G2067" s="51" t="s">
        <v>141</v>
      </c>
      <c r="I2067" s="52" t="s">
        <v>1881</v>
      </c>
      <c r="J2067" s="46" t="s">
        <v>1915</v>
      </c>
      <c r="M2067" s="53" t="s">
        <v>1916</v>
      </c>
      <c r="N2067" s="46">
        <v>4107576</v>
      </c>
      <c r="O2067" s="46">
        <v>7576</v>
      </c>
    </row>
    <row r="2068" spans="1:21">
      <c r="A2068" s="47">
        <v>32927775</v>
      </c>
      <c r="B2068" s="46" t="s">
        <v>9397</v>
      </c>
      <c r="C2068" s="46" t="s">
        <v>9398</v>
      </c>
      <c r="D2068" s="48" t="s">
        <v>9399</v>
      </c>
      <c r="E2068" s="49" t="s">
        <v>9393</v>
      </c>
      <c r="F2068" s="50" t="s">
        <v>9400</v>
      </c>
      <c r="G2068" s="51" t="s">
        <v>141</v>
      </c>
      <c r="H2068" s="52" t="s">
        <v>9401</v>
      </c>
      <c r="I2068" s="52" t="s">
        <v>5761</v>
      </c>
      <c r="J2068" s="46" t="s">
        <v>9402</v>
      </c>
      <c r="K2068" s="46" t="s">
        <v>81</v>
      </c>
      <c r="L2068" s="46" t="s">
        <v>546</v>
      </c>
      <c r="M2068" s="52" t="s">
        <v>9403</v>
      </c>
      <c r="N2068" s="46" t="s">
        <v>52</v>
      </c>
      <c r="O2068" s="46" t="s">
        <v>52</v>
      </c>
      <c r="P2068" s="46" t="s">
        <v>59</v>
      </c>
      <c r="Q2068" s="46" t="s">
        <v>60</v>
      </c>
      <c r="R2068" s="46" t="s">
        <v>61</v>
      </c>
      <c r="S2068" s="46" t="s">
        <v>62</v>
      </c>
      <c r="T2068" s="46" t="s">
        <v>12</v>
      </c>
      <c r="U2068" s="46" t="s">
        <v>63</v>
      </c>
    </row>
    <row r="2069" spans="1:21">
      <c r="A2069" s="60">
        <v>32927840</v>
      </c>
      <c r="B2069" s="61" t="s">
        <v>1512</v>
      </c>
      <c r="C2069" s="62" t="s">
        <v>6056</v>
      </c>
      <c r="D2069" s="48" t="s">
        <v>52</v>
      </c>
      <c r="E2069" s="49" t="str">
        <f t="shared" ref="E2069:E2081" ca="1" si="78">IF(D2069="","",YEARFRAC(D2069,TODAY(),1))</f>
        <v/>
      </c>
      <c r="F2069" s="63" t="s">
        <v>6057</v>
      </c>
      <c r="G2069" s="51" t="s">
        <v>70</v>
      </c>
      <c r="H2069" s="52" t="s">
        <v>6058</v>
      </c>
      <c r="I2069" s="52" t="s">
        <v>2659</v>
      </c>
      <c r="J2069" s="61" t="s">
        <v>2264</v>
      </c>
      <c r="K2069" s="61" t="s">
        <v>81</v>
      </c>
      <c r="L2069" s="61" t="s">
        <v>52</v>
      </c>
      <c r="M2069" s="53" t="s">
        <v>6059</v>
      </c>
      <c r="N2069" s="55" t="s">
        <v>52</v>
      </c>
      <c r="O2069" s="55" t="s">
        <v>52</v>
      </c>
      <c r="P2069" s="46" t="s">
        <v>59</v>
      </c>
      <c r="Q2069" s="46" t="s">
        <v>60</v>
      </c>
      <c r="R2069" s="46" t="s">
        <v>61</v>
      </c>
      <c r="S2069" s="46" t="s">
        <v>62</v>
      </c>
      <c r="T2069" s="46" t="s">
        <v>12</v>
      </c>
      <c r="U2069" s="46" t="s">
        <v>63</v>
      </c>
    </row>
    <row r="2070" spans="1:21">
      <c r="A2070" s="47">
        <v>32927862</v>
      </c>
      <c r="B2070" s="46" t="s">
        <v>4269</v>
      </c>
      <c r="C2070" s="46" t="s">
        <v>4270</v>
      </c>
      <c r="D2070" s="48">
        <v>31961</v>
      </c>
      <c r="E2070" s="49">
        <f t="shared" ca="1" si="78"/>
        <v>38.992470910335385</v>
      </c>
      <c r="F2070" s="50">
        <v>154442979</v>
      </c>
      <c r="G2070" s="51" t="s">
        <v>23</v>
      </c>
      <c r="I2070" s="52" t="s">
        <v>4245</v>
      </c>
      <c r="J2070" s="46" t="s">
        <v>38</v>
      </c>
      <c r="M2070" s="53" t="s">
        <v>4271</v>
      </c>
      <c r="N2070" s="46">
        <v>4247752</v>
      </c>
      <c r="O2070" s="46">
        <v>7049</v>
      </c>
    </row>
    <row r="2071" spans="1:21">
      <c r="A2071" s="47">
        <v>32927909</v>
      </c>
      <c r="B2071" s="46" t="s">
        <v>4400</v>
      </c>
      <c r="C2071" s="55" t="s">
        <v>1871</v>
      </c>
      <c r="D2071" s="48">
        <v>31971</v>
      </c>
      <c r="E2071" s="49">
        <f t="shared" ca="1" si="78"/>
        <v>38.965092402464066</v>
      </c>
      <c r="F2071" s="50">
        <v>1138405359</v>
      </c>
      <c r="G2071" s="51" t="s">
        <v>86</v>
      </c>
      <c r="I2071" s="52" t="s">
        <v>4245</v>
      </c>
      <c r="J2071" s="55" t="s">
        <v>809</v>
      </c>
      <c r="K2071" s="55"/>
      <c r="L2071" s="55"/>
      <c r="M2071" s="53" t="s">
        <v>4401</v>
      </c>
      <c r="N2071" s="55">
        <v>4227052</v>
      </c>
      <c r="O2071" s="55">
        <v>7021</v>
      </c>
    </row>
    <row r="2072" spans="1:21">
      <c r="A2072" s="47">
        <v>32936633</v>
      </c>
      <c r="B2072" s="46" t="s">
        <v>1823</v>
      </c>
      <c r="C2072" s="46" t="s">
        <v>4048</v>
      </c>
      <c r="D2072" s="48">
        <v>31784</v>
      </c>
      <c r="E2072" s="49">
        <f t="shared" ca="1" si="78"/>
        <v>39.477070499657771</v>
      </c>
      <c r="F2072" s="50">
        <v>154752293</v>
      </c>
      <c r="G2072" s="51" t="s">
        <v>70</v>
      </c>
      <c r="I2072" s="52" t="s">
        <v>3999</v>
      </c>
      <c r="J2072" s="46" t="s">
        <v>224</v>
      </c>
      <c r="M2072" s="53" t="s">
        <v>4049</v>
      </c>
      <c r="N2072" s="46">
        <v>4220751</v>
      </c>
    </row>
    <row r="2073" spans="1:21">
      <c r="A2073" s="47">
        <v>32966022</v>
      </c>
      <c r="B2073" s="46" t="s">
        <v>1108</v>
      </c>
      <c r="C2073" s="52" t="s">
        <v>1109</v>
      </c>
      <c r="D2073" s="48">
        <v>31899</v>
      </c>
      <c r="E2073" s="49">
        <f t="shared" ca="1" si="78"/>
        <v>39.162217659137575</v>
      </c>
      <c r="F2073" s="50">
        <v>154181808</v>
      </c>
      <c r="G2073" s="51" t="s">
        <v>23</v>
      </c>
      <c r="I2073" s="59" t="s">
        <v>908</v>
      </c>
      <c r="J2073" s="46" t="s">
        <v>1110</v>
      </c>
      <c r="M2073" s="53" t="s">
        <v>1111</v>
      </c>
      <c r="N2073" s="55"/>
      <c r="O2073" s="55"/>
    </row>
    <row r="2074" spans="1:21">
      <c r="A2074" s="47">
        <v>33049000</v>
      </c>
      <c r="B2074" s="46" t="s">
        <v>1700</v>
      </c>
      <c r="C2074" s="52" t="s">
        <v>1701</v>
      </c>
      <c r="D2074" s="48">
        <v>32069</v>
      </c>
      <c r="E2074" s="49">
        <f t="shared" ca="1" si="78"/>
        <v>38.696783025325118</v>
      </c>
      <c r="F2074" s="50">
        <v>153006771</v>
      </c>
      <c r="G2074" s="51" t="s">
        <v>23</v>
      </c>
      <c r="I2074" s="52" t="s">
        <v>1657</v>
      </c>
      <c r="J2074" s="46" t="s">
        <v>1088</v>
      </c>
      <c r="M2074" s="53" t="s">
        <v>1702</v>
      </c>
      <c r="N2074" s="55"/>
      <c r="O2074" s="55"/>
    </row>
    <row r="2075" spans="1:21">
      <c r="A2075" s="47">
        <v>33050022</v>
      </c>
      <c r="B2075" s="46" t="s">
        <v>3474</v>
      </c>
      <c r="C2075" s="46" t="s">
        <v>3916</v>
      </c>
      <c r="D2075" s="48" t="s">
        <v>52</v>
      </c>
      <c r="E2075" s="49" t="str">
        <f t="shared" ca="1" si="78"/>
        <v/>
      </c>
      <c r="F2075" s="50" t="s">
        <v>3917</v>
      </c>
      <c r="G2075" s="51" t="s">
        <v>141</v>
      </c>
      <c r="H2075" s="52" t="s">
        <v>52</v>
      </c>
      <c r="I2075" s="52" t="s">
        <v>3630</v>
      </c>
      <c r="J2075" s="46" t="s">
        <v>3918</v>
      </c>
      <c r="K2075" s="46" t="s">
        <v>1206</v>
      </c>
      <c r="L2075" s="46" t="s">
        <v>52</v>
      </c>
      <c r="M2075" s="52" t="s">
        <v>3919</v>
      </c>
      <c r="N2075" s="46" t="s">
        <v>3920</v>
      </c>
      <c r="O2075" s="46" t="s">
        <v>52</v>
      </c>
      <c r="P2075" s="46" t="s">
        <v>59</v>
      </c>
      <c r="Q2075" s="46" t="s">
        <v>60</v>
      </c>
      <c r="R2075" s="46" t="s">
        <v>61</v>
      </c>
      <c r="S2075" s="46" t="s">
        <v>62</v>
      </c>
      <c r="T2075" s="46" t="s">
        <v>12</v>
      </c>
      <c r="U2075" s="46" t="s">
        <v>63</v>
      </c>
    </row>
    <row r="2076" spans="1:21">
      <c r="A2076" s="47">
        <v>33050519</v>
      </c>
      <c r="B2076" s="46" t="s">
        <v>377</v>
      </c>
      <c r="C2076" s="46" t="s">
        <v>876</v>
      </c>
      <c r="D2076" s="48">
        <v>31934</v>
      </c>
      <c r="E2076" s="49">
        <f t="shared" ca="1" si="78"/>
        <v>39.066392881587952</v>
      </c>
      <c r="G2076" s="51" t="s">
        <v>141</v>
      </c>
      <c r="I2076" s="52" t="s">
        <v>3127</v>
      </c>
      <c r="J2076" s="55" t="s">
        <v>234</v>
      </c>
      <c r="K2076" s="55"/>
      <c r="L2076" s="55"/>
      <c r="M2076" s="53" t="s">
        <v>3148</v>
      </c>
      <c r="N2076" s="55">
        <v>4313692</v>
      </c>
      <c r="O2076" s="55"/>
      <c r="P2076" s="55"/>
    </row>
    <row r="2077" spans="1:21">
      <c r="A2077" s="47">
        <v>33050608</v>
      </c>
      <c r="B2077" s="46" t="s">
        <v>760</v>
      </c>
      <c r="C2077" s="46" t="s">
        <v>6430</v>
      </c>
      <c r="D2077" s="48" t="s">
        <v>52</v>
      </c>
      <c r="E2077" s="49" t="str">
        <f t="shared" ca="1" si="78"/>
        <v/>
      </c>
      <c r="F2077" s="50" t="s">
        <v>6431</v>
      </c>
      <c r="G2077" s="51" t="s">
        <v>70</v>
      </c>
      <c r="H2077" s="52" t="s">
        <v>52</v>
      </c>
      <c r="I2077" s="52" t="s">
        <v>2659</v>
      </c>
      <c r="J2077" s="46" t="s">
        <v>52</v>
      </c>
      <c r="K2077" s="46" t="s">
        <v>81</v>
      </c>
      <c r="L2077" s="46" t="s">
        <v>52</v>
      </c>
      <c r="M2077" s="53" t="s">
        <v>6432</v>
      </c>
      <c r="N2077" s="46" t="s">
        <v>52</v>
      </c>
      <c r="O2077" s="46" t="s">
        <v>52</v>
      </c>
      <c r="P2077" s="46" t="s">
        <v>59</v>
      </c>
      <c r="Q2077" s="46" t="s">
        <v>60</v>
      </c>
      <c r="R2077" s="46" t="s">
        <v>61</v>
      </c>
      <c r="S2077" s="46" t="s">
        <v>62</v>
      </c>
      <c r="T2077" s="46" t="s">
        <v>12</v>
      </c>
      <c r="U2077" s="46" t="s">
        <v>63</v>
      </c>
    </row>
    <row r="2078" spans="1:21">
      <c r="A2078" s="47">
        <v>33050647</v>
      </c>
      <c r="B2078" s="46" t="s">
        <v>2579</v>
      </c>
      <c r="C2078" s="52" t="s">
        <v>223</v>
      </c>
      <c r="D2078" s="48" t="s">
        <v>2582</v>
      </c>
      <c r="E2078" s="49">
        <f t="shared" ca="1" si="78"/>
        <v>39.09924709103354</v>
      </c>
      <c r="F2078" s="50" t="s">
        <v>2583</v>
      </c>
      <c r="G2078" s="51" t="s">
        <v>70</v>
      </c>
      <c r="H2078" s="52" t="s">
        <v>568</v>
      </c>
      <c r="I2078" s="59" t="s">
        <v>908</v>
      </c>
      <c r="J2078" s="46" t="s">
        <v>2584</v>
      </c>
      <c r="K2078" s="46" t="s">
        <v>81</v>
      </c>
      <c r="L2078" s="46" t="s">
        <v>52</v>
      </c>
      <c r="M2078" s="53" t="s">
        <v>2585</v>
      </c>
      <c r="N2078" s="55" t="s">
        <v>2458</v>
      </c>
      <c r="O2078" s="55" t="s">
        <v>2459</v>
      </c>
      <c r="P2078" s="46" t="s">
        <v>59</v>
      </c>
      <c r="Q2078" s="46" t="s">
        <v>60</v>
      </c>
      <c r="R2078" s="46" t="s">
        <v>61</v>
      </c>
      <c r="S2078" s="46" t="s">
        <v>62</v>
      </c>
      <c r="T2078" s="46" t="s">
        <v>12</v>
      </c>
      <c r="U2078" s="46" t="s">
        <v>63</v>
      </c>
    </row>
    <row r="2079" spans="1:21">
      <c r="A2079" s="47">
        <v>33050768</v>
      </c>
      <c r="B2079" s="46" t="s">
        <v>4062</v>
      </c>
      <c r="C2079" s="52" t="s">
        <v>4063</v>
      </c>
      <c r="D2079" s="48">
        <v>31951</v>
      </c>
      <c r="E2079" s="49">
        <f t="shared" ca="1" si="78"/>
        <v>39.019849418206711</v>
      </c>
      <c r="G2079" s="51" t="s">
        <v>23</v>
      </c>
      <c r="I2079" s="52" t="s">
        <v>3999</v>
      </c>
      <c r="M2079" s="53" t="s">
        <v>4064</v>
      </c>
      <c r="N2079" s="55">
        <v>4220767</v>
      </c>
      <c r="O2079" s="55"/>
    </row>
    <row r="2080" spans="1:21">
      <c r="A2080" s="47">
        <v>33050770</v>
      </c>
      <c r="B2080" s="46" t="s">
        <v>2714</v>
      </c>
      <c r="C2080" s="46" t="s">
        <v>178</v>
      </c>
      <c r="E2080" s="49" t="str">
        <f t="shared" ca="1" si="78"/>
        <v/>
      </c>
      <c r="F2080" s="50">
        <v>156000455</v>
      </c>
      <c r="G2080" s="51" t="s">
        <v>23</v>
      </c>
      <c r="I2080" s="52" t="s">
        <v>2713</v>
      </c>
      <c r="M2080" s="53" t="s">
        <v>104</v>
      </c>
      <c r="N2080" s="46">
        <v>4242464</v>
      </c>
      <c r="O2080" s="46">
        <v>35</v>
      </c>
    </row>
    <row r="2081" spans="1:21">
      <c r="A2081" s="47">
        <v>33091069</v>
      </c>
      <c r="B2081" s="46" t="s">
        <v>267</v>
      </c>
      <c r="C2081" s="46" t="s">
        <v>1756</v>
      </c>
      <c r="D2081" s="48" t="s">
        <v>1757</v>
      </c>
      <c r="E2081" s="49">
        <f t="shared" ca="1" si="78"/>
        <v>39.110198494182065</v>
      </c>
      <c r="F2081" s="50" t="s">
        <v>1758</v>
      </c>
      <c r="G2081" s="51" t="s">
        <v>141</v>
      </c>
      <c r="H2081" s="52" t="s">
        <v>52</v>
      </c>
      <c r="I2081" s="52" t="s">
        <v>1657</v>
      </c>
      <c r="J2081" s="46" t="s">
        <v>52</v>
      </c>
      <c r="K2081" s="46" t="s">
        <v>81</v>
      </c>
      <c r="L2081" s="46" t="s">
        <v>546</v>
      </c>
      <c r="M2081" s="53" t="s">
        <v>1759</v>
      </c>
      <c r="N2081" s="46" t="s">
        <v>1760</v>
      </c>
      <c r="O2081" s="46" t="s">
        <v>1761</v>
      </c>
      <c r="P2081" s="46" t="s">
        <v>59</v>
      </c>
      <c r="Q2081" s="46" t="s">
        <v>60</v>
      </c>
      <c r="R2081" s="46" t="s">
        <v>61</v>
      </c>
      <c r="S2081" s="46" t="s">
        <v>62</v>
      </c>
      <c r="T2081" s="46" t="s">
        <v>12</v>
      </c>
      <c r="U2081" s="46" t="s">
        <v>63</v>
      </c>
    </row>
    <row r="2082" spans="1:21">
      <c r="A2082" s="47">
        <v>33091157</v>
      </c>
      <c r="B2082" s="46" t="s">
        <v>9692</v>
      </c>
      <c r="C2082" s="46" t="s">
        <v>9693</v>
      </c>
      <c r="D2082" s="48" t="s">
        <v>9694</v>
      </c>
      <c r="E2082" s="49" t="s">
        <v>9695</v>
      </c>
      <c r="F2082" s="50" t="s">
        <v>9696</v>
      </c>
      <c r="G2082" s="51" t="s">
        <v>141</v>
      </c>
      <c r="H2082" s="52" t="s">
        <v>52</v>
      </c>
      <c r="I2082" s="52" t="s">
        <v>24</v>
      </c>
      <c r="J2082" s="46" t="s">
        <v>3972</v>
      </c>
      <c r="K2082" s="46" t="s">
        <v>81</v>
      </c>
      <c r="L2082" s="46" t="s">
        <v>546</v>
      </c>
      <c r="M2082" s="52" t="s">
        <v>9697</v>
      </c>
      <c r="N2082" s="46" t="s">
        <v>52</v>
      </c>
      <c r="O2082" s="46" t="s">
        <v>52</v>
      </c>
      <c r="P2082" s="46" t="s">
        <v>59</v>
      </c>
      <c r="Q2082" s="46" t="s">
        <v>60</v>
      </c>
      <c r="R2082" s="46" t="s">
        <v>61</v>
      </c>
      <c r="S2082" s="46" t="s">
        <v>62</v>
      </c>
      <c r="T2082" s="46" t="s">
        <v>12</v>
      </c>
      <c r="U2082" s="46" t="s">
        <v>63</v>
      </c>
    </row>
    <row r="2083" spans="1:21">
      <c r="A2083" s="47">
        <v>33091683</v>
      </c>
      <c r="B2083" s="46" t="s">
        <v>4991</v>
      </c>
      <c r="C2083" s="55" t="s">
        <v>4992</v>
      </c>
      <c r="D2083" s="48">
        <v>30022</v>
      </c>
      <c r="E2083" s="49">
        <f ca="1">IF(D2083="","",YEARFRAC(D2083,TODAY(),1))</f>
        <v>44.301837430031632</v>
      </c>
      <c r="F2083" s="50">
        <v>156094094</v>
      </c>
      <c r="G2083" s="51" t="s">
        <v>86</v>
      </c>
      <c r="I2083" s="65" t="s">
        <v>4954</v>
      </c>
      <c r="J2083" s="55"/>
      <c r="K2083" s="55"/>
      <c r="L2083" s="55"/>
      <c r="M2083" s="53" t="s">
        <v>4993</v>
      </c>
      <c r="N2083" s="55">
        <v>4526344</v>
      </c>
      <c r="O2083" s="55">
        <v>7103</v>
      </c>
    </row>
    <row r="2084" spans="1:21">
      <c r="A2084" s="47">
        <v>33099488</v>
      </c>
      <c r="B2084" s="46" t="s">
        <v>1554</v>
      </c>
      <c r="C2084" s="46" t="s">
        <v>5640</v>
      </c>
      <c r="D2084" s="48">
        <v>32175</v>
      </c>
      <c r="E2084" s="49">
        <f ca="1">IF(D2084="","",YEARFRAC(D2084,TODAY(),1))</f>
        <v>38.405896805896802</v>
      </c>
      <c r="F2084" s="50">
        <v>3858401941</v>
      </c>
      <c r="G2084" s="51" t="s">
        <v>70</v>
      </c>
      <c r="I2084" s="52" t="s">
        <v>5494</v>
      </c>
      <c r="J2084" s="46" t="s">
        <v>5641</v>
      </c>
      <c r="M2084" s="53" t="s">
        <v>5642</v>
      </c>
    </row>
    <row r="2085" spans="1:21">
      <c r="A2085" s="74">
        <v>33139225</v>
      </c>
      <c r="B2085" s="241" t="s">
        <v>8856</v>
      </c>
      <c r="C2085" s="234" t="s">
        <v>9889</v>
      </c>
      <c r="D2085" s="235">
        <v>31972</v>
      </c>
      <c r="E2085" s="236"/>
      <c r="F2085" s="237">
        <v>3816091904</v>
      </c>
      <c r="G2085" s="234" t="s">
        <v>141</v>
      </c>
      <c r="H2085" s="238" t="s">
        <v>9960</v>
      </c>
      <c r="I2085" s="265" t="s">
        <v>24</v>
      </c>
      <c r="J2085" s="234" t="s">
        <v>9996</v>
      </c>
      <c r="K2085" s="234" t="s">
        <v>2002</v>
      </c>
      <c r="L2085" s="234"/>
      <c r="M2085" s="238" t="s">
        <v>269</v>
      </c>
      <c r="N2085" s="234"/>
      <c r="O2085" s="234"/>
      <c r="P2085" s="234"/>
      <c r="Q2085" s="234"/>
      <c r="R2085" s="234"/>
      <c r="S2085" s="234"/>
      <c r="T2085" s="234"/>
      <c r="U2085" s="234"/>
    </row>
    <row r="2086" spans="1:21">
      <c r="A2086" s="47">
        <v>33139281</v>
      </c>
      <c r="B2086" s="46" t="s">
        <v>1549</v>
      </c>
      <c r="C2086" s="46" t="s">
        <v>5079</v>
      </c>
      <c r="D2086" s="48">
        <v>31971</v>
      </c>
      <c r="E2086" s="49">
        <f ca="1">IF(D2086="","",YEARFRAC(D2086,TODAY(),1))</f>
        <v>38.965092402464066</v>
      </c>
      <c r="F2086" s="50">
        <v>156391895</v>
      </c>
      <c r="G2086" s="51" t="s">
        <v>86</v>
      </c>
      <c r="I2086" s="65" t="s">
        <v>4954</v>
      </c>
      <c r="J2086" s="46" t="s">
        <v>5080</v>
      </c>
      <c r="M2086" s="53" t="s">
        <v>5081</v>
      </c>
      <c r="N2086" s="46">
        <v>4201589</v>
      </c>
      <c r="O2086" s="46">
        <v>21</v>
      </c>
      <c r="P2086" s="46">
        <v>3</v>
      </c>
    </row>
    <row r="2087" spans="1:21">
      <c r="A2087" s="47">
        <v>33147683</v>
      </c>
      <c r="B2087" s="46" t="s">
        <v>1660</v>
      </c>
      <c r="C2087" s="46" t="s">
        <v>1661</v>
      </c>
      <c r="D2087" s="48">
        <v>32240</v>
      </c>
      <c r="E2087" s="49">
        <f ca="1">IF(D2087="","",YEARFRAC(D2087,TODAY(),1))</f>
        <v>38.227939627939627</v>
      </c>
      <c r="F2087" s="50">
        <v>155758052</v>
      </c>
      <c r="G2087" s="51" t="s">
        <v>141</v>
      </c>
      <c r="I2087" s="52" t="s">
        <v>1657</v>
      </c>
      <c r="M2087" s="53" t="s">
        <v>1662</v>
      </c>
    </row>
    <row r="2088" spans="1:21">
      <c r="A2088" s="47">
        <v>33163397</v>
      </c>
      <c r="B2088" s="46" t="s">
        <v>2714</v>
      </c>
      <c r="C2088" s="46" t="s">
        <v>6473</v>
      </c>
      <c r="D2088" s="48" t="s">
        <v>52</v>
      </c>
      <c r="E2088" s="49" t="str">
        <f ca="1">IF(D2088="","",YEARFRAC(D2088,TODAY(),1))</f>
        <v/>
      </c>
      <c r="F2088" s="50" t="s">
        <v>6474</v>
      </c>
      <c r="G2088" s="51" t="s">
        <v>70</v>
      </c>
      <c r="H2088" s="52" t="s">
        <v>2650</v>
      </c>
      <c r="I2088" s="52" t="s">
        <v>23</v>
      </c>
      <c r="J2088" s="46" t="s">
        <v>52</v>
      </c>
      <c r="K2088" s="46" t="s">
        <v>52</v>
      </c>
      <c r="L2088" s="46" t="s">
        <v>546</v>
      </c>
      <c r="M2088" s="52" t="s">
        <v>6475</v>
      </c>
      <c r="N2088" s="46" t="s">
        <v>52</v>
      </c>
      <c r="O2088" s="46" t="s">
        <v>52</v>
      </c>
      <c r="P2088" s="46" t="s">
        <v>59</v>
      </c>
      <c r="Q2088" s="46" t="s">
        <v>60</v>
      </c>
      <c r="R2088" s="46" t="s">
        <v>61</v>
      </c>
      <c r="S2088" s="46" t="s">
        <v>62</v>
      </c>
      <c r="T2088" s="46" t="s">
        <v>12</v>
      </c>
      <c r="U2088" s="46" t="s">
        <v>63</v>
      </c>
    </row>
    <row r="2089" spans="1:21">
      <c r="A2089" s="47">
        <v>33163547</v>
      </c>
      <c r="B2089" s="46" t="s">
        <v>9768</v>
      </c>
      <c r="C2089" s="46" t="s">
        <v>9769</v>
      </c>
      <c r="D2089" s="48" t="s">
        <v>9770</v>
      </c>
      <c r="E2089" s="49" t="s">
        <v>9393</v>
      </c>
      <c r="F2089" s="50" t="s">
        <v>9771</v>
      </c>
      <c r="G2089" s="51" t="s">
        <v>70</v>
      </c>
      <c r="H2089" s="52" t="s">
        <v>9761</v>
      </c>
      <c r="I2089" s="52" t="s">
        <v>908</v>
      </c>
      <c r="J2089" s="46" t="s">
        <v>9772</v>
      </c>
      <c r="K2089" s="46" t="s">
        <v>112</v>
      </c>
      <c r="L2089" s="46" t="s">
        <v>546</v>
      </c>
      <c r="M2089" s="52" t="s">
        <v>9773</v>
      </c>
      <c r="N2089" s="46" t="s">
        <v>52</v>
      </c>
      <c r="O2089" s="46" t="s">
        <v>52</v>
      </c>
      <c r="P2089" s="46" t="s">
        <v>59</v>
      </c>
      <c r="Q2089" s="46" t="s">
        <v>60</v>
      </c>
      <c r="R2089" s="46" t="s">
        <v>61</v>
      </c>
      <c r="S2089" s="46" t="s">
        <v>62</v>
      </c>
      <c r="T2089" s="46" t="s">
        <v>12</v>
      </c>
      <c r="U2089" s="46" t="s">
        <v>63</v>
      </c>
    </row>
    <row r="2090" spans="1:21">
      <c r="A2090" s="47">
        <v>33163552</v>
      </c>
      <c r="B2090" s="46" t="s">
        <v>190</v>
      </c>
      <c r="C2090" s="52" t="s">
        <v>743</v>
      </c>
      <c r="D2090" s="48" t="s">
        <v>52</v>
      </c>
      <c r="E2090" s="49" t="str">
        <f t="shared" ref="E2090:E2105" ca="1" si="79">IF(D2090="","",YEARFRAC(D2090,TODAY(),1))</f>
        <v/>
      </c>
      <c r="F2090" s="50" t="s">
        <v>3696</v>
      </c>
      <c r="G2090" s="51" t="s">
        <v>70</v>
      </c>
      <c r="H2090" s="52" t="s">
        <v>52</v>
      </c>
      <c r="I2090" s="52" t="s">
        <v>3630</v>
      </c>
      <c r="J2090" s="46" t="s">
        <v>52</v>
      </c>
      <c r="K2090" s="46" t="s">
        <v>81</v>
      </c>
      <c r="L2090" s="46" t="s">
        <v>52</v>
      </c>
      <c r="M2090" s="53" t="s">
        <v>3697</v>
      </c>
      <c r="N2090" s="55" t="s">
        <v>52</v>
      </c>
      <c r="O2090" s="55" t="s">
        <v>52</v>
      </c>
      <c r="P2090" s="46" t="s">
        <v>59</v>
      </c>
      <c r="Q2090" s="46" t="s">
        <v>60</v>
      </c>
      <c r="R2090" s="46" t="s">
        <v>61</v>
      </c>
      <c r="S2090" s="46" t="s">
        <v>62</v>
      </c>
      <c r="T2090" s="46" t="s">
        <v>12</v>
      </c>
      <c r="U2090" s="46" t="s">
        <v>63</v>
      </c>
    </row>
    <row r="2091" spans="1:21">
      <c r="A2091" s="47">
        <v>33163558</v>
      </c>
      <c r="B2091" s="46" t="s">
        <v>190</v>
      </c>
      <c r="C2091" s="46" t="s">
        <v>743</v>
      </c>
      <c r="D2091" s="48">
        <v>32088</v>
      </c>
      <c r="E2091" s="49">
        <f t="shared" ca="1" si="79"/>
        <v>38.644763860369608</v>
      </c>
      <c r="F2091" s="50">
        <v>155455904</v>
      </c>
      <c r="G2091" s="51" t="s">
        <v>23</v>
      </c>
      <c r="I2091" s="52" t="s">
        <v>3630</v>
      </c>
      <c r="J2091" s="46" t="s">
        <v>38</v>
      </c>
      <c r="M2091" s="53" t="s">
        <v>3698</v>
      </c>
      <c r="N2091" s="46">
        <v>4847361</v>
      </c>
      <c r="O2091" s="46">
        <v>7463</v>
      </c>
    </row>
    <row r="2092" spans="1:21">
      <c r="A2092" s="47">
        <v>33163754</v>
      </c>
      <c r="B2092" s="46" t="s">
        <v>3348</v>
      </c>
      <c r="C2092" s="55" t="s">
        <v>3349</v>
      </c>
      <c r="D2092" s="48">
        <v>32090</v>
      </c>
      <c r="E2092" s="49">
        <f t="shared" ca="1" si="79"/>
        <v>38.639288158795345</v>
      </c>
      <c r="F2092" s="50">
        <v>156015543</v>
      </c>
      <c r="G2092" s="51" t="s">
        <v>23</v>
      </c>
      <c r="I2092" s="52" t="s">
        <v>3327</v>
      </c>
      <c r="J2092" s="55" t="s">
        <v>3350</v>
      </c>
      <c r="K2092" s="55"/>
      <c r="L2092" s="55"/>
      <c r="M2092" s="53" t="s">
        <v>3351</v>
      </c>
      <c r="N2092" s="55">
        <v>4353681</v>
      </c>
      <c r="O2092" s="55">
        <v>111</v>
      </c>
    </row>
    <row r="2093" spans="1:21">
      <c r="A2093" s="47">
        <v>33236192</v>
      </c>
      <c r="B2093" s="46" t="s">
        <v>326</v>
      </c>
      <c r="C2093" s="52" t="s">
        <v>2830</v>
      </c>
      <c r="D2093" s="48">
        <v>32134</v>
      </c>
      <c r="E2093" s="49">
        <f t="shared" ca="1" si="79"/>
        <v>38.518822724161531</v>
      </c>
      <c r="F2093" s="50">
        <v>155464358</v>
      </c>
      <c r="G2093" s="51" t="s">
        <v>23</v>
      </c>
      <c r="I2093" s="52" t="s">
        <v>2926</v>
      </c>
      <c r="J2093" s="46" t="s">
        <v>1088</v>
      </c>
      <c r="M2093" s="53" t="s">
        <v>3012</v>
      </c>
      <c r="N2093" s="55"/>
      <c r="O2093" s="55"/>
    </row>
    <row r="2094" spans="1:21">
      <c r="A2094" s="47">
        <v>33332235</v>
      </c>
      <c r="B2094" s="46" t="s">
        <v>144</v>
      </c>
      <c r="C2094" s="46" t="s">
        <v>5860</v>
      </c>
      <c r="D2094" s="48" t="s">
        <v>52</v>
      </c>
      <c r="E2094" s="49" t="str">
        <f t="shared" ca="1" si="79"/>
        <v/>
      </c>
      <c r="F2094" s="50" t="s">
        <v>5861</v>
      </c>
      <c r="G2094" s="51" t="s">
        <v>78</v>
      </c>
      <c r="H2094" s="52" t="s">
        <v>5862</v>
      </c>
      <c r="I2094" s="52" t="s">
        <v>5863</v>
      </c>
      <c r="J2094" s="46" t="s">
        <v>800</v>
      </c>
      <c r="K2094" s="46" t="s">
        <v>52</v>
      </c>
      <c r="L2094" s="46" t="s">
        <v>52</v>
      </c>
      <c r="M2094" s="53" t="s">
        <v>5864</v>
      </c>
      <c r="N2094" s="46" t="s">
        <v>5865</v>
      </c>
      <c r="O2094" s="46" t="s">
        <v>52</v>
      </c>
      <c r="P2094" s="46" t="s">
        <v>59</v>
      </c>
      <c r="Q2094" s="46" t="s">
        <v>60</v>
      </c>
      <c r="R2094" s="46" t="s">
        <v>61</v>
      </c>
      <c r="S2094" s="46" t="s">
        <v>62</v>
      </c>
      <c r="T2094" s="46" t="s">
        <v>12</v>
      </c>
      <c r="U2094" s="46" t="s">
        <v>63</v>
      </c>
    </row>
    <row r="2095" spans="1:21">
      <c r="A2095" s="47">
        <v>33332352</v>
      </c>
      <c r="B2095" s="46" t="s">
        <v>6077</v>
      </c>
      <c r="C2095" s="46" t="s">
        <v>178</v>
      </c>
      <c r="E2095" s="49" t="str">
        <f t="shared" ca="1" si="79"/>
        <v/>
      </c>
      <c r="F2095" s="50">
        <v>155423849</v>
      </c>
      <c r="G2095" s="51" t="s">
        <v>23</v>
      </c>
      <c r="I2095" s="52" t="s">
        <v>23</v>
      </c>
      <c r="M2095" s="53" t="s">
        <v>6078</v>
      </c>
      <c r="N2095" s="46">
        <v>4107280</v>
      </c>
    </row>
    <row r="2096" spans="1:21">
      <c r="A2096" s="47">
        <v>33351566</v>
      </c>
      <c r="B2096" s="46" t="s">
        <v>195</v>
      </c>
      <c r="C2096" s="46" t="s">
        <v>4295</v>
      </c>
      <c r="D2096" s="48">
        <v>32161</v>
      </c>
      <c r="E2096" s="49">
        <f t="shared" ca="1" si="79"/>
        <v>38.444226044226042</v>
      </c>
      <c r="F2096" s="50">
        <v>154788404</v>
      </c>
      <c r="G2096" s="51" t="s">
        <v>23</v>
      </c>
      <c r="I2096" s="52" t="s">
        <v>4245</v>
      </c>
      <c r="J2096" s="46" t="s">
        <v>4296</v>
      </c>
      <c r="M2096" s="53" t="s">
        <v>4297</v>
      </c>
    </row>
    <row r="2097" spans="1:21">
      <c r="A2097" s="47">
        <v>33352021</v>
      </c>
      <c r="B2097" s="46" t="s">
        <v>3364</v>
      </c>
      <c r="C2097" s="46" t="s">
        <v>416</v>
      </c>
      <c r="E2097" s="49" t="str">
        <f t="shared" ca="1" si="79"/>
        <v/>
      </c>
      <c r="F2097" s="50">
        <v>156445575</v>
      </c>
      <c r="G2097" s="51" t="s">
        <v>23</v>
      </c>
      <c r="I2097" s="52" t="s">
        <v>23</v>
      </c>
      <c r="M2097" s="53" t="s">
        <v>6188</v>
      </c>
    </row>
    <row r="2098" spans="1:21">
      <c r="A2098" s="47">
        <v>33374199</v>
      </c>
      <c r="B2098" s="46" t="s">
        <v>2576</v>
      </c>
      <c r="C2098" s="46" t="s">
        <v>3813</v>
      </c>
      <c r="D2098" s="48" t="s">
        <v>52</v>
      </c>
      <c r="E2098" s="49" t="str">
        <f t="shared" ca="1" si="79"/>
        <v/>
      </c>
      <c r="F2098" s="50" t="s">
        <v>3814</v>
      </c>
      <c r="G2098" s="51" t="s">
        <v>70</v>
      </c>
      <c r="H2098" s="52" t="s">
        <v>3815</v>
      </c>
      <c r="I2098" s="52" t="s">
        <v>3630</v>
      </c>
      <c r="J2098" s="46" t="s">
        <v>3816</v>
      </c>
      <c r="K2098" s="46" t="s">
        <v>81</v>
      </c>
      <c r="L2098" s="46" t="s">
        <v>52</v>
      </c>
      <c r="M2098" s="52" t="s">
        <v>3817</v>
      </c>
      <c r="N2098" s="46" t="s">
        <v>3818</v>
      </c>
      <c r="O2098" s="46" t="s">
        <v>3819</v>
      </c>
      <c r="P2098" s="46" t="s">
        <v>59</v>
      </c>
      <c r="Q2098" s="46" t="s">
        <v>60</v>
      </c>
      <c r="R2098" s="46" t="s">
        <v>61</v>
      </c>
      <c r="S2098" s="46" t="s">
        <v>62</v>
      </c>
      <c r="T2098" s="46" t="s">
        <v>12</v>
      </c>
      <c r="U2098" s="46" t="s">
        <v>63</v>
      </c>
    </row>
    <row r="2099" spans="1:21">
      <c r="A2099" s="47">
        <v>33374371</v>
      </c>
      <c r="B2099" s="46" t="s">
        <v>1599</v>
      </c>
      <c r="C2099" s="46" t="s">
        <v>223</v>
      </c>
      <c r="D2099" s="48" t="s">
        <v>52</v>
      </c>
      <c r="E2099" s="49" t="str">
        <f t="shared" ca="1" si="79"/>
        <v/>
      </c>
      <c r="F2099" s="50" t="s">
        <v>4237</v>
      </c>
      <c r="G2099" s="51" t="s">
        <v>141</v>
      </c>
      <c r="H2099" s="52" t="s">
        <v>52</v>
      </c>
      <c r="I2099" s="52" t="s">
        <v>4181</v>
      </c>
      <c r="J2099" s="46" t="s">
        <v>4238</v>
      </c>
      <c r="K2099" s="46" t="s">
        <v>81</v>
      </c>
      <c r="L2099" s="46" t="s">
        <v>52</v>
      </c>
      <c r="M2099" s="52" t="s">
        <v>4239</v>
      </c>
      <c r="N2099" s="46" t="s">
        <v>4240</v>
      </c>
      <c r="O2099" s="46" t="s">
        <v>52</v>
      </c>
      <c r="P2099" s="46" t="s">
        <v>59</v>
      </c>
      <c r="Q2099" s="46" t="s">
        <v>60</v>
      </c>
      <c r="R2099" s="46" t="s">
        <v>61</v>
      </c>
      <c r="S2099" s="46" t="s">
        <v>62</v>
      </c>
      <c r="T2099" s="46" t="s">
        <v>12</v>
      </c>
      <c r="U2099" s="46" t="s">
        <v>63</v>
      </c>
    </row>
    <row r="2100" spans="1:21">
      <c r="A2100" s="47">
        <v>33391774</v>
      </c>
      <c r="B2100" s="46" t="s">
        <v>3965</v>
      </c>
      <c r="C2100" s="52" t="s">
        <v>3966</v>
      </c>
      <c r="E2100" s="49" t="str">
        <f t="shared" ca="1" si="79"/>
        <v/>
      </c>
      <c r="F2100" s="50">
        <v>154885041</v>
      </c>
      <c r="G2100" s="51" t="s">
        <v>23</v>
      </c>
      <c r="I2100" s="52" t="s">
        <v>3956</v>
      </c>
      <c r="J2100" s="46" t="s">
        <v>417</v>
      </c>
      <c r="M2100" s="53" t="s">
        <v>3967</v>
      </c>
      <c r="N2100" s="55"/>
      <c r="O2100" s="55"/>
    </row>
    <row r="2101" spans="1:21">
      <c r="A2101" s="47">
        <v>33399449</v>
      </c>
      <c r="B2101" s="46" t="s">
        <v>1823</v>
      </c>
      <c r="C2101" s="46" t="s">
        <v>1785</v>
      </c>
      <c r="D2101" s="48">
        <v>32126</v>
      </c>
      <c r="E2101" s="49">
        <f t="shared" ca="1" si="79"/>
        <v>38.540725530458587</v>
      </c>
      <c r="F2101" s="50">
        <v>155435361</v>
      </c>
      <c r="G2101" s="51" t="s">
        <v>86</v>
      </c>
      <c r="I2101" s="52" t="s">
        <v>1657</v>
      </c>
      <c r="J2101" s="46" t="s">
        <v>1824</v>
      </c>
      <c r="M2101" s="53" t="s">
        <v>1825</v>
      </c>
      <c r="N2101" s="46">
        <v>4364105</v>
      </c>
      <c r="O2101" s="46">
        <v>7636</v>
      </c>
    </row>
    <row r="2102" spans="1:21">
      <c r="A2102" s="47">
        <v>33430036</v>
      </c>
      <c r="B2102" s="46" t="s">
        <v>2908</v>
      </c>
      <c r="C2102" s="46" t="s">
        <v>2909</v>
      </c>
      <c r="D2102" s="48">
        <v>31849</v>
      </c>
      <c r="E2102" s="49">
        <f t="shared" ca="1" si="79"/>
        <v>39.299110198494184</v>
      </c>
      <c r="F2102" s="50">
        <v>155121924</v>
      </c>
      <c r="G2102" s="51" t="s">
        <v>141</v>
      </c>
      <c r="I2102" s="52" t="s">
        <v>2906</v>
      </c>
      <c r="M2102" s="53" t="s">
        <v>2910</v>
      </c>
      <c r="N2102" s="46">
        <v>4107267</v>
      </c>
      <c r="P2102" s="46">
        <v>1</v>
      </c>
    </row>
    <row r="2103" spans="1:21">
      <c r="A2103" s="47">
        <v>33430063</v>
      </c>
      <c r="B2103" s="46" t="s">
        <v>2908</v>
      </c>
      <c r="C2103" s="46" t="s">
        <v>2909</v>
      </c>
      <c r="E2103" s="49" t="str">
        <f t="shared" ca="1" si="79"/>
        <v/>
      </c>
      <c r="F2103" s="50">
        <v>155121924</v>
      </c>
      <c r="G2103" s="51" t="s">
        <v>141</v>
      </c>
      <c r="I2103" s="52" t="s">
        <v>2906</v>
      </c>
      <c r="M2103" s="53" t="s">
        <v>2911</v>
      </c>
    </row>
    <row r="2104" spans="1:21">
      <c r="A2104" s="47">
        <v>33431855</v>
      </c>
      <c r="B2104" s="46" t="s">
        <v>1310</v>
      </c>
      <c r="C2104" s="46" t="s">
        <v>5703</v>
      </c>
      <c r="D2104" s="48">
        <v>32087</v>
      </c>
      <c r="E2104" s="49">
        <f t="shared" ca="1" si="79"/>
        <v>38.647501711156742</v>
      </c>
      <c r="F2104" s="50">
        <v>156045562</v>
      </c>
      <c r="G2104" s="51" t="s">
        <v>23</v>
      </c>
      <c r="I2104" s="52" t="s">
        <v>5494</v>
      </c>
      <c r="J2104" s="46" t="s">
        <v>5704</v>
      </c>
      <c r="M2104" s="53" t="s">
        <v>5642</v>
      </c>
    </row>
    <row r="2105" spans="1:21">
      <c r="A2105" s="60">
        <v>33432151</v>
      </c>
      <c r="B2105" s="61" t="s">
        <v>226</v>
      </c>
      <c r="C2105" s="62" t="s">
        <v>5582</v>
      </c>
      <c r="D2105" s="48" t="s">
        <v>5583</v>
      </c>
      <c r="E2105" s="49">
        <f t="shared" ca="1" si="79"/>
        <v>38.466128466128467</v>
      </c>
      <c r="F2105" s="63" t="s">
        <v>5584</v>
      </c>
      <c r="G2105" s="51" t="s">
        <v>70</v>
      </c>
      <c r="H2105" s="52" t="s">
        <v>2656</v>
      </c>
      <c r="I2105" s="52" t="s">
        <v>5494</v>
      </c>
      <c r="J2105" s="61" t="s">
        <v>2264</v>
      </c>
      <c r="K2105" s="61" t="s">
        <v>159</v>
      </c>
      <c r="L2105" s="61" t="s">
        <v>52</v>
      </c>
      <c r="M2105" s="53" t="s">
        <v>5585</v>
      </c>
      <c r="N2105" s="55" t="s">
        <v>5586</v>
      </c>
      <c r="O2105" s="55" t="s">
        <v>52</v>
      </c>
      <c r="P2105" s="46" t="s">
        <v>59</v>
      </c>
      <c r="Q2105" s="46" t="s">
        <v>60</v>
      </c>
      <c r="R2105" s="46" t="s">
        <v>61</v>
      </c>
      <c r="S2105" s="46" t="s">
        <v>62</v>
      </c>
      <c r="T2105" s="46" t="s">
        <v>12</v>
      </c>
      <c r="U2105" s="46" t="s">
        <v>63</v>
      </c>
    </row>
    <row r="2106" spans="1:21">
      <c r="A2106" s="74">
        <v>33540499</v>
      </c>
      <c r="B2106" s="234" t="s">
        <v>8998</v>
      </c>
      <c r="C2106" s="234" t="s">
        <v>6946</v>
      </c>
      <c r="D2106" s="235">
        <v>31965</v>
      </c>
      <c r="E2106" s="236"/>
      <c r="F2106" s="237">
        <v>4814803774</v>
      </c>
      <c r="G2106" s="234" t="s">
        <v>70</v>
      </c>
      <c r="H2106" s="238" t="s">
        <v>9964</v>
      </c>
      <c r="I2106" s="238" t="s">
        <v>594</v>
      </c>
      <c r="J2106" s="234" t="s">
        <v>390</v>
      </c>
      <c r="K2106" s="234" t="s">
        <v>8745</v>
      </c>
      <c r="L2106" s="234"/>
      <c r="M2106" s="238" t="s">
        <v>9933</v>
      </c>
      <c r="N2106" s="234"/>
      <c r="O2106" s="234"/>
      <c r="P2106" s="234"/>
      <c r="Q2106" s="234"/>
      <c r="R2106" s="234"/>
      <c r="S2106" s="234"/>
      <c r="T2106" s="234"/>
      <c r="U2106" s="234"/>
    </row>
    <row r="2107" spans="1:21">
      <c r="A2107" s="47">
        <v>33540639</v>
      </c>
      <c r="B2107" s="46" t="s">
        <v>2121</v>
      </c>
      <c r="C2107" s="46" t="s">
        <v>5070</v>
      </c>
      <c r="D2107" s="48" t="s">
        <v>52</v>
      </c>
      <c r="E2107" s="49" t="str">
        <f ca="1">IF(D2107="","",YEARFRAC(D2107,TODAY(),1))</f>
        <v/>
      </c>
      <c r="F2107" s="50" t="s">
        <v>5071</v>
      </c>
      <c r="G2107" s="51" t="s">
        <v>23</v>
      </c>
      <c r="H2107" s="52" t="s">
        <v>52</v>
      </c>
      <c r="I2107" s="52" t="s">
        <v>4954</v>
      </c>
      <c r="J2107" s="46" t="s">
        <v>5072</v>
      </c>
      <c r="K2107" s="46" t="s">
        <v>81</v>
      </c>
      <c r="L2107" s="46" t="s">
        <v>52</v>
      </c>
      <c r="M2107" s="53" t="s">
        <v>5073</v>
      </c>
      <c r="N2107" s="46" t="s">
        <v>931</v>
      </c>
      <c r="O2107" s="46" t="s">
        <v>5074</v>
      </c>
      <c r="P2107" s="46" t="s">
        <v>59</v>
      </c>
      <c r="Q2107" s="46" t="s">
        <v>60</v>
      </c>
      <c r="R2107" s="46" t="s">
        <v>61</v>
      </c>
      <c r="S2107" s="46" t="s">
        <v>62</v>
      </c>
      <c r="T2107" s="46" t="s">
        <v>12</v>
      </c>
      <c r="U2107" s="46" t="s">
        <v>63</v>
      </c>
    </row>
    <row r="2108" spans="1:21">
      <c r="A2108" s="47">
        <v>33540716</v>
      </c>
      <c r="B2108" s="46" t="s">
        <v>2652</v>
      </c>
      <c r="C2108" s="46" t="s">
        <v>2653</v>
      </c>
      <c r="D2108" s="48" t="s">
        <v>52</v>
      </c>
      <c r="E2108" s="49" t="str">
        <f ca="1">IF(D2108="","",YEARFRAC(D2108,TODAY(),1))</f>
        <v/>
      </c>
      <c r="F2108" s="50" t="s">
        <v>52</v>
      </c>
      <c r="G2108" s="51" t="s">
        <v>70</v>
      </c>
      <c r="H2108" s="52" t="s">
        <v>2650</v>
      </c>
      <c r="I2108" s="59" t="s">
        <v>908</v>
      </c>
      <c r="J2108" s="46" t="s">
        <v>52</v>
      </c>
      <c r="K2108" s="46" t="s">
        <v>390</v>
      </c>
      <c r="L2108" s="46" t="s">
        <v>546</v>
      </c>
      <c r="M2108" s="52" t="s">
        <v>2654</v>
      </c>
      <c r="N2108" s="46" t="s">
        <v>52</v>
      </c>
      <c r="O2108" s="46" t="s">
        <v>52</v>
      </c>
      <c r="P2108" s="46" t="s">
        <v>59</v>
      </c>
      <c r="Q2108" s="46" t="s">
        <v>60</v>
      </c>
      <c r="R2108" s="46" t="s">
        <v>61</v>
      </c>
      <c r="S2108" s="46" t="s">
        <v>62</v>
      </c>
      <c r="T2108" s="46" t="s">
        <v>12</v>
      </c>
      <c r="U2108" s="46" t="s">
        <v>63</v>
      </c>
    </row>
    <row r="2109" spans="1:21">
      <c r="A2109" s="47">
        <v>33540758</v>
      </c>
      <c r="B2109" s="46" t="s">
        <v>5089</v>
      </c>
      <c r="C2109" s="52" t="s">
        <v>129</v>
      </c>
      <c r="D2109" s="48">
        <v>32218</v>
      </c>
      <c r="E2109" s="49">
        <f ca="1">IF(D2109="","",YEARFRAC(D2109,TODAY(),1))</f>
        <v>38.288171288171284</v>
      </c>
      <c r="F2109" s="50">
        <v>154011236</v>
      </c>
      <c r="G2109" s="51" t="s">
        <v>23</v>
      </c>
      <c r="I2109" s="65" t="s">
        <v>4954</v>
      </c>
      <c r="J2109" s="46" t="s">
        <v>48</v>
      </c>
      <c r="M2109" s="53" t="s">
        <v>5090</v>
      </c>
      <c r="N2109" s="55"/>
      <c r="O2109" s="55"/>
    </row>
    <row r="2110" spans="1:21">
      <c r="A2110" s="47">
        <v>33541545</v>
      </c>
      <c r="B2110" s="46" t="s">
        <v>8669</v>
      </c>
      <c r="C2110" s="46" t="s">
        <v>8670</v>
      </c>
      <c r="D2110" s="48" t="s">
        <v>52</v>
      </c>
      <c r="E2110" s="49" t="str">
        <f ca="1">IF(D2110="","",YEARFRAC(D2110,TODAY(),1))</f>
        <v/>
      </c>
      <c r="F2110" s="50" t="s">
        <v>8672</v>
      </c>
      <c r="G2110" s="51" t="s">
        <v>54</v>
      </c>
      <c r="H2110" s="52" t="s">
        <v>52</v>
      </c>
      <c r="I2110" s="52" t="s">
        <v>1497</v>
      </c>
      <c r="J2110" s="46" t="s">
        <v>8667</v>
      </c>
      <c r="K2110" s="46" t="s">
        <v>8668</v>
      </c>
      <c r="L2110" s="46" t="s">
        <v>546</v>
      </c>
      <c r="M2110" s="52" t="s">
        <v>8671</v>
      </c>
      <c r="N2110" s="46" t="s">
        <v>52</v>
      </c>
      <c r="O2110" s="46" t="s">
        <v>52</v>
      </c>
      <c r="P2110" s="46" t="s">
        <v>59</v>
      </c>
      <c r="Q2110" s="46" t="s">
        <v>60</v>
      </c>
      <c r="R2110" s="46" t="s">
        <v>61</v>
      </c>
      <c r="S2110" s="46" t="s">
        <v>62</v>
      </c>
      <c r="T2110" s="46" t="s">
        <v>12</v>
      </c>
      <c r="U2110" s="46" t="s">
        <v>63</v>
      </c>
    </row>
    <row r="2111" spans="1:21">
      <c r="A2111" s="47">
        <v>33541638</v>
      </c>
      <c r="B2111" s="46" t="s">
        <v>2310</v>
      </c>
      <c r="C2111" s="46" t="s">
        <v>30</v>
      </c>
      <c r="D2111" s="48" t="s">
        <v>52</v>
      </c>
      <c r="E2111" s="49" t="str">
        <f ca="1">IF(D2111="","",YEARFRAC(D2111,TODAY(),1))</f>
        <v/>
      </c>
      <c r="F2111" s="50" t="s">
        <v>2311</v>
      </c>
      <c r="G2111" s="51" t="s">
        <v>70</v>
      </c>
      <c r="H2111" s="52" t="s">
        <v>2312</v>
      </c>
      <c r="I2111" s="52" t="s">
        <v>1881</v>
      </c>
      <c r="J2111" s="46" t="s">
        <v>2313</v>
      </c>
      <c r="K2111" s="46" t="s">
        <v>52</v>
      </c>
      <c r="L2111" s="46" t="s">
        <v>52</v>
      </c>
      <c r="M2111" s="53" t="s">
        <v>2314</v>
      </c>
      <c r="N2111" s="46" t="s">
        <v>1963</v>
      </c>
      <c r="O2111" s="46" t="s">
        <v>2315</v>
      </c>
      <c r="P2111" s="46" t="s">
        <v>59</v>
      </c>
      <c r="Q2111" s="46" t="s">
        <v>60</v>
      </c>
      <c r="R2111" s="46" t="s">
        <v>61</v>
      </c>
      <c r="S2111" s="46" t="s">
        <v>62</v>
      </c>
      <c r="T2111" s="46" t="s">
        <v>12</v>
      </c>
      <c r="U2111" s="46" t="s">
        <v>63</v>
      </c>
    </row>
    <row r="2112" spans="1:21">
      <c r="A2112" s="74">
        <v>33541698</v>
      </c>
      <c r="B2112" s="234" t="s">
        <v>7966</v>
      </c>
      <c r="C2112" s="234" t="s">
        <v>9871</v>
      </c>
      <c r="D2112" s="235">
        <v>32101</v>
      </c>
      <c r="E2112" s="236"/>
      <c r="F2112" s="237">
        <v>3816480970</v>
      </c>
      <c r="G2112" s="234" t="s">
        <v>141</v>
      </c>
      <c r="H2112" s="238" t="s">
        <v>9946</v>
      </c>
      <c r="I2112" s="264" t="s">
        <v>6549</v>
      </c>
      <c r="J2112" s="234" t="s">
        <v>9979</v>
      </c>
      <c r="K2112" s="234" t="s">
        <v>2002</v>
      </c>
      <c r="L2112" s="234"/>
      <c r="M2112" s="238" t="s">
        <v>9914</v>
      </c>
      <c r="N2112" s="234"/>
      <c r="O2112" s="234"/>
      <c r="P2112" s="234"/>
      <c r="Q2112" s="234"/>
      <c r="R2112" s="234"/>
      <c r="S2112" s="234"/>
      <c r="T2112" s="234"/>
      <c r="U2112" s="234"/>
    </row>
    <row r="2113" spans="1:21">
      <c r="A2113" s="47">
        <v>33541793</v>
      </c>
      <c r="B2113" s="46" t="s">
        <v>1244</v>
      </c>
      <c r="C2113" s="46" t="s">
        <v>906</v>
      </c>
      <c r="D2113" s="48">
        <v>32107</v>
      </c>
      <c r="E2113" s="49">
        <f t="shared" ref="E2113:E2120" ca="1" si="80">IF(D2113="","",YEARFRAC(D2113,TODAY(),1))</f>
        <v>38.592744695414098</v>
      </c>
      <c r="F2113" s="50">
        <v>155175177</v>
      </c>
      <c r="G2113" s="51" t="s">
        <v>70</v>
      </c>
      <c r="I2113" s="52" t="s">
        <v>2831</v>
      </c>
      <c r="J2113" s="46" t="s">
        <v>38</v>
      </c>
      <c r="M2113" s="53" t="s">
        <v>2839</v>
      </c>
      <c r="P2113" s="46">
        <v>3</v>
      </c>
    </row>
    <row r="2114" spans="1:21">
      <c r="A2114" s="47">
        <v>33541845</v>
      </c>
      <c r="B2114" s="46" t="s">
        <v>2718</v>
      </c>
      <c r="C2114" s="52" t="s">
        <v>5966</v>
      </c>
      <c r="D2114" s="48">
        <v>32127</v>
      </c>
      <c r="E2114" s="49">
        <f t="shared" ca="1" si="80"/>
        <v>38.53798767967146</v>
      </c>
      <c r="F2114" s="50">
        <v>155509879</v>
      </c>
      <c r="G2114" s="51" t="s">
        <v>86</v>
      </c>
      <c r="I2114" s="52" t="s">
        <v>23</v>
      </c>
      <c r="J2114" s="46" t="s">
        <v>38</v>
      </c>
      <c r="M2114" s="53" t="s">
        <v>5967</v>
      </c>
      <c r="N2114" s="55">
        <v>4107265</v>
      </c>
      <c r="O2114" s="55">
        <v>7179</v>
      </c>
    </row>
    <row r="2115" spans="1:21">
      <c r="A2115" s="47">
        <v>33632177</v>
      </c>
      <c r="B2115" s="46" t="s">
        <v>1922</v>
      </c>
      <c r="C2115" s="46" t="s">
        <v>363</v>
      </c>
      <c r="D2115" s="48">
        <v>30207</v>
      </c>
      <c r="E2115" s="49">
        <f t="shared" ca="1" si="80"/>
        <v>43.795327330250664</v>
      </c>
      <c r="F2115" s="50">
        <v>156768092</v>
      </c>
      <c r="G2115" s="51" t="s">
        <v>141</v>
      </c>
      <c r="I2115" s="52" t="s">
        <v>1881</v>
      </c>
      <c r="J2115" s="46" t="s">
        <v>290</v>
      </c>
      <c r="M2115" s="53" t="s">
        <v>1923</v>
      </c>
    </row>
    <row r="2116" spans="1:21">
      <c r="A2116" s="47">
        <v>33669170</v>
      </c>
      <c r="B2116" s="46" t="s">
        <v>789</v>
      </c>
      <c r="C2116" s="46" t="s">
        <v>3832</v>
      </c>
      <c r="D2116" s="48">
        <v>32170</v>
      </c>
      <c r="E2116" s="49">
        <f t="shared" ca="1" si="80"/>
        <v>38.419585819585819</v>
      </c>
      <c r="F2116" s="50">
        <v>156015764</v>
      </c>
      <c r="G2116" s="51" t="s">
        <v>23</v>
      </c>
      <c r="I2116" s="52" t="s">
        <v>3630</v>
      </c>
      <c r="J2116" s="46" t="s">
        <v>2938</v>
      </c>
      <c r="M2116" s="52" t="s">
        <v>3833</v>
      </c>
      <c r="N2116" s="46">
        <v>4847355</v>
      </c>
      <c r="O2116" s="46">
        <v>7355</v>
      </c>
    </row>
    <row r="2117" spans="1:21">
      <c r="A2117" s="47">
        <v>33703744</v>
      </c>
      <c r="B2117" s="46" t="s">
        <v>4894</v>
      </c>
      <c r="C2117" s="46" t="s">
        <v>4895</v>
      </c>
      <c r="D2117" s="48">
        <v>32297</v>
      </c>
      <c r="E2117" s="49">
        <f t="shared" ca="1" si="80"/>
        <v>38.071884871884869</v>
      </c>
      <c r="F2117" s="50">
        <v>155858816</v>
      </c>
      <c r="G2117" s="51" t="s">
        <v>70</v>
      </c>
      <c r="I2117" s="52" t="s">
        <v>4815</v>
      </c>
      <c r="J2117" s="46" t="s">
        <v>38</v>
      </c>
      <c r="M2117" s="53" t="s">
        <v>4896</v>
      </c>
      <c r="N2117" s="46">
        <v>4107286</v>
      </c>
    </row>
    <row r="2118" spans="1:21">
      <c r="A2118" s="47">
        <v>33755283</v>
      </c>
      <c r="B2118" s="46" t="s">
        <v>2481</v>
      </c>
      <c r="C2118" s="46" t="s">
        <v>2482</v>
      </c>
      <c r="D2118" s="48">
        <v>32325</v>
      </c>
      <c r="E2118" s="49">
        <f t="shared" ca="1" si="80"/>
        <v>37.995226395226396</v>
      </c>
      <c r="F2118" s="50">
        <v>156330414</v>
      </c>
      <c r="G2118" s="51" t="s">
        <v>70</v>
      </c>
      <c r="I2118" s="59" t="s">
        <v>908</v>
      </c>
      <c r="J2118" s="46" t="s">
        <v>205</v>
      </c>
      <c r="M2118" s="53" t="s">
        <v>2483</v>
      </c>
      <c r="N2118" s="46">
        <v>4300153</v>
      </c>
      <c r="O2118" s="46">
        <v>229</v>
      </c>
      <c r="P2118" s="46">
        <v>4</v>
      </c>
    </row>
    <row r="2119" spans="1:21">
      <c r="A2119" s="47">
        <v>33755715</v>
      </c>
      <c r="B2119" s="46" t="s">
        <v>4999</v>
      </c>
      <c r="C2119" s="46" t="s">
        <v>5000</v>
      </c>
      <c r="E2119" s="49" t="str">
        <f t="shared" ca="1" si="80"/>
        <v/>
      </c>
      <c r="F2119" s="50">
        <v>153022204</v>
      </c>
      <c r="G2119" s="51" t="s">
        <v>23</v>
      </c>
      <c r="I2119" s="52" t="s">
        <v>4954</v>
      </c>
      <c r="M2119" s="53" t="s">
        <v>5001</v>
      </c>
      <c r="O2119" s="46">
        <v>6921</v>
      </c>
    </row>
    <row r="2120" spans="1:21">
      <c r="A2120" s="47">
        <v>33755766</v>
      </c>
      <c r="B2120" s="46" t="s">
        <v>1660</v>
      </c>
      <c r="C2120" s="55" t="s">
        <v>558</v>
      </c>
      <c r="E2120" s="49" t="str">
        <f t="shared" ca="1" si="80"/>
        <v/>
      </c>
      <c r="G2120" s="51" t="s">
        <v>23</v>
      </c>
      <c r="I2120" s="52" t="s">
        <v>23</v>
      </c>
      <c r="J2120" s="55"/>
      <c r="K2120" s="55"/>
      <c r="L2120" s="55"/>
      <c r="M2120" s="58" t="s">
        <v>25</v>
      </c>
      <c r="N2120" s="55"/>
      <c r="O2120" s="55"/>
    </row>
    <row r="2121" spans="1:21">
      <c r="A2121" s="74">
        <v>33756026</v>
      </c>
      <c r="B2121" s="234" t="s">
        <v>9896</v>
      </c>
      <c r="C2121" s="234" t="s">
        <v>9897</v>
      </c>
      <c r="D2121" s="235">
        <v>32160</v>
      </c>
      <c r="E2121" s="236"/>
      <c r="F2121" s="237">
        <v>3816526394</v>
      </c>
      <c r="G2121" s="234" t="s">
        <v>78</v>
      </c>
      <c r="H2121" s="238" t="s">
        <v>9965</v>
      </c>
      <c r="I2121" s="265" t="s">
        <v>3555</v>
      </c>
      <c r="J2121" s="234" t="s">
        <v>10001</v>
      </c>
      <c r="K2121" s="234" t="s">
        <v>2002</v>
      </c>
      <c r="L2121" s="234"/>
      <c r="M2121" s="238" t="s">
        <v>3590</v>
      </c>
      <c r="N2121" s="234"/>
      <c r="O2121" s="234"/>
      <c r="P2121" s="234"/>
      <c r="Q2121" s="234"/>
      <c r="R2121" s="234"/>
      <c r="S2121" s="234"/>
      <c r="T2121" s="234"/>
      <c r="U2121" s="234"/>
    </row>
    <row r="2122" spans="1:21">
      <c r="A2122" s="47">
        <v>33756264</v>
      </c>
      <c r="B2122" s="46" t="s">
        <v>3895</v>
      </c>
      <c r="C2122" s="46" t="s">
        <v>5753</v>
      </c>
      <c r="D2122" s="48" t="s">
        <v>52</v>
      </c>
      <c r="E2122" s="49" t="str">
        <f ca="1">IF(D2122="","",YEARFRAC(D2122,TODAY(),1))</f>
        <v/>
      </c>
      <c r="F2122" s="50">
        <v>154436027</v>
      </c>
      <c r="G2122" s="51" t="s">
        <v>86</v>
      </c>
      <c r="H2122" s="52" t="s">
        <v>52</v>
      </c>
      <c r="I2122" s="52" t="s">
        <v>5494</v>
      </c>
      <c r="J2122" s="46" t="s">
        <v>3403</v>
      </c>
      <c r="K2122" s="46" t="s">
        <v>81</v>
      </c>
      <c r="L2122" s="46" t="s">
        <v>546</v>
      </c>
      <c r="M2122" s="52" t="s">
        <v>5754</v>
      </c>
      <c r="N2122" s="46" t="s">
        <v>52</v>
      </c>
      <c r="O2122" s="46" t="s">
        <v>52</v>
      </c>
      <c r="P2122" s="46" t="s">
        <v>59</v>
      </c>
      <c r="Q2122" s="46" t="s">
        <v>60</v>
      </c>
      <c r="R2122" s="46" t="s">
        <v>61</v>
      </c>
      <c r="S2122" s="46" t="s">
        <v>62</v>
      </c>
      <c r="T2122" s="46" t="s">
        <v>12</v>
      </c>
      <c r="U2122" s="46" t="s">
        <v>63</v>
      </c>
    </row>
    <row r="2123" spans="1:21">
      <c r="A2123" s="47">
        <v>33756495</v>
      </c>
      <c r="B2123" s="46" t="s">
        <v>1385</v>
      </c>
      <c r="C2123" s="46" t="s">
        <v>1867</v>
      </c>
      <c r="D2123" s="48" t="s">
        <v>1868</v>
      </c>
      <c r="E2123" s="49">
        <f ca="1">IF(D2123="","",YEARFRAC(D2123,TODAY(),1))</f>
        <v>38.340189540189535</v>
      </c>
      <c r="F2123" s="50" t="s">
        <v>1869</v>
      </c>
      <c r="G2123" s="51" t="s">
        <v>70</v>
      </c>
      <c r="H2123" s="52" t="s">
        <v>52</v>
      </c>
      <c r="I2123" s="52" t="s">
        <v>1657</v>
      </c>
      <c r="J2123" s="46" t="s">
        <v>52</v>
      </c>
      <c r="K2123" s="46" t="s">
        <v>1206</v>
      </c>
      <c r="L2123" s="46" t="s">
        <v>546</v>
      </c>
      <c r="M2123" s="52" t="s">
        <v>1870</v>
      </c>
      <c r="N2123" s="46" t="s">
        <v>52</v>
      </c>
      <c r="O2123" s="46" t="s">
        <v>52</v>
      </c>
      <c r="P2123" s="46" t="s">
        <v>59</v>
      </c>
      <c r="Q2123" s="46" t="s">
        <v>60</v>
      </c>
      <c r="R2123" s="46" t="s">
        <v>61</v>
      </c>
      <c r="S2123" s="46" t="s">
        <v>62</v>
      </c>
      <c r="T2123" s="46" t="s">
        <v>12</v>
      </c>
      <c r="U2123" s="46" t="s">
        <v>63</v>
      </c>
    </row>
    <row r="2124" spans="1:21">
      <c r="A2124" s="47">
        <v>33756688</v>
      </c>
      <c r="B2124" s="46" t="s">
        <v>1745</v>
      </c>
      <c r="C2124" s="52" t="s">
        <v>97</v>
      </c>
      <c r="D2124" s="48">
        <v>32240</v>
      </c>
      <c r="E2124" s="49">
        <f ca="1">IF(D2124="","",YEARFRAC(D2124,TODAY(),1))</f>
        <v>38.227939627939627</v>
      </c>
      <c r="F2124" s="50">
        <v>155093803</v>
      </c>
      <c r="G2124" s="51" t="s">
        <v>23</v>
      </c>
      <c r="I2124" s="52" t="s">
        <v>1657</v>
      </c>
      <c r="J2124" s="46" t="s">
        <v>1746</v>
      </c>
      <c r="M2124" s="53" t="s">
        <v>1747</v>
      </c>
      <c r="N2124" s="55">
        <v>4364105</v>
      </c>
      <c r="O2124" s="55">
        <v>7558</v>
      </c>
    </row>
    <row r="2125" spans="1:21">
      <c r="A2125" s="74">
        <v>33756717</v>
      </c>
      <c r="B2125" s="234" t="s">
        <v>9880</v>
      </c>
      <c r="C2125" s="234" t="s">
        <v>7545</v>
      </c>
      <c r="D2125" s="235">
        <v>32267</v>
      </c>
      <c r="E2125" s="236"/>
      <c r="F2125" s="237">
        <v>3914473740</v>
      </c>
      <c r="G2125" s="234" t="s">
        <v>141</v>
      </c>
      <c r="H2125" s="238" t="s">
        <v>9953</v>
      </c>
      <c r="I2125" s="265" t="s">
        <v>3555</v>
      </c>
      <c r="J2125" s="234" t="s">
        <v>9989</v>
      </c>
      <c r="K2125" s="234" t="s">
        <v>2002</v>
      </c>
      <c r="L2125" s="234"/>
      <c r="M2125" s="238" t="s">
        <v>9923</v>
      </c>
      <c r="N2125" s="234"/>
      <c r="O2125" s="234"/>
      <c r="P2125" s="234"/>
      <c r="Q2125" s="234"/>
      <c r="R2125" s="234"/>
      <c r="S2125" s="234"/>
      <c r="T2125" s="234"/>
      <c r="U2125" s="234"/>
    </row>
    <row r="2126" spans="1:21">
      <c r="A2126" s="47">
        <v>33817813</v>
      </c>
      <c r="B2126" s="46" t="s">
        <v>1248</v>
      </c>
      <c r="C2126" s="46" t="s">
        <v>1252</v>
      </c>
      <c r="E2126" s="49" t="str">
        <f ca="1">IF(D2126="","",YEARFRAC(D2126,TODAY(),1))</f>
        <v/>
      </c>
      <c r="F2126" s="50">
        <v>3865555070</v>
      </c>
      <c r="G2126" s="51" t="s">
        <v>23</v>
      </c>
      <c r="I2126" s="59" t="s">
        <v>908</v>
      </c>
      <c r="M2126" s="53" t="s">
        <v>1253</v>
      </c>
    </row>
    <row r="2127" spans="1:21">
      <c r="A2127" s="47">
        <v>33818840</v>
      </c>
      <c r="B2127" s="46" t="s">
        <v>377</v>
      </c>
      <c r="C2127" s="46" t="s">
        <v>1490</v>
      </c>
      <c r="D2127" s="48">
        <v>32461</v>
      </c>
      <c r="E2127" s="49">
        <f ca="1">IF(D2127="","",YEARFRAC(D2127,TODAY(),1))</f>
        <v>37.622885222885223</v>
      </c>
      <c r="F2127" s="50">
        <v>154770443</v>
      </c>
      <c r="G2127" s="51" t="s">
        <v>352</v>
      </c>
      <c r="I2127" s="52" t="s">
        <v>1484</v>
      </c>
      <c r="J2127" s="46" t="s">
        <v>38</v>
      </c>
      <c r="M2127" s="53" t="s">
        <v>1491</v>
      </c>
      <c r="N2127" s="46">
        <v>4107258</v>
      </c>
      <c r="O2127" s="46" t="s">
        <v>1492</v>
      </c>
      <c r="P2127" s="46">
        <v>1</v>
      </c>
    </row>
    <row r="2128" spans="1:21">
      <c r="A2128" s="47">
        <v>33848067</v>
      </c>
      <c r="B2128" s="46" t="s">
        <v>6022</v>
      </c>
      <c r="C2128" s="46" t="s">
        <v>6023</v>
      </c>
      <c r="E2128" s="49" t="str">
        <f ca="1">IF(D2128="","",YEARFRAC(D2128,TODAY(),1))</f>
        <v/>
      </c>
      <c r="G2128" s="51" t="s">
        <v>23</v>
      </c>
      <c r="I2128" s="52" t="s">
        <v>23</v>
      </c>
      <c r="M2128" s="58" t="s">
        <v>25</v>
      </c>
    </row>
    <row r="2129" spans="1:21">
      <c r="A2129" s="47">
        <v>33884227</v>
      </c>
      <c r="B2129" s="46" t="s">
        <v>9820</v>
      </c>
      <c r="C2129" s="46" t="s">
        <v>9821</v>
      </c>
      <c r="D2129" s="48" t="s">
        <v>9822</v>
      </c>
      <c r="E2129" s="49" t="s">
        <v>514</v>
      </c>
      <c r="F2129" s="50" t="s">
        <v>9823</v>
      </c>
      <c r="G2129" s="51" t="s">
        <v>78</v>
      </c>
      <c r="H2129" s="52" t="s">
        <v>9824</v>
      </c>
      <c r="I2129" s="52" t="s">
        <v>2926</v>
      </c>
      <c r="J2129" s="46" t="s">
        <v>9825</v>
      </c>
      <c r="K2129" s="46" t="s">
        <v>81</v>
      </c>
      <c r="L2129" s="46" t="s">
        <v>546</v>
      </c>
      <c r="M2129" s="52" t="s">
        <v>9826</v>
      </c>
      <c r="N2129" s="46" t="s">
        <v>52</v>
      </c>
      <c r="O2129" s="46" t="s">
        <v>52</v>
      </c>
      <c r="P2129" s="46" t="s">
        <v>59</v>
      </c>
      <c r="Q2129" s="46" t="s">
        <v>60</v>
      </c>
      <c r="R2129" s="46" t="s">
        <v>61</v>
      </c>
      <c r="S2129" s="46" t="s">
        <v>62</v>
      </c>
      <c r="T2129" s="46" t="s">
        <v>12</v>
      </c>
      <c r="U2129" s="46" t="s">
        <v>63</v>
      </c>
    </row>
    <row r="2130" spans="1:21">
      <c r="A2130" s="47">
        <v>33884314</v>
      </c>
      <c r="B2130" s="46" t="s">
        <v>1565</v>
      </c>
      <c r="C2130" s="46" t="s">
        <v>5660</v>
      </c>
      <c r="D2130" s="48">
        <v>32473</v>
      </c>
      <c r="E2130" s="49">
        <f t="shared" ref="E2130:E2138" ca="1" si="81">IF(D2130="","",YEARFRAC(D2130,TODAY(),1))</f>
        <v>37.590031590031586</v>
      </c>
      <c r="F2130" s="50">
        <v>155999930</v>
      </c>
      <c r="G2130" s="51" t="s">
        <v>352</v>
      </c>
      <c r="I2130" s="52" t="s">
        <v>5494</v>
      </c>
      <c r="J2130" s="46" t="s">
        <v>5661</v>
      </c>
      <c r="M2130" s="53" t="s">
        <v>5662</v>
      </c>
    </row>
    <row r="2131" spans="1:21">
      <c r="A2131" s="60">
        <v>33889499</v>
      </c>
      <c r="B2131" s="61" t="s">
        <v>734</v>
      </c>
      <c r="C2131" s="62" t="s">
        <v>5104</v>
      </c>
      <c r="D2131" s="48">
        <v>32528</v>
      </c>
      <c r="E2131" s="49">
        <f t="shared" ca="1" si="81"/>
        <v>37.441458318322645</v>
      </c>
      <c r="F2131" s="63">
        <v>154453597</v>
      </c>
      <c r="G2131" s="51" t="s">
        <v>23</v>
      </c>
      <c r="I2131" s="52" t="s">
        <v>4954</v>
      </c>
      <c r="J2131" s="61" t="s">
        <v>5105</v>
      </c>
      <c r="K2131" s="61"/>
      <c r="L2131" s="61"/>
      <c r="M2131" s="53" t="s">
        <v>5106</v>
      </c>
      <c r="N2131" s="55"/>
      <c r="O2131" s="55"/>
    </row>
    <row r="2132" spans="1:21">
      <c r="A2132" s="47">
        <v>33966070</v>
      </c>
      <c r="B2132" s="46" t="s">
        <v>326</v>
      </c>
      <c r="C2132" s="52" t="s">
        <v>962</v>
      </c>
      <c r="D2132" s="48">
        <v>32113</v>
      </c>
      <c r="E2132" s="49">
        <f t="shared" ca="1" si="81"/>
        <v>38.57631759069131</v>
      </c>
      <c r="F2132" s="50">
        <v>156815616</v>
      </c>
      <c r="G2132" s="51" t="s">
        <v>23</v>
      </c>
      <c r="I2132" s="59" t="s">
        <v>908</v>
      </c>
      <c r="J2132" s="46" t="s">
        <v>1110</v>
      </c>
      <c r="M2132" s="53" t="s">
        <v>1167</v>
      </c>
      <c r="N2132" s="55"/>
      <c r="O2132" s="55"/>
    </row>
    <row r="2133" spans="1:21">
      <c r="A2133" s="47">
        <v>33971596</v>
      </c>
      <c r="B2133" s="46" t="s">
        <v>102</v>
      </c>
      <c r="C2133" s="55" t="s">
        <v>103</v>
      </c>
      <c r="D2133" s="48">
        <v>32560</v>
      </c>
      <c r="E2133" s="49">
        <f t="shared" ca="1" si="81"/>
        <v>37.353843936883059</v>
      </c>
      <c r="F2133" s="50">
        <v>154742767</v>
      </c>
      <c r="G2133" s="51" t="s">
        <v>23</v>
      </c>
      <c r="I2133" s="52" t="s">
        <v>24</v>
      </c>
      <c r="J2133" s="55"/>
      <c r="K2133" s="55"/>
      <c r="L2133" s="55"/>
      <c r="M2133" s="53" t="s">
        <v>104</v>
      </c>
      <c r="N2133" s="55">
        <v>4242464</v>
      </c>
      <c r="O2133" s="55"/>
    </row>
    <row r="2134" spans="1:21">
      <c r="A2134" s="47">
        <v>33973474</v>
      </c>
      <c r="B2134" s="46" t="s">
        <v>425</v>
      </c>
      <c r="C2134" s="46" t="s">
        <v>3072</v>
      </c>
      <c r="D2134" s="48" t="s">
        <v>52</v>
      </c>
      <c r="E2134" s="49" t="str">
        <f t="shared" ca="1" si="81"/>
        <v/>
      </c>
      <c r="F2134" s="50" t="s">
        <v>3073</v>
      </c>
      <c r="G2134" s="51" t="s">
        <v>70</v>
      </c>
      <c r="H2134" s="52" t="s">
        <v>52</v>
      </c>
      <c r="I2134" s="52" t="s">
        <v>2926</v>
      </c>
      <c r="J2134" s="46" t="s">
        <v>3074</v>
      </c>
      <c r="K2134" s="46" t="s">
        <v>81</v>
      </c>
      <c r="L2134" s="46" t="s">
        <v>546</v>
      </c>
      <c r="M2134" s="52" t="s">
        <v>3075</v>
      </c>
      <c r="N2134" s="46" t="s">
        <v>52</v>
      </c>
      <c r="O2134" s="46" t="s">
        <v>52</v>
      </c>
      <c r="P2134" s="46" t="s">
        <v>59</v>
      </c>
      <c r="Q2134" s="46" t="s">
        <v>60</v>
      </c>
      <c r="R2134" s="46" t="s">
        <v>61</v>
      </c>
      <c r="S2134" s="46" t="s">
        <v>62</v>
      </c>
      <c r="T2134" s="46" t="s">
        <v>12</v>
      </c>
      <c r="U2134" s="46" t="s">
        <v>63</v>
      </c>
    </row>
    <row r="2135" spans="1:21">
      <c r="A2135" s="47">
        <v>33977015</v>
      </c>
      <c r="B2135" s="46" t="s">
        <v>472</v>
      </c>
      <c r="C2135" s="46" t="s">
        <v>5721</v>
      </c>
      <c r="D2135" s="48" t="s">
        <v>5722</v>
      </c>
      <c r="E2135" s="49">
        <f t="shared" ca="1" si="81"/>
        <v>38.019866619866619</v>
      </c>
      <c r="F2135" s="50" t="s">
        <v>5723</v>
      </c>
      <c r="G2135" s="51" t="s">
        <v>70</v>
      </c>
      <c r="H2135" s="52" t="s">
        <v>380</v>
      </c>
      <c r="I2135" s="52" t="s">
        <v>5494</v>
      </c>
      <c r="J2135" s="46" t="s">
        <v>5724</v>
      </c>
      <c r="K2135" s="46" t="s">
        <v>81</v>
      </c>
      <c r="L2135" s="46" t="s">
        <v>52</v>
      </c>
      <c r="M2135" s="53" t="s">
        <v>5725</v>
      </c>
      <c r="N2135" s="46" t="s">
        <v>5648</v>
      </c>
      <c r="O2135" s="46" t="s">
        <v>52</v>
      </c>
      <c r="P2135" s="46" t="s">
        <v>59</v>
      </c>
      <c r="Q2135" s="46" t="s">
        <v>60</v>
      </c>
      <c r="R2135" s="46" t="s">
        <v>61</v>
      </c>
      <c r="S2135" s="46" t="s">
        <v>62</v>
      </c>
      <c r="T2135" s="46" t="s">
        <v>12</v>
      </c>
      <c r="U2135" s="46" t="s">
        <v>63</v>
      </c>
    </row>
    <row r="2136" spans="1:21">
      <c r="A2136" s="64">
        <v>33977380</v>
      </c>
      <c r="B2136" s="61" t="s">
        <v>226</v>
      </c>
      <c r="C2136" s="62" t="s">
        <v>6164</v>
      </c>
      <c r="D2136" s="48">
        <v>32354</v>
      </c>
      <c r="E2136" s="49">
        <f t="shared" ca="1" si="81"/>
        <v>37.915830115830111</v>
      </c>
      <c r="F2136" s="63">
        <v>155171343</v>
      </c>
      <c r="G2136" s="51" t="s">
        <v>23</v>
      </c>
      <c r="I2136" s="52" t="s">
        <v>23</v>
      </c>
      <c r="J2136" s="61"/>
      <c r="K2136" s="61"/>
      <c r="L2136" s="61"/>
      <c r="M2136" s="53" t="s">
        <v>6165</v>
      </c>
      <c r="N2136" s="55"/>
      <c r="O2136" s="55"/>
    </row>
    <row r="2137" spans="1:21">
      <c r="A2137" s="47">
        <v>33977407</v>
      </c>
      <c r="B2137" s="46" t="s">
        <v>4706</v>
      </c>
      <c r="C2137" s="46" t="s">
        <v>5997</v>
      </c>
      <c r="E2137" s="49" t="str">
        <f t="shared" ca="1" si="81"/>
        <v/>
      </c>
      <c r="F2137" s="50">
        <v>154572427</v>
      </c>
      <c r="G2137" s="51" t="s">
        <v>23</v>
      </c>
      <c r="I2137" s="52" t="s">
        <v>23</v>
      </c>
      <c r="M2137" s="58" t="s">
        <v>25</v>
      </c>
    </row>
    <row r="2138" spans="1:21">
      <c r="A2138" s="47">
        <v>33977912</v>
      </c>
      <c r="B2138" s="46" t="s">
        <v>2275</v>
      </c>
      <c r="C2138" s="46" t="s">
        <v>2276</v>
      </c>
      <c r="D2138" s="48" t="s">
        <v>2277</v>
      </c>
      <c r="E2138" s="49">
        <f t="shared" ca="1" si="81"/>
        <v>37.584555984555983</v>
      </c>
      <c r="F2138" s="50" t="s">
        <v>2278</v>
      </c>
      <c r="G2138" s="51" t="s">
        <v>141</v>
      </c>
      <c r="H2138" s="52" t="s">
        <v>52</v>
      </c>
      <c r="I2138" s="52" t="s">
        <v>1881</v>
      </c>
      <c r="J2138" s="46" t="s">
        <v>982</v>
      </c>
      <c r="K2138" s="46" t="s">
        <v>81</v>
      </c>
      <c r="L2138" s="46" t="s">
        <v>52</v>
      </c>
      <c r="M2138" s="53" t="s">
        <v>2279</v>
      </c>
      <c r="N2138" s="46" t="s">
        <v>89</v>
      </c>
      <c r="O2138" s="46" t="s">
        <v>52</v>
      </c>
      <c r="P2138" s="46" t="s">
        <v>59</v>
      </c>
      <c r="Q2138" s="46" t="s">
        <v>60</v>
      </c>
      <c r="R2138" s="46" t="s">
        <v>61</v>
      </c>
      <c r="S2138" s="46" t="s">
        <v>62</v>
      </c>
      <c r="T2138" s="46" t="s">
        <v>12</v>
      </c>
      <c r="U2138" s="46" t="s">
        <v>63</v>
      </c>
    </row>
    <row r="2139" spans="1:21">
      <c r="A2139" s="47">
        <v>33978008</v>
      </c>
      <c r="B2139" s="46" t="s">
        <v>40</v>
      </c>
      <c r="C2139" s="46" t="s">
        <v>9429</v>
      </c>
      <c r="D2139" s="48" t="s">
        <v>52</v>
      </c>
      <c r="E2139" s="49" t="s">
        <v>52</v>
      </c>
      <c r="F2139" s="50" t="s">
        <v>52</v>
      </c>
      <c r="G2139" s="51" t="s">
        <v>52</v>
      </c>
      <c r="H2139" s="52" t="s">
        <v>52</v>
      </c>
      <c r="I2139" s="52" t="s">
        <v>5881</v>
      </c>
      <c r="J2139" s="46" t="s">
        <v>9430</v>
      </c>
      <c r="K2139" s="46" t="s">
        <v>52</v>
      </c>
      <c r="L2139" s="46" t="s">
        <v>546</v>
      </c>
      <c r="M2139" s="52" t="s">
        <v>9431</v>
      </c>
      <c r="N2139" s="46" t="s">
        <v>52</v>
      </c>
      <c r="O2139" s="46" t="s">
        <v>52</v>
      </c>
      <c r="P2139" s="46" t="s">
        <v>59</v>
      </c>
      <c r="Q2139" s="46" t="s">
        <v>60</v>
      </c>
      <c r="R2139" s="46" t="s">
        <v>61</v>
      </c>
      <c r="S2139" s="46" t="s">
        <v>62</v>
      </c>
      <c r="T2139" s="46" t="s">
        <v>12</v>
      </c>
      <c r="U2139" s="46" t="s">
        <v>63</v>
      </c>
    </row>
    <row r="2140" spans="1:21">
      <c r="A2140" s="80">
        <v>33979847</v>
      </c>
      <c r="B2140" s="80" t="s">
        <v>8736</v>
      </c>
      <c r="C2140" s="80" t="s">
        <v>8737</v>
      </c>
      <c r="D2140" s="84">
        <v>32471</v>
      </c>
      <c r="E2140" s="49">
        <f ca="1">IF(D2140="","",YEARFRAC(D2140,TODAY(),1))</f>
        <v>37.595507195507196</v>
      </c>
      <c r="F2140" s="80">
        <v>3816766218</v>
      </c>
      <c r="G2140" s="80" t="s">
        <v>141</v>
      </c>
      <c r="H2140" s="80"/>
      <c r="I2140" s="265" t="s">
        <v>24</v>
      </c>
      <c r="J2140" s="80"/>
      <c r="K2140" s="80" t="s">
        <v>8744</v>
      </c>
      <c r="L2140" s="80" t="s">
        <v>8745</v>
      </c>
      <c r="M2140" s="80"/>
      <c r="N2140" s="80" t="s">
        <v>8743</v>
      </c>
      <c r="O2140" s="80">
        <v>3816766218</v>
      </c>
    </row>
    <row r="2141" spans="1:21">
      <c r="A2141" s="47">
        <v>33999914</v>
      </c>
      <c r="B2141" s="46" t="s">
        <v>1906</v>
      </c>
      <c r="C2141" s="52" t="s">
        <v>2445</v>
      </c>
      <c r="D2141" s="48">
        <v>32540</v>
      </c>
      <c r="E2141" s="49">
        <f ca="1">IF(D2141="","",YEARFRAC(D2141,TODAY(),1))</f>
        <v>37.4086029252828</v>
      </c>
      <c r="F2141" s="50">
        <v>156784714</v>
      </c>
      <c r="G2141" s="51" t="s">
        <v>23</v>
      </c>
      <c r="I2141" s="59" t="s">
        <v>908</v>
      </c>
      <c r="J2141" s="46" t="s">
        <v>1110</v>
      </c>
      <c r="M2141" s="53" t="s">
        <v>2446</v>
      </c>
      <c r="N2141" s="55"/>
      <c r="O2141" s="55"/>
    </row>
    <row r="2142" spans="1:21">
      <c r="A2142" s="47">
        <v>34067633</v>
      </c>
      <c r="B2142" s="46" t="s">
        <v>5098</v>
      </c>
      <c r="C2142" s="46" t="s">
        <v>5170</v>
      </c>
      <c r="D2142" s="48" t="s">
        <v>52</v>
      </c>
      <c r="E2142" s="49" t="str">
        <f ca="1">IF(D2142="","",YEARFRAC(D2142,TODAY(),1))</f>
        <v/>
      </c>
      <c r="F2142" s="50" t="s">
        <v>5171</v>
      </c>
      <c r="G2142" s="51" t="s">
        <v>70</v>
      </c>
      <c r="H2142" s="52" t="s">
        <v>52</v>
      </c>
      <c r="I2142" s="52" t="s">
        <v>4954</v>
      </c>
      <c r="J2142" s="46" t="s">
        <v>5172</v>
      </c>
      <c r="K2142" s="46" t="s">
        <v>81</v>
      </c>
      <c r="L2142" s="46" t="s">
        <v>52</v>
      </c>
      <c r="M2142" s="52" t="s">
        <v>5173</v>
      </c>
      <c r="N2142" s="46" t="s">
        <v>5174</v>
      </c>
      <c r="O2142" s="46" t="s">
        <v>52</v>
      </c>
      <c r="P2142" s="46" t="s">
        <v>59</v>
      </c>
      <c r="Q2142" s="46" t="s">
        <v>60</v>
      </c>
      <c r="R2142" s="46" t="s">
        <v>61</v>
      </c>
      <c r="S2142" s="46" t="s">
        <v>62</v>
      </c>
      <c r="T2142" s="46" t="s">
        <v>12</v>
      </c>
      <c r="U2142" s="46" t="s">
        <v>63</v>
      </c>
    </row>
    <row r="2143" spans="1:21">
      <c r="A2143" s="47">
        <v>34126908</v>
      </c>
      <c r="B2143" s="46" t="s">
        <v>1236</v>
      </c>
      <c r="C2143" s="46" t="s">
        <v>5279</v>
      </c>
      <c r="E2143" s="49" t="str">
        <f ca="1">IF(D2143="","",YEARFRAC(D2143,TODAY(),1))</f>
        <v/>
      </c>
      <c r="F2143" s="50">
        <v>155722517</v>
      </c>
      <c r="G2143" s="51" t="s">
        <v>70</v>
      </c>
      <c r="I2143" s="52" t="s">
        <v>5259</v>
      </c>
      <c r="M2143" s="53" t="s">
        <v>5280</v>
      </c>
    </row>
    <row r="2144" spans="1:21">
      <c r="A2144" s="47">
        <v>34132176</v>
      </c>
      <c r="B2144" s="46" t="s">
        <v>9549</v>
      </c>
      <c r="C2144" s="46" t="s">
        <v>4707</v>
      </c>
      <c r="D2144" s="48" t="s">
        <v>9550</v>
      </c>
      <c r="E2144" s="49" t="s">
        <v>514</v>
      </c>
      <c r="F2144" s="50" t="s">
        <v>9551</v>
      </c>
      <c r="G2144" s="51" t="s">
        <v>70</v>
      </c>
      <c r="H2144" s="52" t="s">
        <v>9552</v>
      </c>
      <c r="I2144" s="52" t="s">
        <v>4245</v>
      </c>
      <c r="J2144" s="46" t="s">
        <v>52</v>
      </c>
      <c r="K2144" s="46" t="s">
        <v>81</v>
      </c>
      <c r="L2144" s="46" t="s">
        <v>546</v>
      </c>
      <c r="M2144" s="52" t="s">
        <v>9553</v>
      </c>
      <c r="N2144" s="46" t="s">
        <v>52</v>
      </c>
      <c r="O2144" s="46" t="s">
        <v>52</v>
      </c>
      <c r="P2144" s="46" t="s">
        <v>59</v>
      </c>
      <c r="Q2144" s="46" t="s">
        <v>60</v>
      </c>
      <c r="R2144" s="46" t="s">
        <v>61</v>
      </c>
      <c r="S2144" s="46" t="s">
        <v>62</v>
      </c>
      <c r="T2144" s="46" t="s">
        <v>12</v>
      </c>
      <c r="U2144" s="46" t="s">
        <v>63</v>
      </c>
    </row>
    <row r="2145" spans="1:21">
      <c r="A2145" s="47">
        <v>34132425</v>
      </c>
      <c r="B2145" s="46" t="s">
        <v>3679</v>
      </c>
      <c r="C2145" s="55" t="s">
        <v>2430</v>
      </c>
      <c r="D2145" s="48" t="s">
        <v>3680</v>
      </c>
      <c r="E2145" s="49">
        <f t="shared" ref="E2145:E2152" ca="1" si="82">IF(D2145="","",YEARFRAC(D2145,TODAY(),1))</f>
        <v>36.882916636645291</v>
      </c>
      <c r="F2145" s="50" t="s">
        <v>3681</v>
      </c>
      <c r="G2145" s="51" t="s">
        <v>141</v>
      </c>
      <c r="H2145" s="52" t="s">
        <v>52</v>
      </c>
      <c r="I2145" s="52" t="s">
        <v>3630</v>
      </c>
      <c r="J2145" s="46" t="s">
        <v>3682</v>
      </c>
      <c r="K2145" s="46" t="s">
        <v>81</v>
      </c>
      <c r="L2145" s="46" t="s">
        <v>52</v>
      </c>
      <c r="M2145" s="53" t="s">
        <v>3683</v>
      </c>
      <c r="N2145" s="46" t="s">
        <v>52</v>
      </c>
      <c r="O2145" s="46" t="s">
        <v>52</v>
      </c>
      <c r="P2145" s="46" t="s">
        <v>59</v>
      </c>
      <c r="Q2145" s="46" t="s">
        <v>60</v>
      </c>
      <c r="R2145" s="46" t="s">
        <v>61</v>
      </c>
      <c r="S2145" s="46" t="s">
        <v>62</v>
      </c>
      <c r="T2145" s="46" t="s">
        <v>12</v>
      </c>
      <c r="U2145" s="46" t="s">
        <v>63</v>
      </c>
    </row>
    <row r="2146" spans="1:21">
      <c r="A2146" s="47">
        <v>34132588</v>
      </c>
      <c r="B2146" s="46" t="s">
        <v>308</v>
      </c>
      <c r="C2146" s="46" t="s">
        <v>6462</v>
      </c>
      <c r="D2146" s="48" t="s">
        <v>6463</v>
      </c>
      <c r="E2146" s="49">
        <f t="shared" ca="1" si="82"/>
        <v>36.84458534476547</v>
      </c>
      <c r="F2146" s="50" t="s">
        <v>6464</v>
      </c>
      <c r="G2146" s="51" t="s">
        <v>70</v>
      </c>
      <c r="H2146" s="52" t="s">
        <v>3231</v>
      </c>
      <c r="I2146" s="52" t="s">
        <v>23</v>
      </c>
      <c r="J2146" s="46" t="s">
        <v>52</v>
      </c>
      <c r="K2146" s="46" t="s">
        <v>390</v>
      </c>
      <c r="L2146" s="46" t="s">
        <v>546</v>
      </c>
      <c r="M2146" s="52" t="s">
        <v>6465</v>
      </c>
      <c r="N2146" s="46" t="s">
        <v>52</v>
      </c>
      <c r="O2146" s="46" t="s">
        <v>52</v>
      </c>
      <c r="P2146" s="46" t="s">
        <v>59</v>
      </c>
      <c r="Q2146" s="46" t="s">
        <v>60</v>
      </c>
      <c r="R2146" s="46" t="s">
        <v>61</v>
      </c>
      <c r="S2146" s="46" t="s">
        <v>62</v>
      </c>
      <c r="T2146" s="46" t="s">
        <v>12</v>
      </c>
      <c r="U2146" s="46" t="s">
        <v>63</v>
      </c>
    </row>
    <row r="2147" spans="1:21">
      <c r="A2147" s="47">
        <v>34132915</v>
      </c>
      <c r="B2147" s="46" t="s">
        <v>3061</v>
      </c>
      <c r="C2147" s="46" t="s">
        <v>3076</v>
      </c>
      <c r="D2147" s="48" t="s">
        <v>52</v>
      </c>
      <c r="E2147" s="49" t="str">
        <f t="shared" ca="1" si="82"/>
        <v/>
      </c>
      <c r="F2147" s="50" t="s">
        <v>3077</v>
      </c>
      <c r="G2147" s="51" t="s">
        <v>70</v>
      </c>
      <c r="H2147" s="52" t="s">
        <v>52</v>
      </c>
      <c r="I2147" s="52" t="s">
        <v>2926</v>
      </c>
      <c r="J2147" s="46" t="s">
        <v>52</v>
      </c>
      <c r="K2147" s="46" t="s">
        <v>81</v>
      </c>
      <c r="L2147" s="46" t="s">
        <v>546</v>
      </c>
      <c r="M2147" s="52" t="s">
        <v>3078</v>
      </c>
      <c r="N2147" s="46" t="s">
        <v>52</v>
      </c>
      <c r="O2147" s="46" t="s">
        <v>52</v>
      </c>
      <c r="P2147" s="46" t="s">
        <v>59</v>
      </c>
      <c r="Q2147" s="46" t="s">
        <v>60</v>
      </c>
      <c r="R2147" s="46" t="s">
        <v>61</v>
      </c>
      <c r="S2147" s="46" t="s">
        <v>62</v>
      </c>
      <c r="T2147" s="46" t="s">
        <v>12</v>
      </c>
      <c r="U2147" s="46" t="s">
        <v>63</v>
      </c>
    </row>
    <row r="2148" spans="1:21">
      <c r="A2148" s="47">
        <v>34133155</v>
      </c>
      <c r="B2148" s="46" t="s">
        <v>6619</v>
      </c>
      <c r="C2148" s="46" t="s">
        <v>6620</v>
      </c>
      <c r="D2148" s="48" t="s">
        <v>6621</v>
      </c>
      <c r="E2148" s="49">
        <f t="shared" ca="1" si="82"/>
        <v>36.735067367965989</v>
      </c>
      <c r="F2148" s="50" t="s">
        <v>6622</v>
      </c>
      <c r="G2148" s="51" t="s">
        <v>70</v>
      </c>
      <c r="H2148" s="52" t="s">
        <v>6623</v>
      </c>
      <c r="I2148" s="52" t="s">
        <v>6624</v>
      </c>
      <c r="J2148" s="46" t="s">
        <v>6625</v>
      </c>
      <c r="K2148" s="46" t="s">
        <v>81</v>
      </c>
      <c r="L2148" s="46" t="s">
        <v>546</v>
      </c>
      <c r="M2148" s="52" t="s">
        <v>6626</v>
      </c>
      <c r="N2148" s="46" t="s">
        <v>52</v>
      </c>
      <c r="O2148" s="46" t="s">
        <v>52</v>
      </c>
      <c r="P2148" s="46" t="s">
        <v>59</v>
      </c>
      <c r="Q2148" s="46" t="s">
        <v>60</v>
      </c>
      <c r="R2148" s="46" t="s">
        <v>61</v>
      </c>
      <c r="S2148" s="46" t="s">
        <v>62</v>
      </c>
      <c r="T2148" s="46" t="s">
        <v>12</v>
      </c>
      <c r="U2148" s="46" t="s">
        <v>63</v>
      </c>
    </row>
    <row r="2149" spans="1:21">
      <c r="A2149" s="47">
        <v>34133332</v>
      </c>
      <c r="B2149" s="46" t="s">
        <v>5480</v>
      </c>
      <c r="C2149" s="46" t="s">
        <v>1572</v>
      </c>
      <c r="D2149" s="48" t="s">
        <v>52</v>
      </c>
      <c r="E2149" s="49" t="str">
        <f t="shared" ca="1" si="82"/>
        <v/>
      </c>
      <c r="F2149" s="50" t="s">
        <v>5481</v>
      </c>
      <c r="G2149" s="51" t="s">
        <v>70</v>
      </c>
      <c r="H2149" s="52" t="s">
        <v>52</v>
      </c>
      <c r="I2149" s="52" t="s">
        <v>5304</v>
      </c>
      <c r="J2149" s="46" t="s">
        <v>5482</v>
      </c>
      <c r="K2149" s="46" t="s">
        <v>1206</v>
      </c>
      <c r="L2149" s="46" t="s">
        <v>52</v>
      </c>
      <c r="M2149" s="52" t="s">
        <v>5483</v>
      </c>
      <c r="N2149" s="46" t="s">
        <v>52</v>
      </c>
      <c r="O2149" s="46" t="s">
        <v>52</v>
      </c>
      <c r="P2149" s="46" t="s">
        <v>59</v>
      </c>
      <c r="Q2149" s="46" t="s">
        <v>60</v>
      </c>
      <c r="R2149" s="46" t="s">
        <v>61</v>
      </c>
      <c r="S2149" s="46" t="s">
        <v>62</v>
      </c>
      <c r="T2149" s="46" t="s">
        <v>12</v>
      </c>
      <c r="U2149" s="46" t="s">
        <v>63</v>
      </c>
    </row>
    <row r="2150" spans="1:21">
      <c r="A2150" s="47">
        <v>34133413</v>
      </c>
      <c r="B2150" s="46" t="s">
        <v>3064</v>
      </c>
      <c r="C2150" s="46" t="s">
        <v>3065</v>
      </c>
      <c r="D2150" s="48" t="s">
        <v>52</v>
      </c>
      <c r="E2150" s="49" t="str">
        <f t="shared" ca="1" si="82"/>
        <v/>
      </c>
      <c r="F2150" s="50" t="s">
        <v>3066</v>
      </c>
      <c r="G2150" s="51" t="s">
        <v>70</v>
      </c>
      <c r="H2150" s="52" t="s">
        <v>52</v>
      </c>
      <c r="I2150" s="52" t="s">
        <v>2926</v>
      </c>
      <c r="J2150" s="46" t="s">
        <v>52</v>
      </c>
      <c r="K2150" s="46" t="s">
        <v>52</v>
      </c>
      <c r="L2150" s="46" t="s">
        <v>546</v>
      </c>
      <c r="M2150" s="52" t="s">
        <v>3067</v>
      </c>
      <c r="N2150" s="46" t="s">
        <v>52</v>
      </c>
      <c r="O2150" s="46" t="s">
        <v>52</v>
      </c>
      <c r="P2150" s="46" t="s">
        <v>59</v>
      </c>
      <c r="Q2150" s="46" t="s">
        <v>60</v>
      </c>
      <c r="R2150" s="46" t="s">
        <v>61</v>
      </c>
      <c r="S2150" s="46" t="s">
        <v>62</v>
      </c>
      <c r="T2150" s="46" t="s">
        <v>12</v>
      </c>
      <c r="U2150" s="46" t="s">
        <v>63</v>
      </c>
    </row>
    <row r="2151" spans="1:21">
      <c r="A2151" s="47">
        <v>34133476</v>
      </c>
      <c r="B2151" s="46" t="s">
        <v>2518</v>
      </c>
      <c r="C2151" s="52" t="s">
        <v>2519</v>
      </c>
      <c r="D2151" s="48">
        <v>32810</v>
      </c>
      <c r="E2151" s="49">
        <f t="shared" ca="1" si="82"/>
        <v>36.669356581886298</v>
      </c>
      <c r="F2151" s="50">
        <v>155793777</v>
      </c>
      <c r="G2151" s="51" t="s">
        <v>23</v>
      </c>
      <c r="I2151" s="59" t="s">
        <v>908</v>
      </c>
      <c r="J2151" s="46" t="s">
        <v>1016</v>
      </c>
      <c r="M2151" s="53" t="s">
        <v>2520</v>
      </c>
      <c r="N2151" s="55"/>
      <c r="O2151" s="55"/>
    </row>
    <row r="2152" spans="1:21">
      <c r="A2152" s="47">
        <v>34133567</v>
      </c>
      <c r="B2152" s="46" t="s">
        <v>2564</v>
      </c>
      <c r="C2152" s="52" t="s">
        <v>2565</v>
      </c>
      <c r="D2152" s="48">
        <v>32806</v>
      </c>
      <c r="E2152" s="49">
        <f t="shared" ca="1" si="82"/>
        <v>36.680308379566249</v>
      </c>
      <c r="F2152" s="50">
        <v>154623916</v>
      </c>
      <c r="G2152" s="51" t="s">
        <v>23</v>
      </c>
      <c r="I2152" s="59" t="s">
        <v>908</v>
      </c>
      <c r="J2152" s="46" t="s">
        <v>2566</v>
      </c>
      <c r="M2152" s="53" t="s">
        <v>2567</v>
      </c>
      <c r="N2152" s="55"/>
      <c r="O2152" s="55"/>
    </row>
    <row r="2153" spans="1:21">
      <c r="A2153" s="47">
        <v>34160155</v>
      </c>
      <c r="B2153" s="46" t="s">
        <v>8104</v>
      </c>
      <c r="C2153" s="46" t="s">
        <v>9218</v>
      </c>
      <c r="D2153" s="48" t="s">
        <v>9763</v>
      </c>
      <c r="E2153" s="49" t="s">
        <v>9345</v>
      </c>
      <c r="F2153" s="50" t="s">
        <v>9764</v>
      </c>
      <c r="G2153" s="51" t="s">
        <v>70</v>
      </c>
      <c r="H2153" s="52" t="s">
        <v>9765</v>
      </c>
      <c r="I2153" s="52" t="s">
        <v>908</v>
      </c>
      <c r="J2153" s="46" t="s">
        <v>9766</v>
      </c>
      <c r="K2153" s="46" t="s">
        <v>112</v>
      </c>
      <c r="L2153" s="46" t="s">
        <v>546</v>
      </c>
      <c r="M2153" s="52" t="s">
        <v>9767</v>
      </c>
      <c r="N2153" s="46" t="s">
        <v>52</v>
      </c>
      <c r="O2153" s="46" t="s">
        <v>52</v>
      </c>
      <c r="P2153" s="46" t="s">
        <v>59</v>
      </c>
      <c r="Q2153" s="46" t="s">
        <v>60</v>
      </c>
      <c r="R2153" s="46" t="s">
        <v>61</v>
      </c>
      <c r="S2153" s="46" t="s">
        <v>62</v>
      </c>
      <c r="T2153" s="46" t="s">
        <v>12</v>
      </c>
      <c r="U2153" s="46" t="s">
        <v>63</v>
      </c>
    </row>
    <row r="2154" spans="1:21">
      <c r="A2154" s="47">
        <v>34185207</v>
      </c>
      <c r="B2154" s="46" t="s">
        <v>1549</v>
      </c>
      <c r="C2154" s="46" t="s">
        <v>3323</v>
      </c>
      <c r="D2154" s="48" t="s">
        <v>52</v>
      </c>
      <c r="E2154" s="49" t="str">
        <f ca="1">IF(D2154="","",YEARFRAC(D2154,TODAY(),1))</f>
        <v/>
      </c>
      <c r="F2154" s="50" t="s">
        <v>3324</v>
      </c>
      <c r="G2154" s="51" t="s">
        <v>141</v>
      </c>
      <c r="H2154" s="52" t="s">
        <v>52</v>
      </c>
      <c r="I2154" s="52" t="s">
        <v>3287</v>
      </c>
      <c r="J2154" s="46" t="s">
        <v>52</v>
      </c>
      <c r="K2154" s="46" t="s">
        <v>1206</v>
      </c>
      <c r="L2154" s="46" t="s">
        <v>52</v>
      </c>
      <c r="M2154" s="52" t="s">
        <v>3325</v>
      </c>
      <c r="N2154" s="46" t="s">
        <v>3326</v>
      </c>
      <c r="O2154" s="46" t="s">
        <v>52</v>
      </c>
      <c r="P2154" s="46" t="s">
        <v>59</v>
      </c>
      <c r="Q2154" s="46" t="s">
        <v>60</v>
      </c>
      <c r="R2154" s="46" t="s">
        <v>61</v>
      </c>
      <c r="S2154" s="46" t="s">
        <v>62</v>
      </c>
      <c r="T2154" s="46" t="s">
        <v>12</v>
      </c>
      <c r="U2154" s="46" t="s">
        <v>63</v>
      </c>
    </row>
    <row r="2155" spans="1:21">
      <c r="A2155" s="47">
        <v>34185492</v>
      </c>
      <c r="B2155" s="46" t="s">
        <v>774</v>
      </c>
      <c r="C2155" s="46" t="s">
        <v>97</v>
      </c>
      <c r="D2155" s="48">
        <v>32553</v>
      </c>
      <c r="E2155" s="49">
        <f ca="1">IF(D2155="","",YEARFRAC(D2155,TODAY(),1))</f>
        <v>37.373009582822966</v>
      </c>
      <c r="F2155" s="50">
        <v>155493446</v>
      </c>
      <c r="G2155" s="51" t="s">
        <v>78</v>
      </c>
      <c r="I2155" s="52" t="s">
        <v>3127</v>
      </c>
      <c r="J2155" s="55" t="s">
        <v>38</v>
      </c>
      <c r="K2155" s="55"/>
      <c r="L2155" s="55"/>
      <c r="M2155" s="53" t="s">
        <v>3137</v>
      </c>
      <c r="N2155" s="55" t="s">
        <v>3138</v>
      </c>
      <c r="O2155" s="55"/>
      <c r="P2155" s="55" t="s">
        <v>3139</v>
      </c>
    </row>
    <row r="2156" spans="1:21">
      <c r="A2156" s="47">
        <v>34185736</v>
      </c>
      <c r="B2156" s="46" t="s">
        <v>652</v>
      </c>
      <c r="C2156" s="46" t="s">
        <v>6107</v>
      </c>
      <c r="D2156" s="48">
        <v>32875</v>
      </c>
      <c r="E2156" s="49">
        <f ca="1">IF(D2156="","",YEARFRAC(D2156,TODAY(),1))</f>
        <v>36.490750332988014</v>
      </c>
      <c r="F2156" s="50">
        <v>156639820</v>
      </c>
      <c r="G2156" s="51" t="s">
        <v>23</v>
      </c>
      <c r="I2156" s="52" t="s">
        <v>23</v>
      </c>
      <c r="M2156" s="53" t="s">
        <v>6108</v>
      </c>
    </row>
    <row r="2157" spans="1:21">
      <c r="A2157" s="47">
        <v>34185816</v>
      </c>
      <c r="B2157" s="46" t="s">
        <v>8798</v>
      </c>
      <c r="C2157" s="46" t="s">
        <v>6534</v>
      </c>
      <c r="D2157" s="48" t="s">
        <v>52</v>
      </c>
      <c r="E2157" s="49" t="str">
        <f ca="1">IF(D2157="","",YEARFRAC(D2157,TODAY(),1))</f>
        <v/>
      </c>
      <c r="F2157" s="50" t="s">
        <v>6535</v>
      </c>
      <c r="G2157" s="51" t="s">
        <v>141</v>
      </c>
      <c r="H2157" s="52" t="s">
        <v>52</v>
      </c>
      <c r="I2157" s="52" t="s">
        <v>5881</v>
      </c>
      <c r="J2157" s="46" t="s">
        <v>6536</v>
      </c>
      <c r="K2157" s="46" t="s">
        <v>81</v>
      </c>
      <c r="L2157" s="46" t="s">
        <v>52</v>
      </c>
      <c r="M2157" s="52" t="s">
        <v>6537</v>
      </c>
      <c r="N2157" s="46" t="s">
        <v>6538</v>
      </c>
      <c r="O2157" s="46" t="s">
        <v>6283</v>
      </c>
      <c r="P2157" s="46" t="s">
        <v>59</v>
      </c>
      <c r="Q2157" s="46" t="s">
        <v>60</v>
      </c>
      <c r="R2157" s="46" t="s">
        <v>61</v>
      </c>
      <c r="S2157" s="46" t="s">
        <v>62</v>
      </c>
      <c r="T2157" s="46" t="s">
        <v>12</v>
      </c>
      <c r="U2157" s="46" t="s">
        <v>63</v>
      </c>
    </row>
    <row r="2158" spans="1:21">
      <c r="A2158" s="47">
        <v>34201512</v>
      </c>
      <c r="B2158" s="46" t="s">
        <v>5838</v>
      </c>
      <c r="C2158" s="46" t="s">
        <v>9250</v>
      </c>
      <c r="D2158" s="48" t="s">
        <v>9344</v>
      </c>
      <c r="E2158" s="49" t="s">
        <v>9345</v>
      </c>
      <c r="F2158" s="50" t="s">
        <v>9346</v>
      </c>
      <c r="G2158" s="51" t="s">
        <v>70</v>
      </c>
      <c r="H2158" s="52" t="s">
        <v>9341</v>
      </c>
      <c r="I2158" s="52" t="s">
        <v>1497</v>
      </c>
      <c r="J2158" s="46" t="s">
        <v>9342</v>
      </c>
      <c r="K2158" s="46" t="s">
        <v>112</v>
      </c>
      <c r="L2158" s="46" t="s">
        <v>546</v>
      </c>
      <c r="M2158" s="52" t="s">
        <v>9347</v>
      </c>
      <c r="N2158" s="46" t="s">
        <v>52</v>
      </c>
      <c r="O2158" s="46" t="s">
        <v>52</v>
      </c>
      <c r="P2158" s="46" t="s">
        <v>59</v>
      </c>
      <c r="Q2158" s="46" t="s">
        <v>60</v>
      </c>
      <c r="R2158" s="46" t="s">
        <v>61</v>
      </c>
      <c r="S2158" s="46" t="s">
        <v>62</v>
      </c>
      <c r="T2158" s="46" t="s">
        <v>12</v>
      </c>
      <c r="U2158" s="46" t="s">
        <v>63</v>
      </c>
    </row>
    <row r="2159" spans="1:21">
      <c r="A2159" s="47">
        <v>34285035</v>
      </c>
      <c r="B2159" s="46" t="s">
        <v>2592</v>
      </c>
      <c r="C2159" s="55" t="s">
        <v>2593</v>
      </c>
      <c r="D2159" s="48">
        <v>32961</v>
      </c>
      <c r="E2159" s="49">
        <f ca="1">IF(D2159="","",YEARFRAC(D2159,TODAY(),1))</f>
        <v>36.255290809530855</v>
      </c>
      <c r="F2159" s="50">
        <v>155788700</v>
      </c>
      <c r="G2159" s="51" t="s">
        <v>141</v>
      </c>
      <c r="I2159" s="59" t="s">
        <v>908</v>
      </c>
      <c r="J2159" s="55"/>
      <c r="K2159" s="55"/>
      <c r="L2159" s="55"/>
      <c r="M2159" s="53" t="s">
        <v>2594</v>
      </c>
      <c r="N2159" s="55">
        <v>4212400</v>
      </c>
      <c r="O2159" s="55">
        <v>226</v>
      </c>
    </row>
    <row r="2160" spans="1:21">
      <c r="A2160" s="47">
        <v>34285844</v>
      </c>
      <c r="B2160" s="46" t="s">
        <v>2081</v>
      </c>
      <c r="C2160" s="55" t="s">
        <v>2082</v>
      </c>
      <c r="D2160" s="48" t="s">
        <v>52</v>
      </c>
      <c r="E2160" s="49" t="str">
        <f ca="1">IF(D2160="","",YEARFRAC(D2160,TODAY(),1))</f>
        <v/>
      </c>
      <c r="F2160" s="50" t="s">
        <v>2083</v>
      </c>
      <c r="G2160" s="51" t="s">
        <v>141</v>
      </c>
      <c r="H2160" s="52" t="s">
        <v>52</v>
      </c>
      <c r="I2160" s="52" t="s">
        <v>1881</v>
      </c>
      <c r="J2160" s="55" t="s">
        <v>2084</v>
      </c>
      <c r="K2160" s="55" t="s">
        <v>81</v>
      </c>
      <c r="L2160" s="55" t="s">
        <v>52</v>
      </c>
      <c r="M2160" s="53" t="s">
        <v>2085</v>
      </c>
      <c r="N2160" s="55" t="s">
        <v>89</v>
      </c>
      <c r="O2160" s="55" t="s">
        <v>2086</v>
      </c>
      <c r="P2160" s="46" t="s">
        <v>59</v>
      </c>
      <c r="Q2160" s="46" t="s">
        <v>60</v>
      </c>
      <c r="R2160" s="46" t="s">
        <v>61</v>
      </c>
      <c r="S2160" s="46" t="s">
        <v>62</v>
      </c>
      <c r="T2160" s="46" t="s">
        <v>12</v>
      </c>
      <c r="U2160" s="46" t="s">
        <v>63</v>
      </c>
    </row>
    <row r="2161" spans="1:21">
      <c r="A2161" s="47">
        <v>34286519</v>
      </c>
      <c r="B2161" s="46" t="s">
        <v>1523</v>
      </c>
      <c r="C2161" s="46" t="s">
        <v>1182</v>
      </c>
      <c r="D2161" s="48">
        <v>33065</v>
      </c>
      <c r="E2161" s="49">
        <f ca="1">IF(D2161="","",YEARFRAC(D2161,TODAY(),1))</f>
        <v>35.970549060233836</v>
      </c>
      <c r="F2161" s="50">
        <v>155243299</v>
      </c>
      <c r="G2161" s="51" t="s">
        <v>70</v>
      </c>
      <c r="I2161" s="52" t="s">
        <v>3427</v>
      </c>
      <c r="J2161" s="46" t="s">
        <v>38</v>
      </c>
      <c r="M2161" s="53" t="s">
        <v>3471</v>
      </c>
      <c r="O2161" s="46">
        <v>4247752</v>
      </c>
    </row>
    <row r="2162" spans="1:21">
      <c r="A2162" s="47">
        <v>34286655</v>
      </c>
      <c r="B2162" s="46" t="s">
        <v>3867</v>
      </c>
      <c r="C2162" s="46" t="s">
        <v>9488</v>
      </c>
      <c r="D2162" s="48" t="s">
        <v>52</v>
      </c>
      <c r="E2162" s="49" t="s">
        <v>52</v>
      </c>
      <c r="F2162" s="50" t="s">
        <v>52</v>
      </c>
      <c r="G2162" s="51" t="s">
        <v>52</v>
      </c>
      <c r="H2162" s="52" t="s">
        <v>52</v>
      </c>
      <c r="I2162" s="52" t="s">
        <v>3630</v>
      </c>
      <c r="J2162" s="46" t="s">
        <v>52</v>
      </c>
      <c r="K2162" s="46" t="s">
        <v>52</v>
      </c>
      <c r="L2162" s="46" t="s">
        <v>546</v>
      </c>
      <c r="M2162" s="52" t="s">
        <v>9489</v>
      </c>
      <c r="N2162" s="46" t="s">
        <v>52</v>
      </c>
      <c r="O2162" s="46" t="s">
        <v>52</v>
      </c>
      <c r="P2162" s="46" t="s">
        <v>59</v>
      </c>
      <c r="Q2162" s="46" t="s">
        <v>60</v>
      </c>
      <c r="R2162" s="46" t="s">
        <v>61</v>
      </c>
      <c r="S2162" s="46" t="s">
        <v>62</v>
      </c>
      <c r="T2162" s="46" t="s">
        <v>12</v>
      </c>
      <c r="U2162" s="46" t="s">
        <v>63</v>
      </c>
    </row>
    <row r="2163" spans="1:21">
      <c r="A2163" s="47">
        <v>34286838</v>
      </c>
      <c r="B2163" s="46" t="s">
        <v>304</v>
      </c>
      <c r="C2163" s="52" t="s">
        <v>5061</v>
      </c>
      <c r="D2163" s="48">
        <v>33058</v>
      </c>
      <c r="E2163" s="49">
        <f t="shared" ref="E2163:E2170" ca="1" si="83">IF(D2163="","",YEARFRAC(D2163,TODAY(),1))</f>
        <v>35.98971437028267</v>
      </c>
      <c r="F2163" s="50">
        <v>155690760</v>
      </c>
      <c r="G2163" s="51" t="s">
        <v>23</v>
      </c>
      <c r="I2163" s="65" t="s">
        <v>4954</v>
      </c>
      <c r="J2163" s="46" t="s">
        <v>2002</v>
      </c>
      <c r="M2163" s="53" t="s">
        <v>5062</v>
      </c>
      <c r="N2163" s="55">
        <v>4247752</v>
      </c>
      <c r="O2163" s="55">
        <v>6906</v>
      </c>
    </row>
    <row r="2164" spans="1:21">
      <c r="A2164" s="47">
        <v>34286888</v>
      </c>
      <c r="B2164" s="46" t="s">
        <v>304</v>
      </c>
      <c r="C2164" s="52" t="s">
        <v>5061</v>
      </c>
      <c r="D2164" s="48">
        <v>33058</v>
      </c>
      <c r="E2164" s="49">
        <f t="shared" ca="1" si="83"/>
        <v>35.98971437028267</v>
      </c>
      <c r="F2164" s="50">
        <v>155690760</v>
      </c>
      <c r="G2164" s="51" t="s">
        <v>23</v>
      </c>
      <c r="I2164" s="65" t="s">
        <v>4954</v>
      </c>
      <c r="M2164" s="53" t="s">
        <v>5062</v>
      </c>
      <c r="N2164" s="55"/>
      <c r="O2164" s="55"/>
    </row>
    <row r="2165" spans="1:21">
      <c r="A2165" s="47">
        <v>34287096</v>
      </c>
      <c r="B2165" s="46" t="s">
        <v>1219</v>
      </c>
      <c r="C2165" s="46" t="s">
        <v>1220</v>
      </c>
      <c r="D2165" s="48" t="s">
        <v>52</v>
      </c>
      <c r="E2165" s="49" t="str">
        <f t="shared" ca="1" si="83"/>
        <v/>
      </c>
      <c r="F2165" s="50" t="s">
        <v>1221</v>
      </c>
      <c r="G2165" s="51" t="s">
        <v>70</v>
      </c>
      <c r="H2165" s="52" t="s">
        <v>1222</v>
      </c>
      <c r="I2165" s="59" t="s">
        <v>908</v>
      </c>
      <c r="J2165" s="46" t="s">
        <v>1223</v>
      </c>
      <c r="K2165" s="46" t="s">
        <v>390</v>
      </c>
      <c r="L2165" s="46" t="s">
        <v>52</v>
      </c>
      <c r="M2165" s="53" t="s">
        <v>1224</v>
      </c>
      <c r="N2165" s="46" t="s">
        <v>52</v>
      </c>
      <c r="O2165" s="46" t="s">
        <v>52</v>
      </c>
      <c r="P2165" s="46" t="s">
        <v>59</v>
      </c>
      <c r="Q2165" s="46" t="s">
        <v>60</v>
      </c>
      <c r="R2165" s="46" t="s">
        <v>61</v>
      </c>
      <c r="S2165" s="46" t="s">
        <v>62</v>
      </c>
      <c r="T2165" s="46" t="s">
        <v>12</v>
      </c>
      <c r="U2165" s="46" t="s">
        <v>63</v>
      </c>
    </row>
    <row r="2166" spans="1:21">
      <c r="A2166" s="47">
        <v>34287160</v>
      </c>
      <c r="B2166" s="46" t="s">
        <v>595</v>
      </c>
      <c r="C2166" s="46" t="s">
        <v>596</v>
      </c>
      <c r="D2166" s="48">
        <v>32669</v>
      </c>
      <c r="E2166" s="49">
        <f t="shared" ca="1" si="83"/>
        <v>37.055407450104475</v>
      </c>
      <c r="F2166" s="50">
        <v>155106487</v>
      </c>
      <c r="G2166" s="51" t="s">
        <v>23</v>
      </c>
      <c r="I2166" s="52" t="s">
        <v>594</v>
      </c>
      <c r="J2166" s="46" t="s">
        <v>597</v>
      </c>
      <c r="M2166" s="53" t="s">
        <v>598</v>
      </c>
    </row>
    <row r="2167" spans="1:21">
      <c r="A2167" s="47">
        <v>34287491</v>
      </c>
      <c r="B2167" s="46" t="s">
        <v>288</v>
      </c>
      <c r="C2167" s="46" t="s">
        <v>2112</v>
      </c>
      <c r="D2167" s="48" t="s">
        <v>2113</v>
      </c>
      <c r="E2167" s="49">
        <f t="shared" ca="1" si="83"/>
        <v>36.904820232005186</v>
      </c>
      <c r="F2167" s="50" t="s">
        <v>2114</v>
      </c>
      <c r="G2167" s="51" t="s">
        <v>141</v>
      </c>
      <c r="H2167" s="52" t="s">
        <v>52</v>
      </c>
      <c r="I2167" s="52" t="s">
        <v>1881</v>
      </c>
      <c r="J2167" s="46" t="s">
        <v>52</v>
      </c>
      <c r="K2167" s="46" t="s">
        <v>159</v>
      </c>
      <c r="L2167" s="46" t="s">
        <v>52</v>
      </c>
      <c r="M2167" s="53" t="s">
        <v>2115</v>
      </c>
      <c r="N2167" s="46" t="s">
        <v>52</v>
      </c>
      <c r="O2167" s="46" t="s">
        <v>52</v>
      </c>
      <c r="P2167" s="46" t="s">
        <v>59</v>
      </c>
      <c r="Q2167" s="46" t="s">
        <v>60</v>
      </c>
      <c r="R2167" s="46" t="s">
        <v>61</v>
      </c>
      <c r="S2167" s="46" t="s">
        <v>62</v>
      </c>
      <c r="T2167" s="46" t="s">
        <v>12</v>
      </c>
      <c r="U2167" s="46" t="s">
        <v>63</v>
      </c>
    </row>
    <row r="2168" spans="1:21">
      <c r="A2168" s="47">
        <v>34287573</v>
      </c>
      <c r="B2168" s="46" t="s">
        <v>218</v>
      </c>
      <c r="C2168" s="52" t="s">
        <v>6155</v>
      </c>
      <c r="D2168" s="48">
        <v>32750</v>
      </c>
      <c r="E2168" s="49">
        <f t="shared" ca="1" si="83"/>
        <v>36.833633547085526</v>
      </c>
      <c r="F2168" s="50">
        <v>156451231</v>
      </c>
      <c r="G2168" s="51" t="s">
        <v>23</v>
      </c>
      <c r="I2168" s="52" t="s">
        <v>23</v>
      </c>
      <c r="J2168" s="46" t="s">
        <v>6156</v>
      </c>
      <c r="M2168" s="53" t="s">
        <v>6157</v>
      </c>
      <c r="N2168" s="55"/>
      <c r="O2168" s="55"/>
    </row>
    <row r="2169" spans="1:21">
      <c r="A2169" s="47">
        <v>34287762</v>
      </c>
      <c r="B2169" s="46" t="s">
        <v>1879</v>
      </c>
      <c r="C2169" s="46" t="s">
        <v>1880</v>
      </c>
      <c r="D2169" s="48">
        <v>32782</v>
      </c>
      <c r="E2169" s="49">
        <f t="shared" ca="1" si="83"/>
        <v>36.74601916564594</v>
      </c>
      <c r="F2169" s="50">
        <v>154121848</v>
      </c>
      <c r="G2169" s="51" t="s">
        <v>141</v>
      </c>
      <c r="I2169" s="52" t="s">
        <v>1881</v>
      </c>
      <c r="J2169" s="46" t="s">
        <v>205</v>
      </c>
      <c r="M2169" s="53" t="s">
        <v>1882</v>
      </c>
      <c r="P2169" s="46">
        <v>4</v>
      </c>
    </row>
    <row r="2170" spans="1:21">
      <c r="A2170" s="47">
        <v>34327341</v>
      </c>
      <c r="B2170" s="46" t="s">
        <v>252</v>
      </c>
      <c r="C2170" s="46" t="s">
        <v>253</v>
      </c>
      <c r="D2170" s="48">
        <v>33091</v>
      </c>
      <c r="E2170" s="49">
        <f t="shared" ca="1" si="83"/>
        <v>35.899363622909576</v>
      </c>
      <c r="F2170" s="50">
        <v>153573671</v>
      </c>
      <c r="G2170" s="51" t="s">
        <v>141</v>
      </c>
      <c r="I2170" s="52" t="s">
        <v>24</v>
      </c>
      <c r="M2170" s="53" t="s">
        <v>254</v>
      </c>
      <c r="N2170" s="46">
        <v>483010</v>
      </c>
    </row>
    <row r="2171" spans="1:21">
      <c r="A2171" s="74">
        <v>34356805</v>
      </c>
      <c r="B2171" s="234" t="s">
        <v>9883</v>
      </c>
      <c r="C2171" s="234" t="s">
        <v>7488</v>
      </c>
      <c r="D2171" s="235">
        <v>32618</v>
      </c>
      <c r="E2171" s="236"/>
      <c r="F2171" s="237">
        <v>3815429232</v>
      </c>
      <c r="G2171" s="234" t="s">
        <v>70</v>
      </c>
      <c r="H2171" s="238" t="s">
        <v>6793</v>
      </c>
      <c r="I2171" s="238" t="s">
        <v>8646</v>
      </c>
      <c r="J2171" s="234" t="s">
        <v>6709</v>
      </c>
      <c r="K2171" s="234" t="s">
        <v>2002</v>
      </c>
      <c r="L2171" s="234"/>
      <c r="M2171" s="238" t="s">
        <v>4022</v>
      </c>
      <c r="N2171" s="234"/>
      <c r="O2171" s="234"/>
      <c r="P2171" s="234"/>
      <c r="Q2171" s="234"/>
      <c r="R2171" s="234"/>
      <c r="S2171" s="234"/>
      <c r="T2171" s="234"/>
      <c r="U2171" s="234"/>
    </row>
    <row r="2172" spans="1:21">
      <c r="A2172" s="47">
        <v>34442738</v>
      </c>
      <c r="B2172" s="46" t="s">
        <v>1378</v>
      </c>
      <c r="C2172" s="46" t="s">
        <v>1379</v>
      </c>
      <c r="D2172" s="48" t="s">
        <v>52</v>
      </c>
      <c r="E2172" s="49" t="str">
        <f ca="1">IF(D2172="","",YEARFRAC(D2172,TODAY(),1))</f>
        <v/>
      </c>
      <c r="F2172" s="50" t="s">
        <v>1380</v>
      </c>
      <c r="G2172" s="51" t="s">
        <v>70</v>
      </c>
      <c r="H2172" s="52" t="s">
        <v>1381</v>
      </c>
      <c r="I2172" s="59" t="s">
        <v>908</v>
      </c>
      <c r="J2172" s="46" t="s">
        <v>1382</v>
      </c>
      <c r="K2172" s="46" t="s">
        <v>81</v>
      </c>
      <c r="L2172" s="46" t="s">
        <v>52</v>
      </c>
      <c r="M2172" s="52" t="s">
        <v>1383</v>
      </c>
      <c r="N2172" s="46" t="s">
        <v>1384</v>
      </c>
      <c r="O2172" s="46" t="s">
        <v>52</v>
      </c>
      <c r="P2172" s="46" t="s">
        <v>59</v>
      </c>
      <c r="Q2172" s="46" t="s">
        <v>60</v>
      </c>
      <c r="R2172" s="46" t="s">
        <v>61</v>
      </c>
      <c r="S2172" s="46" t="s">
        <v>62</v>
      </c>
      <c r="T2172" s="46" t="s">
        <v>12</v>
      </c>
      <c r="U2172" s="46" t="s">
        <v>63</v>
      </c>
    </row>
    <row r="2173" spans="1:21">
      <c r="A2173" s="47">
        <v>34509589</v>
      </c>
      <c r="B2173" s="46" t="s">
        <v>9432</v>
      </c>
      <c r="C2173" s="46" t="s">
        <v>1141</v>
      </c>
      <c r="D2173" s="48" t="s">
        <v>52</v>
      </c>
      <c r="E2173" s="49" t="s">
        <v>52</v>
      </c>
      <c r="F2173" s="50" t="s">
        <v>52</v>
      </c>
      <c r="G2173" s="51" t="s">
        <v>52</v>
      </c>
      <c r="H2173" s="52" t="s">
        <v>52</v>
      </c>
      <c r="I2173" s="52" t="s">
        <v>594</v>
      </c>
      <c r="J2173" s="46" t="s">
        <v>52</v>
      </c>
      <c r="K2173" s="46" t="s">
        <v>52</v>
      </c>
      <c r="L2173" s="46" t="s">
        <v>52</v>
      </c>
      <c r="M2173" s="52" t="s">
        <v>9433</v>
      </c>
      <c r="N2173" s="46" t="s">
        <v>52</v>
      </c>
      <c r="O2173" s="46" t="s">
        <v>52</v>
      </c>
      <c r="P2173" s="46" t="s">
        <v>59</v>
      </c>
      <c r="Q2173" s="46" t="s">
        <v>60</v>
      </c>
      <c r="R2173" s="46" t="s">
        <v>61</v>
      </c>
      <c r="S2173" s="46" t="s">
        <v>62</v>
      </c>
      <c r="T2173" s="46" t="s">
        <v>12</v>
      </c>
      <c r="U2173" s="46" t="s">
        <v>63</v>
      </c>
    </row>
    <row r="2174" spans="1:21">
      <c r="A2174" s="47">
        <v>34603476</v>
      </c>
      <c r="B2174" s="46" t="s">
        <v>9840</v>
      </c>
      <c r="C2174" s="46" t="s">
        <v>9841</v>
      </c>
      <c r="D2174" s="48" t="s">
        <v>9842</v>
      </c>
      <c r="E2174" s="49" t="s">
        <v>9572</v>
      </c>
      <c r="F2174" s="50" t="s">
        <v>9843</v>
      </c>
      <c r="G2174" s="51" t="s">
        <v>141</v>
      </c>
      <c r="H2174" s="52" t="s">
        <v>52</v>
      </c>
      <c r="I2174" s="52" t="s">
        <v>2926</v>
      </c>
      <c r="J2174" s="46" t="s">
        <v>3972</v>
      </c>
      <c r="K2174" s="46" t="s">
        <v>81</v>
      </c>
      <c r="L2174" s="46" t="s">
        <v>546</v>
      </c>
      <c r="M2174" s="52" t="s">
        <v>9844</v>
      </c>
      <c r="N2174" s="46" t="s">
        <v>52</v>
      </c>
      <c r="O2174" s="46" t="s">
        <v>52</v>
      </c>
      <c r="P2174" s="46" t="s">
        <v>59</v>
      </c>
      <c r="Q2174" s="46" t="s">
        <v>60</v>
      </c>
      <c r="R2174" s="46" t="s">
        <v>61</v>
      </c>
      <c r="S2174" s="46" t="s">
        <v>62</v>
      </c>
      <c r="T2174" s="46" t="s">
        <v>12</v>
      </c>
      <c r="U2174" s="46" t="s">
        <v>63</v>
      </c>
    </row>
    <row r="2175" spans="1:21">
      <c r="A2175" s="47">
        <v>34603822</v>
      </c>
      <c r="B2175" s="46" t="s">
        <v>4669</v>
      </c>
      <c r="C2175" s="46" t="s">
        <v>9490</v>
      </c>
      <c r="D2175" s="48" t="s">
        <v>52</v>
      </c>
      <c r="E2175" s="49" t="s">
        <v>52</v>
      </c>
      <c r="F2175" s="50" t="s">
        <v>52</v>
      </c>
      <c r="G2175" s="51" t="s">
        <v>52</v>
      </c>
      <c r="H2175" s="52" t="s">
        <v>52</v>
      </c>
      <c r="I2175" s="52" t="s">
        <v>5176</v>
      </c>
      <c r="J2175" s="46" t="s">
        <v>52</v>
      </c>
      <c r="K2175" s="46" t="s">
        <v>52</v>
      </c>
      <c r="L2175" s="46" t="s">
        <v>546</v>
      </c>
      <c r="M2175" s="52" t="s">
        <v>9491</v>
      </c>
      <c r="N2175" s="46" t="s">
        <v>52</v>
      </c>
      <c r="O2175" s="46" t="s">
        <v>52</v>
      </c>
      <c r="P2175" s="46" t="s">
        <v>59</v>
      </c>
      <c r="Q2175" s="46" t="s">
        <v>60</v>
      </c>
      <c r="R2175" s="46" t="s">
        <v>61</v>
      </c>
      <c r="S2175" s="46" t="s">
        <v>62</v>
      </c>
      <c r="T2175" s="46" t="s">
        <v>12</v>
      </c>
      <c r="U2175" s="46" t="s">
        <v>63</v>
      </c>
    </row>
    <row r="2176" spans="1:21">
      <c r="A2176" s="47">
        <v>34659862</v>
      </c>
      <c r="B2176" s="46" t="s">
        <v>685</v>
      </c>
      <c r="C2176" s="46" t="s">
        <v>8686</v>
      </c>
      <c r="D2176" s="48" t="s">
        <v>52</v>
      </c>
      <c r="E2176" s="49" t="str">
        <f ca="1">IF(D2176="","",YEARFRAC(D2176,TODAY(),1))</f>
        <v/>
      </c>
      <c r="F2176" s="50" t="s">
        <v>8688</v>
      </c>
      <c r="G2176" s="51" t="s">
        <v>70</v>
      </c>
      <c r="H2176" s="52" t="s">
        <v>8689</v>
      </c>
      <c r="I2176" s="52" t="s">
        <v>1497</v>
      </c>
      <c r="J2176" s="46" t="s">
        <v>8667</v>
      </c>
      <c r="K2176" s="46" t="s">
        <v>8668</v>
      </c>
      <c r="L2176" s="46" t="s">
        <v>546</v>
      </c>
      <c r="M2176" s="52" t="s">
        <v>8687</v>
      </c>
      <c r="N2176" s="46" t="s">
        <v>52</v>
      </c>
      <c r="O2176" s="46" t="s">
        <v>52</v>
      </c>
      <c r="P2176" s="46" t="s">
        <v>59</v>
      </c>
      <c r="Q2176" s="46" t="s">
        <v>60</v>
      </c>
      <c r="R2176" s="46" t="s">
        <v>61</v>
      </c>
      <c r="S2176" s="46" t="s">
        <v>62</v>
      </c>
      <c r="T2176" s="46" t="s">
        <v>12</v>
      </c>
      <c r="U2176" s="46" t="s">
        <v>63</v>
      </c>
    </row>
    <row r="2177" spans="1:21">
      <c r="A2177" s="47">
        <v>34668582</v>
      </c>
      <c r="B2177" s="46" t="s">
        <v>1283</v>
      </c>
      <c r="C2177" s="52" t="s">
        <v>1326</v>
      </c>
      <c r="D2177" s="48">
        <v>32859</v>
      </c>
      <c r="E2177" s="49">
        <f ca="1">IF(D2177="","",YEARFRAC(D2177,TODAY(),1))</f>
        <v>36.535197060306935</v>
      </c>
      <c r="F2177" s="50" t="s">
        <v>1837</v>
      </c>
      <c r="G2177" s="51" t="s">
        <v>23</v>
      </c>
      <c r="I2177" s="52" t="s">
        <v>1657</v>
      </c>
      <c r="J2177" s="46" t="s">
        <v>1838</v>
      </c>
      <c r="M2177" s="58" t="s">
        <v>25</v>
      </c>
      <c r="N2177" s="55"/>
      <c r="O2177" s="55">
        <v>7551</v>
      </c>
    </row>
    <row r="2178" spans="1:21">
      <c r="A2178" s="47">
        <v>34719301</v>
      </c>
      <c r="B2178" s="46" t="s">
        <v>68</v>
      </c>
      <c r="C2178" s="46" t="s">
        <v>27</v>
      </c>
      <c r="E2178" s="49" t="str">
        <f ca="1">IF(D2178="","",YEARFRAC(D2178,TODAY(),1))</f>
        <v/>
      </c>
      <c r="F2178" s="50">
        <v>154424419</v>
      </c>
      <c r="G2178" s="51" t="s">
        <v>23</v>
      </c>
      <c r="I2178" s="52" t="s">
        <v>2427</v>
      </c>
      <c r="M2178" s="53" t="s">
        <v>2428</v>
      </c>
      <c r="N2178" s="46">
        <v>4107260</v>
      </c>
    </row>
    <row r="2179" spans="1:21">
      <c r="A2179" s="47">
        <v>34719449</v>
      </c>
      <c r="B2179" s="46" t="s">
        <v>359</v>
      </c>
      <c r="C2179" s="46" t="s">
        <v>5275</v>
      </c>
      <c r="E2179" s="49" t="str">
        <f ca="1">IF(D2179="","",YEARFRAC(D2179,TODAY(),1))</f>
        <v/>
      </c>
      <c r="F2179" s="50">
        <v>156380155</v>
      </c>
      <c r="G2179" s="51" t="s">
        <v>23</v>
      </c>
      <c r="I2179" s="52" t="s">
        <v>5259</v>
      </c>
      <c r="M2179" s="53" t="s">
        <v>5276</v>
      </c>
    </row>
    <row r="2180" spans="1:21">
      <c r="A2180" s="47">
        <v>34719547</v>
      </c>
      <c r="B2180" s="46" t="s">
        <v>443</v>
      </c>
      <c r="C2180" s="46" t="s">
        <v>9586</v>
      </c>
      <c r="D2180" s="48" t="s">
        <v>9587</v>
      </c>
      <c r="E2180" s="49" t="s">
        <v>9572</v>
      </c>
      <c r="F2180" s="50" t="s">
        <v>9588</v>
      </c>
      <c r="G2180" s="51" t="s">
        <v>141</v>
      </c>
      <c r="H2180" s="52" t="s">
        <v>52</v>
      </c>
      <c r="I2180" s="52" t="s">
        <v>594</v>
      </c>
      <c r="J2180" s="46" t="s">
        <v>9589</v>
      </c>
      <c r="K2180" s="46" t="s">
        <v>81</v>
      </c>
      <c r="L2180" s="46" t="s">
        <v>546</v>
      </c>
      <c r="M2180" s="52" t="s">
        <v>9590</v>
      </c>
      <c r="N2180" s="46" t="s">
        <v>52</v>
      </c>
      <c r="O2180" s="46" t="s">
        <v>52</v>
      </c>
      <c r="P2180" s="46" t="s">
        <v>59</v>
      </c>
      <c r="Q2180" s="46" t="s">
        <v>60</v>
      </c>
      <c r="R2180" s="46" t="s">
        <v>61</v>
      </c>
      <c r="S2180" s="46" t="s">
        <v>62</v>
      </c>
      <c r="T2180" s="46" t="s">
        <v>12</v>
      </c>
      <c r="U2180" s="46" t="s">
        <v>63</v>
      </c>
    </row>
    <row r="2181" spans="1:21">
      <c r="A2181" s="47">
        <v>34764502</v>
      </c>
      <c r="B2181" s="46" t="s">
        <v>3583</v>
      </c>
      <c r="C2181" s="46" t="s">
        <v>3584</v>
      </c>
      <c r="D2181" s="48">
        <v>33080</v>
      </c>
      <c r="E2181" s="49">
        <f t="shared" ref="E2181:E2188" ca="1" si="84">IF(D2181="","",YEARFRAC(D2181,TODAY(),1))</f>
        <v>35.929480538700609</v>
      </c>
      <c r="G2181" s="51" t="s">
        <v>141</v>
      </c>
      <c r="I2181" s="265" t="s">
        <v>3555</v>
      </c>
      <c r="J2181" s="46" t="s">
        <v>234</v>
      </c>
      <c r="M2181" s="58" t="s">
        <v>25</v>
      </c>
      <c r="N2181" s="46" t="s">
        <v>2869</v>
      </c>
    </row>
    <row r="2182" spans="1:21">
      <c r="A2182" s="47">
        <v>34764834</v>
      </c>
      <c r="B2182" s="46" t="s">
        <v>8663</v>
      </c>
      <c r="C2182" s="46" t="s">
        <v>8664</v>
      </c>
      <c r="D2182" s="48" t="s">
        <v>52</v>
      </c>
      <c r="E2182" s="49" t="str">
        <f t="shared" ca="1" si="84"/>
        <v/>
      </c>
      <c r="F2182" s="50" t="s">
        <v>8666</v>
      </c>
      <c r="G2182" s="51" t="s">
        <v>141</v>
      </c>
      <c r="H2182" s="52" t="s">
        <v>52</v>
      </c>
      <c r="I2182" s="52" t="s">
        <v>1497</v>
      </c>
      <c r="J2182" s="46" t="s">
        <v>8667</v>
      </c>
      <c r="K2182" s="46" t="s">
        <v>8668</v>
      </c>
      <c r="L2182" s="46" t="s">
        <v>546</v>
      </c>
      <c r="M2182" s="52" t="s">
        <v>8665</v>
      </c>
      <c r="N2182" s="46" t="s">
        <v>52</v>
      </c>
      <c r="O2182" s="46" t="s">
        <v>52</v>
      </c>
      <c r="P2182" s="46" t="s">
        <v>59</v>
      </c>
      <c r="Q2182" s="46" t="s">
        <v>60</v>
      </c>
      <c r="R2182" s="46" t="s">
        <v>61</v>
      </c>
      <c r="S2182" s="46" t="s">
        <v>62</v>
      </c>
      <c r="T2182" s="46" t="s">
        <v>12</v>
      </c>
      <c r="U2182" s="46" t="s">
        <v>63</v>
      </c>
    </row>
    <row r="2183" spans="1:21">
      <c r="A2183" s="47">
        <v>34766217</v>
      </c>
      <c r="B2183" s="46" t="s">
        <v>315</v>
      </c>
      <c r="C2183" s="52" t="s">
        <v>5620</v>
      </c>
      <c r="E2183" s="49" t="str">
        <f t="shared" ca="1" si="84"/>
        <v/>
      </c>
      <c r="F2183" s="50">
        <v>156299252</v>
      </c>
      <c r="G2183" s="51" t="s">
        <v>23</v>
      </c>
      <c r="I2183" s="52" t="s">
        <v>5494</v>
      </c>
      <c r="J2183" s="46" t="s">
        <v>290</v>
      </c>
      <c r="M2183" s="58" t="s">
        <v>25</v>
      </c>
      <c r="N2183" s="55">
        <v>4242323</v>
      </c>
      <c r="O2183" s="55"/>
    </row>
    <row r="2184" spans="1:21">
      <c r="A2184" s="47">
        <v>34771893</v>
      </c>
      <c r="B2184" s="46" t="s">
        <v>8708</v>
      </c>
      <c r="C2184" s="46" t="s">
        <v>8709</v>
      </c>
      <c r="D2184" s="48" t="s">
        <v>52</v>
      </c>
      <c r="E2184" s="49" t="str">
        <f t="shared" ca="1" si="84"/>
        <v/>
      </c>
      <c r="F2184" s="50" t="s">
        <v>8711</v>
      </c>
      <c r="G2184" s="51" t="s">
        <v>141</v>
      </c>
      <c r="H2184" s="52" t="s">
        <v>52</v>
      </c>
      <c r="I2184" s="52" t="s">
        <v>1497</v>
      </c>
      <c r="J2184" s="46" t="s">
        <v>8667</v>
      </c>
      <c r="K2184" s="46" t="s">
        <v>8668</v>
      </c>
      <c r="L2184" s="46" t="s">
        <v>546</v>
      </c>
      <c r="M2184" s="52" t="s">
        <v>8710</v>
      </c>
      <c r="N2184" s="46" t="s">
        <v>52</v>
      </c>
      <c r="O2184" s="46" t="s">
        <v>52</v>
      </c>
      <c r="P2184" s="46" t="s">
        <v>59</v>
      </c>
      <c r="Q2184" s="46" t="s">
        <v>60</v>
      </c>
      <c r="R2184" s="46" t="s">
        <v>61</v>
      </c>
      <c r="S2184" s="46" t="s">
        <v>62</v>
      </c>
      <c r="T2184" s="46" t="s">
        <v>12</v>
      </c>
      <c r="U2184" s="46" t="s">
        <v>63</v>
      </c>
    </row>
    <row r="2185" spans="1:21">
      <c r="A2185" s="47">
        <v>34887773</v>
      </c>
      <c r="B2185" s="46" t="s">
        <v>1887</v>
      </c>
      <c r="C2185" s="46" t="s">
        <v>1888</v>
      </c>
      <c r="D2185" s="48">
        <v>32717</v>
      </c>
      <c r="E2185" s="49">
        <f t="shared" ca="1" si="84"/>
        <v>36.923985877945093</v>
      </c>
      <c r="F2185" s="50">
        <v>154930344</v>
      </c>
      <c r="G2185" s="51" t="s">
        <v>141</v>
      </c>
      <c r="I2185" s="52" t="s">
        <v>1881</v>
      </c>
      <c r="M2185" s="53" t="s">
        <v>1889</v>
      </c>
    </row>
    <row r="2186" spans="1:21">
      <c r="A2186" s="47">
        <v>34910252</v>
      </c>
      <c r="B2186" s="46" t="s">
        <v>1839</v>
      </c>
      <c r="C2186" s="46" t="s">
        <v>1840</v>
      </c>
      <c r="D2186" s="48">
        <v>33215</v>
      </c>
      <c r="E2186" s="49">
        <f t="shared" ca="1" si="84"/>
        <v>35.559863844901585</v>
      </c>
      <c r="F2186" s="50">
        <v>156791639</v>
      </c>
      <c r="G2186" s="51" t="s">
        <v>86</v>
      </c>
      <c r="I2186" s="52" t="s">
        <v>1657</v>
      </c>
      <c r="J2186" s="46" t="s">
        <v>1016</v>
      </c>
      <c r="M2186" s="53" t="s">
        <v>1841</v>
      </c>
      <c r="N2186" s="46">
        <v>4107563</v>
      </c>
      <c r="P2186" s="46">
        <v>3</v>
      </c>
    </row>
    <row r="2187" spans="1:21">
      <c r="A2187" s="47">
        <v>34910331</v>
      </c>
      <c r="B2187" s="46" t="s">
        <v>4040</v>
      </c>
      <c r="C2187" s="55" t="s">
        <v>4041</v>
      </c>
      <c r="D2187" s="48">
        <v>33212</v>
      </c>
      <c r="E2187" s="49">
        <f t="shared" ca="1" si="84"/>
        <v>35.568077549208233</v>
      </c>
      <c r="F2187" s="50">
        <v>156757198</v>
      </c>
      <c r="G2187" s="51" t="s">
        <v>86</v>
      </c>
      <c r="I2187" s="52" t="s">
        <v>3999</v>
      </c>
      <c r="J2187" s="55"/>
      <c r="K2187" s="55"/>
      <c r="L2187" s="55"/>
      <c r="M2187" s="53" t="s">
        <v>4042</v>
      </c>
      <c r="N2187" s="55">
        <v>4220751</v>
      </c>
      <c r="O2187" s="55"/>
    </row>
    <row r="2188" spans="1:21">
      <c r="A2188" s="47">
        <v>34910721</v>
      </c>
      <c r="B2188" s="46" t="s">
        <v>1715</v>
      </c>
      <c r="C2188" s="46" t="s">
        <v>906</v>
      </c>
      <c r="D2188" s="48" t="s">
        <v>52</v>
      </c>
      <c r="E2188" s="49" t="str">
        <f t="shared" ca="1" si="84"/>
        <v/>
      </c>
      <c r="F2188" s="50" t="s">
        <v>1716</v>
      </c>
      <c r="G2188" s="51" t="s">
        <v>86</v>
      </c>
      <c r="H2188" s="52" t="s">
        <v>52</v>
      </c>
      <c r="I2188" s="52" t="s">
        <v>1657</v>
      </c>
      <c r="J2188" s="46" t="s">
        <v>1717</v>
      </c>
      <c r="K2188" s="46" t="s">
        <v>81</v>
      </c>
      <c r="L2188" s="46" t="s">
        <v>52</v>
      </c>
      <c r="M2188" s="53" t="s">
        <v>1718</v>
      </c>
      <c r="N2188" s="46" t="s">
        <v>89</v>
      </c>
      <c r="O2188" s="46" t="s">
        <v>1719</v>
      </c>
      <c r="P2188" s="46" t="s">
        <v>59</v>
      </c>
      <c r="Q2188" s="46" t="s">
        <v>60</v>
      </c>
      <c r="R2188" s="46" t="s">
        <v>61</v>
      </c>
      <c r="S2188" s="46" t="s">
        <v>62</v>
      </c>
      <c r="T2188" s="46" t="s">
        <v>12</v>
      </c>
      <c r="U2188" s="46" t="s">
        <v>63</v>
      </c>
    </row>
    <row r="2189" spans="1:21">
      <c r="A2189" s="47">
        <v>34953481</v>
      </c>
      <c r="B2189" s="46" t="s">
        <v>377</v>
      </c>
      <c r="C2189" s="46" t="s">
        <v>9384</v>
      </c>
      <c r="D2189" s="48" t="s">
        <v>9385</v>
      </c>
      <c r="E2189" s="49" t="s">
        <v>9386</v>
      </c>
      <c r="F2189" s="50" t="s">
        <v>9387</v>
      </c>
      <c r="G2189" s="51" t="s">
        <v>141</v>
      </c>
      <c r="H2189" s="52" t="s">
        <v>52</v>
      </c>
      <c r="I2189" s="52" t="s">
        <v>2926</v>
      </c>
      <c r="J2189" s="46" t="s">
        <v>9388</v>
      </c>
      <c r="K2189" s="46" t="s">
        <v>57</v>
      </c>
      <c r="L2189" s="46" t="s">
        <v>546</v>
      </c>
      <c r="M2189" s="52" t="s">
        <v>9389</v>
      </c>
      <c r="N2189" s="46" t="s">
        <v>52</v>
      </c>
      <c r="O2189" s="46" t="s">
        <v>52</v>
      </c>
      <c r="P2189" s="46" t="s">
        <v>59</v>
      </c>
      <c r="Q2189" s="46" t="s">
        <v>60</v>
      </c>
      <c r="R2189" s="46" t="s">
        <v>61</v>
      </c>
      <c r="S2189" s="46" t="s">
        <v>62</v>
      </c>
      <c r="T2189" s="46" t="s">
        <v>12</v>
      </c>
      <c r="U2189" s="46" t="s">
        <v>63</v>
      </c>
    </row>
    <row r="2190" spans="1:21">
      <c r="A2190" s="47">
        <v>34994170</v>
      </c>
      <c r="B2190" s="46" t="s">
        <v>304</v>
      </c>
      <c r="C2190" s="46" t="s">
        <v>305</v>
      </c>
      <c r="D2190" s="48">
        <v>32877</v>
      </c>
      <c r="E2190" s="49">
        <f t="shared" ref="E2190:E2198" ca="1" si="85">IF(D2190="","",YEARFRAC(D2190,TODAY(),1))</f>
        <v>36.485274530116918</v>
      </c>
      <c r="F2190" s="50">
        <v>154199828</v>
      </c>
      <c r="G2190" s="51" t="s">
        <v>70</v>
      </c>
      <c r="I2190" s="52" t="s">
        <v>24</v>
      </c>
      <c r="J2190" s="46" t="s">
        <v>306</v>
      </c>
      <c r="M2190" s="52" t="s">
        <v>307</v>
      </c>
      <c r="P2190" s="46">
        <v>4</v>
      </c>
    </row>
    <row r="2191" spans="1:21">
      <c r="A2191" s="47">
        <v>35031978</v>
      </c>
      <c r="B2191" s="46" t="s">
        <v>3338</v>
      </c>
      <c r="C2191" s="55" t="s">
        <v>548</v>
      </c>
      <c r="E2191" s="49" t="str">
        <f t="shared" ca="1" si="85"/>
        <v/>
      </c>
      <c r="F2191" s="50">
        <v>155161395</v>
      </c>
      <c r="G2191" s="51" t="s">
        <v>70</v>
      </c>
      <c r="I2191" s="52" t="s">
        <v>3327</v>
      </c>
      <c r="J2191" s="46" t="s">
        <v>2837</v>
      </c>
      <c r="M2191" s="53" t="s">
        <v>3339</v>
      </c>
    </row>
    <row r="2192" spans="1:21">
      <c r="A2192" s="47">
        <v>35185416</v>
      </c>
      <c r="B2192" s="46" t="s">
        <v>458</v>
      </c>
      <c r="C2192" s="55" t="s">
        <v>3466</v>
      </c>
      <c r="D2192" s="48">
        <v>32909</v>
      </c>
      <c r="E2192" s="49">
        <f t="shared" ca="1" si="85"/>
        <v>36.397661684179369</v>
      </c>
      <c r="F2192" s="50">
        <v>154026210</v>
      </c>
      <c r="G2192" s="51" t="s">
        <v>70</v>
      </c>
      <c r="I2192" s="52" t="s">
        <v>3630</v>
      </c>
      <c r="J2192" s="55"/>
      <c r="K2192" s="55"/>
      <c r="L2192" s="55"/>
      <c r="M2192" s="53" t="s">
        <v>3856</v>
      </c>
      <c r="N2192" s="55">
        <v>4847356</v>
      </c>
      <c r="O2192" s="55"/>
    </row>
    <row r="2193" spans="1:21">
      <c r="A2193" s="47">
        <v>35195065</v>
      </c>
      <c r="B2193" s="46" t="s">
        <v>5082</v>
      </c>
      <c r="C2193" s="46" t="s">
        <v>3421</v>
      </c>
      <c r="D2193" s="48" t="s">
        <v>52</v>
      </c>
      <c r="E2193" s="49" t="str">
        <f t="shared" ca="1" si="85"/>
        <v/>
      </c>
      <c r="F2193" s="50" t="s">
        <v>52</v>
      </c>
      <c r="G2193" s="51" t="s">
        <v>52</v>
      </c>
      <c r="H2193" s="52" t="s">
        <v>52</v>
      </c>
      <c r="I2193" s="52" t="s">
        <v>1497</v>
      </c>
      <c r="J2193" s="46" t="s">
        <v>8667</v>
      </c>
      <c r="K2193" s="46" t="s">
        <v>8668</v>
      </c>
      <c r="L2193" s="46" t="s">
        <v>546</v>
      </c>
      <c r="M2193" s="52" t="s">
        <v>582</v>
      </c>
      <c r="N2193" s="46" t="s">
        <v>52</v>
      </c>
      <c r="O2193" s="46" t="s">
        <v>52</v>
      </c>
      <c r="P2193" s="46" t="s">
        <v>59</v>
      </c>
      <c r="Q2193" s="46" t="s">
        <v>60</v>
      </c>
      <c r="R2193" s="46" t="s">
        <v>61</v>
      </c>
      <c r="S2193" s="46" t="s">
        <v>62</v>
      </c>
      <c r="T2193" s="46" t="s">
        <v>12</v>
      </c>
      <c r="U2193" s="46" t="s">
        <v>63</v>
      </c>
    </row>
    <row r="2194" spans="1:21">
      <c r="A2194" s="47">
        <v>35195397</v>
      </c>
      <c r="B2194" s="54" t="s">
        <v>5963</v>
      </c>
      <c r="C2194" s="54" t="s">
        <v>5964</v>
      </c>
      <c r="D2194" s="48">
        <v>33209</v>
      </c>
      <c r="E2194" s="49">
        <f t="shared" ca="1" si="85"/>
        <v>35.576291253514874</v>
      </c>
      <c r="F2194" s="50">
        <v>154498302</v>
      </c>
      <c r="G2194" s="51" t="s">
        <v>86</v>
      </c>
      <c r="I2194" s="52" t="s">
        <v>23</v>
      </c>
      <c r="J2194" s="55"/>
      <c r="K2194" s="55"/>
      <c r="L2194" s="55"/>
      <c r="M2194" s="53" t="s">
        <v>5965</v>
      </c>
      <c r="N2194" s="55">
        <v>4107278</v>
      </c>
      <c r="O2194" s="55"/>
    </row>
    <row r="2195" spans="1:21">
      <c r="A2195" s="47">
        <v>35195853</v>
      </c>
      <c r="B2195" s="46" t="s">
        <v>1522</v>
      </c>
      <c r="C2195" s="46" t="s">
        <v>1523</v>
      </c>
      <c r="E2195" s="49" t="str">
        <f t="shared" ca="1" si="85"/>
        <v/>
      </c>
      <c r="F2195" s="50">
        <v>155844598</v>
      </c>
      <c r="G2195" s="51" t="s">
        <v>23</v>
      </c>
      <c r="I2195" s="52" t="s">
        <v>1497</v>
      </c>
      <c r="M2195" s="53" t="s">
        <v>1524</v>
      </c>
    </row>
    <row r="2196" spans="1:21">
      <c r="A2196" s="47">
        <v>35199654</v>
      </c>
      <c r="B2196" s="46" t="s">
        <v>6778</v>
      </c>
      <c r="C2196" s="46" t="s">
        <v>6779</v>
      </c>
      <c r="D2196" s="48" t="s">
        <v>52</v>
      </c>
      <c r="E2196" s="49" t="str">
        <f t="shared" ca="1" si="85"/>
        <v/>
      </c>
      <c r="F2196" s="50" t="s">
        <v>6780</v>
      </c>
      <c r="G2196" s="51" t="s">
        <v>70</v>
      </c>
      <c r="H2196" s="52" t="s">
        <v>6781</v>
      </c>
      <c r="I2196" s="52" t="s">
        <v>908</v>
      </c>
      <c r="J2196" s="46" t="s">
        <v>6782</v>
      </c>
      <c r="K2196" s="46" t="s">
        <v>112</v>
      </c>
      <c r="L2196" s="46" t="s">
        <v>546</v>
      </c>
      <c r="M2196" s="52" t="s">
        <v>6783</v>
      </c>
      <c r="N2196" s="46" t="s">
        <v>52</v>
      </c>
      <c r="O2196" s="46" t="s">
        <v>52</v>
      </c>
      <c r="P2196" s="46" t="s">
        <v>59</v>
      </c>
      <c r="Q2196" s="46" t="s">
        <v>60</v>
      </c>
      <c r="R2196" s="46" t="s">
        <v>61</v>
      </c>
      <c r="S2196" s="46" t="s">
        <v>62</v>
      </c>
      <c r="T2196" s="46" t="s">
        <v>12</v>
      </c>
      <c r="U2196" s="46" t="s">
        <v>63</v>
      </c>
    </row>
    <row r="2197" spans="1:21">
      <c r="A2197" s="47">
        <v>35199870</v>
      </c>
      <c r="B2197" s="46" t="s">
        <v>2059</v>
      </c>
      <c r="C2197" s="55" t="s">
        <v>2060</v>
      </c>
      <c r="D2197" s="48">
        <v>33259</v>
      </c>
      <c r="E2197" s="49">
        <f t="shared" ca="1" si="85"/>
        <v>35.43874058863792</v>
      </c>
      <c r="F2197" s="50">
        <v>155517042</v>
      </c>
      <c r="G2197" s="51" t="s">
        <v>86</v>
      </c>
      <c r="I2197" s="52" t="s">
        <v>1881</v>
      </c>
      <c r="J2197" s="55"/>
      <c r="K2197" s="55"/>
      <c r="L2197" s="55"/>
      <c r="M2197" s="53" t="s">
        <v>2061</v>
      </c>
      <c r="N2197" s="55">
        <v>4107580</v>
      </c>
      <c r="O2197" s="55"/>
    </row>
    <row r="2198" spans="1:21">
      <c r="A2198" s="47">
        <v>35199990</v>
      </c>
      <c r="B2198" s="46" t="s">
        <v>1571</v>
      </c>
      <c r="C2198" s="55" t="s">
        <v>1572</v>
      </c>
      <c r="D2198" s="48">
        <v>33275</v>
      </c>
      <c r="E2198" s="49">
        <f t="shared" ca="1" si="85"/>
        <v>35.394934976043807</v>
      </c>
      <c r="F2198" s="50">
        <v>155118711</v>
      </c>
      <c r="G2198" s="51" t="s">
        <v>70</v>
      </c>
      <c r="I2198" s="52" t="s">
        <v>1497</v>
      </c>
      <c r="J2198" s="55"/>
      <c r="K2198" s="55"/>
      <c r="L2198" s="55"/>
      <c r="M2198" s="53" t="s">
        <v>1573</v>
      </c>
      <c r="N2198" s="55">
        <v>43300633</v>
      </c>
      <c r="O2198" s="55">
        <v>203</v>
      </c>
    </row>
    <row r="2199" spans="1:21">
      <c r="A2199" s="47">
        <v>35256922</v>
      </c>
      <c r="B2199" s="46" t="s">
        <v>7349</v>
      </c>
      <c r="C2199" s="46" t="s">
        <v>6785</v>
      </c>
      <c r="D2199" s="48" t="s">
        <v>9626</v>
      </c>
      <c r="E2199" s="49" t="s">
        <v>9572</v>
      </c>
      <c r="F2199" s="50" t="s">
        <v>9627</v>
      </c>
      <c r="G2199" s="51" t="s">
        <v>70</v>
      </c>
      <c r="H2199" s="52" t="s">
        <v>9628</v>
      </c>
      <c r="I2199" s="52" t="s">
        <v>908</v>
      </c>
      <c r="J2199" s="46" t="s">
        <v>52</v>
      </c>
      <c r="K2199" s="46" t="s">
        <v>112</v>
      </c>
      <c r="L2199" s="46" t="s">
        <v>52</v>
      </c>
      <c r="M2199" s="52" t="s">
        <v>9629</v>
      </c>
      <c r="N2199" s="46" t="s">
        <v>52</v>
      </c>
      <c r="O2199" s="46" t="s">
        <v>52</v>
      </c>
      <c r="P2199" s="46" t="s">
        <v>59</v>
      </c>
      <c r="Q2199" s="46" t="s">
        <v>60</v>
      </c>
      <c r="R2199" s="46" t="s">
        <v>61</v>
      </c>
      <c r="S2199" s="46" t="s">
        <v>62</v>
      </c>
      <c r="T2199" s="46" t="s">
        <v>12</v>
      </c>
      <c r="U2199" s="46" t="s">
        <v>63</v>
      </c>
    </row>
    <row r="2200" spans="1:21">
      <c r="A2200" s="47">
        <v>35257502</v>
      </c>
      <c r="B2200" s="46" t="s">
        <v>2848</v>
      </c>
      <c r="C2200" s="46" t="s">
        <v>2849</v>
      </c>
      <c r="D2200" s="48">
        <v>32657</v>
      </c>
      <c r="E2200" s="49">
        <f ca="1">IF(D2200="","",YEARFRAC(D2200,TODAY(),1))</f>
        <v>37.088262843144314</v>
      </c>
      <c r="F2200" s="50">
        <v>155476190</v>
      </c>
      <c r="G2200" s="51" t="s">
        <v>37</v>
      </c>
      <c r="I2200" s="52" t="s">
        <v>2850</v>
      </c>
      <c r="J2200" s="46" t="s">
        <v>38</v>
      </c>
      <c r="M2200" s="53" t="s">
        <v>2851</v>
      </c>
      <c r="N2200" s="46">
        <v>4525059</v>
      </c>
      <c r="P2200" s="46">
        <v>1</v>
      </c>
    </row>
    <row r="2201" spans="1:21" ht="25.5" customHeight="1">
      <c r="A2201" s="47">
        <v>35485322</v>
      </c>
      <c r="B2201" s="46" t="s">
        <v>4227</v>
      </c>
      <c r="C2201" s="46" t="s">
        <v>906</v>
      </c>
      <c r="D2201" s="48" t="s">
        <v>52</v>
      </c>
      <c r="E2201" s="49" t="str">
        <f ca="1">IF(D2201="","",YEARFRAC(D2201,TODAY(),1))</f>
        <v/>
      </c>
      <c r="F2201" s="50" t="s">
        <v>4228</v>
      </c>
      <c r="G2201" s="51" t="s">
        <v>70</v>
      </c>
      <c r="H2201" s="52" t="s">
        <v>52</v>
      </c>
      <c r="I2201" s="52" t="s">
        <v>4181</v>
      </c>
      <c r="J2201" s="46" t="s">
        <v>4229</v>
      </c>
      <c r="K2201" s="46" t="s">
        <v>81</v>
      </c>
      <c r="L2201" s="46" t="s">
        <v>52</v>
      </c>
      <c r="M2201" s="52" t="s">
        <v>4230</v>
      </c>
      <c r="N2201" s="46" t="s">
        <v>52</v>
      </c>
      <c r="O2201" s="46" t="s">
        <v>52</v>
      </c>
      <c r="P2201" s="46" t="s">
        <v>59</v>
      </c>
      <c r="Q2201" s="46" t="s">
        <v>60</v>
      </c>
      <c r="R2201" s="46" t="s">
        <v>61</v>
      </c>
      <c r="S2201" s="46" t="s">
        <v>62</v>
      </c>
      <c r="T2201" s="46" t="s">
        <v>12</v>
      </c>
      <c r="U2201" s="46" t="s">
        <v>63</v>
      </c>
    </row>
    <row r="2202" spans="1:21">
      <c r="A2202" s="47">
        <v>35493442</v>
      </c>
      <c r="B2202" s="46" t="s">
        <v>9542</v>
      </c>
      <c r="C2202" s="46" t="s">
        <v>9543</v>
      </c>
      <c r="D2202" s="48" t="s">
        <v>9544</v>
      </c>
      <c r="E2202" s="49" t="s">
        <v>9345</v>
      </c>
      <c r="F2202" s="50" t="s">
        <v>9545</v>
      </c>
      <c r="G2202" s="51" t="s">
        <v>78</v>
      </c>
      <c r="H2202" s="52" t="s">
        <v>9546</v>
      </c>
      <c r="I2202" s="52" t="s">
        <v>5881</v>
      </c>
      <c r="J2202" s="46" t="s">
        <v>9547</v>
      </c>
      <c r="K2202" s="46" t="s">
        <v>81</v>
      </c>
      <c r="L2202" s="46" t="s">
        <v>546</v>
      </c>
      <c r="M2202" s="52" t="s">
        <v>9548</v>
      </c>
      <c r="N2202" s="46" t="s">
        <v>52</v>
      </c>
      <c r="O2202" s="46" t="s">
        <v>52</v>
      </c>
      <c r="P2202" s="46" t="s">
        <v>59</v>
      </c>
      <c r="Q2202" s="46" t="s">
        <v>60</v>
      </c>
      <c r="R2202" s="46" t="s">
        <v>61</v>
      </c>
      <c r="S2202" s="46" t="s">
        <v>62</v>
      </c>
      <c r="T2202" s="46" t="s">
        <v>12</v>
      </c>
      <c r="U2202" s="46" t="s">
        <v>63</v>
      </c>
    </row>
    <row r="2203" spans="1:21">
      <c r="A2203" s="47">
        <v>35517102</v>
      </c>
      <c r="B2203" s="46" t="s">
        <v>9569</v>
      </c>
      <c r="C2203" s="46" t="s">
        <v>9570</v>
      </c>
      <c r="D2203" s="48" t="s">
        <v>9571</v>
      </c>
      <c r="E2203" s="49" t="s">
        <v>9572</v>
      </c>
      <c r="F2203" s="50" t="s">
        <v>9573</v>
      </c>
      <c r="G2203" s="51" t="s">
        <v>141</v>
      </c>
      <c r="H2203" s="52" t="s">
        <v>9574</v>
      </c>
      <c r="I2203" s="52" t="s">
        <v>4245</v>
      </c>
      <c r="J2203" s="46" t="s">
        <v>52</v>
      </c>
      <c r="K2203" s="46" t="s">
        <v>1206</v>
      </c>
      <c r="L2203" s="46" t="s">
        <v>546</v>
      </c>
      <c r="M2203" s="52" t="s">
        <v>9575</v>
      </c>
      <c r="N2203" s="46" t="s">
        <v>52</v>
      </c>
      <c r="O2203" s="46" t="s">
        <v>52</v>
      </c>
      <c r="P2203" s="46" t="s">
        <v>59</v>
      </c>
      <c r="Q2203" s="46" t="s">
        <v>60</v>
      </c>
      <c r="R2203" s="46" t="s">
        <v>61</v>
      </c>
      <c r="S2203" s="46" t="s">
        <v>62</v>
      </c>
      <c r="T2203" s="46" t="s">
        <v>12</v>
      </c>
      <c r="U2203" s="46" t="s">
        <v>63</v>
      </c>
    </row>
    <row r="2204" spans="1:21">
      <c r="A2204" s="80">
        <v>35517532</v>
      </c>
      <c r="B2204" s="80" t="s">
        <v>8809</v>
      </c>
      <c r="C2204" s="80" t="s">
        <v>8735</v>
      </c>
      <c r="D2204" s="84">
        <v>33290</v>
      </c>
      <c r="E2204" s="49">
        <f t="shared" ref="E2204:E2209" ca="1" si="86">IF(D2204="","",YEARFRAC(D2204,TODAY(),1))</f>
        <v>35.353867214236821</v>
      </c>
      <c r="F2204" s="80">
        <v>3815551877</v>
      </c>
      <c r="G2204" s="80" t="s">
        <v>70</v>
      </c>
      <c r="H2204" s="80" t="s">
        <v>8747</v>
      </c>
      <c r="I2204" s="265" t="s">
        <v>24</v>
      </c>
      <c r="J2204" s="80"/>
      <c r="K2204" s="80" t="s">
        <v>8748</v>
      </c>
      <c r="L2204" s="80" t="s">
        <v>390</v>
      </c>
      <c r="M2204" s="80">
        <v>0</v>
      </c>
      <c r="N2204" s="80" t="s">
        <v>8746</v>
      </c>
      <c r="O2204" s="80">
        <v>3815551877</v>
      </c>
    </row>
    <row r="2205" spans="1:21">
      <c r="A2205" s="64">
        <v>35518054</v>
      </c>
      <c r="B2205" s="61" t="s">
        <v>210</v>
      </c>
      <c r="C2205" s="62" t="s">
        <v>211</v>
      </c>
      <c r="D2205" s="48">
        <v>33323</v>
      </c>
      <c r="E2205" s="49">
        <f t="shared" ca="1" si="86"/>
        <v>35.263518138261468</v>
      </c>
      <c r="F2205" s="63">
        <v>154753777</v>
      </c>
      <c r="G2205" s="51" t="s">
        <v>23</v>
      </c>
      <c r="I2205" s="52" t="s">
        <v>24</v>
      </c>
      <c r="J2205" s="61" t="s">
        <v>212</v>
      </c>
      <c r="K2205" s="61"/>
      <c r="L2205" s="61"/>
      <c r="M2205" s="53" t="s">
        <v>213</v>
      </c>
      <c r="N2205" s="55"/>
      <c r="O2205" s="55"/>
    </row>
    <row r="2206" spans="1:21">
      <c r="A2206" s="66">
        <v>35518094</v>
      </c>
      <c r="B2206" s="67" t="s">
        <v>392</v>
      </c>
      <c r="C2206" s="52" t="s">
        <v>393</v>
      </c>
      <c r="D2206" s="48">
        <v>33329</v>
      </c>
      <c r="E2206" s="49">
        <f t="shared" ca="1" si="86"/>
        <v>35.247091033538673</v>
      </c>
      <c r="F2206" s="57">
        <v>3815058071</v>
      </c>
      <c r="G2206" s="51" t="s">
        <v>23</v>
      </c>
      <c r="I2206" s="52" t="s">
        <v>24</v>
      </c>
      <c r="M2206" s="58" t="s">
        <v>25</v>
      </c>
      <c r="N2206" s="55"/>
      <c r="O2206" s="55"/>
    </row>
    <row r="2207" spans="1:21">
      <c r="A2207" s="47">
        <v>35520274</v>
      </c>
      <c r="B2207" s="46" t="s">
        <v>6083</v>
      </c>
      <c r="C2207" s="52" t="s">
        <v>6084</v>
      </c>
      <c r="D2207" s="48">
        <v>33103</v>
      </c>
      <c r="E2207" s="49">
        <f t="shared" ca="1" si="86"/>
        <v>35.866508805682997</v>
      </c>
      <c r="F2207" s="50">
        <v>153017532</v>
      </c>
      <c r="G2207" s="51" t="s">
        <v>141</v>
      </c>
      <c r="I2207" s="52" t="s">
        <v>23</v>
      </c>
      <c r="M2207" s="53" t="s">
        <v>6085</v>
      </c>
      <c r="N2207" s="55">
        <v>4247752</v>
      </c>
      <c r="O2207" s="55">
        <v>7040</v>
      </c>
    </row>
    <row r="2208" spans="1:21">
      <c r="A2208" s="47">
        <v>35523647</v>
      </c>
      <c r="B2208" s="46" t="s">
        <v>8713</v>
      </c>
      <c r="C2208" s="46" t="s">
        <v>8714</v>
      </c>
      <c r="D2208" s="48" t="s">
        <v>52</v>
      </c>
      <c r="E2208" s="49" t="str">
        <f t="shared" ca="1" si="86"/>
        <v/>
      </c>
      <c r="F2208" s="50" t="s">
        <v>8716</v>
      </c>
      <c r="G2208" s="51" t="s">
        <v>141</v>
      </c>
      <c r="H2208" s="52" t="s">
        <v>52</v>
      </c>
      <c r="I2208" s="52" t="s">
        <v>1497</v>
      </c>
      <c r="J2208" s="46" t="s">
        <v>8667</v>
      </c>
      <c r="K2208" s="46" t="s">
        <v>8668</v>
      </c>
      <c r="L2208" s="46" t="s">
        <v>546</v>
      </c>
      <c r="M2208" s="52" t="s">
        <v>8715</v>
      </c>
      <c r="N2208" s="46" t="s">
        <v>52</v>
      </c>
      <c r="O2208" s="46" t="s">
        <v>52</v>
      </c>
      <c r="P2208" s="46" t="s">
        <v>59</v>
      </c>
      <c r="Q2208" s="46" t="s">
        <v>60</v>
      </c>
      <c r="R2208" s="46" t="s">
        <v>61</v>
      </c>
      <c r="S2208" s="46" t="s">
        <v>62</v>
      </c>
      <c r="T2208" s="46" t="s">
        <v>12</v>
      </c>
      <c r="U2208" s="46" t="s">
        <v>63</v>
      </c>
    </row>
    <row r="2209" spans="1:21">
      <c r="A2209" s="47">
        <v>35548263</v>
      </c>
      <c r="B2209" s="46" t="s">
        <v>415</v>
      </c>
      <c r="C2209" s="46" t="s">
        <v>416</v>
      </c>
      <c r="D2209" s="48">
        <v>33548</v>
      </c>
      <c r="E2209" s="49">
        <f t="shared" ca="1" si="86"/>
        <v>34.647501711156742</v>
      </c>
      <c r="F2209" s="50">
        <v>155776722</v>
      </c>
      <c r="G2209" s="51" t="s">
        <v>86</v>
      </c>
      <c r="I2209" s="52" t="s">
        <v>24</v>
      </c>
      <c r="J2209" s="46" t="s">
        <v>417</v>
      </c>
      <c r="M2209" s="53" t="s">
        <v>418</v>
      </c>
      <c r="N2209" s="46">
        <v>4107545</v>
      </c>
      <c r="O2209" s="46">
        <v>7545</v>
      </c>
      <c r="P2209" s="46">
        <v>4</v>
      </c>
    </row>
    <row r="2210" spans="1:21">
      <c r="A2210" s="47">
        <v>35548937</v>
      </c>
      <c r="B2210" s="46" t="s">
        <v>5914</v>
      </c>
      <c r="C2210" s="46" t="s">
        <v>9469</v>
      </c>
      <c r="D2210" s="48" t="s">
        <v>52</v>
      </c>
      <c r="E2210" s="49" t="s">
        <v>52</v>
      </c>
      <c r="F2210" s="50" t="s">
        <v>52</v>
      </c>
      <c r="G2210" s="51" t="s">
        <v>52</v>
      </c>
      <c r="H2210" s="52" t="s">
        <v>52</v>
      </c>
      <c r="I2210" s="52" t="s">
        <v>3990</v>
      </c>
      <c r="J2210" s="46" t="s">
        <v>9470</v>
      </c>
      <c r="K2210" s="46" t="s">
        <v>52</v>
      </c>
      <c r="L2210" s="46" t="s">
        <v>546</v>
      </c>
      <c r="M2210" s="52" t="s">
        <v>9471</v>
      </c>
      <c r="N2210" s="46" t="s">
        <v>52</v>
      </c>
      <c r="O2210" s="46" t="s">
        <v>52</v>
      </c>
      <c r="P2210" s="46" t="s">
        <v>59</v>
      </c>
      <c r="Q2210" s="46" t="s">
        <v>60</v>
      </c>
      <c r="R2210" s="46" t="s">
        <v>61</v>
      </c>
      <c r="S2210" s="46" t="s">
        <v>62</v>
      </c>
      <c r="T2210" s="46" t="s">
        <v>12</v>
      </c>
      <c r="U2210" s="46" t="s">
        <v>63</v>
      </c>
    </row>
    <row r="2211" spans="1:21">
      <c r="A2211" s="80">
        <v>35807614</v>
      </c>
      <c r="B2211" s="80" t="s">
        <v>8810</v>
      </c>
      <c r="C2211" s="80" t="s">
        <v>8724</v>
      </c>
      <c r="D2211" s="84">
        <v>33382</v>
      </c>
      <c r="E2211" s="49">
        <f ca="1">IF(D2211="","",YEARFRAC(D2211,TODAY(),1))</f>
        <v>35.101984941820668</v>
      </c>
      <c r="F2211" s="80">
        <v>3814195627</v>
      </c>
      <c r="G2211" s="80" t="s">
        <v>78</v>
      </c>
      <c r="H2211" s="80"/>
      <c r="I2211" s="80" t="s">
        <v>8750</v>
      </c>
      <c r="J2211" s="80"/>
      <c r="K2211" s="80" t="s">
        <v>8751</v>
      </c>
      <c r="L2211" s="80" t="s">
        <v>2002</v>
      </c>
      <c r="M2211" s="80">
        <v>0</v>
      </c>
      <c r="N2211" s="80" t="s">
        <v>8749</v>
      </c>
      <c r="O2211" s="80">
        <v>3814311200</v>
      </c>
    </row>
    <row r="2212" spans="1:21">
      <c r="A2212" s="47">
        <v>35811646</v>
      </c>
      <c r="B2212" s="46" t="s">
        <v>326</v>
      </c>
      <c r="C2212" s="46" t="s">
        <v>6688</v>
      </c>
      <c r="D2212" s="48" t="s">
        <v>52</v>
      </c>
      <c r="E2212" s="49" t="str">
        <f ca="1">IF(D2212="","",YEARFRAC(D2212,TODAY(),1))</f>
        <v/>
      </c>
      <c r="F2212" s="50" t="s">
        <v>6689</v>
      </c>
      <c r="G2212" s="51" t="s">
        <v>70</v>
      </c>
      <c r="H2212" s="52" t="s">
        <v>1260</v>
      </c>
      <c r="I2212" s="52" t="s">
        <v>1657</v>
      </c>
      <c r="J2212" s="46" t="s">
        <v>6690</v>
      </c>
      <c r="K2212" s="46" t="s">
        <v>112</v>
      </c>
      <c r="L2212" s="46" t="s">
        <v>546</v>
      </c>
      <c r="M2212" s="52" t="s">
        <v>6691</v>
      </c>
      <c r="N2212" s="46" t="s">
        <v>52</v>
      </c>
      <c r="O2212" s="46" t="s">
        <v>52</v>
      </c>
      <c r="P2212" s="46" t="s">
        <v>59</v>
      </c>
      <c r="Q2212" s="46" t="s">
        <v>60</v>
      </c>
      <c r="R2212" s="46" t="s">
        <v>61</v>
      </c>
      <c r="S2212" s="46" t="s">
        <v>62</v>
      </c>
      <c r="T2212" s="46" t="s">
        <v>12</v>
      </c>
      <c r="U2212" s="46" t="s">
        <v>63</v>
      </c>
    </row>
    <row r="2213" spans="1:21">
      <c r="A2213" s="47">
        <v>35811700</v>
      </c>
      <c r="B2213" s="46" t="s">
        <v>100</v>
      </c>
      <c r="C2213" s="46" t="s">
        <v>101</v>
      </c>
      <c r="E2213" s="49" t="str">
        <f ca="1">IF(D2213="","",YEARFRAC(D2213,TODAY(),1))</f>
        <v/>
      </c>
      <c r="F2213" s="50">
        <v>153034597</v>
      </c>
      <c r="G2213" s="51" t="s">
        <v>23</v>
      </c>
      <c r="I2213" s="52" t="s">
        <v>24</v>
      </c>
      <c r="M2213" s="58" t="s">
        <v>25</v>
      </c>
    </row>
    <row r="2214" spans="1:21">
      <c r="A2214" s="47">
        <v>35811790</v>
      </c>
      <c r="B2214" s="46" t="s">
        <v>252</v>
      </c>
      <c r="C2214" s="46" t="s">
        <v>4365</v>
      </c>
      <c r="D2214" s="48" t="s">
        <v>9524</v>
      </c>
      <c r="E2214" s="49" t="s">
        <v>9386</v>
      </c>
      <c r="F2214" s="50" t="s">
        <v>9525</v>
      </c>
      <c r="G2214" s="51" t="s">
        <v>141</v>
      </c>
      <c r="H2214" s="52" t="s">
        <v>8765</v>
      </c>
      <c r="I2214" s="52" t="s">
        <v>4245</v>
      </c>
      <c r="J2214" s="46" t="s">
        <v>3080</v>
      </c>
      <c r="K2214" s="46" t="s">
        <v>81</v>
      </c>
      <c r="L2214" s="46" t="s">
        <v>546</v>
      </c>
      <c r="M2214" s="52" t="s">
        <v>9526</v>
      </c>
      <c r="N2214" s="46" t="s">
        <v>52</v>
      </c>
      <c r="O2214" s="46" t="s">
        <v>52</v>
      </c>
      <c r="P2214" s="46" t="s">
        <v>59</v>
      </c>
      <c r="Q2214" s="46" t="s">
        <v>60</v>
      </c>
      <c r="R2214" s="46" t="s">
        <v>61</v>
      </c>
      <c r="S2214" s="46" t="s">
        <v>62</v>
      </c>
      <c r="T2214" s="46" t="s">
        <v>12</v>
      </c>
      <c r="U2214" s="46" t="s">
        <v>63</v>
      </c>
    </row>
    <row r="2215" spans="1:21">
      <c r="A2215" s="47">
        <v>35822766</v>
      </c>
      <c r="B2215" s="46" t="s">
        <v>6339</v>
      </c>
      <c r="C2215" s="46" t="s">
        <v>4341</v>
      </c>
      <c r="E2215" s="49" t="str">
        <f ca="1">IF(D2215="","",YEARFRAC(D2215,TODAY(),1))</f>
        <v/>
      </c>
      <c r="G2215" s="51" t="s">
        <v>23</v>
      </c>
      <c r="I2215" s="52" t="s">
        <v>23</v>
      </c>
      <c r="M2215" s="58" t="s">
        <v>25</v>
      </c>
    </row>
    <row r="2216" spans="1:21">
      <c r="A2216" s="47">
        <v>35911880</v>
      </c>
      <c r="B2216" s="46" t="s">
        <v>5429</v>
      </c>
      <c r="C2216" s="46" t="s">
        <v>9808</v>
      </c>
      <c r="D2216" s="48" t="s">
        <v>9809</v>
      </c>
      <c r="E2216" s="49" t="s">
        <v>9386</v>
      </c>
      <c r="F2216" s="50" t="s">
        <v>9810</v>
      </c>
      <c r="G2216" s="51" t="s">
        <v>70</v>
      </c>
      <c r="H2216" s="52" t="s">
        <v>9514</v>
      </c>
      <c r="I2216" s="52" t="s">
        <v>908</v>
      </c>
      <c r="J2216" s="46" t="s">
        <v>9811</v>
      </c>
      <c r="K2216" s="46" t="s">
        <v>159</v>
      </c>
      <c r="L2216" s="46" t="s">
        <v>546</v>
      </c>
      <c r="M2216" s="52" t="s">
        <v>9812</v>
      </c>
      <c r="N2216" s="46" t="s">
        <v>52</v>
      </c>
      <c r="O2216" s="46" t="s">
        <v>52</v>
      </c>
      <c r="P2216" s="46" t="s">
        <v>59</v>
      </c>
      <c r="Q2216" s="46" t="s">
        <v>60</v>
      </c>
      <c r="R2216" s="46" t="s">
        <v>61</v>
      </c>
      <c r="S2216" s="46" t="s">
        <v>62</v>
      </c>
      <c r="T2216" s="46" t="s">
        <v>12</v>
      </c>
      <c r="U2216" s="46" t="s">
        <v>63</v>
      </c>
    </row>
    <row r="2217" spans="1:21">
      <c r="A2217" s="47">
        <v>35920207</v>
      </c>
      <c r="B2217" s="46" t="s">
        <v>8690</v>
      </c>
      <c r="C2217" s="46" t="s">
        <v>1353</v>
      </c>
      <c r="D2217" s="48" t="s">
        <v>52</v>
      </c>
      <c r="E2217" s="49" t="str">
        <f ca="1">IF(D2217="","",YEARFRAC(D2217,TODAY(),1))</f>
        <v/>
      </c>
      <c r="F2217" s="50" t="s">
        <v>8692</v>
      </c>
      <c r="G2217" s="51" t="s">
        <v>86</v>
      </c>
      <c r="H2217" s="52" t="s">
        <v>8693</v>
      </c>
      <c r="I2217" s="52" t="s">
        <v>1497</v>
      </c>
      <c r="J2217" s="46" t="s">
        <v>8667</v>
      </c>
      <c r="K2217" s="46" t="s">
        <v>8668</v>
      </c>
      <c r="L2217" s="46" t="s">
        <v>546</v>
      </c>
      <c r="M2217" s="52" t="s">
        <v>8691</v>
      </c>
      <c r="N2217" s="46" t="s">
        <v>52</v>
      </c>
      <c r="O2217" s="46" t="s">
        <v>52</v>
      </c>
      <c r="P2217" s="46" t="s">
        <v>59</v>
      </c>
      <c r="Q2217" s="46" t="s">
        <v>60</v>
      </c>
      <c r="R2217" s="46" t="s">
        <v>61</v>
      </c>
      <c r="S2217" s="46" t="s">
        <v>62</v>
      </c>
      <c r="T2217" s="46" t="s">
        <v>12</v>
      </c>
      <c r="U2217" s="46" t="s">
        <v>63</v>
      </c>
    </row>
    <row r="2218" spans="1:21">
      <c r="A2218" s="47">
        <v>35920586</v>
      </c>
      <c r="B2218" s="46" t="s">
        <v>6355</v>
      </c>
      <c r="C2218" s="46" t="s">
        <v>9358</v>
      </c>
      <c r="D2218" s="48" t="s">
        <v>52</v>
      </c>
      <c r="E2218" s="49" t="s">
        <v>52</v>
      </c>
      <c r="F2218" s="50" t="s">
        <v>9359</v>
      </c>
      <c r="G2218" s="51" t="s">
        <v>52</v>
      </c>
      <c r="H2218" s="52" t="s">
        <v>52</v>
      </c>
      <c r="I2218" s="52" t="s">
        <v>1497</v>
      </c>
      <c r="J2218" s="46" t="s">
        <v>9342</v>
      </c>
      <c r="K2218" s="46" t="s">
        <v>52</v>
      </c>
      <c r="L2218" s="46" t="s">
        <v>546</v>
      </c>
      <c r="M2218" s="52" t="s">
        <v>9360</v>
      </c>
      <c r="N2218" s="46" t="s">
        <v>52</v>
      </c>
      <c r="O2218" s="46" t="s">
        <v>52</v>
      </c>
      <c r="P2218" s="46" t="s">
        <v>59</v>
      </c>
      <c r="Q2218" s="46" t="s">
        <v>60</v>
      </c>
      <c r="R2218" s="46" t="s">
        <v>61</v>
      </c>
      <c r="S2218" s="46" t="s">
        <v>62</v>
      </c>
      <c r="T2218" s="46" t="s">
        <v>12</v>
      </c>
      <c r="U2218" s="46" t="s">
        <v>63</v>
      </c>
    </row>
    <row r="2219" spans="1:21">
      <c r="A2219" s="47">
        <v>35921443</v>
      </c>
      <c r="B2219" s="46" t="s">
        <v>680</v>
      </c>
      <c r="C2219" s="46" t="s">
        <v>2706</v>
      </c>
      <c r="D2219" s="48">
        <v>33338</v>
      </c>
      <c r="E2219" s="49">
        <f ca="1">IF(D2219="","",YEARFRAC(D2219,TODAY(),1))</f>
        <v>35.222450376454482</v>
      </c>
      <c r="F2219" s="50">
        <v>156654986</v>
      </c>
      <c r="G2219" s="51" t="s">
        <v>86</v>
      </c>
      <c r="I2219" s="52" t="s">
        <v>2694</v>
      </c>
      <c r="J2219" s="46" t="s">
        <v>470</v>
      </c>
      <c r="M2219" s="53" t="s">
        <v>2707</v>
      </c>
      <c r="N2219" s="46">
        <v>4107260</v>
      </c>
      <c r="O2219" s="46" t="s">
        <v>2708</v>
      </c>
      <c r="P2219" s="46">
        <v>1</v>
      </c>
    </row>
    <row r="2220" spans="1:21">
      <c r="A2220" s="47">
        <v>35921516</v>
      </c>
      <c r="B2220" s="46" t="s">
        <v>9475</v>
      </c>
      <c r="C2220" s="46" t="s">
        <v>9476</v>
      </c>
      <c r="D2220" s="48" t="s">
        <v>52</v>
      </c>
      <c r="E2220" s="49" t="s">
        <v>52</v>
      </c>
      <c r="F2220" s="50" t="s">
        <v>52</v>
      </c>
      <c r="G2220" s="51" t="s">
        <v>52</v>
      </c>
      <c r="H2220" s="52" t="s">
        <v>52</v>
      </c>
      <c r="I2220" s="52" t="s">
        <v>3427</v>
      </c>
      <c r="J2220" s="46" t="s">
        <v>52</v>
      </c>
      <c r="K2220" s="46" t="s">
        <v>52</v>
      </c>
      <c r="L2220" s="46" t="s">
        <v>546</v>
      </c>
      <c r="M2220" s="52" t="s">
        <v>9477</v>
      </c>
      <c r="N2220" s="46" t="s">
        <v>52</v>
      </c>
      <c r="O2220" s="46" t="s">
        <v>52</v>
      </c>
      <c r="P2220" s="46" t="s">
        <v>59</v>
      </c>
      <c r="Q2220" s="46" t="s">
        <v>60</v>
      </c>
      <c r="R2220" s="46" t="s">
        <v>61</v>
      </c>
      <c r="S2220" s="46" t="s">
        <v>62</v>
      </c>
      <c r="T2220" s="46" t="s">
        <v>12</v>
      </c>
      <c r="U2220" s="46" t="s">
        <v>63</v>
      </c>
    </row>
    <row r="2221" spans="1:21">
      <c r="A2221" s="47">
        <v>36049422</v>
      </c>
      <c r="B2221" s="46" t="s">
        <v>2683</v>
      </c>
      <c r="C2221" s="46" t="s">
        <v>558</v>
      </c>
      <c r="D2221" s="48">
        <v>33369</v>
      </c>
      <c r="E2221" s="49">
        <f t="shared" ref="E2221:E2226" ca="1" si="87">IF(D2221="","",YEARFRAC(D2221,TODAY(),1))</f>
        <v>35.137577002053391</v>
      </c>
      <c r="F2221" s="50">
        <v>154433898</v>
      </c>
      <c r="G2221" s="51" t="s">
        <v>141</v>
      </c>
      <c r="I2221" s="52" t="s">
        <v>3166</v>
      </c>
      <c r="J2221" s="46" t="s">
        <v>417</v>
      </c>
      <c r="M2221" s="53" t="s">
        <v>3228</v>
      </c>
      <c r="N2221" s="46">
        <v>4254424</v>
      </c>
      <c r="O2221" s="46">
        <v>58</v>
      </c>
      <c r="P2221" s="46">
        <v>1</v>
      </c>
    </row>
    <row r="2222" spans="1:21">
      <c r="A2222" s="47">
        <v>36049423</v>
      </c>
      <c r="B2222" s="46" t="s">
        <v>311</v>
      </c>
      <c r="C2222" s="46" t="s">
        <v>1801</v>
      </c>
      <c r="D2222" s="48" t="s">
        <v>52</v>
      </c>
      <c r="E2222" s="49" t="str">
        <f t="shared" ca="1" si="87"/>
        <v/>
      </c>
      <c r="F2222" s="50" t="s">
        <v>6800</v>
      </c>
      <c r="G2222" s="51" t="s">
        <v>141</v>
      </c>
      <c r="H2222" s="52" t="s">
        <v>52</v>
      </c>
      <c r="I2222" s="52" t="s">
        <v>55</v>
      </c>
      <c r="J2222" s="46" t="s">
        <v>1515</v>
      </c>
      <c r="K2222" s="46" t="s">
        <v>81</v>
      </c>
      <c r="L2222" s="46" t="s">
        <v>546</v>
      </c>
      <c r="M2222" s="52" t="s">
        <v>6801</v>
      </c>
      <c r="N2222" s="46" t="s">
        <v>52</v>
      </c>
      <c r="O2222" s="46" t="s">
        <v>52</v>
      </c>
      <c r="P2222" s="46" t="s">
        <v>59</v>
      </c>
      <c r="Q2222" s="46" t="s">
        <v>60</v>
      </c>
      <c r="R2222" s="46" t="s">
        <v>61</v>
      </c>
      <c r="S2222" s="46" t="s">
        <v>62</v>
      </c>
      <c r="T2222" s="46" t="s">
        <v>12</v>
      </c>
      <c r="U2222" s="46" t="s">
        <v>63</v>
      </c>
    </row>
    <row r="2223" spans="1:21">
      <c r="A2223" s="47">
        <v>36049481</v>
      </c>
      <c r="B2223" s="46" t="s">
        <v>1655</v>
      </c>
      <c r="C2223" s="46" t="s">
        <v>6633</v>
      </c>
      <c r="D2223" s="48" t="s">
        <v>6634</v>
      </c>
      <c r="E2223" s="49">
        <f t="shared" ca="1" si="87"/>
        <v>35.110198494182065</v>
      </c>
      <c r="F2223" s="50" t="s">
        <v>6635</v>
      </c>
      <c r="G2223" s="51" t="s">
        <v>141</v>
      </c>
      <c r="H2223" s="52" t="s">
        <v>52</v>
      </c>
      <c r="I2223" s="52" t="s">
        <v>2926</v>
      </c>
      <c r="J2223" s="46" t="s">
        <v>3080</v>
      </c>
      <c r="K2223" s="46" t="s">
        <v>81</v>
      </c>
      <c r="L2223" s="46" t="s">
        <v>546</v>
      </c>
      <c r="M2223" s="52" t="s">
        <v>6636</v>
      </c>
      <c r="N2223" s="46" t="s">
        <v>52</v>
      </c>
      <c r="O2223" s="46" t="s">
        <v>52</v>
      </c>
      <c r="P2223" s="46" t="s">
        <v>59</v>
      </c>
      <c r="Q2223" s="46" t="s">
        <v>60</v>
      </c>
      <c r="R2223" s="46" t="s">
        <v>61</v>
      </c>
      <c r="S2223" s="46" t="s">
        <v>62</v>
      </c>
      <c r="T2223" s="46" t="s">
        <v>12</v>
      </c>
      <c r="U2223" s="46" t="s">
        <v>63</v>
      </c>
    </row>
    <row r="2224" spans="1:21">
      <c r="A2224" s="47">
        <v>36049739</v>
      </c>
      <c r="B2224" s="46" t="s">
        <v>3641</v>
      </c>
      <c r="C2224" s="52" t="s">
        <v>3642</v>
      </c>
      <c r="E2224" s="49" t="str">
        <f t="shared" ca="1" si="87"/>
        <v/>
      </c>
      <c r="F2224" s="50">
        <v>155467506</v>
      </c>
      <c r="G2224" s="51" t="s">
        <v>23</v>
      </c>
      <c r="I2224" s="52" t="s">
        <v>3630</v>
      </c>
      <c r="M2224" s="53" t="s">
        <v>3643</v>
      </c>
      <c r="N2224" s="55"/>
      <c r="O2224" s="55"/>
    </row>
    <row r="2225" spans="1:21">
      <c r="A2225" s="47">
        <v>36121119</v>
      </c>
      <c r="B2225" s="46" t="s">
        <v>6696</v>
      </c>
      <c r="C2225" s="46" t="s">
        <v>4405</v>
      </c>
      <c r="D2225" s="48" t="s">
        <v>52</v>
      </c>
      <c r="E2225" s="49" t="str">
        <f t="shared" ca="1" si="87"/>
        <v/>
      </c>
      <c r="F2225" s="50" t="s">
        <v>6697</v>
      </c>
      <c r="G2225" s="51" t="s">
        <v>70</v>
      </c>
      <c r="H2225" s="52" t="s">
        <v>6698</v>
      </c>
      <c r="I2225" s="52" t="s">
        <v>1497</v>
      </c>
      <c r="J2225" s="46" t="s">
        <v>6699</v>
      </c>
      <c r="K2225" s="46" t="s">
        <v>390</v>
      </c>
      <c r="L2225" s="46" t="s">
        <v>546</v>
      </c>
      <c r="M2225" s="52" t="s">
        <v>6700</v>
      </c>
      <c r="N2225" s="46" t="s">
        <v>52</v>
      </c>
      <c r="O2225" s="46" t="s">
        <v>52</v>
      </c>
      <c r="P2225" s="46" t="s">
        <v>59</v>
      </c>
      <c r="Q2225" s="46" t="s">
        <v>60</v>
      </c>
      <c r="R2225" s="46" t="s">
        <v>61</v>
      </c>
      <c r="S2225" s="46" t="s">
        <v>62</v>
      </c>
      <c r="T2225" s="46" t="s">
        <v>12</v>
      </c>
      <c r="U2225" s="46" t="s">
        <v>63</v>
      </c>
    </row>
    <row r="2226" spans="1:21">
      <c r="A2226" s="47">
        <v>36182818</v>
      </c>
      <c r="B2226" s="46" t="s">
        <v>734</v>
      </c>
      <c r="C2226" s="46" t="s">
        <v>4806</v>
      </c>
      <c r="D2226" s="48" t="s">
        <v>52</v>
      </c>
      <c r="E2226" s="49" t="str">
        <f t="shared" ca="1" si="87"/>
        <v/>
      </c>
      <c r="F2226" s="50" t="s">
        <v>4807</v>
      </c>
      <c r="G2226" s="51" t="s">
        <v>86</v>
      </c>
      <c r="H2226" s="52" t="s">
        <v>52</v>
      </c>
      <c r="I2226" s="65" t="s">
        <v>4708</v>
      </c>
      <c r="J2226" s="46" t="s">
        <v>564</v>
      </c>
      <c r="K2226" s="46" t="s">
        <v>52</v>
      </c>
      <c r="L2226" s="46" t="s">
        <v>546</v>
      </c>
      <c r="M2226" s="52" t="s">
        <v>4808</v>
      </c>
      <c r="N2226" s="46" t="s">
        <v>52</v>
      </c>
      <c r="O2226" s="46" t="s">
        <v>52</v>
      </c>
      <c r="P2226" s="46" t="s">
        <v>59</v>
      </c>
      <c r="Q2226" s="46" t="s">
        <v>60</v>
      </c>
      <c r="R2226" s="46" t="s">
        <v>61</v>
      </c>
      <c r="S2226" s="46" t="s">
        <v>62</v>
      </c>
      <c r="T2226" s="46" t="s">
        <v>12</v>
      </c>
      <c r="U2226" s="46" t="s">
        <v>63</v>
      </c>
    </row>
    <row r="2227" spans="1:21">
      <c r="A2227" s="47">
        <v>36224178</v>
      </c>
      <c r="B2227" s="46" t="s">
        <v>9780</v>
      </c>
      <c r="C2227" s="46" t="s">
        <v>9684</v>
      </c>
      <c r="D2227" s="48" t="s">
        <v>9781</v>
      </c>
      <c r="E2227" s="49" t="s">
        <v>9386</v>
      </c>
      <c r="F2227" s="50" t="s">
        <v>9782</v>
      </c>
      <c r="G2227" s="51" t="s">
        <v>70</v>
      </c>
      <c r="H2227" s="52" t="s">
        <v>9783</v>
      </c>
      <c r="I2227" s="52" t="s">
        <v>908</v>
      </c>
      <c r="J2227" s="46" t="s">
        <v>9784</v>
      </c>
      <c r="K2227" s="46" t="s">
        <v>112</v>
      </c>
      <c r="L2227" s="46" t="s">
        <v>52</v>
      </c>
      <c r="M2227" s="52" t="s">
        <v>9785</v>
      </c>
      <c r="N2227" s="46" t="s">
        <v>52</v>
      </c>
      <c r="O2227" s="46" t="s">
        <v>52</v>
      </c>
      <c r="P2227" s="46" t="s">
        <v>59</v>
      </c>
      <c r="Q2227" s="46" t="s">
        <v>60</v>
      </c>
      <c r="R2227" s="46" t="s">
        <v>61</v>
      </c>
      <c r="S2227" s="46" t="s">
        <v>62</v>
      </c>
      <c r="T2227" s="46" t="s">
        <v>12</v>
      </c>
      <c r="U2227" s="46" t="s">
        <v>63</v>
      </c>
    </row>
    <row r="2228" spans="1:21">
      <c r="A2228" s="47">
        <v>36224368</v>
      </c>
      <c r="B2228" s="46" t="s">
        <v>1257</v>
      </c>
      <c r="C2228" s="46" t="s">
        <v>1258</v>
      </c>
      <c r="D2228" s="48" t="s">
        <v>52</v>
      </c>
      <c r="E2228" s="49" t="str">
        <f t="shared" ref="E2228:E2233" ca="1" si="88">IF(D2228="","",YEARFRAC(D2228,TODAY(),1))</f>
        <v/>
      </c>
      <c r="F2228" s="50" t="s">
        <v>1259</v>
      </c>
      <c r="G2228" s="51" t="s">
        <v>70</v>
      </c>
      <c r="H2228" s="52" t="s">
        <v>1260</v>
      </c>
      <c r="I2228" s="59" t="s">
        <v>908</v>
      </c>
      <c r="J2228" s="46" t="s">
        <v>52</v>
      </c>
      <c r="K2228" s="46" t="s">
        <v>81</v>
      </c>
      <c r="L2228" s="46" t="s">
        <v>52</v>
      </c>
      <c r="M2228" s="53" t="s">
        <v>1261</v>
      </c>
      <c r="N2228" s="46" t="s">
        <v>1262</v>
      </c>
      <c r="O2228" s="46" t="s">
        <v>52</v>
      </c>
      <c r="P2228" s="46" t="s">
        <v>59</v>
      </c>
      <c r="Q2228" s="46" t="s">
        <v>60</v>
      </c>
      <c r="R2228" s="46" t="s">
        <v>61</v>
      </c>
      <c r="S2228" s="46" t="s">
        <v>62</v>
      </c>
      <c r="T2228" s="46" t="s">
        <v>12</v>
      </c>
      <c r="U2228" s="46" t="s">
        <v>63</v>
      </c>
    </row>
    <row r="2229" spans="1:21">
      <c r="A2229" s="47">
        <v>36224754</v>
      </c>
      <c r="B2229" s="46" t="s">
        <v>3196</v>
      </c>
      <c r="C2229" s="46" t="s">
        <v>3197</v>
      </c>
      <c r="D2229" s="48">
        <v>33501</v>
      </c>
      <c r="E2229" s="49">
        <f t="shared" ca="1" si="88"/>
        <v>34.776180698151954</v>
      </c>
      <c r="F2229" s="50">
        <v>154644492</v>
      </c>
      <c r="G2229" s="51" t="s">
        <v>86</v>
      </c>
      <c r="I2229" s="52" t="s">
        <v>3166</v>
      </c>
      <c r="J2229" s="46" t="s">
        <v>38</v>
      </c>
      <c r="M2229" s="53" t="s">
        <v>3198</v>
      </c>
    </row>
    <row r="2230" spans="1:21">
      <c r="A2230" s="47">
        <v>36420278</v>
      </c>
      <c r="B2230" s="46" t="s">
        <v>218</v>
      </c>
      <c r="C2230" s="46" t="s">
        <v>6158</v>
      </c>
      <c r="E2230" s="49" t="str">
        <f t="shared" ca="1" si="88"/>
        <v/>
      </c>
      <c r="F2230" s="50">
        <v>156302704</v>
      </c>
      <c r="G2230" s="51" t="s">
        <v>23</v>
      </c>
      <c r="I2230" s="52" t="s">
        <v>23</v>
      </c>
      <c r="M2230" s="53" t="s">
        <v>6159</v>
      </c>
      <c r="N2230" s="46">
        <v>4107278</v>
      </c>
    </row>
    <row r="2231" spans="1:21">
      <c r="A2231" s="47">
        <v>36420306</v>
      </c>
      <c r="B2231" s="46" t="s">
        <v>5572</v>
      </c>
      <c r="C2231" s="52" t="s">
        <v>5573</v>
      </c>
      <c r="E2231" s="49" t="str">
        <f t="shared" ca="1" si="88"/>
        <v/>
      </c>
      <c r="F2231" s="50">
        <v>3815101512</v>
      </c>
      <c r="G2231" s="51" t="s">
        <v>23</v>
      </c>
      <c r="I2231" s="52" t="s">
        <v>5494</v>
      </c>
      <c r="J2231" s="46" t="s">
        <v>5574</v>
      </c>
      <c r="M2231" s="53" t="s">
        <v>5575</v>
      </c>
      <c r="N2231" s="55"/>
      <c r="O2231" s="55"/>
    </row>
    <row r="2232" spans="1:21">
      <c r="A2232" s="47">
        <v>36420915</v>
      </c>
      <c r="B2232" s="46" t="s">
        <v>4213</v>
      </c>
      <c r="C2232" s="46" t="s">
        <v>2418</v>
      </c>
      <c r="D2232" s="48" t="s">
        <v>52</v>
      </c>
      <c r="E2232" s="49" t="str">
        <f t="shared" ca="1" si="88"/>
        <v/>
      </c>
      <c r="F2232" s="50" t="s">
        <v>4214</v>
      </c>
      <c r="G2232" s="51" t="s">
        <v>78</v>
      </c>
      <c r="H2232" s="52" t="s">
        <v>4215</v>
      </c>
      <c r="I2232" s="52" t="s">
        <v>4181</v>
      </c>
      <c r="J2232" s="46" t="s">
        <v>4216</v>
      </c>
      <c r="K2232" s="46" t="s">
        <v>81</v>
      </c>
      <c r="L2232" s="46" t="s">
        <v>52</v>
      </c>
      <c r="M2232" s="240" t="s">
        <v>4217</v>
      </c>
      <c r="N2232" s="46" t="s">
        <v>931</v>
      </c>
      <c r="O2232" s="46" t="s">
        <v>4218</v>
      </c>
      <c r="P2232" s="46" t="s">
        <v>59</v>
      </c>
      <c r="Q2232" s="46" t="s">
        <v>60</v>
      </c>
      <c r="R2232" s="46" t="s">
        <v>61</v>
      </c>
      <c r="S2232" s="46" t="s">
        <v>62</v>
      </c>
      <c r="T2232" s="46" t="s">
        <v>12</v>
      </c>
      <c r="U2232" s="46" t="s">
        <v>63</v>
      </c>
    </row>
    <row r="2233" spans="1:21">
      <c r="A2233" s="47">
        <v>36498608</v>
      </c>
      <c r="B2233" s="46" t="s">
        <v>8699</v>
      </c>
      <c r="C2233" s="46" t="s">
        <v>2623</v>
      </c>
      <c r="D2233" s="48" t="s">
        <v>52</v>
      </c>
      <c r="E2233" s="49" t="str">
        <f t="shared" ca="1" si="88"/>
        <v/>
      </c>
      <c r="F2233" s="50" t="s">
        <v>8701</v>
      </c>
      <c r="G2233" s="51" t="s">
        <v>70</v>
      </c>
      <c r="H2233" s="52" t="s">
        <v>8702</v>
      </c>
      <c r="I2233" s="52" t="s">
        <v>1497</v>
      </c>
      <c r="J2233" s="46" t="s">
        <v>8667</v>
      </c>
      <c r="K2233" s="46" t="s">
        <v>8668</v>
      </c>
      <c r="L2233" s="46" t="s">
        <v>546</v>
      </c>
      <c r="M2233" s="52" t="s">
        <v>8700</v>
      </c>
      <c r="N2233" s="46" t="s">
        <v>52</v>
      </c>
      <c r="O2233" s="46" t="s">
        <v>52</v>
      </c>
      <c r="P2233" s="46" t="s">
        <v>59</v>
      </c>
      <c r="Q2233" s="46" t="s">
        <v>60</v>
      </c>
      <c r="R2233" s="46" t="s">
        <v>61</v>
      </c>
      <c r="S2233" s="46" t="s">
        <v>62</v>
      </c>
      <c r="T2233" s="46" t="s">
        <v>12</v>
      </c>
      <c r="U2233" s="46" t="s">
        <v>63</v>
      </c>
    </row>
    <row r="2234" spans="1:21">
      <c r="A2234" s="47">
        <v>36583794</v>
      </c>
      <c r="B2234" s="46" t="s">
        <v>9646</v>
      </c>
      <c r="C2234" s="46" t="s">
        <v>9647</v>
      </c>
      <c r="D2234" s="48" t="s">
        <v>9648</v>
      </c>
      <c r="E2234" s="49" t="s">
        <v>9386</v>
      </c>
      <c r="F2234" s="50" t="s">
        <v>9649</v>
      </c>
      <c r="G2234" s="51" t="s">
        <v>70</v>
      </c>
      <c r="H2234" s="52" t="s">
        <v>9650</v>
      </c>
      <c r="I2234" s="52" t="s">
        <v>908</v>
      </c>
      <c r="J2234" s="46" t="s">
        <v>9651</v>
      </c>
      <c r="K2234" s="46" t="s">
        <v>390</v>
      </c>
      <c r="L2234" s="46" t="s">
        <v>546</v>
      </c>
      <c r="M2234" s="52" t="s">
        <v>9652</v>
      </c>
      <c r="N2234" s="46" t="s">
        <v>52</v>
      </c>
      <c r="O2234" s="46" t="s">
        <v>52</v>
      </c>
      <c r="P2234" s="46" t="s">
        <v>59</v>
      </c>
      <c r="Q2234" s="46" t="s">
        <v>60</v>
      </c>
      <c r="R2234" s="46" t="s">
        <v>61</v>
      </c>
      <c r="S2234" s="46" t="s">
        <v>62</v>
      </c>
      <c r="T2234" s="46" t="s">
        <v>12</v>
      </c>
      <c r="U2234" s="46" t="s">
        <v>63</v>
      </c>
    </row>
    <row r="2235" spans="1:21">
      <c r="A2235" s="47">
        <v>36583989</v>
      </c>
      <c r="B2235" s="46" t="s">
        <v>2087</v>
      </c>
      <c r="C2235" s="46" t="s">
        <v>6706</v>
      </c>
      <c r="D2235" s="48" t="s">
        <v>52</v>
      </c>
      <c r="E2235" s="49" t="str">
        <f ca="1">IF(D2235="","",YEARFRAC(D2235,TODAY(),1))</f>
        <v/>
      </c>
      <c r="F2235" s="50" t="s">
        <v>6707</v>
      </c>
      <c r="G2235" s="51" t="s">
        <v>78</v>
      </c>
      <c r="H2235" s="52" t="s">
        <v>6708</v>
      </c>
      <c r="I2235" s="52" t="s">
        <v>1881</v>
      </c>
      <c r="J2235" s="46" t="s">
        <v>6709</v>
      </c>
      <c r="K2235" s="46" t="s">
        <v>81</v>
      </c>
      <c r="L2235" s="46" t="s">
        <v>546</v>
      </c>
      <c r="M2235" s="52" t="s">
        <v>6710</v>
      </c>
      <c r="N2235" s="46" t="s">
        <v>52</v>
      </c>
      <c r="O2235" s="46" t="s">
        <v>52</v>
      </c>
      <c r="P2235" s="46" t="s">
        <v>59</v>
      </c>
      <c r="Q2235" s="46" t="s">
        <v>60</v>
      </c>
      <c r="R2235" s="46" t="s">
        <v>61</v>
      </c>
      <c r="S2235" s="46" t="s">
        <v>62</v>
      </c>
      <c r="T2235" s="46" t="s">
        <v>12</v>
      </c>
      <c r="U2235" s="46" t="s">
        <v>63</v>
      </c>
    </row>
    <row r="2236" spans="1:21">
      <c r="A2236" s="75">
        <v>36583992</v>
      </c>
      <c r="B2236" s="46" t="s">
        <v>315</v>
      </c>
      <c r="C2236" s="52" t="s">
        <v>2143</v>
      </c>
      <c r="D2236" s="48">
        <v>33608</v>
      </c>
      <c r="E2236" s="49">
        <f ca="1">IF(D2236="","",YEARFRAC(D2236,TODAY(),1))</f>
        <v>34.482556320400498</v>
      </c>
      <c r="F2236" s="72">
        <v>156492562</v>
      </c>
      <c r="G2236" s="51" t="s">
        <v>23</v>
      </c>
      <c r="I2236" s="52" t="s">
        <v>1881</v>
      </c>
      <c r="J2236" s="76" t="s">
        <v>2144</v>
      </c>
      <c r="K2236" s="76"/>
      <c r="L2236" s="76"/>
      <c r="M2236" s="53" t="s">
        <v>2145</v>
      </c>
      <c r="N2236" s="55"/>
      <c r="O2236" s="55"/>
    </row>
    <row r="2237" spans="1:21">
      <c r="A2237" s="47">
        <v>36584270</v>
      </c>
      <c r="B2237" s="46" t="s">
        <v>7151</v>
      </c>
      <c r="C2237" s="46" t="s">
        <v>5879</v>
      </c>
      <c r="D2237" s="48" t="s">
        <v>52</v>
      </c>
      <c r="E2237" s="49" t="str">
        <f ca="1">IF(D2237="","",YEARFRAC(D2237,TODAY(),1))</f>
        <v/>
      </c>
      <c r="F2237" s="50" t="s">
        <v>5880</v>
      </c>
      <c r="G2237" s="51" t="s">
        <v>86</v>
      </c>
      <c r="H2237" s="52" t="s">
        <v>52</v>
      </c>
      <c r="I2237" s="52" t="s">
        <v>5881</v>
      </c>
      <c r="J2237" s="46" t="s">
        <v>5882</v>
      </c>
      <c r="K2237" s="46" t="s">
        <v>81</v>
      </c>
      <c r="L2237" s="46" t="s">
        <v>52</v>
      </c>
      <c r="M2237" s="53" t="s">
        <v>5883</v>
      </c>
      <c r="N2237" s="46" t="s">
        <v>5884</v>
      </c>
      <c r="O2237" s="46" t="s">
        <v>52</v>
      </c>
      <c r="P2237" s="46" t="s">
        <v>59</v>
      </c>
      <c r="Q2237" s="46" t="s">
        <v>60</v>
      </c>
      <c r="R2237" s="46" t="s">
        <v>61</v>
      </c>
      <c r="S2237" s="46" t="s">
        <v>62</v>
      </c>
      <c r="T2237" s="46" t="s">
        <v>12</v>
      </c>
      <c r="U2237" s="46" t="s">
        <v>63</v>
      </c>
    </row>
    <row r="2238" spans="1:21">
      <c r="A2238" s="47">
        <v>36585539</v>
      </c>
      <c r="B2238" s="46" t="s">
        <v>9466</v>
      </c>
      <c r="C2238" s="46" t="s">
        <v>9467</v>
      </c>
      <c r="D2238" s="48" t="s">
        <v>52</v>
      </c>
      <c r="E2238" s="49" t="s">
        <v>52</v>
      </c>
      <c r="F2238" s="50" t="s">
        <v>52</v>
      </c>
      <c r="G2238" s="51" t="s">
        <v>52</v>
      </c>
      <c r="H2238" s="52" t="s">
        <v>52</v>
      </c>
      <c r="I2238" s="52" t="s">
        <v>52</v>
      </c>
      <c r="J2238" s="46" t="s">
        <v>9440</v>
      </c>
      <c r="K2238" s="46" t="s">
        <v>52</v>
      </c>
      <c r="L2238" s="46" t="s">
        <v>546</v>
      </c>
      <c r="M2238" s="52" t="s">
        <v>9468</v>
      </c>
      <c r="N2238" s="46" t="s">
        <v>52</v>
      </c>
      <c r="O2238" s="46" t="s">
        <v>52</v>
      </c>
      <c r="P2238" s="46" t="s">
        <v>59</v>
      </c>
      <c r="Q2238" s="46" t="s">
        <v>60</v>
      </c>
      <c r="R2238" s="46" t="s">
        <v>61</v>
      </c>
      <c r="S2238" s="46" t="s">
        <v>62</v>
      </c>
      <c r="T2238" s="46" t="s">
        <v>12</v>
      </c>
      <c r="U2238" s="46" t="s">
        <v>63</v>
      </c>
    </row>
    <row r="2239" spans="1:21">
      <c r="A2239" s="47">
        <v>36585692</v>
      </c>
      <c r="B2239" s="46" t="s">
        <v>608</v>
      </c>
      <c r="C2239" s="46" t="s">
        <v>2931</v>
      </c>
      <c r="D2239" s="48" t="s">
        <v>52</v>
      </c>
      <c r="E2239" s="49" t="str">
        <f ca="1">IF(D2239="","",YEARFRAC(D2239,TODAY(),1))</f>
        <v/>
      </c>
      <c r="F2239" s="50" t="s">
        <v>2932</v>
      </c>
      <c r="G2239" s="51" t="s">
        <v>141</v>
      </c>
      <c r="H2239" s="52" t="s">
        <v>52</v>
      </c>
      <c r="I2239" s="52" t="s">
        <v>2926</v>
      </c>
      <c r="J2239" s="46" t="s">
        <v>2933</v>
      </c>
      <c r="K2239" s="46" t="s">
        <v>81</v>
      </c>
      <c r="L2239" s="46" t="s">
        <v>52</v>
      </c>
      <c r="M2239" s="53" t="s">
        <v>2934</v>
      </c>
      <c r="N2239" s="46" t="s">
        <v>2935</v>
      </c>
      <c r="O2239" s="46" t="s">
        <v>52</v>
      </c>
      <c r="P2239" s="46" t="s">
        <v>59</v>
      </c>
      <c r="Q2239" s="46" t="s">
        <v>60</v>
      </c>
      <c r="R2239" s="46" t="s">
        <v>61</v>
      </c>
      <c r="S2239" s="46" t="s">
        <v>62</v>
      </c>
      <c r="T2239" s="46" t="s">
        <v>12</v>
      </c>
      <c r="U2239" s="46" t="s">
        <v>63</v>
      </c>
    </row>
    <row r="2240" spans="1:21">
      <c r="A2240" s="47">
        <v>36766001</v>
      </c>
      <c r="B2240" s="46" t="s">
        <v>4696</v>
      </c>
      <c r="C2240" s="46" t="s">
        <v>4697</v>
      </c>
      <c r="D2240" s="48" t="s">
        <v>52</v>
      </c>
      <c r="E2240" s="49" t="str">
        <f ca="1">IF(D2240="","",YEARFRAC(D2240,TODAY(),1))</f>
        <v/>
      </c>
      <c r="F2240" s="50" t="s">
        <v>4698</v>
      </c>
      <c r="G2240" s="51" t="s">
        <v>86</v>
      </c>
      <c r="H2240" s="52" t="s">
        <v>52</v>
      </c>
      <c r="I2240" s="52" t="s">
        <v>4499</v>
      </c>
      <c r="J2240" s="46" t="s">
        <v>564</v>
      </c>
      <c r="K2240" s="46" t="s">
        <v>52</v>
      </c>
      <c r="L2240" s="46" t="s">
        <v>52</v>
      </c>
      <c r="M2240" s="52" t="s">
        <v>4699</v>
      </c>
      <c r="N2240" s="46" t="s">
        <v>52</v>
      </c>
      <c r="O2240" s="46" t="s">
        <v>52</v>
      </c>
      <c r="P2240" s="46" t="s">
        <v>59</v>
      </c>
      <c r="Q2240" s="46" t="s">
        <v>60</v>
      </c>
      <c r="R2240" s="46" t="s">
        <v>61</v>
      </c>
      <c r="S2240" s="46" t="s">
        <v>62</v>
      </c>
      <c r="T2240" s="46" t="s">
        <v>12</v>
      </c>
      <c r="U2240" s="46" t="s">
        <v>63</v>
      </c>
    </row>
    <row r="2241" spans="1:21">
      <c r="A2241" s="47">
        <v>36838188</v>
      </c>
      <c r="B2241" s="46" t="s">
        <v>875</v>
      </c>
      <c r="C2241" s="46" t="s">
        <v>3409</v>
      </c>
      <c r="D2241" s="48" t="s">
        <v>52</v>
      </c>
      <c r="E2241" s="49" t="str">
        <f ca="1">IF(D2241="","",YEARFRAC(D2241,TODAY(),1))</f>
        <v/>
      </c>
      <c r="F2241" s="50" t="s">
        <v>3410</v>
      </c>
      <c r="G2241" s="51" t="s">
        <v>78</v>
      </c>
      <c r="H2241" s="52" t="s">
        <v>52</v>
      </c>
      <c r="I2241" s="52" t="s">
        <v>3327</v>
      </c>
      <c r="J2241" s="46" t="s">
        <v>3411</v>
      </c>
      <c r="K2241" s="46" t="s">
        <v>81</v>
      </c>
      <c r="L2241" s="46" t="s">
        <v>52</v>
      </c>
      <c r="M2241" s="53" t="s">
        <v>3412</v>
      </c>
      <c r="N2241" s="46" t="s">
        <v>3393</v>
      </c>
      <c r="O2241" s="46" t="s">
        <v>3413</v>
      </c>
      <c r="P2241" s="46" t="s">
        <v>59</v>
      </c>
      <c r="Q2241" s="46" t="s">
        <v>60</v>
      </c>
      <c r="R2241" s="46" t="s">
        <v>61</v>
      </c>
      <c r="S2241" s="46" t="s">
        <v>62</v>
      </c>
      <c r="T2241" s="46" t="s">
        <v>12</v>
      </c>
      <c r="U2241" s="46" t="s">
        <v>63</v>
      </c>
    </row>
    <row r="2242" spans="1:21">
      <c r="A2242" s="47">
        <v>36838389</v>
      </c>
      <c r="B2242" s="46" t="s">
        <v>9448</v>
      </c>
      <c r="C2242" s="46" t="s">
        <v>9449</v>
      </c>
      <c r="D2242" s="48" t="s">
        <v>52</v>
      </c>
      <c r="E2242" s="49" t="s">
        <v>52</v>
      </c>
      <c r="F2242" s="50" t="s">
        <v>52</v>
      </c>
      <c r="G2242" s="51" t="s">
        <v>52</v>
      </c>
      <c r="H2242" s="52" t="s">
        <v>52</v>
      </c>
      <c r="I2242" s="52" t="s">
        <v>8660</v>
      </c>
      <c r="J2242" s="46" t="s">
        <v>52</v>
      </c>
      <c r="K2242" s="46" t="s">
        <v>52</v>
      </c>
      <c r="L2242" s="46" t="s">
        <v>52</v>
      </c>
      <c r="M2242" s="52" t="s">
        <v>9450</v>
      </c>
      <c r="N2242" s="46" t="s">
        <v>52</v>
      </c>
      <c r="O2242" s="46" t="s">
        <v>52</v>
      </c>
      <c r="P2242" s="46" t="s">
        <v>59</v>
      </c>
      <c r="Q2242" s="46" t="s">
        <v>60</v>
      </c>
      <c r="R2242" s="46" t="s">
        <v>61</v>
      </c>
      <c r="S2242" s="46" t="s">
        <v>62</v>
      </c>
      <c r="T2242" s="46" t="s">
        <v>12</v>
      </c>
      <c r="U2242" s="46" t="s">
        <v>63</v>
      </c>
    </row>
    <row r="2243" spans="1:21">
      <c r="A2243" s="47">
        <v>36838485</v>
      </c>
      <c r="B2243" s="46" t="s">
        <v>1793</v>
      </c>
      <c r="C2243" s="46" t="s">
        <v>3088</v>
      </c>
      <c r="D2243" s="48" t="s">
        <v>52</v>
      </c>
      <c r="E2243" s="49" t="str">
        <f ca="1">IF(D2243="","",YEARFRAC(D2243,TODAY(),1))</f>
        <v/>
      </c>
      <c r="F2243" s="50" t="s">
        <v>3089</v>
      </c>
      <c r="G2243" s="51" t="s">
        <v>86</v>
      </c>
      <c r="H2243" s="52" t="s">
        <v>52</v>
      </c>
      <c r="I2243" s="52" t="s">
        <v>2926</v>
      </c>
      <c r="J2243" s="46" t="s">
        <v>52</v>
      </c>
      <c r="K2243" s="46" t="s">
        <v>81</v>
      </c>
      <c r="L2243" s="46" t="s">
        <v>546</v>
      </c>
      <c r="M2243" s="52" t="s">
        <v>3090</v>
      </c>
      <c r="N2243" s="46" t="s">
        <v>52</v>
      </c>
      <c r="O2243" s="46" t="s">
        <v>52</v>
      </c>
      <c r="P2243" s="46" t="s">
        <v>59</v>
      </c>
      <c r="Q2243" s="46" t="s">
        <v>60</v>
      </c>
      <c r="R2243" s="46" t="s">
        <v>61</v>
      </c>
      <c r="S2243" s="46" t="s">
        <v>62</v>
      </c>
      <c r="T2243" s="46" t="s">
        <v>12</v>
      </c>
      <c r="U2243" s="46" t="s">
        <v>63</v>
      </c>
    </row>
    <row r="2244" spans="1:21">
      <c r="A2244" s="47">
        <v>36838680</v>
      </c>
      <c r="B2244" s="46" t="s">
        <v>574</v>
      </c>
      <c r="C2244" s="46" t="s">
        <v>97</v>
      </c>
      <c r="D2244" s="48" t="s">
        <v>1394</v>
      </c>
      <c r="E2244" s="49">
        <f ca="1">IF(D2244="","",YEARFRAC(D2244,TODAY(),1))</f>
        <v>33.976063829787236</v>
      </c>
      <c r="F2244" s="50" t="s">
        <v>1395</v>
      </c>
      <c r="G2244" s="51" t="s">
        <v>86</v>
      </c>
      <c r="H2244" s="52" t="s">
        <v>52</v>
      </c>
      <c r="I2244" s="59" t="s">
        <v>908</v>
      </c>
      <c r="J2244" s="46" t="s">
        <v>52</v>
      </c>
      <c r="K2244" s="46" t="s">
        <v>52</v>
      </c>
      <c r="L2244" s="46" t="s">
        <v>546</v>
      </c>
      <c r="M2244" s="58" t="s">
        <v>1396</v>
      </c>
      <c r="N2244" s="46" t="s">
        <v>1262</v>
      </c>
      <c r="O2244" s="46" t="s">
        <v>52</v>
      </c>
      <c r="P2244" s="46" t="s">
        <v>59</v>
      </c>
      <c r="Q2244" s="46" t="s">
        <v>60</v>
      </c>
      <c r="R2244" s="46" t="s">
        <v>61</v>
      </c>
      <c r="S2244" s="46" t="s">
        <v>62</v>
      </c>
      <c r="T2244" s="46" t="s">
        <v>12</v>
      </c>
      <c r="U2244" s="46" t="s">
        <v>63</v>
      </c>
    </row>
    <row r="2245" spans="1:21">
      <c r="A2245" s="47">
        <v>36838696</v>
      </c>
      <c r="B2245" s="46" t="s">
        <v>9845</v>
      </c>
      <c r="C2245" s="46" t="s">
        <v>9846</v>
      </c>
      <c r="D2245" s="48" t="s">
        <v>9847</v>
      </c>
      <c r="E2245" s="49" t="s">
        <v>9336</v>
      </c>
      <c r="F2245" s="50" t="s">
        <v>9848</v>
      </c>
      <c r="G2245" s="51" t="s">
        <v>70</v>
      </c>
      <c r="H2245" s="52" t="s">
        <v>9849</v>
      </c>
      <c r="I2245" s="52" t="s">
        <v>2926</v>
      </c>
      <c r="J2245" s="46" t="s">
        <v>52</v>
      </c>
      <c r="K2245" s="46" t="s">
        <v>112</v>
      </c>
      <c r="L2245" s="46" t="s">
        <v>546</v>
      </c>
      <c r="M2245" s="52" t="s">
        <v>9850</v>
      </c>
      <c r="N2245" s="46" t="s">
        <v>52</v>
      </c>
      <c r="O2245" s="46" t="s">
        <v>52</v>
      </c>
      <c r="P2245" s="46" t="s">
        <v>59</v>
      </c>
      <c r="Q2245" s="46" t="s">
        <v>60</v>
      </c>
      <c r="R2245" s="46" t="s">
        <v>61</v>
      </c>
      <c r="S2245" s="46" t="s">
        <v>62</v>
      </c>
      <c r="T2245" s="46" t="s">
        <v>12</v>
      </c>
      <c r="U2245" s="46" t="s">
        <v>63</v>
      </c>
    </row>
    <row r="2246" spans="1:21">
      <c r="A2246" s="47">
        <v>36838708</v>
      </c>
      <c r="B2246" s="46" t="s">
        <v>8805</v>
      </c>
      <c r="C2246" s="46" t="s">
        <v>6727</v>
      </c>
      <c r="D2246" s="48" t="s">
        <v>52</v>
      </c>
      <c r="E2246" s="49" t="str">
        <f ca="1">IF(D2246="","",YEARFRAC(D2246,TODAY(),1))</f>
        <v/>
      </c>
      <c r="F2246" s="50" t="s">
        <v>6728</v>
      </c>
      <c r="G2246" s="51" t="s">
        <v>141</v>
      </c>
      <c r="H2246" s="52" t="s">
        <v>52</v>
      </c>
      <c r="I2246" s="52" t="s">
        <v>1497</v>
      </c>
      <c r="J2246" s="46" t="s">
        <v>3918</v>
      </c>
      <c r="K2246" s="46" t="s">
        <v>1206</v>
      </c>
      <c r="L2246" s="46" t="s">
        <v>546</v>
      </c>
      <c r="M2246" s="52" t="s">
        <v>6729</v>
      </c>
      <c r="N2246" s="46" t="s">
        <v>52</v>
      </c>
      <c r="O2246" s="46" t="s">
        <v>52</v>
      </c>
      <c r="P2246" s="46" t="s">
        <v>59</v>
      </c>
      <c r="Q2246" s="46" t="s">
        <v>60</v>
      </c>
      <c r="R2246" s="46" t="s">
        <v>61</v>
      </c>
      <c r="S2246" s="46" t="s">
        <v>62</v>
      </c>
      <c r="T2246" s="46" t="s">
        <v>12</v>
      </c>
      <c r="U2246" s="46" t="s">
        <v>63</v>
      </c>
    </row>
    <row r="2247" spans="1:21">
      <c r="A2247" s="47">
        <v>36838733</v>
      </c>
      <c r="B2247" s="46" t="s">
        <v>2026</v>
      </c>
      <c r="C2247" s="46" t="s">
        <v>2430</v>
      </c>
      <c r="D2247" s="48" t="s">
        <v>2431</v>
      </c>
      <c r="E2247" s="49">
        <f ca="1">IF(D2247="","",YEARFRAC(D2247,TODAY(),1))</f>
        <v>34.030819774718395</v>
      </c>
      <c r="F2247" s="50" t="s">
        <v>2432</v>
      </c>
      <c r="G2247" s="51" t="s">
        <v>141</v>
      </c>
      <c r="H2247" s="52" t="s">
        <v>52</v>
      </c>
      <c r="I2247" s="52" t="s">
        <v>2427</v>
      </c>
      <c r="J2247" s="46" t="s">
        <v>2433</v>
      </c>
      <c r="K2247" s="46" t="s">
        <v>81</v>
      </c>
      <c r="L2247" s="46" t="s">
        <v>52</v>
      </c>
      <c r="M2247" s="52" t="s">
        <v>2434</v>
      </c>
      <c r="N2247" s="46" t="s">
        <v>931</v>
      </c>
      <c r="O2247" s="46" t="s">
        <v>2435</v>
      </c>
      <c r="P2247" s="46" t="s">
        <v>59</v>
      </c>
      <c r="Q2247" s="46" t="s">
        <v>60</v>
      </c>
      <c r="R2247" s="46" t="s">
        <v>61</v>
      </c>
      <c r="S2247" s="46" t="s">
        <v>62</v>
      </c>
      <c r="T2247" s="46" t="s">
        <v>12</v>
      </c>
      <c r="U2247" s="46" t="s">
        <v>63</v>
      </c>
    </row>
    <row r="2248" spans="1:21">
      <c r="A2248" s="60">
        <v>36839063</v>
      </c>
      <c r="B2248" s="61" t="s">
        <v>6111</v>
      </c>
      <c r="C2248" s="62" t="s">
        <v>6112</v>
      </c>
      <c r="D2248" s="48">
        <v>33849</v>
      </c>
      <c r="E2248" s="49">
        <f ca="1">IF(D2248="","",YEARFRAC(D2248,TODAY(),1))</f>
        <v>33.822747183979978</v>
      </c>
      <c r="F2248" s="63">
        <v>153310071</v>
      </c>
      <c r="G2248" s="51" t="s">
        <v>23</v>
      </c>
      <c r="I2248" s="52" t="s">
        <v>23</v>
      </c>
      <c r="J2248" s="61"/>
      <c r="K2248" s="61"/>
      <c r="L2248" s="61"/>
      <c r="M2248" s="58" t="s">
        <v>25</v>
      </c>
      <c r="N2248" s="55"/>
      <c r="O2248" s="55"/>
    </row>
    <row r="2249" spans="1:21">
      <c r="A2249" s="47">
        <v>36839968</v>
      </c>
      <c r="B2249" s="46" t="s">
        <v>1106</v>
      </c>
      <c r="C2249" s="46" t="s">
        <v>9445</v>
      </c>
      <c r="D2249" s="48" t="s">
        <v>52</v>
      </c>
      <c r="E2249" s="49" t="s">
        <v>52</v>
      </c>
      <c r="F2249" s="50" t="s">
        <v>9446</v>
      </c>
      <c r="G2249" s="51" t="s">
        <v>52</v>
      </c>
      <c r="H2249" s="52" t="s">
        <v>52</v>
      </c>
      <c r="I2249" s="52" t="s">
        <v>3427</v>
      </c>
      <c r="J2249" s="46" t="s">
        <v>52</v>
      </c>
      <c r="K2249" s="46" t="s">
        <v>52</v>
      </c>
      <c r="L2249" s="46" t="s">
        <v>546</v>
      </c>
      <c r="M2249" s="52" t="s">
        <v>9447</v>
      </c>
      <c r="N2249" s="46" t="s">
        <v>52</v>
      </c>
      <c r="O2249" s="46" t="s">
        <v>52</v>
      </c>
      <c r="P2249" s="46" t="s">
        <v>59</v>
      </c>
      <c r="Q2249" s="46" t="s">
        <v>60</v>
      </c>
      <c r="R2249" s="46" t="s">
        <v>61</v>
      </c>
      <c r="S2249" s="46" t="s">
        <v>62</v>
      </c>
      <c r="T2249" s="46" t="s">
        <v>12</v>
      </c>
      <c r="U2249" s="46" t="s">
        <v>63</v>
      </c>
    </row>
    <row r="2250" spans="1:21">
      <c r="A2250" s="47">
        <v>36865278</v>
      </c>
      <c r="B2250" s="46" t="s">
        <v>1236</v>
      </c>
      <c r="C2250" s="46" t="s">
        <v>6836</v>
      </c>
      <c r="D2250" s="48" t="s">
        <v>52</v>
      </c>
      <c r="E2250" s="49" t="str">
        <f ca="1">IF(D2250="","",YEARFRAC(D2250,TODAY(),1))</f>
        <v/>
      </c>
      <c r="F2250" s="50" t="s">
        <v>6837</v>
      </c>
      <c r="G2250" s="51" t="s">
        <v>141</v>
      </c>
      <c r="H2250" s="52" t="s">
        <v>52</v>
      </c>
      <c r="I2250" s="52" t="s">
        <v>908</v>
      </c>
      <c r="J2250" s="46" t="s">
        <v>6838</v>
      </c>
      <c r="K2250" s="46" t="s">
        <v>81</v>
      </c>
      <c r="L2250" s="46" t="s">
        <v>546</v>
      </c>
      <c r="M2250" s="52" t="s">
        <v>6839</v>
      </c>
      <c r="N2250" s="46" t="s">
        <v>52</v>
      </c>
      <c r="O2250" s="46" t="s">
        <v>52</v>
      </c>
      <c r="P2250" s="46" t="s">
        <v>59</v>
      </c>
      <c r="Q2250" s="46" t="s">
        <v>60</v>
      </c>
      <c r="R2250" s="46" t="s">
        <v>61</v>
      </c>
      <c r="S2250" s="46" t="s">
        <v>62</v>
      </c>
      <c r="T2250" s="46" t="s">
        <v>12</v>
      </c>
      <c r="U2250" s="46" t="s">
        <v>63</v>
      </c>
    </row>
    <row r="2251" spans="1:21">
      <c r="A2251" s="47">
        <v>36865842</v>
      </c>
      <c r="B2251" s="46" t="s">
        <v>1950</v>
      </c>
      <c r="C2251" s="46" t="s">
        <v>95</v>
      </c>
      <c r="D2251" s="48" t="s">
        <v>52</v>
      </c>
      <c r="E2251" s="49" t="str">
        <f ca="1">IF(D2251="","",YEARFRAC(D2251,TODAY(),1))</f>
        <v/>
      </c>
      <c r="F2251" s="50" t="s">
        <v>2649</v>
      </c>
      <c r="G2251" s="51" t="s">
        <v>70</v>
      </c>
      <c r="H2251" s="52" t="s">
        <v>2650</v>
      </c>
      <c r="I2251" s="59" t="s">
        <v>908</v>
      </c>
      <c r="J2251" s="46" t="s">
        <v>52</v>
      </c>
      <c r="K2251" s="46" t="s">
        <v>52</v>
      </c>
      <c r="L2251" s="46" t="s">
        <v>546</v>
      </c>
      <c r="M2251" s="52" t="s">
        <v>2651</v>
      </c>
      <c r="N2251" s="46" t="s">
        <v>52</v>
      </c>
      <c r="O2251" s="46" t="s">
        <v>52</v>
      </c>
      <c r="P2251" s="46" t="s">
        <v>59</v>
      </c>
      <c r="Q2251" s="46" t="s">
        <v>60</v>
      </c>
      <c r="R2251" s="46" t="s">
        <v>61</v>
      </c>
      <c r="S2251" s="46" t="s">
        <v>62</v>
      </c>
      <c r="T2251" s="46" t="s">
        <v>12</v>
      </c>
      <c r="U2251" s="46" t="s">
        <v>63</v>
      </c>
    </row>
    <row r="2252" spans="1:21">
      <c r="A2252" s="47">
        <v>36866001</v>
      </c>
      <c r="B2252" s="46" t="s">
        <v>9596</v>
      </c>
      <c r="C2252" s="46" t="s">
        <v>9597</v>
      </c>
      <c r="D2252" s="48" t="s">
        <v>9598</v>
      </c>
      <c r="E2252" s="49" t="s">
        <v>9336</v>
      </c>
      <c r="F2252" s="50" t="s">
        <v>4698</v>
      </c>
      <c r="G2252" s="51" t="s">
        <v>70</v>
      </c>
      <c r="H2252" s="52" t="s">
        <v>9599</v>
      </c>
      <c r="I2252" s="52" t="s">
        <v>4499</v>
      </c>
      <c r="J2252" s="46" t="s">
        <v>9600</v>
      </c>
      <c r="K2252" s="46" t="s">
        <v>112</v>
      </c>
      <c r="L2252" s="46" t="s">
        <v>546</v>
      </c>
      <c r="M2252" s="52" t="s">
        <v>9601</v>
      </c>
      <c r="N2252" s="46" t="s">
        <v>52</v>
      </c>
      <c r="O2252" s="46" t="s">
        <v>52</v>
      </c>
      <c r="P2252" s="46" t="s">
        <v>59</v>
      </c>
      <c r="Q2252" s="46" t="s">
        <v>60</v>
      </c>
      <c r="R2252" s="46" t="s">
        <v>61</v>
      </c>
      <c r="S2252" s="46" t="s">
        <v>62</v>
      </c>
      <c r="T2252" s="46" t="s">
        <v>12</v>
      </c>
      <c r="U2252" s="46" t="s">
        <v>63</v>
      </c>
    </row>
    <row r="2253" spans="1:21">
      <c r="A2253" s="74">
        <v>36866428</v>
      </c>
      <c r="B2253" s="234" t="s">
        <v>9909</v>
      </c>
      <c r="C2253" s="234" t="s">
        <v>9910</v>
      </c>
      <c r="D2253" s="235">
        <v>33776</v>
      </c>
      <c r="E2253" s="236"/>
      <c r="F2253" s="237">
        <v>3815300723</v>
      </c>
      <c r="G2253" s="234" t="s">
        <v>141</v>
      </c>
      <c r="H2253" s="238"/>
      <c r="I2253" s="265" t="s">
        <v>6530</v>
      </c>
      <c r="J2253" s="234" t="s">
        <v>10011</v>
      </c>
      <c r="K2253" s="234" t="s">
        <v>2002</v>
      </c>
      <c r="L2253" s="234"/>
      <c r="M2253" s="238" t="s">
        <v>9337</v>
      </c>
      <c r="N2253" s="234"/>
      <c r="O2253" s="234"/>
      <c r="P2253" s="234"/>
      <c r="Q2253" s="234"/>
      <c r="R2253" s="234"/>
      <c r="S2253" s="234"/>
      <c r="T2253" s="234"/>
      <c r="U2253" s="234"/>
    </row>
    <row r="2254" spans="1:21">
      <c r="A2254" s="47">
        <v>36867206</v>
      </c>
      <c r="B2254" s="46" t="s">
        <v>342</v>
      </c>
      <c r="C2254" s="46" t="s">
        <v>3104</v>
      </c>
      <c r="D2254" s="48" t="s">
        <v>52</v>
      </c>
      <c r="E2254" s="49" t="str">
        <f ca="1">IF(D2254="","",YEARFRAC(D2254,TODAY(),1))</f>
        <v/>
      </c>
      <c r="F2254" s="50" t="s">
        <v>3105</v>
      </c>
      <c r="G2254" s="51" t="s">
        <v>70</v>
      </c>
      <c r="H2254" s="52" t="s">
        <v>52</v>
      </c>
      <c r="I2254" s="52" t="s">
        <v>2926</v>
      </c>
      <c r="J2254" s="46" t="s">
        <v>52</v>
      </c>
      <c r="K2254" s="46" t="s">
        <v>57</v>
      </c>
      <c r="L2254" s="46" t="s">
        <v>546</v>
      </c>
      <c r="M2254" s="52" t="s">
        <v>582</v>
      </c>
      <c r="N2254" s="46" t="s">
        <v>52</v>
      </c>
      <c r="O2254" s="46" t="s">
        <v>52</v>
      </c>
      <c r="P2254" s="46" t="s">
        <v>59</v>
      </c>
      <c r="Q2254" s="46" t="s">
        <v>60</v>
      </c>
      <c r="R2254" s="46" t="s">
        <v>61</v>
      </c>
      <c r="S2254" s="46" t="s">
        <v>62</v>
      </c>
      <c r="T2254" s="46" t="s">
        <v>12</v>
      </c>
      <c r="U2254" s="46" t="s">
        <v>63</v>
      </c>
    </row>
    <row r="2255" spans="1:21">
      <c r="A2255" s="47">
        <v>37092323</v>
      </c>
      <c r="B2255" s="46" t="s">
        <v>9610</v>
      </c>
      <c r="C2255" s="46" t="s">
        <v>1801</v>
      </c>
      <c r="D2255" s="48" t="s">
        <v>9611</v>
      </c>
      <c r="E2255" s="49" t="s">
        <v>9336</v>
      </c>
      <c r="F2255" s="50" t="s">
        <v>9612</v>
      </c>
      <c r="G2255" s="51" t="s">
        <v>70</v>
      </c>
      <c r="H2255" s="52" t="s">
        <v>9613</v>
      </c>
      <c r="I2255" s="52" t="s">
        <v>24</v>
      </c>
      <c r="J2255" s="46" t="s">
        <v>9614</v>
      </c>
      <c r="K2255" s="46" t="s">
        <v>390</v>
      </c>
      <c r="L2255" s="46" t="s">
        <v>546</v>
      </c>
      <c r="M2255" s="52" t="s">
        <v>9615</v>
      </c>
      <c r="N2255" s="46" t="s">
        <v>52</v>
      </c>
      <c r="O2255" s="46" t="s">
        <v>52</v>
      </c>
      <c r="P2255" s="46" t="s">
        <v>59</v>
      </c>
      <c r="Q2255" s="46" t="s">
        <v>60</v>
      </c>
      <c r="R2255" s="46" t="s">
        <v>61</v>
      </c>
      <c r="S2255" s="46" t="s">
        <v>62</v>
      </c>
      <c r="T2255" s="46" t="s">
        <v>12</v>
      </c>
      <c r="U2255" s="46" t="s">
        <v>63</v>
      </c>
    </row>
    <row r="2256" spans="1:21">
      <c r="A2256" s="47">
        <v>37096427</v>
      </c>
      <c r="B2256" s="46" t="s">
        <v>670</v>
      </c>
      <c r="C2256" s="55" t="s">
        <v>3352</v>
      </c>
      <c r="D2256" s="48" t="s">
        <v>3353</v>
      </c>
      <c r="E2256" s="49">
        <f t="shared" ref="E2256:E2263" ca="1" si="89">IF(D2256="","",YEARFRAC(D2256,TODAY(),1))</f>
        <v>33.721448685857318</v>
      </c>
      <c r="F2256" s="50" t="s">
        <v>3354</v>
      </c>
      <c r="G2256" s="51" t="s">
        <v>141</v>
      </c>
      <c r="H2256" s="52" t="s">
        <v>52</v>
      </c>
      <c r="I2256" s="52" t="s">
        <v>3327</v>
      </c>
      <c r="J2256" s="55" t="s">
        <v>3355</v>
      </c>
      <c r="K2256" s="55" t="s">
        <v>81</v>
      </c>
      <c r="L2256" s="55" t="s">
        <v>52</v>
      </c>
      <c r="M2256" s="53" t="s">
        <v>3356</v>
      </c>
      <c r="N2256" s="55" t="s">
        <v>52</v>
      </c>
      <c r="O2256" s="55" t="s">
        <v>52</v>
      </c>
      <c r="P2256" s="46" t="s">
        <v>59</v>
      </c>
      <c r="Q2256" s="46" t="s">
        <v>60</v>
      </c>
      <c r="R2256" s="46" t="s">
        <v>61</v>
      </c>
      <c r="S2256" s="46" t="s">
        <v>62</v>
      </c>
      <c r="T2256" s="46" t="s">
        <v>12</v>
      </c>
      <c r="U2256" s="46" t="s">
        <v>63</v>
      </c>
    </row>
    <row r="2257" spans="1:21">
      <c r="A2257" s="47">
        <v>37096982</v>
      </c>
      <c r="B2257" s="46" t="s">
        <v>6183</v>
      </c>
      <c r="C2257" s="46" t="s">
        <v>902</v>
      </c>
      <c r="D2257" s="48" t="s">
        <v>52</v>
      </c>
      <c r="E2257" s="49" t="str">
        <f t="shared" ca="1" si="89"/>
        <v/>
      </c>
      <c r="F2257" s="50" t="s">
        <v>6184</v>
      </c>
      <c r="G2257" s="51" t="s">
        <v>78</v>
      </c>
      <c r="H2257" s="52" t="s">
        <v>6185</v>
      </c>
      <c r="I2257" s="52" t="s">
        <v>5881</v>
      </c>
      <c r="J2257" s="46" t="s">
        <v>6186</v>
      </c>
      <c r="K2257" s="46" t="s">
        <v>81</v>
      </c>
      <c r="L2257" s="46" t="s">
        <v>52</v>
      </c>
      <c r="M2257" s="53" t="s">
        <v>6187</v>
      </c>
      <c r="N2257" s="46" t="s">
        <v>52</v>
      </c>
      <c r="O2257" s="46" t="s">
        <v>52</v>
      </c>
      <c r="P2257" s="46" t="s">
        <v>59</v>
      </c>
      <c r="Q2257" s="46" t="s">
        <v>60</v>
      </c>
      <c r="R2257" s="46" t="s">
        <v>61</v>
      </c>
      <c r="S2257" s="46" t="s">
        <v>62</v>
      </c>
      <c r="T2257" s="46" t="s">
        <v>12</v>
      </c>
      <c r="U2257" s="46" t="s">
        <v>63</v>
      </c>
    </row>
    <row r="2258" spans="1:21">
      <c r="A2258" s="47">
        <v>37097110</v>
      </c>
      <c r="B2258" s="46" t="s">
        <v>8801</v>
      </c>
      <c r="C2258" s="46" t="s">
        <v>6611</v>
      </c>
      <c r="D2258" s="48" t="s">
        <v>6612</v>
      </c>
      <c r="E2258" s="49">
        <f t="shared" ca="1" si="89"/>
        <v>33.603723404255319</v>
      </c>
      <c r="F2258" s="50" t="s">
        <v>6613</v>
      </c>
      <c r="G2258" s="51" t="s">
        <v>141</v>
      </c>
      <c r="H2258" s="52" t="s">
        <v>52</v>
      </c>
      <c r="I2258" s="52" t="s">
        <v>2666</v>
      </c>
      <c r="J2258" s="46" t="s">
        <v>52</v>
      </c>
      <c r="K2258" s="46" t="s">
        <v>81</v>
      </c>
      <c r="L2258" s="46" t="s">
        <v>52</v>
      </c>
      <c r="M2258" s="52" t="s">
        <v>6614</v>
      </c>
      <c r="N2258" s="46" t="s">
        <v>52</v>
      </c>
      <c r="O2258" s="46" t="s">
        <v>52</v>
      </c>
      <c r="P2258" s="46" t="s">
        <v>59</v>
      </c>
      <c r="Q2258" s="46" t="s">
        <v>60</v>
      </c>
      <c r="R2258" s="46" t="s">
        <v>61</v>
      </c>
      <c r="S2258" s="46" t="s">
        <v>62</v>
      </c>
      <c r="T2258" s="46" t="s">
        <v>12</v>
      </c>
      <c r="U2258" s="46" t="s">
        <v>63</v>
      </c>
    </row>
    <row r="2259" spans="1:21">
      <c r="A2259" s="80">
        <v>37097191</v>
      </c>
      <c r="B2259" s="80" t="s">
        <v>8732</v>
      </c>
      <c r="C2259" s="80" t="s">
        <v>8733</v>
      </c>
      <c r="D2259" s="84">
        <v>33945</v>
      </c>
      <c r="E2259" s="49">
        <f t="shared" ca="1" si="89"/>
        <v>33.559918648310386</v>
      </c>
      <c r="F2259" s="80">
        <v>3814724934</v>
      </c>
      <c r="G2259" s="80" t="s">
        <v>70</v>
      </c>
      <c r="H2259" s="80" t="s">
        <v>6649</v>
      </c>
      <c r="I2259" s="80" t="s">
        <v>4245</v>
      </c>
      <c r="J2259" s="80"/>
      <c r="K2259" s="80" t="s">
        <v>8769</v>
      </c>
      <c r="L2259" s="80" t="s">
        <v>2002</v>
      </c>
      <c r="M2259" s="80"/>
      <c r="N2259" s="80" t="s">
        <v>8768</v>
      </c>
      <c r="O2259" s="80">
        <v>4240370</v>
      </c>
    </row>
    <row r="2260" spans="1:21">
      <c r="A2260" s="47">
        <v>37097251</v>
      </c>
      <c r="B2260" s="46" t="s">
        <v>608</v>
      </c>
      <c r="C2260" s="55" t="s">
        <v>609</v>
      </c>
      <c r="D2260" s="48">
        <v>33938</v>
      </c>
      <c r="E2260" s="49">
        <f t="shared" ca="1" si="89"/>
        <v>33.579083229036293</v>
      </c>
      <c r="F2260" s="50">
        <v>154126684</v>
      </c>
      <c r="G2260" s="51" t="s">
        <v>141</v>
      </c>
      <c r="I2260" s="52" t="s">
        <v>594</v>
      </c>
      <c r="J2260" s="55"/>
      <c r="K2260" s="55"/>
      <c r="L2260" s="55"/>
      <c r="M2260" s="58" t="s">
        <v>25</v>
      </c>
      <c r="N2260" s="55">
        <v>4244394</v>
      </c>
      <c r="O2260" s="55"/>
    </row>
    <row r="2261" spans="1:21">
      <c r="A2261" s="47">
        <v>37309662</v>
      </c>
      <c r="B2261" s="46" t="s">
        <v>164</v>
      </c>
      <c r="C2261" s="46" t="s">
        <v>2396</v>
      </c>
      <c r="D2261" s="48" t="s">
        <v>52</v>
      </c>
      <c r="E2261" s="49" t="str">
        <f t="shared" ca="1" si="89"/>
        <v/>
      </c>
      <c r="F2261" s="50" t="s">
        <v>2397</v>
      </c>
      <c r="G2261" s="51" t="s">
        <v>86</v>
      </c>
      <c r="H2261" s="52" t="s">
        <v>52</v>
      </c>
      <c r="I2261" s="52" t="s">
        <v>1497</v>
      </c>
      <c r="J2261" s="46" t="s">
        <v>52</v>
      </c>
      <c r="K2261" s="46" t="s">
        <v>112</v>
      </c>
      <c r="L2261" s="46" t="s">
        <v>52</v>
      </c>
      <c r="M2261" s="58" t="s">
        <v>2398</v>
      </c>
      <c r="N2261" s="46" t="s">
        <v>2399</v>
      </c>
      <c r="O2261" s="46" t="s">
        <v>52</v>
      </c>
      <c r="P2261" s="46" t="s">
        <v>59</v>
      </c>
      <c r="Q2261" s="46" t="s">
        <v>60</v>
      </c>
      <c r="R2261" s="46" t="s">
        <v>61</v>
      </c>
      <c r="S2261" s="46" t="s">
        <v>62</v>
      </c>
      <c r="T2261" s="46" t="s">
        <v>12</v>
      </c>
      <c r="U2261" s="46" t="s">
        <v>63</v>
      </c>
    </row>
    <row r="2262" spans="1:21">
      <c r="A2262" s="47">
        <v>37309766</v>
      </c>
      <c r="B2262" s="46" t="s">
        <v>547</v>
      </c>
      <c r="C2262" s="46" t="s">
        <v>5851</v>
      </c>
      <c r="D2262" s="48" t="s">
        <v>52</v>
      </c>
      <c r="E2262" s="49" t="str">
        <f t="shared" ca="1" si="89"/>
        <v/>
      </c>
      <c r="F2262" s="50" t="s">
        <v>5852</v>
      </c>
      <c r="G2262" s="51" t="s">
        <v>86</v>
      </c>
      <c r="H2262" s="52" t="s">
        <v>52</v>
      </c>
      <c r="I2262" s="52" t="s">
        <v>5826</v>
      </c>
      <c r="J2262" s="46" t="s">
        <v>38</v>
      </c>
      <c r="K2262" s="46" t="s">
        <v>81</v>
      </c>
      <c r="L2262" s="46" t="s">
        <v>52</v>
      </c>
      <c r="M2262" s="53" t="s">
        <v>5853</v>
      </c>
      <c r="N2262" s="46" t="s">
        <v>931</v>
      </c>
      <c r="O2262" s="46" t="s">
        <v>5854</v>
      </c>
      <c r="P2262" s="46" t="s">
        <v>59</v>
      </c>
      <c r="Q2262" s="46" t="s">
        <v>60</v>
      </c>
      <c r="R2262" s="46" t="s">
        <v>61</v>
      </c>
      <c r="S2262" s="46" t="s">
        <v>62</v>
      </c>
      <c r="T2262" s="46" t="s">
        <v>12</v>
      </c>
      <c r="U2262" s="46" t="s">
        <v>63</v>
      </c>
    </row>
    <row r="2263" spans="1:21">
      <c r="A2263" s="47">
        <v>37311669</v>
      </c>
      <c r="B2263" s="46" t="s">
        <v>218</v>
      </c>
      <c r="C2263" s="46" t="s">
        <v>4942</v>
      </c>
      <c r="D2263" s="48" t="s">
        <v>52</v>
      </c>
      <c r="E2263" s="49" t="str">
        <f t="shared" ca="1" si="89"/>
        <v/>
      </c>
      <c r="F2263" s="50" t="s">
        <v>4943</v>
      </c>
      <c r="G2263" s="51" t="s">
        <v>70</v>
      </c>
      <c r="H2263" s="52" t="s">
        <v>4838</v>
      </c>
      <c r="I2263" s="52" t="s">
        <v>4815</v>
      </c>
      <c r="J2263" s="46" t="s">
        <v>4944</v>
      </c>
      <c r="K2263" s="46" t="s">
        <v>81</v>
      </c>
      <c r="L2263" s="46" t="s">
        <v>52</v>
      </c>
      <c r="M2263" s="52" t="s">
        <v>4945</v>
      </c>
      <c r="N2263" s="46" t="s">
        <v>52</v>
      </c>
      <c r="O2263" s="46" t="s">
        <v>4946</v>
      </c>
      <c r="P2263" s="46" t="s">
        <v>59</v>
      </c>
      <c r="Q2263" s="46" t="s">
        <v>60</v>
      </c>
      <c r="R2263" s="46" t="s">
        <v>61</v>
      </c>
      <c r="S2263" s="46" t="s">
        <v>62</v>
      </c>
      <c r="T2263" s="46" t="s">
        <v>12</v>
      </c>
      <c r="U2263" s="46" t="s">
        <v>63</v>
      </c>
    </row>
    <row r="2264" spans="1:21">
      <c r="A2264" s="47">
        <v>37423555</v>
      </c>
      <c r="B2264" s="46" t="s">
        <v>9460</v>
      </c>
      <c r="C2264" s="46" t="s">
        <v>9461</v>
      </c>
      <c r="D2264" s="48" t="s">
        <v>52</v>
      </c>
      <c r="E2264" s="49" t="s">
        <v>52</v>
      </c>
      <c r="F2264" s="50" t="s">
        <v>52</v>
      </c>
      <c r="G2264" s="51" t="s">
        <v>52</v>
      </c>
      <c r="H2264" s="52" t="s">
        <v>52</v>
      </c>
      <c r="I2264" s="52" t="s">
        <v>3630</v>
      </c>
      <c r="J2264" s="46" t="s">
        <v>52</v>
      </c>
      <c r="K2264" s="46" t="s">
        <v>52</v>
      </c>
      <c r="L2264" s="46" t="s">
        <v>546</v>
      </c>
      <c r="M2264" s="52" t="s">
        <v>9462</v>
      </c>
      <c r="N2264" s="46" t="s">
        <v>52</v>
      </c>
      <c r="O2264" s="46" t="s">
        <v>52</v>
      </c>
      <c r="P2264" s="46" t="s">
        <v>59</v>
      </c>
      <c r="Q2264" s="46" t="s">
        <v>60</v>
      </c>
      <c r="R2264" s="46" t="s">
        <v>61</v>
      </c>
      <c r="S2264" s="46" t="s">
        <v>62</v>
      </c>
      <c r="T2264" s="46" t="s">
        <v>12</v>
      </c>
      <c r="U2264" s="46" t="s">
        <v>63</v>
      </c>
    </row>
    <row r="2265" spans="1:21">
      <c r="A2265" s="47">
        <v>37423911</v>
      </c>
      <c r="B2265" s="46" t="s">
        <v>311</v>
      </c>
      <c r="C2265" s="46" t="s">
        <v>4554</v>
      </c>
      <c r="D2265" s="48" t="s">
        <v>9558</v>
      </c>
      <c r="E2265" s="49" t="s">
        <v>9379</v>
      </c>
      <c r="F2265" s="50" t="s">
        <v>9559</v>
      </c>
      <c r="G2265" s="51" t="s">
        <v>70</v>
      </c>
      <c r="H2265" s="52" t="s">
        <v>111</v>
      </c>
      <c r="I2265" s="52" t="s">
        <v>8647</v>
      </c>
      <c r="J2265" s="46" t="s">
        <v>52</v>
      </c>
      <c r="K2265" s="46" t="s">
        <v>81</v>
      </c>
      <c r="L2265" s="46" t="s">
        <v>546</v>
      </c>
      <c r="M2265" s="52" t="s">
        <v>9560</v>
      </c>
      <c r="N2265" s="46" t="s">
        <v>52</v>
      </c>
      <c r="O2265" s="46" t="s">
        <v>52</v>
      </c>
      <c r="P2265" s="46" t="s">
        <v>59</v>
      </c>
      <c r="Q2265" s="46" t="s">
        <v>60</v>
      </c>
      <c r="R2265" s="46" t="s">
        <v>61</v>
      </c>
      <c r="S2265" s="46" t="s">
        <v>62</v>
      </c>
      <c r="T2265" s="46" t="s">
        <v>12</v>
      </c>
      <c r="U2265" s="46" t="s">
        <v>63</v>
      </c>
    </row>
    <row r="2266" spans="1:21">
      <c r="A2266" s="47">
        <v>37455102</v>
      </c>
      <c r="B2266" s="46" t="s">
        <v>2231</v>
      </c>
      <c r="C2266" s="46" t="s">
        <v>9483</v>
      </c>
      <c r="D2266" s="48" t="s">
        <v>52</v>
      </c>
      <c r="E2266" s="49" t="s">
        <v>52</v>
      </c>
      <c r="F2266" s="50" t="s">
        <v>52</v>
      </c>
      <c r="G2266" s="51" t="s">
        <v>52</v>
      </c>
      <c r="H2266" s="52" t="s">
        <v>52</v>
      </c>
      <c r="I2266" s="52" t="s">
        <v>3630</v>
      </c>
      <c r="J2266" s="46" t="s">
        <v>52</v>
      </c>
      <c r="K2266" s="46" t="s">
        <v>52</v>
      </c>
      <c r="L2266" s="46" t="s">
        <v>546</v>
      </c>
      <c r="M2266" s="52" t="s">
        <v>9484</v>
      </c>
      <c r="N2266" s="46" t="s">
        <v>52</v>
      </c>
      <c r="O2266" s="46" t="s">
        <v>52</v>
      </c>
      <c r="P2266" s="46" t="s">
        <v>59</v>
      </c>
      <c r="Q2266" s="46" t="s">
        <v>60</v>
      </c>
      <c r="R2266" s="46" t="s">
        <v>61</v>
      </c>
      <c r="S2266" s="46" t="s">
        <v>62</v>
      </c>
      <c r="T2266" s="46" t="s">
        <v>12</v>
      </c>
      <c r="U2266" s="46" t="s">
        <v>63</v>
      </c>
    </row>
    <row r="2267" spans="1:21">
      <c r="A2267" s="47">
        <v>37455221</v>
      </c>
      <c r="B2267" s="46" t="s">
        <v>6784</v>
      </c>
      <c r="C2267" s="46" t="s">
        <v>6785</v>
      </c>
      <c r="D2267" s="48" t="s">
        <v>52</v>
      </c>
      <c r="E2267" s="49" t="str">
        <f ca="1">IF(D2267="","",YEARFRAC(D2267,TODAY(),1))</f>
        <v/>
      </c>
      <c r="F2267" s="50" t="s">
        <v>6786</v>
      </c>
      <c r="G2267" s="51" t="s">
        <v>70</v>
      </c>
      <c r="H2267" s="52" t="s">
        <v>6787</v>
      </c>
      <c r="I2267" s="52" t="s">
        <v>24</v>
      </c>
      <c r="J2267" s="46" t="s">
        <v>6788</v>
      </c>
      <c r="K2267" s="46" t="s">
        <v>390</v>
      </c>
      <c r="L2267" s="46" t="s">
        <v>546</v>
      </c>
      <c r="M2267" s="52" t="s">
        <v>6789</v>
      </c>
      <c r="N2267" s="46" t="s">
        <v>52</v>
      </c>
      <c r="O2267" s="46" t="s">
        <v>52</v>
      </c>
      <c r="P2267" s="46" t="s">
        <v>59</v>
      </c>
      <c r="Q2267" s="46" t="s">
        <v>60</v>
      </c>
      <c r="R2267" s="46" t="s">
        <v>61</v>
      </c>
      <c r="S2267" s="46" t="s">
        <v>62</v>
      </c>
      <c r="T2267" s="46" t="s">
        <v>12</v>
      </c>
      <c r="U2267" s="46" t="s">
        <v>63</v>
      </c>
    </row>
    <row r="2268" spans="1:21">
      <c r="A2268" s="47">
        <v>37456182</v>
      </c>
      <c r="B2268" s="46" t="s">
        <v>1512</v>
      </c>
      <c r="C2268" s="46" t="s">
        <v>9377</v>
      </c>
      <c r="D2268" s="48" t="s">
        <v>9378</v>
      </c>
      <c r="E2268" s="49" t="s">
        <v>9379</v>
      </c>
      <c r="F2268" s="50" t="s">
        <v>9380</v>
      </c>
      <c r="G2268" s="51" t="s">
        <v>78</v>
      </c>
      <c r="H2268" s="52" t="s">
        <v>9381</v>
      </c>
      <c r="I2268" s="52" t="s">
        <v>1497</v>
      </c>
      <c r="J2268" s="46" t="s">
        <v>9382</v>
      </c>
      <c r="K2268" s="46" t="s">
        <v>81</v>
      </c>
      <c r="L2268" s="46" t="s">
        <v>546</v>
      </c>
      <c r="M2268" s="52" t="s">
        <v>9383</v>
      </c>
      <c r="N2268" s="46" t="s">
        <v>52</v>
      </c>
      <c r="O2268" s="46" t="s">
        <v>52</v>
      </c>
      <c r="P2268" s="46" t="s">
        <v>59</v>
      </c>
      <c r="Q2268" s="46" t="s">
        <v>60</v>
      </c>
      <c r="R2268" s="46" t="s">
        <v>61</v>
      </c>
      <c r="S2268" s="46" t="s">
        <v>62</v>
      </c>
      <c r="T2268" s="46" t="s">
        <v>12</v>
      </c>
      <c r="U2268" s="46" t="s">
        <v>63</v>
      </c>
    </row>
    <row r="2269" spans="1:21">
      <c r="A2269" s="47">
        <v>37456249</v>
      </c>
      <c r="B2269" s="46" t="s">
        <v>5409</v>
      </c>
      <c r="C2269" s="46" t="s">
        <v>5410</v>
      </c>
      <c r="D2269" s="48" t="s">
        <v>52</v>
      </c>
      <c r="E2269" s="49" t="str">
        <f t="shared" ref="E2269:E2274" ca="1" si="90">IF(D2269="","",YEARFRAC(D2269,TODAY(),1))</f>
        <v/>
      </c>
      <c r="F2269" s="50" t="s">
        <v>5411</v>
      </c>
      <c r="G2269" s="51" t="s">
        <v>352</v>
      </c>
      <c r="H2269" s="52" t="s">
        <v>52</v>
      </c>
      <c r="I2269" s="52" t="s">
        <v>5304</v>
      </c>
      <c r="J2269" s="46" t="s">
        <v>5412</v>
      </c>
      <c r="K2269" s="46" t="s">
        <v>81</v>
      </c>
      <c r="L2269" s="46" t="s">
        <v>52</v>
      </c>
      <c r="M2269" s="53" t="s">
        <v>5413</v>
      </c>
      <c r="N2269" s="46" t="s">
        <v>52</v>
      </c>
      <c r="O2269" s="46" t="s">
        <v>5414</v>
      </c>
      <c r="P2269" s="46" t="s">
        <v>59</v>
      </c>
      <c r="Q2269" s="46" t="s">
        <v>60</v>
      </c>
      <c r="R2269" s="46" t="s">
        <v>61</v>
      </c>
      <c r="S2269" s="46" t="s">
        <v>62</v>
      </c>
      <c r="T2269" s="46" t="s">
        <v>12</v>
      </c>
      <c r="U2269" s="46" t="s">
        <v>63</v>
      </c>
    </row>
    <row r="2270" spans="1:21">
      <c r="A2270" s="47">
        <v>37456295</v>
      </c>
      <c r="B2270" s="46" t="s">
        <v>1689</v>
      </c>
      <c r="C2270" s="46" t="s">
        <v>1690</v>
      </c>
      <c r="D2270" s="48">
        <v>34123</v>
      </c>
      <c r="E2270" s="49">
        <f t="shared" ca="1" si="90"/>
        <v>33.074569173779999</v>
      </c>
      <c r="G2270" s="51" t="s">
        <v>23</v>
      </c>
      <c r="I2270" s="52" t="s">
        <v>1657</v>
      </c>
      <c r="J2270" s="46" t="s">
        <v>1691</v>
      </c>
      <c r="M2270" s="53" t="s">
        <v>1692</v>
      </c>
    </row>
    <row r="2271" spans="1:21">
      <c r="A2271" s="47">
        <v>37457738</v>
      </c>
      <c r="B2271" s="46" t="s">
        <v>1190</v>
      </c>
      <c r="C2271" s="46" t="s">
        <v>2212</v>
      </c>
      <c r="D2271" s="48" t="s">
        <v>52</v>
      </c>
      <c r="E2271" s="49" t="str">
        <f t="shared" ca="1" si="90"/>
        <v/>
      </c>
      <c r="F2271" s="50" t="s">
        <v>2213</v>
      </c>
      <c r="G2271" s="51" t="s">
        <v>37</v>
      </c>
      <c r="H2271" s="52" t="s">
        <v>52</v>
      </c>
      <c r="I2271" s="52" t="s">
        <v>1881</v>
      </c>
      <c r="J2271" s="46" t="s">
        <v>2214</v>
      </c>
      <c r="K2271" s="46" t="s">
        <v>81</v>
      </c>
      <c r="L2271" s="46" t="s">
        <v>52</v>
      </c>
      <c r="M2271" s="53" t="s">
        <v>2215</v>
      </c>
      <c r="N2271" s="46" t="s">
        <v>2216</v>
      </c>
      <c r="O2271" s="46" t="s">
        <v>2217</v>
      </c>
      <c r="P2271" s="46" t="s">
        <v>59</v>
      </c>
      <c r="Q2271" s="46" t="s">
        <v>60</v>
      </c>
      <c r="R2271" s="46" t="s">
        <v>61</v>
      </c>
      <c r="S2271" s="46" t="s">
        <v>62</v>
      </c>
      <c r="T2271" s="46" t="s">
        <v>12</v>
      </c>
      <c r="U2271" s="46" t="s">
        <v>63</v>
      </c>
    </row>
    <row r="2272" spans="1:21">
      <c r="A2272" s="47">
        <v>37497769</v>
      </c>
      <c r="B2272" s="46" t="s">
        <v>797</v>
      </c>
      <c r="C2272" s="46" t="s">
        <v>6819</v>
      </c>
      <c r="D2272" s="48" t="s">
        <v>52</v>
      </c>
      <c r="E2272" s="49" t="str">
        <f t="shared" ca="1" si="90"/>
        <v/>
      </c>
      <c r="F2272" s="50" t="s">
        <v>6820</v>
      </c>
      <c r="G2272" s="51" t="s">
        <v>141</v>
      </c>
      <c r="H2272" s="52" t="s">
        <v>52</v>
      </c>
      <c r="I2272" s="52" t="s">
        <v>594</v>
      </c>
      <c r="J2272" s="46" t="s">
        <v>6630</v>
      </c>
      <c r="K2272" s="46" t="s">
        <v>81</v>
      </c>
      <c r="L2272" s="46" t="s">
        <v>546</v>
      </c>
      <c r="M2272" s="52" t="s">
        <v>6821</v>
      </c>
      <c r="N2272" s="46" t="s">
        <v>52</v>
      </c>
      <c r="O2272" s="46" t="s">
        <v>52</v>
      </c>
      <c r="P2272" s="46" t="s">
        <v>59</v>
      </c>
      <c r="Q2272" s="46" t="s">
        <v>60</v>
      </c>
      <c r="R2272" s="46" t="s">
        <v>61</v>
      </c>
      <c r="S2272" s="46" t="s">
        <v>62</v>
      </c>
      <c r="T2272" s="46" t="s">
        <v>12</v>
      </c>
      <c r="U2272" s="46" t="s">
        <v>63</v>
      </c>
    </row>
    <row r="2273" spans="1:21">
      <c r="A2273" s="47">
        <v>37499769</v>
      </c>
      <c r="B2273" s="46" t="s">
        <v>797</v>
      </c>
      <c r="C2273" s="46" t="s">
        <v>798</v>
      </c>
      <c r="D2273" s="48" t="s">
        <v>52</v>
      </c>
      <c r="E2273" s="49" t="str">
        <f t="shared" ca="1" si="90"/>
        <v/>
      </c>
      <c r="F2273" s="50" t="s">
        <v>799</v>
      </c>
      <c r="G2273" s="51" t="s">
        <v>141</v>
      </c>
      <c r="H2273" s="52" t="s">
        <v>52</v>
      </c>
      <c r="I2273" s="52" t="s">
        <v>594</v>
      </c>
      <c r="J2273" s="46" t="s">
        <v>800</v>
      </c>
      <c r="K2273" s="46" t="s">
        <v>81</v>
      </c>
      <c r="L2273" s="46" t="s">
        <v>52</v>
      </c>
      <c r="M2273" s="52" t="s">
        <v>801</v>
      </c>
      <c r="N2273" s="46" t="s">
        <v>802</v>
      </c>
      <c r="O2273" s="46" t="s">
        <v>52</v>
      </c>
      <c r="P2273" s="46" t="s">
        <v>59</v>
      </c>
      <c r="Q2273" s="46" t="s">
        <v>60</v>
      </c>
      <c r="R2273" s="46" t="s">
        <v>61</v>
      </c>
      <c r="S2273" s="46" t="s">
        <v>62</v>
      </c>
      <c r="T2273" s="46" t="s">
        <v>12</v>
      </c>
      <c r="U2273" s="46" t="s">
        <v>63</v>
      </c>
    </row>
    <row r="2274" spans="1:21">
      <c r="A2274" s="47">
        <v>37500109</v>
      </c>
      <c r="B2274" s="46" t="s">
        <v>1565</v>
      </c>
      <c r="C2274" s="46" t="s">
        <v>139</v>
      </c>
      <c r="D2274" s="48">
        <v>34095</v>
      </c>
      <c r="E2274" s="49">
        <f t="shared" ca="1" si="90"/>
        <v>33.151232082460943</v>
      </c>
      <c r="F2274" s="50">
        <v>155218777</v>
      </c>
      <c r="G2274" s="51" t="s">
        <v>70</v>
      </c>
      <c r="I2274" s="52" t="s">
        <v>1497</v>
      </c>
      <c r="J2274" s="46" t="s">
        <v>1566</v>
      </c>
      <c r="M2274" s="53" t="s">
        <v>1567</v>
      </c>
    </row>
    <row r="2275" spans="1:21">
      <c r="A2275" s="47">
        <v>37500772</v>
      </c>
      <c r="B2275" s="46" t="s">
        <v>359</v>
      </c>
      <c r="C2275" s="46" t="s">
        <v>9786</v>
      </c>
      <c r="D2275" s="48" t="s">
        <v>9787</v>
      </c>
      <c r="E2275" s="49" t="s">
        <v>9379</v>
      </c>
      <c r="F2275" s="50" t="s">
        <v>9788</v>
      </c>
      <c r="G2275" s="51" t="s">
        <v>70</v>
      </c>
      <c r="H2275" s="52" t="s">
        <v>9789</v>
      </c>
      <c r="I2275" s="52" t="s">
        <v>908</v>
      </c>
      <c r="J2275" s="46" t="s">
        <v>9790</v>
      </c>
      <c r="K2275" s="46" t="s">
        <v>112</v>
      </c>
      <c r="L2275" s="46" t="s">
        <v>546</v>
      </c>
      <c r="M2275" s="52" t="s">
        <v>9791</v>
      </c>
      <c r="N2275" s="46" t="s">
        <v>52</v>
      </c>
      <c r="O2275" s="46" t="s">
        <v>52</v>
      </c>
      <c r="P2275" s="46" t="s">
        <v>59</v>
      </c>
      <c r="Q2275" s="46" t="s">
        <v>60</v>
      </c>
      <c r="R2275" s="46" t="s">
        <v>61</v>
      </c>
      <c r="S2275" s="46" t="s">
        <v>62</v>
      </c>
      <c r="T2275" s="46" t="s">
        <v>12</v>
      </c>
      <c r="U2275" s="46" t="s">
        <v>63</v>
      </c>
    </row>
    <row r="2276" spans="1:21">
      <c r="A2276" s="47">
        <v>37500885</v>
      </c>
      <c r="B2276" s="46" t="s">
        <v>1216</v>
      </c>
      <c r="C2276" s="46" t="s">
        <v>4373</v>
      </c>
      <c r="D2276" s="48">
        <v>34269</v>
      </c>
      <c r="E2276" s="49">
        <f ca="1">IF(D2276="","",YEARFRAC(D2276,TODAY(),1))</f>
        <v>32.674826864229345</v>
      </c>
      <c r="F2276" s="50">
        <v>4851663</v>
      </c>
      <c r="G2276" s="51" t="s">
        <v>23</v>
      </c>
      <c r="I2276" s="52" t="s">
        <v>23</v>
      </c>
      <c r="J2276" s="46" t="s">
        <v>564</v>
      </c>
      <c r="M2276" s="53" t="s">
        <v>6354</v>
      </c>
    </row>
    <row r="2277" spans="1:21">
      <c r="A2277" s="47">
        <v>37500942</v>
      </c>
      <c r="B2277" s="46" t="s">
        <v>2304</v>
      </c>
      <c r="C2277" s="46" t="s">
        <v>2305</v>
      </c>
      <c r="D2277" s="48">
        <v>34272</v>
      </c>
      <c r="E2277" s="49">
        <f ca="1">IF(D2277="","",YEARFRAC(D2277,TODAY(),1))</f>
        <v>32.666612981156383</v>
      </c>
      <c r="F2277" s="50">
        <v>156254834</v>
      </c>
      <c r="G2277" s="51" t="s">
        <v>70</v>
      </c>
      <c r="I2277" s="52" t="s">
        <v>1881</v>
      </c>
      <c r="J2277" s="46" t="s">
        <v>234</v>
      </c>
      <c r="M2277" s="53" t="s">
        <v>2306</v>
      </c>
    </row>
    <row r="2278" spans="1:21">
      <c r="A2278" s="47">
        <v>37503443</v>
      </c>
      <c r="B2278" s="46" t="s">
        <v>927</v>
      </c>
      <c r="C2278" s="46" t="s">
        <v>1871</v>
      </c>
      <c r="D2278" s="48" t="s">
        <v>52</v>
      </c>
      <c r="E2278" s="49" t="str">
        <f ca="1">IF(D2278="","",YEARFRAC(D2278,TODAY(),1))</f>
        <v/>
      </c>
      <c r="F2278" s="50" t="s">
        <v>1872</v>
      </c>
      <c r="G2278" s="51" t="s">
        <v>86</v>
      </c>
      <c r="H2278" s="52" t="s">
        <v>52</v>
      </c>
      <c r="I2278" s="52" t="s">
        <v>1657</v>
      </c>
      <c r="J2278" s="46" t="s">
        <v>1873</v>
      </c>
      <c r="K2278" s="46" t="s">
        <v>112</v>
      </c>
      <c r="L2278" s="46" t="s">
        <v>546</v>
      </c>
      <c r="M2278" s="52" t="s">
        <v>1874</v>
      </c>
      <c r="N2278" s="46" t="s">
        <v>1875</v>
      </c>
      <c r="O2278" s="46" t="s">
        <v>52</v>
      </c>
      <c r="P2278" s="46" t="s">
        <v>59</v>
      </c>
      <c r="Q2278" s="46" t="s">
        <v>60</v>
      </c>
      <c r="R2278" s="46" t="s">
        <v>61</v>
      </c>
      <c r="S2278" s="46" t="s">
        <v>62</v>
      </c>
      <c r="T2278" s="46" t="s">
        <v>12</v>
      </c>
      <c r="U2278" s="46" t="s">
        <v>63</v>
      </c>
    </row>
    <row r="2279" spans="1:21">
      <c r="A2279" s="47">
        <v>37511447</v>
      </c>
      <c r="B2279" s="46" t="s">
        <v>2725</v>
      </c>
      <c r="C2279" s="46" t="s">
        <v>2726</v>
      </c>
      <c r="D2279" s="48" t="s">
        <v>52</v>
      </c>
      <c r="E2279" s="49" t="str">
        <f ca="1">IF(D2279="","",YEARFRAC(D2279,TODAY(),1))</f>
        <v/>
      </c>
      <c r="F2279" s="50" t="s">
        <v>2727</v>
      </c>
      <c r="G2279" s="51" t="s">
        <v>86</v>
      </c>
      <c r="H2279" s="52" t="s">
        <v>52</v>
      </c>
      <c r="I2279" s="52" t="s">
        <v>2720</v>
      </c>
      <c r="J2279" s="46" t="s">
        <v>38</v>
      </c>
      <c r="K2279" s="46" t="s">
        <v>81</v>
      </c>
      <c r="L2279" s="46" t="s">
        <v>52</v>
      </c>
      <c r="M2279" s="53" t="s">
        <v>2728</v>
      </c>
      <c r="N2279" s="46" t="s">
        <v>2729</v>
      </c>
      <c r="O2279" s="46" t="s">
        <v>2730</v>
      </c>
      <c r="P2279" s="46" t="s">
        <v>59</v>
      </c>
      <c r="Q2279" s="46" t="s">
        <v>60</v>
      </c>
      <c r="R2279" s="46" t="s">
        <v>61</v>
      </c>
      <c r="S2279" s="46" t="s">
        <v>62</v>
      </c>
      <c r="T2279" s="46" t="s">
        <v>12</v>
      </c>
      <c r="U2279" s="46" t="s">
        <v>63</v>
      </c>
    </row>
    <row r="2280" spans="1:21">
      <c r="A2280" s="47">
        <v>37655869</v>
      </c>
      <c r="B2280" s="46" t="s">
        <v>6545</v>
      </c>
      <c r="C2280" s="46" t="s">
        <v>6546</v>
      </c>
      <c r="D2280" s="48" t="s">
        <v>6547</v>
      </c>
      <c r="E2280" s="49">
        <f ca="1">IF(D2280="","",YEARFRAC(D2280,TODAY(),1))</f>
        <v>32.362067535053512</v>
      </c>
      <c r="F2280" s="50" t="s">
        <v>6548</v>
      </c>
      <c r="G2280" s="51" t="s">
        <v>141</v>
      </c>
      <c r="H2280" s="52" t="s">
        <v>52</v>
      </c>
      <c r="I2280" s="52" t="s">
        <v>6549</v>
      </c>
      <c r="J2280" s="46" t="s">
        <v>52</v>
      </c>
      <c r="K2280" s="46" t="s">
        <v>1206</v>
      </c>
      <c r="L2280" s="46" t="s">
        <v>546</v>
      </c>
      <c r="M2280" s="52" t="s">
        <v>6550</v>
      </c>
      <c r="N2280" s="46" t="s">
        <v>52</v>
      </c>
      <c r="O2280" s="46" t="s">
        <v>52</v>
      </c>
      <c r="P2280" s="46" t="s">
        <v>59</v>
      </c>
      <c r="Q2280" s="46" t="s">
        <v>60</v>
      </c>
      <c r="R2280" s="46" t="s">
        <v>61</v>
      </c>
      <c r="S2280" s="46" t="s">
        <v>62</v>
      </c>
      <c r="T2280" s="46" t="s">
        <v>12</v>
      </c>
      <c r="U2280" s="46" t="s">
        <v>63</v>
      </c>
    </row>
    <row r="2281" spans="1:21">
      <c r="A2281" s="47">
        <v>37656330</v>
      </c>
      <c r="B2281" s="46" t="s">
        <v>9472</v>
      </c>
      <c r="C2281" s="46" t="s">
        <v>9473</v>
      </c>
      <c r="D2281" s="48" t="s">
        <v>52</v>
      </c>
      <c r="E2281" s="49" t="s">
        <v>52</v>
      </c>
      <c r="F2281" s="50" t="s">
        <v>52</v>
      </c>
      <c r="G2281" s="51" t="s">
        <v>52</v>
      </c>
      <c r="H2281" s="52" t="s">
        <v>52</v>
      </c>
      <c r="I2281" s="52" t="s">
        <v>594</v>
      </c>
      <c r="J2281" s="46" t="s">
        <v>52</v>
      </c>
      <c r="K2281" s="46" t="s">
        <v>52</v>
      </c>
      <c r="L2281" s="46" t="s">
        <v>546</v>
      </c>
      <c r="M2281" s="52" t="s">
        <v>9474</v>
      </c>
      <c r="N2281" s="46" t="s">
        <v>52</v>
      </c>
      <c r="O2281" s="46" t="s">
        <v>52</v>
      </c>
      <c r="P2281" s="46" t="s">
        <v>59</v>
      </c>
      <c r="Q2281" s="46" t="s">
        <v>60</v>
      </c>
      <c r="R2281" s="46" t="s">
        <v>61</v>
      </c>
      <c r="S2281" s="46" t="s">
        <v>62</v>
      </c>
      <c r="T2281" s="46" t="s">
        <v>12</v>
      </c>
      <c r="U2281" s="46" t="s">
        <v>63</v>
      </c>
    </row>
    <row r="2282" spans="1:21">
      <c r="A2282" s="64">
        <v>37657279</v>
      </c>
      <c r="B2282" s="61" t="s">
        <v>4743</v>
      </c>
      <c r="C2282" s="62" t="s">
        <v>6146</v>
      </c>
      <c r="E2282" s="49" t="str">
        <f ca="1">IF(D2282="","",YEARFRAC(D2282,TODAY(),1))</f>
        <v/>
      </c>
      <c r="F2282" s="63">
        <v>155743796</v>
      </c>
      <c r="G2282" s="51" t="s">
        <v>23</v>
      </c>
      <c r="I2282" s="52" t="s">
        <v>23</v>
      </c>
      <c r="J2282" s="61"/>
      <c r="K2282" s="61"/>
      <c r="L2282" s="61"/>
      <c r="M2282" s="58" t="s">
        <v>25</v>
      </c>
      <c r="N2282" s="55"/>
      <c r="O2282" s="55"/>
    </row>
    <row r="2283" spans="1:21">
      <c r="A2283" s="47">
        <v>37657472</v>
      </c>
      <c r="B2283" s="46" t="s">
        <v>2661</v>
      </c>
      <c r="C2283" s="46" t="s">
        <v>2662</v>
      </c>
      <c r="D2283" s="48">
        <v>34404</v>
      </c>
      <c r="E2283" s="49">
        <f ca="1">IF(D2283="","",YEARFRAC(D2283,TODAY(),1))</f>
        <v>32.304571475981085</v>
      </c>
      <c r="F2283" s="50">
        <v>155410034</v>
      </c>
      <c r="G2283" s="51" t="s">
        <v>86</v>
      </c>
      <c r="I2283" s="52" t="s">
        <v>2659</v>
      </c>
      <c r="M2283" s="53" t="s">
        <v>2663</v>
      </c>
    </row>
    <row r="2284" spans="1:21">
      <c r="A2284" s="47">
        <v>37725924</v>
      </c>
      <c r="B2284" s="46" t="s">
        <v>392</v>
      </c>
      <c r="C2284" s="46" t="s">
        <v>2836</v>
      </c>
      <c r="D2284" s="48">
        <v>34311</v>
      </c>
      <c r="E2284" s="49">
        <f ca="1">IF(D2284="","",YEARFRAC(D2284,TODAY(),1))</f>
        <v>32.559832501207921</v>
      </c>
      <c r="F2284" s="50">
        <v>155818982</v>
      </c>
      <c r="G2284" s="51" t="s">
        <v>86</v>
      </c>
      <c r="I2284" s="52" t="s">
        <v>2831</v>
      </c>
      <c r="J2284" s="46" t="s">
        <v>2837</v>
      </c>
      <c r="M2284" s="53" t="s">
        <v>2838</v>
      </c>
      <c r="N2284" s="46">
        <v>4107265</v>
      </c>
    </row>
    <row r="2285" spans="1:21">
      <c r="A2285" s="74">
        <v>37997702</v>
      </c>
      <c r="B2285" s="234" t="s">
        <v>9875</v>
      </c>
      <c r="C2285" s="234" t="s">
        <v>9876</v>
      </c>
      <c r="D2285" s="235">
        <v>34470</v>
      </c>
      <c r="E2285" s="236"/>
      <c r="F2285" s="237">
        <v>3816763969</v>
      </c>
      <c r="G2285" s="234" t="s">
        <v>70</v>
      </c>
      <c r="H2285" s="238" t="s">
        <v>9950</v>
      </c>
      <c r="I2285" s="265" t="s">
        <v>3555</v>
      </c>
      <c r="J2285" s="234" t="s">
        <v>9986</v>
      </c>
      <c r="K2285" s="234" t="s">
        <v>390</v>
      </c>
      <c r="L2285" s="234"/>
      <c r="M2285" s="238" t="s">
        <v>9920</v>
      </c>
      <c r="N2285" s="234"/>
      <c r="O2285" s="234"/>
      <c r="P2285" s="234"/>
      <c r="Q2285" s="234"/>
      <c r="R2285" s="234"/>
      <c r="S2285" s="234"/>
      <c r="T2285" s="234"/>
      <c r="U2285" s="234"/>
    </row>
    <row r="2286" spans="1:21">
      <c r="A2286" s="47">
        <v>38023549</v>
      </c>
      <c r="B2286" s="46" t="s">
        <v>9833</v>
      </c>
      <c r="C2286" s="46" t="s">
        <v>9834</v>
      </c>
      <c r="D2286" s="48" t="s">
        <v>9835</v>
      </c>
      <c r="E2286" s="49" t="s">
        <v>796</v>
      </c>
      <c r="F2286" s="50" t="s">
        <v>9836</v>
      </c>
      <c r="G2286" s="51" t="s">
        <v>70</v>
      </c>
      <c r="H2286" s="52" t="s">
        <v>9837</v>
      </c>
      <c r="I2286" s="52" t="s">
        <v>2926</v>
      </c>
      <c r="J2286" s="46" t="s">
        <v>9838</v>
      </c>
      <c r="K2286" s="46" t="s">
        <v>112</v>
      </c>
      <c r="L2286" s="46" t="s">
        <v>546</v>
      </c>
      <c r="M2286" s="52" t="s">
        <v>9839</v>
      </c>
      <c r="N2286" s="46" t="s">
        <v>52</v>
      </c>
      <c r="O2286" s="46" t="s">
        <v>52</v>
      </c>
      <c r="P2286" s="46" t="s">
        <v>59</v>
      </c>
      <c r="Q2286" s="46" t="s">
        <v>60</v>
      </c>
      <c r="R2286" s="46" t="s">
        <v>61</v>
      </c>
      <c r="S2286" s="46" t="s">
        <v>62</v>
      </c>
      <c r="T2286" s="46" t="s">
        <v>12</v>
      </c>
      <c r="U2286" s="46" t="s">
        <v>63</v>
      </c>
    </row>
    <row r="2287" spans="1:21">
      <c r="A2287" s="47">
        <v>38184121</v>
      </c>
      <c r="B2287" s="46" t="s">
        <v>8496</v>
      </c>
      <c r="C2287" s="46" t="s">
        <v>9498</v>
      </c>
      <c r="D2287" s="48" t="s">
        <v>9499</v>
      </c>
      <c r="E2287" s="49" t="s">
        <v>796</v>
      </c>
      <c r="F2287" s="50" t="s">
        <v>9500</v>
      </c>
      <c r="G2287" s="51" t="s">
        <v>141</v>
      </c>
      <c r="H2287" s="52" t="s">
        <v>9501</v>
      </c>
      <c r="I2287" s="52" t="s">
        <v>5304</v>
      </c>
      <c r="J2287" s="46" t="s">
        <v>52</v>
      </c>
      <c r="K2287" s="46" t="s">
        <v>52</v>
      </c>
      <c r="L2287" s="46" t="s">
        <v>546</v>
      </c>
      <c r="M2287" s="52" t="s">
        <v>9502</v>
      </c>
      <c r="N2287" s="46" t="s">
        <v>52</v>
      </c>
      <c r="O2287" s="46" t="s">
        <v>52</v>
      </c>
      <c r="P2287" s="46" t="s">
        <v>59</v>
      </c>
      <c r="Q2287" s="46" t="s">
        <v>60</v>
      </c>
      <c r="R2287" s="46" t="s">
        <v>61</v>
      </c>
      <c r="S2287" s="46" t="s">
        <v>62</v>
      </c>
      <c r="T2287" s="46" t="s">
        <v>12</v>
      </c>
      <c r="U2287" s="46" t="s">
        <v>63</v>
      </c>
    </row>
    <row r="2288" spans="1:21">
      <c r="A2288" s="47">
        <v>38184153</v>
      </c>
      <c r="B2288" s="46" t="s">
        <v>5082</v>
      </c>
      <c r="C2288" s="46" t="s">
        <v>6840</v>
      </c>
      <c r="D2288" s="48" t="s">
        <v>52</v>
      </c>
      <c r="E2288" s="49" t="str">
        <f ca="1">IF(D2288="","",YEARFRAC(D2288,TODAY(),1))</f>
        <v/>
      </c>
      <c r="F2288" s="50" t="s">
        <v>6841</v>
      </c>
      <c r="G2288" s="51" t="s">
        <v>141</v>
      </c>
      <c r="H2288" s="52" t="s">
        <v>52</v>
      </c>
      <c r="I2288" s="52" t="s">
        <v>24</v>
      </c>
      <c r="J2288" s="46" t="s">
        <v>6842</v>
      </c>
      <c r="K2288" s="46" t="s">
        <v>81</v>
      </c>
      <c r="L2288" s="46" t="s">
        <v>546</v>
      </c>
      <c r="M2288" s="52" t="s">
        <v>6843</v>
      </c>
      <c r="N2288" s="46" t="s">
        <v>52</v>
      </c>
      <c r="O2288" s="46" t="s">
        <v>52</v>
      </c>
      <c r="P2288" s="46" t="s">
        <v>59</v>
      </c>
      <c r="Q2288" s="46" t="s">
        <v>60</v>
      </c>
      <c r="R2288" s="46" t="s">
        <v>61</v>
      </c>
      <c r="S2288" s="46" t="s">
        <v>62</v>
      </c>
      <c r="T2288" s="46" t="s">
        <v>12</v>
      </c>
      <c r="U2288" s="46" t="s">
        <v>63</v>
      </c>
    </row>
    <row r="2289" spans="1:21">
      <c r="A2289" s="47">
        <v>38216469</v>
      </c>
      <c r="B2289" s="46" t="s">
        <v>1500</v>
      </c>
      <c r="C2289" s="46" t="s">
        <v>9698</v>
      </c>
      <c r="D2289" s="48" t="s">
        <v>52</v>
      </c>
      <c r="E2289" s="49" t="s">
        <v>52</v>
      </c>
      <c r="F2289" s="50" t="s">
        <v>9699</v>
      </c>
      <c r="G2289" s="51" t="s">
        <v>141</v>
      </c>
      <c r="H2289" s="52" t="s">
        <v>52</v>
      </c>
      <c r="I2289" s="52" t="s">
        <v>1497</v>
      </c>
      <c r="J2289" s="46" t="s">
        <v>9700</v>
      </c>
      <c r="K2289" s="46" t="s">
        <v>81</v>
      </c>
      <c r="L2289" s="46" t="s">
        <v>546</v>
      </c>
      <c r="M2289" s="52" t="s">
        <v>9701</v>
      </c>
      <c r="N2289" s="46" t="s">
        <v>52</v>
      </c>
      <c r="O2289" s="46" t="s">
        <v>52</v>
      </c>
      <c r="P2289" s="46" t="s">
        <v>59</v>
      </c>
      <c r="Q2289" s="46" t="s">
        <v>60</v>
      </c>
      <c r="R2289" s="46" t="s">
        <v>61</v>
      </c>
      <c r="S2289" s="46" t="s">
        <v>62</v>
      </c>
      <c r="T2289" s="46" t="s">
        <v>12</v>
      </c>
      <c r="U2289" s="46" t="s">
        <v>63</v>
      </c>
    </row>
    <row r="2290" spans="1:21">
      <c r="A2290" s="47">
        <v>38347811</v>
      </c>
      <c r="B2290" s="46" t="s">
        <v>3142</v>
      </c>
      <c r="C2290" s="46" t="s">
        <v>3143</v>
      </c>
      <c r="D2290" s="48">
        <v>33927</v>
      </c>
      <c r="E2290" s="49">
        <f ca="1">IF(D2290="","",YEARFRAC(D2290,TODAY(),1))</f>
        <v>33.609198998748433</v>
      </c>
      <c r="F2290" s="50">
        <v>153920256</v>
      </c>
      <c r="G2290" s="51" t="s">
        <v>37</v>
      </c>
      <c r="I2290" s="52" t="s">
        <v>3127</v>
      </c>
      <c r="J2290" s="55" t="s">
        <v>3144</v>
      </c>
      <c r="K2290" s="55"/>
      <c r="L2290" s="55"/>
      <c r="M2290" s="53" t="s">
        <v>3145</v>
      </c>
      <c r="P2290" s="46">
        <v>3</v>
      </c>
    </row>
    <row r="2291" spans="1:21">
      <c r="A2291" s="47">
        <v>38423529</v>
      </c>
      <c r="B2291" s="46" t="s">
        <v>467</v>
      </c>
      <c r="C2291" s="46" t="s">
        <v>4241</v>
      </c>
      <c r="D2291" s="48" t="s">
        <v>52</v>
      </c>
      <c r="E2291" s="49" t="str">
        <f ca="1">IF(D2291="","",YEARFRAC(D2291,TODAY(),1))</f>
        <v/>
      </c>
      <c r="F2291" s="50" t="s">
        <v>4242</v>
      </c>
      <c r="G2291" s="51" t="s">
        <v>141</v>
      </c>
      <c r="H2291" s="52" t="s">
        <v>52</v>
      </c>
      <c r="I2291" s="52" t="s">
        <v>4181</v>
      </c>
      <c r="J2291" s="46" t="s">
        <v>52</v>
      </c>
      <c r="K2291" s="46" t="s">
        <v>1206</v>
      </c>
      <c r="L2291" s="46" t="s">
        <v>52</v>
      </c>
      <c r="M2291" s="52" t="s">
        <v>4243</v>
      </c>
      <c r="N2291" s="46" t="s">
        <v>4244</v>
      </c>
      <c r="O2291" s="46" t="s">
        <v>52</v>
      </c>
      <c r="P2291" s="46" t="s">
        <v>59</v>
      </c>
      <c r="Q2291" s="46" t="s">
        <v>60</v>
      </c>
      <c r="R2291" s="46" t="s">
        <v>61</v>
      </c>
      <c r="S2291" s="46" t="s">
        <v>62</v>
      </c>
      <c r="T2291" s="46" t="s">
        <v>12</v>
      </c>
      <c r="U2291" s="46" t="s">
        <v>63</v>
      </c>
    </row>
    <row r="2292" spans="1:21">
      <c r="A2292" s="47">
        <v>38487248</v>
      </c>
      <c r="B2292" s="46" t="s">
        <v>2586</v>
      </c>
      <c r="C2292" s="46" t="s">
        <v>9485</v>
      </c>
      <c r="D2292" s="48" t="s">
        <v>52</v>
      </c>
      <c r="E2292" s="49" t="s">
        <v>52</v>
      </c>
      <c r="F2292" s="50" t="s">
        <v>52</v>
      </c>
      <c r="G2292" s="51" t="s">
        <v>52</v>
      </c>
      <c r="H2292" s="52" t="s">
        <v>52</v>
      </c>
      <c r="I2292" s="52" t="s">
        <v>594</v>
      </c>
      <c r="J2292" s="46" t="s">
        <v>52</v>
      </c>
      <c r="K2292" s="46" t="s">
        <v>52</v>
      </c>
      <c r="L2292" s="46" t="s">
        <v>546</v>
      </c>
      <c r="M2292" s="52" t="s">
        <v>9486</v>
      </c>
      <c r="N2292" s="46" t="s">
        <v>52</v>
      </c>
      <c r="O2292" s="46" t="s">
        <v>52</v>
      </c>
      <c r="P2292" s="46" t="s">
        <v>59</v>
      </c>
      <c r="Q2292" s="46" t="s">
        <v>60</v>
      </c>
      <c r="R2292" s="46" t="s">
        <v>61</v>
      </c>
      <c r="S2292" s="46" t="s">
        <v>62</v>
      </c>
      <c r="T2292" s="46" t="s">
        <v>12</v>
      </c>
      <c r="U2292" s="46" t="s">
        <v>63</v>
      </c>
    </row>
    <row r="2293" spans="1:21">
      <c r="A2293" s="47">
        <v>38488661</v>
      </c>
      <c r="B2293" s="46" t="s">
        <v>3101</v>
      </c>
      <c r="C2293" s="52" t="s">
        <v>6235</v>
      </c>
      <c r="D2293" s="48">
        <v>34702</v>
      </c>
      <c r="E2293" s="49">
        <f t="shared" ref="E2293:E2298" ca="1" si="91">IF(D2293="","",YEARFRAC(D2293,TODAY(),1))</f>
        <v>31.488021902806295</v>
      </c>
      <c r="F2293" s="50">
        <v>155753806</v>
      </c>
      <c r="G2293" s="51" t="s">
        <v>23</v>
      </c>
      <c r="I2293" s="52" t="s">
        <v>23</v>
      </c>
      <c r="M2293" s="58" t="s">
        <v>25</v>
      </c>
      <c r="N2293" s="55"/>
      <c r="O2293" s="55"/>
    </row>
    <row r="2294" spans="1:21">
      <c r="A2294" s="47">
        <v>38488682</v>
      </c>
      <c r="B2294" s="46" t="s">
        <v>6410</v>
      </c>
      <c r="C2294" s="52" t="s">
        <v>5205</v>
      </c>
      <c r="D2294" s="48">
        <v>41302</v>
      </c>
      <c r="E2294" s="49">
        <f t="shared" ca="1" si="91"/>
        <v>13.419518873459808</v>
      </c>
      <c r="F2294" s="50">
        <v>154469575</v>
      </c>
      <c r="G2294" s="51" t="s">
        <v>23</v>
      </c>
      <c r="I2294" s="52" t="s">
        <v>23</v>
      </c>
      <c r="M2294" s="53" t="s">
        <v>6411</v>
      </c>
      <c r="N2294" s="55"/>
      <c r="O2294" s="55"/>
    </row>
    <row r="2295" spans="1:21">
      <c r="A2295" s="47">
        <v>38741603</v>
      </c>
      <c r="B2295" s="46" t="s">
        <v>1040</v>
      </c>
      <c r="C2295" s="46" t="s">
        <v>6722</v>
      </c>
      <c r="D2295" s="48" t="s">
        <v>52</v>
      </c>
      <c r="E2295" s="49" t="str">
        <f t="shared" ca="1" si="91"/>
        <v/>
      </c>
      <c r="F2295" s="50" t="s">
        <v>6723</v>
      </c>
      <c r="G2295" s="51" t="s">
        <v>141</v>
      </c>
      <c r="H2295" s="52" t="s">
        <v>6724</v>
      </c>
      <c r="I2295" s="52" t="s">
        <v>1497</v>
      </c>
      <c r="J2295" s="46" t="s">
        <v>4812</v>
      </c>
      <c r="K2295" s="46" t="s">
        <v>1206</v>
      </c>
      <c r="L2295" s="46" t="s">
        <v>546</v>
      </c>
      <c r="M2295" s="52" t="s">
        <v>6725</v>
      </c>
      <c r="N2295" s="46" t="s">
        <v>52</v>
      </c>
      <c r="O2295" s="46" t="s">
        <v>52</v>
      </c>
      <c r="P2295" s="46" t="s">
        <v>59</v>
      </c>
      <c r="Q2295" s="46" t="s">
        <v>60</v>
      </c>
      <c r="R2295" s="46" t="s">
        <v>61</v>
      </c>
      <c r="S2295" s="46" t="s">
        <v>62</v>
      </c>
      <c r="T2295" s="46" t="s">
        <v>12</v>
      </c>
      <c r="U2295" s="46" t="s">
        <v>63</v>
      </c>
    </row>
    <row r="2296" spans="1:21">
      <c r="A2296" s="47">
        <v>38744819</v>
      </c>
      <c r="B2296" s="46" t="s">
        <v>1388</v>
      </c>
      <c r="C2296" s="46" t="s">
        <v>1389</v>
      </c>
      <c r="D2296" s="48" t="s">
        <v>1390</v>
      </c>
      <c r="E2296" s="49">
        <f t="shared" ca="1" si="91"/>
        <v>31.26899383983573</v>
      </c>
      <c r="F2296" s="50" t="s">
        <v>1391</v>
      </c>
      <c r="G2296" s="51" t="s">
        <v>86</v>
      </c>
      <c r="H2296" s="52" t="s">
        <v>52</v>
      </c>
      <c r="I2296" s="59" t="s">
        <v>908</v>
      </c>
      <c r="J2296" s="46" t="s">
        <v>52</v>
      </c>
      <c r="K2296" s="46" t="s">
        <v>81</v>
      </c>
      <c r="L2296" s="46" t="s">
        <v>52</v>
      </c>
      <c r="M2296" s="58" t="s">
        <v>1392</v>
      </c>
      <c r="N2296" s="46" t="s">
        <v>52</v>
      </c>
      <c r="O2296" s="46" t="s">
        <v>52</v>
      </c>
      <c r="P2296" s="46" t="s">
        <v>59</v>
      </c>
      <c r="Q2296" s="46" t="s">
        <v>60</v>
      </c>
      <c r="R2296" s="46" t="s">
        <v>61</v>
      </c>
      <c r="S2296" s="46" t="s">
        <v>62</v>
      </c>
      <c r="T2296" s="46" t="s">
        <v>12</v>
      </c>
      <c r="U2296" s="46" t="s">
        <v>63</v>
      </c>
    </row>
    <row r="2297" spans="1:21">
      <c r="A2297" s="60">
        <v>39077222</v>
      </c>
      <c r="B2297" s="61" t="s">
        <v>599</v>
      </c>
      <c r="C2297" s="62" t="s">
        <v>5996</v>
      </c>
      <c r="D2297" s="48">
        <v>34818</v>
      </c>
      <c r="E2297" s="49">
        <f t="shared" ca="1" si="91"/>
        <v>31.170431211498972</v>
      </c>
      <c r="F2297" s="63">
        <v>155757784</v>
      </c>
      <c r="G2297" s="51" t="s">
        <v>23</v>
      </c>
      <c r="I2297" s="52" t="s">
        <v>23</v>
      </c>
      <c r="J2297" s="61"/>
      <c r="K2297" s="61"/>
      <c r="L2297" s="61"/>
      <c r="M2297" s="58" t="s">
        <v>25</v>
      </c>
      <c r="N2297" s="55"/>
      <c r="O2297" s="55"/>
    </row>
    <row r="2298" spans="1:21">
      <c r="A2298" s="47">
        <v>39138293</v>
      </c>
      <c r="B2298" s="46" t="s">
        <v>3901</v>
      </c>
      <c r="C2298" s="46" t="s">
        <v>3902</v>
      </c>
      <c r="D2298" s="48" t="s">
        <v>3903</v>
      </c>
      <c r="E2298" s="49">
        <f t="shared" ca="1" si="91"/>
        <v>31.044490075290895</v>
      </c>
      <c r="F2298" s="50" t="s">
        <v>3904</v>
      </c>
      <c r="G2298" s="51" t="s">
        <v>86</v>
      </c>
      <c r="H2298" s="52" t="s">
        <v>52</v>
      </c>
      <c r="I2298" s="52" t="s">
        <v>3630</v>
      </c>
      <c r="J2298" s="46" t="s">
        <v>1110</v>
      </c>
      <c r="K2298" s="46" t="s">
        <v>52</v>
      </c>
      <c r="L2298" s="46" t="s">
        <v>546</v>
      </c>
      <c r="M2298" s="52" t="s">
        <v>3905</v>
      </c>
      <c r="N2298" s="46" t="s">
        <v>52</v>
      </c>
      <c r="O2298" s="46" t="s">
        <v>52</v>
      </c>
      <c r="P2298" s="46" t="s">
        <v>59</v>
      </c>
      <c r="Q2298" s="46" t="s">
        <v>60</v>
      </c>
      <c r="R2298" s="46" t="s">
        <v>61</v>
      </c>
      <c r="S2298" s="46" t="s">
        <v>62</v>
      </c>
      <c r="T2298" s="46" t="s">
        <v>12</v>
      </c>
      <c r="U2298" s="46" t="s">
        <v>63</v>
      </c>
    </row>
    <row r="2299" spans="1:21">
      <c r="A2299" s="47">
        <v>39138576</v>
      </c>
      <c r="B2299" s="46" t="s">
        <v>9715</v>
      </c>
      <c r="C2299" s="46" t="s">
        <v>9716</v>
      </c>
      <c r="D2299" s="48" t="s">
        <v>52</v>
      </c>
      <c r="E2299" s="49" t="s">
        <v>52</v>
      </c>
      <c r="F2299" s="50" t="s">
        <v>9717</v>
      </c>
      <c r="G2299" s="51" t="s">
        <v>141</v>
      </c>
      <c r="H2299" s="52" t="s">
        <v>9718</v>
      </c>
      <c r="I2299" s="52" t="s">
        <v>1497</v>
      </c>
      <c r="J2299" s="46" t="s">
        <v>9719</v>
      </c>
      <c r="K2299" s="46" t="s">
        <v>81</v>
      </c>
      <c r="L2299" s="46" t="s">
        <v>546</v>
      </c>
      <c r="M2299" s="52" t="s">
        <v>9720</v>
      </c>
      <c r="N2299" s="46" t="s">
        <v>52</v>
      </c>
      <c r="O2299" s="46" t="s">
        <v>52</v>
      </c>
      <c r="P2299" s="46" t="s">
        <v>59</v>
      </c>
      <c r="Q2299" s="46" t="s">
        <v>60</v>
      </c>
      <c r="R2299" s="46" t="s">
        <v>61</v>
      </c>
      <c r="S2299" s="46" t="s">
        <v>62</v>
      </c>
      <c r="T2299" s="46" t="s">
        <v>12</v>
      </c>
      <c r="U2299" s="46" t="s">
        <v>63</v>
      </c>
    </row>
    <row r="2300" spans="1:21">
      <c r="A2300" s="47">
        <v>39140888</v>
      </c>
      <c r="B2300" s="46" t="s">
        <v>557</v>
      </c>
      <c r="C2300" s="46" t="s">
        <v>558</v>
      </c>
      <c r="D2300" s="48" t="s">
        <v>52</v>
      </c>
      <c r="E2300" s="49" t="str">
        <f ca="1">IF(D2300="","",YEARFRAC(D2300,TODAY(),1))</f>
        <v/>
      </c>
      <c r="F2300" s="50" t="s">
        <v>559</v>
      </c>
      <c r="G2300" s="51" t="s">
        <v>86</v>
      </c>
      <c r="H2300" s="52" t="s">
        <v>52</v>
      </c>
      <c r="I2300" s="52" t="s">
        <v>24</v>
      </c>
      <c r="J2300" s="46" t="s">
        <v>52</v>
      </c>
      <c r="K2300" s="46" t="s">
        <v>52</v>
      </c>
      <c r="L2300" s="46" t="s">
        <v>546</v>
      </c>
      <c r="M2300" s="52" t="s">
        <v>560</v>
      </c>
      <c r="N2300" s="46" t="s">
        <v>52</v>
      </c>
      <c r="O2300" s="46" t="s">
        <v>52</v>
      </c>
      <c r="P2300" s="46" t="s">
        <v>59</v>
      </c>
      <c r="Q2300" s="46" t="s">
        <v>60</v>
      </c>
      <c r="R2300" s="46" t="s">
        <v>61</v>
      </c>
      <c r="S2300" s="46" t="s">
        <v>62</v>
      </c>
      <c r="T2300" s="46" t="s">
        <v>12</v>
      </c>
      <c r="U2300" s="46" t="s">
        <v>63</v>
      </c>
    </row>
    <row r="2301" spans="1:21">
      <c r="A2301" s="47">
        <v>39140909</v>
      </c>
      <c r="B2301" s="46" t="s">
        <v>8799</v>
      </c>
      <c r="C2301" s="46" t="s">
        <v>1398</v>
      </c>
      <c r="D2301" s="48" t="s">
        <v>52</v>
      </c>
      <c r="E2301" s="49" t="str">
        <f ca="1">IF(D2301="","",YEARFRAC(D2301,TODAY(),1))</f>
        <v/>
      </c>
      <c r="F2301" s="50" t="s">
        <v>1399</v>
      </c>
      <c r="G2301" s="51" t="s">
        <v>86</v>
      </c>
      <c r="H2301" s="52" t="s">
        <v>52</v>
      </c>
      <c r="I2301" s="59" t="s">
        <v>908</v>
      </c>
      <c r="J2301" s="46" t="s">
        <v>564</v>
      </c>
      <c r="K2301" s="46" t="s">
        <v>52</v>
      </c>
      <c r="L2301" s="46" t="s">
        <v>546</v>
      </c>
      <c r="M2301" s="52" t="s">
        <v>1400</v>
      </c>
      <c r="N2301" s="46" t="s">
        <v>52</v>
      </c>
      <c r="O2301" s="46" t="s">
        <v>52</v>
      </c>
      <c r="P2301" s="46" t="s">
        <v>59</v>
      </c>
      <c r="Q2301" s="46" t="s">
        <v>60</v>
      </c>
      <c r="R2301" s="46" t="s">
        <v>61</v>
      </c>
      <c r="S2301" s="46" t="s">
        <v>62</v>
      </c>
      <c r="T2301" s="46" t="s">
        <v>12</v>
      </c>
      <c r="U2301" s="46" t="s">
        <v>63</v>
      </c>
    </row>
    <row r="2302" spans="1:21">
      <c r="A2302" s="47">
        <v>39141943</v>
      </c>
      <c r="B2302" s="46" t="s">
        <v>8677</v>
      </c>
      <c r="C2302" s="46" t="s">
        <v>8678</v>
      </c>
      <c r="D2302" s="48" t="s">
        <v>52</v>
      </c>
      <c r="E2302" s="49" t="str">
        <f ca="1">IF(D2302="","",YEARFRAC(D2302,TODAY(),1))</f>
        <v/>
      </c>
      <c r="F2302" s="50" t="s">
        <v>8680</v>
      </c>
      <c r="G2302" s="51" t="s">
        <v>52</v>
      </c>
      <c r="H2302" s="52" t="s">
        <v>52</v>
      </c>
      <c r="I2302" s="52" t="s">
        <v>1497</v>
      </c>
      <c r="J2302" s="46" t="s">
        <v>8667</v>
      </c>
      <c r="K2302" s="46" t="s">
        <v>8668</v>
      </c>
      <c r="L2302" s="46" t="s">
        <v>52</v>
      </c>
      <c r="M2302" s="52" t="s">
        <v>8679</v>
      </c>
      <c r="N2302" s="46" t="s">
        <v>52</v>
      </c>
      <c r="O2302" s="46" t="s">
        <v>52</v>
      </c>
      <c r="P2302" s="46" t="s">
        <v>59</v>
      </c>
      <c r="Q2302" s="46" t="s">
        <v>60</v>
      </c>
      <c r="R2302" s="46" t="s">
        <v>61</v>
      </c>
      <c r="S2302" s="46" t="s">
        <v>62</v>
      </c>
      <c r="T2302" s="46" t="s">
        <v>12</v>
      </c>
      <c r="U2302" s="46" t="s">
        <v>63</v>
      </c>
    </row>
    <row r="2303" spans="1:21">
      <c r="A2303" s="47">
        <v>39146062</v>
      </c>
      <c r="B2303" s="46" t="s">
        <v>1523</v>
      </c>
      <c r="C2303" s="55" t="s">
        <v>1389</v>
      </c>
      <c r="D2303" s="48" t="s">
        <v>52</v>
      </c>
      <c r="E2303" s="49" t="str">
        <f ca="1">IF(D2303="","",YEARFRAC(D2303,TODAY(),1))</f>
        <v/>
      </c>
      <c r="F2303" s="50" t="s">
        <v>4030</v>
      </c>
      <c r="G2303" s="51" t="s">
        <v>141</v>
      </c>
      <c r="H2303" s="52" t="s">
        <v>52</v>
      </c>
      <c r="I2303" s="52" t="s">
        <v>3999</v>
      </c>
      <c r="J2303" s="55" t="s">
        <v>4031</v>
      </c>
      <c r="K2303" s="55" t="s">
        <v>81</v>
      </c>
      <c r="L2303" s="55" t="s">
        <v>52</v>
      </c>
      <c r="M2303" s="53" t="s">
        <v>4032</v>
      </c>
      <c r="N2303" s="55" t="s">
        <v>4023</v>
      </c>
      <c r="O2303" s="55" t="s">
        <v>52</v>
      </c>
      <c r="P2303" s="46" t="s">
        <v>59</v>
      </c>
      <c r="Q2303" s="46" t="s">
        <v>60</v>
      </c>
      <c r="R2303" s="46" t="s">
        <v>61</v>
      </c>
      <c r="S2303" s="46" t="s">
        <v>62</v>
      </c>
      <c r="T2303" s="46" t="s">
        <v>12</v>
      </c>
      <c r="U2303" s="46" t="s">
        <v>63</v>
      </c>
    </row>
    <row r="2304" spans="1:21">
      <c r="A2304" s="47">
        <v>39360120</v>
      </c>
      <c r="B2304" s="46" t="s">
        <v>8877</v>
      </c>
      <c r="C2304" s="46" t="s">
        <v>1182</v>
      </c>
      <c r="D2304" s="48" t="s">
        <v>9354</v>
      </c>
      <c r="E2304" s="49" t="s">
        <v>9355</v>
      </c>
      <c r="F2304" s="50" t="s">
        <v>9356</v>
      </c>
      <c r="G2304" s="51" t="s">
        <v>141</v>
      </c>
      <c r="H2304" s="52" t="s">
        <v>52</v>
      </c>
      <c r="I2304" s="52" t="s">
        <v>1497</v>
      </c>
      <c r="J2304" s="46" t="s">
        <v>9342</v>
      </c>
      <c r="K2304" s="46" t="s">
        <v>390</v>
      </c>
      <c r="L2304" s="46" t="s">
        <v>546</v>
      </c>
      <c r="M2304" s="52" t="s">
        <v>9357</v>
      </c>
      <c r="N2304" s="46" t="s">
        <v>52</v>
      </c>
      <c r="O2304" s="46" t="s">
        <v>52</v>
      </c>
      <c r="P2304" s="46" t="s">
        <v>59</v>
      </c>
      <c r="Q2304" s="46" t="s">
        <v>60</v>
      </c>
      <c r="R2304" s="46" t="s">
        <v>61</v>
      </c>
      <c r="S2304" s="46" t="s">
        <v>62</v>
      </c>
      <c r="T2304" s="46" t="s">
        <v>12</v>
      </c>
      <c r="U2304" s="46" t="s">
        <v>63</v>
      </c>
    </row>
    <row r="2305" spans="1:21">
      <c r="A2305" s="47">
        <v>39360162</v>
      </c>
      <c r="B2305" s="46" t="s">
        <v>311</v>
      </c>
      <c r="C2305" s="46" t="s">
        <v>106</v>
      </c>
      <c r="D2305" s="48" t="s">
        <v>52</v>
      </c>
      <c r="E2305" s="49" t="str">
        <f ca="1">IF(D2305="","",YEARFRAC(D2305,TODAY(),1))</f>
        <v/>
      </c>
      <c r="F2305" s="50" t="s">
        <v>554</v>
      </c>
      <c r="G2305" s="51" t="s">
        <v>86</v>
      </c>
      <c r="H2305" s="52" t="s">
        <v>52</v>
      </c>
      <c r="I2305" s="52" t="s">
        <v>24</v>
      </c>
      <c r="J2305" s="46" t="s">
        <v>555</v>
      </c>
      <c r="K2305" s="46" t="s">
        <v>52</v>
      </c>
      <c r="L2305" s="46" t="s">
        <v>546</v>
      </c>
      <c r="M2305" s="52" t="s">
        <v>556</v>
      </c>
      <c r="N2305" s="46" t="s">
        <v>52</v>
      </c>
      <c r="O2305" s="46" t="s">
        <v>52</v>
      </c>
      <c r="P2305" s="46" t="s">
        <v>59</v>
      </c>
      <c r="Q2305" s="46" t="s">
        <v>60</v>
      </c>
      <c r="R2305" s="46" t="s">
        <v>61</v>
      </c>
      <c r="S2305" s="46" t="s">
        <v>62</v>
      </c>
      <c r="T2305" s="46" t="s">
        <v>12</v>
      </c>
      <c r="U2305" s="46" t="s">
        <v>63</v>
      </c>
    </row>
    <row r="2306" spans="1:21">
      <c r="A2306" s="47">
        <v>39381744</v>
      </c>
      <c r="B2306" s="46" t="s">
        <v>1482</v>
      </c>
      <c r="C2306" s="52" t="s">
        <v>6024</v>
      </c>
      <c r="D2306" s="48">
        <v>35150</v>
      </c>
      <c r="E2306" s="49">
        <f ca="1">IF(D2306="","",YEARFRAC(D2306,TODAY(),1))</f>
        <v>30.260796608672614</v>
      </c>
      <c r="F2306" s="50">
        <v>155013022</v>
      </c>
      <c r="G2306" s="51" t="s">
        <v>23</v>
      </c>
      <c r="I2306" s="52" t="s">
        <v>23</v>
      </c>
      <c r="M2306" s="58" t="s">
        <v>25</v>
      </c>
      <c r="N2306" s="55"/>
      <c r="O2306" s="55"/>
    </row>
    <row r="2307" spans="1:21">
      <c r="A2307" s="47">
        <v>39477120</v>
      </c>
      <c r="B2307" s="46" t="s">
        <v>9361</v>
      </c>
      <c r="C2307" s="46" t="s">
        <v>5205</v>
      </c>
      <c r="D2307" s="48" t="s">
        <v>9362</v>
      </c>
      <c r="E2307" s="49" t="s">
        <v>9355</v>
      </c>
      <c r="F2307" s="50" t="s">
        <v>9363</v>
      </c>
      <c r="G2307" s="51" t="s">
        <v>141</v>
      </c>
      <c r="H2307" s="52" t="s">
        <v>52</v>
      </c>
      <c r="I2307" s="52" t="s">
        <v>1497</v>
      </c>
      <c r="J2307" s="46" t="s">
        <v>9342</v>
      </c>
      <c r="K2307" s="46" t="s">
        <v>52</v>
      </c>
      <c r="L2307" s="46" t="s">
        <v>546</v>
      </c>
      <c r="M2307" s="52" t="s">
        <v>9364</v>
      </c>
      <c r="N2307" s="46" t="s">
        <v>52</v>
      </c>
      <c r="O2307" s="46" t="s">
        <v>52</v>
      </c>
      <c r="P2307" s="46" t="s">
        <v>59</v>
      </c>
      <c r="Q2307" s="46" t="s">
        <v>60</v>
      </c>
      <c r="R2307" s="46" t="s">
        <v>61</v>
      </c>
      <c r="S2307" s="46" t="s">
        <v>62</v>
      </c>
      <c r="T2307" s="46" t="s">
        <v>12</v>
      </c>
      <c r="U2307" s="46" t="s">
        <v>63</v>
      </c>
    </row>
    <row r="2308" spans="1:21">
      <c r="A2308" s="47">
        <v>39477273</v>
      </c>
      <c r="B2308" s="46" t="s">
        <v>2844</v>
      </c>
      <c r="C2308" s="46" t="s">
        <v>3117</v>
      </c>
      <c r="D2308" s="48" t="s">
        <v>52</v>
      </c>
      <c r="E2308" s="49" t="str">
        <f ca="1">IF(D2308="","",YEARFRAC(D2308,TODAY(),1))</f>
        <v/>
      </c>
      <c r="F2308" s="50" t="s">
        <v>3118</v>
      </c>
      <c r="G2308" s="51" t="s">
        <v>70</v>
      </c>
      <c r="H2308" s="52" t="s">
        <v>52</v>
      </c>
      <c r="I2308" s="52" t="s">
        <v>2926</v>
      </c>
      <c r="J2308" s="46" t="s">
        <v>3119</v>
      </c>
      <c r="K2308" s="46" t="s">
        <v>81</v>
      </c>
      <c r="L2308" s="46" t="s">
        <v>546</v>
      </c>
      <c r="M2308" s="52" t="s">
        <v>3120</v>
      </c>
      <c r="N2308" s="46" t="s">
        <v>52</v>
      </c>
      <c r="O2308" s="46" t="s">
        <v>52</v>
      </c>
      <c r="P2308" s="46" t="s">
        <v>59</v>
      </c>
      <c r="Q2308" s="46" t="s">
        <v>60</v>
      </c>
      <c r="R2308" s="46" t="s">
        <v>61</v>
      </c>
      <c r="S2308" s="46" t="s">
        <v>62</v>
      </c>
      <c r="T2308" s="46" t="s">
        <v>12</v>
      </c>
      <c r="U2308" s="46" t="s">
        <v>63</v>
      </c>
    </row>
    <row r="2309" spans="1:21">
      <c r="A2309" s="47">
        <v>39478644</v>
      </c>
      <c r="B2309" s="46" t="s">
        <v>1014</v>
      </c>
      <c r="C2309" s="46" t="s">
        <v>1015</v>
      </c>
      <c r="D2309" s="48">
        <v>35080</v>
      </c>
      <c r="E2309" s="49">
        <f ca="1">IF(D2309="","",YEARFRAC(D2309,TODAY(),1))</f>
        <v>30.452441932350084</v>
      </c>
      <c r="F2309" s="50">
        <v>155090115</v>
      </c>
      <c r="G2309" s="51" t="s">
        <v>70</v>
      </c>
      <c r="I2309" s="59" t="s">
        <v>908</v>
      </c>
      <c r="J2309" s="46" t="s">
        <v>1016</v>
      </c>
      <c r="M2309" s="53" t="s">
        <v>1017</v>
      </c>
      <c r="O2309" s="46">
        <v>4107212</v>
      </c>
    </row>
    <row r="2310" spans="1:21">
      <c r="A2310" s="47">
        <v>39481172</v>
      </c>
      <c r="B2310" s="46" t="s">
        <v>9365</v>
      </c>
      <c r="C2310" s="46" t="s">
        <v>9366</v>
      </c>
      <c r="D2310" s="48" t="s">
        <v>9367</v>
      </c>
      <c r="E2310" s="49" t="s">
        <v>9368</v>
      </c>
      <c r="F2310" s="50" t="s">
        <v>9369</v>
      </c>
      <c r="G2310" s="51" t="s">
        <v>70</v>
      </c>
      <c r="H2310" s="52" t="s">
        <v>9370</v>
      </c>
      <c r="I2310" s="52" t="s">
        <v>1497</v>
      </c>
      <c r="J2310" s="46" t="s">
        <v>9342</v>
      </c>
      <c r="K2310" s="46" t="s">
        <v>52</v>
      </c>
      <c r="L2310" s="46" t="s">
        <v>546</v>
      </c>
      <c r="M2310" s="52" t="s">
        <v>9371</v>
      </c>
      <c r="N2310" s="46" t="s">
        <v>52</v>
      </c>
      <c r="O2310" s="46" t="s">
        <v>52</v>
      </c>
      <c r="P2310" s="46" t="s">
        <v>59</v>
      </c>
      <c r="Q2310" s="46" t="s">
        <v>60</v>
      </c>
      <c r="R2310" s="46" t="s">
        <v>61</v>
      </c>
      <c r="S2310" s="46" t="s">
        <v>62</v>
      </c>
      <c r="T2310" s="46" t="s">
        <v>12</v>
      </c>
      <c r="U2310" s="46" t="s">
        <v>63</v>
      </c>
    </row>
    <row r="2311" spans="1:21">
      <c r="A2311" s="47">
        <v>39574782</v>
      </c>
      <c r="B2311" s="46" t="s">
        <v>561</v>
      </c>
      <c r="C2311" s="46" t="s">
        <v>562</v>
      </c>
      <c r="D2311" s="48" t="s">
        <v>52</v>
      </c>
      <c r="E2311" s="49" t="str">
        <f ca="1">IF(D2311="","",YEARFRAC(D2311,TODAY(),1))</f>
        <v/>
      </c>
      <c r="F2311" s="50" t="s">
        <v>563</v>
      </c>
      <c r="G2311" s="51" t="s">
        <v>86</v>
      </c>
      <c r="H2311" s="52" t="s">
        <v>52</v>
      </c>
      <c r="I2311" s="52" t="s">
        <v>24</v>
      </c>
      <c r="J2311" s="46" t="s">
        <v>564</v>
      </c>
      <c r="K2311" s="46" t="s">
        <v>52</v>
      </c>
      <c r="L2311" s="46" t="s">
        <v>546</v>
      </c>
      <c r="M2311" s="52" t="s">
        <v>565</v>
      </c>
      <c r="N2311" s="46" t="s">
        <v>52</v>
      </c>
      <c r="O2311" s="46" t="s">
        <v>52</v>
      </c>
      <c r="P2311" s="46" t="s">
        <v>59</v>
      </c>
      <c r="Q2311" s="46" t="s">
        <v>60</v>
      </c>
      <c r="R2311" s="46" t="s">
        <v>61</v>
      </c>
      <c r="S2311" s="46" t="s">
        <v>62</v>
      </c>
      <c r="T2311" s="46" t="s">
        <v>12</v>
      </c>
      <c r="U2311" s="46" t="s">
        <v>63</v>
      </c>
    </row>
    <row r="2312" spans="1:21">
      <c r="A2312" s="47">
        <v>39574805</v>
      </c>
      <c r="B2312" s="46" t="s">
        <v>1793</v>
      </c>
      <c r="C2312" s="46" t="s">
        <v>1555</v>
      </c>
      <c r="D2312" s="48" t="s">
        <v>52</v>
      </c>
      <c r="E2312" s="49" t="str">
        <f ca="1">IF(D2312="","",YEARFRAC(D2312,TODAY(),1))</f>
        <v/>
      </c>
      <c r="F2312" s="50" t="s">
        <v>8698</v>
      </c>
      <c r="G2312" s="51" t="s">
        <v>141</v>
      </c>
      <c r="H2312" s="52" t="s">
        <v>52</v>
      </c>
      <c r="I2312" s="52" t="s">
        <v>1497</v>
      </c>
      <c r="J2312" s="46" t="s">
        <v>8667</v>
      </c>
      <c r="K2312" s="46" t="s">
        <v>8668</v>
      </c>
      <c r="L2312" s="46" t="s">
        <v>546</v>
      </c>
      <c r="M2312" s="52" t="s">
        <v>8697</v>
      </c>
      <c r="N2312" s="46" t="s">
        <v>52</v>
      </c>
      <c r="O2312" s="46" t="s">
        <v>52</v>
      </c>
      <c r="P2312" s="46" t="s">
        <v>59</v>
      </c>
      <c r="Q2312" s="46" t="s">
        <v>60</v>
      </c>
      <c r="R2312" s="46" t="s">
        <v>61</v>
      </c>
      <c r="S2312" s="46" t="s">
        <v>62</v>
      </c>
      <c r="T2312" s="46" t="s">
        <v>12</v>
      </c>
      <c r="U2312" s="46" t="s">
        <v>63</v>
      </c>
    </row>
    <row r="2313" spans="1:21">
      <c r="A2313" s="47">
        <v>39575373</v>
      </c>
      <c r="B2313" s="46" t="s">
        <v>1831</v>
      </c>
      <c r="C2313" s="46" t="s">
        <v>95</v>
      </c>
      <c r="E2313" s="49" t="str">
        <f ca="1">IF(D2313="","",YEARFRAC(D2313,TODAY(),1))</f>
        <v/>
      </c>
      <c r="F2313" s="50">
        <v>154670924</v>
      </c>
      <c r="G2313" s="51" t="s">
        <v>23</v>
      </c>
      <c r="I2313" s="52" t="s">
        <v>1657</v>
      </c>
      <c r="M2313" s="53" t="s">
        <v>1832</v>
      </c>
    </row>
    <row r="2314" spans="1:21">
      <c r="A2314" s="47">
        <v>39698095</v>
      </c>
      <c r="B2314" s="46" t="s">
        <v>670</v>
      </c>
      <c r="C2314" s="46" t="s">
        <v>671</v>
      </c>
      <c r="E2314" s="49" t="str">
        <f ca="1">IF(D2314="","",YEARFRAC(D2314,TODAY(),1))</f>
        <v/>
      </c>
      <c r="F2314" s="50">
        <v>3816556380</v>
      </c>
      <c r="G2314" s="51" t="s">
        <v>23</v>
      </c>
      <c r="I2314" s="52" t="s">
        <v>594</v>
      </c>
      <c r="M2314" s="58" t="s">
        <v>25</v>
      </c>
    </row>
    <row r="2315" spans="1:21">
      <c r="A2315" s="47">
        <v>39698182</v>
      </c>
      <c r="B2315" s="46" t="s">
        <v>811</v>
      </c>
      <c r="C2315" s="46" t="s">
        <v>9158</v>
      </c>
      <c r="D2315" s="48" t="s">
        <v>9418</v>
      </c>
      <c r="E2315" s="49" t="s">
        <v>9368</v>
      </c>
      <c r="F2315" s="50" t="s">
        <v>9419</v>
      </c>
      <c r="G2315" s="51" t="s">
        <v>70</v>
      </c>
      <c r="H2315" s="52" t="s">
        <v>9420</v>
      </c>
      <c r="I2315" s="52" t="s">
        <v>5761</v>
      </c>
      <c r="J2315" s="46" t="s">
        <v>9421</v>
      </c>
      <c r="K2315" s="46" t="s">
        <v>81</v>
      </c>
      <c r="L2315" s="46" t="s">
        <v>546</v>
      </c>
      <c r="M2315" s="52" t="s">
        <v>9422</v>
      </c>
      <c r="N2315" s="46" t="s">
        <v>52</v>
      </c>
      <c r="O2315" s="46" t="s">
        <v>52</v>
      </c>
      <c r="P2315" s="46" t="s">
        <v>59</v>
      </c>
      <c r="Q2315" s="46" t="s">
        <v>60</v>
      </c>
      <c r="R2315" s="46" t="s">
        <v>61</v>
      </c>
      <c r="S2315" s="46" t="s">
        <v>62</v>
      </c>
      <c r="T2315" s="46" t="s">
        <v>12</v>
      </c>
      <c r="U2315" s="46" t="s">
        <v>63</v>
      </c>
    </row>
    <row r="2316" spans="1:21">
      <c r="A2316" s="47">
        <v>40216265</v>
      </c>
      <c r="B2316" s="46" t="s">
        <v>6813</v>
      </c>
      <c r="C2316" s="46" t="s">
        <v>9606</v>
      </c>
      <c r="D2316" s="48" t="s">
        <v>9607</v>
      </c>
      <c r="E2316" s="49" t="s">
        <v>9368</v>
      </c>
      <c r="F2316" s="50" t="s">
        <v>9608</v>
      </c>
      <c r="G2316" s="51" t="s">
        <v>141</v>
      </c>
      <c r="H2316" s="52" t="s">
        <v>9574</v>
      </c>
      <c r="I2316" s="52" t="s">
        <v>1497</v>
      </c>
      <c r="J2316" s="46" t="s">
        <v>8661</v>
      </c>
      <c r="K2316" s="46" t="s">
        <v>81</v>
      </c>
      <c r="L2316" s="46" t="s">
        <v>546</v>
      </c>
      <c r="M2316" s="52" t="s">
        <v>9609</v>
      </c>
      <c r="N2316" s="46" t="s">
        <v>52</v>
      </c>
      <c r="O2316" s="46" t="s">
        <v>52</v>
      </c>
      <c r="P2316" s="46" t="s">
        <v>59</v>
      </c>
      <c r="Q2316" s="46" t="s">
        <v>60</v>
      </c>
      <c r="R2316" s="46" t="s">
        <v>61</v>
      </c>
      <c r="S2316" s="46" t="s">
        <v>62</v>
      </c>
      <c r="T2316" s="46" t="s">
        <v>12</v>
      </c>
      <c r="U2316" s="46" t="s">
        <v>63</v>
      </c>
    </row>
    <row r="2317" spans="1:21">
      <c r="A2317" s="47">
        <v>40357718</v>
      </c>
      <c r="B2317" s="46" t="s">
        <v>5783</v>
      </c>
      <c r="C2317" s="46" t="s">
        <v>5784</v>
      </c>
      <c r="D2317" s="48">
        <v>35519</v>
      </c>
      <c r="E2317" s="49">
        <f ca="1">IF(D2317="","",YEARFRAC(D2317,TODAY(),1))</f>
        <v>29.252532627544035</v>
      </c>
      <c r="F2317" s="50">
        <v>153556401</v>
      </c>
      <c r="G2317" s="51" t="s">
        <v>141</v>
      </c>
      <c r="I2317" s="52" t="s">
        <v>5761</v>
      </c>
      <c r="J2317" s="46" t="s">
        <v>38</v>
      </c>
      <c r="M2317" s="53" t="s">
        <v>2875</v>
      </c>
      <c r="P2317" s="46" t="s">
        <v>1092</v>
      </c>
    </row>
    <row r="2318" spans="1:21">
      <c r="A2318" s="47">
        <v>40434411</v>
      </c>
      <c r="B2318" s="46" t="s">
        <v>6652</v>
      </c>
      <c r="C2318" s="46" t="s">
        <v>6653</v>
      </c>
      <c r="D2318" s="48" t="s">
        <v>52</v>
      </c>
      <c r="E2318" s="49" t="str">
        <f ca="1">IF(D2318="","",YEARFRAC(D2318,TODAY(),1))</f>
        <v/>
      </c>
      <c r="F2318" s="50" t="s">
        <v>6654</v>
      </c>
      <c r="G2318" s="51" t="s">
        <v>70</v>
      </c>
      <c r="H2318" s="52" t="s">
        <v>6655</v>
      </c>
      <c r="I2318" s="52" t="s">
        <v>24</v>
      </c>
      <c r="J2318" s="46" t="s">
        <v>6656</v>
      </c>
      <c r="K2318" s="46" t="s">
        <v>81</v>
      </c>
      <c r="L2318" s="46" t="s">
        <v>546</v>
      </c>
      <c r="M2318" s="52" t="s">
        <v>6657</v>
      </c>
      <c r="N2318" s="46" t="s">
        <v>52</v>
      </c>
      <c r="O2318" s="46" t="s">
        <v>52</v>
      </c>
      <c r="P2318" s="46" t="s">
        <v>59</v>
      </c>
      <c r="Q2318" s="46" t="s">
        <v>60</v>
      </c>
      <c r="R2318" s="46" t="s">
        <v>61</v>
      </c>
      <c r="S2318" s="46" t="s">
        <v>62</v>
      </c>
      <c r="T2318" s="46" t="s">
        <v>12</v>
      </c>
      <c r="U2318" s="46" t="s">
        <v>63</v>
      </c>
    </row>
    <row r="2319" spans="1:21" s="234" customFormat="1">
      <c r="A2319" s="47">
        <v>40630488</v>
      </c>
      <c r="B2319" s="46" t="s">
        <v>1427</v>
      </c>
      <c r="C2319" s="46" t="s">
        <v>1428</v>
      </c>
      <c r="D2319" s="48" t="s">
        <v>1429</v>
      </c>
      <c r="E2319" s="49">
        <f ca="1">IF(D2319="","",YEARFRAC(D2319,TODAY(),1))</f>
        <v>28.822670438988773</v>
      </c>
      <c r="F2319" s="50" t="s">
        <v>1431</v>
      </c>
      <c r="G2319" s="51" t="s">
        <v>86</v>
      </c>
      <c r="H2319" s="52" t="s">
        <v>52</v>
      </c>
      <c r="I2319" s="59" t="s">
        <v>908</v>
      </c>
      <c r="J2319" s="46" t="s">
        <v>1432</v>
      </c>
      <c r="K2319" s="46" t="s">
        <v>112</v>
      </c>
      <c r="L2319" s="46" t="s">
        <v>546</v>
      </c>
      <c r="M2319" s="52" t="s">
        <v>1433</v>
      </c>
      <c r="N2319" s="46" t="s">
        <v>931</v>
      </c>
      <c r="O2319" s="46" t="s">
        <v>52</v>
      </c>
      <c r="P2319" s="46" t="s">
        <v>59</v>
      </c>
      <c r="Q2319" s="46" t="s">
        <v>60</v>
      </c>
      <c r="R2319" s="46" t="s">
        <v>61</v>
      </c>
      <c r="S2319" s="46" t="s">
        <v>62</v>
      </c>
      <c r="T2319" s="46" t="s">
        <v>12</v>
      </c>
      <c r="U2319" s="46" t="s">
        <v>63</v>
      </c>
    </row>
    <row r="2320" spans="1:21" s="234" customFormat="1">
      <c r="A2320" s="47">
        <v>40695788</v>
      </c>
      <c r="B2320" s="46" t="s">
        <v>8800</v>
      </c>
      <c r="C2320" s="46" t="s">
        <v>8704</v>
      </c>
      <c r="D2320" s="48" t="s">
        <v>52</v>
      </c>
      <c r="E2320" s="49" t="str">
        <f ca="1">IF(D2320="","",YEARFRAC(D2320,TODAY(),1))</f>
        <v/>
      </c>
      <c r="F2320" s="50" t="s">
        <v>8706</v>
      </c>
      <c r="G2320" s="51" t="s">
        <v>141</v>
      </c>
      <c r="H2320" s="52" t="s">
        <v>52</v>
      </c>
      <c r="I2320" s="52" t="s">
        <v>1497</v>
      </c>
      <c r="J2320" s="46" t="s">
        <v>8667</v>
      </c>
      <c r="K2320" s="46" t="s">
        <v>8707</v>
      </c>
      <c r="L2320" s="46" t="s">
        <v>52</v>
      </c>
      <c r="M2320" s="52" t="s">
        <v>8705</v>
      </c>
      <c r="N2320" s="46" t="s">
        <v>52</v>
      </c>
      <c r="O2320" s="46" t="s">
        <v>52</v>
      </c>
      <c r="P2320" s="46" t="s">
        <v>59</v>
      </c>
      <c r="Q2320" s="46" t="s">
        <v>60</v>
      </c>
      <c r="R2320" s="46" t="s">
        <v>61</v>
      </c>
      <c r="S2320" s="46" t="s">
        <v>62</v>
      </c>
      <c r="T2320" s="46" t="s">
        <v>12</v>
      </c>
      <c r="U2320" s="46" t="s">
        <v>63</v>
      </c>
    </row>
    <row r="2321" spans="1:21" s="234" customFormat="1">
      <c r="A2321" s="47">
        <v>40727252</v>
      </c>
      <c r="B2321" s="46" t="s">
        <v>8681</v>
      </c>
      <c r="C2321" s="46" t="s">
        <v>8682</v>
      </c>
      <c r="D2321" s="48" t="s">
        <v>52</v>
      </c>
      <c r="E2321" s="49" t="str">
        <f ca="1">IF(D2321="","",YEARFRAC(D2321,TODAY(),1))</f>
        <v/>
      </c>
      <c r="F2321" s="50" t="s">
        <v>8684</v>
      </c>
      <c r="G2321" s="51" t="s">
        <v>52</v>
      </c>
      <c r="H2321" s="52" t="s">
        <v>52</v>
      </c>
      <c r="I2321" s="52" t="s">
        <v>1497</v>
      </c>
      <c r="J2321" s="46" t="s">
        <v>8667</v>
      </c>
      <c r="K2321" s="46" t="s">
        <v>8668</v>
      </c>
      <c r="L2321" s="46" t="s">
        <v>546</v>
      </c>
      <c r="M2321" s="52" t="s">
        <v>8683</v>
      </c>
      <c r="N2321" s="46" t="s">
        <v>52</v>
      </c>
      <c r="O2321" s="46" t="s">
        <v>52</v>
      </c>
      <c r="P2321" s="46" t="s">
        <v>59</v>
      </c>
      <c r="Q2321" s="46" t="s">
        <v>60</v>
      </c>
      <c r="R2321" s="46" t="s">
        <v>61</v>
      </c>
      <c r="S2321" s="46" t="s">
        <v>62</v>
      </c>
      <c r="T2321" s="46" t="s">
        <v>12</v>
      </c>
      <c r="U2321" s="46" t="s">
        <v>63</v>
      </c>
    </row>
    <row r="2322" spans="1:21" s="234" customFormat="1">
      <c r="A2322" s="47">
        <v>40828346</v>
      </c>
      <c r="B2322" s="46" t="s">
        <v>996</v>
      </c>
      <c r="C2322" s="46" t="s">
        <v>9404</v>
      </c>
      <c r="D2322" s="48" t="s">
        <v>9405</v>
      </c>
      <c r="E2322" s="49" t="s">
        <v>9406</v>
      </c>
      <c r="F2322" s="50" t="s">
        <v>9407</v>
      </c>
      <c r="G2322" s="51" t="s">
        <v>141</v>
      </c>
      <c r="H2322" s="52" t="s">
        <v>9408</v>
      </c>
      <c r="I2322" s="52" t="s">
        <v>5761</v>
      </c>
      <c r="J2322" s="46" t="s">
        <v>9409</v>
      </c>
      <c r="K2322" s="46" t="s">
        <v>81</v>
      </c>
      <c r="L2322" s="46" t="s">
        <v>546</v>
      </c>
      <c r="M2322" s="52" t="s">
        <v>9410</v>
      </c>
      <c r="N2322" s="46" t="s">
        <v>52</v>
      </c>
      <c r="O2322" s="46" t="s">
        <v>52</v>
      </c>
      <c r="P2322" s="46" t="s">
        <v>59</v>
      </c>
      <c r="Q2322" s="46" t="s">
        <v>60</v>
      </c>
      <c r="R2322" s="46" t="s">
        <v>61</v>
      </c>
      <c r="S2322" s="46" t="s">
        <v>62</v>
      </c>
      <c r="T2322" s="46" t="s">
        <v>12</v>
      </c>
      <c r="U2322" s="46" t="s">
        <v>63</v>
      </c>
    </row>
    <row r="2323" spans="1:21" s="234" customFormat="1">
      <c r="A2323" s="47">
        <v>40902403</v>
      </c>
      <c r="B2323" s="46" t="s">
        <v>2622</v>
      </c>
      <c r="C2323" s="46" t="s">
        <v>9684</v>
      </c>
      <c r="D2323" s="48" t="s">
        <v>52</v>
      </c>
      <c r="E2323" s="49" t="s">
        <v>52</v>
      </c>
      <c r="F2323" s="50" t="s">
        <v>9685</v>
      </c>
      <c r="G2323" s="51" t="s">
        <v>141</v>
      </c>
      <c r="H2323" s="52" t="s">
        <v>52</v>
      </c>
      <c r="I2323" s="52" t="s">
        <v>1497</v>
      </c>
      <c r="J2323" s="46" t="s">
        <v>8661</v>
      </c>
      <c r="K2323" s="46" t="s">
        <v>81</v>
      </c>
      <c r="L2323" s="46" t="s">
        <v>546</v>
      </c>
      <c r="M2323" s="52" t="s">
        <v>9686</v>
      </c>
      <c r="N2323" s="46" t="s">
        <v>52</v>
      </c>
      <c r="O2323" s="46" t="s">
        <v>52</v>
      </c>
      <c r="P2323" s="46" t="s">
        <v>59</v>
      </c>
      <c r="Q2323" s="46" t="s">
        <v>60</v>
      </c>
      <c r="R2323" s="46" t="s">
        <v>61</v>
      </c>
      <c r="S2323" s="46" t="s">
        <v>62</v>
      </c>
      <c r="T2323" s="46" t="s">
        <v>12</v>
      </c>
      <c r="U2323" s="46" t="s">
        <v>63</v>
      </c>
    </row>
    <row r="2324" spans="1:21" s="234" customFormat="1">
      <c r="A2324" s="74">
        <v>41144515</v>
      </c>
      <c r="B2324" s="234" t="s">
        <v>7487</v>
      </c>
      <c r="C2324" s="234" t="s">
        <v>6933</v>
      </c>
      <c r="D2324" s="235">
        <v>35909</v>
      </c>
      <c r="E2324" s="236"/>
      <c r="F2324" s="237">
        <v>3816569825</v>
      </c>
      <c r="G2324" s="234" t="s">
        <v>78</v>
      </c>
      <c r="H2324" s="238" t="s">
        <v>9955</v>
      </c>
      <c r="I2324" s="265" t="s">
        <v>1657</v>
      </c>
      <c r="J2324" s="234" t="s">
        <v>9992</v>
      </c>
      <c r="K2324" s="234" t="s">
        <v>2002</v>
      </c>
      <c r="M2324" s="238" t="s">
        <v>9315</v>
      </c>
    </row>
    <row r="2325" spans="1:21" s="234" customFormat="1">
      <c r="A2325" s="47">
        <v>41299512</v>
      </c>
      <c r="B2325" s="46" t="s">
        <v>40</v>
      </c>
      <c r="C2325" s="46" t="s">
        <v>6588</v>
      </c>
      <c r="D2325" s="48" t="s">
        <v>52</v>
      </c>
      <c r="E2325" s="49" t="str">
        <f ca="1">IF(D2325="","",YEARFRAC(D2325,TODAY(),1))</f>
        <v/>
      </c>
      <c r="F2325" s="50" t="s">
        <v>6589</v>
      </c>
      <c r="G2325" s="51" t="s">
        <v>141</v>
      </c>
      <c r="H2325" s="52" t="s">
        <v>52</v>
      </c>
      <c r="I2325" s="52" t="s">
        <v>3630</v>
      </c>
      <c r="J2325" s="46" t="s">
        <v>56</v>
      </c>
      <c r="K2325" s="46" t="s">
        <v>81</v>
      </c>
      <c r="L2325" s="46" t="s">
        <v>546</v>
      </c>
      <c r="M2325" s="52" t="s">
        <v>6590</v>
      </c>
      <c r="N2325" s="46" t="s">
        <v>52</v>
      </c>
      <c r="O2325" s="46" t="s">
        <v>52</v>
      </c>
      <c r="P2325" s="46" t="s">
        <v>59</v>
      </c>
      <c r="Q2325" s="46" t="s">
        <v>60</v>
      </c>
      <c r="R2325" s="46" t="s">
        <v>61</v>
      </c>
      <c r="S2325" s="46" t="s">
        <v>62</v>
      </c>
      <c r="T2325" s="46" t="s">
        <v>12</v>
      </c>
      <c r="U2325" s="46" t="s">
        <v>63</v>
      </c>
    </row>
    <row r="2326" spans="1:21" s="234" customFormat="1">
      <c r="A2326" s="47">
        <v>41950406</v>
      </c>
      <c r="B2326" s="46" t="s">
        <v>9863</v>
      </c>
      <c r="C2326" s="46" t="s">
        <v>9864</v>
      </c>
      <c r="D2326" s="48" t="s">
        <v>9865</v>
      </c>
      <c r="E2326" s="49" t="s">
        <v>9866</v>
      </c>
      <c r="F2326" s="50" t="s">
        <v>9867</v>
      </c>
      <c r="G2326" s="51" t="s">
        <v>70</v>
      </c>
      <c r="H2326" s="52" t="s">
        <v>9868</v>
      </c>
      <c r="I2326" s="52" t="s">
        <v>2524</v>
      </c>
      <c r="J2326" s="46" t="s">
        <v>9869</v>
      </c>
      <c r="K2326" s="46" t="s">
        <v>81</v>
      </c>
      <c r="L2326" s="46" t="s">
        <v>546</v>
      </c>
      <c r="M2326" s="52" t="s">
        <v>9870</v>
      </c>
      <c r="N2326" s="46" t="s">
        <v>52</v>
      </c>
      <c r="O2326" s="46" t="s">
        <v>52</v>
      </c>
      <c r="P2326" s="46" t="s">
        <v>59</v>
      </c>
      <c r="Q2326" s="46" t="s">
        <v>60</v>
      </c>
      <c r="R2326" s="46" t="s">
        <v>61</v>
      </c>
      <c r="S2326" s="46" t="s">
        <v>62</v>
      </c>
      <c r="T2326" s="46" t="s">
        <v>12</v>
      </c>
      <c r="U2326" s="46" t="s">
        <v>63</v>
      </c>
    </row>
    <row r="2327" spans="1:21" s="234" customFormat="1">
      <c r="A2327" s="47">
        <v>42719797</v>
      </c>
      <c r="B2327" s="46" t="s">
        <v>285</v>
      </c>
      <c r="C2327" s="46" t="s">
        <v>9456</v>
      </c>
      <c r="D2327" s="48" t="s">
        <v>52</v>
      </c>
      <c r="E2327" s="49" t="s">
        <v>52</v>
      </c>
      <c r="F2327" s="50" t="s">
        <v>52</v>
      </c>
      <c r="G2327" s="51" t="s">
        <v>52</v>
      </c>
      <c r="H2327" s="52" t="s">
        <v>52</v>
      </c>
      <c r="I2327" s="52" t="s">
        <v>52</v>
      </c>
      <c r="J2327" s="46" t="s">
        <v>9457</v>
      </c>
      <c r="K2327" s="46" t="s">
        <v>52</v>
      </c>
      <c r="L2327" s="46" t="s">
        <v>546</v>
      </c>
      <c r="M2327" s="52" t="s">
        <v>9458</v>
      </c>
      <c r="N2327" s="46" t="s">
        <v>52</v>
      </c>
      <c r="O2327" s="46" t="s">
        <v>52</v>
      </c>
      <c r="P2327" s="46" t="s">
        <v>59</v>
      </c>
      <c r="Q2327" s="46" t="s">
        <v>60</v>
      </c>
      <c r="R2327" s="46" t="s">
        <v>61</v>
      </c>
      <c r="S2327" s="46" t="s">
        <v>62</v>
      </c>
      <c r="T2327" s="46" t="s">
        <v>12</v>
      </c>
      <c r="U2327" s="46" t="s">
        <v>63</v>
      </c>
    </row>
    <row r="2328" spans="1:21" s="234" customFormat="1">
      <c r="A2328" s="47">
        <v>42777749</v>
      </c>
      <c r="B2328" s="46" t="s">
        <v>9439</v>
      </c>
      <c r="C2328" s="46" t="s">
        <v>3948</v>
      </c>
      <c r="D2328" s="48" t="s">
        <v>52</v>
      </c>
      <c r="E2328" s="49" t="s">
        <v>52</v>
      </c>
      <c r="F2328" s="50" t="s">
        <v>52</v>
      </c>
      <c r="G2328" s="51" t="s">
        <v>52</v>
      </c>
      <c r="H2328" s="52" t="s">
        <v>52</v>
      </c>
      <c r="I2328" s="52" t="s">
        <v>5304</v>
      </c>
      <c r="J2328" s="46" t="s">
        <v>9440</v>
      </c>
      <c r="K2328" s="46" t="s">
        <v>52</v>
      </c>
      <c r="L2328" s="46" t="s">
        <v>546</v>
      </c>
      <c r="M2328" s="52" t="s">
        <v>9441</v>
      </c>
      <c r="N2328" s="46" t="s">
        <v>52</v>
      </c>
      <c r="O2328" s="46" t="s">
        <v>52</v>
      </c>
      <c r="P2328" s="46" t="s">
        <v>59</v>
      </c>
      <c r="Q2328" s="46" t="s">
        <v>60</v>
      </c>
      <c r="R2328" s="46" t="s">
        <v>61</v>
      </c>
      <c r="S2328" s="46" t="s">
        <v>62</v>
      </c>
      <c r="T2328" s="46" t="s">
        <v>12</v>
      </c>
      <c r="U2328" s="46" t="s">
        <v>63</v>
      </c>
    </row>
    <row r="2329" spans="1:21" s="234" customFormat="1">
      <c r="A2329" s="47">
        <v>42936070</v>
      </c>
      <c r="B2329" s="46" t="s">
        <v>9724</v>
      </c>
      <c r="C2329" s="46" t="s">
        <v>9725</v>
      </c>
      <c r="D2329" s="48" t="s">
        <v>9726</v>
      </c>
      <c r="E2329" s="49" t="s">
        <v>9727</v>
      </c>
      <c r="F2329" s="50" t="s">
        <v>9728</v>
      </c>
      <c r="G2329" s="51" t="s">
        <v>141</v>
      </c>
      <c r="H2329" s="52" t="s">
        <v>9729</v>
      </c>
      <c r="I2329" s="52" t="s">
        <v>1497</v>
      </c>
      <c r="J2329" s="46" t="s">
        <v>9730</v>
      </c>
      <c r="K2329" s="46" t="s">
        <v>81</v>
      </c>
      <c r="L2329" s="46" t="s">
        <v>546</v>
      </c>
      <c r="M2329" s="52" t="s">
        <v>9731</v>
      </c>
      <c r="N2329" s="46" t="s">
        <v>52</v>
      </c>
      <c r="O2329" s="46" t="s">
        <v>52</v>
      </c>
      <c r="P2329" s="46" t="s">
        <v>59</v>
      </c>
      <c r="Q2329" s="46" t="s">
        <v>60</v>
      </c>
      <c r="R2329" s="46" t="s">
        <v>61</v>
      </c>
      <c r="S2329" s="46" t="s">
        <v>62</v>
      </c>
      <c r="T2329" s="46" t="s">
        <v>12</v>
      </c>
      <c r="U2329" s="46" t="s">
        <v>63</v>
      </c>
    </row>
    <row r="2330" spans="1:21" s="234" customFormat="1">
      <c r="A2330" s="47">
        <v>43163020</v>
      </c>
      <c r="B2330" s="46" t="s">
        <v>2807</v>
      </c>
      <c r="C2330" s="46" t="s">
        <v>9487</v>
      </c>
      <c r="D2330" s="48" t="s">
        <v>52</v>
      </c>
      <c r="E2330" s="49" t="s">
        <v>52</v>
      </c>
      <c r="F2330" s="50" t="s">
        <v>52</v>
      </c>
      <c r="G2330" s="51" t="s">
        <v>52</v>
      </c>
      <c r="H2330" s="52" t="s">
        <v>52</v>
      </c>
      <c r="I2330" s="52" t="s">
        <v>8646</v>
      </c>
      <c r="J2330" s="46" t="s">
        <v>52</v>
      </c>
      <c r="K2330" s="46" t="s">
        <v>52</v>
      </c>
      <c r="L2330" s="46" t="s">
        <v>546</v>
      </c>
      <c r="M2330" s="52" t="s">
        <v>8758</v>
      </c>
      <c r="N2330" s="46" t="s">
        <v>52</v>
      </c>
      <c r="O2330" s="46" t="s">
        <v>52</v>
      </c>
      <c r="P2330" s="46" t="s">
        <v>59</v>
      </c>
      <c r="Q2330" s="46" t="s">
        <v>60</v>
      </c>
      <c r="R2330" s="46" t="s">
        <v>61</v>
      </c>
      <c r="S2330" s="46" t="s">
        <v>62</v>
      </c>
      <c r="T2330" s="46" t="s">
        <v>12</v>
      </c>
      <c r="U2330" s="46" t="s">
        <v>63</v>
      </c>
    </row>
    <row r="2331" spans="1:21" s="234" customFormat="1">
      <c r="A2331" s="80">
        <v>43163028</v>
      </c>
      <c r="B2331" s="80" t="s">
        <v>7577</v>
      </c>
      <c r="C2331" s="80" t="s">
        <v>8734</v>
      </c>
      <c r="D2331" s="84">
        <v>36928</v>
      </c>
      <c r="E2331" s="49">
        <f ca="1">IF(D2331="","",YEARFRAC(D2331,TODAY(),1))</f>
        <v>25.394903117101936</v>
      </c>
      <c r="F2331" s="80">
        <v>3815047036</v>
      </c>
      <c r="G2331" s="80" t="s">
        <v>141</v>
      </c>
      <c r="H2331" s="80" t="s">
        <v>8759</v>
      </c>
      <c r="I2331" s="80" t="s">
        <v>8646</v>
      </c>
      <c r="J2331" s="80"/>
      <c r="K2331" s="80" t="s">
        <v>8760</v>
      </c>
      <c r="L2331" s="80" t="s">
        <v>1206</v>
      </c>
      <c r="M2331" s="80">
        <v>0</v>
      </c>
      <c r="N2331" s="80" t="s">
        <v>8758</v>
      </c>
      <c r="O2331" s="80">
        <v>4220751</v>
      </c>
      <c r="P2331" s="46"/>
      <c r="Q2331" s="46"/>
      <c r="R2331" s="46"/>
      <c r="S2331" s="46"/>
      <c r="T2331" s="46"/>
      <c r="U2331" s="46"/>
    </row>
    <row r="2332" spans="1:21" s="234" customFormat="1">
      <c r="A2332" s="47">
        <v>43227070</v>
      </c>
      <c r="B2332" s="46" t="s">
        <v>9453</v>
      </c>
      <c r="C2332" s="46" t="s">
        <v>9454</v>
      </c>
      <c r="D2332" s="48" t="s">
        <v>52</v>
      </c>
      <c r="E2332" s="49" t="s">
        <v>52</v>
      </c>
      <c r="F2332" s="50" t="s">
        <v>52</v>
      </c>
      <c r="G2332" s="51" t="s">
        <v>52</v>
      </c>
      <c r="H2332" s="52" t="s">
        <v>52</v>
      </c>
      <c r="I2332" s="52" t="s">
        <v>3630</v>
      </c>
      <c r="J2332" s="46" t="s">
        <v>52</v>
      </c>
      <c r="K2332" s="46" t="s">
        <v>52</v>
      </c>
      <c r="L2332" s="46" t="s">
        <v>546</v>
      </c>
      <c r="M2332" s="52" t="s">
        <v>9455</v>
      </c>
      <c r="N2332" s="46" t="s">
        <v>52</v>
      </c>
      <c r="O2332" s="46" t="s">
        <v>52</v>
      </c>
      <c r="P2332" s="46" t="s">
        <v>59</v>
      </c>
      <c r="Q2332" s="46" t="s">
        <v>60</v>
      </c>
      <c r="R2332" s="46" t="s">
        <v>61</v>
      </c>
      <c r="S2332" s="46" t="s">
        <v>62</v>
      </c>
      <c r="T2332" s="46" t="s">
        <v>12</v>
      </c>
      <c r="U2332" s="46" t="s">
        <v>63</v>
      </c>
    </row>
    <row r="2333" spans="1:21" s="234" customFormat="1">
      <c r="A2333" s="47">
        <v>43499355</v>
      </c>
      <c r="B2333" s="46" t="s">
        <v>2094</v>
      </c>
      <c r="C2333" s="52" t="s">
        <v>6207</v>
      </c>
      <c r="D2333" s="48">
        <v>37107</v>
      </c>
      <c r="E2333" s="49">
        <f ca="1">IF(D2333="","",YEARFRAC(D2333,TODAY(),1))</f>
        <v>24.904802021903961</v>
      </c>
      <c r="F2333" s="50"/>
      <c r="G2333" s="51" t="s">
        <v>23</v>
      </c>
      <c r="H2333" s="52"/>
      <c r="I2333" s="52" t="s">
        <v>23</v>
      </c>
      <c r="J2333" s="46"/>
      <c r="K2333" s="46"/>
      <c r="L2333" s="46"/>
      <c r="M2333" s="58" t="s">
        <v>25</v>
      </c>
      <c r="N2333" s="55"/>
      <c r="O2333" s="55"/>
      <c r="P2333" s="46"/>
      <c r="Q2333" s="46"/>
      <c r="R2333" s="46"/>
      <c r="S2333" s="46"/>
      <c r="T2333" s="46"/>
      <c r="U2333" s="46"/>
    </row>
    <row r="2334" spans="1:21" s="234" customFormat="1">
      <c r="A2334" s="47">
        <v>43563428</v>
      </c>
      <c r="B2334" s="46" t="s">
        <v>1964</v>
      </c>
      <c r="C2334" s="46" t="s">
        <v>9517</v>
      </c>
      <c r="D2334" s="48" t="s">
        <v>9518</v>
      </c>
      <c r="E2334" s="49" t="s">
        <v>9519</v>
      </c>
      <c r="F2334" s="50" t="s">
        <v>9520</v>
      </c>
      <c r="G2334" s="51" t="s">
        <v>141</v>
      </c>
      <c r="H2334" s="52" t="s">
        <v>9521</v>
      </c>
      <c r="I2334" s="52" t="s">
        <v>4245</v>
      </c>
      <c r="J2334" s="46" t="s">
        <v>9522</v>
      </c>
      <c r="K2334" s="46" t="s">
        <v>81</v>
      </c>
      <c r="L2334" s="46" t="s">
        <v>546</v>
      </c>
      <c r="M2334" s="52" t="s">
        <v>9523</v>
      </c>
      <c r="N2334" s="46" t="s">
        <v>52</v>
      </c>
      <c r="O2334" s="46" t="s">
        <v>52</v>
      </c>
      <c r="P2334" s="46" t="s">
        <v>59</v>
      </c>
      <c r="Q2334" s="46" t="s">
        <v>60</v>
      </c>
      <c r="R2334" s="46" t="s">
        <v>61</v>
      </c>
      <c r="S2334" s="46" t="s">
        <v>62</v>
      </c>
      <c r="T2334" s="46" t="s">
        <v>12</v>
      </c>
      <c r="U2334" s="46" t="s">
        <v>63</v>
      </c>
    </row>
    <row r="2335" spans="1:21" s="234" customFormat="1">
      <c r="A2335" s="47">
        <v>43648554</v>
      </c>
      <c r="B2335" s="46" t="s">
        <v>9442</v>
      </c>
      <c r="C2335" s="46" t="s">
        <v>9443</v>
      </c>
      <c r="D2335" s="48" t="s">
        <v>52</v>
      </c>
      <c r="E2335" s="49" t="s">
        <v>52</v>
      </c>
      <c r="F2335" s="50" t="s">
        <v>52</v>
      </c>
      <c r="G2335" s="51" t="s">
        <v>52</v>
      </c>
      <c r="H2335" s="52" t="s">
        <v>52</v>
      </c>
      <c r="I2335" s="52" t="s">
        <v>6608</v>
      </c>
      <c r="J2335" s="46" t="s">
        <v>52</v>
      </c>
      <c r="K2335" s="46" t="s">
        <v>52</v>
      </c>
      <c r="L2335" s="46" t="s">
        <v>546</v>
      </c>
      <c r="M2335" s="52" t="s">
        <v>9444</v>
      </c>
      <c r="N2335" s="46" t="s">
        <v>52</v>
      </c>
      <c r="O2335" s="46" t="s">
        <v>52</v>
      </c>
      <c r="P2335" s="46" t="s">
        <v>59</v>
      </c>
      <c r="Q2335" s="46" t="s">
        <v>60</v>
      </c>
      <c r="R2335" s="46" t="s">
        <v>61</v>
      </c>
      <c r="S2335" s="46" t="s">
        <v>62</v>
      </c>
      <c r="T2335" s="46" t="s">
        <v>12</v>
      </c>
      <c r="U2335" s="46" t="s">
        <v>63</v>
      </c>
    </row>
    <row r="2336" spans="1:21" s="234" customFormat="1">
      <c r="A2336" s="47">
        <v>43650528</v>
      </c>
      <c r="B2336" s="46" t="s">
        <v>6566</v>
      </c>
      <c r="C2336" s="46" t="s">
        <v>6567</v>
      </c>
      <c r="D2336" s="48" t="s">
        <v>52</v>
      </c>
      <c r="E2336" s="49" t="str">
        <f ca="1">IF(D2336="","",YEARFRAC(D2336,TODAY(),1))</f>
        <v/>
      </c>
      <c r="F2336" s="50" t="s">
        <v>6568</v>
      </c>
      <c r="G2336" s="51" t="s">
        <v>54</v>
      </c>
      <c r="H2336" s="52" t="s">
        <v>52</v>
      </c>
      <c r="I2336" s="52" t="s">
        <v>1497</v>
      </c>
      <c r="J2336" s="46" t="s">
        <v>56</v>
      </c>
      <c r="K2336" s="46" t="s">
        <v>57</v>
      </c>
      <c r="L2336" s="46" t="s">
        <v>52</v>
      </c>
      <c r="M2336" s="52" t="s">
        <v>6569</v>
      </c>
      <c r="N2336" s="46" t="s">
        <v>52</v>
      </c>
      <c r="O2336" s="46" t="s">
        <v>52</v>
      </c>
      <c r="P2336" s="46" t="s">
        <v>59</v>
      </c>
      <c r="Q2336" s="46" t="s">
        <v>60</v>
      </c>
      <c r="R2336" s="46" t="s">
        <v>61</v>
      </c>
      <c r="S2336" s="46" t="s">
        <v>62</v>
      </c>
      <c r="T2336" s="46" t="s">
        <v>12</v>
      </c>
      <c r="U2336" s="46" t="s">
        <v>63</v>
      </c>
    </row>
    <row r="2337" spans="1:21" s="234" customFormat="1">
      <c r="A2337" s="47">
        <v>43850225</v>
      </c>
      <c r="B2337" s="46" t="s">
        <v>2158</v>
      </c>
      <c r="C2337" s="46" t="s">
        <v>3115</v>
      </c>
      <c r="D2337" s="48" t="s">
        <v>52</v>
      </c>
      <c r="E2337" s="49" t="s">
        <v>52</v>
      </c>
      <c r="F2337" s="50" t="s">
        <v>52</v>
      </c>
      <c r="G2337" s="51" t="s">
        <v>52</v>
      </c>
      <c r="H2337" s="52" t="s">
        <v>52</v>
      </c>
      <c r="I2337" s="52" t="s">
        <v>3630</v>
      </c>
      <c r="J2337" s="46" t="s">
        <v>52</v>
      </c>
      <c r="K2337" s="46" t="s">
        <v>52</v>
      </c>
      <c r="L2337" s="46" t="s">
        <v>546</v>
      </c>
      <c r="M2337" s="52" t="s">
        <v>582</v>
      </c>
      <c r="N2337" s="46" t="s">
        <v>52</v>
      </c>
      <c r="O2337" s="46" t="s">
        <v>52</v>
      </c>
      <c r="P2337" s="46" t="s">
        <v>59</v>
      </c>
      <c r="Q2337" s="46" t="s">
        <v>60</v>
      </c>
      <c r="R2337" s="46" t="s">
        <v>61</v>
      </c>
      <c r="S2337" s="46" t="s">
        <v>62</v>
      </c>
      <c r="T2337" s="46" t="s">
        <v>12</v>
      </c>
      <c r="U2337" s="46" t="s">
        <v>63</v>
      </c>
    </row>
    <row r="2338" spans="1:21" s="234" customFormat="1">
      <c r="A2338" s="47">
        <v>44028228</v>
      </c>
      <c r="B2338" s="46" t="s">
        <v>392</v>
      </c>
      <c r="C2338" s="46" t="s">
        <v>9478</v>
      </c>
      <c r="D2338" s="48" t="s">
        <v>52</v>
      </c>
      <c r="E2338" s="49" t="s">
        <v>52</v>
      </c>
      <c r="F2338" s="50" t="s">
        <v>52</v>
      </c>
      <c r="G2338" s="51" t="s">
        <v>52</v>
      </c>
      <c r="H2338" s="52" t="s">
        <v>52</v>
      </c>
      <c r="I2338" s="52" t="s">
        <v>908</v>
      </c>
      <c r="J2338" s="46" t="s">
        <v>52</v>
      </c>
      <c r="K2338" s="46" t="s">
        <v>52</v>
      </c>
      <c r="L2338" s="46" t="s">
        <v>546</v>
      </c>
      <c r="M2338" s="52" t="s">
        <v>9479</v>
      </c>
      <c r="N2338" s="46" t="s">
        <v>52</v>
      </c>
      <c r="O2338" s="46" t="s">
        <v>52</v>
      </c>
      <c r="P2338" s="46" t="s">
        <v>59</v>
      </c>
      <c r="Q2338" s="46" t="s">
        <v>60</v>
      </c>
      <c r="R2338" s="46" t="s">
        <v>61</v>
      </c>
      <c r="S2338" s="46" t="s">
        <v>62</v>
      </c>
      <c r="T2338" s="46" t="s">
        <v>12</v>
      </c>
      <c r="U2338" s="46" t="s">
        <v>63</v>
      </c>
    </row>
    <row r="2339" spans="1:21" s="234" customFormat="1">
      <c r="A2339" s="47">
        <v>44658655</v>
      </c>
      <c r="B2339" s="46" t="s">
        <v>734</v>
      </c>
      <c r="C2339" s="46" t="s">
        <v>9480</v>
      </c>
      <c r="D2339" s="48" t="s">
        <v>52</v>
      </c>
      <c r="E2339" s="49" t="s">
        <v>52</v>
      </c>
      <c r="F2339" s="50" t="s">
        <v>52</v>
      </c>
      <c r="G2339" s="51" t="s">
        <v>52</v>
      </c>
      <c r="H2339" s="52" t="s">
        <v>52</v>
      </c>
      <c r="I2339" s="52" t="s">
        <v>594</v>
      </c>
      <c r="J2339" s="46" t="s">
        <v>52</v>
      </c>
      <c r="K2339" s="46" t="s">
        <v>52</v>
      </c>
      <c r="L2339" s="46" t="s">
        <v>546</v>
      </c>
      <c r="M2339" s="52" t="s">
        <v>9481</v>
      </c>
      <c r="N2339" s="46" t="s">
        <v>52</v>
      </c>
      <c r="O2339" s="46" t="s">
        <v>52</v>
      </c>
      <c r="P2339" s="46" t="s">
        <v>59</v>
      </c>
      <c r="Q2339" s="46" t="s">
        <v>60</v>
      </c>
      <c r="R2339" s="46" t="s">
        <v>61</v>
      </c>
      <c r="S2339" s="46" t="s">
        <v>62</v>
      </c>
      <c r="T2339" s="46" t="s">
        <v>12</v>
      </c>
      <c r="U2339" s="46" t="s">
        <v>63</v>
      </c>
    </row>
    <row r="2340" spans="1:21" s="234" customFormat="1">
      <c r="A2340" s="47">
        <v>45124605</v>
      </c>
      <c r="B2340" s="46" t="s">
        <v>6822</v>
      </c>
      <c r="C2340" s="46" t="s">
        <v>1353</v>
      </c>
      <c r="D2340" s="48" t="s">
        <v>52</v>
      </c>
      <c r="E2340" s="49" t="str">
        <f t="shared" ref="E2340:E2362" ca="1" si="92">IF(D2340="","",YEARFRAC(D2340,TODAY(),1))</f>
        <v/>
      </c>
      <c r="F2340" s="50" t="s">
        <v>6823</v>
      </c>
      <c r="G2340" s="51" t="s">
        <v>141</v>
      </c>
      <c r="H2340" s="52" t="s">
        <v>52</v>
      </c>
      <c r="I2340" s="52" t="s">
        <v>908</v>
      </c>
      <c r="J2340" s="46" t="s">
        <v>1861</v>
      </c>
      <c r="K2340" s="46" t="s">
        <v>81</v>
      </c>
      <c r="L2340" s="46" t="s">
        <v>546</v>
      </c>
      <c r="M2340" s="52" t="s">
        <v>6824</v>
      </c>
      <c r="N2340" s="46" t="s">
        <v>52</v>
      </c>
      <c r="O2340" s="46" t="s">
        <v>52</v>
      </c>
      <c r="P2340" s="46" t="s">
        <v>59</v>
      </c>
      <c r="Q2340" s="46" t="s">
        <v>60</v>
      </c>
      <c r="R2340" s="46" t="s">
        <v>61</v>
      </c>
      <c r="S2340" s="46" t="s">
        <v>62</v>
      </c>
      <c r="T2340" s="46" t="s">
        <v>12</v>
      </c>
      <c r="U2340" s="46" t="s">
        <v>63</v>
      </c>
    </row>
    <row r="2341" spans="1:21" s="234" customFormat="1">
      <c r="A2341" s="47">
        <v>61874068</v>
      </c>
      <c r="B2341" s="46" t="s">
        <v>2586</v>
      </c>
      <c r="C2341" s="52" t="s">
        <v>2591</v>
      </c>
      <c r="D2341" s="48">
        <v>61</v>
      </c>
      <c r="E2341" s="49">
        <f t="shared" ca="1" si="92"/>
        <v>126.33195360669167</v>
      </c>
      <c r="F2341" s="50">
        <v>154027014</v>
      </c>
      <c r="G2341" s="51" t="s">
        <v>141</v>
      </c>
      <c r="H2341" s="52"/>
      <c r="I2341" s="59" t="s">
        <v>908</v>
      </c>
      <c r="J2341" s="46" t="s">
        <v>38</v>
      </c>
      <c r="K2341" s="46"/>
      <c r="L2341" s="46"/>
      <c r="M2341" s="58" t="s">
        <v>25</v>
      </c>
      <c r="N2341" s="55"/>
      <c r="O2341" s="55"/>
      <c r="P2341" s="46"/>
      <c r="Q2341" s="46"/>
      <c r="R2341" s="46"/>
      <c r="S2341" s="46"/>
      <c r="T2341" s="46"/>
      <c r="U2341" s="46"/>
    </row>
    <row r="2342" spans="1:21" s="234" customFormat="1">
      <c r="A2342" s="47">
        <v>92825116</v>
      </c>
      <c r="B2342" s="46" t="s">
        <v>970</v>
      </c>
      <c r="C2342" s="52" t="s">
        <v>968</v>
      </c>
      <c r="D2342" s="48">
        <v>21455</v>
      </c>
      <c r="E2342" s="49">
        <f t="shared" ca="1" si="92"/>
        <v>67.757003412427594</v>
      </c>
      <c r="F2342" s="50"/>
      <c r="G2342" s="51" t="s">
        <v>23</v>
      </c>
      <c r="H2342" s="52"/>
      <c r="I2342" s="59" t="s">
        <v>908</v>
      </c>
      <c r="J2342" s="46" t="s">
        <v>673</v>
      </c>
      <c r="K2342" s="46"/>
      <c r="L2342" s="46"/>
      <c r="M2342" s="58" t="s">
        <v>25</v>
      </c>
      <c r="N2342" s="55"/>
      <c r="O2342" s="55"/>
      <c r="P2342" s="46"/>
      <c r="Q2342" s="46"/>
      <c r="R2342" s="46"/>
      <c r="S2342" s="46"/>
      <c r="T2342" s="46"/>
      <c r="U2342" s="46"/>
    </row>
    <row r="2343" spans="1:21" s="234" customFormat="1">
      <c r="A2343" s="47">
        <v>93262857</v>
      </c>
      <c r="B2343" s="46" t="s">
        <v>236</v>
      </c>
      <c r="C2343" s="46" t="s">
        <v>237</v>
      </c>
      <c r="D2343" s="48">
        <v>25786</v>
      </c>
      <c r="E2343" s="49">
        <f t="shared" ca="1" si="92"/>
        <v>55.899370767087753</v>
      </c>
      <c r="F2343" s="50">
        <v>155779558</v>
      </c>
      <c r="G2343" s="51" t="s">
        <v>70</v>
      </c>
      <c r="H2343" s="52"/>
      <c r="I2343" s="52" t="s">
        <v>24</v>
      </c>
      <c r="J2343" s="46" t="s">
        <v>238</v>
      </c>
      <c r="K2343" s="46"/>
      <c r="L2343" s="46"/>
      <c r="M2343" s="53" t="s">
        <v>239</v>
      </c>
      <c r="N2343" s="46"/>
      <c r="O2343" s="46"/>
      <c r="P2343" s="46">
        <v>4</v>
      </c>
      <c r="Q2343" s="46"/>
      <c r="R2343" s="46"/>
      <c r="S2343" s="46"/>
      <c r="T2343" s="46"/>
      <c r="U2343" s="46"/>
    </row>
    <row r="2344" spans="1:21" s="234" customFormat="1">
      <c r="A2344" s="47">
        <v>93274870</v>
      </c>
      <c r="B2344" s="46" t="s">
        <v>1887</v>
      </c>
      <c r="C2344" s="52" t="s">
        <v>3165</v>
      </c>
      <c r="D2344" s="48">
        <v>23884</v>
      </c>
      <c r="E2344" s="49">
        <f t="shared" ca="1" si="92"/>
        <v>61.107440936189001</v>
      </c>
      <c r="F2344" s="50">
        <v>155878508</v>
      </c>
      <c r="G2344" s="51" t="s">
        <v>23</v>
      </c>
      <c r="H2344" s="52"/>
      <c r="I2344" s="52" t="s">
        <v>3166</v>
      </c>
      <c r="J2344" s="46" t="s">
        <v>3167</v>
      </c>
      <c r="K2344" s="46"/>
      <c r="L2344" s="46"/>
      <c r="M2344" s="53" t="s">
        <v>3168</v>
      </c>
      <c r="N2344" s="55">
        <v>4006854</v>
      </c>
      <c r="O2344" s="55">
        <v>34</v>
      </c>
      <c r="P2344" s="46"/>
      <c r="Q2344" s="46"/>
      <c r="R2344" s="46"/>
      <c r="S2344" s="46"/>
      <c r="T2344" s="46"/>
      <c r="U2344" s="46"/>
    </row>
    <row r="2345" spans="1:21" s="234" customFormat="1">
      <c r="A2345" s="47">
        <v>178589219</v>
      </c>
      <c r="B2345" s="46" t="s">
        <v>1826</v>
      </c>
      <c r="C2345" s="46" t="s">
        <v>1827</v>
      </c>
      <c r="D2345" s="48">
        <v>24297</v>
      </c>
      <c r="E2345" s="49">
        <f t="shared" ca="1" si="92"/>
        <v>59.976032315978458</v>
      </c>
      <c r="F2345" s="50">
        <v>154181738</v>
      </c>
      <c r="G2345" s="51" t="s">
        <v>70</v>
      </c>
      <c r="H2345" s="52"/>
      <c r="I2345" s="52" t="s">
        <v>1657</v>
      </c>
      <c r="J2345" s="46" t="s">
        <v>224</v>
      </c>
      <c r="K2345" s="46"/>
      <c r="L2345" s="46"/>
      <c r="M2345" s="53" t="s">
        <v>1828</v>
      </c>
      <c r="N2345" s="46">
        <v>4107557</v>
      </c>
      <c r="O2345" s="46"/>
      <c r="P2345" s="46"/>
      <c r="Q2345" s="46"/>
      <c r="R2345" s="46"/>
      <c r="S2345" s="46"/>
      <c r="T2345" s="46"/>
      <c r="U2345" s="46"/>
    </row>
    <row r="2346" spans="1:21" s="234" customFormat="1">
      <c r="A2346" s="47">
        <v>178599997</v>
      </c>
      <c r="B2346" s="46" t="s">
        <v>3220</v>
      </c>
      <c r="C2346" s="55" t="s">
        <v>3221</v>
      </c>
      <c r="D2346" s="48">
        <v>24237</v>
      </c>
      <c r="E2346" s="49">
        <f t="shared" ca="1" si="92"/>
        <v>60.140305206463196</v>
      </c>
      <c r="F2346" s="50">
        <v>155311565</v>
      </c>
      <c r="G2346" s="51" t="s">
        <v>141</v>
      </c>
      <c r="H2346" s="52"/>
      <c r="I2346" s="52" t="s">
        <v>3166</v>
      </c>
      <c r="J2346" s="55" t="s">
        <v>3225</v>
      </c>
      <c r="K2346" s="55"/>
      <c r="L2346" s="55"/>
      <c r="M2346" s="53" t="s">
        <v>3226</v>
      </c>
      <c r="N2346" s="55" t="s">
        <v>3227</v>
      </c>
      <c r="O2346" s="55">
        <v>48</v>
      </c>
      <c r="P2346" s="46"/>
      <c r="Q2346" s="46"/>
      <c r="R2346" s="46"/>
      <c r="S2346" s="46"/>
      <c r="T2346" s="46"/>
      <c r="U2346" s="46"/>
    </row>
    <row r="2347" spans="1:21" s="234" customFormat="1">
      <c r="A2347" s="47">
        <v>182292420</v>
      </c>
      <c r="B2347" s="46" t="s">
        <v>3465</v>
      </c>
      <c r="C2347" s="46" t="s">
        <v>6766</v>
      </c>
      <c r="D2347" s="48" t="s">
        <v>52</v>
      </c>
      <c r="E2347" s="49" t="str">
        <f t="shared" ca="1" si="92"/>
        <v/>
      </c>
      <c r="F2347" s="50" t="s">
        <v>6767</v>
      </c>
      <c r="G2347" s="51" t="s">
        <v>141</v>
      </c>
      <c r="H2347" s="52" t="s">
        <v>52</v>
      </c>
      <c r="I2347" s="52" t="s">
        <v>4245</v>
      </c>
      <c r="J2347" s="46" t="s">
        <v>6768</v>
      </c>
      <c r="K2347" s="46" t="s">
        <v>81</v>
      </c>
      <c r="L2347" s="46" t="s">
        <v>546</v>
      </c>
      <c r="M2347" s="52" t="s">
        <v>6769</v>
      </c>
      <c r="N2347" s="46" t="s">
        <v>52</v>
      </c>
      <c r="O2347" s="46" t="s">
        <v>52</v>
      </c>
      <c r="P2347" s="46" t="s">
        <v>59</v>
      </c>
      <c r="Q2347" s="46" t="s">
        <v>60</v>
      </c>
      <c r="R2347" s="46" t="s">
        <v>61</v>
      </c>
      <c r="S2347" s="46" t="s">
        <v>62</v>
      </c>
      <c r="T2347" s="46" t="s">
        <v>12</v>
      </c>
      <c r="U2347" s="46" t="s">
        <v>63</v>
      </c>
    </row>
    <row r="2348" spans="1:21" s="234" customFormat="1">
      <c r="A2348" s="47">
        <v>228778820</v>
      </c>
      <c r="B2348" s="46" t="s">
        <v>774</v>
      </c>
      <c r="C2348" s="46" t="s">
        <v>283</v>
      </c>
      <c r="D2348" s="48"/>
      <c r="E2348" s="49" t="str">
        <f t="shared" ca="1" si="92"/>
        <v/>
      </c>
      <c r="F2348" s="50">
        <v>156711217</v>
      </c>
      <c r="G2348" s="51" t="s">
        <v>23</v>
      </c>
      <c r="H2348" s="52"/>
      <c r="I2348" s="52" t="s">
        <v>2659</v>
      </c>
      <c r="J2348" s="46"/>
      <c r="K2348" s="46"/>
      <c r="L2348" s="46"/>
      <c r="M2348" s="53" t="s">
        <v>2660</v>
      </c>
      <c r="N2348" s="46"/>
      <c r="O2348" s="46"/>
      <c r="P2348" s="46"/>
      <c r="Q2348" s="46"/>
      <c r="R2348" s="46"/>
      <c r="S2348" s="46"/>
      <c r="T2348" s="46"/>
      <c r="U2348" s="46"/>
    </row>
    <row r="2349" spans="1:21" s="234" customFormat="1">
      <c r="A2349" s="47">
        <v>231677760</v>
      </c>
      <c r="B2349" s="46" t="s">
        <v>1644</v>
      </c>
      <c r="C2349" s="46" t="s">
        <v>106</v>
      </c>
      <c r="D2349" s="48">
        <v>26843</v>
      </c>
      <c r="E2349" s="49">
        <f t="shared" ca="1" si="92"/>
        <v>53.006134969325153</v>
      </c>
      <c r="F2349" s="50">
        <v>154632411</v>
      </c>
      <c r="G2349" s="51" t="s">
        <v>23</v>
      </c>
      <c r="H2349" s="52"/>
      <c r="I2349" s="52" t="s">
        <v>1497</v>
      </c>
      <c r="J2349" s="46" t="s">
        <v>1647</v>
      </c>
      <c r="K2349" s="46"/>
      <c r="L2349" s="46"/>
      <c r="M2349" s="53" t="s">
        <v>1648</v>
      </c>
      <c r="N2349" s="46"/>
      <c r="O2349" s="46"/>
      <c r="P2349" s="46"/>
      <c r="Q2349" s="46"/>
      <c r="R2349" s="46"/>
      <c r="S2349" s="46"/>
      <c r="T2349" s="46"/>
      <c r="U2349" s="46"/>
    </row>
    <row r="2350" spans="1:21" s="234" customFormat="1">
      <c r="A2350" s="47">
        <v>277751985</v>
      </c>
      <c r="B2350" s="46" t="s">
        <v>377</v>
      </c>
      <c r="C2350" s="46" t="s">
        <v>3179</v>
      </c>
      <c r="D2350" s="48" t="s">
        <v>52</v>
      </c>
      <c r="E2350" s="49" t="str">
        <f t="shared" ca="1" si="92"/>
        <v/>
      </c>
      <c r="F2350" s="50" t="s">
        <v>3913</v>
      </c>
      <c r="G2350" s="51" t="s">
        <v>70</v>
      </c>
      <c r="H2350" s="52" t="s">
        <v>52</v>
      </c>
      <c r="I2350" s="52" t="s">
        <v>3630</v>
      </c>
      <c r="J2350" s="46" t="s">
        <v>3914</v>
      </c>
      <c r="K2350" s="46" t="s">
        <v>81</v>
      </c>
      <c r="L2350" s="46" t="s">
        <v>546</v>
      </c>
      <c r="M2350" s="52" t="s">
        <v>3915</v>
      </c>
      <c r="N2350" s="46" t="s">
        <v>52</v>
      </c>
      <c r="O2350" s="46" t="s">
        <v>52</v>
      </c>
      <c r="P2350" s="46" t="s">
        <v>59</v>
      </c>
      <c r="Q2350" s="46" t="s">
        <v>60</v>
      </c>
      <c r="R2350" s="46" t="s">
        <v>61</v>
      </c>
      <c r="S2350" s="46" t="s">
        <v>62</v>
      </c>
      <c r="T2350" s="46" t="s">
        <v>12</v>
      </c>
      <c r="U2350" s="46" t="s">
        <v>63</v>
      </c>
    </row>
    <row r="2351" spans="1:21" s="234" customFormat="1">
      <c r="A2351" s="47" t="s">
        <v>1043</v>
      </c>
      <c r="B2351" s="46" t="s">
        <v>1040</v>
      </c>
      <c r="C2351" s="52" t="s">
        <v>1044</v>
      </c>
      <c r="D2351" s="48"/>
      <c r="E2351" s="49" t="str">
        <f t="shared" ca="1" si="92"/>
        <v/>
      </c>
      <c r="F2351" s="50"/>
      <c r="G2351" s="51" t="s">
        <v>23</v>
      </c>
      <c r="H2351" s="52"/>
      <c r="I2351" s="59" t="s">
        <v>908</v>
      </c>
      <c r="J2351" s="46"/>
      <c r="K2351" s="46"/>
      <c r="L2351" s="46"/>
      <c r="M2351" s="53" t="s">
        <v>1045</v>
      </c>
      <c r="N2351" s="55"/>
      <c r="O2351" s="55"/>
      <c r="P2351" s="46"/>
      <c r="Q2351" s="46"/>
      <c r="R2351" s="46"/>
      <c r="S2351" s="46"/>
      <c r="T2351" s="46"/>
      <c r="U2351" s="46"/>
    </row>
    <row r="2352" spans="1:21" s="234" customFormat="1">
      <c r="A2352" s="47" t="s">
        <v>936</v>
      </c>
      <c r="B2352" s="46" t="s">
        <v>937</v>
      </c>
      <c r="C2352" s="52" t="s">
        <v>938</v>
      </c>
      <c r="D2352" s="48"/>
      <c r="E2352" s="49" t="str">
        <f t="shared" ca="1" si="92"/>
        <v/>
      </c>
      <c r="F2352" s="50"/>
      <c r="G2352" s="51" t="s">
        <v>23</v>
      </c>
      <c r="H2352" s="52"/>
      <c r="I2352" s="59" t="s">
        <v>908</v>
      </c>
      <c r="J2352" s="46"/>
      <c r="K2352" s="46"/>
      <c r="L2352" s="46"/>
      <c r="M2352" s="53" t="s">
        <v>939</v>
      </c>
      <c r="N2352" s="55"/>
      <c r="O2352" s="55"/>
      <c r="P2352" s="46"/>
      <c r="Q2352" s="46"/>
      <c r="R2352" s="46"/>
      <c r="S2352" s="46"/>
      <c r="T2352" s="46"/>
      <c r="U2352" s="46"/>
    </row>
    <row r="2353" spans="1:21" s="234" customFormat="1">
      <c r="A2353" s="47"/>
      <c r="B2353" s="46" t="s">
        <v>2852</v>
      </c>
      <c r="C2353" s="52" t="s">
        <v>2853</v>
      </c>
      <c r="D2353" s="48">
        <v>32303</v>
      </c>
      <c r="E2353" s="49">
        <f t="shared" ca="1" si="92"/>
        <v>38.055458055458054</v>
      </c>
      <c r="F2353" s="50">
        <v>154743326</v>
      </c>
      <c r="G2353" s="51" t="s">
        <v>23</v>
      </c>
      <c r="H2353" s="52"/>
      <c r="I2353" s="52" t="s">
        <v>2854</v>
      </c>
      <c r="J2353" s="46" t="s">
        <v>48</v>
      </c>
      <c r="K2353" s="46"/>
      <c r="L2353" s="46"/>
      <c r="M2353" s="53" t="s">
        <v>2855</v>
      </c>
      <c r="N2353" s="55"/>
      <c r="O2353" s="55"/>
      <c r="P2353" s="46"/>
      <c r="Q2353" s="46"/>
      <c r="R2353" s="46"/>
      <c r="S2353" s="46"/>
      <c r="T2353" s="46"/>
      <c r="U2353" s="46"/>
    </row>
    <row r="2354" spans="1:21" s="234" customFormat="1">
      <c r="A2354" s="47"/>
      <c r="B2354" s="46" t="s">
        <v>5512</v>
      </c>
      <c r="C2354" s="52" t="s">
        <v>5513</v>
      </c>
      <c r="D2354" s="48">
        <v>24196</v>
      </c>
      <c r="E2354" s="49">
        <f t="shared" ca="1" si="92"/>
        <v>60.252558348294436</v>
      </c>
      <c r="F2354" s="50"/>
      <c r="G2354" s="51" t="s">
        <v>70</v>
      </c>
      <c r="H2354" s="52"/>
      <c r="I2354" s="52" t="s">
        <v>5494</v>
      </c>
      <c r="J2354" s="46" t="s">
        <v>224</v>
      </c>
      <c r="K2354" s="46"/>
      <c r="L2354" s="46"/>
      <c r="M2354" s="53" t="s">
        <v>5514</v>
      </c>
      <c r="N2354" s="55"/>
      <c r="O2354" s="55"/>
      <c r="P2354" s="46"/>
      <c r="Q2354" s="46"/>
      <c r="R2354" s="46"/>
      <c r="S2354" s="46"/>
      <c r="T2354" s="46"/>
      <c r="U2354" s="46"/>
    </row>
    <row r="2355" spans="1:21" s="234" customFormat="1">
      <c r="A2355" s="64"/>
      <c r="B2355" s="61" t="s">
        <v>2469</v>
      </c>
      <c r="C2355" s="62" t="s">
        <v>365</v>
      </c>
      <c r="D2355" s="48">
        <v>25042</v>
      </c>
      <c r="E2355" s="49">
        <f t="shared" ca="1" si="92"/>
        <v>57.934988399071926</v>
      </c>
      <c r="F2355" s="63">
        <v>155821958</v>
      </c>
      <c r="G2355" s="51" t="s">
        <v>23</v>
      </c>
      <c r="H2355" s="52"/>
      <c r="I2355" s="59" t="s">
        <v>908</v>
      </c>
      <c r="J2355" s="61" t="s">
        <v>2470</v>
      </c>
      <c r="K2355" s="61"/>
      <c r="L2355" s="61"/>
      <c r="M2355" s="53" t="s">
        <v>2471</v>
      </c>
      <c r="N2355" s="55"/>
      <c r="O2355" s="55"/>
      <c r="P2355" s="46"/>
      <c r="Q2355" s="46"/>
      <c r="R2355" s="46"/>
      <c r="S2355" s="46"/>
      <c r="T2355" s="46"/>
      <c r="U2355" s="46"/>
    </row>
    <row r="2356" spans="1:21" s="234" customFormat="1">
      <c r="A2356" s="47"/>
      <c r="B2356" s="46" t="s">
        <v>8720</v>
      </c>
      <c r="C2356" s="46" t="s">
        <v>8721</v>
      </c>
      <c r="D2356" s="48"/>
      <c r="E2356" s="49" t="str">
        <f t="shared" ca="1" si="92"/>
        <v/>
      </c>
      <c r="F2356" s="50"/>
      <c r="G2356" s="51"/>
      <c r="H2356" s="52"/>
      <c r="I2356" s="52"/>
      <c r="J2356" s="46"/>
      <c r="K2356" s="46"/>
      <c r="L2356" s="46"/>
      <c r="M2356" s="52" t="s">
        <v>8722</v>
      </c>
      <c r="N2356" s="46"/>
      <c r="O2356" s="46"/>
      <c r="P2356" s="46"/>
      <c r="Q2356" s="46"/>
      <c r="R2356" s="46"/>
      <c r="S2356" s="46"/>
      <c r="T2356" s="46"/>
      <c r="U2356" s="46"/>
    </row>
    <row r="2357" spans="1:21" s="234" customFormat="1">
      <c r="A2357" s="64"/>
      <c r="B2357" s="61" t="s">
        <v>633</v>
      </c>
      <c r="C2357" s="62" t="s">
        <v>27</v>
      </c>
      <c r="D2357" s="48">
        <v>25071</v>
      </c>
      <c r="E2357" s="49">
        <f t="shared" ca="1" si="92"/>
        <v>57.855591647331785</v>
      </c>
      <c r="F2357" s="63">
        <v>154651739</v>
      </c>
      <c r="G2357" s="51" t="s">
        <v>23</v>
      </c>
      <c r="H2357" s="52"/>
      <c r="I2357" s="59" t="s">
        <v>908</v>
      </c>
      <c r="J2357" s="61" t="s">
        <v>48</v>
      </c>
      <c r="K2357" s="61"/>
      <c r="L2357" s="61"/>
      <c r="M2357" s="53" t="s">
        <v>1021</v>
      </c>
      <c r="N2357" s="55"/>
      <c r="O2357" s="55"/>
      <c r="P2357" s="46"/>
      <c r="Q2357" s="46"/>
      <c r="R2357" s="46"/>
      <c r="S2357" s="46"/>
      <c r="T2357" s="46"/>
      <c r="U2357" s="46"/>
    </row>
    <row r="2358" spans="1:21" s="234" customFormat="1">
      <c r="A2358" s="47"/>
      <c r="B2358" s="46" t="s">
        <v>5002</v>
      </c>
      <c r="C2358" s="46" t="s">
        <v>5009</v>
      </c>
      <c r="D2358" s="48">
        <v>24906</v>
      </c>
      <c r="E2358" s="49">
        <f t="shared" ca="1" si="92"/>
        <v>58.307331786542925</v>
      </c>
      <c r="F2358" s="50">
        <v>156016051</v>
      </c>
      <c r="G2358" s="51" t="s">
        <v>70</v>
      </c>
      <c r="H2358" s="52"/>
      <c r="I2358" s="52" t="s">
        <v>4954</v>
      </c>
      <c r="J2358" s="46" t="s">
        <v>826</v>
      </c>
      <c r="K2358" s="46"/>
      <c r="L2358" s="46"/>
      <c r="M2358" s="53" t="s">
        <v>5007</v>
      </c>
      <c r="N2358" s="46">
        <v>4258568</v>
      </c>
      <c r="O2358" s="46"/>
      <c r="P2358" s="46">
        <v>3</v>
      </c>
      <c r="Q2358" s="46"/>
      <c r="R2358" s="46"/>
      <c r="S2358" s="46"/>
      <c r="T2358" s="46"/>
      <c r="U2358" s="46"/>
    </row>
    <row r="2359" spans="1:21" s="234" customFormat="1">
      <c r="A2359" s="47"/>
      <c r="B2359" s="46" t="s">
        <v>321</v>
      </c>
      <c r="C2359" s="52" t="s">
        <v>322</v>
      </c>
      <c r="D2359" s="48"/>
      <c r="E2359" s="49" t="str">
        <f t="shared" ca="1" si="92"/>
        <v/>
      </c>
      <c r="F2359" s="50">
        <v>155398090</v>
      </c>
      <c r="G2359" s="51" t="s">
        <v>78</v>
      </c>
      <c r="H2359" s="52"/>
      <c r="I2359" s="59" t="s">
        <v>908</v>
      </c>
      <c r="J2359" s="46" t="s">
        <v>1158</v>
      </c>
      <c r="K2359" s="46"/>
      <c r="L2359" s="46"/>
      <c r="M2359" s="53" t="s">
        <v>1159</v>
      </c>
      <c r="N2359" s="55">
        <v>4107205</v>
      </c>
      <c r="O2359" s="55"/>
      <c r="P2359" s="46"/>
      <c r="Q2359" s="46"/>
      <c r="R2359" s="46"/>
      <c r="S2359" s="46"/>
      <c r="T2359" s="46"/>
      <c r="U2359" s="46"/>
    </row>
    <row r="2360" spans="1:21" s="234" customFormat="1">
      <c r="A2360" s="47"/>
      <c r="B2360" s="46" t="s">
        <v>6304</v>
      </c>
      <c r="C2360" s="52" t="s">
        <v>873</v>
      </c>
      <c r="D2360" s="48">
        <v>32214</v>
      </c>
      <c r="E2360" s="49">
        <f t="shared" ca="1" si="92"/>
        <v>38.299122499122497</v>
      </c>
      <c r="F2360" s="50">
        <v>155730228</v>
      </c>
      <c r="G2360" s="51" t="s">
        <v>23</v>
      </c>
      <c r="H2360" s="52"/>
      <c r="I2360" s="52" t="s">
        <v>848</v>
      </c>
      <c r="J2360" s="46"/>
      <c r="K2360" s="46"/>
      <c r="L2360" s="46"/>
      <c r="M2360" s="53" t="s">
        <v>874</v>
      </c>
      <c r="N2360" s="55"/>
      <c r="O2360" s="55"/>
      <c r="P2360" s="46"/>
      <c r="Q2360" s="46"/>
      <c r="R2360" s="46"/>
      <c r="S2360" s="46"/>
      <c r="T2360" s="46"/>
      <c r="U2360" s="46"/>
    </row>
    <row r="2361" spans="1:21" s="234" customFormat="1">
      <c r="A2361" s="47"/>
      <c r="B2361" s="46" t="s">
        <v>1823</v>
      </c>
      <c r="C2361" s="52" t="s">
        <v>2623</v>
      </c>
      <c r="D2361" s="48">
        <v>32273</v>
      </c>
      <c r="E2361" s="49">
        <f t="shared" ca="1" si="92"/>
        <v>38.137592137592137</v>
      </c>
      <c r="F2361" s="50"/>
      <c r="G2361" s="51" t="s">
        <v>23</v>
      </c>
      <c r="H2361" s="52"/>
      <c r="I2361" s="52" t="s">
        <v>23</v>
      </c>
      <c r="J2361" s="46" t="s">
        <v>6375</v>
      </c>
      <c r="K2361" s="46"/>
      <c r="L2361" s="46"/>
      <c r="M2361" s="58" t="s">
        <v>25</v>
      </c>
      <c r="N2361" s="55"/>
      <c r="O2361" s="55"/>
      <c r="P2361" s="46"/>
      <c r="Q2361" s="46"/>
      <c r="R2361" s="46"/>
      <c r="S2361" s="46"/>
      <c r="T2361" s="46"/>
      <c r="U2361" s="46"/>
    </row>
    <row r="2362" spans="1:21" s="234" customFormat="1">
      <c r="A2362" s="47"/>
      <c r="B2362" s="46" t="s">
        <v>493</v>
      </c>
      <c r="C2362" s="52" t="s">
        <v>494</v>
      </c>
      <c r="D2362" s="48"/>
      <c r="E2362" s="49" t="str">
        <f t="shared" ca="1" si="92"/>
        <v/>
      </c>
      <c r="F2362" s="50">
        <v>154762138</v>
      </c>
      <c r="G2362" s="51" t="s">
        <v>70</v>
      </c>
      <c r="H2362" s="52"/>
      <c r="I2362" s="52" t="s">
        <v>24</v>
      </c>
      <c r="J2362" s="46" t="s">
        <v>495</v>
      </c>
      <c r="K2362" s="46"/>
      <c r="L2362" s="46"/>
      <c r="M2362" s="53" t="s">
        <v>496</v>
      </c>
      <c r="N2362" s="55">
        <v>4364147</v>
      </c>
      <c r="O2362" s="55"/>
      <c r="P2362" s="46"/>
      <c r="Q2362" s="46"/>
      <c r="R2362" s="46"/>
      <c r="S2362" s="46"/>
      <c r="T2362" s="46"/>
      <c r="U2362" s="46"/>
    </row>
  </sheetData>
  <sortState ref="A2:U2396">
    <sortCondition ref="A2:A2396"/>
  </sortState>
  <conditionalFormatting sqref="C6">
    <cfRule type="duplicateValues" dxfId="24" priority="1"/>
  </conditionalFormatting>
  <hyperlinks>
    <hyperlink ref="M924" r:id="rId1"/>
    <hyperlink ref="M1527" r:id="rId2"/>
    <hyperlink ref="M279" r:id="rId3"/>
    <hyperlink ref="M959" r:id="rId4"/>
    <hyperlink ref="M153" r:id="rId5"/>
    <hyperlink ref="M593" r:id="rId6"/>
    <hyperlink ref="M1364" r:id="rId7"/>
    <hyperlink ref="M1938" r:id="rId8"/>
    <hyperlink ref="M378" r:id="rId9"/>
    <hyperlink ref="M2262" r:id="rId10"/>
    <hyperlink ref="M1342" r:id="rId11"/>
    <hyperlink ref="M1548" r:id="rId12"/>
    <hyperlink ref="M441" r:id="rId13"/>
    <hyperlink ref="M1009" r:id="rId14"/>
    <hyperlink ref="M1023" r:id="rId15"/>
    <hyperlink ref="M259" r:id="rId16"/>
    <hyperlink ref="M757" r:id="rId17"/>
    <hyperlink ref="M2113" r:id="rId18"/>
    <hyperlink ref="M1499" r:id="rId19"/>
    <hyperlink ref="M1615" r:id="rId20"/>
    <hyperlink ref="M1437" r:id="rId21"/>
    <hyperlink ref="M820" r:id="rId22"/>
    <hyperlink ref="M1190" r:id="rId23"/>
    <hyperlink ref="M2232" r:id="rId24"/>
    <hyperlink ref="M685" r:id="rId25"/>
    <hyperlink ref="M1257" r:id="rId26" display="lauruffolo@hotmail.com"/>
    <hyperlink ref="M1120" r:id="rId27"/>
    <hyperlink ref="M2200" r:id="rId28"/>
    <hyperlink ref="M204" r:id="rId29"/>
    <hyperlink ref="M1326" r:id="rId30"/>
    <hyperlink ref="M1345" r:id="rId31"/>
    <hyperlink ref="M2063" r:id="rId32"/>
    <hyperlink ref="M2192" r:id="rId33"/>
    <hyperlink ref="M1059" r:id="rId34"/>
    <hyperlink ref="M666" r:id="rId35"/>
    <hyperlink ref="M1513" r:id="rId36"/>
    <hyperlink ref="M103" r:id="rId37"/>
    <hyperlink ref="M1076" r:id="rId38"/>
    <hyperlink ref="M1048" r:id="rId39"/>
    <hyperlink ref="M1176" r:id="rId40"/>
    <hyperlink ref="M1533" r:id="rId41"/>
    <hyperlink ref="M190" r:id="rId42"/>
    <hyperlink ref="M1497" r:id="rId43"/>
    <hyperlink ref="M711" r:id="rId44"/>
    <hyperlink ref="M1439" r:id="rId45"/>
    <hyperlink ref="M2313" r:id="rId46"/>
    <hyperlink ref="M1488" r:id="rId47"/>
    <hyperlink ref="M1501" r:id="rId48"/>
    <hyperlink ref="M1003" r:id="rId49"/>
    <hyperlink ref="M676" r:id="rId50"/>
    <hyperlink ref="M659" r:id="rId51"/>
    <hyperlink ref="M544" r:id="rId52"/>
    <hyperlink ref="M1913" r:id="rId53"/>
    <hyperlink ref="M1490" r:id="rId54"/>
    <hyperlink ref="M1144" r:id="rId55"/>
    <hyperlink ref="M472" r:id="rId56"/>
    <hyperlink ref="M1864" r:id="rId57"/>
    <hyperlink ref="M915" r:id="rId58"/>
    <hyperlink ref="M620" r:id="rId59"/>
    <hyperlink ref="M1710" r:id="rId60"/>
    <hyperlink ref="M2126" r:id="rId61"/>
    <hyperlink ref="M1406" r:id="rId62"/>
    <hyperlink ref="M2165" r:id="rId63" display="carlitarubio@hotmail.com"/>
    <hyperlink ref="M1612" r:id="rId64"/>
    <hyperlink ref="M2198" r:id="rId65"/>
    <hyperlink ref="M1418" r:id="rId66"/>
    <hyperlink ref="M2187" r:id="rId67"/>
    <hyperlink ref="M1549" r:id="rId68"/>
    <hyperlink ref="M281" r:id="rId69"/>
    <hyperlink ref="M712" r:id="rId70"/>
    <hyperlink ref="M2049" r:id="rId71"/>
    <hyperlink ref="M1791" r:id="rId72"/>
    <hyperlink ref="M1534" r:id="rId73"/>
    <hyperlink ref="M1842" r:id="rId74"/>
    <hyperlink ref="M937" r:id="rId75"/>
    <hyperlink ref="M607" r:id="rId76"/>
    <hyperlink ref="M1474" r:id="rId77"/>
    <hyperlink ref="M2071" r:id="rId78"/>
    <hyperlink ref="M1841" r:id="rId79"/>
    <hyperlink ref="M987" r:id="rId80"/>
    <hyperlink ref="M932" r:id="rId81"/>
    <hyperlink ref="M1573" r:id="rId82"/>
    <hyperlink ref="M1040" r:id="rId83"/>
    <hyperlink ref="M1065" r:id="rId84"/>
    <hyperlink ref="M1207" r:id="rId85"/>
    <hyperlink ref="M1789" r:id="rId86"/>
    <hyperlink ref="M425" r:id="rId87"/>
    <hyperlink ref="M168" r:id="rId88"/>
    <hyperlink ref="M752" r:id="rId89"/>
    <hyperlink ref="M2159" r:id="rId90"/>
    <hyperlink ref="M671" r:id="rId91" display="niky6_1@hotmail.com"/>
    <hyperlink ref="M1673" r:id="rId92"/>
    <hyperlink ref="M1866" r:id="rId93"/>
    <hyperlink ref="M769" r:id="rId94"/>
    <hyperlink ref="M254" r:id="rId95"/>
    <hyperlink ref="M744" r:id="rId96"/>
    <hyperlink ref="M374" r:id="rId97"/>
    <hyperlink ref="M2228" r:id="rId98"/>
    <hyperlink ref="M1904" r:id="rId99"/>
    <hyperlink ref="M1387" r:id="rId100"/>
    <hyperlink ref="M318" r:id="rId101"/>
    <hyperlink ref="M1520" r:id="rId102"/>
    <hyperlink ref="M543" r:id="rId103"/>
    <hyperlink ref="M611" r:id="rId104"/>
    <hyperlink ref="M783" r:id="rId105"/>
    <hyperlink ref="M1126" r:id="rId106"/>
    <hyperlink ref="M787" r:id="rId107"/>
    <hyperlink ref="M16" r:id="rId108"/>
    <hyperlink ref="M664" r:id="rId109"/>
    <hyperlink ref="M1872" r:id="rId110"/>
    <hyperlink ref="M792" r:id="rId111"/>
    <hyperlink ref="M1307" r:id="rId112"/>
    <hyperlink ref="M33" r:id="rId113"/>
    <hyperlink ref="M1088" r:id="rId114"/>
    <hyperlink ref="M3" r:id="rId115"/>
    <hyperlink ref="M2" r:id="rId116"/>
    <hyperlink ref="M1150" r:id="rId117"/>
    <hyperlink ref="M1473" r:id="rId118"/>
    <hyperlink ref="M610" r:id="rId119"/>
    <hyperlink ref="M72" r:id="rId120"/>
    <hyperlink ref="M1229" r:id="rId121"/>
    <hyperlink ref="M1521" r:id="rId122"/>
    <hyperlink ref="M1565" r:id="rId123"/>
    <hyperlink ref="M1954" r:id="rId124"/>
    <hyperlink ref="M260" r:id="rId125"/>
    <hyperlink ref="M1349" r:id="rId126"/>
    <hyperlink ref="M1221" r:id="rId127"/>
    <hyperlink ref="M2033" r:id="rId128"/>
    <hyperlink ref="M1538" r:id="rId129"/>
    <hyperlink ref="M1918" r:id="rId130"/>
    <hyperlink ref="M991" r:id="rId131"/>
    <hyperlink ref="M940" r:id="rId132"/>
    <hyperlink ref="M296" r:id="rId133"/>
    <hyperlink ref="M1232" r:id="rId134"/>
    <hyperlink ref="M1677" r:id="rId135"/>
    <hyperlink ref="M708" r:id="rId136"/>
    <hyperlink ref="M631" r:id="rId137"/>
    <hyperlink ref="M147" r:id="rId138"/>
    <hyperlink ref="M45" r:id="rId139"/>
    <hyperlink ref="M1464" r:id="rId140"/>
    <hyperlink ref="M25" r:id="rId141"/>
    <hyperlink ref="M2031" r:id="rId142"/>
    <hyperlink ref="M421" r:id="rId143"/>
    <hyperlink ref="M578" r:id="rId144"/>
    <hyperlink ref="M979" r:id="rId145"/>
    <hyperlink ref="M69" r:id="rId146"/>
    <hyperlink ref="M1269" r:id="rId147"/>
    <hyperlink ref="M1219" r:id="rId148"/>
    <hyperlink ref="M1383" r:id="rId149"/>
    <hyperlink ref="M257" r:id="rId150"/>
    <hyperlink ref="M584" r:id="rId151"/>
    <hyperlink ref="M1732" r:id="rId152"/>
    <hyperlink ref="M1748" r:id="rId153"/>
    <hyperlink ref="M734" r:id="rId154"/>
    <hyperlink ref="M1109" r:id="rId155"/>
    <hyperlink ref="M470" r:id="rId156"/>
    <hyperlink ref="M1276" r:id="rId157"/>
    <hyperlink ref="M1688" r:id="rId158"/>
    <hyperlink ref="M2100" r:id="rId159"/>
    <hyperlink ref="M556" r:id="rId160"/>
    <hyperlink ref="M280" r:id="rId161"/>
    <hyperlink ref="M258" r:id="rId162"/>
    <hyperlink ref="M1400" r:id="rId163"/>
    <hyperlink ref="M1181" r:id="rId164"/>
    <hyperlink ref="M1559" r:id="rId165"/>
    <hyperlink ref="M1644" r:id="rId166"/>
    <hyperlink ref="M255" r:id="rId167"/>
    <hyperlink ref="M989" r:id="rId168"/>
    <hyperlink ref="M930" r:id="rId169"/>
    <hyperlink ref="M919" r:id="rId170" display="investigacionenfermeria@hotmail.com"/>
    <hyperlink ref="M536" r:id="rId171"/>
    <hyperlink ref="M1875" r:id="rId172"/>
    <hyperlink ref="M73" r:id="rId173"/>
    <hyperlink ref="M1739" r:id="rId174"/>
    <hyperlink ref="M2362" r:id="rId175"/>
    <hyperlink ref="M1298" r:id="rId176"/>
    <hyperlink ref="M1509" r:id="rId177"/>
    <hyperlink ref="M920" r:id="rId178"/>
    <hyperlink ref="M962" r:id="rId179"/>
    <hyperlink ref="M221" r:id="rId180"/>
    <hyperlink ref="M1035" r:id="rId181"/>
    <hyperlink ref="M885" r:id="rId182"/>
    <hyperlink ref="M466" r:id="rId183"/>
    <hyperlink ref="M1837" r:id="rId184"/>
    <hyperlink ref="M490" r:id="rId185"/>
    <hyperlink ref="M67" r:id="rId186"/>
    <hyperlink ref="M452" r:id="rId187"/>
    <hyperlink ref="M1394" r:id="rId188"/>
    <hyperlink ref="M1115" r:id="rId189"/>
    <hyperlink ref="M2079" r:id="rId190"/>
    <hyperlink ref="M1407" r:id="rId191"/>
    <hyperlink ref="M759" r:id="rId192"/>
    <hyperlink ref="M2062" r:id="rId193"/>
    <hyperlink ref="M912" r:id="rId194"/>
    <hyperlink ref="M13" r:id="rId195"/>
    <hyperlink ref="M1180" r:id="rId196"/>
    <hyperlink ref="M110" r:id="rId197"/>
    <hyperlink ref="M97" r:id="rId198"/>
    <hyperlink ref="M1849" r:id="rId199"/>
    <hyperlink ref="M1413" r:id="rId200"/>
    <hyperlink ref="M145" r:id="rId201"/>
    <hyperlink ref="M116" r:id="rId202"/>
    <hyperlink ref="M1772" r:id="rId203"/>
    <hyperlink ref="M404" r:id="rId204"/>
    <hyperlink ref="M101" r:id="rId205"/>
    <hyperlink ref="M1165" r:id="rId206"/>
    <hyperlink ref="M893" r:id="rId207"/>
    <hyperlink ref="M1660" r:id="rId208"/>
    <hyperlink ref="M1458" r:id="rId209"/>
    <hyperlink ref="M113" r:id="rId210"/>
    <hyperlink ref="M359" r:id="rId211"/>
    <hyperlink ref="M141" r:id="rId212"/>
    <hyperlink ref="M679" r:id="rId213"/>
    <hyperlink ref="M1492" r:id="rId214"/>
    <hyperlink ref="M1124" r:id="rId215"/>
    <hyperlink ref="M1129" r:id="rId216"/>
    <hyperlink ref="M2061" r:id="rId217"/>
    <hyperlink ref="M515" r:id="rId218"/>
    <hyperlink ref="M1683" r:id="rId219"/>
    <hyperlink ref="M922" r:id="rId220"/>
    <hyperlink ref="M1649" r:id="rId221"/>
    <hyperlink ref="M77" r:id="rId222"/>
    <hyperlink ref="M59" r:id="rId223"/>
    <hyperlink ref="M1051" r:id="rId224"/>
    <hyperlink ref="M555" r:id="rId225"/>
    <hyperlink ref="M391" r:id="rId226"/>
    <hyperlink ref="M879" r:id="rId227"/>
    <hyperlink ref="M1712" r:id="rId228"/>
    <hyperlink ref="M1245" r:id="rId229"/>
    <hyperlink ref="M539" r:id="rId230"/>
    <hyperlink ref="M644" r:id="rId231"/>
    <hyperlink ref="M1316" r:id="rId232"/>
    <hyperlink ref="M564" r:id="rId233"/>
    <hyperlink ref="M650" r:id="rId234"/>
    <hyperlink ref="M482" r:id="rId235"/>
    <hyperlink ref="M1725" r:id="rId236"/>
    <hyperlink ref="M124" r:id="rId237"/>
    <hyperlink ref="M638" r:id="rId238"/>
    <hyperlink ref="M227" r:id="rId239"/>
    <hyperlink ref="M723" r:id="rId240"/>
    <hyperlink ref="M1274" r:id="rId241"/>
    <hyperlink ref="M321" r:id="rId242"/>
    <hyperlink ref="M1970" r:id="rId243"/>
    <hyperlink ref="M953" r:id="rId244"/>
    <hyperlink ref="M1529" r:id="rId245"/>
    <hyperlink ref="M718" r:id="rId246"/>
    <hyperlink ref="M1917" r:id="rId247"/>
    <hyperlink ref="M90" r:id="rId248"/>
    <hyperlink ref="M816" r:id="rId249"/>
    <hyperlink ref="M2360" r:id="rId250"/>
    <hyperlink ref="M1259" r:id="rId251"/>
    <hyperlink ref="M333" r:id="rId252"/>
    <hyperlink ref="M317" r:id="rId253"/>
    <hyperlink ref="M1699" r:id="rId254"/>
    <hyperlink ref="M306" r:id="rId255"/>
    <hyperlink ref="M2025" r:id="rId256"/>
    <hyperlink ref="M1411" r:id="rId257"/>
    <hyperlink ref="M1050" r:id="rId258"/>
    <hyperlink ref="M187" r:id="rId259"/>
    <hyperlink ref="M1982" r:id="rId260"/>
    <hyperlink ref="M178" r:id="rId261"/>
    <hyperlink ref="M681" r:id="rId262"/>
    <hyperlink ref="M573" r:id="rId263"/>
    <hyperlink ref="M725" r:id="rId264"/>
    <hyperlink ref="M122" r:id="rId265"/>
    <hyperlink ref="M2294" r:id="rId266"/>
    <hyperlink ref="M53" r:id="rId267"/>
    <hyperlink ref="M2078" r:id="rId268"/>
    <hyperlink ref="M1160" r:id="rId269"/>
    <hyperlink ref="M799" r:id="rId270"/>
    <hyperlink ref="M854" r:id="rId271"/>
    <hyperlink ref="M1026" r:id="rId272"/>
    <hyperlink ref="M581" r:id="rId273"/>
    <hyperlink ref="M1025" r:id="rId274"/>
    <hyperlink ref="M1665" r:id="rId275"/>
    <hyperlink ref="M312" r:id="rId276"/>
    <hyperlink ref="M350" r:id="rId277"/>
    <hyperlink ref="M775" r:id="rId278"/>
    <hyperlink ref="M189" r:id="rId279"/>
    <hyperlink ref="M1438" r:id="rId280"/>
    <hyperlink ref="M1561" r:id="rId281" display="povallenatalia_@hotmail.com.ar"/>
    <hyperlink ref="M415" r:id="rId282"/>
    <hyperlink ref="M144" r:id="rId283"/>
    <hyperlink ref="M901" r:id="rId284"/>
    <hyperlink ref="M1601" r:id="rId285"/>
    <hyperlink ref="M510" r:id="rId286"/>
    <hyperlink ref="M574" r:id="rId287"/>
    <hyperlink ref="M2066" r:id="rId288"/>
    <hyperlink ref="M263" r:id="rId289"/>
    <hyperlink ref="M1563" r:id="rId290"/>
    <hyperlink ref="M963" r:id="rId291"/>
    <hyperlink ref="M1574" r:id="rId292"/>
    <hyperlink ref="M1761" r:id="rId293"/>
    <hyperlink ref="M891" r:id="rId294"/>
    <hyperlink ref="M2152" r:id="rId295"/>
    <hyperlink ref="M1678" r:id="rId296"/>
    <hyperlink ref="M1000" r:id="rId297"/>
    <hyperlink ref="M1209" r:id="rId298"/>
    <hyperlink ref="M1685" r:id="rId299"/>
    <hyperlink ref="M1744" r:id="rId300"/>
    <hyperlink ref="M789" r:id="rId301"/>
    <hyperlink ref="M2010" r:id="rId302"/>
    <hyperlink ref="M248" r:id="rId303"/>
    <hyperlink ref="M1285" r:id="rId304"/>
    <hyperlink ref="M1681" r:id="rId305"/>
    <hyperlink ref="M1113" r:id="rId306"/>
    <hyperlink ref="M1546" r:id="rId307"/>
    <hyperlink ref="M1567" r:id="rId308"/>
    <hyperlink ref="M995" r:id="rId309"/>
    <hyperlink ref="M1503" r:id="rId310"/>
    <hyperlink ref="M1774" r:id="rId311"/>
    <hyperlink ref="M1568" r:id="rId312"/>
    <hyperlink ref="M1090" r:id="rId313"/>
    <hyperlink ref="M1898" r:id="rId314"/>
    <hyperlink ref="M1821" r:id="rId315"/>
    <hyperlink ref="M4" r:id="rId316"/>
    <hyperlink ref="M1835" r:id="rId317"/>
    <hyperlink ref="M1606" r:id="rId318"/>
    <hyperlink ref="M1643" r:id="rId319"/>
    <hyperlink ref="M1299" r:id="rId320"/>
    <hyperlink ref="M704" r:id="rId321"/>
    <hyperlink ref="M985" r:id="rId322"/>
    <hyperlink ref="M1135" r:id="rId323"/>
    <hyperlink ref="M2131" r:id="rId324"/>
    <hyperlink ref="M616" r:id="rId325"/>
    <hyperlink ref="M1996" r:id="rId326"/>
    <hyperlink ref="M1826" r:id="rId327"/>
    <hyperlink ref="M2349" r:id="rId328"/>
    <hyperlink ref="M411" r:id="rId329"/>
    <hyperlink ref="M1042" r:id="rId330"/>
    <hyperlink ref="M883" r:id="rId331"/>
    <hyperlink ref="M2111" r:id="rId332" display="sofiazuco@hotmail.com"/>
    <hyperlink ref="M1278" r:id="rId333"/>
    <hyperlink ref="M1096" r:id="rId334"/>
    <hyperlink ref="M365" r:id="rId335"/>
    <hyperlink ref="M1860" r:id="rId336"/>
    <hyperlink ref="M2283" r:id="rId337"/>
    <hyperlink ref="M849" r:id="rId338"/>
    <hyperlink ref="M2101" r:id="rId339"/>
    <hyperlink ref="M379" r:id="rId340"/>
    <hyperlink ref="M2241" r:id="rId341"/>
    <hyperlink ref="M1662" r:id="rId342"/>
    <hyperlink ref="M1768" r:id="rId343"/>
    <hyperlink ref="M750" r:id="rId344"/>
    <hyperlink ref="M93" r:id="rId345"/>
    <hyperlink ref="M786" r:id="rId346"/>
    <hyperlink ref="M506" r:id="rId347"/>
    <hyperlink ref="M1511" r:id="rId348"/>
    <hyperlink ref="M1540" r:id="rId349"/>
    <hyperlink ref="M1564" r:id="rId350"/>
    <hyperlink ref="M1415" r:id="rId351"/>
    <hyperlink ref="M496" r:id="rId352"/>
    <hyperlink ref="M1440" r:id="rId353"/>
    <hyperlink ref="M498" r:id="rId354"/>
    <hyperlink ref="M896" r:id="rId355"/>
    <hyperlink ref="M1667" r:id="rId356"/>
    <hyperlink ref="M1786" r:id="rId357"/>
    <hyperlink ref="M1069" r:id="rId358"/>
    <hyperlink ref="M1695" r:id="rId359"/>
    <hyperlink ref="M527" r:id="rId360"/>
    <hyperlink ref="M2040" r:id="rId361"/>
    <hyperlink ref="M234" r:id="rId362"/>
    <hyperlink ref="M2345" r:id="rId363"/>
    <hyperlink ref="M2117" r:id="rId364"/>
    <hyperlink ref="M2077" r:id="rId365"/>
    <hyperlink ref="M2143" r:id="rId366"/>
    <hyperlink ref="M2179" r:id="rId367"/>
    <hyperlink ref="M1532" r:id="rId368"/>
    <hyperlink ref="M868" r:id="rId369"/>
    <hyperlink ref="M120" r:id="rId370"/>
    <hyperlink ref="M1933" r:id="rId371"/>
    <hyperlink ref="M1337" r:id="rId372"/>
    <hyperlink ref="M1888" r:id="rId373"/>
    <hyperlink ref="M622" r:id="rId374"/>
    <hyperlink ref="M1460" r:id="rId375"/>
    <hyperlink ref="M1167" r:id="rId376"/>
    <hyperlink ref="M2130" r:id="rId377"/>
    <hyperlink ref="M2006" r:id="rId378"/>
    <hyperlink ref="M1976" r:id="rId379"/>
    <hyperlink ref="M1110" r:id="rId380" display="fabismunt@gmail.com"/>
    <hyperlink ref="M434" r:id="rId381"/>
    <hyperlink ref="P1018" r:id="rId382"/>
    <hyperlink ref="M1964" r:id="rId383"/>
    <hyperlink ref="M1425" r:id="rId384"/>
    <hyperlink ref="M984" r:id="rId385"/>
    <hyperlink ref="M1117" r:id="rId386"/>
    <hyperlink ref="M518" r:id="rId387"/>
    <hyperlink ref="M946" r:id="rId388"/>
    <hyperlink ref="M1421" r:id="rId389"/>
    <hyperlink ref="M191" r:id="rId390"/>
    <hyperlink ref="M1693" r:id="rId391"/>
    <hyperlink ref="M1600" r:id="rId392"/>
    <hyperlink ref="M1200" r:id="rId393"/>
    <hyperlink ref="M416" r:id="rId394"/>
    <hyperlink ref="M2274" r:id="rId395"/>
    <hyperlink ref="M463" r:id="rId396"/>
    <hyperlink ref="M2104" r:id="rId397"/>
    <hyperlink ref="M349" r:id="rId398"/>
    <hyperlink ref="M695" r:id="rId399"/>
    <hyperlink ref="M2072" r:id="rId400"/>
    <hyperlink ref="M1475" r:id="rId401"/>
    <hyperlink ref="M790" r:id="rId402"/>
    <hyperlink ref="M2276" r:id="rId403"/>
    <hyperlink ref="M1033" r:id="rId404" display="inesribo@fbqf.unt.edu.ar"/>
    <hyperlink ref="M196" r:id="rId405"/>
    <hyperlink ref="M1857" r:id="rId406"/>
    <hyperlink ref="M739" r:id="rId407"/>
    <hyperlink ref="M292" r:id="rId408"/>
    <hyperlink ref="M1061" r:id="rId409"/>
    <hyperlink ref="M437" r:id="rId410"/>
    <hyperlink ref="M948" r:id="rId411"/>
    <hyperlink ref="M1376" r:id="rId412"/>
    <hyperlink ref="M1373" r:id="rId413"/>
    <hyperlink ref="M2076" r:id="rId414"/>
    <hyperlink ref="M982" r:id="rId415"/>
    <hyperlink ref="M1308" r:id="rId416"/>
    <hyperlink ref="M1362" r:id="rId417"/>
    <hyperlink ref="M459" r:id="rId418"/>
    <hyperlink ref="M2290" r:id="rId419"/>
    <hyperlink ref="M1658" r:id="rId420"/>
    <hyperlink ref="M1317" r:id="rId421"/>
    <hyperlink ref="M1255" r:id="rId422"/>
    <hyperlink ref="M1194" r:id="rId423"/>
    <hyperlink ref="M1482" r:id="rId424"/>
    <hyperlink ref="M772" r:id="rId425"/>
    <hyperlink ref="M827" r:id="rId426"/>
    <hyperlink ref="M1764" r:id="rId427"/>
    <hyperlink ref="M1958" r:id="rId428"/>
    <hyperlink ref="M206" r:id="rId429"/>
    <hyperlink ref="M902" r:id="rId430"/>
    <hyperlink ref="M1572" r:id="rId431"/>
    <hyperlink ref="M1817" r:id="rId432"/>
    <hyperlink ref="M232" r:id="rId433"/>
    <hyperlink ref="M1593" r:id="rId434"/>
    <hyperlink ref="M2277" r:id="rId435"/>
    <hyperlink ref="M560" r:id="rId436"/>
    <hyperlink ref="M1988" r:id="rId437"/>
    <hyperlink ref="M1382" r:id="rId438"/>
    <hyperlink ref="M945" r:id="rId439"/>
    <hyperlink ref="M1309" r:id="rId440"/>
    <hyperlink ref="M551" r:id="rId441"/>
    <hyperlink ref="M1541" r:id="rId442"/>
    <hyperlink ref="M2269" r:id="rId443"/>
    <hyperlink ref="M2135" r:id="rId444"/>
    <hyperlink ref="M911" r:id="rId445"/>
    <hyperlink ref="M240" r:id="rId446"/>
    <hyperlink ref="M1077" r:id="rId447"/>
    <hyperlink ref="M1253" r:id="rId448"/>
    <hyperlink ref="M1446" r:id="rId449"/>
    <hyperlink ref="M1379" r:id="rId450"/>
    <hyperlink ref="M687" r:id="rId451"/>
    <hyperlink ref="M1810" r:id="rId452"/>
    <hyperlink ref="M1386" r:id="rId453"/>
    <hyperlink ref="M217" r:id="rId454"/>
    <hyperlink ref="M1819" r:id="rId455"/>
    <hyperlink ref="M1398" r:id="rId456"/>
    <hyperlink ref="M1469" r:id="rId457"/>
    <hyperlink ref="M913" r:id="rId458"/>
    <hyperlink ref="M1305" r:id="rId459"/>
    <hyperlink ref="M1507" r:id="rId460"/>
    <hyperlink ref="M776" r:id="rId461" display="reynoso-acosta@hotmail.com"/>
    <hyperlink ref="M1684" r:id="rId462"/>
    <hyperlink ref="M654" r:id="rId463"/>
    <hyperlink ref="M1723" r:id="rId464"/>
    <hyperlink ref="M565" r:id="rId465"/>
    <hyperlink ref="M1647" r:id="rId466"/>
    <hyperlink ref="M157" r:id="rId467"/>
    <hyperlink ref="M2186" r:id="rId468"/>
    <hyperlink ref="M1636" r:id="rId469"/>
    <hyperlink ref="M2127" r:id="rId470"/>
    <hyperlink ref="M2051" r:id="rId471"/>
    <hyperlink ref="M1156" r:id="rId472"/>
    <hyperlink ref="M754" r:id="rId473"/>
    <hyperlink ref="M1905" r:id="rId474"/>
    <hyperlink ref="M1022" r:id="rId475"/>
    <hyperlink ref="M511" r:id="rId476"/>
    <hyperlink ref="M448" r:id="rId477"/>
    <hyperlink ref="M2138" r:id="rId478"/>
    <hyperlink ref="M414" r:id="rId479"/>
    <hyperlink ref="M1491" r:id="rId480"/>
    <hyperlink ref="M493" r:id="rId481"/>
    <hyperlink ref="M403" r:id="rId482"/>
    <hyperlink ref="M1539" r:id="rId483"/>
    <hyperlink ref="M1275" r:id="rId484"/>
    <hyperlink ref="M1590" r:id="rId485"/>
    <hyperlink ref="M2271" r:id="rId486"/>
    <hyperlink ref="M2209" r:id="rId487"/>
    <hyperlink ref="M1201" r:id="rId488"/>
    <hyperlink ref="M1205" r:id="rId489"/>
    <hyperlink ref="M198" r:id="rId490"/>
    <hyperlink ref="M1238" r:id="rId491"/>
    <hyperlink ref="M1062" r:id="rId492"/>
    <hyperlink ref="M1163" r:id="rId493"/>
    <hyperlink ref="M526" r:id="rId494"/>
    <hyperlink ref="M36:M37" r:id="rId495" display="Dato No Proporcionado"/>
    <hyperlink ref="M2120" r:id="rId496"/>
    <hyperlink ref="M636" r:id="rId497" display="Dato No Proporcionado"/>
    <hyperlink ref="M361" r:id="rId498"/>
    <hyperlink ref="M63:M64" r:id="rId499" display="Dato No Proporcionado"/>
    <hyperlink ref="M710" r:id="rId500"/>
    <hyperlink ref="M2065" r:id="rId501" display="Dato No Proporcionado"/>
    <hyperlink ref="M530" r:id="rId502"/>
    <hyperlink ref="M661" r:id="rId503"/>
    <hyperlink ref="M1360" r:id="rId504"/>
    <hyperlink ref="M229" r:id="rId505"/>
    <hyperlink ref="M1187" r:id="rId506"/>
    <hyperlink ref="M480" r:id="rId507"/>
    <hyperlink ref="M668" r:id="rId508"/>
    <hyperlink ref="M106:M107" r:id="rId509" display="Dato No Proporcionado"/>
    <hyperlink ref="M164" r:id="rId510"/>
    <hyperlink ref="M589" r:id="rId511"/>
    <hyperlink ref="M554" r:id="rId512"/>
    <hyperlink ref="M1095" r:id="rId513"/>
    <hyperlink ref="M1923" r:id="rId514"/>
    <hyperlink ref="M1824" r:id="rId515"/>
    <hyperlink ref="M363" r:id="rId516"/>
    <hyperlink ref="M179" r:id="rId517"/>
    <hyperlink ref="M177" r:id="rId518"/>
    <hyperlink ref="M159:M161" r:id="rId519" display="Dato No Proporcionado"/>
    <hyperlink ref="M2137" r:id="rId520"/>
    <hyperlink ref="M1949" r:id="rId521"/>
    <hyperlink ref="M877" r:id="rId522"/>
    <hyperlink ref="M900" r:id="rId523"/>
    <hyperlink ref="M186:M187" r:id="rId524" display="Dato No Proporcionado"/>
    <hyperlink ref="M2342" r:id="rId525"/>
    <hyperlink ref="M2213" r:id="rId526"/>
    <hyperlink ref="M201:M202" r:id="rId527" display="Dato No Proporcionado"/>
    <hyperlink ref="M869" r:id="rId528"/>
    <hyperlink ref="M1557" r:id="rId529"/>
    <hyperlink ref="M2260" r:id="rId530"/>
    <hyperlink ref="M1104" r:id="rId531"/>
    <hyperlink ref="M214:M215" r:id="rId532" display="Dato No Proporcionado"/>
    <hyperlink ref="M104" r:id="rId533"/>
    <hyperlink ref="M339" r:id="rId534"/>
    <hyperlink ref="M613" r:id="rId535"/>
    <hyperlink ref="M1098" r:id="rId536"/>
    <hyperlink ref="M233:M235" r:id="rId537" display="Dato No Proporcionado"/>
    <hyperlink ref="M686" r:id="rId538"/>
    <hyperlink ref="M171" r:id="rId539"/>
    <hyperlink ref="M254:M255" r:id="rId540" display="Dato No Proporcionado"/>
    <hyperlink ref="M48" r:id="rId541"/>
    <hyperlink ref="M262:M263" r:id="rId542" display="automotoresunt@hotmail.com"/>
    <hyperlink ref="M268:M269" r:id="rId543" display="Dato No Proporcionado"/>
    <hyperlink ref="M1800" r:id="rId544"/>
    <hyperlink ref="M2128" r:id="rId545"/>
    <hyperlink ref="M280:M281" r:id="rId546" display="Dato No Proporcionado"/>
    <hyperlink ref="M2306" r:id="rId547"/>
    <hyperlink ref="M246" r:id="rId548"/>
    <hyperlink ref="M1089" r:id="rId549"/>
    <hyperlink ref="M94" r:id="rId550"/>
    <hyperlink ref="M369" r:id="rId551"/>
    <hyperlink ref="M319:M325" r:id="rId552" display="Dato No Proporcionado"/>
    <hyperlink ref="M803" r:id="rId553"/>
    <hyperlink ref="M583" r:id="rId554"/>
    <hyperlink ref="M351:M352" r:id="rId555" display="Dato No Proporcionado"/>
    <hyperlink ref="M356:M357" r:id="rId556" display="Dato No Proporcionado"/>
    <hyperlink ref="M1014" r:id="rId557"/>
    <hyperlink ref="M1865" r:id="rId558"/>
    <hyperlink ref="M821" r:id="rId559"/>
    <hyperlink ref="M1333" r:id="rId560"/>
    <hyperlink ref="M262" r:id="rId561"/>
    <hyperlink ref="M167" r:id="rId562"/>
    <hyperlink ref="M418:M420" r:id="rId563" display="Dato No Proporcionado"/>
    <hyperlink ref="M429:M430" r:id="rId564" display="Dato No Proporcionado"/>
    <hyperlink ref="M423" r:id="rId565"/>
    <hyperlink ref="M468" r:id="rId566"/>
    <hyperlink ref="M288" r:id="rId567"/>
    <hyperlink ref="M62" r:id="rId568"/>
    <hyperlink ref="M766" r:id="rId569"/>
    <hyperlink ref="M70" r:id="rId570"/>
    <hyperlink ref="M219" r:id="rId571"/>
    <hyperlink ref="M63" r:id="rId572"/>
    <hyperlink ref="M478:M479" r:id="rId573" display="Dato No Proporcionado"/>
    <hyperlink ref="M337" r:id="rId574"/>
    <hyperlink ref="M1290" r:id="rId575"/>
    <hyperlink ref="M486:M487" r:id="rId576" display="Dato No Proporcionado"/>
    <hyperlink ref="M993" r:id="rId577"/>
    <hyperlink ref="M1226" r:id="rId578"/>
    <hyperlink ref="M805" r:id="rId579"/>
    <hyperlink ref="M507:M508" r:id="rId580" display="Dato No Proporcionado"/>
    <hyperlink ref="M412" r:id="rId581"/>
    <hyperlink ref="M517" r:id="rId582" display="Dato No Proporcionado"/>
    <hyperlink ref="M531" r:id="rId583"/>
    <hyperlink ref="M370" r:id="rId584"/>
    <hyperlink ref="M834" r:id="rId585"/>
    <hyperlink ref="M1697" r:id="rId586"/>
    <hyperlink ref="M71" r:id="rId587"/>
    <hyperlink ref="M541:M542" r:id="rId588" display="Dato No Proporcionado"/>
    <hyperlink ref="M1506" r:id="rId589"/>
    <hyperlink ref="M1158" r:id="rId590"/>
    <hyperlink ref="M706" r:id="rId591"/>
    <hyperlink ref="M571:M572" r:id="rId592" display="Dato No Proporcionado"/>
    <hyperlink ref="M212" r:id="rId593"/>
    <hyperlink ref="M592:M593" r:id="rId594" display="Dato No Proporcionado"/>
    <hyperlink ref="M612:M613" r:id="rId595" display="Dato No Proporcionado"/>
    <hyperlink ref="M616:M617" r:id="rId596" display="Dato No Proporcionado"/>
    <hyperlink ref="M211" r:id="rId597"/>
    <hyperlink ref="M638:M639" r:id="rId598" display="Dato No Proporcionado"/>
    <hyperlink ref="M1251" r:id="rId599"/>
    <hyperlink ref="M898" r:id="rId600"/>
    <hyperlink ref="M1282" r:id="rId601"/>
    <hyperlink ref="M1228" r:id="rId602"/>
    <hyperlink ref="M34" r:id="rId603"/>
    <hyperlink ref="M1504" r:id="rId604"/>
    <hyperlink ref="M633" r:id="rId605"/>
    <hyperlink ref="M1887" r:id="rId606"/>
    <hyperlink ref="M1461" r:id="rId607"/>
    <hyperlink ref="M765" r:id="rId608"/>
    <hyperlink ref="M2282" r:id="rId609"/>
    <hyperlink ref="M200" r:id="rId610"/>
    <hyperlink ref="M2314" r:id="rId611"/>
    <hyperlink ref="M329" r:id="rId612"/>
    <hyperlink ref="M688" r:id="rId613"/>
    <hyperlink ref="M1301" r:id="rId614"/>
    <hyperlink ref="M1545" r:id="rId615"/>
    <hyperlink ref="M244" r:id="rId616"/>
    <hyperlink ref="M678" r:id="rId617"/>
    <hyperlink ref="M749:M750" r:id="rId618" display="Dato No Proporcionado"/>
    <hyperlink ref="M1155" r:id="rId619"/>
    <hyperlink ref="M2021" r:id="rId620"/>
    <hyperlink ref="M161" r:id="rId621"/>
    <hyperlink ref="M1414" r:id="rId622"/>
    <hyperlink ref="M225" r:id="rId623"/>
    <hyperlink ref="M125" r:id="rId624"/>
    <hyperlink ref="M628" r:id="rId625"/>
    <hyperlink ref="M808:M809" r:id="rId626" display="Dato No Proporcionado"/>
    <hyperlink ref="M18" r:id="rId627"/>
    <hyperlink ref="M41" r:id="rId628"/>
    <hyperlink ref="M819:M820" r:id="rId629" display="Dato No Proporcionado"/>
    <hyperlink ref="M146" r:id="rId630"/>
    <hyperlink ref="M458" r:id="rId631"/>
    <hyperlink ref="M1444" r:id="rId632"/>
    <hyperlink ref="M904" r:id="rId633"/>
    <hyperlink ref="M65" r:id="rId634"/>
    <hyperlink ref="M860:M862" r:id="rId635" display="Dato No Proporcionado"/>
    <hyperlink ref="M220" r:id="rId636"/>
    <hyperlink ref="M1254" r:id="rId637"/>
    <hyperlink ref="M875:M876" r:id="rId638" display="Dato No Proporcionado"/>
    <hyperlink ref="M889:M891" r:id="rId639" display="Dato No Proporcionado"/>
    <hyperlink ref="M1430" r:id="rId640"/>
    <hyperlink ref="M308" r:id="rId641"/>
    <hyperlink ref="M721" r:id="rId642"/>
    <hyperlink ref="M1937" r:id="rId643"/>
    <hyperlink ref="M58" r:id="rId644"/>
    <hyperlink ref="M944:M945" r:id="rId645" display="Dato No Proporcionado"/>
    <hyperlink ref="M426" r:id="rId646"/>
    <hyperlink ref="M43" r:id="rId647"/>
    <hyperlink ref="M843" r:id="rId648"/>
    <hyperlink ref="M456" r:id="rId649"/>
    <hyperlink ref="M975:M978" r:id="rId650" display="Dato No Proporcionado"/>
    <hyperlink ref="M981:M983" r:id="rId651" display="Dato No Proporcionado"/>
    <hyperlink ref="M100" r:id="rId652"/>
    <hyperlink ref="M1300" r:id="rId653"/>
    <hyperlink ref="M160" r:id="rId654"/>
    <hyperlink ref="M577" r:id="rId655"/>
    <hyperlink ref="M1745" r:id="rId656"/>
    <hyperlink ref="M224" r:id="rId657"/>
    <hyperlink ref="M19" r:id="rId658"/>
    <hyperlink ref="M1956" r:id="rId659"/>
    <hyperlink ref="M1046:M1047" r:id="rId660" display="Dato No Proporcionado"/>
    <hyperlink ref="M1050:M1051" r:id="rId661" display="Dato No Proporcionado"/>
    <hyperlink ref="M1054:M1055" r:id="rId662" display="Dato No Proporcionado"/>
    <hyperlink ref="M1350" r:id="rId663"/>
    <hyperlink ref="M1675" r:id="rId664" display="Dato No Proporcionado"/>
    <hyperlink ref="M1027" r:id="rId665"/>
    <hyperlink ref="M1080:M1081" r:id="rId666" display="Dato No Proporcionado"/>
    <hyperlink ref="M499" r:id="rId667"/>
    <hyperlink ref="M390" r:id="rId668"/>
    <hyperlink ref="M1295" r:id="rId669"/>
    <hyperlink ref="M1457" r:id="rId670"/>
    <hyperlink ref="M2183" r:id="rId671"/>
    <hyperlink ref="M1963" r:id="rId672"/>
    <hyperlink ref="M777" r:id="rId673"/>
    <hyperlink ref="M875" r:id="rId674"/>
    <hyperlink ref="M1134" r:id="rId675"/>
    <hyperlink ref="M159" r:id="rId676"/>
    <hyperlink ref="M832" r:id="rId677"/>
    <hyperlink ref="M1111" r:id="rId678"/>
    <hyperlink ref="M1175:M1177" r:id="rId679" display="Dato No Proporcionado"/>
    <hyperlink ref="M88" r:id="rId680"/>
    <hyperlink ref="M1186:M1187" r:id="rId681" display="Dato No Proporcionado"/>
    <hyperlink ref="M729" r:id="rId682"/>
    <hyperlink ref="M476" r:id="rId683"/>
    <hyperlink ref="M1206:M1207" r:id="rId684" display="Dato No Proporcionado"/>
    <hyperlink ref="M222" r:id="rId685"/>
    <hyperlink ref="M882" r:id="rId686"/>
    <hyperlink ref="M863" r:id="rId687"/>
    <hyperlink ref="M1634" r:id="rId688"/>
    <hyperlink ref="M481" r:id="rId689"/>
    <hyperlink ref="M1242" r:id="rId690" display="Dato No Proporcionado"/>
    <hyperlink ref="M366" r:id="rId691"/>
    <hyperlink ref="M357" r:id="rId692"/>
    <hyperlink ref="M184" r:id="rId693"/>
    <hyperlink ref="M969" r:id="rId694" display="Dato No Proporcionado"/>
    <hyperlink ref="M80" r:id="rId695"/>
    <hyperlink ref="M1268:M1269" r:id="rId696" display="Dato No Proporcionado"/>
    <hyperlink ref="M1275:M1276" r:id="rId697" display="Dato No Proporcionado"/>
    <hyperlink ref="M140" r:id="rId698"/>
    <hyperlink ref="M142" r:id="rId699"/>
    <hyperlink ref="M1301:M1302" r:id="rId700" display="Dato No Proporcionado"/>
    <hyperlink ref="M475" r:id="rId701"/>
    <hyperlink ref="M1309:M1310" r:id="rId702" display="Dato No Proporcionado"/>
    <hyperlink ref="M1397" r:id="rId703"/>
    <hyperlink ref="M663" r:id="rId704"/>
    <hyperlink ref="M1266" r:id="rId705"/>
    <hyperlink ref="M114" r:id="rId706"/>
    <hyperlink ref="M305" r:id="rId707"/>
    <hyperlink ref="M399" r:id="rId708"/>
    <hyperlink ref="M634" r:id="rId709"/>
    <hyperlink ref="M2206" r:id="rId710"/>
    <hyperlink ref="M990" r:id="rId711"/>
    <hyperlink ref="M115" r:id="rId712"/>
    <hyperlink ref="M1360:M1362" r:id="rId713" display="Dato No Proporcionado"/>
    <hyperlink ref="M1188" r:id="rId714"/>
    <hyperlink ref="M345" r:id="rId715"/>
    <hyperlink ref="M1379:M1382" r:id="rId716" display="Dato No Proporcionado"/>
    <hyperlink ref="M112" r:id="rId717"/>
    <hyperlink ref="M740" r:id="rId718"/>
    <hyperlink ref="M1149" r:id="rId719"/>
    <hyperlink ref="M1367" r:id="rId720"/>
    <hyperlink ref="M1544" r:id="rId721"/>
    <hyperlink ref="M1398:M1399" r:id="rId722" display="Dato No Proporcionado"/>
    <hyperlink ref="M1840" r:id="rId723"/>
    <hyperlink ref="M625" r:id="rId724"/>
    <hyperlink ref="M1415:M1417" r:id="rId725" display="Dato No Proporcionado"/>
    <hyperlink ref="M824" r:id="rId726"/>
    <hyperlink ref="M1357" r:id="rId727"/>
    <hyperlink ref="M438" r:id="rId728"/>
    <hyperlink ref="M87" r:id="rId729"/>
    <hyperlink ref="M788" r:id="rId730"/>
    <hyperlink ref="M1897" r:id="rId731"/>
    <hyperlink ref="M1451:M1452" r:id="rId732" display="Dato No Proporcionado"/>
    <hyperlink ref="M1455:M1456" r:id="rId733" display="Dato No Proporcionado"/>
    <hyperlink ref="M1336" r:id="rId734"/>
    <hyperlink ref="M1247" r:id="rId735"/>
    <hyperlink ref="M2215" r:id="rId736"/>
    <hyperlink ref="M2046" r:id="rId737"/>
    <hyperlink ref="M1680" r:id="rId738"/>
    <hyperlink ref="M1477:M1478" r:id="rId739" display="Dato No Proporcionado"/>
    <hyperlink ref="M2013" r:id="rId740"/>
    <hyperlink ref="M964" r:id="rId741"/>
    <hyperlink ref="M1859" r:id="rId742"/>
    <hyperlink ref="M1142" r:id="rId743"/>
    <hyperlink ref="M1703" r:id="rId744"/>
    <hyperlink ref="M126" r:id="rId745"/>
    <hyperlink ref="M162" r:id="rId746"/>
    <hyperlink ref="M1441" r:id="rId747"/>
    <hyperlink ref="M1645" r:id="rId748" display="Dato No Proporcionado"/>
    <hyperlink ref="M1533:M1534" r:id="rId749" display="Dato No Proporcionado"/>
    <hyperlink ref="M2341" r:id="rId750"/>
    <hyperlink ref="M215" r:id="rId751"/>
    <hyperlink ref="M1046" r:id="rId752"/>
    <hyperlink ref="M1526" r:id="rId753"/>
    <hyperlink ref="M1222" r:id="rId754"/>
    <hyperlink ref="M287" r:id="rId755"/>
    <hyperlink ref="M149" r:id="rId756"/>
    <hyperlink ref="M163" r:id="rId757"/>
    <hyperlink ref="M1597:M1598" r:id="rId758" display="Dato No Proporcionado"/>
    <hyperlink ref="M358" r:id="rId759"/>
    <hyperlink ref="M1178" r:id="rId760"/>
    <hyperlink ref="M9" r:id="rId761"/>
    <hyperlink ref="M1623:M1624" r:id="rId762" display="Dato No Proporcionado"/>
    <hyperlink ref="M938" r:id="rId763"/>
    <hyperlink ref="M1629:M1632" r:id="rId764" display="Dato No Proporcionado"/>
    <hyperlink ref="M513" r:id="rId765"/>
    <hyperlink ref="M2361" r:id="rId766"/>
    <hyperlink ref="M1702" r:id="rId767" display="Dato No Proporcionado"/>
    <hyperlink ref="M471" r:id="rId768"/>
    <hyperlink ref="M842" r:id="rId769"/>
    <hyperlink ref="M1807" r:id="rId770"/>
    <hyperlink ref="M1692" r:id="rId771" display="Dato No Proporcionado"/>
    <hyperlink ref="M1075" r:id="rId772"/>
    <hyperlink ref="M1707:M1708" r:id="rId773" display="Dato No Proporcionado"/>
    <hyperlink ref="M1989" r:id="rId774"/>
    <hyperlink ref="M748" r:id="rId775"/>
    <hyperlink ref="M50" r:id="rId776"/>
    <hyperlink ref="M1028" r:id="rId777"/>
    <hyperlink ref="M264" r:id="rId778"/>
    <hyperlink ref="M430" r:id="rId779"/>
    <hyperlink ref="M1385" r:id="rId780"/>
    <hyperlink ref="M188" r:id="rId781"/>
    <hyperlink ref="M192" r:id="rId782"/>
    <hyperlink ref="M2177" r:id="rId783"/>
    <hyperlink ref="M1553" r:id="rId784"/>
    <hyperlink ref="M1801:M1802" r:id="rId785" display="Dato No Proporcionado"/>
    <hyperlink ref="M1815:M1816" r:id="rId786" display="Dato No Proporcionado"/>
    <hyperlink ref="M1648" r:id="rId787"/>
    <hyperlink ref="M156" r:id="rId788"/>
    <hyperlink ref="M570" r:id="rId789"/>
    <hyperlink ref="M1839:M1841" r:id="rId790" display="Dato No Proporcionado"/>
    <hyperlink ref="M1365" r:id="rId791"/>
    <hyperlink ref="M293" r:id="rId792"/>
    <hyperlink ref="M850" r:id="rId793"/>
    <hyperlink ref="M658" r:id="rId794"/>
    <hyperlink ref="M1864:M1865" r:id="rId795" display="Dato No Proporcionado"/>
    <hyperlink ref="M1595" r:id="rId796"/>
    <hyperlink ref="M31" r:id="rId797"/>
    <hyperlink ref="M201" r:id="rId798"/>
    <hyperlink ref="M1868" r:id="rId799"/>
    <hyperlink ref="M420" r:id="rId800"/>
    <hyperlink ref="M1941:M1943" r:id="rId801" display="Dato No Proporcionado"/>
    <hyperlink ref="M2237" r:id="rId802"/>
    <hyperlink ref="M811" r:id="rId803"/>
    <hyperlink ref="M1505" r:id="rId804"/>
    <hyperlink ref="M580" r:id="rId805"/>
    <hyperlink ref="M942" r:id="rId806"/>
    <hyperlink ref="M1882" r:id="rId807"/>
    <hyperlink ref="M998" r:id="rId808"/>
    <hyperlink ref="M876" r:id="rId809"/>
    <hyperlink ref="M741" r:id="rId810"/>
    <hyperlink ref="M997" r:id="rId811"/>
    <hyperlink ref="M1304" r:id="rId812"/>
    <hyperlink ref="M52" r:id="rId813"/>
    <hyperlink ref="M591" r:id="rId814"/>
    <hyperlink ref="M927" r:id="rId815"/>
    <hyperlink ref="M5" r:id="rId816"/>
    <hyperlink ref="M1742" r:id="rId817"/>
    <hyperlink ref="M42" r:id="rId818"/>
    <hyperlink ref="M1713" r:id="rId819"/>
    <hyperlink ref="M334" r:id="rId820"/>
    <hyperlink ref="M807" r:id="rId821"/>
    <hyperlink ref="M1154" r:id="rId822"/>
    <hyperlink ref="M621" r:id="rId823"/>
    <hyperlink ref="M1060" r:id="rId824"/>
    <hyperlink ref="M85" r:id="rId825"/>
    <hyperlink ref="M717" r:id="rId826"/>
    <hyperlink ref="M2109" r:id="rId827"/>
    <hyperlink ref="M2039" r:id="rId828"/>
    <hyperlink ref="M839" r:id="rId829"/>
    <hyperlink ref="M1848" r:id="rId830"/>
    <hyperlink ref="M838" r:id="rId831"/>
    <hyperlink ref="M1057" r:id="rId832"/>
    <hyperlink ref="M864" r:id="rId833"/>
    <hyperlink ref="M1310" r:id="rId834"/>
    <hyperlink ref="M314" r:id="rId835"/>
    <hyperlink ref="M698" r:id="rId836"/>
    <hyperlink ref="M549" r:id="rId837"/>
    <hyperlink ref="M1101" r:id="rId838"/>
    <hyperlink ref="M488" r:id="rId839"/>
    <hyperlink ref="M427" r:id="rId840"/>
    <hyperlink ref="M992" r:id="rId841"/>
    <hyperlink ref="M719" r:id="rId842"/>
    <hyperlink ref="M24" r:id="rId843"/>
    <hyperlink ref="M2012" r:id="rId844"/>
    <hyperlink ref="M781" r:id="rId845"/>
    <hyperlink ref="M846" r:id="rId846"/>
    <hyperlink ref="M332" r:id="rId847"/>
    <hyperlink ref="M1936" r:id="rId848"/>
    <hyperlink ref="M1535" r:id="rId849"/>
    <hyperlink ref="M223" r:id="rId850"/>
    <hyperlink ref="M2317" r:id="rId851"/>
    <hyperlink ref="M2093" r:id="rId852"/>
    <hyperlink ref="M1654" r:id="rId853"/>
    <hyperlink ref="M2132" r:id="rId854"/>
    <hyperlink ref="M82" r:id="rId855"/>
    <hyperlink ref="M503" r:id="rId856"/>
    <hyperlink ref="M1479" r:id="rId857"/>
    <hyperlink ref="M596" r:id="rId858"/>
    <hyperlink ref="M2084" r:id="rId859"/>
    <hyperlink ref="M245" r:id="rId860"/>
    <hyperlink ref="M674" r:id="rId861"/>
    <hyperlink ref="M1962" r:id="rId862"/>
    <hyperlink ref="M1785" r:id="rId863"/>
    <hyperlink ref="M494" r:id="rId864"/>
    <hyperlink ref="M1871" r:id="rId865"/>
    <hyperlink ref="M1828" r:id="rId866"/>
    <hyperlink ref="M1204" r:id="rId867"/>
    <hyperlink ref="M440" r:id="rId868"/>
    <hyperlink ref="M444" r:id="rId869"/>
    <hyperlink ref="M755" r:id="rId870"/>
    <hyperlink ref="M1450" r:id="rId871"/>
    <hyperlink ref="M301" r:id="rId872"/>
    <hyperlink ref="M344" r:id="rId873"/>
    <hyperlink ref="M730" r:id="rId874"/>
    <hyperlink ref="M180" r:id="rId875"/>
    <hyperlink ref="M1478" r:id="rId876"/>
    <hyperlink ref="M450" r:id="rId877"/>
    <hyperlink ref="M1928" r:id="rId878"/>
    <hyperlink ref="M2359" r:id="rId879"/>
    <hyperlink ref="M307" r:id="rId880"/>
    <hyperlink ref="M1854" r:id="rId881"/>
    <hyperlink ref="M203" r:id="rId882"/>
    <hyperlink ref="M1147" r:id="rId883"/>
    <hyperlink ref="M1087" r:id="rId884"/>
    <hyperlink ref="M2020" r:id="rId885"/>
    <hyperlink ref="M152" r:id="rId886"/>
    <hyperlink ref="M966" r:id="rId887"/>
    <hyperlink ref="M1591" r:id="rId888"/>
    <hyperlink ref="M1130" r:id="rId889"/>
    <hyperlink ref="M1993" r:id="rId890"/>
    <hyperlink ref="M1769" r:id="rId891"/>
    <hyperlink ref="M1856" r:id="rId892"/>
    <hyperlink ref="M639" r:id="rId893"/>
    <hyperlink ref="M119" r:id="rId894"/>
    <hyperlink ref="M2086" r:id="rId895"/>
    <hyperlink ref="M274" r:id="rId896"/>
    <hyperlink ref="M1738" r:id="rId897"/>
    <hyperlink ref="M2236" r:id="rId898"/>
    <hyperlink ref="M1754" r:id="rId899"/>
    <hyperlink ref="M1656" r:id="rId900"/>
    <hyperlink ref="M1743" r:id="rId901"/>
    <hyperlink ref="M773" r:id="rId902"/>
    <hyperlink ref="M1214" r:id="rId903"/>
    <hyperlink ref="M354" r:id="rId904"/>
    <hyperlink ref="M703" r:id="rId905"/>
    <hyperlink ref="M377" r:id="rId906"/>
    <hyperlink ref="M60" r:id="rId907"/>
    <hyperlink ref="M1790" r:id="rId908"/>
    <hyperlink ref="M1502" r:id="rId909"/>
    <hyperlink ref="M696" r:id="rId910"/>
    <hyperlink ref="M51" r:id="rId911"/>
    <hyperlink ref="M1435" r:id="rId912"/>
    <hyperlink ref="M1374" r:id="rId913"/>
    <hyperlink ref="M660" r:id="rId914"/>
    <hyperlink ref="M1886" r:id="rId915"/>
    <hyperlink ref="M692" r:id="rId916"/>
    <hyperlink ref="M585" r:id="rId917"/>
    <hyperlink ref="M1931" r:id="rId918"/>
    <hyperlink ref="M1730" r:id="rId919"/>
    <hyperlink ref="M2019" r:id="rId920"/>
    <hyperlink ref="M1168" r:id="rId921"/>
    <hyperlink ref="M933" r:id="rId922"/>
    <hyperlink ref="M851" r:id="rId923"/>
    <hyperlink ref="M675" r:id="rId924"/>
    <hyperlink ref="M603" r:id="rId925"/>
    <hyperlink ref="M2161" r:id="rId926"/>
    <hyperlink ref="M241" r:id="rId927"/>
    <hyperlink ref="M2303" r:id="rId928"/>
    <hyperlink ref="M135" r:id="rId929"/>
    <hyperlink ref="M1311" r:id="rId930"/>
    <hyperlink ref="M961" r:id="rId931"/>
    <hyperlink ref="M1947" r:id="rId932"/>
    <hyperlink ref="M348" r:id="rId933"/>
    <hyperlink ref="M1813" r:id="rId934"/>
    <hyperlink ref="M1409" r:id="rId935"/>
    <hyperlink ref="M1920" r:id="rId936"/>
    <hyperlink ref="M158" r:id="rId937"/>
    <hyperlink ref="M804" r:id="rId938"/>
    <hyperlink ref="M630" r:id="rId939"/>
    <hyperlink ref="M261" r:id="rId940"/>
    <hyperlink ref="M485" r:id="rId941"/>
    <hyperlink ref="M1780" r:id="rId942"/>
    <hyperlink ref="M205" r:id="rId943"/>
    <hyperlink ref="M1485" r:id="rId944"/>
    <hyperlink ref="M1133" r:id="rId945"/>
    <hyperlink ref="M2107" r:id="rId946"/>
    <hyperlink ref="M528" r:id="rId947"/>
    <hyperlink ref="M643" r:id="rId948"/>
    <hyperlink ref="M837" r:id="rId949"/>
    <hyperlink ref="M1132" r:id="rId950"/>
    <hyperlink ref="M602" r:id="rId951"/>
    <hyperlink ref="M1985" r:id="rId952"/>
    <hyperlink ref="M1198" r:id="rId953"/>
    <hyperlink ref="M1750" r:id="rId954"/>
    <hyperlink ref="M68" r:id="rId955"/>
    <hyperlink ref="M956" r:id="rId956"/>
    <hyperlink ref="M1566" r:id="rId957"/>
    <hyperlink ref="M2164" r:id="rId958"/>
    <hyperlink ref="M2163" r:id="rId959"/>
    <hyperlink ref="M1650" r:id="rId960"/>
    <hyperlink ref="M1408" r:id="rId961"/>
    <hyperlink ref="M1581" r:id="rId962"/>
    <hyperlink ref="M768" r:id="rId963"/>
    <hyperlink ref="M49" r:id="rId964"/>
    <hyperlink ref="M646" r:id="rId965"/>
    <hyperlink ref="M1608" r:id="rId966"/>
    <hyperlink ref="M1922" r:id="rId967"/>
    <hyperlink ref="M833" r:id="rId968"/>
    <hyperlink ref="M303" r:id="rId969"/>
    <hyperlink ref="M1671" r:id="rId970"/>
    <hyperlink ref="M202" r:id="rId971"/>
    <hyperlink ref="M1987" r:id="rId972"/>
    <hyperlink ref="M1911" r:id="rId973"/>
    <hyperlink ref="M949" r:id="rId974"/>
    <hyperlink ref="M1604" r:id="rId975"/>
    <hyperlink ref="M1579" r:id="rId976"/>
    <hyperlink ref="M1619" r:id="rId977"/>
    <hyperlink ref="M1578" r:id="rId978"/>
    <hyperlink ref="M1246" r:id="rId979"/>
    <hyperlink ref="M1404" r:id="rId980"/>
    <hyperlink ref="M413" r:id="rId981"/>
    <hyperlink ref="M295" r:id="rId982"/>
    <hyperlink ref="M2045" r:id="rId983"/>
    <hyperlink ref="M2167" r:id="rId984"/>
    <hyperlink ref="M1265" r:id="rId985"/>
    <hyperlink ref="M1447" r:id="rId986"/>
    <hyperlink ref="M1283" r:id="rId987"/>
    <hyperlink ref="M1618" r:id="rId988"/>
    <hyperlink ref="M566" r:id="rId989"/>
    <hyperlink ref="M516" r:id="rId990"/>
    <hyperlink ref="M865" r:id="rId991"/>
    <hyperlink ref="M249" r:id="rId992"/>
    <hyperlink ref="M1682" r:id="rId993"/>
    <hyperlink ref="M66" r:id="rId994"/>
    <hyperlink ref="M74" r:id="rId995"/>
    <hyperlink ref="M47" r:id="rId996"/>
    <hyperlink ref="M1850" r:id="rId997"/>
    <hyperlink ref="M384" r:id="rId998"/>
    <hyperlink ref="M273" r:id="rId999"/>
    <hyperlink ref="M1726" r:id="rId1000"/>
    <hyperlink ref="M2057" r:id="rId1001"/>
    <hyperlink ref="M683" r:id="rId1002"/>
    <hyperlink ref="M35" r:id="rId1003"/>
    <hyperlink ref="M1361" r:id="rId1004"/>
    <hyperlink ref="M473" r:id="rId1005"/>
    <hyperlink ref="M489" r:id="rId1006"/>
    <hyperlink ref="M478" r:id="rId1007"/>
    <hyperlink ref="M1668" r:id="rId1008"/>
    <hyperlink ref="M2064" r:id="rId1009"/>
    <hyperlink ref="M1998" r:id="rId1010"/>
    <hyperlink ref="M889" r:id="rId1011"/>
    <hyperlink ref="M455" r:id="rId1012"/>
    <hyperlink ref="M2022" r:id="rId1013"/>
    <hyperlink ref="M272" r:id="rId1014"/>
    <hyperlink ref="M1583" r:id="rId1015"/>
    <hyperlink ref="M637" r:id="rId1016"/>
    <hyperlink ref="M798" r:id="rId1017"/>
    <hyperlink ref="M298" r:id="rId1018"/>
    <hyperlink ref="M1213" r:id="rId1019"/>
    <hyperlink ref="M1746" r:id="rId1020"/>
    <hyperlink ref="M1822" r:id="rId1021"/>
    <hyperlink ref="M1724" r:id="rId1022"/>
    <hyperlink ref="M735" r:id="rId1023"/>
    <hyperlink ref="M1686" r:id="rId1024"/>
    <hyperlink ref="M150" r:id="rId1025"/>
    <hyperlink ref="M251" r:id="rId1026"/>
    <hyperlink ref="M1420" r:id="rId1027"/>
    <hyperlink ref="M373" r:id="rId1028"/>
    <hyperlink ref="M2030" r:id="rId1029"/>
    <hyperlink ref="M545" r:id="rId1030"/>
    <hyperlink ref="M130" r:id="rId1031"/>
    <hyperlink ref="M862" r:id="rId1032"/>
    <hyperlink ref="M133" r:id="rId1033"/>
    <hyperlink ref="M407" r:id="rId1034"/>
    <hyperlink ref="M815" r:id="rId1035"/>
    <hyperlink ref="M1700" r:id="rId1036"/>
    <hyperlink ref="M1832" r:id="rId1037"/>
    <hyperlink ref="M181" r:id="rId1038"/>
    <hyperlink ref="M1528" r:id="rId1039"/>
    <hyperlink ref="M2151" r:id="rId1040"/>
    <hyperlink ref="M1735" r:id="rId1041"/>
    <hyperlink ref="M175" r:id="rId1042"/>
    <hyperlink ref="M1081" r:id="rId1043" display="irelai@hotmail.com"/>
    <hyperlink ref="M1881" r:id="rId1044"/>
    <hyperlink ref="M1277" r:id="rId1045"/>
    <hyperlink ref="M297" r:id="rId1046"/>
    <hyperlink ref="M1093" r:id="rId1047"/>
    <hyperlink ref="M1776" r:id="rId1048"/>
    <hyperlink ref="M267" r:id="rId1049"/>
    <hyperlink ref="M502" r:id="rId1050"/>
    <hyperlink ref="M271" r:id="rId1051"/>
    <hyperlink ref="M1981" r:id="rId1052"/>
    <hyperlink ref="M392" r:id="rId1053"/>
    <hyperlink ref="M1218" r:id="rId1054"/>
    <hyperlink ref="M46" r:id="rId1055"/>
    <hyperlink ref="M1489" r:id="rId1056"/>
    <hyperlink ref="M1839" r:id="rId1057"/>
    <hyperlink ref="M2055" r:id="rId1058"/>
    <hyperlink ref="M1515" r:id="rId1059"/>
    <hyperlink ref="M155" r:id="rId1060"/>
    <hyperlink ref="M1463" r:id="rId1061"/>
    <hyperlink ref="M1597" r:id="rId1062"/>
    <hyperlink ref="M563" r:id="rId1063"/>
    <hyperlink ref="M207" r:id="rId1064"/>
    <hyperlink ref="M823" r:id="rId1065"/>
    <hyperlink ref="M571" r:id="rId1066"/>
    <hyperlink ref="M523" r:id="rId1067"/>
    <hyperlink ref="M1779" r:id="rId1068"/>
    <hyperlink ref="M81" r:id="rId1069"/>
    <hyperlink ref="M237" r:id="rId1070"/>
    <hyperlink ref="M2160" r:id="rId1071"/>
    <hyperlink ref="M1038" r:id="rId1072"/>
    <hyperlink ref="M649" r:id="rId1073"/>
    <hyperlink ref="M1244" r:id="rId1074"/>
    <hyperlink ref="M1903" r:id="rId1075"/>
    <hyperlink ref="M1272" r:id="rId1076"/>
    <hyperlink ref="M763" r:id="rId1077"/>
    <hyperlink ref="M1318" r:id="rId1078"/>
    <hyperlink ref="M1292" r:id="rId1079"/>
    <hyperlink ref="M431" r:id="rId1080"/>
    <hyperlink ref="M1141" r:id="rId1081"/>
    <hyperlink ref="M2081" r:id="rId1082"/>
    <hyperlink ref="M1752" r:id="rId1083"/>
    <hyperlink ref="M108" r:id="rId1084"/>
    <hyperlink ref="M322" r:id="rId1085"/>
    <hyperlink ref="M855" r:id="rId1086"/>
    <hyperlink ref="M1753" r:id="rId1087"/>
    <hyperlink ref="M483" r:id="rId1088"/>
    <hyperlink ref="M424" r:id="rId1089"/>
    <hyperlink ref="M1099" r:id="rId1090"/>
    <hyperlink ref="M1183" r:id="rId1091"/>
    <hyperlink ref="M727" r:id="rId1092"/>
    <hyperlink ref="M1091" r:id="rId1093"/>
    <hyperlink ref="M26" r:id="rId1094"/>
    <hyperlink ref="M1389" r:id="rId1095"/>
    <hyperlink ref="M1256" r:id="rId1096"/>
    <hyperlink ref="M1008" r:id="rId1097"/>
    <hyperlink ref="M614" r:id="rId1098"/>
    <hyperlink ref="M535" r:id="rId1099"/>
    <hyperlink ref="M433" r:id="rId1100"/>
    <hyperlink ref="M169" r:id="rId1101"/>
    <hyperlink ref="M446" r:id="rId1102"/>
    <hyperlink ref="M290" r:id="rId1103"/>
    <hyperlink ref="M1179" r:id="rId1104"/>
    <hyperlink ref="M1056" r:id="rId1105"/>
    <hyperlink ref="M2170" r:id="rId1106"/>
    <hyperlink ref="M856" r:id="rId1107"/>
    <hyperlink ref="M283" r:id="rId1108"/>
    <hyperlink ref="M796" r:id="rId1109"/>
    <hyperlink ref="M2097" r:id="rId1110"/>
    <hyperlink ref="M1191" r:id="rId1111"/>
    <hyperlink ref="M1174" r:id="rId1112" display="rubenherrera07@yahoo.com.ar"/>
    <hyperlink ref="M975" r:id="rId1113"/>
    <hyperlink ref="M1066" r:id="rId1114"/>
    <hyperlink ref="M1210" r:id="rId1115"/>
    <hyperlink ref="M330" r:id="rId1116"/>
    <hyperlink ref="M2016" r:id="rId1117"/>
    <hyperlink ref="M491" r:id="rId1118"/>
    <hyperlink ref="M2257" r:id="rId1119" display="malauraharo@gmail.com"/>
    <hyperlink ref="M1806" r:id="rId1120"/>
    <hyperlink ref="M495" r:id="rId1121"/>
    <hyperlink ref="M1465" r:id="rId1122"/>
    <hyperlink ref="M1777" r:id="rId1123"/>
    <hyperlink ref="M1576" r:id="rId1124"/>
    <hyperlink ref="M1352" r:id="rId1125"/>
    <hyperlink ref="M1193" r:id="rId1126"/>
    <hyperlink ref="M1068" r:id="rId1127"/>
    <hyperlink ref="M61" r:id="rId1128"/>
    <hyperlink ref="M2219" r:id="rId1129"/>
    <hyperlink ref="M867" r:id="rId1130"/>
    <hyperlink ref="M861" r:id="rId1131"/>
    <hyperlink ref="M2102" r:id="rId1132"/>
    <hyperlink ref="M2343" r:id="rId1133"/>
    <hyperlink ref="M2103" r:id="rId1134"/>
    <hyperlink ref="M2073" r:id="rId1135"/>
    <hyperlink ref="M1767" r:id="rId1136"/>
    <hyperlink ref="M1216" r:id="rId1137"/>
    <hyperlink ref="M186" r:id="rId1138"/>
    <hyperlink ref="M111" r:id="rId1139"/>
    <hyperlink ref="M395" r:id="rId1140"/>
    <hyperlink ref="M394" r:id="rId1141"/>
    <hyperlink ref="M521" r:id="rId1142"/>
    <hyperlink ref="M1261" r:id="rId1143"/>
    <hyperlink ref="M1632" r:id="rId1144"/>
    <hyperlink ref="M226" r:id="rId1145"/>
    <hyperlink ref="M1323" r:id="rId1146"/>
    <hyperlink ref="M1633" r:id="rId1147"/>
    <hyperlink ref="M1391" r:id="rId1148"/>
    <hyperlink ref="M1322" r:id="rId1149"/>
    <hyperlink ref="M2124" r:id="rId1150"/>
    <hyperlink ref="M2197" r:id="rId1151"/>
    <hyperlink ref="M1128" r:id="rId1152"/>
    <hyperlink ref="M844" r:id="rId1153"/>
    <hyperlink ref="M852" r:id="rId1154"/>
    <hyperlink ref="M1196" r:id="rId1155"/>
    <hyperlink ref="M342" r:id="rId1156"/>
    <hyperlink ref="M972" r:id="rId1157"/>
    <hyperlink ref="M340" r:id="rId1158"/>
    <hyperlink ref="M1701" r:id="rId1159"/>
    <hyperlink ref="M599" r:id="rId1160"/>
    <hyperlink ref="M728" r:id="rId1161"/>
    <hyperlink ref="M1914" r:id="rId1162"/>
    <hyperlink ref="M1896" r:id="rId1163"/>
    <hyperlink ref="M1234" r:id="rId1164"/>
    <hyperlink ref="M1241" r:id="rId1165"/>
    <hyperlink ref="M2105" r:id="rId1166"/>
    <hyperlink ref="M2136" r:id="rId1167"/>
    <hyperlink ref="M1237" r:id="rId1168"/>
    <hyperlink ref="M1169" r:id="rId1169"/>
    <hyperlink ref="M252" r:id="rId1170"/>
    <hyperlink ref="M1696" r:id="rId1171"/>
    <hyperlink ref="M651" r:id="rId1172"/>
    <hyperlink ref="M1694" r:id="rId1173"/>
    <hyperlink ref="M1215" r:id="rId1174"/>
    <hyperlink ref="M1704" r:id="rId1175"/>
    <hyperlink ref="M2221" r:id="rId1176"/>
    <hyperlink ref="M831" r:id="rId1177"/>
    <hyperlink ref="M936" r:id="rId1178"/>
    <hyperlink ref="M1019" r:id="rId1179"/>
    <hyperlink ref="M387" r:id="rId1180"/>
    <hyperlink ref="M780" r:id="rId1181"/>
    <hyperlink ref="M514" r:id="rId1182"/>
    <hyperlink ref="M1818" r:id="rId1183"/>
    <hyperlink ref="M1986" r:id="rId1184"/>
    <hyperlink ref="M2023" r:id="rId1185"/>
    <hyperlink ref="M1926" r:id="rId1186"/>
    <hyperlink ref="M1020" r:id="rId1187"/>
    <hyperlink ref="M1952" r:id="rId1188"/>
    <hyperlink ref="M1770" r:id="rId1189"/>
    <hyperlink ref="M1916" r:id="rId1190"/>
    <hyperlink ref="M2168" r:id="rId1191"/>
    <hyperlink ref="M2230" r:id="rId1192"/>
    <hyperlink ref="M1332" r:id="rId1193"/>
    <hyperlink ref="M952" r:id="rId1194"/>
    <hyperlink ref="M795" r:id="rId1195"/>
    <hyperlink ref="M1121" r:id="rId1196"/>
    <hyperlink ref="M1127" r:id="rId1197"/>
    <hyperlink ref="M619" r:id="rId1198"/>
    <hyperlink ref="M410" r:id="rId1199"/>
    <hyperlink ref="M677" r:id="rId1200"/>
    <hyperlink ref="M1621" r:id="rId1201"/>
    <hyperlink ref="M194" r:id="rId1202"/>
    <hyperlink ref="M2052" r:id="rId1203"/>
    <hyperlink ref="M83" r:id="rId1204"/>
    <hyperlink ref="M926" r:id="rId1205"/>
    <hyperlink ref="M1494" r:id="rId1206"/>
    <hyperlink ref="M30" r:id="rId1207"/>
    <hyperlink ref="M918" r:id="rId1208"/>
    <hyperlink ref="M1946" r:id="rId1209"/>
    <hyperlink ref="M2256" r:id="rId1210" display="candelariagl9@gmail.com"/>
    <hyperlink ref="M760" r:id="rId1211"/>
    <hyperlink ref="M1740" r:id="rId1212"/>
    <hyperlink ref="M553" r:id="rId1213"/>
    <hyperlink ref="M1233" r:id="rId1214"/>
    <hyperlink ref="M1119" r:id="rId1215"/>
    <hyperlink ref="M1419" r:id="rId1216"/>
    <hyperlink ref="M382" r:id="rId1217"/>
    <hyperlink ref="M1909" r:id="rId1218"/>
    <hyperlink ref="M1403" r:id="rId1219"/>
    <hyperlink ref="M1596" r:id="rId1220"/>
    <hyperlink ref="M2007" r:id="rId1221"/>
    <hyperlink ref="M2205" r:id="rId1222"/>
    <hyperlink ref="M12" r:id="rId1223"/>
    <hyperlink ref="M1820" r:id="rId1224"/>
    <hyperlink ref="M572" r:id="rId1225"/>
    <hyperlink ref="M477" r:id="rId1226"/>
    <hyperlink ref="M1880" r:id="rId1227"/>
    <hyperlink ref="M2092" r:id="rId1228"/>
    <hyperlink ref="M2155" r:id="rId1229"/>
    <hyperlink ref="M15" r:id="rId1230"/>
    <hyperlink ref="M2348" r:id="rId1231"/>
    <hyperlink ref="M1189" r:id="rId1232"/>
    <hyperlink ref="M406" r:id="rId1233"/>
    <hyperlink ref="M397" r:id="rId1234"/>
    <hyperlink ref="M632" r:id="rId1235"/>
    <hyperlink ref="M2231" r:id="rId1236"/>
    <hyperlink ref="M1845" r:id="rId1237"/>
    <hyperlink ref="M2346" r:id="rId1238"/>
    <hyperlink ref="M791" r:id="rId1239"/>
    <hyperlink ref="M935" r:id="rId1240"/>
    <hyperlink ref="M618" r:id="rId1241"/>
    <hyperlink ref="M106" r:id="rId1242"/>
    <hyperlink ref="M1558" r:id="rId1243"/>
    <hyperlink ref="M76" r:id="rId1244"/>
    <hyperlink ref="M1891" r:id="rId1245"/>
    <hyperlink ref="M1890" r:id="rId1246"/>
    <hyperlink ref="M2018" r:id="rId1247"/>
    <hyperlink ref="M1641" r:id="rId1248"/>
    <hyperlink ref="M1452" r:id="rId1249"/>
    <hyperlink ref="M1876" r:id="rId1250"/>
    <hyperlink ref="M1454" r:id="rId1251"/>
    <hyperlink ref="M724" r:id="rId1252"/>
    <hyperlink ref="M304" r:id="rId1253"/>
    <hyperlink ref="M54" r:id="rId1254"/>
    <hyperlink ref="M1034" r:id="rId1255"/>
    <hyperlink ref="M1517" r:id="rId1256"/>
    <hyperlink ref="M1935" r:id="rId1257"/>
    <hyperlink ref="M1609" r:id="rId1258"/>
    <hyperlink ref="M1543" r:id="rId1259"/>
    <hyperlink ref="M1330" r:id="rId1260"/>
    <hyperlink ref="M1078" r:id="rId1261"/>
    <hyperlink ref="M435" r:id="rId1262"/>
    <hyperlink ref="M460" r:id="rId1263"/>
    <hyperlink ref="M1883" r:id="rId1264"/>
    <hyperlink ref="M1271" r:id="rId1265"/>
    <hyperlink ref="M1341" r:id="rId1266"/>
    <hyperlink ref="M2034" r:id="rId1267"/>
    <hyperlink ref="M1663" r:id="rId1268"/>
    <hyperlink ref="M286" r:id="rId1269"/>
    <hyperlink ref="M1484" r:id="rId1270"/>
    <hyperlink ref="M629" r:id="rId1271"/>
    <hyperlink ref="M56" r:id="rId1272"/>
    <hyperlink ref="M1814" r:id="rId1273"/>
    <hyperlink ref="M1948" r:id="rId1274"/>
    <hyperlink ref="M1766" r:id="rId1275"/>
    <hyperlink ref="M1943" r:id="rId1276"/>
    <hyperlink ref="M569" r:id="rId1277"/>
    <hyperlink ref="M887" r:id="rId1278"/>
    <hyperlink ref="M417" r:id="rId1279"/>
    <hyperlink ref="M1997" r:id="rId1280"/>
    <hyperlink ref="M386" r:id="rId1281"/>
    <hyperlink ref="M393" r:id="rId1282"/>
    <hyperlink ref="M343" r:id="rId1283"/>
    <hyperlink ref="M1853" r:id="rId1284"/>
    <hyperlink ref="M2156" r:id="rId1285"/>
    <hyperlink ref="M860" r:id="rId1286"/>
    <hyperlink ref="M1932" r:id="rId1287"/>
    <hyperlink ref="M1459" r:id="rId1288"/>
    <hyperlink ref="M371" r:id="rId1289"/>
    <hyperlink ref="M567" r:id="rId1290"/>
    <hyperlink ref="M550" r:id="rId1291"/>
    <hyperlink ref="M351" r:id="rId1292"/>
    <hyperlink ref="M1401" r:id="rId1293"/>
    <hyperlink ref="M372" r:id="rId1294"/>
    <hyperlink ref="M1843" r:id="rId1295"/>
    <hyperlink ref="M965" r:id="rId1296"/>
    <hyperlink ref="M2279" r:id="rId1297"/>
    <hyperlink ref="M2032" r:id="rId1298"/>
    <hyperlink ref="M1801" r:id="rId1299"/>
    <hyperlink ref="M870" r:id="rId1300"/>
    <hyperlink ref="M1630" r:id="rId1301"/>
    <hyperlink ref="M1045" r:id="rId1302"/>
    <hyperlink ref="M316" r:id="rId1303"/>
    <hyperlink ref="M443" r:id="rId1304"/>
    <hyperlink ref="M1944" r:id="rId1305"/>
    <hyperlink ref="M1039" r:id="rId1306"/>
    <hyperlink ref="M1783" r:id="rId1307"/>
    <hyperlink ref="M562" r:id="rId1308"/>
    <hyperlink ref="M694" r:id="rId1309"/>
    <hyperlink ref="M464" r:id="rId1310"/>
    <hyperlink ref="M810" r:id="rId1311"/>
    <hyperlink ref="M1775" r:id="rId1312"/>
    <hyperlink ref="M388" r:id="rId1313"/>
    <hyperlink ref="M1112" r:id="rId1314"/>
    <hyperlink ref="M1074" r:id="rId1315"/>
    <hyperlink ref="M548" r:id="rId1316"/>
    <hyperlink ref="M2188" r:id="rId1317"/>
    <hyperlink ref="M1613" r:id="rId1318"/>
    <hyperlink ref="M1270" r:id="rId1319"/>
    <hyperlink ref="M617" r:id="rId1320"/>
    <hyperlink ref="M890" r:id="rId1321"/>
    <hyperlink ref="M1032" r:id="rId1322"/>
    <hyperlink ref="M2195" r:id="rId1323"/>
    <hyperlink ref="M983" r:id="rId1324"/>
    <hyperlink ref="M453" r:id="rId1325" display="doraocarlos@hotmail.com"/>
    <hyperlink ref="M1510" r:id="rId1326"/>
    <hyperlink ref="M691" r:id="rId1327"/>
    <hyperlink ref="M1250" r:id="rId1328"/>
    <hyperlink ref="M1303" r:id="rId1329"/>
    <hyperlink ref="M2080" r:id="rId1330"/>
    <hyperlink ref="M239" r:id="rId1331"/>
    <hyperlink ref="M771" r:id="rId1332"/>
    <hyperlink ref="M1547" r:id="rId1333"/>
    <hyperlink ref="M1235" r:id="rId1334"/>
    <hyperlink ref="M1225" r:id="rId1335"/>
    <hyperlink ref="M313" r:id="rId1336"/>
    <hyperlink ref="M402" r:id="rId1337"/>
    <hyperlink ref="M2096" r:id="rId1338"/>
    <hyperlink ref="M892" r:id="rId1339"/>
    <hyperlink ref="M1652" r:id="rId1340"/>
    <hyperlink ref="M1522" r:id="rId1341"/>
    <hyperlink ref="M670" r:id="rId1342"/>
    <hyperlink ref="M2091" r:id="rId1343"/>
    <hyperlink ref="M1146" r:id="rId1344"/>
    <hyperlink ref="M1417" r:id="rId1345"/>
    <hyperlink ref="M1623" r:id="rId1346"/>
    <hyperlink ref="M2090" r:id="rId1347"/>
    <hyperlink ref="M1755" r:id="rId1348"/>
    <hyperlink ref="M2191" r:id="rId1349"/>
    <hyperlink ref="M1714" r:id="rId1350"/>
    <hyperlink ref="M1577" r:id="rId1351"/>
    <hyperlink ref="M439" r:id="rId1352"/>
    <hyperlink ref="M1122" r:id="rId1353"/>
    <hyperlink ref="M309" r:id="rId1354"/>
    <hyperlink ref="M230" r:id="rId1355"/>
    <hyperlink ref="M835" r:id="rId1356"/>
    <hyperlink ref="M1570" r:id="rId1357"/>
    <hyperlink ref="M1470" r:id="rId1358"/>
    <hyperlink ref="M1793" r:id="rId1359"/>
    <hyperlink ref="M903" r:id="rId1360"/>
    <hyperlink ref="M2207" r:id="rId1361"/>
    <hyperlink ref="M2358" r:id="rId1362"/>
    <hyperlink ref="M1716" r:id="rId1363"/>
    <hyperlink ref="M291" r:id="rId1364"/>
    <hyperlink ref="M400" r:id="rId1365"/>
    <hyperlink ref="M1227" r:id="rId1366"/>
    <hyperlink ref="M1795" r:id="rId1367"/>
    <hyperlink ref="M2119" r:id="rId1368"/>
    <hyperlink ref="M2095" r:id="rId1369"/>
    <hyperlink ref="M1263" r:id="rId1370"/>
    <hyperlink ref="M800" r:id="rId1371" display="ana_mariacuevas@hotmail.com"/>
    <hyperlink ref="M300" r:id="rId1372"/>
    <hyperlink ref="M1861" r:id="rId1373"/>
    <hyperlink ref="M848" r:id="rId1374"/>
    <hyperlink ref="M2351" r:id="rId1375"/>
    <hyperlink ref="M825" r:id="rId1376"/>
    <hyperlink ref="M275" r:id="rId1377"/>
    <hyperlink ref="M1676" r:id="rId1378"/>
    <hyperlink ref="M1371" r:id="rId1379"/>
    <hyperlink ref="M276" r:id="rId1380"/>
    <hyperlink ref="M1390" r:id="rId1381"/>
    <hyperlink ref="M1691" r:id="rId1382"/>
    <hyperlink ref="M1690" r:id="rId1383"/>
    <hyperlink ref="M1476" r:id="rId1384"/>
    <hyperlink ref="M1889" r:id="rId1385"/>
    <hyperlink ref="M934" r:id="rId1386"/>
    <hyperlink ref="M507" r:id="rId1387"/>
    <hyperlink ref="M1823" r:id="rId1388"/>
    <hyperlink ref="M436" r:id="rId1389"/>
    <hyperlink ref="M2083" r:id="rId1390"/>
    <hyperlink ref="M1736" r:id="rId1391"/>
    <hyperlink ref="M118" r:id="rId1392"/>
    <hyperlink ref="M1971" r:id="rId1393"/>
    <hyperlink ref="M624" r:id="rId1394"/>
    <hyperlink ref="M665" r:id="rId1395"/>
    <hyperlink ref="M978" r:id="rId1396"/>
    <hyperlink ref="M238" r:id="rId1397"/>
    <hyperlink ref="M376" r:id="rId1398"/>
    <hyperlink ref="M897" r:id="rId1399"/>
    <hyperlink ref="M1347" r:id="rId1400"/>
    <hyperlink ref="M774" r:id="rId1401"/>
    <hyperlink ref="M2229" r:id="rId1402"/>
    <hyperlink ref="M367" r:id="rId1403"/>
    <hyperlink ref="M389" r:id="rId1404"/>
    <hyperlink ref="M2357" r:id="rId1405"/>
    <hyperlink ref="M745" r:id="rId1406"/>
    <hyperlink ref="M38" r:id="rId1407"/>
    <hyperlink ref="M561" r:id="rId1408"/>
    <hyperlink ref="M1306" r:id="rId1409"/>
    <hyperlink ref="M216" r:id="rId1410"/>
    <hyperlink ref="M509" r:id="rId1411"/>
    <hyperlink ref="M21" r:id="rId1412"/>
    <hyperlink ref="M20" r:id="rId1413"/>
    <hyperlink ref="M746" r:id="rId1414"/>
    <hyperlink ref="M747" r:id="rId1415"/>
    <hyperlink ref="M905" r:id="rId1416"/>
    <hyperlink ref="M669" r:id="rId1417"/>
    <hyperlink ref="M1852" r:id="rId1418"/>
    <hyperlink ref="M779" r:id="rId1419"/>
    <hyperlink ref="M148" r:id="rId1420"/>
    <hyperlink ref="M582" r:id="rId1421"/>
    <hyperlink ref="M1858" r:id="rId1422"/>
    <hyperlink ref="M2118" r:id="rId1423"/>
    <hyperlink ref="M247" r:id="rId1424"/>
    <hyperlink ref="M1041" r:id="rId1425"/>
    <hyperlink ref="M1531" r:id="rId1426"/>
    <hyperlink ref="M268" r:id="rId1427"/>
    <hyperlink ref="M1812" r:id="rId1428"/>
    <hyperlink ref="M214" r:id="rId1429"/>
    <hyperlink ref="M836" r:id="rId1430"/>
    <hyperlink ref="M1139" r:id="rId1431"/>
    <hyperlink ref="M699" r:id="rId1432"/>
    <hyperlink ref="M1416" r:id="rId1433"/>
    <hyperlink ref="M1325" r:id="rId1434"/>
    <hyperlink ref="M1711" r:id="rId1435"/>
    <hyperlink ref="M2069" r:id="rId1436"/>
    <hyperlink ref="M2011" r:id="rId1437"/>
    <hyperlink ref="M1720" r:id="rId1438"/>
    <hyperlink ref="M2309" r:id="rId1439"/>
    <hyperlink ref="M1351" r:id="rId1440"/>
    <hyperlink ref="M881" r:id="rId1441"/>
    <hyperlink ref="M208" r:id="rId1442"/>
    <hyperlink ref="M534" r:id="rId1443"/>
    <hyperlink ref="M1423" r:id="rId1444"/>
    <hyperlink ref="M487" r:id="rId1445"/>
    <hyperlink ref="M1422" r:id="rId1446"/>
    <hyperlink ref="M1994" r:id="rId1447"/>
    <hyperlink ref="M770" r:id="rId1448"/>
    <hyperlink ref="M1728" r:id="rId1449"/>
    <hyperlink ref="M14" r:id="rId1450"/>
    <hyperlink ref="M928" r:id="rId1451"/>
    <hyperlink ref="M1329" r:id="rId1452"/>
    <hyperlink ref="M996" r:id="rId1453"/>
    <hyperlink ref="M1827" r:id="rId1454"/>
    <hyperlink ref="M1915" r:id="rId1455"/>
    <hyperlink ref="M2094" r:id="rId1456" display="mcarrizo@ct.unt.edu.ar"/>
    <hyperlink ref="M2026" r:id="rId1457"/>
    <hyperlink ref="M1784" r:id="rId1458"/>
    <hyperlink ref="M689" r:id="rId1459"/>
    <hyperlink ref="M209" r:id="rId1460"/>
    <hyperlink ref="M1969" r:id="rId1461"/>
    <hyperlink ref="M44" r:id="rId1462"/>
    <hyperlink ref="M78" r:id="rId1463"/>
    <hyperlink ref="M1138" r:id="rId1464"/>
    <hyperlink ref="M1594" r:id="rId1465"/>
    <hyperlink ref="M1844" r:id="rId1466"/>
    <hyperlink ref="M1598" r:id="rId1467"/>
    <hyperlink ref="M872" r:id="rId1468"/>
    <hyperlink ref="M1001" r:id="rId1469"/>
    <hyperlink ref="M57" r:id="rId1470"/>
    <hyperlink ref="M27" r:id="rId1471"/>
    <hyperlink ref="M612" r:id="rId1472"/>
    <hyperlink ref="M1321" r:id="rId1473"/>
    <hyperlink ref="M1182" r:id="rId1474"/>
    <hyperlink ref="M1480" r:id="rId1475"/>
    <hyperlink ref="M1560" r:id="rId1476"/>
    <hyperlink ref="M716" r:id="rId1477"/>
    <hyperlink ref="M2074" r:id="rId1478"/>
    <hyperlink ref="M105" r:id="rId1479"/>
    <hyperlink ref="M319" r:id="rId1480"/>
    <hyperlink ref="M967" r:id="rId1481"/>
    <hyperlink ref="M944" r:id="rId1482"/>
    <hyperlink ref="M1910" r:id="rId1483"/>
    <hyperlink ref="M243" r:id="rId1484"/>
    <hyperlink ref="M213" r:id="rId1485"/>
    <hyperlink ref="M462" r:id="rId1486"/>
    <hyperlink ref="M1467" r:id="rId1487"/>
    <hyperlink ref="M609" r:id="rId1488"/>
    <hyperlink ref="M1751" r:id="rId1489"/>
    <hyperlink ref="M1047" r:id="rId1490"/>
    <hyperlink ref="M817" r:id="rId1491"/>
    <hyperlink ref="M1829" r:id="rId1492"/>
    <hyperlink ref="M1083" r:id="rId1493"/>
    <hyperlink ref="M233" r:id="rId1494"/>
    <hyperlink ref="M808" r:id="rId1495"/>
    <hyperlink ref="M269" r:id="rId1496"/>
    <hyperlink ref="M22" r:id="rId1497"/>
    <hyperlink ref="M2145" r:id="rId1498"/>
    <hyperlink ref="M1979" r:id="rId1499"/>
    <hyperlink ref="M538" r:id="rId1500"/>
    <hyperlink ref="M1443" r:id="rId1501"/>
    <hyperlink ref="M346" r:id="rId1502"/>
    <hyperlink ref="M1206" r:id="rId1503"/>
    <hyperlink ref="M1698" r:id="rId1504"/>
    <hyperlink ref="M375" r:id="rId1505"/>
    <hyperlink ref="M1097" r:id="rId1506"/>
    <hyperlink ref="M906" r:id="rId1507"/>
    <hyperlink ref="M302" r:id="rId1508"/>
    <hyperlink ref="M1741" r:id="rId1509"/>
    <hyperlink ref="M640" r:id="rId1510"/>
    <hyperlink ref="M1370" r:id="rId1511"/>
    <hyperlink ref="M405" r:id="rId1512"/>
    <hyperlink ref="M328" r:id="rId1513"/>
    <hyperlink ref="M1498" r:id="rId1514"/>
    <hyperlink ref="M701" r:id="rId1515"/>
    <hyperlink ref="M1054" r:id="rId1516"/>
    <hyperlink ref="M432" r:id="rId1517"/>
    <hyperlink ref="M1071" r:id="rId1518"/>
    <hyperlink ref="M2048" r:id="rId1519"/>
    <hyperlink ref="M859" r:id="rId1520"/>
    <hyperlink ref="M1747" r:id="rId1521"/>
    <hyperlink ref="M1495" r:id="rId1522"/>
    <hyperlink ref="M785" r:id="rId1523"/>
    <hyperlink ref="M1442" r:id="rId1524"/>
    <hyperlink ref="M1496" r:id="rId1525"/>
    <hyperlink ref="M1393" r:id="rId1526"/>
    <hyperlink ref="M1719" r:id="rId1527"/>
    <hyperlink ref="M895" r:id="rId1528"/>
    <hyperlink ref="M925" r:id="rId1529"/>
    <hyperlink ref="M1980" r:id="rId1530"/>
    <hyperlink ref="M1974" r:id="rId1531"/>
    <hyperlink ref="M242" r:id="rId1532"/>
    <hyperlink ref="M256" r:id="rId1533"/>
    <hyperlink ref="M753" r:id="rId1534"/>
    <hyperlink ref="M1405" r:id="rId1535"/>
    <hyperlink ref="M1628" r:id="rId1536"/>
    <hyperlink ref="M1395" r:id="rId1537" display="investigaciones@psicologia.unt.edu.ar"/>
    <hyperlink ref="M1249" r:id="rId1538"/>
    <hyperlink ref="M1760" r:id="rId1539"/>
    <hyperlink ref="M873" r:id="rId1540" display="planeamiento@rectorado.unt.edu.ar"/>
    <hyperlink ref="M151" r:id="rId1541"/>
    <hyperlink ref="M894" r:id="rId1542"/>
    <hyperlink ref="M91" r:id="rId1543"/>
    <hyperlink ref="M1487" r:id="rId1544"/>
    <hyperlink ref="M1157" r:id="rId1545"/>
    <hyperlink ref="M2270" r:id="rId1546"/>
    <hyperlink ref="M1273" r:id="rId1547"/>
    <hyperlink ref="M1468" r:id="rId1548"/>
    <hyperlink ref="M647" r:id="rId1549"/>
    <hyperlink ref="M1471" r:id="rId1550"/>
    <hyperlink ref="M1212" r:id="rId1551"/>
    <hyperlink ref="M1830" r:id="rId1552"/>
    <hyperlink ref="M1220" r:id="rId1553"/>
    <hyperlink ref="M2133" r:id="rId1554"/>
    <hyperlink ref="M1508" r:id="rId1555"/>
    <hyperlink ref="M1268" r:id="rId1556"/>
    <hyperlink ref="M2355" r:id="rId1557"/>
    <hyperlink ref="M1879" r:id="rId1558"/>
    <hyperlink ref="M467" r:id="rId1559"/>
    <hyperlink ref="M336" r:id="rId1560"/>
    <hyperlink ref="M338" r:id="rId1561"/>
    <hyperlink ref="M2038" r:id="rId1562"/>
    <hyperlink ref="M1493" r:id="rId1563"/>
    <hyperlink ref="M1518" r:id="rId1564"/>
    <hyperlink ref="M1161" r:id="rId1565"/>
    <hyperlink ref="M623" r:id="rId1566"/>
    <hyperlink ref="M197" r:id="rId1567"/>
    <hyperlink ref="M2239" r:id="rId1568"/>
    <hyperlink ref="M1170" r:id="rId1569"/>
    <hyperlink ref="M2115" r:id="rId1570"/>
    <hyperlink ref="M1670" r:id="rId1571"/>
    <hyperlink ref="M2044" r:id="rId1572"/>
    <hyperlink ref="M1620" r:id="rId1573"/>
    <hyperlink ref="M1733" r:id="rId1574"/>
    <hyperlink ref="M1555" r:id="rId1575"/>
    <hyperlink ref="M383" r:id="rId1576"/>
    <hyperlink ref="M1524" r:id="rId1577"/>
    <hyperlink ref="M96" r:id="rId1578"/>
    <hyperlink ref="M888" r:id="rId1579"/>
    <hyperlink ref="M1669" r:id="rId1580"/>
    <hyperlink ref="M1314" r:id="rId1581"/>
    <hyperlink ref="M576" r:id="rId1582"/>
    <hyperlink ref="M2067" r:id="rId1583"/>
    <hyperlink ref="M1862" r:id="rId1584" display="flopi79@yahoo.com.ar"/>
    <hyperlink ref="M1592" r:id="rId1585"/>
    <hyperlink ref="M2070" r:id="rId1586"/>
    <hyperlink ref="M802" r:id="rId1587"/>
    <hyperlink ref="M878" r:id="rId1588"/>
    <hyperlink ref="M447" r:id="rId1589"/>
    <hyperlink ref="M794" r:id="rId1590"/>
    <hyperlink ref="M1666" r:id="rId1591"/>
    <hyperlink ref="M1622" r:id="rId1592"/>
    <hyperlink ref="M182" r:id="rId1593"/>
    <hyperlink ref="M1338" r:id="rId1594"/>
    <hyperlink ref="M170" r:id="rId1595"/>
    <hyperlink ref="M592" r:id="rId1596"/>
    <hyperlink ref="M1912" r:id="rId1597"/>
    <hyperlink ref="M2354" r:id="rId1598"/>
    <hyperlink ref="M857" r:id="rId1599"/>
    <hyperlink ref="M1756" r:id="rId1600"/>
    <hyperlink ref="M445" r:id="rId1601"/>
    <hyperlink ref="M123" r:id="rId1602"/>
    <hyperlink ref="M1366" r:id="rId1603"/>
    <hyperlink ref="M1794" r:id="rId1604"/>
    <hyperlink ref="M1945" r:id="rId1605"/>
    <hyperlink ref="M1192" r:id="rId1606"/>
    <hyperlink ref="M1500" r:id="rId1607"/>
    <hyperlink ref="M690" r:id="rId1608"/>
    <hyperlink ref="M1838" r:id="rId1609"/>
    <hyperlink ref="M1953" r:id="rId1610"/>
    <hyperlink ref="M1585" r:id="rId1611"/>
    <hyperlink ref="M1203" r:id="rId1612"/>
    <hyperlink ref="M323" r:id="rId1613"/>
    <hyperlink ref="M653" r:id="rId1614"/>
    <hyperlink ref="M1280" r:id="rId1615"/>
    <hyperlink ref="M1481" r:id="rId1616"/>
    <hyperlink ref="M1773" r:id="rId1617"/>
    <hyperlink ref="M2166" r:id="rId1618"/>
    <hyperlink ref="M917" r:id="rId1619"/>
    <hyperlink ref="M128" r:id="rId1620"/>
    <hyperlink ref="M86" r:id="rId1621"/>
    <hyperlink ref="M2141" r:id="rId1622"/>
    <hyperlink ref="M1907" r:id="rId1623"/>
    <hyperlink ref="M1674" r:id="rId1624"/>
    <hyperlink ref="M408" r:id="rId1625"/>
    <hyperlink ref="M284" r:id="rId1626"/>
    <hyperlink ref="M1279" r:id="rId1627"/>
    <hyperlink ref="M492" r:id="rId1628"/>
    <hyperlink ref="M504" r:id="rId1629"/>
    <hyperlink ref="M657" r:id="rId1630"/>
    <hyperlink ref="M1582" r:id="rId1631"/>
    <hyperlink ref="M1368" r:id="rId1632"/>
    <hyperlink ref="M2224" r:id="rId1633"/>
    <hyperlink ref="M1715" r:id="rId1634"/>
    <hyperlink ref="M2352" r:id="rId1635"/>
    <hyperlink ref="M1302" r:id="rId1636"/>
    <hyperlink ref="M2008" r:id="rId1637"/>
    <hyperlink ref="M1588" r:id="rId1638"/>
    <hyperlink ref="M1798" r:id="rId1639"/>
    <hyperlink ref="M1453" r:id="rId1640"/>
    <hyperlink ref="M909" r:id="rId1641"/>
    <hyperlink ref="M320" r:id="rId1642"/>
    <hyperlink ref="M1297" r:id="rId1643"/>
    <hyperlink ref="M2017" r:id="rId1644"/>
    <hyperlink ref="M1011" r:id="rId1645"/>
    <hyperlink ref="M311" r:id="rId1646"/>
    <hyperlink ref="M853" r:id="rId1647"/>
    <hyperlink ref="M1030" r:id="rId1648"/>
    <hyperlink ref="M2036" r:id="rId1649"/>
    <hyperlink ref="M2035" r:id="rId1650"/>
    <hyperlink ref="M2056" r:id="rId1651"/>
    <hyperlink ref="M2178" r:id="rId1652"/>
    <hyperlink ref="M1185" r:id="rId1653"/>
    <hyperlink ref="M2047" r:id="rId1654"/>
    <hyperlink ref="M2353" r:id="rId1655"/>
    <hyperlink ref="M1562" r:id="rId1656"/>
    <hyperlink ref="M1611" r:id="rId1657"/>
    <hyperlink ref="M497" r:id="rId1658"/>
    <hyperlink ref="M28" r:id="rId1659"/>
    <hyperlink ref="M1477" r:id="rId1660"/>
    <hyperlink ref="M1689" r:id="rId1661"/>
    <hyperlink ref="M1053" r:id="rId1662"/>
    <hyperlink ref="M1372" r:id="rId1663"/>
    <hyperlink ref="M684" r:id="rId1664"/>
    <hyperlink ref="M705" r:id="rId1665"/>
    <hyperlink ref="M524" r:id="rId1666"/>
    <hyperlink ref="M520" r:id="rId1667"/>
    <hyperlink ref="M1005" r:id="rId1668"/>
    <hyperlink ref="M2185" r:id="rId1669"/>
    <hyperlink ref="M916" r:id="rId1670"/>
    <hyperlink ref="M136" r:id="rId1671"/>
    <hyperlink ref="M2344" r:id="rId1672"/>
    <hyperlink ref="M1659" r:id="rId1673"/>
    <hyperlink ref="M362" r:id="rId1674"/>
    <hyperlink ref="M1258" r:id="rId1675"/>
    <hyperlink ref="M558" r:id="rId1676"/>
    <hyperlink ref="M1631" r:id="rId1677"/>
    <hyperlink ref="M1002" r:id="rId1678"/>
    <hyperlink ref="M107" r:id="rId1679"/>
    <hyperlink ref="M457" r:id="rId1680"/>
    <hyperlink ref="M32" r:id="rId1681"/>
    <hyperlink ref="M1445" r:id="rId1682"/>
    <hyperlink ref="M2087" r:id="rId1683"/>
    <hyperlink ref="M1586" r:id="rId1684"/>
    <hyperlink ref="M1717" r:id="rId1685"/>
    <hyperlink ref="M533" r:id="rId1686"/>
    <hyperlink ref="M1197" r:id="rId1687"/>
    <hyperlink ref="M1884" r:id="rId1688"/>
    <hyperlink ref="M1705" r:id="rId1689"/>
    <hyperlink ref="M1869" r:id="rId1690"/>
    <hyperlink ref="M1369" r:id="rId1691"/>
    <hyperlink ref="M360" r:id="rId1692"/>
    <hyperlink ref="M1324" r:id="rId1693"/>
    <hyperlink ref="M1162" r:id="rId1694"/>
    <hyperlink ref="M1895" r:id="rId1695"/>
    <hyperlink ref="M693" r:id="rId1696"/>
    <hyperlink ref="M847" r:id="rId1697"/>
    <hyperlink ref="M75" r:id="rId1698"/>
    <hyperlink ref="M559" r:id="rId1699"/>
    <hyperlink ref="M1950" r:id="rId1700"/>
    <hyperlink ref="M641" r:id="rId1701"/>
    <hyperlink ref="M1429" r:id="rId1702"/>
    <hyperlink ref="M1455" r:id="rId1703"/>
    <hyperlink ref="M2169" r:id="rId1704"/>
    <hyperlink ref="M2114" r:id="rId1705"/>
    <hyperlink ref="M587" r:id="rId1706"/>
    <hyperlink ref="M2003" r:id="rId1707"/>
    <hyperlink ref="M2194" r:id="rId1708"/>
    <hyperlink ref="M231" r:id="rId1709"/>
    <hyperlink ref="M1939" r:id="rId1710"/>
  </hyperlinks>
  <pageMargins left="0.7" right="0.7" top="0.75" bottom="0.75" header="0.3" footer="0.3"/>
  <pageSetup paperSize="9" orientation="portrait" r:id="rId1711"/>
  <drawing r:id="rId17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A8110"/>
  <sheetViews>
    <sheetView topLeftCell="A64" workbookViewId="0">
      <selection activeCell="D8070" sqref="D8070"/>
    </sheetView>
  </sheetViews>
  <sheetFormatPr baseColWidth="10" defaultColWidth="26" defaultRowHeight="14.25" customHeight="1"/>
  <cols>
    <col min="1" max="1" width="12.42578125" style="20" bestFit="1" customWidth="1"/>
    <col min="2" max="2" width="19.7109375" style="21" customWidth="1"/>
    <col min="3" max="3" width="33.7109375" style="21" bestFit="1" customWidth="1"/>
    <col min="4" max="4" width="36" customWidth="1"/>
    <col min="5" max="5" width="14.28515625" style="39" bestFit="1" customWidth="1"/>
  </cols>
  <sheetData>
    <row r="1" spans="1:5" ht="20.25" customHeight="1">
      <c r="A1" s="208" t="s">
        <v>0</v>
      </c>
      <c r="B1" s="209" t="s">
        <v>6844</v>
      </c>
      <c r="C1" s="209" t="s">
        <v>6845</v>
      </c>
      <c r="D1" s="210" t="s">
        <v>6846</v>
      </c>
      <c r="E1" s="211" t="s">
        <v>6847</v>
      </c>
    </row>
    <row r="2" spans="1:5" ht="14.25" customHeight="1">
      <c r="A2" s="155">
        <v>14661558</v>
      </c>
      <c r="B2" s="171" t="s">
        <v>1885</v>
      </c>
      <c r="C2" s="171" t="s">
        <v>7357</v>
      </c>
      <c r="D2" s="173" t="s">
        <v>9023</v>
      </c>
      <c r="E2" s="203">
        <v>45406</v>
      </c>
    </row>
    <row r="3" spans="1:5" ht="14.25" customHeight="1">
      <c r="A3" s="155">
        <v>16457626</v>
      </c>
      <c r="B3" s="171" t="s">
        <v>8936</v>
      </c>
      <c r="C3" s="171" t="s">
        <v>8937</v>
      </c>
      <c r="D3" s="173" t="s">
        <v>9023</v>
      </c>
      <c r="E3" s="203">
        <v>45406</v>
      </c>
    </row>
    <row r="4" spans="1:5" ht="14.25" customHeight="1">
      <c r="A4" s="155">
        <v>16859596</v>
      </c>
      <c r="B4" s="171" t="s">
        <v>8985</v>
      </c>
      <c r="C4" s="171" t="s">
        <v>8986</v>
      </c>
      <c r="D4" s="173" t="s">
        <v>9023</v>
      </c>
      <c r="E4" s="203">
        <v>45406</v>
      </c>
    </row>
    <row r="5" spans="1:5" ht="14.25" customHeight="1">
      <c r="A5" s="155">
        <v>17990548</v>
      </c>
      <c r="B5" s="171" t="s">
        <v>8990</v>
      </c>
      <c r="C5" s="171" t="s">
        <v>8991</v>
      </c>
      <c r="D5" s="173" t="s">
        <v>9023</v>
      </c>
      <c r="E5" s="203">
        <v>45406</v>
      </c>
    </row>
    <row r="6" spans="1:5" ht="14.25" customHeight="1">
      <c r="A6" s="155">
        <v>18019232</v>
      </c>
      <c r="B6" s="171" t="s">
        <v>9016</v>
      </c>
      <c r="C6" s="171" t="s">
        <v>9017</v>
      </c>
      <c r="D6" s="173" t="s">
        <v>9023</v>
      </c>
      <c r="E6" s="203">
        <v>45406</v>
      </c>
    </row>
    <row r="7" spans="1:5" ht="14.25" customHeight="1">
      <c r="A7" s="155">
        <v>18889440</v>
      </c>
      <c r="B7" s="189" t="s">
        <v>9001</v>
      </c>
      <c r="C7" s="189" t="s">
        <v>9002</v>
      </c>
      <c r="D7" s="173" t="s">
        <v>9023</v>
      </c>
      <c r="E7" s="203">
        <v>45406</v>
      </c>
    </row>
    <row r="8" spans="1:5" ht="14.25" customHeight="1">
      <c r="A8" s="155">
        <v>20284816</v>
      </c>
      <c r="B8" s="171" t="s">
        <v>8987</v>
      </c>
      <c r="C8" s="207" t="s">
        <v>8988</v>
      </c>
      <c r="D8" s="173" t="s">
        <v>9023</v>
      </c>
      <c r="E8" s="203">
        <v>45406</v>
      </c>
    </row>
    <row r="9" spans="1:5" ht="14.25" customHeight="1">
      <c r="A9" s="155">
        <v>20433083</v>
      </c>
      <c r="B9" s="171" t="s">
        <v>8981</v>
      </c>
      <c r="C9" s="171" t="s">
        <v>8982</v>
      </c>
      <c r="D9" s="173" t="s">
        <v>9023</v>
      </c>
      <c r="E9" s="203">
        <v>45406</v>
      </c>
    </row>
    <row r="10" spans="1:5" ht="14.25" customHeight="1">
      <c r="A10" s="155">
        <v>20692036</v>
      </c>
      <c r="B10" s="171" t="s">
        <v>9007</v>
      </c>
      <c r="C10" s="171" t="s">
        <v>9008</v>
      </c>
      <c r="D10" s="173" t="s">
        <v>9023</v>
      </c>
      <c r="E10" s="203">
        <v>45406</v>
      </c>
    </row>
    <row r="11" spans="1:5" ht="14.25" customHeight="1">
      <c r="A11" s="155">
        <v>22336942</v>
      </c>
      <c r="B11" s="183" t="s">
        <v>9021</v>
      </c>
      <c r="C11" s="183" t="s">
        <v>9022</v>
      </c>
      <c r="D11" s="197" t="s">
        <v>9023</v>
      </c>
      <c r="E11" s="204">
        <v>45406</v>
      </c>
    </row>
    <row r="12" spans="1:5" ht="14.25" customHeight="1">
      <c r="A12" s="155">
        <v>22665146</v>
      </c>
      <c r="B12" s="189" t="s">
        <v>7533</v>
      </c>
      <c r="C12" s="189" t="s">
        <v>8997</v>
      </c>
      <c r="D12" s="173" t="s">
        <v>9023</v>
      </c>
      <c r="E12" s="203">
        <v>45406</v>
      </c>
    </row>
    <row r="13" spans="1:5" ht="14.25" customHeight="1">
      <c r="A13" s="155">
        <v>23387097</v>
      </c>
      <c r="B13" s="171" t="s">
        <v>9015</v>
      </c>
      <c r="C13" s="171" t="s">
        <v>6884</v>
      </c>
      <c r="D13" s="173" t="s">
        <v>9023</v>
      </c>
      <c r="E13" s="203">
        <v>45406</v>
      </c>
    </row>
    <row r="14" spans="1:5" ht="14.25" customHeight="1">
      <c r="A14" s="155">
        <v>23519455</v>
      </c>
      <c r="B14" s="171" t="s">
        <v>7835</v>
      </c>
      <c r="C14" s="171" t="s">
        <v>7415</v>
      </c>
      <c r="D14" s="173" t="s">
        <v>9023</v>
      </c>
      <c r="E14" s="203">
        <v>45406</v>
      </c>
    </row>
    <row r="15" spans="1:5" ht="14.25" customHeight="1">
      <c r="A15" s="155">
        <v>24069816</v>
      </c>
      <c r="B15" s="171" t="s">
        <v>7505</v>
      </c>
      <c r="C15" s="171" t="s">
        <v>8980</v>
      </c>
      <c r="D15" s="173" t="s">
        <v>9023</v>
      </c>
      <c r="E15" s="203">
        <v>45406</v>
      </c>
    </row>
    <row r="16" spans="1:5" ht="14.25" customHeight="1">
      <c r="A16" s="155">
        <v>24621570</v>
      </c>
      <c r="B16" s="171" t="s">
        <v>9011</v>
      </c>
      <c r="C16" s="171" t="s">
        <v>9012</v>
      </c>
      <c r="D16" s="173" t="s">
        <v>9023</v>
      </c>
      <c r="E16" s="203">
        <v>45406</v>
      </c>
    </row>
    <row r="17" spans="1:27" ht="14.25" customHeight="1">
      <c r="A17" s="155">
        <v>25255423</v>
      </c>
      <c r="B17" s="171" t="s">
        <v>9013</v>
      </c>
      <c r="C17" s="171" t="s">
        <v>9014</v>
      </c>
      <c r="D17" s="173" t="s">
        <v>9023</v>
      </c>
      <c r="E17" s="203">
        <v>45406</v>
      </c>
    </row>
    <row r="18" spans="1:27" ht="14.25" customHeight="1">
      <c r="A18" s="155">
        <v>25542562</v>
      </c>
      <c r="B18" s="171" t="s">
        <v>7853</v>
      </c>
      <c r="C18" s="171" t="s">
        <v>8880</v>
      </c>
      <c r="D18" s="173" t="s">
        <v>9023</v>
      </c>
      <c r="E18" s="203">
        <v>45406</v>
      </c>
    </row>
    <row r="19" spans="1:27" ht="14.25" customHeight="1">
      <c r="A19" s="155">
        <v>26011505</v>
      </c>
      <c r="B19" s="171" t="s">
        <v>7853</v>
      </c>
      <c r="C19" s="171" t="s">
        <v>8994</v>
      </c>
      <c r="D19" s="173" t="s">
        <v>9023</v>
      </c>
      <c r="E19" s="203">
        <v>45406</v>
      </c>
    </row>
    <row r="20" spans="1:27" ht="14.25" customHeight="1">
      <c r="A20" s="155">
        <v>26029937</v>
      </c>
      <c r="B20" s="171" t="s">
        <v>327</v>
      </c>
      <c r="C20" s="171" t="s">
        <v>1785</v>
      </c>
      <c r="D20" s="173" t="s">
        <v>9023</v>
      </c>
      <c r="E20" s="203">
        <v>45406</v>
      </c>
    </row>
    <row r="21" spans="1:27" ht="14.25" customHeight="1">
      <c r="A21" s="155">
        <v>26137675</v>
      </c>
      <c r="B21" s="171" t="s">
        <v>9009</v>
      </c>
      <c r="C21" s="171" t="s">
        <v>9010</v>
      </c>
      <c r="D21" s="173" t="s">
        <v>9023</v>
      </c>
      <c r="E21" s="203">
        <v>45406</v>
      </c>
    </row>
    <row r="22" spans="1:27" ht="14.25" customHeight="1">
      <c r="A22" s="155">
        <v>26753740</v>
      </c>
      <c r="B22" s="171" t="s">
        <v>8998</v>
      </c>
      <c r="C22" s="171" t="s">
        <v>8999</v>
      </c>
      <c r="D22" s="173" t="s">
        <v>9023</v>
      </c>
      <c r="E22" s="203">
        <v>45406</v>
      </c>
    </row>
    <row r="23" spans="1:27" ht="14.25" customHeight="1">
      <c r="A23" s="155">
        <v>27365353</v>
      </c>
      <c r="B23" s="171" t="s">
        <v>9019</v>
      </c>
      <c r="C23" s="171" t="s">
        <v>9020</v>
      </c>
      <c r="D23" s="173" t="s">
        <v>9023</v>
      </c>
      <c r="E23" s="203">
        <v>45406</v>
      </c>
    </row>
    <row r="24" spans="1:27" ht="14.25" customHeight="1">
      <c r="A24" s="155">
        <v>33050022</v>
      </c>
      <c r="B24" s="171" t="s">
        <v>9003</v>
      </c>
      <c r="C24" s="171" t="s">
        <v>9004</v>
      </c>
      <c r="D24" s="173" t="s">
        <v>9023</v>
      </c>
      <c r="E24" s="203">
        <v>45406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4.25" customHeight="1">
      <c r="A25" s="155">
        <v>33163754</v>
      </c>
      <c r="B25" s="171" t="s">
        <v>8835</v>
      </c>
      <c r="C25" s="171" t="s">
        <v>8836</v>
      </c>
      <c r="D25" s="173" t="s">
        <v>9023</v>
      </c>
      <c r="E25" s="203">
        <v>45406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4.25" customHeight="1">
      <c r="A26" s="155">
        <v>33540499</v>
      </c>
      <c r="B26" s="171" t="s">
        <v>8998</v>
      </c>
      <c r="C26" s="171" t="s">
        <v>6946</v>
      </c>
      <c r="D26" s="173" t="s">
        <v>9023</v>
      </c>
      <c r="E26" s="203">
        <v>45406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4.25" customHeight="1">
      <c r="A27" s="155">
        <v>34287573</v>
      </c>
      <c r="B27" s="171" t="s">
        <v>7615</v>
      </c>
      <c r="C27" s="171" t="s">
        <v>8993</v>
      </c>
      <c r="D27" s="173" t="s">
        <v>9023</v>
      </c>
      <c r="E27" s="203">
        <v>45406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4.25" customHeight="1">
      <c r="A28" s="155">
        <v>35811646</v>
      </c>
      <c r="B28" s="171" t="s">
        <v>8070</v>
      </c>
      <c r="C28" s="171" t="s">
        <v>9000</v>
      </c>
      <c r="D28" s="173" t="s">
        <v>9023</v>
      </c>
      <c r="E28" s="203">
        <v>45406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4.25" customHeight="1">
      <c r="A29" s="155">
        <v>36583989</v>
      </c>
      <c r="B29" s="171" t="s">
        <v>7990</v>
      </c>
      <c r="C29" s="171" t="s">
        <v>8820</v>
      </c>
      <c r="D29" s="173" t="s">
        <v>9023</v>
      </c>
      <c r="E29" s="203">
        <v>45406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4.25" customHeight="1">
      <c r="A30" s="155">
        <v>36838696</v>
      </c>
      <c r="B30" s="171" t="s">
        <v>9005</v>
      </c>
      <c r="C30" s="171" t="s">
        <v>9006</v>
      </c>
      <c r="D30" s="173" t="s">
        <v>9023</v>
      </c>
      <c r="E30" s="203">
        <v>45406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4.25" customHeight="1">
      <c r="A31" s="155">
        <v>36838708</v>
      </c>
      <c r="B31" s="171" t="s">
        <v>8953</v>
      </c>
      <c r="C31" s="171" t="s">
        <v>8954</v>
      </c>
      <c r="D31" s="173" t="s">
        <v>9023</v>
      </c>
      <c r="E31" s="203">
        <v>45406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4.25" customHeight="1">
      <c r="A32" s="155">
        <v>37097176</v>
      </c>
      <c r="B32" s="171" t="s">
        <v>6943</v>
      </c>
      <c r="C32" s="171" t="s">
        <v>8996</v>
      </c>
      <c r="D32" s="173" t="s">
        <v>9023</v>
      </c>
      <c r="E32" s="203">
        <v>45406</v>
      </c>
    </row>
    <row r="33" spans="1:5" ht="14.25" customHeight="1">
      <c r="A33" s="155">
        <v>37725849</v>
      </c>
      <c r="B33" s="171" t="s">
        <v>7740</v>
      </c>
      <c r="C33" s="171" t="s">
        <v>8995</v>
      </c>
      <c r="D33" s="173" t="s">
        <v>9023</v>
      </c>
      <c r="E33" s="203">
        <v>45406</v>
      </c>
    </row>
    <row r="34" spans="1:5" ht="14.25" customHeight="1">
      <c r="A34" s="155">
        <v>38490152</v>
      </c>
      <c r="B34" s="171" t="s">
        <v>7295</v>
      </c>
      <c r="C34" s="171" t="s">
        <v>8992</v>
      </c>
      <c r="D34" s="173" t="s">
        <v>9023</v>
      </c>
      <c r="E34" s="203">
        <v>45406</v>
      </c>
    </row>
    <row r="35" spans="1:5" ht="14.25" customHeight="1">
      <c r="A35" s="155">
        <v>38741603</v>
      </c>
      <c r="B35" s="171" t="s">
        <v>8386</v>
      </c>
      <c r="C35" s="171" t="s">
        <v>8989</v>
      </c>
      <c r="D35" s="173" t="s">
        <v>9023</v>
      </c>
      <c r="E35" s="203">
        <v>45406</v>
      </c>
    </row>
    <row r="36" spans="1:5" ht="14.25" customHeight="1">
      <c r="A36" s="155">
        <v>40215806</v>
      </c>
      <c r="B36" s="171" t="s">
        <v>8983</v>
      </c>
      <c r="C36" s="171" t="s">
        <v>8984</v>
      </c>
      <c r="D36" s="173" t="s">
        <v>9023</v>
      </c>
      <c r="E36" s="203">
        <v>45406</v>
      </c>
    </row>
    <row r="37" spans="1:5" ht="14.25" customHeight="1">
      <c r="A37" s="155">
        <v>40902403</v>
      </c>
      <c r="B37" s="171" t="s">
        <v>8955</v>
      </c>
      <c r="C37" s="171" t="s">
        <v>9018</v>
      </c>
      <c r="D37" s="173" t="s">
        <v>9023</v>
      </c>
      <c r="E37" s="203">
        <v>45406</v>
      </c>
    </row>
    <row r="38" spans="1:5" ht="14.25" customHeight="1">
      <c r="A38" s="158">
        <v>22613410</v>
      </c>
      <c r="B38" s="174" t="s">
        <v>8967</v>
      </c>
      <c r="C38" s="174" t="s">
        <v>8968</v>
      </c>
      <c r="D38" s="173" t="s">
        <v>8723</v>
      </c>
      <c r="E38" s="203">
        <v>45398</v>
      </c>
    </row>
    <row r="39" spans="1:5" ht="14.25" customHeight="1">
      <c r="A39" s="158">
        <v>27945655</v>
      </c>
      <c r="B39" s="174" t="s">
        <v>8960</v>
      </c>
      <c r="C39" s="174" t="s">
        <v>8961</v>
      </c>
      <c r="D39" s="173" t="s">
        <v>8723</v>
      </c>
      <c r="E39" s="203">
        <v>45398</v>
      </c>
    </row>
    <row r="40" spans="1:5" ht="14.25" customHeight="1">
      <c r="A40" s="158">
        <v>28221525</v>
      </c>
      <c r="B40" s="174" t="s">
        <v>8071</v>
      </c>
      <c r="C40" s="174" t="s">
        <v>8973</v>
      </c>
      <c r="D40" s="173" t="s">
        <v>8723</v>
      </c>
      <c r="E40" s="203">
        <v>45398</v>
      </c>
    </row>
    <row r="41" spans="1:5" ht="14.25" customHeight="1">
      <c r="A41" s="158">
        <v>29024358</v>
      </c>
      <c r="B41" s="174" t="s">
        <v>8970</v>
      </c>
      <c r="C41" s="174" t="s">
        <v>8971</v>
      </c>
      <c r="D41" s="173" t="s">
        <v>8723</v>
      </c>
      <c r="E41" s="203">
        <v>45398</v>
      </c>
    </row>
    <row r="42" spans="1:5" ht="14.25" customHeight="1">
      <c r="A42" s="158">
        <v>32201492</v>
      </c>
      <c r="B42" s="174" t="s">
        <v>8964</v>
      </c>
      <c r="C42" s="174" t="s">
        <v>8966</v>
      </c>
      <c r="D42" s="173" t="s">
        <v>8723</v>
      </c>
      <c r="E42" s="203">
        <v>45398</v>
      </c>
    </row>
    <row r="43" spans="1:5" ht="14.25" customHeight="1">
      <c r="A43" s="158">
        <v>36838680</v>
      </c>
      <c r="B43" s="174" t="s">
        <v>8972</v>
      </c>
      <c r="C43" s="174" t="s">
        <v>7413</v>
      </c>
      <c r="D43" s="173" t="s">
        <v>8723</v>
      </c>
      <c r="E43" s="203">
        <v>45398</v>
      </c>
    </row>
    <row r="44" spans="1:5" ht="14.25" customHeight="1">
      <c r="A44" s="158">
        <v>36838708</v>
      </c>
      <c r="B44" s="174" t="s">
        <v>8974</v>
      </c>
      <c r="C44" s="174" t="s">
        <v>8954</v>
      </c>
      <c r="D44" s="173" t="s">
        <v>8723</v>
      </c>
      <c r="E44" s="203">
        <v>45398</v>
      </c>
    </row>
    <row r="45" spans="1:5" ht="14.25" customHeight="1">
      <c r="A45" s="158">
        <v>37456182</v>
      </c>
      <c r="B45" s="174" t="s">
        <v>8964</v>
      </c>
      <c r="C45" s="174" t="s">
        <v>8965</v>
      </c>
      <c r="D45" s="173" t="s">
        <v>8723</v>
      </c>
      <c r="E45" s="203">
        <v>45398</v>
      </c>
    </row>
    <row r="46" spans="1:5" ht="14.25" customHeight="1">
      <c r="A46" s="158">
        <v>38216469</v>
      </c>
      <c r="B46" s="174" t="s">
        <v>8962</v>
      </c>
      <c r="C46" s="174" t="s">
        <v>8963</v>
      </c>
      <c r="D46" s="173" t="s">
        <v>8723</v>
      </c>
      <c r="E46" s="203">
        <v>45398</v>
      </c>
    </row>
    <row r="47" spans="1:5" ht="14.25" customHeight="1">
      <c r="A47" s="158">
        <v>38490152</v>
      </c>
      <c r="B47" s="174" t="s">
        <v>7295</v>
      </c>
      <c r="C47" s="174" t="s">
        <v>8969</v>
      </c>
      <c r="D47" s="173" t="s">
        <v>8723</v>
      </c>
      <c r="E47" s="203">
        <v>45398</v>
      </c>
    </row>
    <row r="48" spans="1:5" ht="14.25" customHeight="1">
      <c r="A48" s="158">
        <v>38741603</v>
      </c>
      <c r="B48" s="174" t="s">
        <v>8386</v>
      </c>
      <c r="C48" s="174" t="s">
        <v>8833</v>
      </c>
      <c r="D48" s="173" t="s">
        <v>8723</v>
      </c>
      <c r="E48" s="203">
        <v>45398</v>
      </c>
    </row>
    <row r="49" spans="1:5" ht="14.25" customHeight="1">
      <c r="A49" s="158">
        <v>40216265</v>
      </c>
      <c r="B49" s="174" t="s">
        <v>7291</v>
      </c>
      <c r="C49" s="174" t="s">
        <v>8914</v>
      </c>
      <c r="D49" s="173" t="s">
        <v>8723</v>
      </c>
      <c r="E49" s="203">
        <v>45398</v>
      </c>
    </row>
    <row r="50" spans="1:5" ht="14.25" customHeight="1">
      <c r="A50" s="158">
        <v>40902403</v>
      </c>
      <c r="B50" s="174" t="s">
        <v>8955</v>
      </c>
      <c r="C50" s="174" t="s">
        <v>8975</v>
      </c>
      <c r="D50" s="173" t="s">
        <v>8723</v>
      </c>
      <c r="E50" s="203">
        <v>45398</v>
      </c>
    </row>
    <row r="51" spans="1:5" ht="14.25" customHeight="1">
      <c r="A51" s="155">
        <v>20857513</v>
      </c>
      <c r="B51" s="179" t="str">
        <f ca="1">UPPER(Tabla1[[#This Row],[Apellido]])</f>
        <v>RODRIGUEZ</v>
      </c>
      <c r="C51" s="179" t="str">
        <f ca="1">UPPER(Tabla1[[#This Row],[Nombre]])</f>
        <v>NILDA LILIANA</v>
      </c>
      <c r="D51" s="179" t="s">
        <v>7018</v>
      </c>
      <c r="E51" s="203">
        <v>45397</v>
      </c>
    </row>
    <row r="52" spans="1:5" ht="14.25" customHeight="1">
      <c r="A52" s="155">
        <v>20857513</v>
      </c>
      <c r="B52" s="174" t="s">
        <v>8725</v>
      </c>
      <c r="C52" s="174" t="s">
        <v>8726</v>
      </c>
      <c r="D52" s="173" t="s">
        <v>7018</v>
      </c>
      <c r="E52" s="203">
        <v>45397</v>
      </c>
    </row>
    <row r="53" spans="1:5" ht="14.25" customHeight="1">
      <c r="A53" s="155">
        <v>21846191</v>
      </c>
      <c r="B53" s="179" t="str">
        <f ca="1">UPPER(Tabla1[[#This Row],[Apellido]])</f>
        <v>ALMARAZ</v>
      </c>
      <c r="C53" s="179" t="str">
        <f ca="1">UPPER(Tabla1[[#This Row],[Nombre]])</f>
        <v>SANDRO MARCELO</v>
      </c>
      <c r="D53" s="179" t="s">
        <v>7018</v>
      </c>
      <c r="E53" s="203">
        <v>45397</v>
      </c>
    </row>
    <row r="54" spans="1:5" ht="14.25" customHeight="1">
      <c r="A54" s="155">
        <v>21846191</v>
      </c>
      <c r="B54" s="174" t="s">
        <v>8727</v>
      </c>
      <c r="C54" s="174" t="s">
        <v>8728</v>
      </c>
      <c r="D54" s="173" t="s">
        <v>7018</v>
      </c>
      <c r="E54" s="203">
        <v>45397</v>
      </c>
    </row>
    <row r="55" spans="1:5" ht="14.25" customHeight="1">
      <c r="A55" s="155">
        <v>22946600</v>
      </c>
      <c r="B55" s="179" t="str">
        <f ca="1">UPPER(Tabla1[[#This Row],[Apellido]])</f>
        <v>ESCAÑO CURIA</v>
      </c>
      <c r="C55" s="179" t="str">
        <f ca="1">UPPER(Tabla1[[#This Row],[Nombre]])</f>
        <v>MARIA PAOLA</v>
      </c>
      <c r="D55" s="179" t="s">
        <v>7018</v>
      </c>
      <c r="E55" s="203">
        <v>45397</v>
      </c>
    </row>
    <row r="56" spans="1:5" ht="14.25" customHeight="1">
      <c r="A56" s="155">
        <v>22946600</v>
      </c>
      <c r="B56" s="174" t="s">
        <v>8977</v>
      </c>
      <c r="C56" s="174" t="s">
        <v>8729</v>
      </c>
      <c r="D56" s="173" t="s">
        <v>7018</v>
      </c>
      <c r="E56" s="203">
        <v>45397</v>
      </c>
    </row>
    <row r="57" spans="1:5" ht="14.25" customHeight="1">
      <c r="A57" s="155">
        <v>23859111</v>
      </c>
      <c r="B57" s="179" t="str">
        <f ca="1">UPPER(Tabla1[[#This Row],[Apellido]])</f>
        <v>GANDIA</v>
      </c>
      <c r="C57" s="179" t="str">
        <f ca="1">UPPER(Tabla1[[#This Row],[Nombre]])</f>
        <v>ALEJANDRO JOSE</v>
      </c>
      <c r="D57" s="179" t="s">
        <v>7018</v>
      </c>
      <c r="E57" s="203">
        <v>45397</v>
      </c>
    </row>
    <row r="58" spans="1:5" ht="14.25" customHeight="1">
      <c r="A58" s="155">
        <v>23859111</v>
      </c>
      <c r="B58" s="174" t="s">
        <v>7934</v>
      </c>
      <c r="C58" s="174" t="s">
        <v>8731</v>
      </c>
      <c r="D58" s="173" t="s">
        <v>7018</v>
      </c>
      <c r="E58" s="203">
        <v>45397</v>
      </c>
    </row>
    <row r="59" spans="1:5" ht="14.25" customHeight="1">
      <c r="A59" s="155">
        <v>26982291</v>
      </c>
      <c r="B59" s="179" t="str">
        <f ca="1">UPPER(Tabla1[[#This Row],[Apellido]])</f>
        <v>HAEL</v>
      </c>
      <c r="C59" s="179" t="str">
        <f ca="1">UPPER(Tabla1[[#This Row],[Nombre]])</f>
        <v>MARIA JOSE</v>
      </c>
      <c r="D59" s="179" t="s">
        <v>7018</v>
      </c>
      <c r="E59" s="203">
        <v>45397</v>
      </c>
    </row>
    <row r="60" spans="1:5" ht="14.25" customHeight="1">
      <c r="A60" s="155">
        <v>26982291</v>
      </c>
      <c r="B60" s="174" t="s">
        <v>8078</v>
      </c>
      <c r="C60" s="174" t="s">
        <v>8295</v>
      </c>
      <c r="D60" s="173" t="s">
        <v>7018</v>
      </c>
      <c r="E60" s="203">
        <v>45397</v>
      </c>
    </row>
    <row r="61" spans="1:5" ht="14.25" customHeight="1">
      <c r="A61" s="155">
        <v>27206952</v>
      </c>
      <c r="B61" s="179" t="str">
        <f ca="1">UPPER(Tabla1[[#This Row],[Apellido]])</f>
        <v>IOTTI</v>
      </c>
      <c r="C61" s="179" t="str">
        <f ca="1">UPPER(Tabla1[[#This Row],[Nombre]])</f>
        <v>SILVANA NOEMI</v>
      </c>
      <c r="D61" s="179" t="s">
        <v>7018</v>
      </c>
      <c r="E61" s="203">
        <v>45397</v>
      </c>
    </row>
    <row r="62" spans="1:5" ht="14.25" customHeight="1">
      <c r="A62" s="155">
        <v>27206952</v>
      </c>
      <c r="B62" s="174" t="s">
        <v>6924</v>
      </c>
      <c r="C62" s="174" t="s">
        <v>6925</v>
      </c>
      <c r="D62" s="173" t="s">
        <v>7018</v>
      </c>
      <c r="E62" s="203">
        <v>45397</v>
      </c>
    </row>
    <row r="63" spans="1:5" ht="14.25" customHeight="1">
      <c r="A63" s="155">
        <v>32775448</v>
      </c>
      <c r="B63" s="179" t="str">
        <f ca="1">UPPER(Tabla1[[#This Row],[Apellido]])</f>
        <v>VARELA FRIAS</v>
      </c>
      <c r="C63" s="179" t="str">
        <f ca="1">UPPER(Tabla1[[#This Row],[Nombre]])</f>
        <v>DANIEL MATIAS</v>
      </c>
      <c r="D63" s="179" t="s">
        <v>7018</v>
      </c>
      <c r="E63" s="203">
        <v>45397</v>
      </c>
    </row>
    <row r="64" spans="1:5" ht="14.25" customHeight="1">
      <c r="A64" s="155">
        <v>32775448</v>
      </c>
      <c r="B64" s="174" t="s">
        <v>7512</v>
      </c>
      <c r="C64" s="174" t="s">
        <v>8730</v>
      </c>
      <c r="D64" s="173" t="s">
        <v>7018</v>
      </c>
      <c r="E64" s="203">
        <v>45397</v>
      </c>
    </row>
    <row r="65" spans="1:5" ht="14.25" customHeight="1">
      <c r="A65" s="155">
        <v>33979847</v>
      </c>
      <c r="B65" s="179" t="str">
        <f ca="1">UPPER(Tabla1[[#This Row],[Apellido]])</f>
        <v>BEMSCH</v>
      </c>
      <c r="C65" s="179" t="str">
        <f ca="1">UPPER(Tabla1[[#This Row],[Nombre]])</f>
        <v>ANA MARIA</v>
      </c>
      <c r="D65" s="179" t="s">
        <v>7018</v>
      </c>
      <c r="E65" s="203">
        <v>45397</v>
      </c>
    </row>
    <row r="66" spans="1:5" ht="14.25" customHeight="1">
      <c r="A66" s="155">
        <v>33979847</v>
      </c>
      <c r="B66" s="174" t="s">
        <v>8736</v>
      </c>
      <c r="C66" s="174" t="s">
        <v>8737</v>
      </c>
      <c r="D66" s="173" t="s">
        <v>7018</v>
      </c>
      <c r="E66" s="203">
        <v>45397</v>
      </c>
    </row>
    <row r="67" spans="1:5" ht="14.25" customHeight="1">
      <c r="A67" s="155">
        <v>35517532</v>
      </c>
      <c r="B67" s="179" t="str">
        <f ca="1">UPPER(Tabla1[[#This Row],[Apellido]])</f>
        <v>FENIK</v>
      </c>
      <c r="C67" s="179" t="str">
        <f ca="1">UPPER(Tabla1[[#This Row],[Nombre]])</f>
        <v>SILVINA</v>
      </c>
      <c r="D67" s="179" t="s">
        <v>7018</v>
      </c>
      <c r="E67" s="203">
        <v>45397</v>
      </c>
    </row>
    <row r="68" spans="1:5" ht="14.25" customHeight="1">
      <c r="A68" s="155">
        <v>35517532</v>
      </c>
      <c r="B68" s="174" t="s">
        <v>8979</v>
      </c>
      <c r="C68" s="174" t="s">
        <v>8735</v>
      </c>
      <c r="D68" s="173" t="s">
        <v>7018</v>
      </c>
      <c r="E68" s="203">
        <v>45397</v>
      </c>
    </row>
    <row r="69" spans="1:5" ht="14.25" customHeight="1">
      <c r="A69" s="155">
        <v>35807614</v>
      </c>
      <c r="B69" s="179" t="str">
        <f ca="1">UPPER(Tabla1[[#This Row],[Apellido]])</f>
        <v>GARCIA</v>
      </c>
      <c r="C69" s="179" t="str">
        <f ca="1">UPPER(Tabla1[[#This Row],[Nombre]])</f>
        <v>MARIANA</v>
      </c>
      <c r="D69" s="179" t="s">
        <v>7018</v>
      </c>
      <c r="E69" s="203">
        <v>45397</v>
      </c>
    </row>
    <row r="70" spans="1:5" ht="14.25" customHeight="1">
      <c r="A70" s="155">
        <v>35807614</v>
      </c>
      <c r="B70" s="174" t="s">
        <v>8976</v>
      </c>
      <c r="C70" s="174" t="s">
        <v>8724</v>
      </c>
      <c r="D70" s="173" t="s">
        <v>7018</v>
      </c>
      <c r="E70" s="203">
        <v>45397</v>
      </c>
    </row>
    <row r="71" spans="1:5" ht="14.25" customHeight="1">
      <c r="A71" s="155">
        <v>37097191</v>
      </c>
      <c r="B71" s="179" t="str">
        <f ca="1">UPPER(Tabla1[[#This Row],[Apellido]])</f>
        <v>OSCARIZ</v>
      </c>
      <c r="C71" s="179" t="str">
        <f ca="1">UPPER(Tabla1[[#This Row],[Nombre]])</f>
        <v>FRANCO EMANUEL</v>
      </c>
      <c r="D71" s="179" t="s">
        <v>7018</v>
      </c>
      <c r="E71" s="203">
        <v>45397</v>
      </c>
    </row>
    <row r="72" spans="1:5" ht="14.25" customHeight="1">
      <c r="A72" s="155">
        <v>37097191</v>
      </c>
      <c r="B72" s="174" t="s">
        <v>8732</v>
      </c>
      <c r="C72" s="174" t="s">
        <v>8733</v>
      </c>
      <c r="D72" s="173" t="s">
        <v>7018</v>
      </c>
      <c r="E72" s="203">
        <v>45397</v>
      </c>
    </row>
    <row r="73" spans="1:5" ht="14.25" customHeight="1">
      <c r="A73" s="155">
        <v>43163028</v>
      </c>
      <c r="B73" s="179" t="str">
        <f ca="1">UPPER(Tabla1[[#This Row],[Apellido]])</f>
        <v>PAEZ</v>
      </c>
      <c r="C73" s="179" t="str">
        <f ca="1">UPPER(Tabla1[[#This Row],[Nombre]])</f>
        <v>VERONICA</v>
      </c>
      <c r="D73" s="179" t="s">
        <v>7018</v>
      </c>
      <c r="E73" s="203">
        <v>45397</v>
      </c>
    </row>
    <row r="74" spans="1:5" ht="14.25" customHeight="1">
      <c r="A74" s="155">
        <v>43163028</v>
      </c>
      <c r="B74" s="174" t="s">
        <v>8978</v>
      </c>
      <c r="C74" s="174" t="s">
        <v>8734</v>
      </c>
      <c r="D74" s="173" t="s">
        <v>7018</v>
      </c>
      <c r="E74" s="203">
        <v>45397</v>
      </c>
    </row>
    <row r="75" spans="1:5" ht="14.25" hidden="1" customHeight="1">
      <c r="A75" s="155">
        <v>16541407</v>
      </c>
      <c r="B75" s="173" t="s">
        <v>6730</v>
      </c>
      <c r="C75" s="173" t="s">
        <v>468</v>
      </c>
      <c r="D75" s="173" t="s">
        <v>8582</v>
      </c>
      <c r="E75" s="203">
        <v>45238</v>
      </c>
    </row>
    <row r="76" spans="1:5" ht="14.25" hidden="1" customHeight="1">
      <c r="A76" s="158">
        <v>32927840</v>
      </c>
      <c r="B76" s="173" t="s">
        <v>1512</v>
      </c>
      <c r="C76" s="173" t="s">
        <v>6056</v>
      </c>
      <c r="D76" s="173" t="s">
        <v>8582</v>
      </c>
      <c r="E76" s="203">
        <v>45238</v>
      </c>
    </row>
    <row r="77" spans="1:5" ht="14.25" hidden="1" customHeight="1">
      <c r="A77" s="155">
        <v>14234802</v>
      </c>
      <c r="B77" s="171" t="s">
        <v>9208</v>
      </c>
      <c r="C77" s="171" t="s">
        <v>9209</v>
      </c>
      <c r="D77" s="173" t="s">
        <v>9210</v>
      </c>
      <c r="E77" s="203">
        <v>45231</v>
      </c>
    </row>
    <row r="78" spans="1:5" ht="14.25" hidden="1" customHeight="1">
      <c r="A78" s="155">
        <v>16685009</v>
      </c>
      <c r="B78" s="171" t="s">
        <v>9170</v>
      </c>
      <c r="C78" s="171" t="s">
        <v>9171</v>
      </c>
      <c r="D78" s="173" t="s">
        <v>9210</v>
      </c>
      <c r="E78" s="203">
        <v>45231</v>
      </c>
    </row>
    <row r="79" spans="1:5" ht="14.25" hidden="1" customHeight="1">
      <c r="A79" s="155">
        <v>17060425</v>
      </c>
      <c r="B79" s="171" t="s">
        <v>9088</v>
      </c>
      <c r="C79" s="171" t="s">
        <v>9193</v>
      </c>
      <c r="D79" s="173" t="s">
        <v>9210</v>
      </c>
      <c r="E79" s="203">
        <v>45231</v>
      </c>
    </row>
    <row r="80" spans="1:5" ht="14.25" hidden="1" customHeight="1">
      <c r="A80" s="155">
        <v>17614923</v>
      </c>
      <c r="B80" s="171" t="s">
        <v>9185</v>
      </c>
      <c r="C80" s="171" t="s">
        <v>9186</v>
      </c>
      <c r="D80" s="173" t="s">
        <v>9210</v>
      </c>
      <c r="E80" s="203">
        <v>45231</v>
      </c>
    </row>
    <row r="81" spans="1:5" ht="14.25" hidden="1" customHeight="1">
      <c r="A81" s="155">
        <v>17655542</v>
      </c>
      <c r="B81" s="171" t="s">
        <v>6850</v>
      </c>
      <c r="C81" s="171" t="s">
        <v>8295</v>
      </c>
      <c r="D81" s="173" t="s">
        <v>9210</v>
      </c>
      <c r="E81" s="203">
        <v>45231</v>
      </c>
    </row>
    <row r="82" spans="1:5" ht="14.25" hidden="1" customHeight="1">
      <c r="A82" s="155">
        <v>18187738</v>
      </c>
      <c r="B82" s="171" t="s">
        <v>7978</v>
      </c>
      <c r="C82" s="171" t="s">
        <v>9175</v>
      </c>
      <c r="D82" s="173" t="s">
        <v>9210</v>
      </c>
      <c r="E82" s="203">
        <v>45231</v>
      </c>
    </row>
    <row r="83" spans="1:5" ht="14.25" hidden="1" customHeight="1">
      <c r="A83" s="155">
        <v>20433790</v>
      </c>
      <c r="B83" s="171" t="s">
        <v>9011</v>
      </c>
      <c r="C83" s="171" t="s">
        <v>9198</v>
      </c>
      <c r="D83" s="173" t="s">
        <v>9210</v>
      </c>
      <c r="E83" s="203">
        <v>45231</v>
      </c>
    </row>
    <row r="84" spans="1:5" ht="14.25" hidden="1" customHeight="1">
      <c r="A84" s="155">
        <v>21609438</v>
      </c>
      <c r="B84" s="171" t="s">
        <v>7499</v>
      </c>
      <c r="C84" s="171" t="s">
        <v>9195</v>
      </c>
      <c r="D84" s="173" t="s">
        <v>9210</v>
      </c>
      <c r="E84" s="203">
        <v>45231</v>
      </c>
    </row>
    <row r="85" spans="1:5" ht="14.25" hidden="1" customHeight="1">
      <c r="A85" s="155">
        <v>22331107</v>
      </c>
      <c r="B85" s="171" t="s">
        <v>9164</v>
      </c>
      <c r="C85" s="171" t="s">
        <v>9166</v>
      </c>
      <c r="D85" s="173" t="s">
        <v>9210</v>
      </c>
      <c r="E85" s="203">
        <v>45231</v>
      </c>
    </row>
    <row r="86" spans="1:5" ht="14.25" hidden="1" customHeight="1">
      <c r="A86" s="155">
        <v>22332640</v>
      </c>
      <c r="B86" s="171" t="s">
        <v>9173</v>
      </c>
      <c r="C86" s="171" t="s">
        <v>9174</v>
      </c>
      <c r="D86" s="173" t="s">
        <v>9210</v>
      </c>
      <c r="E86" s="203">
        <v>45231</v>
      </c>
    </row>
    <row r="87" spans="1:5" ht="14.25" hidden="1" customHeight="1">
      <c r="A87" s="155">
        <v>23519818</v>
      </c>
      <c r="B87" s="171" t="s">
        <v>9199</v>
      </c>
      <c r="C87" s="171" t="s">
        <v>9200</v>
      </c>
      <c r="D87" s="173" t="s">
        <v>9210</v>
      </c>
      <c r="E87" s="203">
        <v>45231</v>
      </c>
    </row>
    <row r="88" spans="1:5" ht="14.25" hidden="1" customHeight="1">
      <c r="A88" s="155">
        <v>25212343</v>
      </c>
      <c r="B88" s="171" t="s">
        <v>9176</v>
      </c>
      <c r="C88" s="171" t="s">
        <v>9177</v>
      </c>
      <c r="D88" s="173" t="s">
        <v>9210</v>
      </c>
      <c r="E88" s="203">
        <v>45231</v>
      </c>
    </row>
    <row r="89" spans="1:5" ht="14.25" hidden="1" customHeight="1">
      <c r="A89" s="155">
        <v>26454194</v>
      </c>
      <c r="B89" s="171" t="s">
        <v>7746</v>
      </c>
      <c r="C89" s="171" t="s">
        <v>9203</v>
      </c>
      <c r="D89" s="173" t="s">
        <v>9210</v>
      </c>
      <c r="E89" s="203">
        <v>45231</v>
      </c>
    </row>
    <row r="90" spans="1:5" ht="14.25" hidden="1" customHeight="1">
      <c r="A90" s="155">
        <v>26722921</v>
      </c>
      <c r="B90" s="171" t="s">
        <v>9180</v>
      </c>
      <c r="C90" s="171" t="s">
        <v>9181</v>
      </c>
      <c r="D90" s="173" t="s">
        <v>9210</v>
      </c>
      <c r="E90" s="203">
        <v>45231</v>
      </c>
    </row>
    <row r="91" spans="1:5" ht="14.25" hidden="1" customHeight="1">
      <c r="A91" s="155">
        <v>27430251</v>
      </c>
      <c r="B91" s="171" t="s">
        <v>9201</v>
      </c>
      <c r="C91" s="171" t="s">
        <v>9202</v>
      </c>
      <c r="D91" s="173" t="s">
        <v>9210</v>
      </c>
      <c r="E91" s="203">
        <v>45231</v>
      </c>
    </row>
    <row r="92" spans="1:5" ht="14.25" hidden="1" customHeight="1">
      <c r="A92" s="155">
        <v>28884614</v>
      </c>
      <c r="B92" s="171" t="s">
        <v>9189</v>
      </c>
      <c r="C92" s="171" t="s">
        <v>9190</v>
      </c>
      <c r="D92" s="173" t="s">
        <v>9210</v>
      </c>
      <c r="E92" s="203">
        <v>45231</v>
      </c>
    </row>
    <row r="93" spans="1:5" ht="14.25" hidden="1" customHeight="1">
      <c r="A93" s="155">
        <v>29532427</v>
      </c>
      <c r="B93" s="171" t="s">
        <v>7492</v>
      </c>
      <c r="C93" s="171" t="s">
        <v>9182</v>
      </c>
      <c r="D93" s="173" t="s">
        <v>9210</v>
      </c>
      <c r="E93" s="203">
        <v>45231</v>
      </c>
    </row>
    <row r="94" spans="1:5" ht="14.25" hidden="1" customHeight="1">
      <c r="A94" s="155">
        <v>30497720</v>
      </c>
      <c r="B94" s="171" t="s">
        <v>9183</v>
      </c>
      <c r="C94" s="171" t="s">
        <v>9184</v>
      </c>
      <c r="D94" s="173" t="s">
        <v>9210</v>
      </c>
      <c r="E94" s="203">
        <v>45231</v>
      </c>
    </row>
    <row r="95" spans="1:5" ht="14.25" hidden="1" customHeight="1">
      <c r="A95" s="155">
        <v>30597790</v>
      </c>
      <c r="B95" s="171" t="s">
        <v>9196</v>
      </c>
      <c r="C95" s="171" t="s">
        <v>9197</v>
      </c>
      <c r="D95" s="173" t="s">
        <v>9210</v>
      </c>
      <c r="E95" s="203">
        <v>45231</v>
      </c>
    </row>
    <row r="96" spans="1:5" ht="14.25" hidden="1" customHeight="1">
      <c r="A96" s="155">
        <v>31505906</v>
      </c>
      <c r="B96" s="171" t="s">
        <v>9204</v>
      </c>
      <c r="C96" s="171" t="s">
        <v>9205</v>
      </c>
      <c r="D96" s="173" t="s">
        <v>9210</v>
      </c>
      <c r="E96" s="203">
        <v>45231</v>
      </c>
    </row>
    <row r="97" spans="1:5" ht="14.25" hidden="1" customHeight="1">
      <c r="A97" s="155">
        <v>31589261</v>
      </c>
      <c r="B97" s="171" t="s">
        <v>8285</v>
      </c>
      <c r="C97" s="171" t="s">
        <v>9172</v>
      </c>
      <c r="D97" s="173" t="s">
        <v>9210</v>
      </c>
      <c r="E97" s="203">
        <v>45231</v>
      </c>
    </row>
    <row r="98" spans="1:5" ht="14.25" hidden="1" customHeight="1">
      <c r="A98" s="155">
        <v>33884227</v>
      </c>
      <c r="B98" s="171" t="s">
        <v>9178</v>
      </c>
      <c r="C98" s="171" t="s">
        <v>9179</v>
      </c>
      <c r="D98" s="173" t="s">
        <v>9210</v>
      </c>
      <c r="E98" s="203">
        <v>45231</v>
      </c>
    </row>
    <row r="99" spans="1:5" ht="14.25" hidden="1" customHeight="1">
      <c r="A99" s="155">
        <v>33973474</v>
      </c>
      <c r="B99" s="171" t="s">
        <v>9011</v>
      </c>
      <c r="C99" s="171" t="s">
        <v>9194</v>
      </c>
      <c r="D99" s="173" t="s">
        <v>9210</v>
      </c>
      <c r="E99" s="203">
        <v>45231</v>
      </c>
    </row>
    <row r="100" spans="1:5" ht="14.25" hidden="1" customHeight="1">
      <c r="A100" s="155">
        <v>34132915</v>
      </c>
      <c r="B100" s="171" t="s">
        <v>9164</v>
      </c>
      <c r="C100" s="171" t="s">
        <v>9165</v>
      </c>
      <c r="D100" s="173" t="s">
        <v>9210</v>
      </c>
      <c r="E100" s="203">
        <v>45231</v>
      </c>
    </row>
    <row r="101" spans="1:5" ht="14.25" hidden="1" customHeight="1">
      <c r="A101" s="155">
        <v>34133413</v>
      </c>
      <c r="B101" s="171" t="s">
        <v>9168</v>
      </c>
      <c r="C101" s="171" t="s">
        <v>9169</v>
      </c>
      <c r="D101" s="173" t="s">
        <v>9210</v>
      </c>
      <c r="E101" s="203">
        <v>45231</v>
      </c>
    </row>
    <row r="102" spans="1:5" ht="14.25" hidden="1" customHeight="1">
      <c r="A102" s="155">
        <v>34603476</v>
      </c>
      <c r="B102" s="171" t="s">
        <v>9191</v>
      </c>
      <c r="C102" s="171" t="s">
        <v>9192</v>
      </c>
      <c r="D102" s="173" t="s">
        <v>9210</v>
      </c>
      <c r="E102" s="203">
        <v>45231</v>
      </c>
    </row>
    <row r="103" spans="1:5" ht="14.25" hidden="1" customHeight="1">
      <c r="A103" s="155">
        <v>34953481</v>
      </c>
      <c r="B103" s="174" t="s">
        <v>7499</v>
      </c>
      <c r="C103" s="174" t="s">
        <v>9194</v>
      </c>
      <c r="D103" s="173" t="s">
        <v>9210</v>
      </c>
      <c r="E103" s="203">
        <v>45231</v>
      </c>
    </row>
    <row r="104" spans="1:5" ht="14.25" hidden="1" customHeight="1">
      <c r="A104" s="155">
        <v>36049481</v>
      </c>
      <c r="B104" s="171" t="s">
        <v>9096</v>
      </c>
      <c r="C104" s="171" t="s">
        <v>9163</v>
      </c>
      <c r="D104" s="173" t="s">
        <v>9210</v>
      </c>
      <c r="E104" s="203">
        <v>45231</v>
      </c>
    </row>
    <row r="105" spans="1:5" ht="14.25" hidden="1" customHeight="1">
      <c r="A105" s="155">
        <v>36585692</v>
      </c>
      <c r="B105" s="171" t="s">
        <v>7886</v>
      </c>
      <c r="C105" s="171" t="s">
        <v>9167</v>
      </c>
      <c r="D105" s="173" t="s">
        <v>9210</v>
      </c>
      <c r="E105" s="203">
        <v>45231</v>
      </c>
    </row>
    <row r="106" spans="1:5" ht="14.25" hidden="1" customHeight="1">
      <c r="A106" s="155">
        <v>36838696</v>
      </c>
      <c r="B106" s="171" t="s">
        <v>9005</v>
      </c>
      <c r="C106" s="171" t="s">
        <v>9006</v>
      </c>
      <c r="D106" s="173" t="s">
        <v>9210</v>
      </c>
      <c r="E106" s="203">
        <v>45231</v>
      </c>
    </row>
    <row r="107" spans="1:5" ht="14.25" hidden="1" customHeight="1">
      <c r="A107" s="155">
        <v>38023549</v>
      </c>
      <c r="B107" s="171" t="s">
        <v>9187</v>
      </c>
      <c r="C107" s="171" t="s">
        <v>9188</v>
      </c>
      <c r="D107" s="173" t="s">
        <v>9210</v>
      </c>
      <c r="E107" s="203">
        <v>45231</v>
      </c>
    </row>
    <row r="108" spans="1:5" ht="14.25" hidden="1" customHeight="1">
      <c r="A108" s="155">
        <v>41950406</v>
      </c>
      <c r="B108" s="171" t="s">
        <v>9206</v>
      </c>
      <c r="C108" s="171" t="s">
        <v>9207</v>
      </c>
      <c r="D108" s="173" t="s">
        <v>9210</v>
      </c>
      <c r="E108" s="203">
        <v>45231</v>
      </c>
    </row>
    <row r="109" spans="1:5" ht="14.25" hidden="1" customHeight="1">
      <c r="A109" s="155">
        <v>21328294</v>
      </c>
      <c r="B109" s="171" t="s">
        <v>6770</v>
      </c>
      <c r="C109" s="171" t="s">
        <v>6771</v>
      </c>
      <c r="D109" s="173" t="s">
        <v>8461</v>
      </c>
      <c r="E109" s="203">
        <v>45226</v>
      </c>
    </row>
    <row r="110" spans="1:5" ht="14.25" hidden="1" customHeight="1">
      <c r="A110" s="155">
        <v>22263035</v>
      </c>
      <c r="B110" s="171" t="s">
        <v>6790</v>
      </c>
      <c r="C110" s="171" t="s">
        <v>6791</v>
      </c>
      <c r="D110" s="173" t="s">
        <v>8461</v>
      </c>
      <c r="E110" s="203">
        <v>45226</v>
      </c>
    </row>
    <row r="111" spans="1:5" ht="14.25" hidden="1" customHeight="1">
      <c r="A111" s="155">
        <v>23411308</v>
      </c>
      <c r="B111" s="171" t="s">
        <v>6955</v>
      </c>
      <c r="C111" s="171" t="s">
        <v>6956</v>
      </c>
      <c r="D111" s="173" t="s">
        <v>8461</v>
      </c>
      <c r="E111" s="203">
        <v>45226</v>
      </c>
    </row>
    <row r="112" spans="1:5" ht="14.25" hidden="1" customHeight="1">
      <c r="A112" s="155">
        <v>26685498</v>
      </c>
      <c r="B112" s="171" t="s">
        <v>9228</v>
      </c>
      <c r="C112" s="171" t="s">
        <v>8988</v>
      </c>
      <c r="D112" s="173" t="s">
        <v>8461</v>
      </c>
      <c r="E112" s="203">
        <v>45226</v>
      </c>
    </row>
    <row r="113" spans="1:5" ht="14.25" hidden="1" customHeight="1">
      <c r="A113" s="155">
        <v>27210980</v>
      </c>
      <c r="B113" s="171" t="s">
        <v>9226</v>
      </c>
      <c r="C113" s="171" t="s">
        <v>9227</v>
      </c>
      <c r="D113" s="173" t="s">
        <v>8461</v>
      </c>
      <c r="E113" s="203">
        <v>45226</v>
      </c>
    </row>
    <row r="114" spans="1:5" ht="14.25" hidden="1" customHeight="1">
      <c r="A114" s="155">
        <v>28883884</v>
      </c>
      <c r="B114" s="171" t="s">
        <v>9216</v>
      </c>
      <c r="C114" s="171" t="s">
        <v>9217</v>
      </c>
      <c r="D114" s="173" t="s">
        <v>8461</v>
      </c>
      <c r="E114" s="203">
        <v>45226</v>
      </c>
    </row>
    <row r="115" spans="1:5" ht="14.25" hidden="1" customHeight="1">
      <c r="A115" s="155">
        <v>29640168</v>
      </c>
      <c r="B115" s="171" t="s">
        <v>8311</v>
      </c>
      <c r="C115" s="171" t="s">
        <v>9215</v>
      </c>
      <c r="D115" s="173" t="s">
        <v>8461</v>
      </c>
      <c r="E115" s="203">
        <v>45226</v>
      </c>
    </row>
    <row r="116" spans="1:5" ht="14.25" hidden="1" customHeight="1">
      <c r="A116" s="155">
        <v>29640389</v>
      </c>
      <c r="B116" s="171" t="s">
        <v>9211</v>
      </c>
      <c r="C116" s="171" t="s">
        <v>9212</v>
      </c>
      <c r="D116" s="173" t="s">
        <v>8461</v>
      </c>
      <c r="E116" s="203">
        <v>45226</v>
      </c>
    </row>
    <row r="117" spans="1:5" ht="14.25" hidden="1" customHeight="1">
      <c r="A117" s="155">
        <v>29879043</v>
      </c>
      <c r="B117" s="171" t="s">
        <v>9221</v>
      </c>
      <c r="C117" s="171" t="s">
        <v>9222</v>
      </c>
      <c r="D117" s="173" t="s">
        <v>8461</v>
      </c>
      <c r="E117" s="203">
        <v>45226</v>
      </c>
    </row>
    <row r="118" spans="1:5" ht="14.25" hidden="1" customHeight="1">
      <c r="A118" s="155">
        <v>31254677</v>
      </c>
      <c r="B118" s="171" t="s">
        <v>9225</v>
      </c>
      <c r="C118" s="171" t="s">
        <v>7413</v>
      </c>
      <c r="D118" s="173" t="s">
        <v>8461</v>
      </c>
      <c r="E118" s="203">
        <v>45226</v>
      </c>
    </row>
    <row r="119" spans="1:5" ht="14.25" hidden="1" customHeight="1">
      <c r="A119" s="155">
        <v>32853583</v>
      </c>
      <c r="B119" s="171" t="s">
        <v>9231</v>
      </c>
      <c r="C119" s="171" t="s">
        <v>7747</v>
      </c>
      <c r="D119" s="173" t="s">
        <v>8461</v>
      </c>
      <c r="E119" s="203">
        <v>45226</v>
      </c>
    </row>
    <row r="120" spans="1:5" ht="14.25" hidden="1" customHeight="1">
      <c r="A120" s="155">
        <v>33163547</v>
      </c>
      <c r="B120" s="171" t="s">
        <v>9219</v>
      </c>
      <c r="C120" s="171" t="s">
        <v>9220</v>
      </c>
      <c r="D120" s="173" t="s">
        <v>8461</v>
      </c>
      <c r="E120" s="203">
        <v>45226</v>
      </c>
    </row>
    <row r="121" spans="1:5" ht="14.25" hidden="1" customHeight="1">
      <c r="A121" s="155">
        <v>34160155</v>
      </c>
      <c r="B121" s="171" t="s">
        <v>8104</v>
      </c>
      <c r="C121" s="171" t="s">
        <v>9218</v>
      </c>
      <c r="D121" s="173" t="s">
        <v>8461</v>
      </c>
      <c r="E121" s="203">
        <v>45226</v>
      </c>
    </row>
    <row r="122" spans="1:5" ht="14.25" hidden="1" customHeight="1">
      <c r="A122" s="155">
        <v>35199654</v>
      </c>
      <c r="B122" s="171" t="s">
        <v>9213</v>
      </c>
      <c r="C122" s="171" t="s">
        <v>9214</v>
      </c>
      <c r="D122" s="173" t="s">
        <v>8461</v>
      </c>
      <c r="E122" s="203">
        <v>45226</v>
      </c>
    </row>
    <row r="123" spans="1:5" ht="14.25" hidden="1" customHeight="1">
      <c r="A123" s="155">
        <v>35911880</v>
      </c>
      <c r="B123" s="171" t="s">
        <v>9229</v>
      </c>
      <c r="C123" s="171" t="s">
        <v>9230</v>
      </c>
      <c r="D123" s="173" t="s">
        <v>8461</v>
      </c>
      <c r="E123" s="203">
        <v>45226</v>
      </c>
    </row>
    <row r="124" spans="1:5" ht="14.25" hidden="1" customHeight="1">
      <c r="A124" s="155">
        <v>36224178</v>
      </c>
      <c r="B124" s="171" t="s">
        <v>9223</v>
      </c>
      <c r="C124" s="171" t="s">
        <v>8956</v>
      </c>
      <c r="D124" s="173" t="s">
        <v>8461</v>
      </c>
      <c r="E124" s="203">
        <v>45226</v>
      </c>
    </row>
    <row r="125" spans="1:5" ht="14.25" hidden="1" customHeight="1">
      <c r="A125" s="155">
        <v>37500772</v>
      </c>
      <c r="B125" s="171" t="s">
        <v>9086</v>
      </c>
      <c r="C125" s="171" t="s">
        <v>9224</v>
      </c>
      <c r="D125" s="173" t="s">
        <v>8461</v>
      </c>
      <c r="E125" s="203">
        <v>45226</v>
      </c>
    </row>
    <row r="126" spans="1:5" ht="14.25" hidden="1" customHeight="1">
      <c r="A126" s="158">
        <v>14225922</v>
      </c>
      <c r="B126" s="174" t="s">
        <v>207</v>
      </c>
      <c r="C126" s="174" t="s">
        <v>27</v>
      </c>
      <c r="D126" s="173" t="s">
        <v>7009</v>
      </c>
      <c r="E126" s="203">
        <v>45217</v>
      </c>
    </row>
    <row r="127" spans="1:5" ht="14.25" hidden="1" customHeight="1">
      <c r="A127" s="158">
        <v>22664008</v>
      </c>
      <c r="B127" s="174" t="s">
        <v>8851</v>
      </c>
      <c r="C127" s="174" t="s">
        <v>7537</v>
      </c>
      <c r="D127" s="173" t="s">
        <v>7009</v>
      </c>
      <c r="E127" s="203">
        <v>45217</v>
      </c>
    </row>
    <row r="128" spans="1:5" ht="14.25" hidden="1" customHeight="1">
      <c r="A128" s="158">
        <v>23167760</v>
      </c>
      <c r="B128" s="174" t="s">
        <v>9036</v>
      </c>
      <c r="C128" s="174" t="s">
        <v>9037</v>
      </c>
      <c r="D128" s="173" t="s">
        <v>7009</v>
      </c>
      <c r="E128" s="203">
        <v>45217</v>
      </c>
    </row>
    <row r="129" spans="1:5" ht="14.25" hidden="1" customHeight="1">
      <c r="A129" s="158">
        <v>24301697</v>
      </c>
      <c r="B129" s="174" t="s">
        <v>9030</v>
      </c>
      <c r="C129" s="174" t="s">
        <v>9031</v>
      </c>
      <c r="D129" s="173" t="s">
        <v>7009</v>
      </c>
      <c r="E129" s="203">
        <v>45217</v>
      </c>
    </row>
    <row r="130" spans="1:5" ht="14.25" hidden="1" customHeight="1">
      <c r="A130" s="158">
        <v>27732258</v>
      </c>
      <c r="B130" s="174" t="s">
        <v>6850</v>
      </c>
      <c r="C130" s="174" t="s">
        <v>9025</v>
      </c>
      <c r="D130" s="173" t="s">
        <v>7009</v>
      </c>
      <c r="E130" s="203">
        <v>45217</v>
      </c>
    </row>
    <row r="131" spans="1:5" ht="14.25" hidden="1" customHeight="1">
      <c r="A131" s="158">
        <v>31030485</v>
      </c>
      <c r="B131" s="174" t="s">
        <v>3578</v>
      </c>
      <c r="C131" s="174" t="s">
        <v>178</v>
      </c>
      <c r="D131" s="173" t="s">
        <v>7009</v>
      </c>
      <c r="E131" s="203">
        <v>45217</v>
      </c>
    </row>
    <row r="132" spans="1:5" ht="14.25" hidden="1" customHeight="1">
      <c r="A132" s="158">
        <v>33374371</v>
      </c>
      <c r="B132" s="174" t="s">
        <v>9027</v>
      </c>
      <c r="C132" s="174" t="s">
        <v>9028</v>
      </c>
      <c r="D132" s="173" t="s">
        <v>7009</v>
      </c>
      <c r="E132" s="203">
        <v>45217</v>
      </c>
    </row>
    <row r="133" spans="1:5" ht="14.25" hidden="1" customHeight="1">
      <c r="A133" s="158">
        <v>34327656</v>
      </c>
      <c r="B133" s="174" t="s">
        <v>9026</v>
      </c>
      <c r="C133" s="174" t="s">
        <v>7304</v>
      </c>
      <c r="D133" s="173" t="s">
        <v>7009</v>
      </c>
      <c r="E133" s="203">
        <v>45217</v>
      </c>
    </row>
    <row r="134" spans="1:5" ht="14.25" hidden="1" customHeight="1">
      <c r="A134" s="158">
        <v>34719547</v>
      </c>
      <c r="B134" s="174" t="s">
        <v>7480</v>
      </c>
      <c r="C134" s="174" t="s">
        <v>9029</v>
      </c>
      <c r="D134" s="173" t="s">
        <v>7009</v>
      </c>
      <c r="E134" s="203">
        <v>45217</v>
      </c>
    </row>
    <row r="135" spans="1:5" ht="14.25" hidden="1" customHeight="1">
      <c r="A135" s="158">
        <v>35485322</v>
      </c>
      <c r="B135" s="174" t="s">
        <v>9038</v>
      </c>
      <c r="C135" s="174" t="s">
        <v>9039</v>
      </c>
      <c r="D135" s="173" t="s">
        <v>7009</v>
      </c>
      <c r="E135" s="203">
        <v>45217</v>
      </c>
    </row>
    <row r="136" spans="1:5" ht="14.25" hidden="1" customHeight="1">
      <c r="A136" s="158">
        <v>36420915</v>
      </c>
      <c r="B136" s="174" t="s">
        <v>9032</v>
      </c>
      <c r="C136" s="174" t="s">
        <v>9033</v>
      </c>
      <c r="D136" s="173" t="s">
        <v>7009</v>
      </c>
      <c r="E136" s="203">
        <v>45217</v>
      </c>
    </row>
    <row r="137" spans="1:5" ht="14.25" hidden="1" customHeight="1">
      <c r="A137" s="158">
        <v>37497769</v>
      </c>
      <c r="B137" s="174" t="s">
        <v>8815</v>
      </c>
      <c r="C137" s="174" t="s">
        <v>9024</v>
      </c>
      <c r="D137" s="173" t="s">
        <v>7009</v>
      </c>
      <c r="E137" s="203">
        <v>45217</v>
      </c>
    </row>
    <row r="138" spans="1:5" ht="14.25" hidden="1" customHeight="1">
      <c r="A138" s="158"/>
      <c r="B138" s="174" t="s">
        <v>9034</v>
      </c>
      <c r="C138" s="174" t="s">
        <v>9035</v>
      </c>
      <c r="D138" s="173" t="s">
        <v>7009</v>
      </c>
      <c r="E138" s="203">
        <v>45217</v>
      </c>
    </row>
    <row r="139" spans="1:5" ht="14.25" hidden="1" customHeight="1">
      <c r="A139" s="155">
        <v>13710024</v>
      </c>
      <c r="B139" s="174" t="s">
        <v>9150</v>
      </c>
      <c r="C139" s="174" t="s">
        <v>9151</v>
      </c>
      <c r="D139" s="173" t="s">
        <v>9095</v>
      </c>
      <c r="E139" s="203">
        <v>45211</v>
      </c>
    </row>
    <row r="140" spans="1:5" ht="14.25" hidden="1" customHeight="1">
      <c r="A140" s="155">
        <v>20178683</v>
      </c>
      <c r="B140" s="180" t="s">
        <v>9133</v>
      </c>
      <c r="C140" s="180" t="s">
        <v>9135</v>
      </c>
      <c r="D140" s="173" t="s">
        <v>9095</v>
      </c>
      <c r="E140" s="203">
        <v>45211</v>
      </c>
    </row>
    <row r="141" spans="1:5" ht="14.25" hidden="1" customHeight="1">
      <c r="A141" s="155">
        <v>20178767</v>
      </c>
      <c r="B141" s="174" t="s">
        <v>9131</v>
      </c>
      <c r="C141" s="174" t="s">
        <v>9132</v>
      </c>
      <c r="D141" s="173" t="s">
        <v>9095</v>
      </c>
      <c r="E141" s="203">
        <v>45211</v>
      </c>
    </row>
    <row r="142" spans="1:5" ht="14.25" hidden="1" customHeight="1">
      <c r="A142" s="155">
        <v>20219773</v>
      </c>
      <c r="B142" s="180" t="s">
        <v>9144</v>
      </c>
      <c r="C142" s="180" t="s">
        <v>9145</v>
      </c>
      <c r="D142" s="173" t="s">
        <v>9095</v>
      </c>
      <c r="E142" s="203">
        <v>45211</v>
      </c>
    </row>
    <row r="143" spans="1:5" ht="14.25" hidden="1" customHeight="1">
      <c r="A143" s="155">
        <v>21893835</v>
      </c>
      <c r="B143" s="174" t="s">
        <v>9123</v>
      </c>
      <c r="C143" s="174" t="s">
        <v>9124</v>
      </c>
      <c r="D143" s="173" t="s">
        <v>9095</v>
      </c>
      <c r="E143" s="203">
        <v>45211</v>
      </c>
    </row>
    <row r="144" spans="1:5" ht="14.25" hidden="1" customHeight="1">
      <c r="A144" s="155">
        <v>22031835</v>
      </c>
      <c r="B144" s="174" t="s">
        <v>9122</v>
      </c>
      <c r="C144" s="174" t="s">
        <v>8822</v>
      </c>
      <c r="D144" s="173" t="s">
        <v>9095</v>
      </c>
      <c r="E144" s="203">
        <v>45211</v>
      </c>
    </row>
    <row r="145" spans="1:5" ht="14.25" hidden="1" customHeight="1">
      <c r="A145" s="155">
        <v>22332403</v>
      </c>
      <c r="B145" s="174" t="s">
        <v>9106</v>
      </c>
      <c r="C145" s="174" t="s">
        <v>9107</v>
      </c>
      <c r="D145" s="173" t="s">
        <v>9095</v>
      </c>
      <c r="E145" s="203">
        <v>45211</v>
      </c>
    </row>
    <row r="146" spans="1:5" ht="14.25" hidden="1" customHeight="1">
      <c r="A146" s="155">
        <v>22805288</v>
      </c>
      <c r="B146" s="174" t="s">
        <v>9099</v>
      </c>
      <c r="C146" s="174" t="s">
        <v>9100</v>
      </c>
      <c r="D146" s="173" t="s">
        <v>9095</v>
      </c>
      <c r="E146" s="203">
        <v>45211</v>
      </c>
    </row>
    <row r="147" spans="1:5" ht="14.25" hidden="1" customHeight="1">
      <c r="A147" s="155">
        <v>23167760</v>
      </c>
      <c r="B147" s="174" t="s">
        <v>9036</v>
      </c>
      <c r="C147" s="174" t="s">
        <v>9037</v>
      </c>
      <c r="D147" s="173" t="s">
        <v>9095</v>
      </c>
      <c r="E147" s="203">
        <v>45211</v>
      </c>
    </row>
    <row r="148" spans="1:5" ht="14.25" hidden="1" customHeight="1">
      <c r="A148" s="155">
        <v>23238026</v>
      </c>
      <c r="B148" s="174" t="s">
        <v>9146</v>
      </c>
      <c r="C148" s="174" t="s">
        <v>9147</v>
      </c>
      <c r="D148" s="173" t="s">
        <v>9095</v>
      </c>
      <c r="E148" s="203">
        <v>45211</v>
      </c>
    </row>
    <row r="149" spans="1:5" ht="14.25" hidden="1" customHeight="1">
      <c r="A149" s="155">
        <v>24503749</v>
      </c>
      <c r="B149" s="174" t="s">
        <v>9096</v>
      </c>
      <c r="C149" s="174" t="s">
        <v>9098</v>
      </c>
      <c r="D149" s="173" t="s">
        <v>9095</v>
      </c>
      <c r="E149" s="203">
        <v>45211</v>
      </c>
    </row>
    <row r="150" spans="1:5" ht="14.25" hidden="1" customHeight="1">
      <c r="A150" s="155">
        <v>24553486</v>
      </c>
      <c r="B150" s="174" t="s">
        <v>8275</v>
      </c>
      <c r="C150" s="174" t="s">
        <v>6899</v>
      </c>
      <c r="D150" s="173" t="s">
        <v>9095</v>
      </c>
      <c r="E150" s="203">
        <v>45211</v>
      </c>
    </row>
    <row r="151" spans="1:5" ht="14.25" hidden="1" customHeight="1">
      <c r="A151" s="155">
        <v>25380707</v>
      </c>
      <c r="B151" s="180" t="s">
        <v>9142</v>
      </c>
      <c r="C151" s="180" t="s">
        <v>9143</v>
      </c>
      <c r="D151" s="173" t="s">
        <v>9095</v>
      </c>
      <c r="E151" s="203">
        <v>45211</v>
      </c>
    </row>
    <row r="152" spans="1:5" ht="14.25" hidden="1" customHeight="1">
      <c r="A152" s="155">
        <v>25734593</v>
      </c>
      <c r="B152" s="174" t="s">
        <v>9148</v>
      </c>
      <c r="C152" s="174" t="s">
        <v>9149</v>
      </c>
      <c r="D152" s="173" t="s">
        <v>9095</v>
      </c>
      <c r="E152" s="203">
        <v>45211</v>
      </c>
    </row>
    <row r="153" spans="1:5" ht="14.25" hidden="1" customHeight="1">
      <c r="A153" s="155">
        <v>25843239</v>
      </c>
      <c r="B153" s="174" t="s">
        <v>7729</v>
      </c>
      <c r="C153" s="174" t="s">
        <v>7521</v>
      </c>
      <c r="D153" s="173" t="s">
        <v>9095</v>
      </c>
      <c r="E153" s="203">
        <v>45211</v>
      </c>
    </row>
    <row r="154" spans="1:5" ht="14.25" hidden="1" customHeight="1">
      <c r="A154" s="155">
        <v>25923733</v>
      </c>
      <c r="B154" s="174" t="s">
        <v>9140</v>
      </c>
      <c r="C154" s="174" t="s">
        <v>9141</v>
      </c>
      <c r="D154" s="173" t="s">
        <v>9095</v>
      </c>
      <c r="E154" s="203">
        <v>45211</v>
      </c>
    </row>
    <row r="155" spans="1:5" ht="14.25" hidden="1" customHeight="1">
      <c r="A155" s="155">
        <v>27206952</v>
      </c>
      <c r="B155" s="174" t="s">
        <v>6924</v>
      </c>
      <c r="C155" s="174" t="s">
        <v>6925</v>
      </c>
      <c r="D155" s="173" t="s">
        <v>9095</v>
      </c>
      <c r="E155" s="203">
        <v>45211</v>
      </c>
    </row>
    <row r="156" spans="1:5" ht="14.25" hidden="1" customHeight="1">
      <c r="A156" s="155">
        <v>27224695</v>
      </c>
      <c r="B156" s="174" t="s">
        <v>7615</v>
      </c>
      <c r="C156" s="174" t="s">
        <v>8855</v>
      </c>
      <c r="D156" s="173" t="s">
        <v>9095</v>
      </c>
      <c r="E156" s="203">
        <v>45211</v>
      </c>
    </row>
    <row r="157" spans="1:5" ht="14.25" hidden="1" customHeight="1">
      <c r="A157" s="155">
        <v>27365353</v>
      </c>
      <c r="B157" s="174" t="s">
        <v>9019</v>
      </c>
      <c r="C157" s="174" t="s">
        <v>9020</v>
      </c>
      <c r="D157" s="173" t="s">
        <v>9095</v>
      </c>
      <c r="E157" s="203">
        <v>45211</v>
      </c>
    </row>
    <row r="158" spans="1:5" ht="14.25" hidden="1" customHeight="1">
      <c r="A158" s="155">
        <v>27370355</v>
      </c>
      <c r="B158" s="180" t="s">
        <v>6904</v>
      </c>
      <c r="C158" s="180" t="s">
        <v>9113</v>
      </c>
      <c r="D158" s="173" t="s">
        <v>9095</v>
      </c>
      <c r="E158" s="203">
        <v>45211</v>
      </c>
    </row>
    <row r="159" spans="1:5" ht="14.25" hidden="1" customHeight="1">
      <c r="A159" s="155">
        <v>27732258</v>
      </c>
      <c r="B159" s="174" t="s">
        <v>8817</v>
      </c>
      <c r="C159" s="174" t="s">
        <v>8818</v>
      </c>
      <c r="D159" s="173" t="s">
        <v>9095</v>
      </c>
      <c r="E159" s="203">
        <v>45211</v>
      </c>
    </row>
    <row r="160" spans="1:5" ht="14.25" hidden="1" customHeight="1">
      <c r="A160" s="155">
        <v>28053203</v>
      </c>
      <c r="B160" s="174" t="s">
        <v>6912</v>
      </c>
      <c r="C160" s="174" t="s">
        <v>9129</v>
      </c>
      <c r="D160" s="173" t="s">
        <v>9095</v>
      </c>
      <c r="E160" s="203">
        <v>45211</v>
      </c>
    </row>
    <row r="161" spans="1:5" ht="14.25" hidden="1" customHeight="1">
      <c r="A161" s="155">
        <v>28221010</v>
      </c>
      <c r="B161" s="174" t="s">
        <v>9111</v>
      </c>
      <c r="C161" s="174" t="s">
        <v>9112</v>
      </c>
      <c r="D161" s="173" t="s">
        <v>9095</v>
      </c>
      <c r="E161" s="203">
        <v>45211</v>
      </c>
    </row>
    <row r="162" spans="1:5" ht="14.25" hidden="1" customHeight="1">
      <c r="A162" s="155">
        <v>29183945</v>
      </c>
      <c r="B162" s="174" t="s">
        <v>9116</v>
      </c>
      <c r="C162" s="174" t="s">
        <v>9117</v>
      </c>
      <c r="D162" s="173" t="s">
        <v>9095</v>
      </c>
      <c r="E162" s="203">
        <v>45211</v>
      </c>
    </row>
    <row r="163" spans="1:5" ht="14.25" hidden="1" customHeight="1">
      <c r="A163" s="155">
        <v>30268715</v>
      </c>
      <c r="B163" s="174" t="s">
        <v>9118</v>
      </c>
      <c r="C163" s="174" t="s">
        <v>9066</v>
      </c>
      <c r="D163" s="173" t="s">
        <v>9095</v>
      </c>
      <c r="E163" s="203">
        <v>45211</v>
      </c>
    </row>
    <row r="164" spans="1:5" ht="14.25" hidden="1" customHeight="1">
      <c r="A164" s="155">
        <v>30760033</v>
      </c>
      <c r="B164" s="180" t="s">
        <v>9138</v>
      </c>
      <c r="C164" s="180" t="s">
        <v>9139</v>
      </c>
      <c r="D164" s="173" t="s">
        <v>9095</v>
      </c>
      <c r="E164" s="203">
        <v>45211</v>
      </c>
    </row>
    <row r="165" spans="1:5" ht="14.25" hidden="1" customHeight="1">
      <c r="A165" s="155">
        <v>31589500</v>
      </c>
      <c r="B165" s="180" t="s">
        <v>9109</v>
      </c>
      <c r="C165" s="180" t="s">
        <v>9110</v>
      </c>
      <c r="D165" s="173" t="s">
        <v>9095</v>
      </c>
      <c r="E165" s="203">
        <v>45211</v>
      </c>
    </row>
    <row r="166" spans="1:5" ht="14.25" hidden="1" customHeight="1">
      <c r="A166" s="155">
        <v>31644419</v>
      </c>
      <c r="B166" s="180" t="s">
        <v>9103</v>
      </c>
      <c r="C166" s="180" t="s">
        <v>9104</v>
      </c>
      <c r="D166" s="173" t="s">
        <v>9095</v>
      </c>
      <c r="E166" s="203">
        <v>45211</v>
      </c>
    </row>
    <row r="167" spans="1:5" ht="14.25" hidden="1" customHeight="1">
      <c r="A167" s="155">
        <v>31809522</v>
      </c>
      <c r="B167" s="180" t="s">
        <v>8957</v>
      </c>
      <c r="C167" s="180" t="s">
        <v>9037</v>
      </c>
      <c r="D167" s="173" t="s">
        <v>9095</v>
      </c>
      <c r="E167" s="203">
        <v>45211</v>
      </c>
    </row>
    <row r="168" spans="1:5" ht="14.25" hidden="1" customHeight="1">
      <c r="A168" s="155">
        <v>32115934</v>
      </c>
      <c r="B168" s="174" t="s">
        <v>9130</v>
      </c>
      <c r="C168" s="174" t="s">
        <v>7521</v>
      </c>
      <c r="D168" s="173" t="s">
        <v>9095</v>
      </c>
      <c r="E168" s="203">
        <v>45211</v>
      </c>
    </row>
    <row r="169" spans="1:5" ht="14.25" hidden="1" customHeight="1">
      <c r="A169" s="155">
        <v>32201492</v>
      </c>
      <c r="B169" s="174" t="s">
        <v>8852</v>
      </c>
      <c r="C169" s="174" t="s">
        <v>8854</v>
      </c>
      <c r="D169" s="173" t="s">
        <v>9095</v>
      </c>
      <c r="E169" s="203">
        <v>45211</v>
      </c>
    </row>
    <row r="170" spans="1:5" ht="14.25" hidden="1" customHeight="1">
      <c r="A170" s="155">
        <v>32460088</v>
      </c>
      <c r="B170" s="174" t="s">
        <v>8901</v>
      </c>
      <c r="C170" s="174" t="s">
        <v>8902</v>
      </c>
      <c r="D170" s="173" t="s">
        <v>9095</v>
      </c>
      <c r="E170" s="203">
        <v>45211</v>
      </c>
    </row>
    <row r="171" spans="1:5" ht="14.25" hidden="1" customHeight="1">
      <c r="A171" s="155">
        <v>32775448</v>
      </c>
      <c r="B171" s="174" t="s">
        <v>7512</v>
      </c>
      <c r="C171" s="174" t="s">
        <v>9127</v>
      </c>
      <c r="D171" s="173" t="s">
        <v>9095</v>
      </c>
      <c r="E171" s="203">
        <v>45211</v>
      </c>
    </row>
    <row r="172" spans="1:5" ht="14.25" hidden="1" customHeight="1">
      <c r="A172" s="155">
        <v>33091157</v>
      </c>
      <c r="B172" s="174" t="s">
        <v>9101</v>
      </c>
      <c r="C172" s="174" t="s">
        <v>9102</v>
      </c>
      <c r="D172" s="173" t="s">
        <v>9095</v>
      </c>
      <c r="E172" s="203">
        <v>45211</v>
      </c>
    </row>
    <row r="173" spans="1:5" ht="14.25" hidden="1" customHeight="1">
      <c r="A173" s="155">
        <v>33430063</v>
      </c>
      <c r="B173" s="174" t="s">
        <v>9114</v>
      </c>
      <c r="C173" s="174" t="s">
        <v>9115</v>
      </c>
      <c r="D173" s="173" t="s">
        <v>9095</v>
      </c>
      <c r="E173" s="203">
        <v>45211</v>
      </c>
    </row>
    <row r="174" spans="1:5" ht="14.25" hidden="1" customHeight="1">
      <c r="A174" s="155">
        <v>33541638</v>
      </c>
      <c r="B174" s="174" t="s">
        <v>6929</v>
      </c>
      <c r="C174" s="174" t="s">
        <v>9152</v>
      </c>
      <c r="D174" s="173" t="s">
        <v>9095</v>
      </c>
      <c r="E174" s="203">
        <v>45211</v>
      </c>
    </row>
    <row r="175" spans="1:5" ht="14.25" hidden="1" customHeight="1">
      <c r="A175" s="155">
        <v>34442738</v>
      </c>
      <c r="B175" s="174" t="s">
        <v>1378</v>
      </c>
      <c r="C175" s="174" t="s">
        <v>1379</v>
      </c>
      <c r="D175" s="173" t="s">
        <v>9095</v>
      </c>
      <c r="E175" s="203">
        <v>45211</v>
      </c>
    </row>
    <row r="176" spans="1:5" ht="14.25" hidden="1" customHeight="1">
      <c r="A176" s="155">
        <v>36049481</v>
      </c>
      <c r="B176" s="174" t="s">
        <v>9096</v>
      </c>
      <c r="C176" s="174" t="s">
        <v>9097</v>
      </c>
      <c r="D176" s="173" t="s">
        <v>9095</v>
      </c>
      <c r="E176" s="203">
        <v>45211</v>
      </c>
    </row>
    <row r="177" spans="1:5" ht="14.25" hidden="1" customHeight="1">
      <c r="A177" s="155">
        <v>36121119</v>
      </c>
      <c r="B177" s="174" t="s">
        <v>9119</v>
      </c>
      <c r="C177" s="174" t="s">
        <v>9120</v>
      </c>
      <c r="D177" s="173" t="s">
        <v>9095</v>
      </c>
      <c r="E177" s="203">
        <v>45211</v>
      </c>
    </row>
    <row r="178" spans="1:5" ht="14.25" hidden="1" customHeight="1">
      <c r="A178" s="155">
        <v>36583989</v>
      </c>
      <c r="B178" s="174" t="s">
        <v>7990</v>
      </c>
      <c r="C178" s="174" t="s">
        <v>9121</v>
      </c>
      <c r="D178" s="173" t="s">
        <v>9095</v>
      </c>
      <c r="E178" s="203">
        <v>45211</v>
      </c>
    </row>
    <row r="179" spans="1:5" ht="14.25" hidden="1" customHeight="1">
      <c r="A179" s="155">
        <v>37456182</v>
      </c>
      <c r="B179" s="174" t="s">
        <v>8852</v>
      </c>
      <c r="C179" s="174" t="s">
        <v>9108</v>
      </c>
      <c r="D179" s="173" t="s">
        <v>9095</v>
      </c>
      <c r="E179" s="203">
        <v>45211</v>
      </c>
    </row>
    <row r="180" spans="1:5" ht="14.25" hidden="1" customHeight="1">
      <c r="A180" s="155">
        <v>38184153</v>
      </c>
      <c r="B180" s="174" t="s">
        <v>7512</v>
      </c>
      <c r="C180" s="174" t="s">
        <v>9128</v>
      </c>
      <c r="D180" s="173" t="s">
        <v>9095</v>
      </c>
      <c r="E180" s="203">
        <v>45211</v>
      </c>
    </row>
    <row r="181" spans="1:5" ht="14.25" hidden="1" customHeight="1">
      <c r="A181" s="155">
        <v>38216469</v>
      </c>
      <c r="B181" s="174" t="s">
        <v>9105</v>
      </c>
      <c r="C181" s="174" t="s">
        <v>8963</v>
      </c>
      <c r="D181" s="173" t="s">
        <v>9095</v>
      </c>
      <c r="E181" s="203">
        <v>45211</v>
      </c>
    </row>
    <row r="182" spans="1:5" ht="14.25" hidden="1" customHeight="1">
      <c r="A182" s="155">
        <v>38741603</v>
      </c>
      <c r="B182" s="174" t="s">
        <v>8386</v>
      </c>
      <c r="C182" s="174" t="s">
        <v>8833</v>
      </c>
      <c r="D182" s="173" t="s">
        <v>9095</v>
      </c>
      <c r="E182" s="203">
        <v>45211</v>
      </c>
    </row>
    <row r="183" spans="1:5" ht="14.25" hidden="1" customHeight="1">
      <c r="A183" s="155">
        <v>39138576</v>
      </c>
      <c r="B183" s="174" t="s">
        <v>9125</v>
      </c>
      <c r="C183" s="174" t="s">
        <v>9126</v>
      </c>
      <c r="D183" s="173" t="s">
        <v>9095</v>
      </c>
      <c r="E183" s="203">
        <v>45211</v>
      </c>
    </row>
    <row r="184" spans="1:5" ht="14.25" hidden="1" customHeight="1">
      <c r="A184" s="155">
        <v>40216265</v>
      </c>
      <c r="B184" s="174" t="s">
        <v>7291</v>
      </c>
      <c r="C184" s="174" t="s">
        <v>8914</v>
      </c>
      <c r="D184" s="173" t="s">
        <v>9095</v>
      </c>
      <c r="E184" s="203">
        <v>45211</v>
      </c>
    </row>
    <row r="185" spans="1:5" ht="14.25" hidden="1" customHeight="1">
      <c r="A185" s="155">
        <v>40434411</v>
      </c>
      <c r="B185" s="174" t="s">
        <v>9136</v>
      </c>
      <c r="C185" s="174" t="s">
        <v>9137</v>
      </c>
      <c r="D185" s="173" t="s">
        <v>9095</v>
      </c>
      <c r="E185" s="203">
        <v>45211</v>
      </c>
    </row>
    <row r="186" spans="1:5" ht="14.25" hidden="1" customHeight="1">
      <c r="A186" s="155">
        <v>40902403</v>
      </c>
      <c r="B186" s="180" t="s">
        <v>8955</v>
      </c>
      <c r="C186" s="180" t="s">
        <v>8956</v>
      </c>
      <c r="D186" s="173" t="s">
        <v>9095</v>
      </c>
      <c r="E186" s="203">
        <v>45211</v>
      </c>
    </row>
    <row r="187" spans="1:5" ht="14.25" hidden="1" customHeight="1">
      <c r="A187" s="155">
        <v>42936070</v>
      </c>
      <c r="B187" s="180" t="s">
        <v>9133</v>
      </c>
      <c r="C187" s="180" t="s">
        <v>9134</v>
      </c>
      <c r="D187" s="173" t="s">
        <v>9095</v>
      </c>
      <c r="E187" s="203">
        <v>45211</v>
      </c>
    </row>
    <row r="188" spans="1:5" ht="14.25" hidden="1" customHeight="1">
      <c r="A188" s="155">
        <v>14660614</v>
      </c>
      <c r="B188" s="174" t="s">
        <v>6878</v>
      </c>
      <c r="C188" s="174" t="s">
        <v>6895</v>
      </c>
      <c r="D188" s="173" t="s">
        <v>8959</v>
      </c>
      <c r="E188" s="203">
        <v>45209</v>
      </c>
    </row>
    <row r="189" spans="1:5" ht="14.25" hidden="1" customHeight="1">
      <c r="A189" s="155">
        <v>16457626</v>
      </c>
      <c r="B189" s="174" t="s">
        <v>8936</v>
      </c>
      <c r="C189" s="174" t="s">
        <v>8937</v>
      </c>
      <c r="D189" s="173" t="s">
        <v>8959</v>
      </c>
      <c r="E189" s="203">
        <v>45209</v>
      </c>
    </row>
    <row r="190" spans="1:5" ht="14.25" hidden="1" customHeight="1">
      <c r="A190" s="155">
        <v>16541821</v>
      </c>
      <c r="B190" s="174" t="s">
        <v>6943</v>
      </c>
      <c r="C190" s="174" t="s">
        <v>8932</v>
      </c>
      <c r="D190" s="173" t="s">
        <v>8959</v>
      </c>
      <c r="E190" s="203">
        <v>45209</v>
      </c>
    </row>
    <row r="191" spans="1:5" ht="14.25" hidden="1" customHeight="1">
      <c r="A191" s="155">
        <v>17376659</v>
      </c>
      <c r="B191" s="174" t="s">
        <v>8909</v>
      </c>
      <c r="C191" s="174" t="s">
        <v>8910</v>
      </c>
      <c r="D191" s="173" t="s">
        <v>8959</v>
      </c>
      <c r="E191" s="203">
        <v>45209</v>
      </c>
    </row>
    <row r="192" spans="1:5" ht="14.25" hidden="1" customHeight="1">
      <c r="A192" s="155">
        <v>17859517</v>
      </c>
      <c r="B192" s="174" t="s">
        <v>8930</v>
      </c>
      <c r="C192" s="174" t="s">
        <v>8931</v>
      </c>
      <c r="D192" s="173" t="s">
        <v>8959</v>
      </c>
      <c r="E192" s="203">
        <v>45209</v>
      </c>
    </row>
    <row r="193" spans="1:5" ht="14.25" hidden="1" customHeight="1">
      <c r="A193" s="155">
        <v>20433344</v>
      </c>
      <c r="B193" s="174" t="s">
        <v>7476</v>
      </c>
      <c r="C193" s="174" t="s">
        <v>8935</v>
      </c>
      <c r="D193" s="173" t="s">
        <v>8959</v>
      </c>
      <c r="E193" s="203">
        <v>45209</v>
      </c>
    </row>
    <row r="194" spans="1:5" ht="14.25" hidden="1" customHeight="1">
      <c r="A194" s="155">
        <v>20630868</v>
      </c>
      <c r="B194" s="174" t="s">
        <v>8907</v>
      </c>
      <c r="C194" s="174" t="s">
        <v>8908</v>
      </c>
      <c r="D194" s="173" t="s">
        <v>8959</v>
      </c>
      <c r="E194" s="203">
        <v>45209</v>
      </c>
    </row>
    <row r="195" spans="1:5" ht="14.25" hidden="1" customHeight="1">
      <c r="A195" s="155">
        <v>20692455</v>
      </c>
      <c r="B195" s="174" t="s">
        <v>8933</v>
      </c>
      <c r="C195" s="174" t="s">
        <v>8934</v>
      </c>
      <c r="D195" s="173" t="s">
        <v>8959</v>
      </c>
      <c r="E195" s="203">
        <v>45209</v>
      </c>
    </row>
    <row r="196" spans="1:5" ht="14.25" hidden="1" customHeight="1">
      <c r="A196" s="155">
        <v>21829383</v>
      </c>
      <c r="B196" s="174" t="s">
        <v>8911</v>
      </c>
      <c r="C196" s="174" t="s">
        <v>8912</v>
      </c>
      <c r="D196" s="173" t="s">
        <v>8959</v>
      </c>
      <c r="E196" s="203">
        <v>45209</v>
      </c>
    </row>
    <row r="197" spans="1:5" ht="14.25" hidden="1" customHeight="1">
      <c r="A197" s="155">
        <v>21846191</v>
      </c>
      <c r="B197" s="174" t="s">
        <v>8921</v>
      </c>
      <c r="C197" s="174" t="s">
        <v>8922</v>
      </c>
      <c r="D197" s="173" t="s">
        <v>8959</v>
      </c>
      <c r="E197" s="203">
        <v>45209</v>
      </c>
    </row>
    <row r="198" spans="1:5" ht="14.25" hidden="1" customHeight="1">
      <c r="A198" s="155">
        <v>22031835</v>
      </c>
      <c r="B198" s="174" t="s">
        <v>8821</v>
      </c>
      <c r="C198" s="174" t="s">
        <v>8822</v>
      </c>
      <c r="D198" s="173" t="s">
        <v>8959</v>
      </c>
      <c r="E198" s="203">
        <v>45209</v>
      </c>
    </row>
    <row r="199" spans="1:5" ht="14.25" hidden="1" customHeight="1">
      <c r="A199" s="155">
        <v>22050175</v>
      </c>
      <c r="B199" s="174" t="s">
        <v>8951</v>
      </c>
      <c r="C199" s="174" t="s">
        <v>8952</v>
      </c>
      <c r="D199" s="173" t="s">
        <v>8959</v>
      </c>
      <c r="E199" s="203">
        <v>45209</v>
      </c>
    </row>
    <row r="200" spans="1:5" ht="14.25" hidden="1" customHeight="1">
      <c r="A200" s="155">
        <v>22613410</v>
      </c>
      <c r="B200" s="174" t="s">
        <v>7978</v>
      </c>
      <c r="C200" s="174" t="s">
        <v>8917</v>
      </c>
      <c r="D200" s="173" t="s">
        <v>8959</v>
      </c>
      <c r="E200" s="203">
        <v>45209</v>
      </c>
    </row>
    <row r="201" spans="1:5" ht="14.25" hidden="1" customHeight="1">
      <c r="A201" s="155">
        <v>24803365</v>
      </c>
      <c r="B201" s="174" t="s">
        <v>6949</v>
      </c>
      <c r="C201" s="174" t="s">
        <v>8938</v>
      </c>
      <c r="D201" s="173" t="s">
        <v>8959</v>
      </c>
      <c r="E201" s="203">
        <v>45209</v>
      </c>
    </row>
    <row r="202" spans="1:5" ht="14.25" hidden="1" customHeight="1">
      <c r="A202" s="155">
        <v>25843239</v>
      </c>
      <c r="B202" s="174" t="s">
        <v>8945</v>
      </c>
      <c r="C202" s="174" t="s">
        <v>7521</v>
      </c>
      <c r="D202" s="173" t="s">
        <v>8959</v>
      </c>
      <c r="E202" s="203">
        <v>45209</v>
      </c>
    </row>
    <row r="203" spans="1:5" ht="14.25" hidden="1" customHeight="1">
      <c r="A203" s="155">
        <v>25843590</v>
      </c>
      <c r="B203" s="174" t="s">
        <v>8941</v>
      </c>
      <c r="C203" s="174" t="s">
        <v>8942</v>
      </c>
      <c r="D203" s="173" t="s">
        <v>8959</v>
      </c>
      <c r="E203" s="203">
        <v>45209</v>
      </c>
    </row>
    <row r="204" spans="1:5" ht="14.25" hidden="1" customHeight="1">
      <c r="A204" s="155">
        <v>26684025</v>
      </c>
      <c r="B204" s="174" t="s">
        <v>8947</v>
      </c>
      <c r="C204" s="174" t="s">
        <v>8948</v>
      </c>
      <c r="D204" s="173" t="s">
        <v>8959</v>
      </c>
      <c r="E204" s="203">
        <v>45209</v>
      </c>
    </row>
    <row r="205" spans="1:5" ht="14.25" hidden="1" customHeight="1">
      <c r="A205" s="155">
        <v>27206952</v>
      </c>
      <c r="B205" s="174" t="s">
        <v>6924</v>
      </c>
      <c r="C205" s="174" t="s">
        <v>6925</v>
      </c>
      <c r="D205" s="173" t="s">
        <v>8959</v>
      </c>
      <c r="E205" s="203">
        <v>45209</v>
      </c>
    </row>
    <row r="206" spans="1:5" ht="14.25" hidden="1" customHeight="1">
      <c r="A206" s="155">
        <v>27364980</v>
      </c>
      <c r="B206" s="174" t="s">
        <v>8919</v>
      </c>
      <c r="C206" s="174" t="s">
        <v>8920</v>
      </c>
      <c r="D206" s="173" t="s">
        <v>8959</v>
      </c>
      <c r="E206" s="203">
        <v>45209</v>
      </c>
    </row>
    <row r="207" spans="1:5" ht="14.25" hidden="1" customHeight="1">
      <c r="A207" s="155">
        <v>27365845</v>
      </c>
      <c r="B207" s="174" t="s">
        <v>8943</v>
      </c>
      <c r="C207" s="174" t="s">
        <v>8944</v>
      </c>
      <c r="D207" s="173" t="s">
        <v>8959</v>
      </c>
      <c r="E207" s="203">
        <v>45209</v>
      </c>
    </row>
    <row r="208" spans="1:5" ht="14.25" hidden="1" customHeight="1">
      <c r="A208" s="155">
        <v>27595466</v>
      </c>
      <c r="B208" s="174" t="s">
        <v>8928</v>
      </c>
      <c r="C208" s="174" t="s">
        <v>8929</v>
      </c>
      <c r="D208" s="173" t="s">
        <v>8959</v>
      </c>
      <c r="E208" s="203">
        <v>45209</v>
      </c>
    </row>
    <row r="209" spans="1:5" ht="14.25" hidden="1" customHeight="1">
      <c r="A209" s="155">
        <v>30497540</v>
      </c>
      <c r="B209" s="174" t="s">
        <v>6868</v>
      </c>
      <c r="C209" s="174" t="s">
        <v>8923</v>
      </c>
      <c r="D209" s="173" t="s">
        <v>8959</v>
      </c>
      <c r="E209" s="203">
        <v>45209</v>
      </c>
    </row>
    <row r="210" spans="1:5" ht="14.25" hidden="1" customHeight="1">
      <c r="A210" s="155">
        <v>31607223</v>
      </c>
      <c r="B210" s="174" t="s">
        <v>8349</v>
      </c>
      <c r="C210" s="174" t="s">
        <v>8946</v>
      </c>
      <c r="D210" s="173" t="s">
        <v>8959</v>
      </c>
      <c r="E210" s="203">
        <v>45209</v>
      </c>
    </row>
    <row r="211" spans="1:5" ht="14.25" hidden="1" customHeight="1">
      <c r="A211" s="155">
        <v>31809522</v>
      </c>
      <c r="B211" s="174" t="s">
        <v>8957</v>
      </c>
      <c r="C211" s="174" t="s">
        <v>8958</v>
      </c>
      <c r="D211" s="173" t="s">
        <v>8959</v>
      </c>
      <c r="E211" s="203">
        <v>45209</v>
      </c>
    </row>
    <row r="212" spans="1:5" ht="14.25" hidden="1" customHeight="1">
      <c r="A212" s="155">
        <v>31903614</v>
      </c>
      <c r="B212" s="174" t="s">
        <v>8924</v>
      </c>
      <c r="C212" s="174" t="s">
        <v>8925</v>
      </c>
      <c r="D212" s="173" t="s">
        <v>8959</v>
      </c>
      <c r="E212" s="203">
        <v>45209</v>
      </c>
    </row>
    <row r="213" spans="1:5" ht="14.25" hidden="1" customHeight="1">
      <c r="A213" s="155">
        <v>32460088</v>
      </c>
      <c r="B213" s="174" t="s">
        <v>8901</v>
      </c>
      <c r="C213" s="174" t="s">
        <v>8902</v>
      </c>
      <c r="D213" s="173" t="s">
        <v>8959</v>
      </c>
      <c r="E213" s="203">
        <v>45209</v>
      </c>
    </row>
    <row r="214" spans="1:5" ht="14.25" hidden="1" customHeight="1">
      <c r="A214" s="155">
        <v>32820894</v>
      </c>
      <c r="B214" s="174" t="s">
        <v>8949</v>
      </c>
      <c r="C214" s="174" t="s">
        <v>8950</v>
      </c>
      <c r="D214" s="173" t="s">
        <v>8959</v>
      </c>
      <c r="E214" s="203">
        <v>45209</v>
      </c>
    </row>
    <row r="215" spans="1:5" ht="14.25" hidden="1" customHeight="1">
      <c r="A215" s="155">
        <v>32853533</v>
      </c>
      <c r="B215" s="174" t="s">
        <v>8915</v>
      </c>
      <c r="C215" s="174" t="s">
        <v>8916</v>
      </c>
      <c r="D215" s="173" t="s">
        <v>8959</v>
      </c>
      <c r="E215" s="203">
        <v>45209</v>
      </c>
    </row>
    <row r="216" spans="1:5" ht="14.25" hidden="1" customHeight="1">
      <c r="A216" s="155">
        <v>35256922</v>
      </c>
      <c r="B216" s="174" t="s">
        <v>8926</v>
      </c>
      <c r="C216" s="174" t="s">
        <v>8927</v>
      </c>
      <c r="D216" s="173" t="s">
        <v>8959</v>
      </c>
      <c r="E216" s="203">
        <v>45209</v>
      </c>
    </row>
    <row r="217" spans="1:5" ht="14.25" hidden="1" customHeight="1">
      <c r="A217" s="155">
        <v>36583794</v>
      </c>
      <c r="B217" s="174" t="s">
        <v>8939</v>
      </c>
      <c r="C217" s="174" t="s">
        <v>8940</v>
      </c>
      <c r="D217" s="173" t="s">
        <v>8959</v>
      </c>
      <c r="E217" s="203">
        <v>45209</v>
      </c>
    </row>
    <row r="218" spans="1:5" ht="14.25" hidden="1" customHeight="1">
      <c r="A218" s="155">
        <v>36838708</v>
      </c>
      <c r="B218" s="174" t="s">
        <v>8953</v>
      </c>
      <c r="C218" s="174" t="s">
        <v>8954</v>
      </c>
      <c r="D218" s="173" t="s">
        <v>8959</v>
      </c>
      <c r="E218" s="203">
        <v>45209</v>
      </c>
    </row>
    <row r="219" spans="1:5" ht="14.25" hidden="1" customHeight="1">
      <c r="A219" s="155">
        <v>36866001</v>
      </c>
      <c r="B219" s="174" t="s">
        <v>8905</v>
      </c>
      <c r="C219" s="174" t="s">
        <v>8906</v>
      </c>
      <c r="D219" s="173" t="s">
        <v>8959</v>
      </c>
      <c r="E219" s="203">
        <v>45209</v>
      </c>
    </row>
    <row r="220" spans="1:5" ht="14.25" hidden="1" customHeight="1">
      <c r="A220" s="155">
        <v>37092323</v>
      </c>
      <c r="B220" s="174" t="s">
        <v>8918</v>
      </c>
      <c r="C220" s="174" t="s">
        <v>7521</v>
      </c>
      <c r="D220" s="173" t="s">
        <v>8959</v>
      </c>
      <c r="E220" s="203">
        <v>45209</v>
      </c>
    </row>
    <row r="221" spans="1:5" ht="14.25" hidden="1" customHeight="1">
      <c r="A221" s="155">
        <v>40216265</v>
      </c>
      <c r="B221" s="174" t="s">
        <v>8913</v>
      </c>
      <c r="C221" s="174" t="s">
        <v>8914</v>
      </c>
      <c r="D221" s="173" t="s">
        <v>8959</v>
      </c>
      <c r="E221" s="203">
        <v>45209</v>
      </c>
    </row>
    <row r="222" spans="1:5" ht="14.25" hidden="1" customHeight="1">
      <c r="A222" s="155">
        <v>40902403</v>
      </c>
      <c r="B222" s="174" t="s">
        <v>8955</v>
      </c>
      <c r="C222" s="174" t="s">
        <v>8956</v>
      </c>
      <c r="D222" s="173" t="s">
        <v>8959</v>
      </c>
      <c r="E222" s="203">
        <v>45209</v>
      </c>
    </row>
    <row r="223" spans="1:5" ht="14.25" hidden="1" customHeight="1">
      <c r="A223" s="155">
        <v>41299512</v>
      </c>
      <c r="B223" s="174" t="s">
        <v>8903</v>
      </c>
      <c r="C223" s="174" t="s">
        <v>8904</v>
      </c>
      <c r="D223" s="173" t="s">
        <v>8959</v>
      </c>
      <c r="E223" s="203">
        <v>45209</v>
      </c>
    </row>
    <row r="224" spans="1:5" ht="14.25" hidden="1" customHeight="1">
      <c r="A224" s="157">
        <v>34603822</v>
      </c>
      <c r="B224" s="175" t="s">
        <v>7795</v>
      </c>
      <c r="C224" s="173" t="s">
        <v>9296</v>
      </c>
      <c r="D224" s="173" t="s">
        <v>9297</v>
      </c>
      <c r="E224" s="203">
        <v>45202</v>
      </c>
    </row>
    <row r="225" spans="1:5" ht="14.25" hidden="1" customHeight="1">
      <c r="A225" s="158">
        <v>13513776</v>
      </c>
      <c r="B225" s="174" t="s">
        <v>9088</v>
      </c>
      <c r="C225" s="174" t="s">
        <v>9089</v>
      </c>
      <c r="D225" s="173" t="s">
        <v>9095</v>
      </c>
      <c r="E225" s="203">
        <v>45202</v>
      </c>
    </row>
    <row r="226" spans="1:5" ht="14.25" hidden="1" customHeight="1">
      <c r="A226" s="158">
        <v>13627211</v>
      </c>
      <c r="B226" s="174" t="s">
        <v>9040</v>
      </c>
      <c r="C226" s="174" t="s">
        <v>9042</v>
      </c>
      <c r="D226" s="173" t="s">
        <v>9095</v>
      </c>
      <c r="E226" s="203">
        <v>45202</v>
      </c>
    </row>
    <row r="227" spans="1:5" ht="14.25" hidden="1" customHeight="1">
      <c r="A227" s="158">
        <v>17376132</v>
      </c>
      <c r="B227" s="174" t="s">
        <v>9040</v>
      </c>
      <c r="C227" s="174" t="s">
        <v>9041</v>
      </c>
      <c r="D227" s="173" t="s">
        <v>9095</v>
      </c>
      <c r="E227" s="203">
        <v>45202</v>
      </c>
    </row>
    <row r="228" spans="1:5" ht="14.25" hidden="1" customHeight="1">
      <c r="A228" s="158">
        <v>17376866</v>
      </c>
      <c r="B228" s="174" t="s">
        <v>9054</v>
      </c>
      <c r="C228" s="174" t="s">
        <v>9055</v>
      </c>
      <c r="D228" s="173" t="s">
        <v>9095</v>
      </c>
      <c r="E228" s="203">
        <v>45202</v>
      </c>
    </row>
    <row r="229" spans="1:5" ht="14.25" hidden="1" customHeight="1">
      <c r="A229" s="158">
        <v>17696485</v>
      </c>
      <c r="B229" s="174" t="s">
        <v>9056</v>
      </c>
      <c r="C229" s="174" t="s">
        <v>9057</v>
      </c>
      <c r="D229" s="173" t="s">
        <v>9095</v>
      </c>
      <c r="E229" s="203">
        <v>45202</v>
      </c>
    </row>
    <row r="230" spans="1:5" ht="14.25" hidden="1" customHeight="1">
      <c r="A230" s="158">
        <v>20219090</v>
      </c>
      <c r="B230" s="174" t="s">
        <v>9093</v>
      </c>
      <c r="C230" s="174" t="s">
        <v>9094</v>
      </c>
      <c r="D230" s="173" t="s">
        <v>9095</v>
      </c>
      <c r="E230" s="203">
        <v>45202</v>
      </c>
    </row>
    <row r="231" spans="1:5" ht="14.25" hidden="1" customHeight="1">
      <c r="A231" s="158">
        <v>20877457</v>
      </c>
      <c r="B231" s="174" t="s">
        <v>9086</v>
      </c>
      <c r="C231" s="174" t="s">
        <v>9087</v>
      </c>
      <c r="D231" s="173" t="s">
        <v>9095</v>
      </c>
      <c r="E231" s="203">
        <v>45202</v>
      </c>
    </row>
    <row r="232" spans="1:5" ht="14.25" hidden="1" customHeight="1">
      <c r="A232" s="158">
        <v>21744058</v>
      </c>
      <c r="B232" s="174" t="s">
        <v>7746</v>
      </c>
      <c r="C232" s="174" t="s">
        <v>7766</v>
      </c>
      <c r="D232" s="173" t="s">
        <v>9095</v>
      </c>
      <c r="E232" s="203">
        <v>45202</v>
      </c>
    </row>
    <row r="233" spans="1:5" ht="14.25" hidden="1" customHeight="1">
      <c r="A233" s="158">
        <v>22180896</v>
      </c>
      <c r="B233" s="174" t="s">
        <v>9069</v>
      </c>
      <c r="C233" s="174" t="s">
        <v>9070</v>
      </c>
      <c r="D233" s="173" t="s">
        <v>9095</v>
      </c>
      <c r="E233" s="203">
        <v>45202</v>
      </c>
    </row>
    <row r="234" spans="1:5" ht="14.25" hidden="1" customHeight="1">
      <c r="A234" s="158">
        <v>22263182</v>
      </c>
      <c r="B234" s="174" t="s">
        <v>9060</v>
      </c>
      <c r="C234" s="174" t="s">
        <v>9061</v>
      </c>
      <c r="D234" s="173" t="s">
        <v>9095</v>
      </c>
      <c r="E234" s="203">
        <v>45202</v>
      </c>
    </row>
    <row r="235" spans="1:5" ht="14.25" hidden="1" customHeight="1">
      <c r="A235" s="158">
        <v>22945322</v>
      </c>
      <c r="B235" s="174" t="s">
        <v>5229</v>
      </c>
      <c r="C235" s="174" t="s">
        <v>5230</v>
      </c>
      <c r="D235" s="173" t="s">
        <v>9095</v>
      </c>
      <c r="E235" s="203">
        <v>45202</v>
      </c>
    </row>
    <row r="236" spans="1:5" ht="14.25" hidden="1" customHeight="1">
      <c r="A236" s="158">
        <v>23116798</v>
      </c>
      <c r="B236" s="174" t="s">
        <v>9050</v>
      </c>
      <c r="C236" s="174" t="s">
        <v>9051</v>
      </c>
      <c r="D236" s="173" t="s">
        <v>9095</v>
      </c>
      <c r="E236" s="203">
        <v>45202</v>
      </c>
    </row>
    <row r="237" spans="1:5" ht="14.25" hidden="1" customHeight="1">
      <c r="A237" s="168">
        <v>23517381</v>
      </c>
      <c r="B237" s="180" t="s">
        <v>288</v>
      </c>
      <c r="C237" s="180" t="s">
        <v>9077</v>
      </c>
      <c r="D237" s="173" t="s">
        <v>9095</v>
      </c>
      <c r="E237" s="203">
        <v>45202</v>
      </c>
    </row>
    <row r="238" spans="1:5" ht="14.25" hidden="1" customHeight="1">
      <c r="A238" s="158">
        <v>25844148</v>
      </c>
      <c r="B238" s="174" t="s">
        <v>9062</v>
      </c>
      <c r="C238" s="174" t="s">
        <v>9063</v>
      </c>
      <c r="D238" s="173" t="s">
        <v>9095</v>
      </c>
      <c r="E238" s="203">
        <v>45202</v>
      </c>
    </row>
    <row r="239" spans="1:5" ht="14.25" hidden="1" customHeight="1">
      <c r="A239" s="158">
        <v>26011505</v>
      </c>
      <c r="B239" s="174" t="s">
        <v>9076</v>
      </c>
      <c r="C239" s="174" t="s">
        <v>8825</v>
      </c>
      <c r="D239" s="173" t="s">
        <v>9095</v>
      </c>
      <c r="E239" s="203">
        <v>45202</v>
      </c>
    </row>
    <row r="240" spans="1:5" ht="14.25" hidden="1" customHeight="1">
      <c r="A240" s="158">
        <v>27594642</v>
      </c>
      <c r="B240" s="174" t="s">
        <v>8930</v>
      </c>
      <c r="C240" s="174" t="s">
        <v>9079</v>
      </c>
      <c r="D240" s="173" t="s">
        <v>9095</v>
      </c>
      <c r="E240" s="203">
        <v>45202</v>
      </c>
    </row>
    <row r="241" spans="1:5" ht="14.25" hidden="1" customHeight="1">
      <c r="A241" s="158">
        <v>27651674</v>
      </c>
      <c r="B241" s="174" t="s">
        <v>9080</v>
      </c>
      <c r="C241" s="174" t="s">
        <v>9081</v>
      </c>
      <c r="D241" s="173" t="s">
        <v>9095</v>
      </c>
      <c r="E241" s="203">
        <v>45202</v>
      </c>
    </row>
    <row r="242" spans="1:5" ht="14.25" hidden="1" customHeight="1">
      <c r="A242" s="158">
        <v>27961909</v>
      </c>
      <c r="B242" s="174" t="s">
        <v>7956</v>
      </c>
      <c r="C242" s="174" t="s">
        <v>7901</v>
      </c>
      <c r="D242" s="173" t="s">
        <v>9095</v>
      </c>
      <c r="E242" s="203">
        <v>45202</v>
      </c>
    </row>
    <row r="243" spans="1:5" ht="14.25" hidden="1" customHeight="1">
      <c r="A243" s="158">
        <v>28221282</v>
      </c>
      <c r="B243" s="174" t="s">
        <v>9084</v>
      </c>
      <c r="C243" s="174" t="s">
        <v>9085</v>
      </c>
      <c r="D243" s="173" t="s">
        <v>9095</v>
      </c>
      <c r="E243" s="203">
        <v>45202</v>
      </c>
    </row>
    <row r="244" spans="1:5" ht="14.25" hidden="1" customHeight="1">
      <c r="A244" s="158">
        <v>28221604</v>
      </c>
      <c r="B244" s="174" t="s">
        <v>7910</v>
      </c>
      <c r="C244" s="174" t="s">
        <v>9078</v>
      </c>
      <c r="D244" s="173" t="s">
        <v>9095</v>
      </c>
      <c r="E244" s="203">
        <v>45202</v>
      </c>
    </row>
    <row r="245" spans="1:5" ht="14.25" hidden="1" customHeight="1">
      <c r="A245" s="158">
        <v>29338688</v>
      </c>
      <c r="B245" s="174" t="s">
        <v>9090</v>
      </c>
      <c r="C245" s="174" t="s">
        <v>9091</v>
      </c>
      <c r="D245" s="173" t="s">
        <v>9095</v>
      </c>
      <c r="E245" s="203">
        <v>45202</v>
      </c>
    </row>
    <row r="246" spans="1:5" ht="14.25" hidden="1" customHeight="1">
      <c r="A246" s="158">
        <v>29998495</v>
      </c>
      <c r="B246" s="174" t="s">
        <v>7990</v>
      </c>
      <c r="C246" s="174" t="s">
        <v>8008</v>
      </c>
      <c r="D246" s="173" t="s">
        <v>9095</v>
      </c>
      <c r="E246" s="203">
        <v>45202</v>
      </c>
    </row>
    <row r="247" spans="1:5" ht="14.25" hidden="1" customHeight="1">
      <c r="A247" s="158">
        <v>30268715</v>
      </c>
      <c r="B247" s="174" t="s">
        <v>7299</v>
      </c>
      <c r="C247" s="174" t="s">
        <v>9066</v>
      </c>
      <c r="D247" s="173" t="s">
        <v>9095</v>
      </c>
      <c r="E247" s="203">
        <v>45202</v>
      </c>
    </row>
    <row r="248" spans="1:5" ht="14.25" hidden="1" customHeight="1">
      <c r="A248" s="158">
        <v>31030485</v>
      </c>
      <c r="B248" s="174" t="s">
        <v>9071</v>
      </c>
      <c r="C248" s="174" t="s">
        <v>9072</v>
      </c>
      <c r="D248" s="173" t="s">
        <v>9095</v>
      </c>
      <c r="E248" s="203">
        <v>45202</v>
      </c>
    </row>
    <row r="249" spans="1:5" ht="14.25" hidden="1" customHeight="1">
      <c r="A249" s="158">
        <v>32460156</v>
      </c>
      <c r="B249" s="174" t="s">
        <v>9052</v>
      </c>
      <c r="C249" s="174" t="s">
        <v>9053</v>
      </c>
      <c r="D249" s="173" t="s">
        <v>9095</v>
      </c>
      <c r="E249" s="203">
        <v>45202</v>
      </c>
    </row>
    <row r="250" spans="1:5" ht="14.25" hidden="1" customHeight="1">
      <c r="A250" s="158">
        <v>33139225</v>
      </c>
      <c r="B250" s="174" t="s">
        <v>9067</v>
      </c>
      <c r="C250" s="174" t="s">
        <v>9068</v>
      </c>
      <c r="D250" s="173" t="s">
        <v>9095</v>
      </c>
      <c r="E250" s="203">
        <v>45202</v>
      </c>
    </row>
    <row r="251" spans="1:5" ht="14.25" hidden="1" customHeight="1">
      <c r="A251" s="158">
        <v>33163754</v>
      </c>
      <c r="B251" s="174" t="s">
        <v>8835</v>
      </c>
      <c r="C251" s="174" t="s">
        <v>8836</v>
      </c>
      <c r="D251" s="173" t="s">
        <v>9095</v>
      </c>
      <c r="E251" s="203">
        <v>45202</v>
      </c>
    </row>
    <row r="252" spans="1:5" ht="14.25" hidden="1" customHeight="1">
      <c r="A252" s="158">
        <v>34132176</v>
      </c>
      <c r="B252" s="174" t="s">
        <v>9074</v>
      </c>
      <c r="C252" s="174" t="s">
        <v>9075</v>
      </c>
      <c r="D252" s="173" t="s">
        <v>9095</v>
      </c>
      <c r="E252" s="203">
        <v>45202</v>
      </c>
    </row>
    <row r="253" spans="1:5" ht="14.25" hidden="1" customHeight="1">
      <c r="A253" s="158">
        <v>34133155</v>
      </c>
      <c r="B253" s="174" t="s">
        <v>9045</v>
      </c>
      <c r="C253" s="174" t="s">
        <v>9046</v>
      </c>
      <c r="D253" s="173" t="s">
        <v>9095</v>
      </c>
      <c r="E253" s="203">
        <v>45202</v>
      </c>
    </row>
    <row r="254" spans="1:5" ht="14.25" hidden="1" customHeight="1">
      <c r="A254" s="158">
        <v>34719547</v>
      </c>
      <c r="B254" s="174" t="s">
        <v>7480</v>
      </c>
      <c r="C254" s="174" t="s">
        <v>9092</v>
      </c>
      <c r="D254" s="173" t="s">
        <v>9095</v>
      </c>
      <c r="E254" s="203">
        <v>45202</v>
      </c>
    </row>
    <row r="255" spans="1:5" ht="14.25" hidden="1" customHeight="1">
      <c r="A255" s="158">
        <v>35493442</v>
      </c>
      <c r="B255" s="174" t="s">
        <v>8329</v>
      </c>
      <c r="C255" s="174" t="s">
        <v>9073</v>
      </c>
      <c r="D255" s="173" t="s">
        <v>9095</v>
      </c>
      <c r="E255" s="203">
        <v>45202</v>
      </c>
    </row>
    <row r="256" spans="1:5" ht="14.25" hidden="1" customHeight="1">
      <c r="A256" s="158">
        <v>35517102</v>
      </c>
      <c r="B256" s="174" t="s">
        <v>9082</v>
      </c>
      <c r="C256" s="174" t="s">
        <v>9083</v>
      </c>
      <c r="D256" s="173" t="s">
        <v>9095</v>
      </c>
      <c r="E256" s="203">
        <v>45202</v>
      </c>
    </row>
    <row r="257" spans="1:5" ht="14.25" hidden="1" customHeight="1">
      <c r="A257" s="158">
        <v>35811790</v>
      </c>
      <c r="B257" s="174" t="s">
        <v>6906</v>
      </c>
      <c r="C257" s="174" t="s">
        <v>9065</v>
      </c>
      <c r="D257" s="173" t="s">
        <v>9095</v>
      </c>
      <c r="E257" s="203">
        <v>45202</v>
      </c>
    </row>
    <row r="258" spans="1:5" ht="14.25" hidden="1" customHeight="1">
      <c r="A258" s="158">
        <v>37096982</v>
      </c>
      <c r="B258" s="174" t="s">
        <v>8837</v>
      </c>
      <c r="C258" s="174" t="s">
        <v>9064</v>
      </c>
      <c r="D258" s="173" t="s">
        <v>9095</v>
      </c>
      <c r="E258" s="203">
        <v>45202</v>
      </c>
    </row>
    <row r="259" spans="1:5" ht="14.25" hidden="1" customHeight="1">
      <c r="A259" s="158">
        <v>37097191</v>
      </c>
      <c r="B259" s="174" t="s">
        <v>8732</v>
      </c>
      <c r="C259" s="174" t="s">
        <v>8733</v>
      </c>
      <c r="D259" s="173" t="s">
        <v>9095</v>
      </c>
      <c r="E259" s="203">
        <v>45202</v>
      </c>
    </row>
    <row r="260" spans="1:5" ht="14.25" hidden="1" customHeight="1">
      <c r="A260" s="158">
        <v>37423911</v>
      </c>
      <c r="B260" s="174" t="s">
        <v>311</v>
      </c>
      <c r="C260" s="174" t="s">
        <v>4554</v>
      </c>
      <c r="D260" s="173" t="s">
        <v>9095</v>
      </c>
      <c r="E260" s="203">
        <v>45202</v>
      </c>
    </row>
    <row r="261" spans="1:5" ht="14.25" hidden="1" customHeight="1">
      <c r="A261" s="158">
        <v>37497769</v>
      </c>
      <c r="B261" s="174" t="s">
        <v>8815</v>
      </c>
      <c r="C261" s="174" t="s">
        <v>9049</v>
      </c>
      <c r="D261" s="173" t="s">
        <v>9095</v>
      </c>
      <c r="E261" s="203">
        <v>45202</v>
      </c>
    </row>
    <row r="262" spans="1:5" ht="14.25" hidden="1" customHeight="1">
      <c r="A262" s="158">
        <v>37655869</v>
      </c>
      <c r="B262" s="174" t="s">
        <v>9043</v>
      </c>
      <c r="C262" s="174" t="s">
        <v>9044</v>
      </c>
      <c r="D262" s="173" t="s">
        <v>9095</v>
      </c>
      <c r="E262" s="203">
        <v>45202</v>
      </c>
    </row>
    <row r="263" spans="1:5" ht="14.25" hidden="1" customHeight="1">
      <c r="A263" s="158">
        <v>38184121</v>
      </c>
      <c r="B263" s="174" t="s">
        <v>9047</v>
      </c>
      <c r="C263" s="174" t="s">
        <v>9048</v>
      </c>
      <c r="D263" s="173" t="s">
        <v>9095</v>
      </c>
      <c r="E263" s="203">
        <v>45202</v>
      </c>
    </row>
    <row r="264" spans="1:5" ht="14.25" hidden="1" customHeight="1">
      <c r="A264" s="158">
        <v>43563428</v>
      </c>
      <c r="B264" s="174" t="s">
        <v>9058</v>
      </c>
      <c r="C264" s="174" t="s">
        <v>9059</v>
      </c>
      <c r="D264" s="173" t="s">
        <v>9095</v>
      </c>
      <c r="E264" s="203">
        <v>45202</v>
      </c>
    </row>
    <row r="265" spans="1:5" ht="14.25" hidden="1" customHeight="1">
      <c r="A265" s="157">
        <v>23859111</v>
      </c>
      <c r="B265" s="175" t="s">
        <v>7934</v>
      </c>
      <c r="C265" s="173" t="s">
        <v>9291</v>
      </c>
      <c r="D265" s="173" t="s">
        <v>9297</v>
      </c>
      <c r="E265" s="203">
        <v>45201</v>
      </c>
    </row>
    <row r="266" spans="1:5" ht="14.25" hidden="1" customHeight="1">
      <c r="A266" s="170">
        <v>26446716</v>
      </c>
      <c r="B266" s="175" t="s">
        <v>6953</v>
      </c>
      <c r="C266" s="173" t="s">
        <v>9281</v>
      </c>
      <c r="D266" s="173" t="s">
        <v>9297</v>
      </c>
      <c r="E266" s="203">
        <v>45201</v>
      </c>
    </row>
    <row r="267" spans="1:5" ht="14.25" hidden="1" customHeight="1">
      <c r="A267" s="157">
        <v>27210084</v>
      </c>
      <c r="B267" s="175" t="s">
        <v>7307</v>
      </c>
      <c r="C267" s="173" t="s">
        <v>8942</v>
      </c>
      <c r="D267" s="173" t="s">
        <v>9297</v>
      </c>
      <c r="E267" s="203">
        <v>45201</v>
      </c>
    </row>
    <row r="268" spans="1:5" ht="14.25" hidden="1" customHeight="1">
      <c r="A268" s="157">
        <v>27886675</v>
      </c>
      <c r="B268" s="175" t="s">
        <v>7507</v>
      </c>
      <c r="C268" s="173" t="s">
        <v>9272</v>
      </c>
      <c r="D268" s="173" t="s">
        <v>9297</v>
      </c>
      <c r="E268" s="203">
        <v>45201</v>
      </c>
    </row>
    <row r="269" spans="1:5" ht="14.25" hidden="1" customHeight="1">
      <c r="A269" s="170">
        <v>31040181</v>
      </c>
      <c r="B269" s="175" t="s">
        <v>6969</v>
      </c>
      <c r="C269" s="173" t="s">
        <v>9283</v>
      </c>
      <c r="D269" s="173" t="s">
        <v>9297</v>
      </c>
      <c r="E269" s="203">
        <v>45201</v>
      </c>
    </row>
    <row r="270" spans="1:5" ht="14.25" hidden="1" customHeight="1">
      <c r="A270" s="162">
        <v>31253981</v>
      </c>
      <c r="B270" s="175" t="s">
        <v>9260</v>
      </c>
      <c r="C270" s="173" t="s">
        <v>9278</v>
      </c>
      <c r="D270" s="173" t="s">
        <v>9297</v>
      </c>
      <c r="E270" s="203">
        <v>45201</v>
      </c>
    </row>
    <row r="271" spans="1:5" ht="14.25" hidden="1" customHeight="1">
      <c r="A271" s="162">
        <v>32809573</v>
      </c>
      <c r="B271" s="175" t="s">
        <v>9254</v>
      </c>
      <c r="C271" s="173" t="s">
        <v>9271</v>
      </c>
      <c r="D271" s="173" t="s">
        <v>9297</v>
      </c>
      <c r="E271" s="203">
        <v>45201</v>
      </c>
    </row>
    <row r="272" spans="1:5" ht="14.25" hidden="1" customHeight="1">
      <c r="A272" s="157">
        <v>33978008</v>
      </c>
      <c r="B272" s="175" t="s">
        <v>8903</v>
      </c>
      <c r="C272" s="173" t="s">
        <v>9269</v>
      </c>
      <c r="D272" s="173" t="s">
        <v>9297</v>
      </c>
      <c r="E272" s="203">
        <v>45201</v>
      </c>
    </row>
    <row r="273" spans="1:5" ht="14.25" hidden="1" customHeight="1">
      <c r="A273" s="162">
        <v>34286655</v>
      </c>
      <c r="B273" s="175" t="s">
        <v>8010</v>
      </c>
      <c r="C273" s="173" t="s">
        <v>9295</v>
      </c>
      <c r="D273" s="173" t="s">
        <v>9297</v>
      </c>
      <c r="E273" s="203">
        <v>45201</v>
      </c>
    </row>
    <row r="274" spans="1:5" ht="14.25" hidden="1" customHeight="1">
      <c r="A274" s="157">
        <v>34509589</v>
      </c>
      <c r="B274" s="175" t="s">
        <v>9253</v>
      </c>
      <c r="C274" s="173" t="s">
        <v>9270</v>
      </c>
      <c r="D274" s="173" t="s">
        <v>9297</v>
      </c>
      <c r="E274" s="203">
        <v>45201</v>
      </c>
    </row>
    <row r="275" spans="1:5" ht="14.25" hidden="1" customHeight="1">
      <c r="A275" s="157">
        <v>35548937</v>
      </c>
      <c r="B275" s="175" t="s">
        <v>9266</v>
      </c>
      <c r="C275" s="173" t="s">
        <v>9286</v>
      </c>
      <c r="D275" s="173" t="s">
        <v>9297</v>
      </c>
      <c r="E275" s="203">
        <v>45201</v>
      </c>
    </row>
    <row r="276" spans="1:5" ht="14.25" hidden="1" customHeight="1">
      <c r="A276" s="157">
        <v>35807614</v>
      </c>
      <c r="B276" s="175" t="s">
        <v>9256</v>
      </c>
      <c r="C276" s="173" t="s">
        <v>9274</v>
      </c>
      <c r="D276" s="173" t="s">
        <v>9297</v>
      </c>
      <c r="E276" s="203">
        <v>45201</v>
      </c>
    </row>
    <row r="277" spans="1:5" ht="14.25" hidden="1" customHeight="1">
      <c r="A277" s="157">
        <v>35921516</v>
      </c>
      <c r="B277" s="175" t="s">
        <v>9267</v>
      </c>
      <c r="C277" s="173" t="s">
        <v>9287</v>
      </c>
      <c r="D277" s="173" t="s">
        <v>9297</v>
      </c>
      <c r="E277" s="203">
        <v>45201</v>
      </c>
    </row>
    <row r="278" spans="1:5" ht="14.25" hidden="1" customHeight="1">
      <c r="A278" s="157">
        <v>36585539</v>
      </c>
      <c r="B278" s="175" t="s">
        <v>9264</v>
      </c>
      <c r="C278" s="173" t="s">
        <v>9284</v>
      </c>
      <c r="D278" s="173" t="s">
        <v>9297</v>
      </c>
      <c r="E278" s="203">
        <v>45201</v>
      </c>
    </row>
    <row r="279" spans="1:5" ht="14.25" hidden="1" customHeight="1">
      <c r="A279" s="157">
        <v>36838389</v>
      </c>
      <c r="B279" s="175" t="s">
        <v>9259</v>
      </c>
      <c r="C279" s="173" t="s">
        <v>9277</v>
      </c>
      <c r="D279" s="173" t="s">
        <v>9297</v>
      </c>
      <c r="E279" s="203">
        <v>45201</v>
      </c>
    </row>
    <row r="280" spans="1:5" ht="14.25" hidden="1" customHeight="1">
      <c r="A280" s="157">
        <v>36839968</v>
      </c>
      <c r="B280" s="175" t="s">
        <v>9258</v>
      </c>
      <c r="C280" s="173" t="s">
        <v>9276</v>
      </c>
      <c r="D280" s="173" t="s">
        <v>9297</v>
      </c>
      <c r="E280" s="203">
        <v>45201</v>
      </c>
    </row>
    <row r="281" spans="1:5" ht="14.25" hidden="1" customHeight="1">
      <c r="A281" s="162">
        <v>37423555</v>
      </c>
      <c r="B281" s="175" t="s">
        <v>9263</v>
      </c>
      <c r="C281" s="173" t="s">
        <v>9282</v>
      </c>
      <c r="D281" s="173" t="s">
        <v>9297</v>
      </c>
      <c r="E281" s="203">
        <v>45201</v>
      </c>
    </row>
    <row r="282" spans="1:5" ht="14.25" hidden="1" customHeight="1">
      <c r="A282" s="162">
        <v>37455102</v>
      </c>
      <c r="B282" s="175" t="s">
        <v>7863</v>
      </c>
      <c r="C282" s="173" t="s">
        <v>9292</v>
      </c>
      <c r="D282" s="173" t="s">
        <v>9297</v>
      </c>
      <c r="E282" s="203">
        <v>45201</v>
      </c>
    </row>
    <row r="283" spans="1:5" ht="14.25" hidden="1" customHeight="1">
      <c r="A283" s="157">
        <v>37656330</v>
      </c>
      <c r="B283" s="175" t="s">
        <v>9265</v>
      </c>
      <c r="C283" s="173" t="s">
        <v>9285</v>
      </c>
      <c r="D283" s="173" t="s">
        <v>9297</v>
      </c>
      <c r="E283" s="203">
        <v>45201</v>
      </c>
    </row>
    <row r="284" spans="1:5" ht="14.25" hidden="1" customHeight="1">
      <c r="A284" s="157">
        <v>38487248</v>
      </c>
      <c r="B284" s="175" t="s">
        <v>7501</v>
      </c>
      <c r="C284" s="173" t="s">
        <v>9293</v>
      </c>
      <c r="D284" s="173" t="s">
        <v>9297</v>
      </c>
      <c r="E284" s="203">
        <v>45201</v>
      </c>
    </row>
    <row r="285" spans="1:5" ht="14.25" hidden="1" customHeight="1">
      <c r="A285" s="157">
        <v>42719797</v>
      </c>
      <c r="B285" s="175" t="s">
        <v>9262</v>
      </c>
      <c r="C285" s="173" t="s">
        <v>9280</v>
      </c>
      <c r="D285" s="173" t="s">
        <v>9297</v>
      </c>
      <c r="E285" s="203">
        <v>45201</v>
      </c>
    </row>
    <row r="286" spans="1:5" ht="14.25" hidden="1" customHeight="1">
      <c r="A286" s="157">
        <v>42777749</v>
      </c>
      <c r="B286" s="175" t="s">
        <v>9255</v>
      </c>
      <c r="C286" s="173" t="s">
        <v>9273</v>
      </c>
      <c r="D286" s="173" t="s">
        <v>9297</v>
      </c>
      <c r="E286" s="203">
        <v>45201</v>
      </c>
    </row>
    <row r="287" spans="1:5" ht="14.25" hidden="1" customHeight="1">
      <c r="A287" s="157">
        <v>43163020</v>
      </c>
      <c r="B287" s="175" t="s">
        <v>7577</v>
      </c>
      <c r="C287" s="173" t="s">
        <v>9294</v>
      </c>
      <c r="D287" s="173" t="s">
        <v>9297</v>
      </c>
      <c r="E287" s="203">
        <v>45201</v>
      </c>
    </row>
    <row r="288" spans="1:5" ht="14.25" hidden="1" customHeight="1">
      <c r="A288" s="162">
        <v>43227070</v>
      </c>
      <c r="B288" s="175" t="s">
        <v>9261</v>
      </c>
      <c r="C288" s="173" t="s">
        <v>9279</v>
      </c>
      <c r="D288" s="173" t="s">
        <v>9297</v>
      </c>
      <c r="E288" s="203">
        <v>45201</v>
      </c>
    </row>
    <row r="289" spans="1:5" ht="14.25" hidden="1" customHeight="1">
      <c r="A289" s="157">
        <v>43648554</v>
      </c>
      <c r="B289" s="175" t="s">
        <v>9257</v>
      </c>
      <c r="C289" s="173" t="s">
        <v>9275</v>
      </c>
      <c r="D289" s="173" t="s">
        <v>9297</v>
      </c>
      <c r="E289" s="203">
        <v>45201</v>
      </c>
    </row>
    <row r="290" spans="1:5" ht="14.25" hidden="1" customHeight="1">
      <c r="A290" s="170">
        <v>43850225</v>
      </c>
      <c r="B290" s="175" t="s">
        <v>7514</v>
      </c>
      <c r="C290" s="173" t="s">
        <v>9288</v>
      </c>
      <c r="D290" s="173" t="s">
        <v>9297</v>
      </c>
      <c r="E290" s="203">
        <v>45201</v>
      </c>
    </row>
    <row r="291" spans="1:5" ht="14.25" hidden="1" customHeight="1">
      <c r="A291" s="170">
        <v>44028228</v>
      </c>
      <c r="B291" s="175" t="s">
        <v>9268</v>
      </c>
      <c r="C291" s="173" t="s">
        <v>9289</v>
      </c>
      <c r="D291" s="173" t="s">
        <v>9297</v>
      </c>
      <c r="E291" s="203">
        <v>45201</v>
      </c>
    </row>
    <row r="292" spans="1:5" ht="14.25" hidden="1" customHeight="1">
      <c r="A292" s="157">
        <v>44658655</v>
      </c>
      <c r="B292" s="175" t="s">
        <v>6949</v>
      </c>
      <c r="C292" s="173" t="s">
        <v>9290</v>
      </c>
      <c r="D292" s="173" t="s">
        <v>9297</v>
      </c>
      <c r="E292" s="203">
        <v>45201</v>
      </c>
    </row>
    <row r="293" spans="1:5" ht="14.25" hidden="1" customHeight="1">
      <c r="A293" s="155">
        <v>13066066</v>
      </c>
      <c r="B293" s="174" t="s">
        <v>2795</v>
      </c>
      <c r="C293" s="174" t="s">
        <v>9160</v>
      </c>
      <c r="D293" s="173" t="s">
        <v>8900</v>
      </c>
      <c r="E293" s="203">
        <v>45189</v>
      </c>
    </row>
    <row r="294" spans="1:5" ht="14.25" hidden="1" customHeight="1">
      <c r="A294" s="155">
        <v>18185663</v>
      </c>
      <c r="B294" s="174" t="s">
        <v>26</v>
      </c>
      <c r="C294" s="174" t="s">
        <v>5759</v>
      </c>
      <c r="D294" s="173" t="s">
        <v>8900</v>
      </c>
      <c r="E294" s="203">
        <v>45189</v>
      </c>
    </row>
    <row r="295" spans="1:5" ht="14.25" hidden="1" customHeight="1">
      <c r="A295" s="155">
        <v>20174458</v>
      </c>
      <c r="B295" s="174" t="s">
        <v>2813</v>
      </c>
      <c r="C295" s="174" t="s">
        <v>7325</v>
      </c>
      <c r="D295" s="173" t="s">
        <v>8900</v>
      </c>
      <c r="E295" s="203">
        <v>45189</v>
      </c>
    </row>
    <row r="296" spans="1:5" ht="14.25" hidden="1" customHeight="1">
      <c r="A296" s="155">
        <v>20178922</v>
      </c>
      <c r="B296" s="174" t="s">
        <v>5788</v>
      </c>
      <c r="C296" s="174" t="s">
        <v>5789</v>
      </c>
      <c r="D296" s="173" t="s">
        <v>8900</v>
      </c>
      <c r="E296" s="203">
        <v>45189</v>
      </c>
    </row>
    <row r="297" spans="1:5" ht="14.25" hidden="1" customHeight="1">
      <c r="A297" s="155">
        <v>23117847</v>
      </c>
      <c r="B297" s="174" t="s">
        <v>226</v>
      </c>
      <c r="C297" s="174" t="s">
        <v>178</v>
      </c>
      <c r="D297" s="173" t="s">
        <v>8900</v>
      </c>
      <c r="E297" s="203">
        <v>45189</v>
      </c>
    </row>
    <row r="298" spans="1:5" ht="14.25" hidden="1" customHeight="1">
      <c r="A298" s="155">
        <v>24803045</v>
      </c>
      <c r="B298" s="174" t="s">
        <v>9156</v>
      </c>
      <c r="C298" s="174" t="s">
        <v>9157</v>
      </c>
      <c r="D298" s="173" t="s">
        <v>8900</v>
      </c>
      <c r="E298" s="203">
        <v>45189</v>
      </c>
    </row>
    <row r="299" spans="1:5" ht="14.25" hidden="1" customHeight="1">
      <c r="A299" s="155">
        <v>25444454</v>
      </c>
      <c r="B299" s="174" t="s">
        <v>355</v>
      </c>
      <c r="C299" s="174" t="s">
        <v>106</v>
      </c>
      <c r="D299" s="173" t="s">
        <v>8900</v>
      </c>
      <c r="E299" s="203">
        <v>45189</v>
      </c>
    </row>
    <row r="300" spans="1:5" ht="14.25" hidden="1" customHeight="1">
      <c r="A300" s="155">
        <v>27206962</v>
      </c>
      <c r="B300" s="174" t="s">
        <v>2774</v>
      </c>
      <c r="C300" s="174" t="s">
        <v>2775</v>
      </c>
      <c r="D300" s="173" t="s">
        <v>8900</v>
      </c>
      <c r="E300" s="203">
        <v>45189</v>
      </c>
    </row>
    <row r="301" spans="1:5" ht="14.25" hidden="1" customHeight="1">
      <c r="A301" s="155">
        <v>27961848</v>
      </c>
      <c r="B301" s="174" t="s">
        <v>9159</v>
      </c>
      <c r="C301" s="174" t="s">
        <v>7132</v>
      </c>
      <c r="D301" s="173" t="s">
        <v>8900</v>
      </c>
      <c r="E301" s="203">
        <v>45189</v>
      </c>
    </row>
    <row r="302" spans="1:5" ht="14.25" hidden="1" customHeight="1">
      <c r="A302" s="155">
        <v>30759570</v>
      </c>
      <c r="B302" s="174" t="s">
        <v>2795</v>
      </c>
      <c r="C302" s="174" t="s">
        <v>9161</v>
      </c>
      <c r="D302" s="173" t="s">
        <v>8900</v>
      </c>
      <c r="E302" s="203">
        <v>45189</v>
      </c>
    </row>
    <row r="303" spans="1:5" ht="14.25" hidden="1" customHeight="1">
      <c r="A303" s="155">
        <v>31426572</v>
      </c>
      <c r="B303" s="174" t="s">
        <v>6410</v>
      </c>
      <c r="C303" s="174" t="s">
        <v>9162</v>
      </c>
      <c r="D303" s="173" t="s">
        <v>8900</v>
      </c>
      <c r="E303" s="203">
        <v>45189</v>
      </c>
    </row>
    <row r="304" spans="1:5" ht="14.25" hidden="1" customHeight="1">
      <c r="A304" s="155">
        <v>32927775</v>
      </c>
      <c r="B304" s="174" t="s">
        <v>9153</v>
      </c>
      <c r="C304" s="174" t="s">
        <v>9154</v>
      </c>
      <c r="D304" s="173" t="s">
        <v>8900</v>
      </c>
      <c r="E304" s="203">
        <v>45189</v>
      </c>
    </row>
    <row r="305" spans="1:5" ht="14.25" hidden="1" customHeight="1">
      <c r="A305" s="155">
        <v>33978828</v>
      </c>
      <c r="B305" s="174" t="s">
        <v>4286</v>
      </c>
      <c r="C305" s="174" t="s">
        <v>5377</v>
      </c>
      <c r="D305" s="173" t="s">
        <v>8900</v>
      </c>
      <c r="E305" s="203">
        <v>45189</v>
      </c>
    </row>
    <row r="306" spans="1:5" ht="14.25" hidden="1" customHeight="1">
      <c r="A306" s="155">
        <v>39146062</v>
      </c>
      <c r="B306" s="174" t="s">
        <v>6556</v>
      </c>
      <c r="C306" s="174" t="s">
        <v>1389</v>
      </c>
      <c r="D306" s="173" t="s">
        <v>8900</v>
      </c>
      <c r="E306" s="203">
        <v>45189</v>
      </c>
    </row>
    <row r="307" spans="1:5" ht="14.25" hidden="1" customHeight="1">
      <c r="A307" s="155">
        <v>39698182</v>
      </c>
      <c r="B307" s="174" t="s">
        <v>811</v>
      </c>
      <c r="C307" s="174" t="s">
        <v>9158</v>
      </c>
      <c r="D307" s="173" t="s">
        <v>8900</v>
      </c>
      <c r="E307" s="203">
        <v>45189</v>
      </c>
    </row>
    <row r="308" spans="1:5" ht="14.25" hidden="1" customHeight="1">
      <c r="A308" s="155">
        <v>40357718</v>
      </c>
      <c r="B308" s="174" t="s">
        <v>5783</v>
      </c>
      <c r="C308" s="174" t="s">
        <v>2873</v>
      </c>
      <c r="D308" s="173" t="s">
        <v>8900</v>
      </c>
      <c r="E308" s="203">
        <v>45189</v>
      </c>
    </row>
    <row r="309" spans="1:5" ht="14.25" hidden="1" customHeight="1">
      <c r="A309" s="155">
        <v>40828346</v>
      </c>
      <c r="B309" s="174" t="s">
        <v>996</v>
      </c>
      <c r="C309" s="174" t="s">
        <v>9155</v>
      </c>
      <c r="D309" s="173" t="s">
        <v>8900</v>
      </c>
      <c r="E309" s="203">
        <v>45189</v>
      </c>
    </row>
    <row r="310" spans="1:5" ht="14.25" hidden="1" customHeight="1">
      <c r="A310" s="155">
        <v>16039432</v>
      </c>
      <c r="B310" s="171" t="s">
        <v>9239</v>
      </c>
      <c r="C310" s="171" t="s">
        <v>9240</v>
      </c>
      <c r="D310" s="173" t="s">
        <v>8900</v>
      </c>
      <c r="E310" s="203">
        <v>45183</v>
      </c>
    </row>
    <row r="311" spans="1:5" ht="14.25" hidden="1" customHeight="1">
      <c r="A311" s="155">
        <v>17377993</v>
      </c>
      <c r="B311" s="171" t="s">
        <v>9233</v>
      </c>
      <c r="C311" s="171" t="s">
        <v>9236</v>
      </c>
      <c r="D311" s="173" t="s">
        <v>8900</v>
      </c>
      <c r="E311" s="203">
        <v>45183</v>
      </c>
    </row>
    <row r="312" spans="1:5" ht="14.25" hidden="1" customHeight="1">
      <c r="A312" s="155">
        <v>18433363</v>
      </c>
      <c r="B312" s="174" t="s">
        <v>9237</v>
      </c>
      <c r="C312" s="174" t="s">
        <v>9238</v>
      </c>
      <c r="D312" s="173" t="s">
        <v>8900</v>
      </c>
      <c r="E312" s="203">
        <v>45183</v>
      </c>
    </row>
    <row r="313" spans="1:5" ht="14.25" hidden="1" customHeight="1">
      <c r="A313" s="155">
        <v>18433364</v>
      </c>
      <c r="B313" s="171" t="s">
        <v>9233</v>
      </c>
      <c r="C313" s="171" t="s">
        <v>9234</v>
      </c>
      <c r="D313" s="173" t="s">
        <v>8900</v>
      </c>
      <c r="E313" s="203">
        <v>45183</v>
      </c>
    </row>
    <row r="314" spans="1:5" ht="14.25" hidden="1" customHeight="1">
      <c r="A314" s="155">
        <v>20311140</v>
      </c>
      <c r="B314" s="171" t="s">
        <v>9247</v>
      </c>
      <c r="C314" s="171" t="s">
        <v>9248</v>
      </c>
      <c r="D314" s="173" t="s">
        <v>8900</v>
      </c>
      <c r="E314" s="203">
        <v>45183</v>
      </c>
    </row>
    <row r="315" spans="1:5" ht="14.25" hidden="1" customHeight="1">
      <c r="A315" s="155">
        <v>21742857</v>
      </c>
      <c r="B315" s="171" t="s">
        <v>9233</v>
      </c>
      <c r="C315" s="171" t="s">
        <v>9235</v>
      </c>
      <c r="D315" s="173" t="s">
        <v>8900</v>
      </c>
      <c r="E315" s="203">
        <v>45183</v>
      </c>
    </row>
    <row r="316" spans="1:5" ht="14.25" hidden="1" customHeight="1">
      <c r="A316" s="155">
        <v>22031716</v>
      </c>
      <c r="B316" s="174" t="s">
        <v>9243</v>
      </c>
      <c r="C316" s="174" t="s">
        <v>9244</v>
      </c>
      <c r="D316" s="173" t="s">
        <v>8900</v>
      </c>
      <c r="E316" s="203">
        <v>45183</v>
      </c>
    </row>
    <row r="317" spans="1:5" ht="14.25" hidden="1" customHeight="1">
      <c r="A317" s="155">
        <v>22332032</v>
      </c>
      <c r="B317" s="174" t="s">
        <v>9241</v>
      </c>
      <c r="C317" s="174" t="s">
        <v>9242</v>
      </c>
      <c r="D317" s="173" t="s">
        <v>8900</v>
      </c>
      <c r="E317" s="203">
        <v>45183</v>
      </c>
    </row>
    <row r="318" spans="1:5" ht="14.25" hidden="1" customHeight="1">
      <c r="A318" s="155">
        <v>25198924</v>
      </c>
      <c r="B318" s="174" t="s">
        <v>9245</v>
      </c>
      <c r="C318" s="174" t="s">
        <v>9246</v>
      </c>
      <c r="D318" s="173" t="s">
        <v>8900</v>
      </c>
      <c r="E318" s="203">
        <v>45183</v>
      </c>
    </row>
    <row r="319" spans="1:5" ht="14.25" hidden="1" customHeight="1">
      <c r="A319" s="155">
        <v>41959554</v>
      </c>
      <c r="B319" s="171" t="s">
        <v>3958</v>
      </c>
      <c r="C319" s="171" t="s">
        <v>9232</v>
      </c>
      <c r="D319" s="173" t="s">
        <v>8900</v>
      </c>
      <c r="E319" s="203">
        <v>45183</v>
      </c>
    </row>
    <row r="320" spans="1:5" ht="14.25" hidden="1" customHeight="1">
      <c r="A320" s="155">
        <v>17866738</v>
      </c>
      <c r="B320" s="174" t="s">
        <v>6898</v>
      </c>
      <c r="C320" s="174" t="s">
        <v>6899</v>
      </c>
      <c r="D320" s="173" t="s">
        <v>7018</v>
      </c>
      <c r="E320" s="203">
        <v>45180</v>
      </c>
    </row>
    <row r="321" spans="1:5" ht="14.25" hidden="1" customHeight="1">
      <c r="A321" s="155">
        <v>22332403</v>
      </c>
      <c r="B321" s="174" t="s">
        <v>8849</v>
      </c>
      <c r="C321" s="174" t="s">
        <v>8850</v>
      </c>
      <c r="D321" s="173" t="s">
        <v>7018</v>
      </c>
      <c r="E321" s="203">
        <v>45180</v>
      </c>
    </row>
    <row r="322" spans="1:5" ht="14.25" hidden="1" customHeight="1">
      <c r="A322" s="155">
        <v>22664008</v>
      </c>
      <c r="B322" s="174" t="s">
        <v>8851</v>
      </c>
      <c r="C322" s="174" t="s">
        <v>7537</v>
      </c>
      <c r="D322" s="173" t="s">
        <v>7018</v>
      </c>
      <c r="E322" s="203">
        <v>45180</v>
      </c>
    </row>
    <row r="323" spans="1:5" ht="14.25" hidden="1" customHeight="1">
      <c r="A323" s="155">
        <v>26982291</v>
      </c>
      <c r="B323" s="171" t="s">
        <v>8078</v>
      </c>
      <c r="C323" s="171" t="s">
        <v>8295</v>
      </c>
      <c r="D323" s="173" t="s">
        <v>7018</v>
      </c>
      <c r="E323" s="203">
        <v>45180</v>
      </c>
    </row>
    <row r="324" spans="1:5" ht="14.25" hidden="1" customHeight="1">
      <c r="A324" s="155">
        <v>27224695</v>
      </c>
      <c r="B324" s="174" t="s">
        <v>7615</v>
      </c>
      <c r="C324" s="174" t="s">
        <v>8855</v>
      </c>
      <c r="D324" s="173" t="s">
        <v>7018</v>
      </c>
      <c r="E324" s="203">
        <v>45180</v>
      </c>
    </row>
    <row r="325" spans="1:5" ht="14.25" hidden="1" customHeight="1">
      <c r="A325" s="155">
        <v>27944887</v>
      </c>
      <c r="B325" s="174" t="s">
        <v>8846</v>
      </c>
      <c r="C325" s="174" t="s">
        <v>8847</v>
      </c>
      <c r="D325" s="173" t="s">
        <v>7018</v>
      </c>
      <c r="E325" s="203">
        <v>45180</v>
      </c>
    </row>
    <row r="326" spans="1:5" ht="14.25" hidden="1" customHeight="1">
      <c r="A326" s="155">
        <v>29024358</v>
      </c>
      <c r="B326" s="192" t="s">
        <v>8858</v>
      </c>
      <c r="C326" s="192" t="s">
        <v>7399</v>
      </c>
      <c r="D326" s="173" t="s">
        <v>7018</v>
      </c>
      <c r="E326" s="203">
        <v>45180</v>
      </c>
    </row>
    <row r="327" spans="1:5" ht="14.25" hidden="1" customHeight="1">
      <c r="A327" s="155">
        <v>31425836</v>
      </c>
      <c r="B327" s="174" t="s">
        <v>6926</v>
      </c>
      <c r="C327" s="174" t="s">
        <v>7304</v>
      </c>
      <c r="D327" s="173" t="s">
        <v>7018</v>
      </c>
      <c r="E327" s="203">
        <v>45180</v>
      </c>
    </row>
    <row r="328" spans="1:5" ht="14.25" hidden="1" customHeight="1">
      <c r="A328" s="155">
        <v>32201492</v>
      </c>
      <c r="B328" s="174" t="s">
        <v>8852</v>
      </c>
      <c r="C328" s="174" t="s">
        <v>8854</v>
      </c>
      <c r="D328" s="173" t="s">
        <v>7018</v>
      </c>
      <c r="E328" s="203">
        <v>45180</v>
      </c>
    </row>
    <row r="329" spans="1:5" ht="14.25" hidden="1" customHeight="1">
      <c r="A329" s="155">
        <v>32775540</v>
      </c>
      <c r="B329" s="174" t="s">
        <v>8860</v>
      </c>
      <c r="C329" s="174" t="s">
        <v>7521</v>
      </c>
      <c r="D329" s="173" t="s">
        <v>7018</v>
      </c>
      <c r="E329" s="203">
        <v>45180</v>
      </c>
    </row>
    <row r="330" spans="1:5" ht="14.25" hidden="1" customHeight="1">
      <c r="A330" s="155">
        <v>32853368</v>
      </c>
      <c r="B330" s="171" t="s">
        <v>7516</v>
      </c>
      <c r="C330" s="171" t="s">
        <v>7517</v>
      </c>
      <c r="D330" s="173" t="s">
        <v>7018</v>
      </c>
      <c r="E330" s="203">
        <v>45180</v>
      </c>
    </row>
    <row r="331" spans="1:5" ht="14.25" hidden="1" customHeight="1">
      <c r="A331" s="155">
        <v>33139225</v>
      </c>
      <c r="B331" s="174" t="s">
        <v>8856</v>
      </c>
      <c r="C331" s="174" t="s">
        <v>8857</v>
      </c>
      <c r="D331" s="173" t="s">
        <v>7018</v>
      </c>
      <c r="E331" s="203">
        <v>45180</v>
      </c>
    </row>
    <row r="332" spans="1:5" ht="14.25" hidden="1" customHeight="1">
      <c r="A332" s="155">
        <v>34953481</v>
      </c>
      <c r="B332" s="174" t="s">
        <v>7499</v>
      </c>
      <c r="C332" s="174" t="s">
        <v>8859</v>
      </c>
      <c r="D332" s="173" t="s">
        <v>7018</v>
      </c>
      <c r="E332" s="203">
        <v>45180</v>
      </c>
    </row>
    <row r="333" spans="1:5" ht="14.25" hidden="1" customHeight="1">
      <c r="A333" s="155">
        <v>37456182</v>
      </c>
      <c r="B333" s="174" t="s">
        <v>8852</v>
      </c>
      <c r="C333" s="174" t="s">
        <v>8853</v>
      </c>
      <c r="D333" s="173" t="s">
        <v>7018</v>
      </c>
      <c r="E333" s="203">
        <v>45180</v>
      </c>
    </row>
    <row r="334" spans="1:5" ht="14.25" hidden="1" customHeight="1">
      <c r="A334" s="155">
        <v>20219678</v>
      </c>
      <c r="B334" s="174" t="s">
        <v>116</v>
      </c>
      <c r="C334" s="174" t="s">
        <v>2753</v>
      </c>
      <c r="D334" s="173" t="s">
        <v>8900</v>
      </c>
      <c r="E334" s="203">
        <v>45092</v>
      </c>
    </row>
    <row r="335" spans="1:5" ht="14.25" hidden="1" customHeight="1">
      <c r="A335" s="155">
        <v>20759167</v>
      </c>
      <c r="B335" s="174" t="s">
        <v>9251</v>
      </c>
      <c r="C335" s="174" t="s">
        <v>27</v>
      </c>
      <c r="D335" s="173" t="s">
        <v>8900</v>
      </c>
      <c r="E335" s="203">
        <v>45092</v>
      </c>
    </row>
    <row r="336" spans="1:5" ht="14.25" hidden="1" customHeight="1">
      <c r="A336" s="155">
        <v>26783621</v>
      </c>
      <c r="B336" s="174" t="s">
        <v>428</v>
      </c>
      <c r="C336" s="174" t="s">
        <v>9252</v>
      </c>
      <c r="D336" s="173" t="s">
        <v>8900</v>
      </c>
      <c r="E336" s="203">
        <v>45092</v>
      </c>
    </row>
    <row r="337" spans="1:5" ht="14.25" hidden="1" customHeight="1">
      <c r="A337" s="155">
        <v>26898681</v>
      </c>
      <c r="B337" s="174" t="s">
        <v>288</v>
      </c>
      <c r="C337" s="174" t="s">
        <v>1539</v>
      </c>
      <c r="D337" s="173" t="s">
        <v>8900</v>
      </c>
      <c r="E337" s="203">
        <v>45092</v>
      </c>
    </row>
    <row r="338" spans="1:5" ht="14.25" hidden="1" customHeight="1">
      <c r="A338" s="155">
        <v>31173838</v>
      </c>
      <c r="B338" s="174" t="s">
        <v>1032</v>
      </c>
      <c r="C338" s="174" t="s">
        <v>9249</v>
      </c>
      <c r="D338" s="173" t="s">
        <v>8900</v>
      </c>
      <c r="E338" s="203">
        <v>45092</v>
      </c>
    </row>
    <row r="339" spans="1:5" ht="14.25" hidden="1" customHeight="1">
      <c r="A339" s="155">
        <v>34201512</v>
      </c>
      <c r="B339" s="174" t="s">
        <v>5838</v>
      </c>
      <c r="C339" s="174" t="s">
        <v>9250</v>
      </c>
      <c r="D339" s="173" t="s">
        <v>8900</v>
      </c>
      <c r="E339" s="203">
        <v>45092</v>
      </c>
    </row>
    <row r="340" spans="1:5" ht="14.25" hidden="1" customHeight="1">
      <c r="A340" s="155">
        <v>20219678</v>
      </c>
      <c r="B340" s="174" t="s">
        <v>8876</v>
      </c>
      <c r="C340" s="174" t="s">
        <v>7532</v>
      </c>
      <c r="D340" s="173" t="s">
        <v>8900</v>
      </c>
      <c r="E340" s="203">
        <v>45038</v>
      </c>
    </row>
    <row r="341" spans="1:5" ht="14.25" hidden="1" customHeight="1">
      <c r="A341" s="155">
        <v>20759167</v>
      </c>
      <c r="B341" s="174" t="s">
        <v>8886</v>
      </c>
      <c r="C341" s="174" t="s">
        <v>8295</v>
      </c>
      <c r="D341" s="173" t="s">
        <v>8900</v>
      </c>
      <c r="E341" s="203">
        <v>45038</v>
      </c>
    </row>
    <row r="342" spans="1:5" ht="14.25" hidden="1" customHeight="1">
      <c r="A342" s="155">
        <v>26783621</v>
      </c>
      <c r="B342" s="174" t="s">
        <v>7520</v>
      </c>
      <c r="C342" s="174" t="s">
        <v>8888</v>
      </c>
      <c r="D342" s="173" t="s">
        <v>8900</v>
      </c>
      <c r="E342" s="203">
        <v>45038</v>
      </c>
    </row>
    <row r="343" spans="1:5" ht="14.25" hidden="1" customHeight="1">
      <c r="A343" s="155">
        <v>26898681</v>
      </c>
      <c r="B343" s="174" t="s">
        <v>8881</v>
      </c>
      <c r="C343" s="174" t="s">
        <v>8882</v>
      </c>
      <c r="D343" s="173" t="s">
        <v>8900</v>
      </c>
      <c r="E343" s="203">
        <v>45038</v>
      </c>
    </row>
    <row r="344" spans="1:5" ht="14.25" hidden="1" customHeight="1">
      <c r="A344" s="155">
        <v>30690783</v>
      </c>
      <c r="B344" s="174" t="s">
        <v>8884</v>
      </c>
      <c r="C344" s="174" t="s">
        <v>8885</v>
      </c>
      <c r="D344" s="173" t="s">
        <v>8900</v>
      </c>
      <c r="E344" s="203">
        <v>45038</v>
      </c>
    </row>
    <row r="345" spans="1:5" ht="14.25" hidden="1" customHeight="1">
      <c r="A345" s="155">
        <v>31126876</v>
      </c>
      <c r="B345" s="174" t="s">
        <v>8865</v>
      </c>
      <c r="C345" s="174" t="s">
        <v>8866</v>
      </c>
      <c r="D345" s="173" t="s">
        <v>8900</v>
      </c>
      <c r="E345" s="203">
        <v>45038</v>
      </c>
    </row>
    <row r="346" spans="1:5" ht="14.25" hidden="1" customHeight="1">
      <c r="A346" s="155">
        <v>31173838</v>
      </c>
      <c r="B346" s="174" t="s">
        <v>7422</v>
      </c>
      <c r="C346" s="174" t="s">
        <v>8869</v>
      </c>
      <c r="D346" s="173" t="s">
        <v>8900</v>
      </c>
      <c r="E346" s="203">
        <v>45038</v>
      </c>
    </row>
    <row r="347" spans="1:5" ht="14.25" hidden="1" customHeight="1">
      <c r="A347" s="155">
        <v>33541545</v>
      </c>
      <c r="B347" s="174" t="s">
        <v>8863</v>
      </c>
      <c r="C347" s="174" t="s">
        <v>8864</v>
      </c>
      <c r="D347" s="173" t="s">
        <v>8900</v>
      </c>
      <c r="E347" s="203">
        <v>45038</v>
      </c>
    </row>
    <row r="348" spans="1:5" ht="14.25" hidden="1" customHeight="1">
      <c r="A348" s="155">
        <v>34201512</v>
      </c>
      <c r="B348" s="174" t="s">
        <v>8872</v>
      </c>
      <c r="C348" s="174" t="s">
        <v>8873</v>
      </c>
      <c r="D348" s="173" t="s">
        <v>8900</v>
      </c>
      <c r="E348" s="203">
        <v>45038</v>
      </c>
    </row>
    <row r="349" spans="1:5" ht="14.25" hidden="1" customHeight="1">
      <c r="A349" s="155">
        <v>34659862</v>
      </c>
      <c r="B349" s="174" t="s">
        <v>8874</v>
      </c>
      <c r="C349" s="174" t="s">
        <v>8875</v>
      </c>
      <c r="D349" s="173" t="s">
        <v>8900</v>
      </c>
      <c r="E349" s="203">
        <v>45038</v>
      </c>
    </row>
    <row r="350" spans="1:5" ht="14.25" hidden="1" customHeight="1">
      <c r="A350" s="155">
        <v>34764834</v>
      </c>
      <c r="B350" s="174" t="s">
        <v>8861</v>
      </c>
      <c r="C350" s="174" t="s">
        <v>8862</v>
      </c>
      <c r="D350" s="173" t="s">
        <v>8900</v>
      </c>
      <c r="E350" s="203">
        <v>45038</v>
      </c>
    </row>
    <row r="351" spans="1:5" ht="14.25" hidden="1" customHeight="1">
      <c r="A351" s="155">
        <v>34771893</v>
      </c>
      <c r="B351" s="174" t="s">
        <v>8894</v>
      </c>
      <c r="C351" s="174" t="s">
        <v>8895</v>
      </c>
      <c r="D351" s="173" t="s">
        <v>8900</v>
      </c>
      <c r="E351" s="203">
        <v>45038</v>
      </c>
    </row>
    <row r="352" spans="1:5" ht="14.25" hidden="1" customHeight="1">
      <c r="A352" s="155">
        <v>35195065</v>
      </c>
      <c r="B352" s="174" t="s">
        <v>7512</v>
      </c>
      <c r="C352" s="174" t="s">
        <v>8883</v>
      </c>
      <c r="D352" s="173" t="s">
        <v>8900</v>
      </c>
      <c r="E352" s="203">
        <v>45038</v>
      </c>
    </row>
    <row r="353" spans="1:5" ht="14.25" hidden="1" customHeight="1">
      <c r="A353" s="155">
        <v>35920207</v>
      </c>
      <c r="B353" s="174" t="s">
        <v>8879</v>
      </c>
      <c r="C353" s="174" t="s">
        <v>8880</v>
      </c>
      <c r="D353" s="173" t="s">
        <v>8900</v>
      </c>
      <c r="E353" s="203">
        <v>45038</v>
      </c>
    </row>
    <row r="354" spans="1:5" ht="14.25" hidden="1" customHeight="1">
      <c r="A354" s="155">
        <v>35920586</v>
      </c>
      <c r="B354" s="174" t="s">
        <v>8892</v>
      </c>
      <c r="C354" s="174" t="s">
        <v>8893</v>
      </c>
      <c r="D354" s="173" t="s">
        <v>8900</v>
      </c>
      <c r="E354" s="203">
        <v>45038</v>
      </c>
    </row>
    <row r="355" spans="1:5" ht="14.25" hidden="1" customHeight="1">
      <c r="A355" s="155">
        <v>36498608</v>
      </c>
      <c r="B355" s="174" t="s">
        <v>8889</v>
      </c>
      <c r="C355" s="174" t="s">
        <v>7747</v>
      </c>
      <c r="D355" s="173" t="s">
        <v>8900</v>
      </c>
      <c r="E355" s="203">
        <v>45038</v>
      </c>
    </row>
    <row r="356" spans="1:5" ht="14.25" hidden="1" customHeight="1">
      <c r="A356" s="155">
        <v>39141943</v>
      </c>
      <c r="B356" s="174" t="s">
        <v>8867</v>
      </c>
      <c r="C356" s="174" t="s">
        <v>8868</v>
      </c>
      <c r="D356" s="173" t="s">
        <v>8900</v>
      </c>
      <c r="E356" s="203">
        <v>45038</v>
      </c>
    </row>
    <row r="357" spans="1:5" ht="14.25" hidden="1" customHeight="1">
      <c r="A357" s="155">
        <v>39360120</v>
      </c>
      <c r="B357" s="174" t="s">
        <v>8877</v>
      </c>
      <c r="C357" s="174" t="s">
        <v>8878</v>
      </c>
      <c r="D357" s="173" t="s">
        <v>8900</v>
      </c>
      <c r="E357" s="203">
        <v>45038</v>
      </c>
    </row>
    <row r="358" spans="1:5" ht="14.25" hidden="1" customHeight="1">
      <c r="A358" s="155">
        <v>39477120</v>
      </c>
      <c r="B358" s="174" t="s">
        <v>8896</v>
      </c>
      <c r="C358" s="174" t="s">
        <v>8897</v>
      </c>
      <c r="D358" s="173" t="s">
        <v>8900</v>
      </c>
      <c r="E358" s="203">
        <v>45038</v>
      </c>
    </row>
    <row r="359" spans="1:5" ht="14.25" hidden="1" customHeight="1">
      <c r="A359" s="155">
        <v>39481172</v>
      </c>
      <c r="B359" s="174" t="s">
        <v>8898</v>
      </c>
      <c r="C359" s="174" t="s">
        <v>8899</v>
      </c>
      <c r="D359" s="173" t="s">
        <v>8900</v>
      </c>
      <c r="E359" s="203">
        <v>45038</v>
      </c>
    </row>
    <row r="360" spans="1:5" ht="14.25" hidden="1" customHeight="1">
      <c r="A360" s="155">
        <v>39574805</v>
      </c>
      <c r="B360" s="174" t="s">
        <v>7727</v>
      </c>
      <c r="C360" s="174" t="s">
        <v>8887</v>
      </c>
      <c r="D360" s="173" t="s">
        <v>8900</v>
      </c>
      <c r="E360" s="203">
        <v>45038</v>
      </c>
    </row>
    <row r="361" spans="1:5" ht="14.25" hidden="1" customHeight="1">
      <c r="A361" s="155">
        <v>40695788</v>
      </c>
      <c r="B361" s="174" t="s">
        <v>8890</v>
      </c>
      <c r="C361" s="174" t="s">
        <v>8891</v>
      </c>
      <c r="D361" s="173" t="s">
        <v>8900</v>
      </c>
      <c r="E361" s="203">
        <v>45038</v>
      </c>
    </row>
    <row r="362" spans="1:5" ht="14.25" hidden="1" customHeight="1">
      <c r="A362" s="155">
        <v>40727252</v>
      </c>
      <c r="B362" s="174" t="s">
        <v>8870</v>
      </c>
      <c r="C362" s="174" t="s">
        <v>8871</v>
      </c>
      <c r="D362" s="173" t="s">
        <v>8900</v>
      </c>
      <c r="E362" s="203">
        <v>45038</v>
      </c>
    </row>
    <row r="363" spans="1:5" ht="14.25" hidden="1" customHeight="1">
      <c r="A363" s="155">
        <v>30690783</v>
      </c>
      <c r="B363" s="173" t="s">
        <v>1166</v>
      </c>
      <c r="C363" s="173" t="s">
        <v>8694</v>
      </c>
      <c r="D363" s="173" t="s">
        <v>8662</v>
      </c>
      <c r="E363" s="203">
        <v>45038</v>
      </c>
    </row>
    <row r="364" spans="1:5" ht="14.25" hidden="1" customHeight="1">
      <c r="A364" s="155">
        <v>31126876</v>
      </c>
      <c r="B364" s="173" t="s">
        <v>8673</v>
      </c>
      <c r="C364" s="173" t="s">
        <v>8674</v>
      </c>
      <c r="D364" s="173" t="s">
        <v>8662</v>
      </c>
      <c r="E364" s="203">
        <v>45038</v>
      </c>
    </row>
    <row r="365" spans="1:5" ht="14.25" hidden="1" customHeight="1">
      <c r="A365" s="155">
        <v>33541545</v>
      </c>
      <c r="B365" s="173" t="s">
        <v>8669</v>
      </c>
      <c r="C365" s="173" t="s">
        <v>8670</v>
      </c>
      <c r="D365" s="173" t="s">
        <v>8662</v>
      </c>
      <c r="E365" s="203">
        <v>45038</v>
      </c>
    </row>
    <row r="366" spans="1:5" ht="14.25" hidden="1" customHeight="1">
      <c r="A366" s="155">
        <v>34659862</v>
      </c>
      <c r="B366" s="173" t="s">
        <v>8685</v>
      </c>
      <c r="C366" s="173" t="s">
        <v>8686</v>
      </c>
      <c r="D366" s="173" t="s">
        <v>8662</v>
      </c>
      <c r="E366" s="203">
        <v>45038</v>
      </c>
    </row>
    <row r="367" spans="1:5" ht="14.25" hidden="1" customHeight="1">
      <c r="A367" s="155">
        <v>34764834</v>
      </c>
      <c r="B367" s="173" t="s">
        <v>8663</v>
      </c>
      <c r="C367" s="173" t="s">
        <v>8664</v>
      </c>
      <c r="D367" s="173" t="s">
        <v>8662</v>
      </c>
      <c r="E367" s="203">
        <v>45038</v>
      </c>
    </row>
    <row r="368" spans="1:5" ht="14.25" hidden="1" customHeight="1">
      <c r="A368" s="155">
        <v>34771893</v>
      </c>
      <c r="B368" s="173" t="s">
        <v>8708</v>
      </c>
      <c r="C368" s="173" t="s">
        <v>8709</v>
      </c>
      <c r="D368" s="173" t="s">
        <v>8662</v>
      </c>
      <c r="E368" s="203">
        <v>45038</v>
      </c>
    </row>
    <row r="369" spans="1:5" ht="14.25" hidden="1" customHeight="1">
      <c r="A369" s="155">
        <v>35195065</v>
      </c>
      <c r="B369" s="173" t="s">
        <v>5082</v>
      </c>
      <c r="C369" s="173" t="s">
        <v>3421</v>
      </c>
      <c r="D369" s="173" t="s">
        <v>8662</v>
      </c>
      <c r="E369" s="203">
        <v>45038</v>
      </c>
    </row>
    <row r="370" spans="1:5" ht="14.25" hidden="1" customHeight="1">
      <c r="A370" s="155">
        <v>35920207</v>
      </c>
      <c r="B370" s="173" t="s">
        <v>8690</v>
      </c>
      <c r="C370" s="173" t="s">
        <v>1353</v>
      </c>
      <c r="D370" s="173" t="s">
        <v>8662</v>
      </c>
      <c r="E370" s="203">
        <v>45038</v>
      </c>
    </row>
    <row r="371" spans="1:5" ht="14.25" hidden="1" customHeight="1">
      <c r="A371" s="155">
        <v>36498608</v>
      </c>
      <c r="B371" s="173" t="s">
        <v>8699</v>
      </c>
      <c r="C371" s="173" t="s">
        <v>2623</v>
      </c>
      <c r="D371" s="173" t="s">
        <v>8662</v>
      </c>
      <c r="E371" s="203">
        <v>45038</v>
      </c>
    </row>
    <row r="372" spans="1:5" ht="14.25" hidden="1" customHeight="1">
      <c r="A372" s="155">
        <v>39141943</v>
      </c>
      <c r="B372" s="173" t="s">
        <v>8677</v>
      </c>
      <c r="C372" s="173" t="s">
        <v>8678</v>
      </c>
      <c r="D372" s="173" t="s">
        <v>8662</v>
      </c>
      <c r="E372" s="203">
        <v>45038</v>
      </c>
    </row>
    <row r="373" spans="1:5" ht="14.25" hidden="1" customHeight="1">
      <c r="A373" s="155">
        <v>39574805</v>
      </c>
      <c r="B373" s="173" t="s">
        <v>1793</v>
      </c>
      <c r="C373" s="173" t="s">
        <v>1555</v>
      </c>
      <c r="D373" s="173" t="s">
        <v>8662</v>
      </c>
      <c r="E373" s="203">
        <v>45038</v>
      </c>
    </row>
    <row r="374" spans="1:5" ht="14.25" hidden="1" customHeight="1">
      <c r="A374" s="155">
        <v>40695788</v>
      </c>
      <c r="B374" s="173" t="s">
        <v>8703</v>
      </c>
      <c r="C374" s="173" t="s">
        <v>8704</v>
      </c>
      <c r="D374" s="173" t="s">
        <v>8662</v>
      </c>
      <c r="E374" s="203">
        <v>45038</v>
      </c>
    </row>
    <row r="375" spans="1:5" ht="14.25" hidden="1" customHeight="1">
      <c r="A375" s="155">
        <v>40727252</v>
      </c>
      <c r="B375" s="173" t="s">
        <v>8681</v>
      </c>
      <c r="C375" s="173" t="s">
        <v>8682</v>
      </c>
      <c r="D375" s="173" t="s">
        <v>8662</v>
      </c>
      <c r="E375" s="203">
        <v>45038</v>
      </c>
    </row>
    <row r="376" spans="1:5" ht="14.25" hidden="1" customHeight="1">
      <c r="A376" s="155">
        <v>18230668</v>
      </c>
      <c r="B376" s="174" t="s">
        <v>8838</v>
      </c>
      <c r="C376" s="174" t="s">
        <v>8839</v>
      </c>
      <c r="D376" s="173" t="s">
        <v>8848</v>
      </c>
      <c r="E376" s="203">
        <v>45029</v>
      </c>
    </row>
    <row r="377" spans="1:5" ht="14.25" hidden="1" customHeight="1">
      <c r="A377" s="155">
        <v>18465638</v>
      </c>
      <c r="B377" s="174" t="s">
        <v>8844</v>
      </c>
      <c r="C377" s="174" t="s">
        <v>3170</v>
      </c>
      <c r="D377" s="173" t="s">
        <v>8848</v>
      </c>
      <c r="E377" s="203">
        <v>45029</v>
      </c>
    </row>
    <row r="378" spans="1:5" ht="14.25" hidden="1" customHeight="1">
      <c r="A378" s="155">
        <v>21338746</v>
      </c>
      <c r="B378" s="174" t="s">
        <v>8831</v>
      </c>
      <c r="C378" s="174" t="s">
        <v>8832</v>
      </c>
      <c r="D378" s="173" t="s">
        <v>8848</v>
      </c>
      <c r="E378" s="203">
        <v>45029</v>
      </c>
    </row>
    <row r="379" spans="1:5" ht="14.25" hidden="1" customHeight="1">
      <c r="A379" s="155">
        <v>22073620</v>
      </c>
      <c r="B379" s="174" t="s">
        <v>8845</v>
      </c>
      <c r="C379" s="174" t="s">
        <v>7481</v>
      </c>
      <c r="D379" s="173" t="s">
        <v>8848</v>
      </c>
      <c r="E379" s="203">
        <v>45029</v>
      </c>
    </row>
    <row r="380" spans="1:5" ht="14.25" hidden="1" customHeight="1">
      <c r="A380" s="155">
        <v>23594913</v>
      </c>
      <c r="B380" s="174" t="s">
        <v>8841</v>
      </c>
      <c r="C380" s="174" t="s">
        <v>8842</v>
      </c>
      <c r="D380" s="173" t="s">
        <v>8848</v>
      </c>
      <c r="E380" s="203">
        <v>45029</v>
      </c>
    </row>
    <row r="381" spans="1:5" ht="14.25" hidden="1" customHeight="1">
      <c r="A381" s="155">
        <v>27944887</v>
      </c>
      <c r="B381" s="174" t="s">
        <v>8846</v>
      </c>
      <c r="C381" s="174" t="s">
        <v>8847</v>
      </c>
      <c r="D381" s="173" t="s">
        <v>8848</v>
      </c>
      <c r="E381" s="203">
        <v>45029</v>
      </c>
    </row>
    <row r="382" spans="1:5" ht="14.25" hidden="1" customHeight="1">
      <c r="A382" s="155">
        <v>29640332</v>
      </c>
      <c r="B382" s="174" t="s">
        <v>8004</v>
      </c>
      <c r="C382" s="174" t="s">
        <v>8840</v>
      </c>
      <c r="D382" s="173" t="s">
        <v>8848</v>
      </c>
      <c r="E382" s="203">
        <v>45029</v>
      </c>
    </row>
    <row r="383" spans="1:5" ht="14.25" hidden="1" customHeight="1">
      <c r="A383" s="155">
        <v>33163754</v>
      </c>
      <c r="B383" s="174" t="s">
        <v>8835</v>
      </c>
      <c r="C383" s="174" t="s">
        <v>8836</v>
      </c>
      <c r="D383" s="173" t="s">
        <v>8848</v>
      </c>
      <c r="E383" s="203">
        <v>45029</v>
      </c>
    </row>
    <row r="384" spans="1:5" ht="14.25" hidden="1" customHeight="1">
      <c r="A384" s="155">
        <v>34133155</v>
      </c>
      <c r="B384" s="174" t="s">
        <v>8830</v>
      </c>
      <c r="C384" s="174" t="s">
        <v>7424</v>
      </c>
      <c r="D384" s="173" t="s">
        <v>8848</v>
      </c>
      <c r="E384" s="203">
        <v>45029</v>
      </c>
    </row>
    <row r="385" spans="1:5" ht="14.25" hidden="1" customHeight="1">
      <c r="A385" s="155">
        <v>36866428</v>
      </c>
      <c r="B385" s="174" t="s">
        <v>883</v>
      </c>
      <c r="C385" s="174" t="s">
        <v>1072</v>
      </c>
      <c r="D385" s="173" t="s">
        <v>8848</v>
      </c>
      <c r="E385" s="203">
        <v>45029</v>
      </c>
    </row>
    <row r="386" spans="1:5" ht="14.25" hidden="1" customHeight="1">
      <c r="A386" s="155">
        <v>37096982</v>
      </c>
      <c r="B386" s="174" t="s">
        <v>8837</v>
      </c>
      <c r="C386" s="174" t="s">
        <v>7403</v>
      </c>
      <c r="D386" s="173" t="s">
        <v>8848</v>
      </c>
      <c r="E386" s="203">
        <v>45029</v>
      </c>
    </row>
    <row r="387" spans="1:5" ht="14.25" hidden="1" customHeight="1">
      <c r="A387" s="155">
        <v>37309766</v>
      </c>
      <c r="B387" s="174" t="s">
        <v>7463</v>
      </c>
      <c r="C387" s="174" t="s">
        <v>8843</v>
      </c>
      <c r="D387" s="173" t="s">
        <v>8848</v>
      </c>
      <c r="E387" s="203">
        <v>45029</v>
      </c>
    </row>
    <row r="388" spans="1:5" ht="14.25" hidden="1" customHeight="1">
      <c r="A388" s="155">
        <v>38741603</v>
      </c>
      <c r="B388" s="174" t="s">
        <v>8386</v>
      </c>
      <c r="C388" s="174" t="s">
        <v>8833</v>
      </c>
      <c r="D388" s="173" t="s">
        <v>8848</v>
      </c>
      <c r="E388" s="203">
        <v>45029</v>
      </c>
    </row>
    <row r="389" spans="1:5" ht="14.25" hidden="1" customHeight="1">
      <c r="A389" s="155">
        <v>41144515</v>
      </c>
      <c r="B389" s="174" t="s">
        <v>7487</v>
      </c>
      <c r="C389" s="174" t="s">
        <v>8834</v>
      </c>
      <c r="D389" s="173" t="s">
        <v>8848</v>
      </c>
      <c r="E389" s="203">
        <v>45029</v>
      </c>
    </row>
    <row r="390" spans="1:5" ht="14.25" hidden="1" customHeight="1">
      <c r="A390" s="155">
        <v>20285028</v>
      </c>
      <c r="B390" s="173" t="s">
        <v>927</v>
      </c>
      <c r="C390" s="173" t="s">
        <v>4897</v>
      </c>
      <c r="D390" s="173" t="s">
        <v>8712</v>
      </c>
      <c r="E390" s="203">
        <v>45028</v>
      </c>
    </row>
    <row r="391" spans="1:5" ht="14.25" hidden="1" customHeight="1">
      <c r="A391" s="155">
        <v>27206952</v>
      </c>
      <c r="B391" s="173" t="s">
        <v>4643</v>
      </c>
      <c r="C391" s="173" t="s">
        <v>8717</v>
      </c>
      <c r="D391" s="173" t="s">
        <v>8712</v>
      </c>
      <c r="E391" s="203">
        <v>45028</v>
      </c>
    </row>
    <row r="392" spans="1:5" ht="14.25" hidden="1" customHeight="1">
      <c r="A392" s="155">
        <v>27732258</v>
      </c>
      <c r="B392" s="173" t="s">
        <v>1385</v>
      </c>
      <c r="C392" s="173" t="s">
        <v>74</v>
      </c>
      <c r="D392" s="173" t="s">
        <v>8712</v>
      </c>
      <c r="E392" s="203">
        <v>45028</v>
      </c>
    </row>
    <row r="393" spans="1:5" ht="14.25" hidden="1" customHeight="1">
      <c r="A393" s="155">
        <v>35523647</v>
      </c>
      <c r="B393" s="173" t="s">
        <v>8713</v>
      </c>
      <c r="C393" s="173" t="s">
        <v>8714</v>
      </c>
      <c r="D393" s="173" t="s">
        <v>8712</v>
      </c>
      <c r="E393" s="203">
        <v>45028</v>
      </c>
    </row>
    <row r="394" spans="1:5" ht="14.25" hidden="1" customHeight="1">
      <c r="A394" s="155">
        <v>37497769</v>
      </c>
      <c r="B394" s="173" t="s">
        <v>797</v>
      </c>
      <c r="C394" s="173" t="s">
        <v>6819</v>
      </c>
      <c r="D394" s="173" t="s">
        <v>8712</v>
      </c>
      <c r="E394" s="203">
        <v>45028</v>
      </c>
    </row>
    <row r="395" spans="1:5" ht="14.25" hidden="1" customHeight="1">
      <c r="A395" s="155">
        <v>17458926</v>
      </c>
      <c r="B395" s="188" t="s">
        <v>8823</v>
      </c>
      <c r="C395" s="188" t="s">
        <v>8824</v>
      </c>
      <c r="D395" s="173" t="s">
        <v>8829</v>
      </c>
      <c r="E395" s="203">
        <v>45028</v>
      </c>
    </row>
    <row r="396" spans="1:5" ht="14.25" hidden="1" customHeight="1">
      <c r="A396" s="155">
        <v>20285028</v>
      </c>
      <c r="B396" s="188" t="s">
        <v>7583</v>
      </c>
      <c r="C396" s="188" t="s">
        <v>8814</v>
      </c>
      <c r="D396" s="173" t="s">
        <v>8829</v>
      </c>
      <c r="E396" s="203">
        <v>45028</v>
      </c>
    </row>
    <row r="397" spans="1:5" ht="14.25" hidden="1" customHeight="1">
      <c r="A397" s="155">
        <v>22031835</v>
      </c>
      <c r="B397" s="188" t="s">
        <v>8821</v>
      </c>
      <c r="C397" s="188" t="s">
        <v>8822</v>
      </c>
      <c r="D397" s="173" t="s">
        <v>8829</v>
      </c>
      <c r="E397" s="203">
        <v>45028</v>
      </c>
    </row>
    <row r="398" spans="1:5" ht="14.25" hidden="1" customHeight="1">
      <c r="A398" s="155">
        <v>22181097</v>
      </c>
      <c r="B398" s="188" t="s">
        <v>8827</v>
      </c>
      <c r="C398" s="188" t="s">
        <v>8828</v>
      </c>
      <c r="D398" s="173" t="s">
        <v>8829</v>
      </c>
      <c r="E398" s="203">
        <v>45028</v>
      </c>
    </row>
    <row r="399" spans="1:5" ht="14.25" hidden="1" customHeight="1">
      <c r="A399" s="155">
        <v>25213563</v>
      </c>
      <c r="B399" s="188" t="s">
        <v>8078</v>
      </c>
      <c r="C399" s="188" t="s">
        <v>8819</v>
      </c>
      <c r="D399" s="173" t="s">
        <v>8829</v>
      </c>
      <c r="E399" s="203">
        <v>45028</v>
      </c>
    </row>
    <row r="400" spans="1:5" ht="14.25" hidden="1" customHeight="1">
      <c r="A400" s="155">
        <v>25214023</v>
      </c>
      <c r="B400" s="188" t="s">
        <v>6940</v>
      </c>
      <c r="C400" s="188" t="s">
        <v>8826</v>
      </c>
      <c r="D400" s="173" t="s">
        <v>8829</v>
      </c>
      <c r="E400" s="203">
        <v>45028</v>
      </c>
    </row>
    <row r="401" spans="1:5" ht="14.25" hidden="1" customHeight="1">
      <c r="A401" s="155">
        <v>26011505</v>
      </c>
      <c r="B401" s="188" t="s">
        <v>7853</v>
      </c>
      <c r="C401" s="188" t="s">
        <v>8825</v>
      </c>
      <c r="D401" s="173" t="s">
        <v>8829</v>
      </c>
      <c r="E401" s="203">
        <v>45028</v>
      </c>
    </row>
    <row r="402" spans="1:5" ht="14.25" hidden="1" customHeight="1">
      <c r="A402" s="155">
        <v>27206952</v>
      </c>
      <c r="B402" s="188" t="s">
        <v>6924</v>
      </c>
      <c r="C402" s="188" t="s">
        <v>6925</v>
      </c>
      <c r="D402" s="173" t="s">
        <v>8829</v>
      </c>
      <c r="E402" s="203">
        <v>45028</v>
      </c>
    </row>
    <row r="403" spans="1:5" ht="14.25" hidden="1" customHeight="1">
      <c r="A403" s="155">
        <v>27732258</v>
      </c>
      <c r="B403" s="188" t="s">
        <v>8817</v>
      </c>
      <c r="C403" s="188" t="s">
        <v>8818</v>
      </c>
      <c r="D403" s="173" t="s">
        <v>8829</v>
      </c>
      <c r="E403" s="203">
        <v>45028</v>
      </c>
    </row>
    <row r="404" spans="1:5" ht="14.25" hidden="1" customHeight="1">
      <c r="A404" s="155">
        <v>35523647</v>
      </c>
      <c r="B404" s="188" t="s">
        <v>8812</v>
      </c>
      <c r="C404" s="188" t="s">
        <v>8813</v>
      </c>
      <c r="D404" s="173" t="s">
        <v>8829</v>
      </c>
      <c r="E404" s="203">
        <v>45028</v>
      </c>
    </row>
    <row r="405" spans="1:5" ht="14.25" hidden="1" customHeight="1">
      <c r="A405" s="155">
        <v>36583989</v>
      </c>
      <c r="B405" s="188" t="s">
        <v>7990</v>
      </c>
      <c r="C405" s="188" t="s">
        <v>8820</v>
      </c>
      <c r="D405" s="173" t="s">
        <v>8829</v>
      </c>
      <c r="E405" s="203">
        <v>45028</v>
      </c>
    </row>
    <row r="406" spans="1:5" ht="14.25" hidden="1" customHeight="1">
      <c r="A406" s="155">
        <v>37497769</v>
      </c>
      <c r="B406" s="188" t="s">
        <v>8815</v>
      </c>
      <c r="C406" s="188" t="s">
        <v>8816</v>
      </c>
      <c r="D406" s="173" t="s">
        <v>8829</v>
      </c>
      <c r="E406" s="203">
        <v>45028</v>
      </c>
    </row>
    <row r="407" spans="1:5" ht="14.25" hidden="1" customHeight="1">
      <c r="A407" s="155">
        <v>13771814</v>
      </c>
      <c r="B407" s="173" t="s">
        <v>6825</v>
      </c>
      <c r="C407" s="173" t="s">
        <v>6826</v>
      </c>
      <c r="D407" s="173" t="s">
        <v>8584</v>
      </c>
      <c r="E407" s="203">
        <v>44889</v>
      </c>
    </row>
    <row r="408" spans="1:5" ht="14.25" hidden="1" customHeight="1">
      <c r="A408" s="155">
        <v>14661452</v>
      </c>
      <c r="B408" s="173" t="s">
        <v>5804</v>
      </c>
      <c r="C408" s="173" t="s">
        <v>2826</v>
      </c>
      <c r="D408" s="173" t="s">
        <v>8584</v>
      </c>
      <c r="E408" s="203">
        <v>44889</v>
      </c>
    </row>
    <row r="409" spans="1:5" ht="14.25" hidden="1" customHeight="1">
      <c r="A409" s="155">
        <v>17858412</v>
      </c>
      <c r="B409" s="173" t="s">
        <v>6796</v>
      </c>
      <c r="C409" s="173" t="s">
        <v>1632</v>
      </c>
      <c r="D409" s="173" t="s">
        <v>8584</v>
      </c>
      <c r="E409" s="203">
        <v>44889</v>
      </c>
    </row>
    <row r="410" spans="1:5" ht="14.25" hidden="1" customHeight="1">
      <c r="A410" s="155">
        <v>18299635</v>
      </c>
      <c r="B410" s="173" t="s">
        <v>505</v>
      </c>
      <c r="C410" s="173" t="s">
        <v>506</v>
      </c>
      <c r="D410" s="173" t="s">
        <v>8584</v>
      </c>
      <c r="E410" s="203">
        <v>44889</v>
      </c>
    </row>
    <row r="411" spans="1:5" ht="14.25" hidden="1" customHeight="1">
      <c r="A411" s="155">
        <v>20179103</v>
      </c>
      <c r="B411" s="173" t="s">
        <v>1298</v>
      </c>
      <c r="C411" s="173" t="s">
        <v>1299</v>
      </c>
      <c r="D411" s="173" t="s">
        <v>8584</v>
      </c>
      <c r="E411" s="203">
        <v>44889</v>
      </c>
    </row>
    <row r="412" spans="1:5" ht="14.25" hidden="1" customHeight="1">
      <c r="A412" s="155">
        <v>20284582</v>
      </c>
      <c r="B412" s="173" t="s">
        <v>6802</v>
      </c>
      <c r="C412" s="173" t="s">
        <v>6803</v>
      </c>
      <c r="D412" s="173" t="s">
        <v>8584</v>
      </c>
      <c r="E412" s="203">
        <v>44889</v>
      </c>
    </row>
    <row r="413" spans="1:5" ht="14.25" hidden="1" customHeight="1">
      <c r="A413" s="155">
        <v>22263073</v>
      </c>
      <c r="B413" s="173" t="s">
        <v>1858</v>
      </c>
      <c r="C413" s="173" t="s">
        <v>1859</v>
      </c>
      <c r="D413" s="173" t="s">
        <v>8584</v>
      </c>
      <c r="E413" s="203">
        <v>44889</v>
      </c>
    </row>
    <row r="414" spans="1:5" ht="14.25" hidden="1" customHeight="1">
      <c r="A414" s="155">
        <v>23015469</v>
      </c>
      <c r="B414" s="173" t="s">
        <v>714</v>
      </c>
      <c r="C414" s="173" t="s">
        <v>715</v>
      </c>
      <c r="D414" s="173" t="s">
        <v>8584</v>
      </c>
      <c r="E414" s="203">
        <v>44889</v>
      </c>
    </row>
    <row r="415" spans="1:5" ht="14.25" hidden="1" customHeight="1">
      <c r="A415" s="155">
        <v>24926818</v>
      </c>
      <c r="B415" s="173" t="s">
        <v>2966</v>
      </c>
      <c r="C415" s="173" t="s">
        <v>6830</v>
      </c>
      <c r="D415" s="173" t="s">
        <v>8584</v>
      </c>
      <c r="E415" s="203">
        <v>44889</v>
      </c>
    </row>
    <row r="416" spans="1:5" ht="14.25" hidden="1" customHeight="1">
      <c r="A416" s="155">
        <v>24982815</v>
      </c>
      <c r="B416" s="173" t="s">
        <v>447</v>
      </c>
      <c r="C416" s="173" t="s">
        <v>448</v>
      </c>
      <c r="D416" s="173" t="s">
        <v>8584</v>
      </c>
      <c r="E416" s="203">
        <v>44889</v>
      </c>
    </row>
    <row r="417" spans="1:5" ht="14.25" hidden="1" customHeight="1">
      <c r="A417" s="155">
        <v>25114173</v>
      </c>
      <c r="B417" s="173" t="s">
        <v>3877</v>
      </c>
      <c r="C417" s="173" t="s">
        <v>223</v>
      </c>
      <c r="D417" s="173" t="s">
        <v>8584</v>
      </c>
      <c r="E417" s="203">
        <v>44889</v>
      </c>
    </row>
    <row r="418" spans="1:5" ht="14.25" hidden="1" customHeight="1">
      <c r="A418" s="155">
        <v>25444260</v>
      </c>
      <c r="B418" s="173" t="s">
        <v>1655</v>
      </c>
      <c r="C418" s="173" t="s">
        <v>3627</v>
      </c>
      <c r="D418" s="173" t="s">
        <v>8584</v>
      </c>
      <c r="E418" s="203">
        <v>44889</v>
      </c>
    </row>
    <row r="419" spans="1:5" ht="14.25" hidden="1" customHeight="1">
      <c r="A419" s="155">
        <v>25843618</v>
      </c>
      <c r="B419" s="173" t="s">
        <v>1823</v>
      </c>
      <c r="C419" s="173" t="s">
        <v>4410</v>
      </c>
      <c r="D419" s="173" t="s">
        <v>8584</v>
      </c>
      <c r="E419" s="203">
        <v>44889</v>
      </c>
    </row>
    <row r="420" spans="1:5" ht="14.25" hidden="1" customHeight="1">
      <c r="A420" s="155">
        <v>26028279</v>
      </c>
      <c r="B420" s="173" t="s">
        <v>5793</v>
      </c>
      <c r="C420" s="173" t="s">
        <v>6335</v>
      </c>
      <c r="D420" s="173" t="s">
        <v>8584</v>
      </c>
      <c r="E420" s="203">
        <v>44889</v>
      </c>
    </row>
    <row r="421" spans="1:5" ht="14.25" hidden="1" customHeight="1">
      <c r="A421" s="155">
        <v>26400395</v>
      </c>
      <c r="B421" s="173" t="s">
        <v>6807</v>
      </c>
      <c r="C421" s="173" t="s">
        <v>6808</v>
      </c>
      <c r="D421" s="173" t="s">
        <v>8584</v>
      </c>
      <c r="E421" s="203">
        <v>44889</v>
      </c>
    </row>
    <row r="422" spans="1:5" ht="14.25" hidden="1" customHeight="1">
      <c r="A422" s="155">
        <v>27016351</v>
      </c>
      <c r="B422" s="173" t="s">
        <v>2026</v>
      </c>
      <c r="C422" s="173" t="s">
        <v>3662</v>
      </c>
      <c r="D422" s="173" t="s">
        <v>8584</v>
      </c>
      <c r="E422" s="203">
        <v>44889</v>
      </c>
    </row>
    <row r="423" spans="1:5" ht="14.25" hidden="1" customHeight="1">
      <c r="A423" s="155">
        <v>27944383</v>
      </c>
      <c r="B423" s="173" t="s">
        <v>863</v>
      </c>
      <c r="C423" s="173" t="s">
        <v>3294</v>
      </c>
      <c r="D423" s="173" t="s">
        <v>8584</v>
      </c>
      <c r="E423" s="203">
        <v>44889</v>
      </c>
    </row>
    <row r="424" spans="1:5" ht="14.25" hidden="1" customHeight="1">
      <c r="A424" s="155">
        <v>28680958</v>
      </c>
      <c r="B424" s="173" t="s">
        <v>794</v>
      </c>
      <c r="C424" s="173" t="s">
        <v>2146</v>
      </c>
      <c r="D424" s="173" t="s">
        <v>8584</v>
      </c>
      <c r="E424" s="203">
        <v>44889</v>
      </c>
    </row>
    <row r="425" spans="1:5" ht="14.25" hidden="1" customHeight="1">
      <c r="A425" s="155">
        <v>28883092</v>
      </c>
      <c r="B425" s="173" t="s">
        <v>6813</v>
      </c>
      <c r="C425" s="173" t="s">
        <v>6814</v>
      </c>
      <c r="D425" s="173" t="s">
        <v>8584</v>
      </c>
      <c r="E425" s="203">
        <v>44889</v>
      </c>
    </row>
    <row r="426" spans="1:5" ht="14.25" hidden="1" customHeight="1">
      <c r="A426" s="155">
        <v>29024358</v>
      </c>
      <c r="B426" s="173" t="s">
        <v>1574</v>
      </c>
      <c r="C426" s="173" t="s">
        <v>1575</v>
      </c>
      <c r="D426" s="173" t="s">
        <v>8584</v>
      </c>
      <c r="E426" s="203">
        <v>44889</v>
      </c>
    </row>
    <row r="427" spans="1:5" ht="14.25" hidden="1" customHeight="1">
      <c r="A427" s="155">
        <v>29533058</v>
      </c>
      <c r="B427" s="173" t="s">
        <v>146</v>
      </c>
      <c r="C427" s="173" t="s">
        <v>147</v>
      </c>
      <c r="D427" s="173" t="s">
        <v>8584</v>
      </c>
      <c r="E427" s="203">
        <v>44889</v>
      </c>
    </row>
    <row r="428" spans="1:5" ht="14.25" hidden="1" customHeight="1">
      <c r="A428" s="155">
        <v>32201492</v>
      </c>
      <c r="B428" s="173" t="s">
        <v>1512</v>
      </c>
      <c r="C428" s="173" t="s">
        <v>1513</v>
      </c>
      <c r="D428" s="173" t="s">
        <v>8584</v>
      </c>
      <c r="E428" s="203">
        <v>44889</v>
      </c>
    </row>
    <row r="429" spans="1:5" ht="14.25" hidden="1" customHeight="1">
      <c r="A429" s="155">
        <v>32493293</v>
      </c>
      <c r="B429" s="173" t="s">
        <v>73</v>
      </c>
      <c r="C429" s="173" t="s">
        <v>74</v>
      </c>
      <c r="D429" s="173" t="s">
        <v>8584</v>
      </c>
      <c r="E429" s="203">
        <v>44889</v>
      </c>
    </row>
    <row r="430" spans="1:5" ht="14.25" hidden="1" customHeight="1">
      <c r="A430" s="155">
        <v>32775540</v>
      </c>
      <c r="B430" s="173" t="s">
        <v>1798</v>
      </c>
      <c r="C430" s="173" t="s">
        <v>1801</v>
      </c>
      <c r="D430" s="173" t="s">
        <v>8584</v>
      </c>
      <c r="E430" s="203">
        <v>44889</v>
      </c>
    </row>
    <row r="431" spans="1:5" ht="14.25" hidden="1" customHeight="1">
      <c r="A431" s="155">
        <v>33139225</v>
      </c>
      <c r="B431" s="173" t="s">
        <v>267</v>
      </c>
      <c r="C431" s="173" t="s">
        <v>268</v>
      </c>
      <c r="D431" s="173" t="s">
        <v>8584</v>
      </c>
      <c r="E431" s="203">
        <v>44889</v>
      </c>
    </row>
    <row r="432" spans="1:5" ht="14.25" hidden="1" customHeight="1">
      <c r="A432" s="155">
        <v>34285844</v>
      </c>
      <c r="B432" s="173" t="s">
        <v>2081</v>
      </c>
      <c r="C432" s="173" t="s">
        <v>2082</v>
      </c>
      <c r="D432" s="173" t="s">
        <v>8584</v>
      </c>
      <c r="E432" s="203">
        <v>44889</v>
      </c>
    </row>
    <row r="433" spans="1:5" ht="14.25" hidden="1" customHeight="1">
      <c r="A433" s="155">
        <v>36049423</v>
      </c>
      <c r="B433" s="173" t="s">
        <v>311</v>
      </c>
      <c r="C433" s="173" t="s">
        <v>1801</v>
      </c>
      <c r="D433" s="173" t="s">
        <v>8584</v>
      </c>
      <c r="E433" s="203">
        <v>44889</v>
      </c>
    </row>
    <row r="434" spans="1:5" ht="14.25" hidden="1" customHeight="1">
      <c r="A434" s="155">
        <v>36583989</v>
      </c>
      <c r="B434" s="173" t="s">
        <v>2087</v>
      </c>
      <c r="C434" s="173" t="s">
        <v>6706</v>
      </c>
      <c r="D434" s="173" t="s">
        <v>8584</v>
      </c>
      <c r="E434" s="203">
        <v>44889</v>
      </c>
    </row>
    <row r="435" spans="1:5" ht="14.25" hidden="1" customHeight="1">
      <c r="A435" s="155">
        <v>36865278</v>
      </c>
      <c r="B435" s="173" t="s">
        <v>1236</v>
      </c>
      <c r="C435" s="173" t="s">
        <v>6836</v>
      </c>
      <c r="D435" s="173" t="s">
        <v>8584</v>
      </c>
      <c r="E435" s="203">
        <v>44889</v>
      </c>
    </row>
    <row r="436" spans="1:5" ht="14.25" hidden="1" customHeight="1">
      <c r="A436" s="155">
        <v>37497769</v>
      </c>
      <c r="B436" s="173" t="s">
        <v>797</v>
      </c>
      <c r="C436" s="173" t="s">
        <v>6819</v>
      </c>
      <c r="D436" s="173" t="s">
        <v>8584</v>
      </c>
      <c r="E436" s="203">
        <v>44889</v>
      </c>
    </row>
    <row r="437" spans="1:5" ht="14.25" hidden="1" customHeight="1">
      <c r="A437" s="155">
        <v>38184153</v>
      </c>
      <c r="B437" s="173" t="s">
        <v>5082</v>
      </c>
      <c r="C437" s="173" t="s">
        <v>6840</v>
      </c>
      <c r="D437" s="173" t="s">
        <v>8584</v>
      </c>
      <c r="E437" s="203">
        <v>44889</v>
      </c>
    </row>
    <row r="438" spans="1:5" ht="14.25" hidden="1" customHeight="1">
      <c r="A438" s="155">
        <v>40434411</v>
      </c>
      <c r="B438" s="173" t="s">
        <v>6652</v>
      </c>
      <c r="C438" s="173" t="s">
        <v>6653</v>
      </c>
      <c r="D438" s="173" t="s">
        <v>8584</v>
      </c>
      <c r="E438" s="203">
        <v>44889</v>
      </c>
    </row>
    <row r="439" spans="1:5" ht="14.25" hidden="1" customHeight="1">
      <c r="A439" s="155">
        <v>45124605</v>
      </c>
      <c r="B439" s="173" t="s">
        <v>6822</v>
      </c>
      <c r="C439" s="173" t="s">
        <v>1353</v>
      </c>
      <c r="D439" s="173" t="s">
        <v>8584</v>
      </c>
      <c r="E439" s="203">
        <v>44889</v>
      </c>
    </row>
    <row r="440" spans="1:5" ht="14.25" hidden="1" customHeight="1">
      <c r="A440" s="155">
        <v>13513776</v>
      </c>
      <c r="B440" s="173" t="s">
        <v>3029</v>
      </c>
      <c r="C440" s="173" t="s">
        <v>2522</v>
      </c>
      <c r="D440" s="173" t="s">
        <v>8582</v>
      </c>
      <c r="E440" s="203">
        <v>44873</v>
      </c>
    </row>
    <row r="441" spans="1:5" ht="14.25" hidden="1" customHeight="1">
      <c r="A441" s="155">
        <v>17494043</v>
      </c>
      <c r="B441" s="173" t="s">
        <v>6717</v>
      </c>
      <c r="C441" s="173" t="s">
        <v>6718</v>
      </c>
      <c r="D441" s="173" t="s">
        <v>8582</v>
      </c>
      <c r="E441" s="203">
        <v>44873</v>
      </c>
    </row>
    <row r="442" spans="1:5" ht="14.25" hidden="1" customHeight="1">
      <c r="A442" s="155">
        <v>20418286</v>
      </c>
      <c r="B442" s="173" t="s">
        <v>4357</v>
      </c>
      <c r="C442" s="173" t="s">
        <v>4358</v>
      </c>
      <c r="D442" s="173" t="s">
        <v>8582</v>
      </c>
      <c r="E442" s="203">
        <v>44873</v>
      </c>
    </row>
    <row r="443" spans="1:5" ht="14.25" hidden="1" customHeight="1">
      <c r="A443" s="155">
        <v>21812664</v>
      </c>
      <c r="B443" s="173" t="s">
        <v>4053</v>
      </c>
      <c r="C443" s="173" t="s">
        <v>274</v>
      </c>
      <c r="D443" s="173" t="s">
        <v>8582</v>
      </c>
      <c r="E443" s="203">
        <v>44873</v>
      </c>
    </row>
    <row r="444" spans="1:5" ht="14.25" hidden="1" customHeight="1">
      <c r="A444" s="155">
        <v>22181097</v>
      </c>
      <c r="B444" s="173" t="s">
        <v>4043</v>
      </c>
      <c r="C444" s="173" t="s">
        <v>4044</v>
      </c>
      <c r="D444" s="173" t="s">
        <v>8582</v>
      </c>
      <c r="E444" s="203">
        <v>44873</v>
      </c>
    </row>
    <row r="445" spans="1:5" ht="14.25" hidden="1" customHeight="1">
      <c r="A445" s="155">
        <v>24355229</v>
      </c>
      <c r="B445" s="173" t="s">
        <v>2508</v>
      </c>
      <c r="C445" s="173" t="s">
        <v>6739</v>
      </c>
      <c r="D445" s="173" t="s">
        <v>8582</v>
      </c>
      <c r="E445" s="203">
        <v>44873</v>
      </c>
    </row>
    <row r="446" spans="1:5" ht="14.25" hidden="1" customHeight="1">
      <c r="A446" s="155">
        <v>25214023</v>
      </c>
      <c r="B446" s="173" t="s">
        <v>6556</v>
      </c>
      <c r="C446" s="173" t="s">
        <v>6557</v>
      </c>
      <c r="D446" s="173" t="s">
        <v>8582</v>
      </c>
      <c r="E446" s="203">
        <v>44873</v>
      </c>
    </row>
    <row r="447" spans="1:5" ht="14.25" hidden="1" customHeight="1">
      <c r="A447" s="155">
        <v>25231563</v>
      </c>
      <c r="B447" s="173" t="s">
        <v>207</v>
      </c>
      <c r="C447" s="173" t="s">
        <v>6552</v>
      </c>
      <c r="D447" s="173" t="s">
        <v>8582</v>
      </c>
      <c r="E447" s="203">
        <v>44873</v>
      </c>
    </row>
    <row r="448" spans="1:5" ht="14.25" hidden="1" customHeight="1">
      <c r="A448" s="155">
        <v>32201237</v>
      </c>
      <c r="B448" s="173" t="s">
        <v>6735</v>
      </c>
      <c r="C448" s="173" t="s">
        <v>4341</v>
      </c>
      <c r="D448" s="173" t="s">
        <v>8582</v>
      </c>
      <c r="E448" s="203">
        <v>44873</v>
      </c>
    </row>
    <row r="449" spans="1:5" ht="14.25" hidden="1" customHeight="1">
      <c r="A449" s="155">
        <v>33050608</v>
      </c>
      <c r="B449" s="173" t="s">
        <v>760</v>
      </c>
      <c r="C449" s="173" t="s">
        <v>6430</v>
      </c>
      <c r="D449" s="173" t="s">
        <v>8582</v>
      </c>
      <c r="E449" s="203">
        <v>44873</v>
      </c>
    </row>
    <row r="450" spans="1:5" ht="14.25" hidden="1" customHeight="1">
      <c r="A450" s="155">
        <v>34185816</v>
      </c>
      <c r="B450" s="173" t="s">
        <v>6533</v>
      </c>
      <c r="C450" s="173" t="s">
        <v>6534</v>
      </c>
      <c r="D450" s="173" t="s">
        <v>8582</v>
      </c>
      <c r="E450" s="203">
        <v>44873</v>
      </c>
    </row>
    <row r="451" spans="1:5" ht="14.25" hidden="1" customHeight="1">
      <c r="A451" s="155">
        <v>36583989</v>
      </c>
      <c r="B451" s="173" t="s">
        <v>2087</v>
      </c>
      <c r="C451" s="173" t="s">
        <v>6706</v>
      </c>
      <c r="D451" s="173" t="s">
        <v>8582</v>
      </c>
      <c r="E451" s="203">
        <v>44873</v>
      </c>
    </row>
    <row r="452" spans="1:5" ht="14.25" hidden="1" customHeight="1">
      <c r="A452" s="155">
        <v>36838708</v>
      </c>
      <c r="B452" s="173" t="s">
        <v>6726</v>
      </c>
      <c r="C452" s="173" t="s">
        <v>6727</v>
      </c>
      <c r="D452" s="173" t="s">
        <v>8582</v>
      </c>
      <c r="E452" s="203">
        <v>44873</v>
      </c>
    </row>
    <row r="453" spans="1:5" ht="14.25" hidden="1" customHeight="1">
      <c r="A453" s="155">
        <v>37309766</v>
      </c>
      <c r="B453" s="173" t="s">
        <v>547</v>
      </c>
      <c r="C453" s="173" t="s">
        <v>5851</v>
      </c>
      <c r="D453" s="173" t="s">
        <v>8582</v>
      </c>
      <c r="E453" s="203">
        <v>44873</v>
      </c>
    </row>
    <row r="454" spans="1:5" ht="14.25" hidden="1" customHeight="1">
      <c r="A454" s="155">
        <v>38741603</v>
      </c>
      <c r="B454" s="173" t="s">
        <v>1040</v>
      </c>
      <c r="C454" s="173" t="s">
        <v>6722</v>
      </c>
      <c r="D454" s="173" t="s">
        <v>8582</v>
      </c>
      <c r="E454" s="203">
        <v>44873</v>
      </c>
    </row>
    <row r="455" spans="1:5" ht="14.25" hidden="1" customHeight="1">
      <c r="A455" s="155">
        <v>18230668</v>
      </c>
      <c r="B455" s="173" t="s">
        <v>2375</v>
      </c>
      <c r="C455" s="173" t="s">
        <v>2376</v>
      </c>
      <c r="D455" s="173" t="s">
        <v>8578</v>
      </c>
      <c r="E455" s="205">
        <v>44872</v>
      </c>
    </row>
    <row r="456" spans="1:5" ht="14.25" hidden="1" customHeight="1">
      <c r="A456" s="155">
        <v>20418286</v>
      </c>
      <c r="B456" s="173" t="s">
        <v>4357</v>
      </c>
      <c r="C456" s="173" t="s">
        <v>4358</v>
      </c>
      <c r="D456" s="173" t="s">
        <v>8578</v>
      </c>
      <c r="E456" s="205">
        <v>44872</v>
      </c>
    </row>
    <row r="457" spans="1:5" ht="14.25" hidden="1" customHeight="1">
      <c r="A457" s="155">
        <v>22332403</v>
      </c>
      <c r="B457" s="173" t="s">
        <v>4279</v>
      </c>
      <c r="C457" s="173" t="s">
        <v>6045</v>
      </c>
      <c r="D457" s="173" t="s">
        <v>8578</v>
      </c>
      <c r="E457" s="205">
        <v>44872</v>
      </c>
    </row>
    <row r="458" spans="1:5" ht="14.25" hidden="1" customHeight="1">
      <c r="A458" s="155">
        <v>24888251</v>
      </c>
      <c r="B458" s="173" t="s">
        <v>1385</v>
      </c>
      <c r="C458" s="173" t="s">
        <v>4710</v>
      </c>
      <c r="D458" s="173" t="s">
        <v>8578</v>
      </c>
      <c r="E458" s="203">
        <v>44872</v>
      </c>
    </row>
    <row r="459" spans="1:5" ht="14.25" hidden="1" customHeight="1">
      <c r="A459" s="155">
        <v>25213563</v>
      </c>
      <c r="B459" s="173" t="s">
        <v>6551</v>
      </c>
      <c r="C459" s="173" t="s">
        <v>6552</v>
      </c>
      <c r="D459" s="173" t="s">
        <v>8578</v>
      </c>
      <c r="E459" s="203">
        <v>44872</v>
      </c>
    </row>
    <row r="460" spans="1:5" ht="14.25" hidden="1" customHeight="1">
      <c r="A460" s="155">
        <v>25214023</v>
      </c>
      <c r="B460" s="173" t="s">
        <v>6556</v>
      </c>
      <c r="C460" s="173" t="s">
        <v>6557</v>
      </c>
      <c r="D460" s="173" t="s">
        <v>8578</v>
      </c>
      <c r="E460" s="203">
        <v>44872</v>
      </c>
    </row>
    <row r="461" spans="1:5" ht="14.25" hidden="1" customHeight="1">
      <c r="A461" s="155">
        <v>26011505</v>
      </c>
      <c r="B461" s="173" t="s">
        <v>2422</v>
      </c>
      <c r="C461" s="173" t="s">
        <v>6527</v>
      </c>
      <c r="D461" s="173" t="s">
        <v>8578</v>
      </c>
      <c r="E461" s="205">
        <v>44872</v>
      </c>
    </row>
    <row r="462" spans="1:5" ht="14.25" hidden="1" customHeight="1">
      <c r="A462" s="155">
        <v>26722184</v>
      </c>
      <c r="B462" s="173" t="s">
        <v>3979</v>
      </c>
      <c r="C462" s="173" t="s">
        <v>3980</v>
      </c>
      <c r="D462" s="173" t="s">
        <v>8578</v>
      </c>
      <c r="E462" s="203">
        <v>44872</v>
      </c>
    </row>
    <row r="463" spans="1:5" ht="14.25" hidden="1" customHeight="1">
      <c r="A463" s="155">
        <v>27364252</v>
      </c>
      <c r="B463" s="173" t="s">
        <v>428</v>
      </c>
      <c r="C463" s="173" t="s">
        <v>3970</v>
      </c>
      <c r="D463" s="173" t="s">
        <v>8578</v>
      </c>
      <c r="E463" s="203">
        <v>44872</v>
      </c>
    </row>
    <row r="464" spans="1:5" ht="14.25" hidden="1" customHeight="1">
      <c r="A464" s="155">
        <v>27732258</v>
      </c>
      <c r="B464" s="173" t="s">
        <v>1385</v>
      </c>
      <c r="C464" s="173" t="s">
        <v>74</v>
      </c>
      <c r="D464" s="173" t="s">
        <v>8578</v>
      </c>
      <c r="E464" s="205">
        <v>44872</v>
      </c>
    </row>
    <row r="465" spans="1:5" ht="14.25" hidden="1" customHeight="1">
      <c r="A465" s="155">
        <v>30497559</v>
      </c>
      <c r="B465" s="173" t="s">
        <v>5795</v>
      </c>
      <c r="C465" s="173" t="s">
        <v>6539</v>
      </c>
      <c r="D465" s="173" t="s">
        <v>8578</v>
      </c>
      <c r="E465" s="203">
        <v>44872</v>
      </c>
    </row>
    <row r="466" spans="1:5" ht="14.25" hidden="1" customHeight="1">
      <c r="A466" s="155">
        <v>33540499</v>
      </c>
      <c r="B466" s="173" t="s">
        <v>794</v>
      </c>
      <c r="C466" s="173" t="s">
        <v>795</v>
      </c>
      <c r="D466" s="173" t="s">
        <v>8578</v>
      </c>
      <c r="E466" s="203">
        <v>44872</v>
      </c>
    </row>
    <row r="467" spans="1:5" ht="14.25" hidden="1" customHeight="1">
      <c r="A467" s="155">
        <v>34185816</v>
      </c>
      <c r="B467" s="173" t="s">
        <v>6533</v>
      </c>
      <c r="C467" s="173" t="s">
        <v>6534</v>
      </c>
      <c r="D467" s="173" t="s">
        <v>8578</v>
      </c>
      <c r="E467" s="203">
        <v>44872</v>
      </c>
    </row>
    <row r="468" spans="1:5" ht="14.25" hidden="1" customHeight="1">
      <c r="A468" s="155">
        <v>37655869</v>
      </c>
      <c r="B468" s="173" t="s">
        <v>6545</v>
      </c>
      <c r="C468" s="173" t="s">
        <v>6546</v>
      </c>
      <c r="D468" s="173" t="s">
        <v>8578</v>
      </c>
      <c r="E468" s="203">
        <v>44872</v>
      </c>
    </row>
    <row r="469" spans="1:5" ht="14.25" hidden="1" customHeight="1">
      <c r="A469" s="155">
        <v>16859596</v>
      </c>
      <c r="B469" s="173" t="s">
        <v>4275</v>
      </c>
      <c r="C469" s="173" t="s">
        <v>612</v>
      </c>
      <c r="D469" s="173" t="s">
        <v>7016</v>
      </c>
      <c r="E469" s="203">
        <v>44824</v>
      </c>
    </row>
    <row r="470" spans="1:5" ht="14.25" hidden="1" customHeight="1">
      <c r="A470" s="155">
        <v>25542010</v>
      </c>
      <c r="B470" s="173" t="s">
        <v>6601</v>
      </c>
      <c r="C470" s="173" t="s">
        <v>6602</v>
      </c>
      <c r="D470" s="173" t="s">
        <v>7016</v>
      </c>
      <c r="E470" s="203">
        <v>44824</v>
      </c>
    </row>
    <row r="471" spans="1:5" ht="14.25" hidden="1" customHeight="1">
      <c r="A471" s="155">
        <v>25843239</v>
      </c>
      <c r="B471" s="173" t="s">
        <v>4874</v>
      </c>
      <c r="C471" s="173" t="s">
        <v>4875</v>
      </c>
      <c r="D471" s="173" t="s">
        <v>7016</v>
      </c>
      <c r="E471" s="203">
        <v>44824</v>
      </c>
    </row>
    <row r="472" spans="1:5" ht="14.25" hidden="1" customHeight="1">
      <c r="A472" s="155">
        <v>28053203</v>
      </c>
      <c r="B472" s="173" t="s">
        <v>327</v>
      </c>
      <c r="C472" s="173" t="s">
        <v>4495</v>
      </c>
      <c r="D472" s="173" t="s">
        <v>7016</v>
      </c>
      <c r="E472" s="203">
        <v>44824</v>
      </c>
    </row>
    <row r="473" spans="1:5" ht="14.25" hidden="1" customHeight="1">
      <c r="A473" s="155">
        <v>29183945</v>
      </c>
      <c r="B473" s="173" t="s">
        <v>2731</v>
      </c>
      <c r="C473" s="173" t="s">
        <v>2732</v>
      </c>
      <c r="D473" s="173" t="s">
        <v>7016</v>
      </c>
      <c r="E473" s="203">
        <v>44824</v>
      </c>
    </row>
    <row r="474" spans="1:5" ht="14.25" hidden="1" customHeight="1">
      <c r="A474" s="155">
        <v>29997979</v>
      </c>
      <c r="B474" s="173" t="s">
        <v>4512</v>
      </c>
      <c r="C474" s="173" t="s">
        <v>527</v>
      </c>
      <c r="D474" s="173" t="s">
        <v>7016</v>
      </c>
      <c r="E474" s="203">
        <v>44824</v>
      </c>
    </row>
    <row r="475" spans="1:5" ht="14.25" hidden="1" customHeight="1">
      <c r="A475" s="155">
        <v>31127710</v>
      </c>
      <c r="B475" s="173" t="s">
        <v>311</v>
      </c>
      <c r="C475" s="173" t="s">
        <v>3782</v>
      </c>
      <c r="D475" s="173" t="s">
        <v>7016</v>
      </c>
      <c r="E475" s="203">
        <v>44824</v>
      </c>
    </row>
    <row r="476" spans="1:5" ht="14.25" hidden="1" customHeight="1">
      <c r="A476" s="155">
        <v>32853533</v>
      </c>
      <c r="B476" s="173" t="s">
        <v>6595</v>
      </c>
      <c r="C476" s="173" t="s">
        <v>6596</v>
      </c>
      <c r="D476" s="173" t="s">
        <v>7016</v>
      </c>
      <c r="E476" s="203">
        <v>44824</v>
      </c>
    </row>
    <row r="477" spans="1:5" ht="14.25" hidden="1" customHeight="1">
      <c r="A477" s="155">
        <v>34132425</v>
      </c>
      <c r="B477" s="173" t="s">
        <v>3679</v>
      </c>
      <c r="C477" s="173" t="s">
        <v>2430</v>
      </c>
      <c r="D477" s="173" t="s">
        <v>7016</v>
      </c>
      <c r="E477" s="203">
        <v>44824</v>
      </c>
    </row>
    <row r="478" spans="1:5" ht="14.25" hidden="1" customHeight="1">
      <c r="A478" s="155">
        <v>34356805</v>
      </c>
      <c r="B478" s="173" t="s">
        <v>650</v>
      </c>
      <c r="C478" s="173" t="s">
        <v>4021</v>
      </c>
      <c r="D478" s="173" t="s">
        <v>7016</v>
      </c>
      <c r="E478" s="203">
        <v>44824</v>
      </c>
    </row>
    <row r="479" spans="1:5" ht="14.25" hidden="1" customHeight="1">
      <c r="A479" s="155">
        <v>37097110</v>
      </c>
      <c r="B479" s="173" t="s">
        <v>6610</v>
      </c>
      <c r="C479" s="173" t="s">
        <v>6611</v>
      </c>
      <c r="D479" s="173" t="s">
        <v>7016</v>
      </c>
      <c r="E479" s="203">
        <v>44824</v>
      </c>
    </row>
    <row r="480" spans="1:5" ht="14.25" hidden="1" customHeight="1">
      <c r="A480" s="155">
        <v>37511447</v>
      </c>
      <c r="B480" s="173" t="s">
        <v>2725</v>
      </c>
      <c r="C480" s="173" t="s">
        <v>2726</v>
      </c>
      <c r="D480" s="173" t="s">
        <v>7016</v>
      </c>
      <c r="E480" s="203">
        <v>44824</v>
      </c>
    </row>
    <row r="481" spans="1:5" ht="14.25" hidden="1" customHeight="1">
      <c r="A481" s="158">
        <v>16811869</v>
      </c>
      <c r="B481" s="173" t="s">
        <v>3634</v>
      </c>
      <c r="C481" s="173" t="s">
        <v>215</v>
      </c>
      <c r="D481" s="173" t="s">
        <v>7018</v>
      </c>
      <c r="E481" s="203">
        <v>44823</v>
      </c>
    </row>
    <row r="482" spans="1:5" ht="14.25" hidden="1" customHeight="1">
      <c r="A482" s="155">
        <v>17494043</v>
      </c>
      <c r="B482" s="173" t="s">
        <v>6717</v>
      </c>
      <c r="C482" s="173" t="s">
        <v>6718</v>
      </c>
      <c r="D482" s="173" t="s">
        <v>7018</v>
      </c>
      <c r="E482" s="203">
        <v>44823</v>
      </c>
    </row>
    <row r="483" spans="1:5" ht="14.25" hidden="1" customHeight="1">
      <c r="A483" s="155">
        <v>20284338</v>
      </c>
      <c r="B483" s="173" t="s">
        <v>6714</v>
      </c>
      <c r="C483" s="173" t="s">
        <v>2775</v>
      </c>
      <c r="D483" s="173" t="s">
        <v>7018</v>
      </c>
      <c r="E483" s="203">
        <v>44823</v>
      </c>
    </row>
    <row r="484" spans="1:5" ht="14.25" hidden="1" customHeight="1">
      <c r="A484" s="155">
        <v>22332403</v>
      </c>
      <c r="B484" s="173" t="s">
        <v>4279</v>
      </c>
      <c r="C484" s="173" t="s">
        <v>6045</v>
      </c>
      <c r="D484" s="173" t="s">
        <v>7018</v>
      </c>
      <c r="E484" s="203">
        <v>44823</v>
      </c>
    </row>
    <row r="485" spans="1:5" ht="14.25" hidden="1" customHeight="1">
      <c r="A485" s="155">
        <v>22664437</v>
      </c>
      <c r="B485" s="173" t="s">
        <v>4809</v>
      </c>
      <c r="C485" s="173" t="s">
        <v>4810</v>
      </c>
      <c r="D485" s="173" t="s">
        <v>7018</v>
      </c>
      <c r="E485" s="203">
        <v>44823</v>
      </c>
    </row>
    <row r="486" spans="1:5" ht="14.25" hidden="1" customHeight="1">
      <c r="A486" s="155">
        <v>23239528</v>
      </c>
      <c r="B486" s="173" t="s">
        <v>4981</v>
      </c>
      <c r="C486" s="173" t="s">
        <v>4982</v>
      </c>
      <c r="D486" s="173" t="s">
        <v>7018</v>
      </c>
      <c r="E486" s="203">
        <v>44823</v>
      </c>
    </row>
    <row r="487" spans="1:5" ht="14.25" hidden="1" customHeight="1">
      <c r="A487" s="155">
        <v>24200173</v>
      </c>
      <c r="B487" s="173" t="s">
        <v>362</v>
      </c>
      <c r="C487" s="173" t="s">
        <v>6711</v>
      </c>
      <c r="D487" s="173" t="s">
        <v>7018</v>
      </c>
      <c r="E487" s="203">
        <v>44823</v>
      </c>
    </row>
    <row r="488" spans="1:5" ht="14.25" hidden="1" customHeight="1">
      <c r="A488" s="155">
        <v>24802856</v>
      </c>
      <c r="B488" s="173" t="s">
        <v>6701</v>
      </c>
      <c r="C488" s="173" t="s">
        <v>6702</v>
      </c>
      <c r="D488" s="173" t="s">
        <v>7018</v>
      </c>
      <c r="E488" s="203">
        <v>44823</v>
      </c>
    </row>
    <row r="489" spans="1:5" ht="14.25" hidden="1" customHeight="1">
      <c r="A489" s="155">
        <v>36121119</v>
      </c>
      <c r="B489" s="173" t="s">
        <v>6696</v>
      </c>
      <c r="C489" s="173" t="s">
        <v>4405</v>
      </c>
      <c r="D489" s="173" t="s">
        <v>7018</v>
      </c>
      <c r="E489" s="203">
        <v>44823</v>
      </c>
    </row>
    <row r="490" spans="1:5" ht="14.25" hidden="1" customHeight="1">
      <c r="A490" s="155">
        <v>36583989</v>
      </c>
      <c r="B490" s="173" t="s">
        <v>2087</v>
      </c>
      <c r="C490" s="173" t="s">
        <v>6706</v>
      </c>
      <c r="D490" s="173" t="s">
        <v>7018</v>
      </c>
      <c r="E490" s="203">
        <v>44823</v>
      </c>
    </row>
    <row r="491" spans="1:5" ht="14.25" hidden="1" customHeight="1">
      <c r="A491" s="155">
        <v>39146062</v>
      </c>
      <c r="B491" s="173" t="s">
        <v>1523</v>
      </c>
      <c r="C491" s="173" t="s">
        <v>1389</v>
      </c>
      <c r="D491" s="173" t="s">
        <v>7018</v>
      </c>
      <c r="E491" s="203">
        <v>44823</v>
      </c>
    </row>
    <row r="492" spans="1:5" ht="14.25" hidden="1" customHeight="1">
      <c r="A492" s="155">
        <v>41299512</v>
      </c>
      <c r="B492" s="173" t="s">
        <v>40</v>
      </c>
      <c r="C492" s="173" t="s">
        <v>6588</v>
      </c>
      <c r="D492" s="173" t="s">
        <v>7018</v>
      </c>
      <c r="E492" s="203">
        <v>44823</v>
      </c>
    </row>
    <row r="493" spans="1:5" ht="14.25" hidden="1" customHeight="1">
      <c r="A493" s="155">
        <v>13279673</v>
      </c>
      <c r="B493" s="173" t="s">
        <v>342</v>
      </c>
      <c r="C493" s="173" t="s">
        <v>6671</v>
      </c>
      <c r="D493" s="173" t="s">
        <v>7009</v>
      </c>
      <c r="E493" s="203">
        <v>44782</v>
      </c>
    </row>
    <row r="494" spans="1:5" ht="14.25" hidden="1" customHeight="1">
      <c r="A494" s="155">
        <v>20218675</v>
      </c>
      <c r="B494" s="173" t="s">
        <v>734</v>
      </c>
      <c r="C494" s="173" t="s">
        <v>3481</v>
      </c>
      <c r="D494" s="173" t="s">
        <v>7009</v>
      </c>
      <c r="E494" s="203">
        <v>44782</v>
      </c>
    </row>
    <row r="495" spans="1:5" ht="14.25" hidden="1" customHeight="1">
      <c r="A495" s="155">
        <v>21799236</v>
      </c>
      <c r="B495" s="173" t="s">
        <v>1273</v>
      </c>
      <c r="C495" s="173" t="s">
        <v>6675</v>
      </c>
      <c r="D495" s="173" t="s">
        <v>7009</v>
      </c>
      <c r="E495" s="203">
        <v>44782</v>
      </c>
    </row>
    <row r="496" spans="1:5" ht="14.25" hidden="1" customHeight="1">
      <c r="A496" s="155">
        <v>23387097</v>
      </c>
      <c r="B496" s="173" t="s">
        <v>3842</v>
      </c>
      <c r="C496" s="173" t="s">
        <v>902</v>
      </c>
      <c r="D496" s="173" t="s">
        <v>7009</v>
      </c>
      <c r="E496" s="203">
        <v>44782</v>
      </c>
    </row>
    <row r="497" spans="1:5" ht="14.25" hidden="1" customHeight="1">
      <c r="A497" s="155">
        <v>24200086</v>
      </c>
      <c r="B497" s="173" t="s">
        <v>2364</v>
      </c>
      <c r="C497" s="173" t="s">
        <v>2365</v>
      </c>
      <c r="D497" s="173" t="s">
        <v>7009</v>
      </c>
      <c r="E497" s="203">
        <v>44782</v>
      </c>
    </row>
    <row r="498" spans="1:5" ht="14.25" hidden="1" customHeight="1">
      <c r="A498" s="155">
        <v>25255423</v>
      </c>
      <c r="B498" s="173" t="s">
        <v>2082</v>
      </c>
      <c r="C498" s="173" t="s">
        <v>6667</v>
      </c>
      <c r="D498" s="173" t="s">
        <v>7009</v>
      </c>
      <c r="E498" s="203">
        <v>44782</v>
      </c>
    </row>
    <row r="499" spans="1:5" ht="14.25" hidden="1" customHeight="1">
      <c r="A499" s="155">
        <v>25542010</v>
      </c>
      <c r="B499" s="173" t="s">
        <v>6601</v>
      </c>
      <c r="C499" s="173" t="s">
        <v>6602</v>
      </c>
      <c r="D499" s="173" t="s">
        <v>7009</v>
      </c>
      <c r="E499" s="203">
        <v>44782</v>
      </c>
    </row>
    <row r="500" spans="1:5" ht="14.25" hidden="1" customHeight="1">
      <c r="A500" s="155">
        <v>29877883</v>
      </c>
      <c r="B500" s="173" t="s">
        <v>6679</v>
      </c>
      <c r="C500" s="173" t="s">
        <v>6680</v>
      </c>
      <c r="D500" s="173" t="s">
        <v>7009</v>
      </c>
      <c r="E500" s="203">
        <v>44782</v>
      </c>
    </row>
    <row r="501" spans="1:5" ht="14.25" hidden="1" customHeight="1">
      <c r="A501" s="155">
        <v>30497540</v>
      </c>
      <c r="B501" s="173" t="s">
        <v>6606</v>
      </c>
      <c r="C501" s="173" t="s">
        <v>6607</v>
      </c>
      <c r="D501" s="173" t="s">
        <v>7009</v>
      </c>
      <c r="E501" s="203">
        <v>44782</v>
      </c>
    </row>
    <row r="502" spans="1:5" ht="14.25" hidden="1" customHeight="1">
      <c r="A502" s="155">
        <v>32460088</v>
      </c>
      <c r="B502" s="173" t="s">
        <v>6685</v>
      </c>
      <c r="C502" s="173" t="s">
        <v>165</v>
      </c>
      <c r="D502" s="173" t="s">
        <v>7009</v>
      </c>
      <c r="E502" s="203">
        <v>44782</v>
      </c>
    </row>
    <row r="503" spans="1:5" ht="14.25" hidden="1" customHeight="1">
      <c r="A503" s="155">
        <v>32853533</v>
      </c>
      <c r="B503" s="173" t="s">
        <v>6595</v>
      </c>
      <c r="C503" s="173" t="s">
        <v>6596</v>
      </c>
      <c r="D503" s="173" t="s">
        <v>7009</v>
      </c>
      <c r="E503" s="203">
        <v>44782</v>
      </c>
    </row>
    <row r="504" spans="1:5" ht="14.25" hidden="1" customHeight="1">
      <c r="A504" s="155">
        <v>33050022</v>
      </c>
      <c r="B504" s="173" t="s">
        <v>3474</v>
      </c>
      <c r="C504" s="173" t="s">
        <v>3916</v>
      </c>
      <c r="D504" s="173" t="s">
        <v>7009</v>
      </c>
      <c r="E504" s="203">
        <v>44782</v>
      </c>
    </row>
    <row r="505" spans="1:5" ht="14.25" hidden="1" customHeight="1">
      <c r="A505" s="155">
        <v>40434411</v>
      </c>
      <c r="B505" s="173" t="s">
        <v>6652</v>
      </c>
      <c r="C505" s="173" t="s">
        <v>6653</v>
      </c>
      <c r="D505" s="173" t="s">
        <v>7009</v>
      </c>
      <c r="E505" s="203">
        <v>44782</v>
      </c>
    </row>
    <row r="506" spans="1:5" ht="14.25" hidden="1" customHeight="1">
      <c r="A506" s="155">
        <v>13278063</v>
      </c>
      <c r="B506" s="173" t="s">
        <v>6692</v>
      </c>
      <c r="C506" s="173" t="s">
        <v>6693</v>
      </c>
      <c r="D506" s="173" t="s">
        <v>8581</v>
      </c>
      <c r="E506" s="203">
        <v>44781</v>
      </c>
    </row>
    <row r="507" spans="1:5" ht="14.25" hidden="1" customHeight="1">
      <c r="A507" s="158">
        <v>13279673</v>
      </c>
      <c r="B507" s="173" t="s">
        <v>342</v>
      </c>
      <c r="C507" s="173" t="s">
        <v>6671</v>
      </c>
      <c r="D507" s="173" t="s">
        <v>8581</v>
      </c>
      <c r="E507" s="203">
        <v>44781</v>
      </c>
    </row>
    <row r="508" spans="1:5" ht="14.25" hidden="1" customHeight="1">
      <c r="A508" s="155">
        <v>18661195</v>
      </c>
      <c r="B508" s="173" t="s">
        <v>6637</v>
      </c>
      <c r="C508" s="173" t="s">
        <v>6638</v>
      </c>
      <c r="D508" s="173" t="s">
        <v>8581</v>
      </c>
      <c r="E508" s="203">
        <v>44781</v>
      </c>
    </row>
    <row r="509" spans="1:5" ht="14.25" hidden="1" customHeight="1">
      <c r="A509" s="155">
        <v>20218675</v>
      </c>
      <c r="B509" s="173" t="s">
        <v>734</v>
      </c>
      <c r="C509" s="173" t="s">
        <v>3481</v>
      </c>
      <c r="D509" s="173" t="s">
        <v>8581</v>
      </c>
      <c r="E509" s="203">
        <v>44781</v>
      </c>
    </row>
    <row r="510" spans="1:5" ht="14.25" hidden="1" customHeight="1">
      <c r="A510" s="155">
        <v>20285028</v>
      </c>
      <c r="B510" s="173" t="s">
        <v>927</v>
      </c>
      <c r="C510" s="173" t="s">
        <v>4897</v>
      </c>
      <c r="D510" s="173" t="s">
        <v>8581</v>
      </c>
      <c r="E510" s="203">
        <v>44781</v>
      </c>
    </row>
    <row r="511" spans="1:5" ht="14.25" hidden="1" customHeight="1">
      <c r="A511" s="155">
        <v>21799236</v>
      </c>
      <c r="B511" s="173" t="s">
        <v>1273</v>
      </c>
      <c r="C511" s="173" t="s">
        <v>6675</v>
      </c>
      <c r="D511" s="173" t="s">
        <v>8581</v>
      </c>
      <c r="E511" s="203">
        <v>44781</v>
      </c>
    </row>
    <row r="512" spans="1:5" ht="14.25" hidden="1" customHeight="1">
      <c r="A512" s="158">
        <v>27016279</v>
      </c>
      <c r="B512" s="173" t="s">
        <v>6591</v>
      </c>
      <c r="C512" s="173" t="s">
        <v>6592</v>
      </c>
      <c r="D512" s="173" t="s">
        <v>8581</v>
      </c>
      <c r="E512" s="203">
        <v>44781</v>
      </c>
    </row>
    <row r="513" spans="1:5" ht="14.25" hidden="1" customHeight="1">
      <c r="A513" s="155">
        <v>27224695</v>
      </c>
      <c r="B513" s="173" t="s">
        <v>218</v>
      </c>
      <c r="C513" s="173" t="s">
        <v>6574</v>
      </c>
      <c r="D513" s="173" t="s">
        <v>8581</v>
      </c>
      <c r="E513" s="203">
        <v>44781</v>
      </c>
    </row>
    <row r="514" spans="1:5" ht="14.25" hidden="1" customHeight="1">
      <c r="A514" s="155">
        <v>27732258</v>
      </c>
      <c r="B514" s="173" t="s">
        <v>1385</v>
      </c>
      <c r="C514" s="173" t="s">
        <v>74</v>
      </c>
      <c r="D514" s="173" t="s">
        <v>8581</v>
      </c>
      <c r="E514" s="203">
        <v>44781</v>
      </c>
    </row>
    <row r="515" spans="1:5" ht="14.25" hidden="1" customHeight="1">
      <c r="A515" s="155">
        <v>31425836</v>
      </c>
      <c r="B515" s="173" t="s">
        <v>4067</v>
      </c>
      <c r="C515" s="173" t="s">
        <v>4068</v>
      </c>
      <c r="D515" s="173" t="s">
        <v>8581</v>
      </c>
      <c r="E515" s="203">
        <v>44781</v>
      </c>
    </row>
    <row r="516" spans="1:5" ht="14.25" hidden="1" customHeight="1">
      <c r="A516" s="155">
        <v>32853533</v>
      </c>
      <c r="B516" s="173" t="s">
        <v>6595</v>
      </c>
      <c r="C516" s="173" t="s">
        <v>6596</v>
      </c>
      <c r="D516" s="173" t="s">
        <v>8581</v>
      </c>
      <c r="E516" s="203">
        <v>44781</v>
      </c>
    </row>
    <row r="517" spans="1:5" ht="14.25" hidden="1" customHeight="1">
      <c r="A517" s="155">
        <v>32927374</v>
      </c>
      <c r="B517" s="173" t="s">
        <v>47</v>
      </c>
      <c r="C517" s="173" t="s">
        <v>51</v>
      </c>
      <c r="D517" s="173" t="s">
        <v>8581</v>
      </c>
      <c r="E517" s="203">
        <v>44781</v>
      </c>
    </row>
    <row r="518" spans="1:5" ht="14.25" hidden="1" customHeight="1">
      <c r="A518" s="155">
        <v>35811646</v>
      </c>
      <c r="B518" s="173" t="s">
        <v>326</v>
      </c>
      <c r="C518" s="173" t="s">
        <v>6688</v>
      </c>
      <c r="D518" s="173" t="s">
        <v>8581</v>
      </c>
      <c r="E518" s="203">
        <v>44781</v>
      </c>
    </row>
    <row r="519" spans="1:5" ht="14.25" hidden="1" customHeight="1">
      <c r="A519" s="155">
        <v>17376659</v>
      </c>
      <c r="B519" s="173" t="s">
        <v>4223</v>
      </c>
      <c r="C519" s="173" t="s">
        <v>4224</v>
      </c>
      <c r="D519" s="173" t="s">
        <v>8583</v>
      </c>
      <c r="E519" s="206">
        <v>44685</v>
      </c>
    </row>
    <row r="520" spans="1:5" ht="14.25" hidden="1" customHeight="1">
      <c r="A520" s="155">
        <v>17858391</v>
      </c>
      <c r="B520" s="173" t="s">
        <v>4389</v>
      </c>
      <c r="C520" s="173" t="s">
        <v>4390</v>
      </c>
      <c r="D520" s="173" t="s">
        <v>8583</v>
      </c>
      <c r="E520" s="206">
        <v>44685</v>
      </c>
    </row>
    <row r="521" spans="1:5" ht="14.25" hidden="1" customHeight="1">
      <c r="A521" s="155">
        <v>17866738</v>
      </c>
      <c r="B521" s="173" t="s">
        <v>4994</v>
      </c>
      <c r="C521" s="173" t="s">
        <v>2260</v>
      </c>
      <c r="D521" s="173" t="s">
        <v>8583</v>
      </c>
      <c r="E521" s="206">
        <v>44685</v>
      </c>
    </row>
    <row r="522" spans="1:5" ht="14.25" hidden="1" customHeight="1">
      <c r="A522" s="155">
        <v>18661195</v>
      </c>
      <c r="B522" s="173" t="s">
        <v>6637</v>
      </c>
      <c r="C522" s="173" t="s">
        <v>6638</v>
      </c>
      <c r="D522" s="173" t="s">
        <v>8583</v>
      </c>
      <c r="E522" s="206">
        <v>44685</v>
      </c>
    </row>
    <row r="523" spans="1:5" ht="14.25" hidden="1" customHeight="1">
      <c r="A523" s="155">
        <v>21328294</v>
      </c>
      <c r="B523" s="173" t="s">
        <v>6770</v>
      </c>
      <c r="C523" s="173" t="s">
        <v>6771</v>
      </c>
      <c r="D523" s="173" t="s">
        <v>8583</v>
      </c>
      <c r="E523" s="206">
        <v>44685</v>
      </c>
    </row>
    <row r="524" spans="1:5" ht="14.25" hidden="1" customHeight="1">
      <c r="A524" s="155">
        <v>21328390</v>
      </c>
      <c r="B524" s="173" t="s">
        <v>1195</v>
      </c>
      <c r="C524" s="173" t="s">
        <v>1085</v>
      </c>
      <c r="D524" s="173" t="s">
        <v>8583</v>
      </c>
      <c r="E524" s="206">
        <v>44685</v>
      </c>
    </row>
    <row r="525" spans="1:5" ht="14.25" hidden="1" customHeight="1">
      <c r="A525" s="155">
        <v>22263035</v>
      </c>
      <c r="B525" s="173" t="s">
        <v>6790</v>
      </c>
      <c r="C525" s="173" t="s">
        <v>6791</v>
      </c>
      <c r="D525" s="173" t="s">
        <v>8583</v>
      </c>
      <c r="E525" s="206">
        <v>44685</v>
      </c>
    </row>
    <row r="526" spans="1:5" ht="14.25" hidden="1" customHeight="1">
      <c r="A526" s="155">
        <v>22664437</v>
      </c>
      <c r="B526" s="173" t="s">
        <v>4809</v>
      </c>
      <c r="C526" s="173" t="s">
        <v>4810</v>
      </c>
      <c r="D526" s="173" t="s">
        <v>8583</v>
      </c>
      <c r="E526" s="206">
        <v>44685</v>
      </c>
    </row>
    <row r="527" spans="1:5" ht="14.25" hidden="1" customHeight="1">
      <c r="A527" s="155">
        <v>24005950</v>
      </c>
      <c r="B527" s="173" t="s">
        <v>428</v>
      </c>
      <c r="C527" s="173" t="s">
        <v>1202</v>
      </c>
      <c r="D527" s="173" t="s">
        <v>8583</v>
      </c>
      <c r="E527" s="206">
        <v>44685</v>
      </c>
    </row>
    <row r="528" spans="1:5" ht="14.25" hidden="1" customHeight="1">
      <c r="A528" s="155">
        <v>24802284</v>
      </c>
      <c r="B528" s="173" t="s">
        <v>1613</v>
      </c>
      <c r="C528" s="173" t="s">
        <v>455</v>
      </c>
      <c r="D528" s="173" t="s">
        <v>8583</v>
      </c>
      <c r="E528" s="206">
        <v>44685</v>
      </c>
    </row>
    <row r="529" spans="1:5" ht="14.25" hidden="1" customHeight="1">
      <c r="A529" s="155">
        <v>24803365</v>
      </c>
      <c r="B529" s="173" t="s">
        <v>6752</v>
      </c>
      <c r="C529" s="173" t="s">
        <v>6753</v>
      </c>
      <c r="D529" s="173" t="s">
        <v>8583</v>
      </c>
      <c r="E529" s="206">
        <v>44685</v>
      </c>
    </row>
    <row r="530" spans="1:5" ht="14.25" hidden="1" customHeight="1">
      <c r="A530" s="155">
        <v>25844988</v>
      </c>
      <c r="B530" s="173" t="s">
        <v>6746</v>
      </c>
      <c r="C530" s="173" t="s">
        <v>6747</v>
      </c>
      <c r="D530" s="173" t="s">
        <v>8583</v>
      </c>
      <c r="E530" s="206">
        <v>44685</v>
      </c>
    </row>
    <row r="531" spans="1:5" ht="14.25" hidden="1" customHeight="1">
      <c r="A531" s="155">
        <v>27875209</v>
      </c>
      <c r="B531" s="173" t="s">
        <v>6761</v>
      </c>
      <c r="C531" s="173" t="s">
        <v>6762</v>
      </c>
      <c r="D531" s="173" t="s">
        <v>8583</v>
      </c>
      <c r="E531" s="206">
        <v>44685</v>
      </c>
    </row>
    <row r="532" spans="1:5" ht="14.25" hidden="1" customHeight="1">
      <c r="A532" s="155">
        <v>30497540</v>
      </c>
      <c r="B532" s="173" t="s">
        <v>6606</v>
      </c>
      <c r="C532" s="173" t="s">
        <v>6607</v>
      </c>
      <c r="D532" s="173" t="s">
        <v>8583</v>
      </c>
      <c r="E532" s="206">
        <v>44685</v>
      </c>
    </row>
    <row r="533" spans="1:5" ht="14.25" hidden="1" customHeight="1">
      <c r="A533" s="155">
        <v>31809522</v>
      </c>
      <c r="B533" s="173" t="s">
        <v>4907</v>
      </c>
      <c r="C533" s="173" t="s">
        <v>106</v>
      </c>
      <c r="D533" s="173" t="s">
        <v>8583</v>
      </c>
      <c r="E533" s="206">
        <v>44685</v>
      </c>
    </row>
    <row r="534" spans="1:5" ht="14.25" hidden="1" customHeight="1">
      <c r="A534" s="155">
        <v>32115890</v>
      </c>
      <c r="B534" s="173" t="s">
        <v>541</v>
      </c>
      <c r="C534" s="173" t="s">
        <v>1061</v>
      </c>
      <c r="D534" s="173" t="s">
        <v>8583</v>
      </c>
      <c r="E534" s="206">
        <v>44685</v>
      </c>
    </row>
    <row r="535" spans="1:5" ht="14.25" hidden="1" customHeight="1">
      <c r="A535" s="155">
        <v>32853583</v>
      </c>
      <c r="B535" s="173" t="s">
        <v>6658</v>
      </c>
      <c r="C535" s="173" t="s">
        <v>2623</v>
      </c>
      <c r="D535" s="173" t="s">
        <v>8583</v>
      </c>
      <c r="E535" s="206">
        <v>44685</v>
      </c>
    </row>
    <row r="536" spans="1:5" ht="14.25" hidden="1" customHeight="1">
      <c r="A536" s="155">
        <v>34287096</v>
      </c>
      <c r="B536" s="173" t="s">
        <v>1219</v>
      </c>
      <c r="C536" s="173" t="s">
        <v>1220</v>
      </c>
      <c r="D536" s="173" t="s">
        <v>8583</v>
      </c>
      <c r="E536" s="206">
        <v>44685</v>
      </c>
    </row>
    <row r="537" spans="1:5" ht="14.25" hidden="1" customHeight="1">
      <c r="A537" s="155">
        <v>35199654</v>
      </c>
      <c r="B537" s="173" t="s">
        <v>6778</v>
      </c>
      <c r="C537" s="173" t="s">
        <v>6779</v>
      </c>
      <c r="D537" s="173" t="s">
        <v>8583</v>
      </c>
      <c r="E537" s="206">
        <v>44685</v>
      </c>
    </row>
    <row r="538" spans="1:5" ht="14.25" hidden="1" customHeight="1">
      <c r="A538" s="155">
        <v>37455221</v>
      </c>
      <c r="B538" s="173" t="s">
        <v>6784</v>
      </c>
      <c r="C538" s="173" t="s">
        <v>6785</v>
      </c>
      <c r="D538" s="173" t="s">
        <v>8583</v>
      </c>
      <c r="E538" s="206">
        <v>44685</v>
      </c>
    </row>
    <row r="539" spans="1:5" ht="14.25" hidden="1" customHeight="1">
      <c r="A539" s="155">
        <v>182292420</v>
      </c>
      <c r="B539" s="173" t="s">
        <v>3465</v>
      </c>
      <c r="C539" s="173" t="s">
        <v>6766</v>
      </c>
      <c r="D539" s="173" t="s">
        <v>8583</v>
      </c>
      <c r="E539" s="206">
        <v>44685</v>
      </c>
    </row>
    <row r="540" spans="1:5" ht="14.25" hidden="1" customHeight="1">
      <c r="A540" s="155">
        <v>14300445</v>
      </c>
      <c r="B540" s="173" t="s">
        <v>3699</v>
      </c>
      <c r="C540" s="173" t="s">
        <v>363</v>
      </c>
      <c r="D540" s="173" t="s">
        <v>8579</v>
      </c>
      <c r="E540" s="203">
        <v>44677</v>
      </c>
    </row>
    <row r="541" spans="1:5" ht="14.25" hidden="1" customHeight="1">
      <c r="A541" s="155">
        <v>20163758</v>
      </c>
      <c r="B541" s="173" t="s">
        <v>285</v>
      </c>
      <c r="C541" s="173" t="s">
        <v>6561</v>
      </c>
      <c r="D541" s="173" t="s">
        <v>8579</v>
      </c>
      <c r="E541" s="203">
        <v>44677</v>
      </c>
    </row>
    <row r="542" spans="1:5" ht="14.25" hidden="1" customHeight="1">
      <c r="A542" s="155">
        <v>20889207</v>
      </c>
      <c r="B542" s="173" t="s">
        <v>6584</v>
      </c>
      <c r="C542" s="173" t="s">
        <v>6585</v>
      </c>
      <c r="D542" s="173" t="s">
        <v>8579</v>
      </c>
      <c r="E542" s="203">
        <v>44677</v>
      </c>
    </row>
    <row r="543" spans="1:5" ht="14.25" hidden="1" customHeight="1">
      <c r="A543" s="155">
        <v>21829333</v>
      </c>
      <c r="B543" s="173" t="s">
        <v>3244</v>
      </c>
      <c r="C543" s="173" t="s">
        <v>6578</v>
      </c>
      <c r="D543" s="173" t="s">
        <v>8579</v>
      </c>
      <c r="E543" s="203">
        <v>44677</v>
      </c>
    </row>
    <row r="544" spans="1:5" ht="14.25" hidden="1" customHeight="1">
      <c r="A544" s="155">
        <v>27016279</v>
      </c>
      <c r="B544" s="173" t="s">
        <v>6591</v>
      </c>
      <c r="C544" s="173" t="s">
        <v>6592</v>
      </c>
      <c r="D544" s="173" t="s">
        <v>8579</v>
      </c>
      <c r="E544" s="203">
        <v>44677</v>
      </c>
    </row>
    <row r="545" spans="1:5" ht="14.25" hidden="1" customHeight="1">
      <c r="A545" s="155">
        <v>27206329</v>
      </c>
      <c r="B545" s="173" t="s">
        <v>2243</v>
      </c>
      <c r="C545" s="173" t="s">
        <v>6570</v>
      </c>
      <c r="D545" s="173" t="s">
        <v>8579</v>
      </c>
      <c r="E545" s="203">
        <v>44677</v>
      </c>
    </row>
    <row r="546" spans="1:5" ht="14.25" hidden="1" customHeight="1">
      <c r="A546" s="155">
        <v>27224695</v>
      </c>
      <c r="B546" s="173" t="s">
        <v>218</v>
      </c>
      <c r="C546" s="173" t="s">
        <v>6574</v>
      </c>
      <c r="D546" s="173" t="s">
        <v>8579</v>
      </c>
      <c r="E546" s="203">
        <v>44677</v>
      </c>
    </row>
    <row r="547" spans="1:5" ht="14.25" hidden="1" customHeight="1">
      <c r="A547" s="155">
        <v>27751892</v>
      </c>
      <c r="B547" s="173" t="s">
        <v>461</v>
      </c>
      <c r="C547" s="173" t="s">
        <v>1621</v>
      </c>
      <c r="D547" s="173" t="s">
        <v>8579</v>
      </c>
      <c r="E547" s="203">
        <v>44677</v>
      </c>
    </row>
    <row r="548" spans="1:5" ht="14.25" hidden="1" customHeight="1">
      <c r="A548" s="155">
        <v>32115718</v>
      </c>
      <c r="B548" s="173" t="s">
        <v>2389</v>
      </c>
      <c r="C548" s="173" t="s">
        <v>2390</v>
      </c>
      <c r="D548" s="173" t="s">
        <v>8579</v>
      </c>
      <c r="E548" s="203">
        <v>44677</v>
      </c>
    </row>
    <row r="549" spans="1:5" ht="14.25" hidden="1" customHeight="1">
      <c r="A549" s="155">
        <v>32927374</v>
      </c>
      <c r="B549" s="173" t="s">
        <v>47</v>
      </c>
      <c r="C549" s="173" t="s">
        <v>51</v>
      </c>
      <c r="D549" s="173" t="s">
        <v>8579</v>
      </c>
      <c r="E549" s="203">
        <v>44677</v>
      </c>
    </row>
    <row r="550" spans="1:5" ht="14.25" hidden="1" customHeight="1">
      <c r="A550" s="155">
        <v>41299512</v>
      </c>
      <c r="B550" s="173" t="s">
        <v>40</v>
      </c>
      <c r="C550" s="173" t="s">
        <v>6588</v>
      </c>
      <c r="D550" s="173" t="s">
        <v>8579</v>
      </c>
      <c r="E550" s="203">
        <v>44677</v>
      </c>
    </row>
    <row r="551" spans="1:5" ht="14.25" hidden="1" customHeight="1">
      <c r="A551" s="155">
        <v>43650528</v>
      </c>
      <c r="B551" s="173" t="s">
        <v>6566</v>
      </c>
      <c r="C551" s="173" t="s">
        <v>6567</v>
      </c>
      <c r="D551" s="173" t="s">
        <v>8579</v>
      </c>
      <c r="E551" s="203">
        <v>44677</v>
      </c>
    </row>
    <row r="552" spans="1:5" ht="14.25" hidden="1" customHeight="1">
      <c r="A552" s="155">
        <v>20418286</v>
      </c>
      <c r="B552" s="173" t="s">
        <v>4357</v>
      </c>
      <c r="C552" s="173" t="s">
        <v>4358</v>
      </c>
      <c r="D552" s="173" t="s">
        <v>7018</v>
      </c>
      <c r="E552" s="203">
        <v>44676</v>
      </c>
    </row>
    <row r="553" spans="1:5" ht="14.25" hidden="1" customHeight="1">
      <c r="A553" s="155">
        <v>20418941</v>
      </c>
      <c r="B553" s="173" t="s">
        <v>1798</v>
      </c>
      <c r="C553" s="173" t="s">
        <v>6663</v>
      </c>
      <c r="D553" s="173" t="s">
        <v>7018</v>
      </c>
      <c r="E553" s="203">
        <v>44676</v>
      </c>
    </row>
    <row r="554" spans="1:5" ht="14.25" hidden="1" customHeight="1">
      <c r="A554" s="155">
        <v>23387097</v>
      </c>
      <c r="B554" s="173" t="s">
        <v>3842</v>
      </c>
      <c r="C554" s="173" t="s">
        <v>902</v>
      </c>
      <c r="D554" s="173" t="s">
        <v>7018</v>
      </c>
      <c r="E554" s="203">
        <v>44676</v>
      </c>
    </row>
    <row r="555" spans="1:5" ht="14.25" hidden="1" customHeight="1">
      <c r="A555" s="155">
        <v>24059021</v>
      </c>
      <c r="B555" s="173" t="s">
        <v>3887</v>
      </c>
      <c r="C555" s="173" t="s">
        <v>3888</v>
      </c>
      <c r="D555" s="173" t="s">
        <v>7018</v>
      </c>
      <c r="E555" s="203">
        <v>44676</v>
      </c>
    </row>
    <row r="556" spans="1:5" ht="14.25" hidden="1" customHeight="1">
      <c r="A556" s="155">
        <v>24200086</v>
      </c>
      <c r="B556" s="173" t="s">
        <v>2364</v>
      </c>
      <c r="C556" s="173" t="s">
        <v>2365</v>
      </c>
      <c r="D556" s="173" t="s">
        <v>7018</v>
      </c>
      <c r="E556" s="203">
        <v>44676</v>
      </c>
    </row>
    <row r="557" spans="1:5" ht="14.25" hidden="1" customHeight="1">
      <c r="A557" s="158">
        <v>25255423</v>
      </c>
      <c r="B557" s="173" t="s">
        <v>2082</v>
      </c>
      <c r="C557" s="173" t="s">
        <v>6667</v>
      </c>
      <c r="D557" s="173" t="s">
        <v>7018</v>
      </c>
      <c r="E557" s="203">
        <v>44676</v>
      </c>
    </row>
    <row r="558" spans="1:5" ht="14.25" hidden="1" customHeight="1">
      <c r="A558" s="158">
        <v>25542010</v>
      </c>
      <c r="B558" s="173" t="s">
        <v>6601</v>
      </c>
      <c r="C558" s="173" t="s">
        <v>6602</v>
      </c>
      <c r="D558" s="173" t="s">
        <v>7018</v>
      </c>
      <c r="E558" s="203">
        <v>44676</v>
      </c>
    </row>
    <row r="559" spans="1:5" ht="14.25" hidden="1" customHeight="1">
      <c r="A559" s="158">
        <v>27732258</v>
      </c>
      <c r="B559" s="173" t="s">
        <v>1385</v>
      </c>
      <c r="C559" s="173" t="s">
        <v>74</v>
      </c>
      <c r="D559" s="173" t="s">
        <v>7018</v>
      </c>
      <c r="E559" s="203">
        <v>44676</v>
      </c>
    </row>
    <row r="560" spans="1:5" ht="14.25" hidden="1" customHeight="1">
      <c r="A560" s="155">
        <v>27751892</v>
      </c>
      <c r="B560" s="173" t="s">
        <v>461</v>
      </c>
      <c r="C560" s="173" t="s">
        <v>1621</v>
      </c>
      <c r="D560" s="173" t="s">
        <v>7018</v>
      </c>
      <c r="E560" s="203">
        <v>44676</v>
      </c>
    </row>
    <row r="561" spans="1:5" ht="14.25" hidden="1" customHeight="1">
      <c r="A561" s="155">
        <v>31425836</v>
      </c>
      <c r="B561" s="173" t="s">
        <v>4067</v>
      </c>
      <c r="C561" s="173" t="s">
        <v>4068</v>
      </c>
      <c r="D561" s="173" t="s">
        <v>7018</v>
      </c>
      <c r="E561" s="203">
        <v>44676</v>
      </c>
    </row>
    <row r="562" spans="1:5" ht="14.25" hidden="1" customHeight="1">
      <c r="A562" s="155">
        <v>33050022</v>
      </c>
      <c r="B562" s="173" t="s">
        <v>3474</v>
      </c>
      <c r="C562" s="173" t="s">
        <v>3916</v>
      </c>
      <c r="D562" s="173" t="s">
        <v>7018</v>
      </c>
      <c r="E562" s="203">
        <v>44676</v>
      </c>
    </row>
    <row r="563" spans="1:5" ht="14.25" hidden="1" customHeight="1">
      <c r="A563" s="155">
        <v>43650528</v>
      </c>
      <c r="B563" s="173" t="s">
        <v>6566</v>
      </c>
      <c r="C563" s="173" t="s">
        <v>6567</v>
      </c>
      <c r="D563" s="173" t="s">
        <v>7018</v>
      </c>
      <c r="E563" s="203">
        <v>44676</v>
      </c>
    </row>
    <row r="564" spans="1:5" ht="14.25" hidden="1" customHeight="1">
      <c r="A564" s="155">
        <v>14481504</v>
      </c>
      <c r="B564" s="173" t="s">
        <v>1032</v>
      </c>
      <c r="C564" s="173" t="s">
        <v>4723</v>
      </c>
      <c r="D564" s="173" t="s">
        <v>8580</v>
      </c>
      <c r="E564" s="203">
        <v>44673</v>
      </c>
    </row>
    <row r="565" spans="1:5" ht="14.25" hidden="1" customHeight="1">
      <c r="A565" s="155">
        <v>16091162</v>
      </c>
      <c r="B565" s="173" t="s">
        <v>5866</v>
      </c>
      <c r="C565" s="173" t="s">
        <v>5867</v>
      </c>
      <c r="D565" s="173" t="s">
        <v>8580</v>
      </c>
      <c r="E565" s="203">
        <v>44673</v>
      </c>
    </row>
    <row r="566" spans="1:5" ht="14.25" hidden="1" customHeight="1">
      <c r="A566" s="155">
        <v>17040565</v>
      </c>
      <c r="B566" s="173" t="s">
        <v>1665</v>
      </c>
      <c r="C566" s="173" t="s">
        <v>1666</v>
      </c>
      <c r="D566" s="173" t="s">
        <v>8580</v>
      </c>
      <c r="E566" s="203">
        <v>44673</v>
      </c>
    </row>
    <row r="567" spans="1:5" ht="14.25" hidden="1" customHeight="1">
      <c r="A567" s="155">
        <v>17042486</v>
      </c>
      <c r="B567" s="173" t="s">
        <v>2607</v>
      </c>
      <c r="C567" s="173" t="s">
        <v>2608</v>
      </c>
      <c r="D567" s="173" t="s">
        <v>8580</v>
      </c>
      <c r="E567" s="203">
        <v>44673</v>
      </c>
    </row>
    <row r="568" spans="1:5" ht="14.25" hidden="1" customHeight="1">
      <c r="A568" s="155">
        <v>17614923</v>
      </c>
      <c r="B568" s="173" t="s">
        <v>690</v>
      </c>
      <c r="C568" s="173" t="s">
        <v>922</v>
      </c>
      <c r="D568" s="173" t="s">
        <v>8580</v>
      </c>
      <c r="E568" s="203">
        <v>44673</v>
      </c>
    </row>
    <row r="569" spans="1:5" ht="14.25" hidden="1" customHeight="1">
      <c r="A569" s="155">
        <v>18661195</v>
      </c>
      <c r="B569" s="173" t="s">
        <v>6637</v>
      </c>
      <c r="C569" s="173" t="s">
        <v>6638</v>
      </c>
      <c r="D569" s="173" t="s">
        <v>8580</v>
      </c>
      <c r="E569" s="203">
        <v>44673</v>
      </c>
    </row>
    <row r="570" spans="1:5" ht="14.25" hidden="1" customHeight="1">
      <c r="A570" s="155">
        <v>21829290</v>
      </c>
      <c r="B570" s="173" t="s">
        <v>2521</v>
      </c>
      <c r="C570" s="173" t="s">
        <v>2522</v>
      </c>
      <c r="D570" s="173" t="s">
        <v>8580</v>
      </c>
      <c r="E570" s="203">
        <v>44673</v>
      </c>
    </row>
    <row r="571" spans="1:5" ht="14.25" hidden="1" customHeight="1">
      <c r="A571" s="155">
        <v>22664180</v>
      </c>
      <c r="B571" s="173" t="s">
        <v>252</v>
      </c>
      <c r="C571" s="173" t="s">
        <v>2979</v>
      </c>
      <c r="D571" s="173" t="s">
        <v>8580</v>
      </c>
      <c r="E571" s="203">
        <v>44673</v>
      </c>
    </row>
    <row r="572" spans="1:5" ht="14.25" hidden="1" customHeight="1">
      <c r="A572" s="155">
        <v>22672564</v>
      </c>
      <c r="B572" s="173" t="s">
        <v>4004</v>
      </c>
      <c r="C572" s="173" t="s">
        <v>4005</v>
      </c>
      <c r="D572" s="173" t="s">
        <v>8580</v>
      </c>
      <c r="E572" s="203">
        <v>44673</v>
      </c>
    </row>
    <row r="573" spans="1:5" ht="14.25" hidden="1" customHeight="1">
      <c r="A573" s="155">
        <v>22899316</v>
      </c>
      <c r="B573" s="173" t="s">
        <v>690</v>
      </c>
      <c r="C573" s="173" t="s">
        <v>139</v>
      </c>
      <c r="D573" s="173" t="s">
        <v>8580</v>
      </c>
      <c r="E573" s="203">
        <v>44673</v>
      </c>
    </row>
    <row r="574" spans="1:5" ht="14.25" hidden="1" customHeight="1">
      <c r="A574" s="155">
        <v>23116307</v>
      </c>
      <c r="B574" s="173" t="s">
        <v>1547</v>
      </c>
      <c r="C574" s="173" t="s">
        <v>1353</v>
      </c>
      <c r="D574" s="173" t="s">
        <v>8580</v>
      </c>
      <c r="E574" s="203">
        <v>44673</v>
      </c>
    </row>
    <row r="575" spans="1:5" ht="14.25" hidden="1" customHeight="1">
      <c r="A575" s="155">
        <v>23239528</v>
      </c>
      <c r="B575" s="173" t="s">
        <v>4981</v>
      </c>
      <c r="C575" s="173" t="s">
        <v>4982</v>
      </c>
      <c r="D575" s="173" t="s">
        <v>8580</v>
      </c>
      <c r="E575" s="203">
        <v>44673</v>
      </c>
    </row>
    <row r="576" spans="1:5" ht="14.25" hidden="1" customHeight="1">
      <c r="A576" s="155">
        <v>23517981</v>
      </c>
      <c r="B576" s="173" t="s">
        <v>6647</v>
      </c>
      <c r="C576" s="173" t="s">
        <v>938</v>
      </c>
      <c r="D576" s="173" t="s">
        <v>8580</v>
      </c>
      <c r="E576" s="203">
        <v>44673</v>
      </c>
    </row>
    <row r="577" spans="1:5" ht="14.25" hidden="1" customHeight="1">
      <c r="A577" s="155">
        <v>24553486</v>
      </c>
      <c r="B577" s="173" t="s">
        <v>94</v>
      </c>
      <c r="C577" s="173" t="s">
        <v>2260</v>
      </c>
      <c r="D577" s="173" t="s">
        <v>8580</v>
      </c>
      <c r="E577" s="203">
        <v>44673</v>
      </c>
    </row>
    <row r="578" spans="1:5" ht="14.25" hidden="1" customHeight="1">
      <c r="A578" s="155">
        <v>25498993</v>
      </c>
      <c r="B578" s="173" t="s">
        <v>511</v>
      </c>
      <c r="C578" s="173" t="s">
        <v>5871</v>
      </c>
      <c r="D578" s="173" t="s">
        <v>8580</v>
      </c>
      <c r="E578" s="203">
        <v>44673</v>
      </c>
    </row>
    <row r="579" spans="1:5" ht="14.25" hidden="1" customHeight="1">
      <c r="A579" s="155">
        <v>25542010</v>
      </c>
      <c r="B579" s="173" t="s">
        <v>6601</v>
      </c>
      <c r="C579" s="173" t="s">
        <v>6602</v>
      </c>
      <c r="D579" s="173" t="s">
        <v>8580</v>
      </c>
      <c r="E579" s="203">
        <v>44673</v>
      </c>
    </row>
    <row r="580" spans="1:5" ht="14.25" hidden="1" customHeight="1">
      <c r="A580" s="155">
        <v>25734593</v>
      </c>
      <c r="B580" s="173" t="s">
        <v>5433</v>
      </c>
      <c r="C580" s="173" t="s">
        <v>5434</v>
      </c>
      <c r="D580" s="173" t="s">
        <v>8580</v>
      </c>
      <c r="E580" s="203">
        <v>44673</v>
      </c>
    </row>
    <row r="581" spans="1:5" ht="14.25" hidden="1" customHeight="1">
      <c r="A581" s="155">
        <v>25844148</v>
      </c>
      <c r="B581" s="173" t="s">
        <v>199</v>
      </c>
      <c r="C581" s="173" t="s">
        <v>2005</v>
      </c>
      <c r="D581" s="173" t="s">
        <v>8580</v>
      </c>
      <c r="E581" s="203">
        <v>44673</v>
      </c>
    </row>
    <row r="582" spans="1:5" ht="14.25" hidden="1" customHeight="1">
      <c r="A582" s="155">
        <v>26501156</v>
      </c>
      <c r="B582" s="173" t="s">
        <v>2163</v>
      </c>
      <c r="C582" s="173" t="s">
        <v>2164</v>
      </c>
      <c r="D582" s="173" t="s">
        <v>8580</v>
      </c>
      <c r="E582" s="203">
        <v>44673</v>
      </c>
    </row>
    <row r="583" spans="1:5" ht="14.25" hidden="1" customHeight="1">
      <c r="A583" s="155">
        <v>27594642</v>
      </c>
      <c r="B583" s="173" t="s">
        <v>308</v>
      </c>
      <c r="C583" s="173" t="s">
        <v>2125</v>
      </c>
      <c r="D583" s="173" t="s">
        <v>8580</v>
      </c>
      <c r="E583" s="203">
        <v>44673</v>
      </c>
    </row>
    <row r="584" spans="1:5" ht="14.25" hidden="1" customHeight="1">
      <c r="A584" s="158">
        <v>30117418</v>
      </c>
      <c r="B584" s="173" t="s">
        <v>6615</v>
      </c>
      <c r="C584" s="173" t="s">
        <v>97</v>
      </c>
      <c r="D584" s="173" t="s">
        <v>8580</v>
      </c>
      <c r="E584" s="203">
        <v>44673</v>
      </c>
    </row>
    <row r="585" spans="1:5" ht="14.25" hidden="1" customHeight="1">
      <c r="A585" s="155">
        <v>31030485</v>
      </c>
      <c r="B585" s="173" t="s">
        <v>6643</v>
      </c>
      <c r="C585" s="173" t="s">
        <v>6644</v>
      </c>
      <c r="D585" s="173" t="s">
        <v>8580</v>
      </c>
      <c r="E585" s="203">
        <v>44673</v>
      </c>
    </row>
    <row r="586" spans="1:5" ht="14.25" hidden="1" customHeight="1">
      <c r="A586" s="155">
        <v>31589704</v>
      </c>
      <c r="B586" s="173" t="s">
        <v>6304</v>
      </c>
      <c r="C586" s="173" t="s">
        <v>6305</v>
      </c>
      <c r="D586" s="173" t="s">
        <v>8580</v>
      </c>
      <c r="E586" s="203">
        <v>44673</v>
      </c>
    </row>
    <row r="587" spans="1:5" ht="14.25" hidden="1" customHeight="1">
      <c r="A587" s="155">
        <v>32109721</v>
      </c>
      <c r="B587" s="173" t="s">
        <v>428</v>
      </c>
      <c r="C587" s="173" t="s">
        <v>3549</v>
      </c>
      <c r="D587" s="173" t="s">
        <v>8580</v>
      </c>
      <c r="E587" s="203">
        <v>44673</v>
      </c>
    </row>
    <row r="588" spans="1:5" ht="14.25" hidden="1" customHeight="1">
      <c r="A588" s="155">
        <v>32853583</v>
      </c>
      <c r="B588" s="173" t="s">
        <v>6658</v>
      </c>
      <c r="C588" s="173" t="s">
        <v>2623</v>
      </c>
      <c r="D588" s="173" t="s">
        <v>8580</v>
      </c>
      <c r="E588" s="203">
        <v>44673</v>
      </c>
    </row>
    <row r="589" spans="1:5" ht="14.25" hidden="1" customHeight="1">
      <c r="A589" s="155">
        <v>33332235</v>
      </c>
      <c r="B589" s="173" t="s">
        <v>144</v>
      </c>
      <c r="C589" s="173" t="s">
        <v>5860</v>
      </c>
      <c r="D589" s="173" t="s">
        <v>8580</v>
      </c>
      <c r="E589" s="203">
        <v>44673</v>
      </c>
    </row>
    <row r="590" spans="1:5" ht="14.25" hidden="1" customHeight="1">
      <c r="A590" s="155">
        <v>33374199</v>
      </c>
      <c r="B590" s="173" t="s">
        <v>2576</v>
      </c>
      <c r="C590" s="173" t="s">
        <v>3813</v>
      </c>
      <c r="D590" s="173" t="s">
        <v>8580</v>
      </c>
      <c r="E590" s="203">
        <v>44673</v>
      </c>
    </row>
    <row r="591" spans="1:5" ht="14.25" hidden="1" customHeight="1">
      <c r="A591" s="155">
        <v>33374371</v>
      </c>
      <c r="B591" s="173" t="s">
        <v>1599</v>
      </c>
      <c r="C591" s="173" t="s">
        <v>223</v>
      </c>
      <c r="D591" s="173" t="s">
        <v>8580</v>
      </c>
      <c r="E591" s="203">
        <v>44673</v>
      </c>
    </row>
    <row r="592" spans="1:5" ht="14.25" hidden="1" customHeight="1">
      <c r="A592" s="155">
        <v>33541638</v>
      </c>
      <c r="B592" s="173" t="s">
        <v>2310</v>
      </c>
      <c r="C592" s="173" t="s">
        <v>30</v>
      </c>
      <c r="D592" s="173" t="s">
        <v>8580</v>
      </c>
      <c r="E592" s="203">
        <v>44673</v>
      </c>
    </row>
    <row r="593" spans="1:5" ht="14.25" hidden="1" customHeight="1">
      <c r="A593" s="155">
        <v>34133155</v>
      </c>
      <c r="B593" s="173" t="s">
        <v>6619</v>
      </c>
      <c r="C593" s="173" t="s">
        <v>6620</v>
      </c>
      <c r="D593" s="173" t="s">
        <v>8580</v>
      </c>
      <c r="E593" s="203">
        <v>44673</v>
      </c>
    </row>
    <row r="594" spans="1:5" ht="14.25" hidden="1" customHeight="1">
      <c r="A594" s="158">
        <v>34185816</v>
      </c>
      <c r="B594" s="173" t="s">
        <v>6533</v>
      </c>
      <c r="C594" s="173" t="s">
        <v>6534</v>
      </c>
      <c r="D594" s="173" t="s">
        <v>8580</v>
      </c>
      <c r="E594" s="203">
        <v>44673</v>
      </c>
    </row>
    <row r="595" spans="1:5" ht="14.25" hidden="1" customHeight="1">
      <c r="A595" s="155">
        <v>34356805</v>
      </c>
      <c r="B595" s="173" t="s">
        <v>650</v>
      </c>
      <c r="C595" s="173" t="s">
        <v>4021</v>
      </c>
      <c r="D595" s="173" t="s">
        <v>8580</v>
      </c>
      <c r="E595" s="203">
        <v>44673</v>
      </c>
    </row>
    <row r="596" spans="1:5" ht="14.25" hidden="1" customHeight="1">
      <c r="A596" s="155">
        <v>34910721</v>
      </c>
      <c r="B596" s="173" t="s">
        <v>1715</v>
      </c>
      <c r="C596" s="173" t="s">
        <v>906</v>
      </c>
      <c r="D596" s="173" t="s">
        <v>8580</v>
      </c>
      <c r="E596" s="203">
        <v>44673</v>
      </c>
    </row>
    <row r="597" spans="1:5" ht="14.25" hidden="1" customHeight="1">
      <c r="A597" s="155">
        <v>35485322</v>
      </c>
      <c r="B597" s="173" t="s">
        <v>4227</v>
      </c>
      <c r="C597" s="173" t="s">
        <v>906</v>
      </c>
      <c r="D597" s="173" t="s">
        <v>8580</v>
      </c>
      <c r="E597" s="203">
        <v>44673</v>
      </c>
    </row>
    <row r="598" spans="1:5" ht="14.25" hidden="1" customHeight="1">
      <c r="A598" s="155">
        <v>36049481</v>
      </c>
      <c r="B598" s="173" t="s">
        <v>6632</v>
      </c>
      <c r="C598" s="173" t="s">
        <v>6633</v>
      </c>
      <c r="D598" s="173" t="s">
        <v>8580</v>
      </c>
      <c r="E598" s="203">
        <v>44673</v>
      </c>
    </row>
    <row r="599" spans="1:5" ht="14.25" hidden="1" customHeight="1">
      <c r="A599" s="155">
        <v>36838188</v>
      </c>
      <c r="B599" s="173" t="s">
        <v>875</v>
      </c>
      <c r="C599" s="173" t="s">
        <v>3409</v>
      </c>
      <c r="D599" s="173" t="s">
        <v>8580</v>
      </c>
      <c r="E599" s="203">
        <v>44673</v>
      </c>
    </row>
    <row r="600" spans="1:5" ht="14.25" hidden="1" customHeight="1">
      <c r="A600" s="155">
        <v>37096427</v>
      </c>
      <c r="B600" s="173" t="s">
        <v>670</v>
      </c>
      <c r="C600" s="173" t="s">
        <v>3352</v>
      </c>
      <c r="D600" s="173" t="s">
        <v>8580</v>
      </c>
      <c r="E600" s="203">
        <v>44673</v>
      </c>
    </row>
    <row r="601" spans="1:5" ht="14.25" hidden="1" customHeight="1">
      <c r="A601" s="155">
        <v>37096982</v>
      </c>
      <c r="B601" s="173" t="s">
        <v>6183</v>
      </c>
      <c r="C601" s="173" t="s">
        <v>902</v>
      </c>
      <c r="D601" s="173" t="s">
        <v>8580</v>
      </c>
      <c r="E601" s="203">
        <v>44673</v>
      </c>
    </row>
    <row r="602" spans="1:5" ht="14.25" hidden="1" customHeight="1">
      <c r="A602" s="155">
        <v>37511447</v>
      </c>
      <c r="B602" s="173" t="s">
        <v>2725</v>
      </c>
      <c r="C602" s="173" t="s">
        <v>2726</v>
      </c>
      <c r="D602" s="173" t="s">
        <v>8580</v>
      </c>
      <c r="E602" s="203">
        <v>44673</v>
      </c>
    </row>
    <row r="603" spans="1:5" ht="14.25" hidden="1" customHeight="1">
      <c r="A603" s="155">
        <v>40434411</v>
      </c>
      <c r="B603" s="173" t="s">
        <v>6652</v>
      </c>
      <c r="C603" s="173" t="s">
        <v>6653</v>
      </c>
      <c r="D603" s="173" t="s">
        <v>8580</v>
      </c>
      <c r="E603" s="203">
        <v>44673</v>
      </c>
    </row>
    <row r="604" spans="1:5" ht="14.25" hidden="1" customHeight="1">
      <c r="A604" s="20">
        <v>13475331</v>
      </c>
      <c r="B604" s="21" t="s">
        <v>6874</v>
      </c>
      <c r="C604" s="21" t="s">
        <v>6875</v>
      </c>
      <c r="D604" t="s">
        <v>6852</v>
      </c>
      <c r="E604" s="37">
        <v>44497</v>
      </c>
    </row>
    <row r="605" spans="1:5" ht="14.25" hidden="1" customHeight="1">
      <c r="A605" s="158">
        <v>13475331</v>
      </c>
      <c r="B605" s="174" t="s">
        <v>6874</v>
      </c>
      <c r="C605" s="174" t="s">
        <v>6875</v>
      </c>
      <c r="D605" s="174" t="s">
        <v>6852</v>
      </c>
      <c r="E605" s="205">
        <v>44497</v>
      </c>
    </row>
    <row r="606" spans="1:5" ht="14.25" hidden="1" customHeight="1">
      <c r="A606" s="20">
        <v>14984183</v>
      </c>
      <c r="B606" s="21" t="s">
        <v>6858</v>
      </c>
      <c r="C606" s="21" t="s">
        <v>6859</v>
      </c>
      <c r="D606" t="s">
        <v>6852</v>
      </c>
      <c r="E606" s="37">
        <v>44497</v>
      </c>
    </row>
    <row r="607" spans="1:5" ht="14.25" hidden="1" customHeight="1">
      <c r="A607" s="158">
        <v>14984183</v>
      </c>
      <c r="B607" s="174" t="s">
        <v>6858</v>
      </c>
      <c r="C607" s="174" t="s">
        <v>6859</v>
      </c>
      <c r="D607" s="174" t="s">
        <v>6852</v>
      </c>
      <c r="E607" s="205">
        <v>44497</v>
      </c>
    </row>
    <row r="608" spans="1:5" ht="14.25" hidden="1" customHeight="1">
      <c r="A608" s="20">
        <v>16425202</v>
      </c>
      <c r="B608" s="21" t="s">
        <v>6864</v>
      </c>
      <c r="C608" s="21" t="s">
        <v>6865</v>
      </c>
      <c r="D608" t="s">
        <v>6852</v>
      </c>
      <c r="E608" s="37">
        <v>44497</v>
      </c>
    </row>
    <row r="609" spans="1:5" ht="14.25" hidden="1" customHeight="1">
      <c r="A609" s="158">
        <v>16425202</v>
      </c>
      <c r="B609" s="174" t="s">
        <v>6864</v>
      </c>
      <c r="C609" s="174" t="s">
        <v>6865</v>
      </c>
      <c r="D609" s="174" t="s">
        <v>6852</v>
      </c>
      <c r="E609" s="205">
        <v>44497</v>
      </c>
    </row>
    <row r="610" spans="1:5" ht="14.25" hidden="1" customHeight="1">
      <c r="A610" s="20">
        <v>16811869</v>
      </c>
      <c r="B610" s="21" t="s">
        <v>6876</v>
      </c>
      <c r="C610" s="21" t="s">
        <v>6877</v>
      </c>
      <c r="D610" t="s">
        <v>6852</v>
      </c>
      <c r="E610" s="37">
        <v>44497</v>
      </c>
    </row>
    <row r="611" spans="1:5" ht="14.25" hidden="1" customHeight="1">
      <c r="A611" s="158">
        <v>16811869</v>
      </c>
      <c r="B611" s="174" t="s">
        <v>6876</v>
      </c>
      <c r="C611" s="174" t="s">
        <v>6877</v>
      </c>
      <c r="D611" s="174" t="s">
        <v>6852</v>
      </c>
      <c r="E611" s="205">
        <v>44497</v>
      </c>
    </row>
    <row r="612" spans="1:5" ht="14.25" hidden="1" customHeight="1">
      <c r="A612" s="20">
        <v>17040933</v>
      </c>
      <c r="B612" s="21" t="s">
        <v>6854</v>
      </c>
      <c r="C612" s="21" t="s">
        <v>6855</v>
      </c>
      <c r="D612" t="s">
        <v>6852</v>
      </c>
      <c r="E612" s="37">
        <v>44497</v>
      </c>
    </row>
    <row r="613" spans="1:5" ht="14.25" hidden="1" customHeight="1">
      <c r="A613" s="158">
        <v>17040933</v>
      </c>
      <c r="B613" s="174" t="s">
        <v>6854</v>
      </c>
      <c r="C613" s="174" t="s">
        <v>6855</v>
      </c>
      <c r="D613" s="174" t="s">
        <v>6852</v>
      </c>
      <c r="E613" s="205">
        <v>44497</v>
      </c>
    </row>
    <row r="614" spans="1:5" ht="14.25" hidden="1" customHeight="1">
      <c r="A614" s="20">
        <v>17376659</v>
      </c>
      <c r="B614" s="21" t="s">
        <v>6860</v>
      </c>
      <c r="C614" s="21" t="s">
        <v>6861</v>
      </c>
      <c r="D614" t="s">
        <v>6852</v>
      </c>
      <c r="E614" s="37">
        <v>44497</v>
      </c>
    </row>
    <row r="615" spans="1:5" ht="14.25" hidden="1" customHeight="1">
      <c r="A615" s="158">
        <v>17376659</v>
      </c>
      <c r="B615" s="174" t="s">
        <v>6860</v>
      </c>
      <c r="C615" s="174" t="s">
        <v>6861</v>
      </c>
      <c r="D615" s="174" t="s">
        <v>6852</v>
      </c>
      <c r="E615" s="205">
        <v>44497</v>
      </c>
    </row>
    <row r="616" spans="1:5" ht="14.25" hidden="1" customHeight="1">
      <c r="A616" s="20">
        <v>18661195</v>
      </c>
      <c r="B616" s="21" t="s">
        <v>6866</v>
      </c>
      <c r="C616" s="21" t="s">
        <v>6867</v>
      </c>
      <c r="D616" t="s">
        <v>6852</v>
      </c>
      <c r="E616" s="37">
        <v>44497</v>
      </c>
    </row>
    <row r="617" spans="1:5" ht="14.25" hidden="1" customHeight="1">
      <c r="A617" s="158">
        <v>18661195</v>
      </c>
      <c r="B617" s="174" t="s">
        <v>6866</v>
      </c>
      <c r="C617" s="174" t="s">
        <v>6867</v>
      </c>
      <c r="D617" s="174" t="s">
        <v>6852</v>
      </c>
      <c r="E617" s="205">
        <v>44497</v>
      </c>
    </row>
    <row r="618" spans="1:5" ht="14.25" hidden="1" customHeight="1">
      <c r="A618" s="20">
        <v>23239528</v>
      </c>
      <c r="B618" s="21" t="s">
        <v>6862</v>
      </c>
      <c r="C618" s="21" t="s">
        <v>6863</v>
      </c>
      <c r="D618" t="s">
        <v>6852</v>
      </c>
      <c r="E618" s="37">
        <v>44497</v>
      </c>
    </row>
    <row r="619" spans="1:5" ht="14.25" hidden="1" customHeight="1">
      <c r="A619" s="158">
        <v>23239528</v>
      </c>
      <c r="B619" s="174" t="s">
        <v>6862</v>
      </c>
      <c r="C619" s="174" t="s">
        <v>6863</v>
      </c>
      <c r="D619" s="174" t="s">
        <v>6852</v>
      </c>
      <c r="E619" s="205">
        <v>44497</v>
      </c>
    </row>
    <row r="620" spans="1:5" ht="14.25" hidden="1" customHeight="1">
      <c r="A620" s="20">
        <v>27732258</v>
      </c>
      <c r="B620" s="21" t="s">
        <v>6850</v>
      </c>
      <c r="C620" s="21" t="s">
        <v>6851</v>
      </c>
      <c r="D620" t="s">
        <v>6852</v>
      </c>
      <c r="E620" s="37">
        <v>44497</v>
      </c>
    </row>
    <row r="621" spans="1:5" ht="14.25" hidden="1" customHeight="1">
      <c r="A621" s="158">
        <v>27732258</v>
      </c>
      <c r="B621" s="174" t="s">
        <v>6850</v>
      </c>
      <c r="C621" s="174" t="s">
        <v>6851</v>
      </c>
      <c r="D621" s="174" t="s">
        <v>6852</v>
      </c>
      <c r="E621" s="205">
        <v>44497</v>
      </c>
    </row>
    <row r="622" spans="1:5" ht="14.25" hidden="1" customHeight="1">
      <c r="A622" s="20">
        <v>28151268</v>
      </c>
      <c r="B622" s="21" t="s">
        <v>6872</v>
      </c>
      <c r="C622" s="21" t="s">
        <v>6873</v>
      </c>
      <c r="D622" t="s">
        <v>6852</v>
      </c>
      <c r="E622" s="37">
        <v>44497</v>
      </c>
    </row>
    <row r="623" spans="1:5" ht="14.25" hidden="1" customHeight="1">
      <c r="A623" s="158">
        <v>28151268</v>
      </c>
      <c r="B623" s="174" t="s">
        <v>6872</v>
      </c>
      <c r="C623" s="174" t="s">
        <v>6873</v>
      </c>
      <c r="D623" s="174" t="s">
        <v>6852</v>
      </c>
      <c r="E623" s="205">
        <v>44497</v>
      </c>
    </row>
    <row r="624" spans="1:5" ht="14.25" hidden="1" customHeight="1">
      <c r="A624" s="20">
        <v>30497540</v>
      </c>
      <c r="B624" s="21" t="s">
        <v>6868</v>
      </c>
      <c r="C624" s="21" t="s">
        <v>6869</v>
      </c>
      <c r="D624" t="s">
        <v>6852</v>
      </c>
      <c r="E624" s="37">
        <v>44497</v>
      </c>
    </row>
    <row r="625" spans="1:5" ht="14.25" hidden="1" customHeight="1">
      <c r="A625" s="158">
        <v>30497540</v>
      </c>
      <c r="B625" s="174" t="s">
        <v>6868</v>
      </c>
      <c r="C625" s="174" t="s">
        <v>6869</v>
      </c>
      <c r="D625" s="174" t="s">
        <v>6852</v>
      </c>
      <c r="E625" s="205">
        <v>44497</v>
      </c>
    </row>
    <row r="626" spans="1:5" ht="14.25" hidden="1" customHeight="1">
      <c r="A626" s="20">
        <v>32158209</v>
      </c>
      <c r="B626" s="21" t="s">
        <v>6856</v>
      </c>
      <c r="C626" s="21" t="s">
        <v>6857</v>
      </c>
      <c r="D626" t="s">
        <v>6852</v>
      </c>
      <c r="E626" s="37">
        <v>44497</v>
      </c>
    </row>
    <row r="627" spans="1:5" ht="14.25" hidden="1" customHeight="1">
      <c r="A627" s="158">
        <v>32158209</v>
      </c>
      <c r="B627" s="174" t="s">
        <v>6856</v>
      </c>
      <c r="C627" s="174" t="s">
        <v>6857</v>
      </c>
      <c r="D627" s="174" t="s">
        <v>6852</v>
      </c>
      <c r="E627" s="205">
        <v>44497</v>
      </c>
    </row>
    <row r="628" spans="1:5" ht="14.25" hidden="1" customHeight="1">
      <c r="A628" s="20">
        <v>37310478</v>
      </c>
      <c r="B628" s="21" t="s">
        <v>6870</v>
      </c>
      <c r="C628" s="21" t="s">
        <v>6871</v>
      </c>
      <c r="D628" t="s">
        <v>6852</v>
      </c>
      <c r="E628" s="37">
        <v>44497</v>
      </c>
    </row>
    <row r="629" spans="1:5" ht="14.25" hidden="1" customHeight="1">
      <c r="A629" s="158">
        <v>37310478</v>
      </c>
      <c r="B629" s="174" t="s">
        <v>6870</v>
      </c>
      <c r="C629" s="174" t="s">
        <v>6871</v>
      </c>
      <c r="D629" s="174" t="s">
        <v>6852</v>
      </c>
      <c r="E629" s="205">
        <v>44497</v>
      </c>
    </row>
    <row r="630" spans="1:5" ht="14.25" hidden="1" customHeight="1">
      <c r="A630" s="20">
        <v>12733236</v>
      </c>
      <c r="B630" s="21" t="s">
        <v>6920</v>
      </c>
      <c r="C630" s="21" t="s">
        <v>6921</v>
      </c>
      <c r="D630" t="s">
        <v>6880</v>
      </c>
      <c r="E630" s="37">
        <v>44475</v>
      </c>
    </row>
    <row r="631" spans="1:5" ht="14.25" hidden="1" customHeight="1">
      <c r="A631" s="158">
        <v>12733236</v>
      </c>
      <c r="B631" s="174" t="s">
        <v>6920</v>
      </c>
      <c r="C631" s="174" t="s">
        <v>6921</v>
      </c>
      <c r="D631" s="174" t="s">
        <v>6880</v>
      </c>
      <c r="E631" s="205">
        <v>44475</v>
      </c>
    </row>
    <row r="632" spans="1:5" ht="14.25" hidden="1" customHeight="1">
      <c r="A632" s="20">
        <v>13338251</v>
      </c>
      <c r="B632" s="21" t="s">
        <v>6906</v>
      </c>
      <c r="C632" s="21" t="s">
        <v>6907</v>
      </c>
      <c r="D632" t="s">
        <v>6880</v>
      </c>
      <c r="E632" s="37">
        <v>44475</v>
      </c>
    </row>
    <row r="633" spans="1:5" ht="14.25" hidden="1" customHeight="1">
      <c r="A633" s="158">
        <v>13338251</v>
      </c>
      <c r="B633" s="174" t="s">
        <v>6906</v>
      </c>
      <c r="C633" s="174" t="s">
        <v>6907</v>
      </c>
      <c r="D633" s="174" t="s">
        <v>6880</v>
      </c>
      <c r="E633" s="205">
        <v>44475</v>
      </c>
    </row>
    <row r="634" spans="1:5" ht="14.25" hidden="1" customHeight="1">
      <c r="A634" s="20">
        <v>13338617</v>
      </c>
      <c r="B634" s="21" t="s">
        <v>6885</v>
      </c>
      <c r="C634" s="21" t="s">
        <v>6886</v>
      </c>
      <c r="D634" t="s">
        <v>6880</v>
      </c>
      <c r="E634" s="37">
        <v>44475</v>
      </c>
    </row>
    <row r="635" spans="1:5" ht="14.25" hidden="1" customHeight="1">
      <c r="A635" s="20">
        <v>13338617</v>
      </c>
      <c r="B635" s="21" t="s">
        <v>6887</v>
      </c>
      <c r="C635" s="21" t="s">
        <v>6886</v>
      </c>
      <c r="D635" t="s">
        <v>6880</v>
      </c>
      <c r="E635" s="37">
        <v>44475</v>
      </c>
    </row>
    <row r="636" spans="1:5" ht="14.25" hidden="1" customHeight="1">
      <c r="A636" s="158">
        <v>13338617</v>
      </c>
      <c r="B636" s="174" t="s">
        <v>6885</v>
      </c>
      <c r="C636" s="174" t="s">
        <v>6886</v>
      </c>
      <c r="D636" s="174" t="s">
        <v>6880</v>
      </c>
      <c r="E636" s="205">
        <v>44475</v>
      </c>
    </row>
    <row r="637" spans="1:5" ht="14.25" hidden="1" customHeight="1">
      <c r="A637" s="158">
        <v>13338617</v>
      </c>
      <c r="B637" s="174" t="s">
        <v>6887</v>
      </c>
      <c r="C637" s="174" t="s">
        <v>6886</v>
      </c>
      <c r="D637" s="174" t="s">
        <v>6880</v>
      </c>
      <c r="E637" s="205">
        <v>44475</v>
      </c>
    </row>
    <row r="638" spans="1:5" ht="14.25" hidden="1" customHeight="1">
      <c r="A638" s="20">
        <v>14410030</v>
      </c>
      <c r="B638" s="21" t="s">
        <v>6892</v>
      </c>
      <c r="C638" s="21" t="s">
        <v>6893</v>
      </c>
      <c r="D638" t="s">
        <v>6880</v>
      </c>
      <c r="E638" s="37">
        <v>44475</v>
      </c>
    </row>
    <row r="639" spans="1:5" ht="14.25" hidden="1" customHeight="1">
      <c r="A639" s="158">
        <v>14410030</v>
      </c>
      <c r="B639" s="174" t="s">
        <v>6892</v>
      </c>
      <c r="C639" s="174" t="s">
        <v>6893</v>
      </c>
      <c r="D639" s="174" t="s">
        <v>6880</v>
      </c>
      <c r="E639" s="205">
        <v>44475</v>
      </c>
    </row>
    <row r="640" spans="1:5" ht="14.25" hidden="1" customHeight="1">
      <c r="A640" s="20">
        <v>14660614</v>
      </c>
      <c r="B640" s="21" t="s">
        <v>6878</v>
      </c>
      <c r="C640" s="21" t="s">
        <v>6879</v>
      </c>
      <c r="D640" t="s">
        <v>6880</v>
      </c>
      <c r="E640" s="37">
        <v>44475</v>
      </c>
    </row>
    <row r="641" spans="1:5" ht="14.25" hidden="1" customHeight="1">
      <c r="A641" s="158">
        <v>14660614</v>
      </c>
      <c r="B641" s="174" t="s">
        <v>6878</v>
      </c>
      <c r="C641" s="174" t="s">
        <v>6879</v>
      </c>
      <c r="D641" s="174" t="s">
        <v>6880</v>
      </c>
      <c r="E641" s="205">
        <v>44475</v>
      </c>
    </row>
    <row r="642" spans="1:5" ht="14.25" hidden="1" customHeight="1">
      <c r="A642" s="20">
        <v>14984183</v>
      </c>
      <c r="B642" s="21" t="s">
        <v>6858</v>
      </c>
      <c r="C642" s="21" t="s">
        <v>6859</v>
      </c>
      <c r="D642" t="s">
        <v>6880</v>
      </c>
      <c r="E642" s="37">
        <v>44475</v>
      </c>
    </row>
    <row r="643" spans="1:5" ht="14.25" hidden="1" customHeight="1">
      <c r="A643" s="158">
        <v>14984183</v>
      </c>
      <c r="B643" s="174" t="s">
        <v>6858</v>
      </c>
      <c r="C643" s="174" t="s">
        <v>6859</v>
      </c>
      <c r="D643" s="174" t="s">
        <v>6880</v>
      </c>
      <c r="E643" s="205">
        <v>44475</v>
      </c>
    </row>
    <row r="644" spans="1:5" ht="14.25" hidden="1" customHeight="1">
      <c r="A644" s="20">
        <v>17182042</v>
      </c>
      <c r="B644" s="21" t="s">
        <v>6904</v>
      </c>
      <c r="C644" s="21" t="s">
        <v>6905</v>
      </c>
      <c r="D644" t="s">
        <v>6880</v>
      </c>
      <c r="E644" s="37">
        <v>44475</v>
      </c>
    </row>
    <row r="645" spans="1:5" ht="14.25" hidden="1" customHeight="1">
      <c r="A645" s="158">
        <v>17182042</v>
      </c>
      <c r="B645" s="174" t="s">
        <v>6904</v>
      </c>
      <c r="C645" s="174" t="s">
        <v>6905</v>
      </c>
      <c r="D645" s="174" t="s">
        <v>6880</v>
      </c>
      <c r="E645" s="205">
        <v>44475</v>
      </c>
    </row>
    <row r="646" spans="1:5" ht="14.25" hidden="1" customHeight="1">
      <c r="A646" s="20">
        <v>17270247</v>
      </c>
      <c r="B646" s="21" t="s">
        <v>6914</v>
      </c>
      <c r="C646" s="21" t="s">
        <v>6915</v>
      </c>
      <c r="D646" t="s">
        <v>6880</v>
      </c>
      <c r="E646" s="37">
        <v>44475</v>
      </c>
    </row>
    <row r="647" spans="1:5" ht="14.25" hidden="1" customHeight="1">
      <c r="A647" s="158">
        <v>17270247</v>
      </c>
      <c r="B647" s="174" t="s">
        <v>6914</v>
      </c>
      <c r="C647" s="174" t="s">
        <v>6915</v>
      </c>
      <c r="D647" s="174" t="s">
        <v>6880</v>
      </c>
      <c r="E647" s="205">
        <v>44475</v>
      </c>
    </row>
    <row r="648" spans="1:5" ht="14.25" hidden="1" customHeight="1">
      <c r="A648" s="20">
        <v>17859279</v>
      </c>
      <c r="B648" s="21" t="s">
        <v>6912</v>
      </c>
      <c r="C648" s="21" t="s">
        <v>6913</v>
      </c>
      <c r="D648" t="s">
        <v>6880</v>
      </c>
      <c r="E648" s="37">
        <v>44475</v>
      </c>
    </row>
    <row r="649" spans="1:5" ht="14.25" hidden="1" customHeight="1">
      <c r="A649" s="158">
        <v>17859279</v>
      </c>
      <c r="B649" s="174" t="s">
        <v>6912</v>
      </c>
      <c r="C649" s="174" t="s">
        <v>6913</v>
      </c>
      <c r="D649" s="174" t="s">
        <v>6880</v>
      </c>
      <c r="E649" s="205">
        <v>44475</v>
      </c>
    </row>
    <row r="650" spans="1:5" ht="14.25" hidden="1" customHeight="1">
      <c r="A650" s="20">
        <v>17866738</v>
      </c>
      <c r="B650" s="21" t="s">
        <v>6898</v>
      </c>
      <c r="C650" s="21" t="s">
        <v>6899</v>
      </c>
      <c r="D650" t="s">
        <v>6880</v>
      </c>
      <c r="E650" s="37">
        <v>44475</v>
      </c>
    </row>
    <row r="651" spans="1:5" ht="14.25" hidden="1" customHeight="1">
      <c r="A651" s="158">
        <v>17866738</v>
      </c>
      <c r="B651" s="174" t="s">
        <v>6898</v>
      </c>
      <c r="C651" s="174" t="s">
        <v>6899</v>
      </c>
      <c r="D651" s="174" t="s">
        <v>6880</v>
      </c>
      <c r="E651" s="205">
        <v>44475</v>
      </c>
    </row>
    <row r="652" spans="1:5" ht="14.25" hidden="1" customHeight="1">
      <c r="A652" s="20">
        <v>20178395</v>
      </c>
      <c r="B652" s="21" t="s">
        <v>6883</v>
      </c>
      <c r="C652" s="21" t="s">
        <v>6884</v>
      </c>
      <c r="D652" t="s">
        <v>6880</v>
      </c>
      <c r="E652" s="37">
        <v>44475</v>
      </c>
    </row>
    <row r="653" spans="1:5" ht="14.25" hidden="1" customHeight="1">
      <c r="A653" s="158">
        <v>20178395</v>
      </c>
      <c r="B653" s="174" t="s">
        <v>6883</v>
      </c>
      <c r="C653" s="174" t="s">
        <v>6884</v>
      </c>
      <c r="D653" s="174" t="s">
        <v>6880</v>
      </c>
      <c r="E653" s="205">
        <v>44475</v>
      </c>
    </row>
    <row r="654" spans="1:5" ht="14.25" hidden="1" customHeight="1">
      <c r="A654" s="20">
        <v>20398681</v>
      </c>
      <c r="B654" s="21" t="s">
        <v>6910</v>
      </c>
      <c r="C654" s="21" t="s">
        <v>6911</v>
      </c>
      <c r="D654" t="s">
        <v>6880</v>
      </c>
      <c r="E654" s="37">
        <v>44475</v>
      </c>
    </row>
    <row r="655" spans="1:5" ht="14.25" hidden="1" customHeight="1">
      <c r="A655" s="158">
        <v>20398681</v>
      </c>
      <c r="B655" s="174" t="s">
        <v>6910</v>
      </c>
      <c r="C655" s="174" t="s">
        <v>6911</v>
      </c>
      <c r="D655" s="174" t="s">
        <v>6880</v>
      </c>
      <c r="E655" s="205">
        <v>44475</v>
      </c>
    </row>
    <row r="656" spans="1:5" ht="14.25" hidden="1" customHeight="1">
      <c r="A656" s="20">
        <v>22352293</v>
      </c>
      <c r="B656" s="21" t="s">
        <v>6890</v>
      </c>
      <c r="C656" s="21" t="s">
        <v>6891</v>
      </c>
      <c r="D656" t="s">
        <v>6880</v>
      </c>
      <c r="E656" s="37">
        <v>44475</v>
      </c>
    </row>
    <row r="657" spans="1:5" ht="14.25" hidden="1" customHeight="1">
      <c r="A657" s="158">
        <v>22352293</v>
      </c>
      <c r="B657" s="174" t="s">
        <v>6890</v>
      </c>
      <c r="C657" s="174" t="s">
        <v>6891</v>
      </c>
      <c r="D657" s="174" t="s">
        <v>6880</v>
      </c>
      <c r="E657" s="205">
        <v>44475</v>
      </c>
    </row>
    <row r="658" spans="1:5" ht="14.25" hidden="1" customHeight="1">
      <c r="A658" s="20">
        <v>24059021</v>
      </c>
      <c r="B658" s="21" t="s">
        <v>3887</v>
      </c>
      <c r="C658" s="21" t="s">
        <v>3888</v>
      </c>
      <c r="D658" t="s">
        <v>6880</v>
      </c>
      <c r="E658" s="37">
        <v>44475</v>
      </c>
    </row>
    <row r="659" spans="1:5" ht="14.25" hidden="1" customHeight="1">
      <c r="A659" s="158">
        <v>24059021</v>
      </c>
      <c r="B659" s="174" t="s">
        <v>3887</v>
      </c>
      <c r="C659" s="174" t="s">
        <v>3888</v>
      </c>
      <c r="D659" s="174" t="s">
        <v>6880</v>
      </c>
      <c r="E659" s="205">
        <v>44475</v>
      </c>
    </row>
    <row r="660" spans="1:5" ht="14.25" hidden="1" customHeight="1">
      <c r="A660" s="20">
        <v>24888251</v>
      </c>
      <c r="B660" s="21" t="s">
        <v>6888</v>
      </c>
      <c r="C660" s="21" t="s">
        <v>6889</v>
      </c>
      <c r="D660" t="s">
        <v>6880</v>
      </c>
      <c r="E660" s="37">
        <v>44475</v>
      </c>
    </row>
    <row r="661" spans="1:5" ht="14.25" hidden="1" customHeight="1">
      <c r="A661" s="158">
        <v>24888251</v>
      </c>
      <c r="B661" s="174" t="s">
        <v>6888</v>
      </c>
      <c r="C661" s="174" t="s">
        <v>6889</v>
      </c>
      <c r="D661" s="174" t="s">
        <v>6880</v>
      </c>
      <c r="E661" s="205">
        <v>44475</v>
      </c>
    </row>
    <row r="662" spans="1:5" ht="14.25" hidden="1" customHeight="1">
      <c r="A662" s="20">
        <v>25844888</v>
      </c>
      <c r="B662" s="21" t="s">
        <v>6918</v>
      </c>
      <c r="C662" s="21" t="s">
        <v>6919</v>
      </c>
      <c r="D662" t="s">
        <v>6880</v>
      </c>
      <c r="E662" s="37">
        <v>44475</v>
      </c>
    </row>
    <row r="663" spans="1:5" ht="14.25" hidden="1" customHeight="1">
      <c r="A663" s="158">
        <v>25844888</v>
      </c>
      <c r="B663" s="174" t="s">
        <v>6918</v>
      </c>
      <c r="C663" s="174" t="s">
        <v>6919</v>
      </c>
      <c r="D663" s="174" t="s">
        <v>6880</v>
      </c>
      <c r="E663" s="205">
        <v>44475</v>
      </c>
    </row>
    <row r="664" spans="1:5" ht="14.25" hidden="1" customHeight="1">
      <c r="A664" s="20">
        <v>25853037</v>
      </c>
      <c r="B664" s="21" t="s">
        <v>6908</v>
      </c>
      <c r="C664" s="21" t="s">
        <v>6909</v>
      </c>
      <c r="D664" t="s">
        <v>6880</v>
      </c>
      <c r="E664" s="37">
        <v>44475</v>
      </c>
    </row>
    <row r="665" spans="1:5" ht="14.25" hidden="1" customHeight="1">
      <c r="A665" s="158">
        <v>25853037</v>
      </c>
      <c r="B665" s="174" t="s">
        <v>6908</v>
      </c>
      <c r="C665" s="174" t="s">
        <v>6909</v>
      </c>
      <c r="D665" s="174" t="s">
        <v>6880</v>
      </c>
      <c r="E665" s="205">
        <v>44475</v>
      </c>
    </row>
    <row r="666" spans="1:5" ht="14.25" hidden="1" customHeight="1">
      <c r="A666" s="20">
        <v>25922821</v>
      </c>
      <c r="B666" s="21" t="s">
        <v>6894</v>
      </c>
      <c r="C666" s="21" t="s">
        <v>6895</v>
      </c>
      <c r="D666" t="s">
        <v>6880</v>
      </c>
      <c r="E666" s="37">
        <v>44475</v>
      </c>
    </row>
    <row r="667" spans="1:5" ht="14.25" hidden="1" customHeight="1">
      <c r="A667" s="158">
        <v>25922821</v>
      </c>
      <c r="B667" s="174" t="s">
        <v>6894</v>
      </c>
      <c r="C667" s="174" t="s">
        <v>6895</v>
      </c>
      <c r="D667" s="174" t="s">
        <v>6880</v>
      </c>
      <c r="E667" s="205">
        <v>44475</v>
      </c>
    </row>
    <row r="668" spans="1:5" ht="14.25" hidden="1" customHeight="1">
      <c r="A668" s="20">
        <v>26028746</v>
      </c>
      <c r="B668" s="21" t="s">
        <v>6896</v>
      </c>
      <c r="C668" s="21" t="s">
        <v>6897</v>
      </c>
      <c r="D668" t="s">
        <v>6880</v>
      </c>
      <c r="E668" s="37">
        <v>44475</v>
      </c>
    </row>
    <row r="669" spans="1:5" ht="14.25" hidden="1" customHeight="1">
      <c r="A669" s="158">
        <v>26028746</v>
      </c>
      <c r="B669" s="174" t="s">
        <v>6896</v>
      </c>
      <c r="C669" s="174" t="s">
        <v>6897</v>
      </c>
      <c r="D669" s="174" t="s">
        <v>6880</v>
      </c>
      <c r="E669" s="205">
        <v>44475</v>
      </c>
    </row>
    <row r="670" spans="1:5" ht="14.25" hidden="1" customHeight="1">
      <c r="A670" s="20">
        <v>26044644</v>
      </c>
      <c r="B670" s="21" t="s">
        <v>6902</v>
      </c>
      <c r="C670" s="21" t="s">
        <v>6903</v>
      </c>
      <c r="D670" t="s">
        <v>6880</v>
      </c>
      <c r="E670" s="37">
        <v>44475</v>
      </c>
    </row>
    <row r="671" spans="1:5" ht="14.25" hidden="1" customHeight="1">
      <c r="A671" s="158">
        <v>26044644</v>
      </c>
      <c r="B671" s="174" t="s">
        <v>6902</v>
      </c>
      <c r="C671" s="174" t="s">
        <v>6903</v>
      </c>
      <c r="D671" s="174" t="s">
        <v>6880</v>
      </c>
      <c r="E671" s="205">
        <v>44475</v>
      </c>
    </row>
    <row r="672" spans="1:5" ht="14.25" hidden="1" customHeight="1">
      <c r="A672" s="20">
        <v>27206952</v>
      </c>
      <c r="B672" s="21" t="s">
        <v>6924</v>
      </c>
      <c r="C672" s="21" t="s">
        <v>6925</v>
      </c>
      <c r="D672" t="s">
        <v>6880</v>
      </c>
      <c r="E672" s="37">
        <v>44475</v>
      </c>
    </row>
    <row r="673" spans="1:5" ht="14.25" hidden="1" customHeight="1">
      <c r="A673" s="158">
        <v>27206952</v>
      </c>
      <c r="B673" s="174" t="s">
        <v>6924</v>
      </c>
      <c r="C673" s="174" t="s">
        <v>6925</v>
      </c>
      <c r="D673" s="174" t="s">
        <v>6880</v>
      </c>
      <c r="E673" s="205">
        <v>44475</v>
      </c>
    </row>
    <row r="674" spans="1:5" ht="14.25" hidden="1" customHeight="1">
      <c r="A674" s="20">
        <v>27364281</v>
      </c>
      <c r="B674" s="21" t="s">
        <v>6928</v>
      </c>
      <c r="C674" s="21" t="s">
        <v>6907</v>
      </c>
      <c r="D674" t="s">
        <v>6880</v>
      </c>
      <c r="E674" s="37">
        <v>44475</v>
      </c>
    </row>
    <row r="675" spans="1:5" ht="14.25" hidden="1" customHeight="1">
      <c r="A675" s="158">
        <v>27364281</v>
      </c>
      <c r="B675" s="174" t="s">
        <v>6928</v>
      </c>
      <c r="C675" s="174" t="s">
        <v>6907</v>
      </c>
      <c r="D675" s="174" t="s">
        <v>6880</v>
      </c>
      <c r="E675" s="205">
        <v>44475</v>
      </c>
    </row>
    <row r="676" spans="1:5" ht="14.25" hidden="1" customHeight="1">
      <c r="A676" s="20">
        <v>27843241</v>
      </c>
      <c r="B676" s="21" t="s">
        <v>6881</v>
      </c>
      <c r="C676" s="21" t="s">
        <v>6882</v>
      </c>
      <c r="D676" t="s">
        <v>6880</v>
      </c>
      <c r="E676" s="37">
        <v>44475</v>
      </c>
    </row>
    <row r="677" spans="1:5" ht="14.25" hidden="1" customHeight="1">
      <c r="A677" s="158">
        <v>27843241</v>
      </c>
      <c r="B677" s="174" t="s">
        <v>6881</v>
      </c>
      <c r="C677" s="174" t="s">
        <v>6882</v>
      </c>
      <c r="D677" s="174" t="s">
        <v>6880</v>
      </c>
      <c r="E677" s="205">
        <v>44475</v>
      </c>
    </row>
    <row r="678" spans="1:5" ht="14.25" hidden="1" customHeight="1">
      <c r="A678" s="20">
        <v>31425836</v>
      </c>
      <c r="B678" s="21" t="s">
        <v>6926</v>
      </c>
      <c r="C678" s="21" t="s">
        <v>6927</v>
      </c>
      <c r="D678" t="s">
        <v>6880</v>
      </c>
      <c r="E678" s="37">
        <v>44475</v>
      </c>
    </row>
    <row r="679" spans="1:5" ht="14.25" hidden="1" customHeight="1">
      <c r="A679" s="158">
        <v>31425836</v>
      </c>
      <c r="B679" s="174" t="s">
        <v>6926</v>
      </c>
      <c r="C679" s="174" t="s">
        <v>6927</v>
      </c>
      <c r="D679" s="174" t="s">
        <v>6880</v>
      </c>
      <c r="E679" s="205">
        <v>44475</v>
      </c>
    </row>
    <row r="680" spans="1:5" ht="14.25" hidden="1" customHeight="1">
      <c r="A680" s="20">
        <v>32109721</v>
      </c>
      <c r="B680" s="21" t="s">
        <v>6922</v>
      </c>
      <c r="C680" s="21" t="s">
        <v>6923</v>
      </c>
      <c r="D680" t="s">
        <v>6880</v>
      </c>
      <c r="E680" s="37">
        <v>44475</v>
      </c>
    </row>
    <row r="681" spans="1:5" ht="14.25" hidden="1" customHeight="1">
      <c r="A681" s="158">
        <v>32109721</v>
      </c>
      <c r="B681" s="174" t="s">
        <v>6922</v>
      </c>
      <c r="C681" s="174" t="s">
        <v>6923</v>
      </c>
      <c r="D681" s="174" t="s">
        <v>6880</v>
      </c>
      <c r="E681" s="205">
        <v>44475</v>
      </c>
    </row>
    <row r="682" spans="1:5" ht="14.25" hidden="1" customHeight="1">
      <c r="A682" s="20">
        <v>33541638</v>
      </c>
      <c r="B682" s="21" t="s">
        <v>6929</v>
      </c>
      <c r="C682" s="21" t="s">
        <v>6930</v>
      </c>
      <c r="D682" t="s">
        <v>6880</v>
      </c>
      <c r="E682" s="37">
        <v>44475</v>
      </c>
    </row>
    <row r="683" spans="1:5" ht="14.25" hidden="1" customHeight="1">
      <c r="A683" s="158">
        <v>33541638</v>
      </c>
      <c r="B683" s="174" t="s">
        <v>6929</v>
      </c>
      <c r="C683" s="174" t="s">
        <v>6930</v>
      </c>
      <c r="D683" s="174" t="s">
        <v>6880</v>
      </c>
      <c r="E683" s="205">
        <v>44475</v>
      </c>
    </row>
    <row r="684" spans="1:5" ht="14.25" hidden="1" customHeight="1">
      <c r="A684" s="20">
        <v>34280634</v>
      </c>
      <c r="B684" s="21" t="s">
        <v>6900</v>
      </c>
      <c r="C684" s="21" t="s">
        <v>6901</v>
      </c>
      <c r="D684" t="s">
        <v>6880</v>
      </c>
      <c r="E684" s="37">
        <v>44475</v>
      </c>
    </row>
    <row r="685" spans="1:5" ht="14.25" hidden="1" customHeight="1">
      <c r="A685" s="158">
        <v>34280634</v>
      </c>
      <c r="B685" s="174" t="s">
        <v>6900</v>
      </c>
      <c r="C685" s="174" t="s">
        <v>6901</v>
      </c>
      <c r="D685" s="174" t="s">
        <v>6880</v>
      </c>
      <c r="E685" s="205">
        <v>44475</v>
      </c>
    </row>
    <row r="686" spans="1:5" ht="14.25" hidden="1" customHeight="1">
      <c r="A686" s="20">
        <v>38349638</v>
      </c>
      <c r="B686" s="21" t="s">
        <v>6916</v>
      </c>
      <c r="C686" s="21" t="s">
        <v>6917</v>
      </c>
      <c r="D686" t="s">
        <v>6880</v>
      </c>
      <c r="E686" s="37">
        <v>44475</v>
      </c>
    </row>
    <row r="687" spans="1:5" ht="14.25" hidden="1" customHeight="1">
      <c r="A687" s="158">
        <v>38349638</v>
      </c>
      <c r="B687" s="174" t="s">
        <v>6916</v>
      </c>
      <c r="C687" s="174" t="s">
        <v>6917</v>
      </c>
      <c r="D687" s="174" t="s">
        <v>6880</v>
      </c>
      <c r="E687" s="205">
        <v>44475</v>
      </c>
    </row>
    <row r="688" spans="1:5" ht="14.25" hidden="1" customHeight="1">
      <c r="A688" s="20">
        <v>13338251</v>
      </c>
      <c r="B688" s="21" t="s">
        <v>6906</v>
      </c>
      <c r="C688" s="21" t="s">
        <v>6907</v>
      </c>
      <c r="D688" t="s">
        <v>6852</v>
      </c>
      <c r="E688" s="37">
        <v>44420</v>
      </c>
    </row>
    <row r="689" spans="1:5" ht="14.25" hidden="1" customHeight="1">
      <c r="A689" s="158">
        <v>13338251</v>
      </c>
      <c r="B689" s="174" t="s">
        <v>6906</v>
      </c>
      <c r="C689" s="174" t="s">
        <v>6907</v>
      </c>
      <c r="D689" s="174" t="s">
        <v>6852</v>
      </c>
      <c r="E689" s="205">
        <v>44420</v>
      </c>
    </row>
    <row r="690" spans="1:5" ht="14.25" hidden="1" customHeight="1">
      <c r="A690" s="20">
        <v>16132250</v>
      </c>
      <c r="B690" s="21" t="s">
        <v>6935</v>
      </c>
      <c r="C690" s="21" t="s">
        <v>6936</v>
      </c>
      <c r="D690" t="s">
        <v>6852</v>
      </c>
      <c r="E690" s="37">
        <v>44420</v>
      </c>
    </row>
    <row r="691" spans="1:5" ht="14.25" hidden="1" customHeight="1">
      <c r="A691" s="158">
        <v>16132250</v>
      </c>
      <c r="B691" s="174" t="s">
        <v>6935</v>
      </c>
      <c r="C691" s="174" t="s">
        <v>6936</v>
      </c>
      <c r="D691" s="174" t="s">
        <v>6852</v>
      </c>
      <c r="E691" s="205">
        <v>44420</v>
      </c>
    </row>
    <row r="692" spans="1:5" ht="14.25" hidden="1" customHeight="1">
      <c r="A692" s="20">
        <v>16458792</v>
      </c>
      <c r="B692" s="21" t="s">
        <v>6953</v>
      </c>
      <c r="C692" s="21" t="s">
        <v>6954</v>
      </c>
      <c r="D692" t="s">
        <v>6852</v>
      </c>
      <c r="E692" s="37">
        <v>44420</v>
      </c>
    </row>
    <row r="693" spans="1:5" ht="14.25" hidden="1" customHeight="1">
      <c r="A693" s="158">
        <v>16458792</v>
      </c>
      <c r="B693" s="174" t="s">
        <v>6953</v>
      </c>
      <c r="C693" s="174" t="s">
        <v>6954</v>
      </c>
      <c r="D693" s="174" t="s">
        <v>6852</v>
      </c>
      <c r="E693" s="205">
        <v>44420</v>
      </c>
    </row>
    <row r="694" spans="1:5" ht="14.25" hidden="1" customHeight="1">
      <c r="A694" s="20">
        <v>17376659</v>
      </c>
      <c r="B694" s="21" t="s">
        <v>6931</v>
      </c>
      <c r="C694" s="21" t="s">
        <v>6861</v>
      </c>
      <c r="D694" t="s">
        <v>6852</v>
      </c>
      <c r="E694" s="37">
        <v>44420</v>
      </c>
    </row>
    <row r="695" spans="1:5" ht="14.25" hidden="1" customHeight="1">
      <c r="A695" s="158">
        <v>17376659</v>
      </c>
      <c r="B695" s="174" t="s">
        <v>6931</v>
      </c>
      <c r="C695" s="174" t="s">
        <v>6861</v>
      </c>
      <c r="D695" s="174" t="s">
        <v>6852</v>
      </c>
      <c r="E695" s="205">
        <v>44420</v>
      </c>
    </row>
    <row r="696" spans="1:5" ht="14.25" hidden="1" customHeight="1">
      <c r="A696" s="20">
        <v>21328390</v>
      </c>
      <c r="B696" s="21" t="s">
        <v>6951</v>
      </c>
      <c r="C696" s="21" t="s">
        <v>6952</v>
      </c>
      <c r="D696" t="s">
        <v>6852</v>
      </c>
      <c r="E696" s="37">
        <v>44420</v>
      </c>
    </row>
    <row r="697" spans="1:5" ht="14.25" hidden="1" customHeight="1">
      <c r="A697" s="158">
        <v>21328390</v>
      </c>
      <c r="B697" s="174" t="s">
        <v>6951</v>
      </c>
      <c r="C697" s="174" t="s">
        <v>6952</v>
      </c>
      <c r="D697" s="174" t="s">
        <v>6852</v>
      </c>
      <c r="E697" s="205">
        <v>44420</v>
      </c>
    </row>
    <row r="698" spans="1:5" ht="14.25" hidden="1" customHeight="1">
      <c r="A698" s="20">
        <v>24059996</v>
      </c>
      <c r="B698" s="21" t="s">
        <v>6939</v>
      </c>
      <c r="C698" s="21" t="s">
        <v>6940</v>
      </c>
      <c r="D698" t="s">
        <v>6852</v>
      </c>
      <c r="E698" s="37">
        <v>44420</v>
      </c>
    </row>
    <row r="699" spans="1:5" ht="14.25" hidden="1" customHeight="1">
      <c r="A699" s="158">
        <v>24059996</v>
      </c>
      <c r="B699" s="174" t="s">
        <v>6939</v>
      </c>
      <c r="C699" s="174" t="s">
        <v>6940</v>
      </c>
      <c r="D699" s="174" t="s">
        <v>6852</v>
      </c>
      <c r="E699" s="205">
        <v>44420</v>
      </c>
    </row>
    <row r="700" spans="1:5" ht="14.25" hidden="1" customHeight="1">
      <c r="A700" s="20">
        <v>24803365</v>
      </c>
      <c r="B700" s="21" t="s">
        <v>6949</v>
      </c>
      <c r="C700" s="21" t="s">
        <v>6950</v>
      </c>
      <c r="D700" t="s">
        <v>6852</v>
      </c>
      <c r="E700" s="37">
        <v>44420</v>
      </c>
    </row>
    <row r="701" spans="1:5" ht="14.25" hidden="1" customHeight="1">
      <c r="A701" s="158">
        <v>24803365</v>
      </c>
      <c r="B701" s="174" t="s">
        <v>6949</v>
      </c>
      <c r="C701" s="174" t="s">
        <v>6950</v>
      </c>
      <c r="D701" s="174" t="s">
        <v>6852</v>
      </c>
      <c r="E701" s="205">
        <v>44420</v>
      </c>
    </row>
    <row r="702" spans="1:5" ht="14.25" hidden="1" customHeight="1">
      <c r="A702" s="20">
        <v>24830971</v>
      </c>
      <c r="B702" s="21" t="s">
        <v>6941</v>
      </c>
      <c r="C702" s="21" t="s">
        <v>6942</v>
      </c>
      <c r="D702" t="s">
        <v>6852</v>
      </c>
      <c r="E702" s="37">
        <v>44420</v>
      </c>
    </row>
    <row r="703" spans="1:5" ht="14.25" hidden="1" customHeight="1">
      <c r="A703" s="158">
        <v>24830971</v>
      </c>
      <c r="B703" s="174" t="s">
        <v>6941</v>
      </c>
      <c r="C703" s="174" t="s">
        <v>6942</v>
      </c>
      <c r="D703" s="174" t="s">
        <v>6852</v>
      </c>
      <c r="E703" s="205">
        <v>44420</v>
      </c>
    </row>
    <row r="704" spans="1:5" ht="14.25" hidden="1" customHeight="1">
      <c r="A704" s="20">
        <v>25844988</v>
      </c>
      <c r="B704" s="21" t="s">
        <v>6947</v>
      </c>
      <c r="C704" s="21" t="s">
        <v>6948</v>
      </c>
      <c r="D704" t="s">
        <v>6852</v>
      </c>
      <c r="E704" s="37">
        <v>44420</v>
      </c>
    </row>
    <row r="705" spans="1:5" ht="14.25" hidden="1" customHeight="1">
      <c r="A705" s="158">
        <v>25844988</v>
      </c>
      <c r="B705" s="174" t="s">
        <v>6947</v>
      </c>
      <c r="C705" s="174" t="s">
        <v>6948</v>
      </c>
      <c r="D705" s="174" t="s">
        <v>6852</v>
      </c>
      <c r="E705" s="205">
        <v>44420</v>
      </c>
    </row>
    <row r="706" spans="1:5" ht="14.25" hidden="1" customHeight="1">
      <c r="A706" s="20">
        <v>27732258</v>
      </c>
      <c r="B706" s="21" t="s">
        <v>6850</v>
      </c>
      <c r="C706" s="21" t="s">
        <v>6934</v>
      </c>
      <c r="D706" t="s">
        <v>6852</v>
      </c>
      <c r="E706" s="37">
        <v>44420</v>
      </c>
    </row>
    <row r="707" spans="1:5" ht="14.25" hidden="1" customHeight="1">
      <c r="A707" s="158">
        <v>27732258</v>
      </c>
      <c r="B707" s="174" t="s">
        <v>6850</v>
      </c>
      <c r="C707" s="174" t="s">
        <v>6934</v>
      </c>
      <c r="D707" s="174" t="s">
        <v>6852</v>
      </c>
      <c r="E707" s="205">
        <v>44420</v>
      </c>
    </row>
    <row r="708" spans="1:5" ht="14.25" hidden="1" customHeight="1">
      <c r="A708" s="20">
        <v>29997979</v>
      </c>
      <c r="B708" s="21" t="s">
        <v>6932</v>
      </c>
      <c r="C708" s="21" t="s">
        <v>6933</v>
      </c>
      <c r="D708" t="s">
        <v>6852</v>
      </c>
      <c r="E708" s="37">
        <v>44420</v>
      </c>
    </row>
    <row r="709" spans="1:5" ht="14.25" hidden="1" customHeight="1">
      <c r="A709" s="158">
        <v>29997979</v>
      </c>
      <c r="B709" s="174" t="s">
        <v>6932</v>
      </c>
      <c r="C709" s="174" t="s">
        <v>6933</v>
      </c>
      <c r="D709" s="174" t="s">
        <v>6852</v>
      </c>
      <c r="E709" s="205">
        <v>44420</v>
      </c>
    </row>
    <row r="710" spans="1:5" ht="14.25" hidden="1" customHeight="1">
      <c r="A710" s="20">
        <v>30069677</v>
      </c>
      <c r="B710" s="21" t="s">
        <v>2612</v>
      </c>
      <c r="C710" s="21" t="s">
        <v>2613</v>
      </c>
      <c r="D710" t="s">
        <v>6852</v>
      </c>
      <c r="E710" s="37">
        <v>44420</v>
      </c>
    </row>
    <row r="711" spans="1:5" ht="14.25" hidden="1" customHeight="1">
      <c r="A711" s="20">
        <v>30069677</v>
      </c>
      <c r="B711" s="21" t="s">
        <v>2612</v>
      </c>
      <c r="C711" s="21" t="s">
        <v>2613</v>
      </c>
      <c r="D711" t="s">
        <v>6852</v>
      </c>
      <c r="E711" s="37">
        <v>44420</v>
      </c>
    </row>
    <row r="712" spans="1:5" ht="14.25" hidden="1" customHeight="1">
      <c r="A712" s="158">
        <v>30069677</v>
      </c>
      <c r="B712" s="174" t="s">
        <v>2612</v>
      </c>
      <c r="C712" s="174" t="s">
        <v>2613</v>
      </c>
      <c r="D712" s="174" t="s">
        <v>6852</v>
      </c>
      <c r="E712" s="205">
        <v>44420</v>
      </c>
    </row>
    <row r="713" spans="1:5" ht="14.25" hidden="1" customHeight="1">
      <c r="A713" s="20">
        <v>31127710</v>
      </c>
      <c r="B713" s="21" t="s">
        <v>6943</v>
      </c>
      <c r="C713" s="21" t="s">
        <v>6944</v>
      </c>
      <c r="D713" t="s">
        <v>6852</v>
      </c>
      <c r="E713" s="37">
        <v>44420</v>
      </c>
    </row>
    <row r="714" spans="1:5" ht="14.25" hidden="1" customHeight="1">
      <c r="A714" s="158">
        <v>31127710</v>
      </c>
      <c r="B714" s="174" t="s">
        <v>6943</v>
      </c>
      <c r="C714" s="174" t="s">
        <v>6944</v>
      </c>
      <c r="D714" s="174" t="s">
        <v>6852</v>
      </c>
      <c r="E714" s="205">
        <v>44420</v>
      </c>
    </row>
    <row r="715" spans="1:5" ht="14.25" hidden="1" customHeight="1">
      <c r="A715" s="20">
        <v>33540499</v>
      </c>
      <c r="B715" s="21" t="s">
        <v>6945</v>
      </c>
      <c r="C715" s="21" t="s">
        <v>6946</v>
      </c>
      <c r="D715" t="s">
        <v>6852</v>
      </c>
      <c r="E715" s="37">
        <v>44420</v>
      </c>
    </row>
    <row r="716" spans="1:5" ht="14.25" hidden="1" customHeight="1">
      <c r="A716" s="158">
        <v>33540499</v>
      </c>
      <c r="B716" s="174" t="s">
        <v>6945</v>
      </c>
      <c r="C716" s="174" t="s">
        <v>6946</v>
      </c>
      <c r="D716" s="174" t="s">
        <v>6852</v>
      </c>
      <c r="E716" s="205">
        <v>44420</v>
      </c>
    </row>
    <row r="717" spans="1:5" ht="14.25" hidden="1" customHeight="1">
      <c r="A717" s="20">
        <v>34356805</v>
      </c>
      <c r="B717" s="21" t="s">
        <v>6937</v>
      </c>
      <c r="C717" s="21" t="s">
        <v>6938</v>
      </c>
      <c r="D717" t="s">
        <v>6852</v>
      </c>
      <c r="E717" s="37">
        <v>44420</v>
      </c>
    </row>
    <row r="718" spans="1:5" ht="14.25" hidden="1" customHeight="1">
      <c r="A718" s="158">
        <v>34356805</v>
      </c>
      <c r="B718" s="174" t="s">
        <v>6937</v>
      </c>
      <c r="C718" s="174" t="s">
        <v>6938</v>
      </c>
      <c r="D718" s="174" t="s">
        <v>6852</v>
      </c>
      <c r="E718" s="205">
        <v>44420</v>
      </c>
    </row>
    <row r="719" spans="1:5" ht="14.25" hidden="1" customHeight="1">
      <c r="A719" s="20">
        <v>13338617</v>
      </c>
      <c r="B719" s="21" t="s">
        <v>6887</v>
      </c>
      <c r="C719" s="21" t="s">
        <v>6886</v>
      </c>
      <c r="D719" t="s">
        <v>6852</v>
      </c>
      <c r="E719" s="37">
        <v>44419</v>
      </c>
    </row>
    <row r="720" spans="1:5" ht="14.25" hidden="1" customHeight="1">
      <c r="A720" s="158">
        <v>13338617</v>
      </c>
      <c r="B720" s="174" t="s">
        <v>6887</v>
      </c>
      <c r="C720" s="174" t="s">
        <v>6886</v>
      </c>
      <c r="D720" s="174" t="s">
        <v>6852</v>
      </c>
      <c r="E720" s="205">
        <v>44419</v>
      </c>
    </row>
    <row r="721" spans="1:5" ht="14.25" hidden="1" customHeight="1">
      <c r="A721" s="20">
        <v>16016486</v>
      </c>
      <c r="B721" s="21" t="s">
        <v>6963</v>
      </c>
      <c r="C721" s="21" t="s">
        <v>6964</v>
      </c>
      <c r="D721" t="s">
        <v>6852</v>
      </c>
      <c r="E721" s="37">
        <v>44419</v>
      </c>
    </row>
    <row r="722" spans="1:5" ht="14.25" hidden="1" customHeight="1">
      <c r="A722" s="158">
        <v>16016486</v>
      </c>
      <c r="B722" s="174" t="s">
        <v>6963</v>
      </c>
      <c r="C722" s="174" t="s">
        <v>6964</v>
      </c>
      <c r="D722" s="174" t="s">
        <v>6852</v>
      </c>
      <c r="E722" s="205">
        <v>44419</v>
      </c>
    </row>
    <row r="723" spans="1:5" ht="14.25" hidden="1" customHeight="1">
      <c r="A723" s="20">
        <v>16175799</v>
      </c>
      <c r="B723" s="21" t="s">
        <v>6973</v>
      </c>
      <c r="C723" s="21" t="s">
        <v>6974</v>
      </c>
      <c r="D723" t="s">
        <v>6852</v>
      </c>
      <c r="E723" s="37">
        <v>44419</v>
      </c>
    </row>
    <row r="724" spans="1:5" ht="14.25" hidden="1" customHeight="1">
      <c r="A724" s="158">
        <v>16175799</v>
      </c>
      <c r="B724" s="174" t="s">
        <v>6973</v>
      </c>
      <c r="C724" s="174" t="s">
        <v>6974</v>
      </c>
      <c r="D724" s="174" t="s">
        <v>6852</v>
      </c>
      <c r="E724" s="205">
        <v>44419</v>
      </c>
    </row>
    <row r="725" spans="1:5" ht="14.25" hidden="1" customHeight="1">
      <c r="A725" s="20">
        <v>16617561</v>
      </c>
      <c r="B725" s="21" t="s">
        <v>4445</v>
      </c>
      <c r="C725" s="21" t="s">
        <v>4446</v>
      </c>
      <c r="D725" t="s">
        <v>6852</v>
      </c>
      <c r="E725" s="37">
        <v>44419</v>
      </c>
    </row>
    <row r="726" spans="1:5" ht="14.25" hidden="1" customHeight="1">
      <c r="A726" s="158">
        <v>16617561</v>
      </c>
      <c r="B726" s="174" t="s">
        <v>4445</v>
      </c>
      <c r="C726" s="174" t="s">
        <v>4446</v>
      </c>
      <c r="D726" s="174" t="s">
        <v>6852</v>
      </c>
      <c r="E726" s="205">
        <v>44419</v>
      </c>
    </row>
    <row r="727" spans="1:5" ht="14.25" hidden="1" customHeight="1">
      <c r="A727" s="20">
        <v>16954394</v>
      </c>
      <c r="B727" s="21" t="s">
        <v>6977</v>
      </c>
      <c r="C727" s="21" t="s">
        <v>6978</v>
      </c>
      <c r="D727" t="s">
        <v>6852</v>
      </c>
      <c r="E727" s="37">
        <v>44419</v>
      </c>
    </row>
    <row r="728" spans="1:5" ht="14.25" hidden="1" customHeight="1">
      <c r="A728" s="158">
        <v>16954394</v>
      </c>
      <c r="B728" s="174" t="s">
        <v>6977</v>
      </c>
      <c r="C728" s="174" t="s">
        <v>6978</v>
      </c>
      <c r="D728" s="174" t="s">
        <v>6852</v>
      </c>
      <c r="E728" s="205">
        <v>44419</v>
      </c>
    </row>
    <row r="729" spans="1:5" ht="14.25" hidden="1" customHeight="1">
      <c r="A729" s="20">
        <v>17293872</v>
      </c>
      <c r="B729" s="21" t="s">
        <v>6957</v>
      </c>
      <c r="C729" s="21" t="s">
        <v>6958</v>
      </c>
      <c r="D729" t="s">
        <v>6852</v>
      </c>
      <c r="E729" s="37">
        <v>44419</v>
      </c>
    </row>
    <row r="730" spans="1:5" ht="14.25" hidden="1" customHeight="1">
      <c r="A730" s="158">
        <v>17293872</v>
      </c>
      <c r="B730" s="174" t="s">
        <v>6957</v>
      </c>
      <c r="C730" s="174" t="s">
        <v>6958</v>
      </c>
      <c r="D730" s="174" t="s">
        <v>6852</v>
      </c>
      <c r="E730" s="205">
        <v>44419</v>
      </c>
    </row>
    <row r="731" spans="1:5" ht="14.25" hidden="1" customHeight="1">
      <c r="A731" s="20">
        <v>17696330</v>
      </c>
      <c r="B731" s="21" t="s">
        <v>6975</v>
      </c>
      <c r="C731" s="21" t="s">
        <v>6976</v>
      </c>
      <c r="D731" t="s">
        <v>6852</v>
      </c>
      <c r="E731" s="37">
        <v>44419</v>
      </c>
    </row>
    <row r="732" spans="1:5" ht="14.25" hidden="1" customHeight="1">
      <c r="A732" s="158">
        <v>17696330</v>
      </c>
      <c r="B732" s="174" t="s">
        <v>6975</v>
      </c>
      <c r="C732" s="174" t="s">
        <v>6976</v>
      </c>
      <c r="D732" s="174" t="s">
        <v>6852</v>
      </c>
      <c r="E732" s="205">
        <v>44419</v>
      </c>
    </row>
    <row r="733" spans="1:5" ht="14.25" hidden="1" customHeight="1">
      <c r="A733" s="20">
        <v>20159005</v>
      </c>
      <c r="B733" s="21" t="s">
        <v>6961</v>
      </c>
      <c r="C733" s="21" t="s">
        <v>6962</v>
      </c>
      <c r="D733" t="s">
        <v>6852</v>
      </c>
      <c r="E733" s="37">
        <v>44419</v>
      </c>
    </row>
    <row r="734" spans="1:5" ht="14.25" hidden="1" customHeight="1">
      <c r="A734" s="158">
        <v>20159005</v>
      </c>
      <c r="B734" s="174" t="s">
        <v>6961</v>
      </c>
      <c r="C734" s="174" t="s">
        <v>6962</v>
      </c>
      <c r="D734" s="174" t="s">
        <v>6852</v>
      </c>
      <c r="E734" s="205">
        <v>44419</v>
      </c>
    </row>
    <row r="735" spans="1:5" ht="14.25" hidden="1" customHeight="1">
      <c r="A735" s="20">
        <v>21893835</v>
      </c>
      <c r="B735" s="21" t="s">
        <v>6969</v>
      </c>
      <c r="C735" s="21" t="s">
        <v>6970</v>
      </c>
      <c r="D735" t="s">
        <v>6852</v>
      </c>
      <c r="E735" s="37">
        <v>44419</v>
      </c>
    </row>
    <row r="736" spans="1:5" ht="14.25" hidden="1" customHeight="1">
      <c r="A736" s="158">
        <v>21893835</v>
      </c>
      <c r="B736" s="174" t="s">
        <v>6969</v>
      </c>
      <c r="C736" s="174" t="s">
        <v>6970</v>
      </c>
      <c r="D736" s="174" t="s">
        <v>6852</v>
      </c>
      <c r="E736" s="205">
        <v>44419</v>
      </c>
    </row>
    <row r="737" spans="1:5" ht="14.25" hidden="1" customHeight="1">
      <c r="A737" s="20">
        <v>23411308</v>
      </c>
      <c r="B737" s="21" t="s">
        <v>6955</v>
      </c>
      <c r="C737" s="21" t="s">
        <v>6956</v>
      </c>
      <c r="D737" t="s">
        <v>6852</v>
      </c>
      <c r="E737" s="37">
        <v>44419</v>
      </c>
    </row>
    <row r="738" spans="1:5" ht="14.25" hidden="1" customHeight="1">
      <c r="A738" s="158">
        <v>23411308</v>
      </c>
      <c r="B738" s="174" t="s">
        <v>6955</v>
      </c>
      <c r="C738" s="174" t="s">
        <v>6956</v>
      </c>
      <c r="D738" s="174" t="s">
        <v>6852</v>
      </c>
      <c r="E738" s="205">
        <v>44419</v>
      </c>
    </row>
    <row r="739" spans="1:5" ht="14.25" hidden="1" customHeight="1">
      <c r="A739" s="20">
        <v>26743740</v>
      </c>
      <c r="B739" s="21" t="s">
        <v>6967</v>
      </c>
      <c r="C739" s="21" t="s">
        <v>6968</v>
      </c>
      <c r="D739" t="s">
        <v>6852</v>
      </c>
      <c r="E739" s="37">
        <v>44419</v>
      </c>
    </row>
    <row r="740" spans="1:5" ht="14.25" hidden="1" customHeight="1">
      <c r="A740" s="158">
        <v>26743740</v>
      </c>
      <c r="B740" s="174" t="s">
        <v>6967</v>
      </c>
      <c r="C740" s="174" t="s">
        <v>6968</v>
      </c>
      <c r="D740" s="174" t="s">
        <v>6852</v>
      </c>
      <c r="E740" s="205">
        <v>44419</v>
      </c>
    </row>
    <row r="741" spans="1:5" ht="14.25" hidden="1" customHeight="1">
      <c r="A741" s="20">
        <v>32109721</v>
      </c>
      <c r="B741" s="21" t="s">
        <v>6922</v>
      </c>
      <c r="C741" s="21" t="s">
        <v>6923</v>
      </c>
      <c r="D741" t="s">
        <v>6852</v>
      </c>
      <c r="E741" s="37">
        <v>44419</v>
      </c>
    </row>
    <row r="742" spans="1:5" ht="14.25" hidden="1" customHeight="1">
      <c r="A742" s="158">
        <v>32109721</v>
      </c>
      <c r="B742" s="174" t="s">
        <v>6922</v>
      </c>
      <c r="C742" s="174" t="s">
        <v>6923</v>
      </c>
      <c r="D742" s="174" t="s">
        <v>6852</v>
      </c>
      <c r="E742" s="205">
        <v>44419</v>
      </c>
    </row>
    <row r="743" spans="1:5" ht="14.25" hidden="1" customHeight="1">
      <c r="A743" s="20">
        <v>33974856</v>
      </c>
      <c r="B743" s="21" t="s">
        <v>6965</v>
      </c>
      <c r="C743" s="21" t="s">
        <v>6966</v>
      </c>
      <c r="D743" t="s">
        <v>6852</v>
      </c>
      <c r="E743" s="37">
        <v>44419</v>
      </c>
    </row>
    <row r="744" spans="1:5" ht="14.25" hidden="1" customHeight="1">
      <c r="A744" s="158">
        <v>33974856</v>
      </c>
      <c r="B744" s="174" t="s">
        <v>6965</v>
      </c>
      <c r="C744" s="174" t="s">
        <v>6966</v>
      </c>
      <c r="D744" s="174" t="s">
        <v>6852</v>
      </c>
      <c r="E744" s="205">
        <v>44419</v>
      </c>
    </row>
    <row r="745" spans="1:5" ht="14.25" hidden="1" customHeight="1">
      <c r="A745" s="20">
        <v>34280634</v>
      </c>
      <c r="B745" s="21" t="s">
        <v>6959</v>
      </c>
      <c r="C745" s="21" t="s">
        <v>6960</v>
      </c>
      <c r="D745" t="s">
        <v>6852</v>
      </c>
      <c r="E745" s="37">
        <v>44419</v>
      </c>
    </row>
    <row r="746" spans="1:5" ht="14.25" hidden="1" customHeight="1">
      <c r="A746" s="158">
        <v>34280634</v>
      </c>
      <c r="B746" s="174" t="s">
        <v>6959</v>
      </c>
      <c r="C746" s="174" t="s">
        <v>6960</v>
      </c>
      <c r="D746" s="174" t="s">
        <v>6852</v>
      </c>
      <c r="E746" s="205">
        <v>44419</v>
      </c>
    </row>
    <row r="747" spans="1:5" ht="14.25" hidden="1" customHeight="1">
      <c r="A747" s="20">
        <v>35548593</v>
      </c>
      <c r="B747" s="21" t="s">
        <v>6971</v>
      </c>
      <c r="C747" s="21" t="s">
        <v>6972</v>
      </c>
      <c r="D747" t="s">
        <v>6852</v>
      </c>
      <c r="E747" s="37">
        <v>44419</v>
      </c>
    </row>
    <row r="748" spans="1:5" ht="14.25" hidden="1" customHeight="1">
      <c r="A748" s="158">
        <v>35548593</v>
      </c>
      <c r="B748" s="174" t="s">
        <v>6971</v>
      </c>
      <c r="C748" s="174" t="s">
        <v>6972</v>
      </c>
      <c r="D748" s="174" t="s">
        <v>6852</v>
      </c>
      <c r="E748" s="205">
        <v>44419</v>
      </c>
    </row>
    <row r="749" spans="1:5" ht="14.25" hidden="1" customHeight="1">
      <c r="A749" s="16">
        <v>36182818</v>
      </c>
      <c r="B749" s="17" t="s">
        <v>734</v>
      </c>
      <c r="C749" s="17" t="s">
        <v>4806</v>
      </c>
      <c r="D749" s="1" t="s">
        <v>6979</v>
      </c>
      <c r="E749" s="35" t="s">
        <v>6980</v>
      </c>
    </row>
    <row r="750" spans="1:5" ht="14.25" hidden="1" customHeight="1">
      <c r="A750" s="155">
        <v>36182818</v>
      </c>
      <c r="B750" s="173" t="s">
        <v>734</v>
      </c>
      <c r="C750" s="173" t="s">
        <v>4806</v>
      </c>
      <c r="D750" s="173" t="s">
        <v>6979</v>
      </c>
      <c r="E750" s="203">
        <v>43778</v>
      </c>
    </row>
    <row r="751" spans="1:5" ht="14.25" hidden="1" customHeight="1">
      <c r="A751" s="16">
        <v>12540739</v>
      </c>
      <c r="B751" s="17" t="s">
        <v>4759</v>
      </c>
      <c r="C751" s="17" t="s">
        <v>4760</v>
      </c>
      <c r="D751" s="1" t="s">
        <v>6981</v>
      </c>
      <c r="E751" s="35" t="s">
        <v>6982</v>
      </c>
    </row>
    <row r="752" spans="1:5" ht="14.25" hidden="1" customHeight="1">
      <c r="A752" s="155">
        <v>12540739</v>
      </c>
      <c r="B752" s="173" t="s">
        <v>4759</v>
      </c>
      <c r="C752" s="173" t="s">
        <v>4760</v>
      </c>
      <c r="D752" s="173" t="s">
        <v>6981</v>
      </c>
      <c r="E752" s="203">
        <v>43777</v>
      </c>
    </row>
    <row r="753" spans="1:5" ht="14.25" hidden="1" customHeight="1">
      <c r="A753" s="16">
        <v>14073031</v>
      </c>
      <c r="B753" s="17" t="s">
        <v>541</v>
      </c>
      <c r="C753" s="17" t="s">
        <v>2382</v>
      </c>
      <c r="D753" s="1" t="s">
        <v>6981</v>
      </c>
      <c r="E753" s="35" t="s">
        <v>6982</v>
      </c>
    </row>
    <row r="754" spans="1:5" ht="14.25" hidden="1" customHeight="1">
      <c r="A754" s="155">
        <v>14073031</v>
      </c>
      <c r="B754" s="173" t="s">
        <v>541</v>
      </c>
      <c r="C754" s="173" t="s">
        <v>2382</v>
      </c>
      <c r="D754" s="173" t="s">
        <v>6981</v>
      </c>
      <c r="E754" s="203">
        <v>43777</v>
      </c>
    </row>
    <row r="755" spans="1:5" ht="14.25" hidden="1" customHeight="1">
      <c r="A755" s="16">
        <v>14352896</v>
      </c>
      <c r="B755" s="17" t="s">
        <v>3428</v>
      </c>
      <c r="C755" s="17" t="s">
        <v>3429</v>
      </c>
      <c r="D755" s="1" t="s">
        <v>6981</v>
      </c>
      <c r="E755" s="35" t="s">
        <v>6982</v>
      </c>
    </row>
    <row r="756" spans="1:5" ht="14.25" hidden="1" customHeight="1">
      <c r="A756" s="155">
        <v>14352896</v>
      </c>
      <c r="B756" s="173" t="s">
        <v>3428</v>
      </c>
      <c r="C756" s="173" t="s">
        <v>3429</v>
      </c>
      <c r="D756" s="173" t="s">
        <v>6981</v>
      </c>
      <c r="E756" s="203">
        <v>43777</v>
      </c>
    </row>
    <row r="757" spans="1:5" ht="14.25" hidden="1" customHeight="1">
      <c r="A757" s="16">
        <v>14984647</v>
      </c>
      <c r="B757" s="17" t="s">
        <v>857</v>
      </c>
      <c r="C757" s="17" t="s">
        <v>1085</v>
      </c>
      <c r="D757" s="1" t="s">
        <v>6981</v>
      </c>
      <c r="E757" s="35" t="s">
        <v>6982</v>
      </c>
    </row>
    <row r="758" spans="1:5" ht="14.25" hidden="1" customHeight="1">
      <c r="A758" s="155">
        <v>14984647</v>
      </c>
      <c r="B758" s="173" t="s">
        <v>857</v>
      </c>
      <c r="C758" s="173" t="s">
        <v>1085</v>
      </c>
      <c r="D758" s="173" t="s">
        <v>6981</v>
      </c>
      <c r="E758" s="203">
        <v>43777</v>
      </c>
    </row>
    <row r="759" spans="1:5" ht="14.25" hidden="1" customHeight="1">
      <c r="A759" s="16">
        <v>16314577</v>
      </c>
      <c r="B759" s="17" t="s">
        <v>377</v>
      </c>
      <c r="C759" s="17" t="s">
        <v>378</v>
      </c>
      <c r="D759" s="1" t="s">
        <v>6981</v>
      </c>
      <c r="E759" s="35" t="s">
        <v>6982</v>
      </c>
    </row>
    <row r="760" spans="1:5" ht="14.25" hidden="1" customHeight="1">
      <c r="A760" s="155">
        <v>16314577</v>
      </c>
      <c r="B760" s="173" t="s">
        <v>377</v>
      </c>
      <c r="C760" s="173" t="s">
        <v>378</v>
      </c>
      <c r="D760" s="173" t="s">
        <v>6981</v>
      </c>
      <c r="E760" s="203">
        <v>43777</v>
      </c>
    </row>
    <row r="761" spans="1:5" ht="14.25" hidden="1" customHeight="1">
      <c r="A761" s="16">
        <v>17859279</v>
      </c>
      <c r="B761" s="17" t="s">
        <v>327</v>
      </c>
      <c r="C761" s="17" t="s">
        <v>6526</v>
      </c>
      <c r="D761" s="1" t="s">
        <v>6981</v>
      </c>
      <c r="E761" s="35" t="s">
        <v>6982</v>
      </c>
    </row>
    <row r="762" spans="1:5" ht="14.25" hidden="1" customHeight="1">
      <c r="A762" s="155">
        <v>17859279</v>
      </c>
      <c r="B762" s="173" t="s">
        <v>327</v>
      </c>
      <c r="C762" s="173" t="s">
        <v>6526</v>
      </c>
      <c r="D762" s="173" t="s">
        <v>6981</v>
      </c>
      <c r="E762" s="203">
        <v>43777</v>
      </c>
    </row>
    <row r="763" spans="1:5" ht="14.25" hidden="1" customHeight="1">
      <c r="A763" s="16">
        <v>20219773</v>
      </c>
      <c r="B763" s="17" t="s">
        <v>1283</v>
      </c>
      <c r="C763" s="17" t="s">
        <v>3492</v>
      </c>
      <c r="D763" s="1" t="s">
        <v>6981</v>
      </c>
      <c r="E763" s="35" t="s">
        <v>6982</v>
      </c>
    </row>
    <row r="764" spans="1:5" ht="14.25" hidden="1" customHeight="1">
      <c r="A764" s="155">
        <v>20219773</v>
      </c>
      <c r="B764" s="173" t="s">
        <v>1283</v>
      </c>
      <c r="C764" s="173" t="s">
        <v>3492</v>
      </c>
      <c r="D764" s="173" t="s">
        <v>6981</v>
      </c>
      <c r="E764" s="203">
        <v>43777</v>
      </c>
    </row>
    <row r="765" spans="1:5" ht="14.25" hidden="1" customHeight="1">
      <c r="A765" s="16">
        <v>20418524</v>
      </c>
      <c r="B765" s="17" t="s">
        <v>2422</v>
      </c>
      <c r="C765" s="17" t="s">
        <v>1299</v>
      </c>
      <c r="D765" s="1" t="s">
        <v>6981</v>
      </c>
      <c r="E765" s="35" t="s">
        <v>6982</v>
      </c>
    </row>
    <row r="766" spans="1:5" ht="14.25" hidden="1" customHeight="1">
      <c r="A766" s="155">
        <v>20418524</v>
      </c>
      <c r="B766" s="173" t="s">
        <v>2422</v>
      </c>
      <c r="C766" s="173" t="s">
        <v>1299</v>
      </c>
      <c r="D766" s="173" t="s">
        <v>6981</v>
      </c>
      <c r="E766" s="203">
        <v>43777</v>
      </c>
    </row>
    <row r="767" spans="1:5" ht="14.25" hidden="1" customHeight="1">
      <c r="A767" s="16">
        <v>21328426</v>
      </c>
      <c r="B767" s="17" t="s">
        <v>3444</v>
      </c>
      <c r="C767" s="17" t="s">
        <v>571</v>
      </c>
      <c r="D767" s="1" t="s">
        <v>6981</v>
      </c>
      <c r="E767" s="35" t="s">
        <v>6982</v>
      </c>
    </row>
    <row r="768" spans="1:5" ht="14.25" hidden="1" customHeight="1">
      <c r="A768" s="155">
        <v>21328426</v>
      </c>
      <c r="B768" s="173" t="s">
        <v>3444</v>
      </c>
      <c r="C768" s="173" t="s">
        <v>571</v>
      </c>
      <c r="D768" s="173" t="s">
        <v>6981</v>
      </c>
      <c r="E768" s="203">
        <v>43777</v>
      </c>
    </row>
    <row r="769" spans="1:5" ht="14.25" hidden="1" customHeight="1">
      <c r="A769" s="16">
        <v>21329323</v>
      </c>
      <c r="B769" s="17" t="s">
        <v>4646</v>
      </c>
      <c r="C769" s="17" t="s">
        <v>2447</v>
      </c>
      <c r="D769" s="1" t="s">
        <v>6981</v>
      </c>
      <c r="E769" s="35" t="s">
        <v>6982</v>
      </c>
    </row>
    <row r="770" spans="1:5" ht="14.25" hidden="1" customHeight="1">
      <c r="A770" s="155">
        <v>21329323</v>
      </c>
      <c r="B770" s="173" t="s">
        <v>4646</v>
      </c>
      <c r="C770" s="173" t="s">
        <v>2447</v>
      </c>
      <c r="D770" s="173" t="s">
        <v>6981</v>
      </c>
      <c r="E770" s="203">
        <v>43777</v>
      </c>
    </row>
    <row r="771" spans="1:5" ht="14.25" hidden="1" customHeight="1">
      <c r="A771" s="16">
        <v>22336712</v>
      </c>
      <c r="B771" s="17" t="s">
        <v>5262</v>
      </c>
      <c r="C771" s="17" t="s">
        <v>5263</v>
      </c>
      <c r="D771" s="1" t="s">
        <v>6981</v>
      </c>
      <c r="E771" s="35" t="s">
        <v>6982</v>
      </c>
    </row>
    <row r="772" spans="1:5" ht="14.25" hidden="1" customHeight="1">
      <c r="A772" s="155">
        <v>22336712</v>
      </c>
      <c r="B772" s="173" t="s">
        <v>5262</v>
      </c>
      <c r="C772" s="173" t="s">
        <v>5263</v>
      </c>
      <c r="D772" s="173" t="s">
        <v>6981</v>
      </c>
      <c r="E772" s="203">
        <v>43777</v>
      </c>
    </row>
    <row r="773" spans="1:5" ht="14.25" hidden="1" customHeight="1">
      <c r="A773" s="16">
        <v>23239528</v>
      </c>
      <c r="B773" s="17" t="s">
        <v>4981</v>
      </c>
      <c r="C773" s="17" t="s">
        <v>4982</v>
      </c>
      <c r="D773" s="1" t="s">
        <v>6981</v>
      </c>
      <c r="E773" s="35" t="s">
        <v>6982</v>
      </c>
    </row>
    <row r="774" spans="1:5" ht="14.25" hidden="1" customHeight="1">
      <c r="A774" s="155">
        <v>23239528</v>
      </c>
      <c r="B774" s="173" t="s">
        <v>4981</v>
      </c>
      <c r="C774" s="173" t="s">
        <v>4982</v>
      </c>
      <c r="D774" s="173" t="s">
        <v>6981</v>
      </c>
      <c r="E774" s="203">
        <v>43777</v>
      </c>
    </row>
    <row r="775" spans="1:5" ht="14.25" hidden="1" customHeight="1">
      <c r="A775" s="16">
        <v>23387097</v>
      </c>
      <c r="B775" s="17" t="s">
        <v>3842</v>
      </c>
      <c r="C775" s="17" t="s">
        <v>902</v>
      </c>
      <c r="D775" s="1" t="s">
        <v>6981</v>
      </c>
      <c r="E775" s="35" t="s">
        <v>6982</v>
      </c>
    </row>
    <row r="776" spans="1:5" ht="14.25" hidden="1" customHeight="1">
      <c r="A776" s="155">
        <v>23387097</v>
      </c>
      <c r="B776" s="173" t="s">
        <v>3842</v>
      </c>
      <c r="C776" s="173" t="s">
        <v>902</v>
      </c>
      <c r="D776" s="173" t="s">
        <v>6981</v>
      </c>
      <c r="E776" s="203">
        <v>43777</v>
      </c>
    </row>
    <row r="777" spans="1:5" ht="14.25" hidden="1" customHeight="1">
      <c r="A777" s="16">
        <v>23519543</v>
      </c>
      <c r="B777" s="17" t="s">
        <v>1401</v>
      </c>
      <c r="C777" s="17" t="s">
        <v>2447</v>
      </c>
      <c r="D777" s="1" t="s">
        <v>6981</v>
      </c>
      <c r="E777" s="35" t="s">
        <v>6982</v>
      </c>
    </row>
    <row r="778" spans="1:5" ht="14.25" hidden="1" customHeight="1">
      <c r="A778" s="155">
        <v>23519543</v>
      </c>
      <c r="B778" s="173" t="s">
        <v>1401</v>
      </c>
      <c r="C778" s="173" t="s">
        <v>2447</v>
      </c>
      <c r="D778" s="173" t="s">
        <v>6981</v>
      </c>
      <c r="E778" s="203">
        <v>43777</v>
      </c>
    </row>
    <row r="779" spans="1:5" ht="14.25" hidden="1" customHeight="1">
      <c r="A779" s="16">
        <v>24059021</v>
      </c>
      <c r="B779" s="17" t="s">
        <v>3887</v>
      </c>
      <c r="C779" s="17" t="s">
        <v>3888</v>
      </c>
      <c r="D779" s="1" t="s">
        <v>6981</v>
      </c>
      <c r="E779" s="35" t="s">
        <v>6982</v>
      </c>
    </row>
    <row r="780" spans="1:5" ht="14.25" hidden="1" customHeight="1">
      <c r="A780" s="155">
        <v>24059021</v>
      </c>
      <c r="B780" s="173" t="s">
        <v>3887</v>
      </c>
      <c r="C780" s="173" t="s">
        <v>3888</v>
      </c>
      <c r="D780" s="173" t="s">
        <v>6981</v>
      </c>
      <c r="E780" s="203">
        <v>43777</v>
      </c>
    </row>
    <row r="781" spans="1:5" ht="14.25" hidden="1" customHeight="1">
      <c r="A781" s="16">
        <v>24200086</v>
      </c>
      <c r="B781" s="17" t="s">
        <v>2364</v>
      </c>
      <c r="C781" s="17" t="s">
        <v>2365</v>
      </c>
      <c r="D781" s="1" t="s">
        <v>6981</v>
      </c>
      <c r="E781" s="35" t="s">
        <v>6982</v>
      </c>
    </row>
    <row r="782" spans="1:5" ht="14.25" hidden="1" customHeight="1">
      <c r="A782" s="155">
        <v>24200086</v>
      </c>
      <c r="B782" s="173" t="s">
        <v>2364</v>
      </c>
      <c r="C782" s="173" t="s">
        <v>2365</v>
      </c>
      <c r="D782" s="173" t="s">
        <v>6981</v>
      </c>
      <c r="E782" s="203">
        <v>43777</v>
      </c>
    </row>
    <row r="783" spans="1:5" ht="14.25" hidden="1" customHeight="1">
      <c r="A783" s="16">
        <v>24553486</v>
      </c>
      <c r="B783" s="17" t="s">
        <v>94</v>
      </c>
      <c r="C783" s="17" t="s">
        <v>2260</v>
      </c>
      <c r="D783" s="1" t="s">
        <v>6981</v>
      </c>
      <c r="E783" s="35" t="s">
        <v>6982</v>
      </c>
    </row>
    <row r="784" spans="1:5" ht="14.25" hidden="1" customHeight="1">
      <c r="A784" s="155">
        <v>24553486</v>
      </c>
      <c r="B784" s="173" t="s">
        <v>94</v>
      </c>
      <c r="C784" s="173" t="s">
        <v>2260</v>
      </c>
      <c r="D784" s="173" t="s">
        <v>6981</v>
      </c>
      <c r="E784" s="203">
        <v>43777</v>
      </c>
    </row>
    <row r="785" spans="1:5" ht="14.25" hidden="1" customHeight="1">
      <c r="A785" s="16">
        <v>24802118</v>
      </c>
      <c r="B785" s="17" t="s">
        <v>2422</v>
      </c>
      <c r="C785" s="17" t="s">
        <v>2423</v>
      </c>
      <c r="D785" s="1" t="s">
        <v>6981</v>
      </c>
      <c r="E785" s="35" t="s">
        <v>6982</v>
      </c>
    </row>
    <row r="786" spans="1:5" ht="14.25" hidden="1" customHeight="1">
      <c r="A786" s="155">
        <v>24802118</v>
      </c>
      <c r="B786" s="173" t="s">
        <v>2422</v>
      </c>
      <c r="C786" s="173" t="s">
        <v>2423</v>
      </c>
      <c r="D786" s="173" t="s">
        <v>6981</v>
      </c>
      <c r="E786" s="203">
        <v>43777</v>
      </c>
    </row>
    <row r="787" spans="1:5" ht="14.25" hidden="1" customHeight="1">
      <c r="A787" s="16">
        <v>25843050</v>
      </c>
      <c r="B787" s="17" t="s">
        <v>4033</v>
      </c>
      <c r="C787" s="17" t="s">
        <v>4034</v>
      </c>
      <c r="D787" s="1" t="s">
        <v>6981</v>
      </c>
      <c r="E787" s="35" t="s">
        <v>6982</v>
      </c>
    </row>
    <row r="788" spans="1:5" ht="14.25" hidden="1" customHeight="1">
      <c r="A788" s="155">
        <v>25843050</v>
      </c>
      <c r="B788" s="173" t="s">
        <v>4033</v>
      </c>
      <c r="C788" s="173" t="s">
        <v>4034</v>
      </c>
      <c r="D788" s="173" t="s">
        <v>6981</v>
      </c>
      <c r="E788" s="203">
        <v>43777</v>
      </c>
    </row>
    <row r="789" spans="1:5" ht="14.25" hidden="1" customHeight="1">
      <c r="A789" s="16">
        <v>25843239</v>
      </c>
      <c r="B789" s="17" t="s">
        <v>4874</v>
      </c>
      <c r="C789" s="17" t="s">
        <v>4875</v>
      </c>
      <c r="D789" s="1" t="s">
        <v>6981</v>
      </c>
      <c r="E789" s="35" t="s">
        <v>6982</v>
      </c>
    </row>
    <row r="790" spans="1:5" ht="14.25" hidden="1" customHeight="1">
      <c r="A790" s="155">
        <v>25843239</v>
      </c>
      <c r="B790" s="173" t="s">
        <v>4874</v>
      </c>
      <c r="C790" s="173" t="s">
        <v>4875</v>
      </c>
      <c r="D790" s="173" t="s">
        <v>6981</v>
      </c>
      <c r="E790" s="203">
        <v>43777</v>
      </c>
    </row>
    <row r="791" spans="1:5" ht="14.25" hidden="1" customHeight="1">
      <c r="A791" s="16">
        <v>27886273</v>
      </c>
      <c r="B791" s="17" t="s">
        <v>226</v>
      </c>
      <c r="C791" s="17" t="s">
        <v>227</v>
      </c>
      <c r="D791" s="1" t="s">
        <v>6981</v>
      </c>
      <c r="E791" s="35" t="s">
        <v>6982</v>
      </c>
    </row>
    <row r="792" spans="1:5" ht="14.25" hidden="1" customHeight="1">
      <c r="A792" s="155">
        <v>27886273</v>
      </c>
      <c r="B792" s="173" t="s">
        <v>226</v>
      </c>
      <c r="C792" s="173" t="s">
        <v>227</v>
      </c>
      <c r="D792" s="173" t="s">
        <v>6981</v>
      </c>
      <c r="E792" s="203">
        <v>43777</v>
      </c>
    </row>
    <row r="793" spans="1:5" ht="14.25" hidden="1" customHeight="1">
      <c r="A793" s="16">
        <v>28053203</v>
      </c>
      <c r="B793" s="17" t="s">
        <v>327</v>
      </c>
      <c r="C793" s="17" t="s">
        <v>4495</v>
      </c>
      <c r="D793" s="1" t="s">
        <v>6981</v>
      </c>
      <c r="E793" s="35" t="s">
        <v>6982</v>
      </c>
    </row>
    <row r="794" spans="1:5" ht="14.25" hidden="1" customHeight="1">
      <c r="A794" s="155">
        <v>28053203</v>
      </c>
      <c r="B794" s="173" t="s">
        <v>327</v>
      </c>
      <c r="C794" s="173" t="s">
        <v>4495</v>
      </c>
      <c r="D794" s="173" t="s">
        <v>6981</v>
      </c>
      <c r="E794" s="203">
        <v>43777</v>
      </c>
    </row>
    <row r="795" spans="1:5" ht="14.25" hidden="1" customHeight="1">
      <c r="A795" s="16">
        <v>28151268</v>
      </c>
      <c r="B795" s="17" t="s">
        <v>1973</v>
      </c>
      <c r="C795" s="17" t="s">
        <v>3689</v>
      </c>
      <c r="D795" s="1" t="s">
        <v>6981</v>
      </c>
      <c r="E795" s="35" t="s">
        <v>6982</v>
      </c>
    </row>
    <row r="796" spans="1:5" ht="14.25" hidden="1" customHeight="1">
      <c r="A796" s="155">
        <v>28151268</v>
      </c>
      <c r="B796" s="173" t="s">
        <v>1973</v>
      </c>
      <c r="C796" s="173" t="s">
        <v>3689</v>
      </c>
      <c r="D796" s="173" t="s">
        <v>6981</v>
      </c>
      <c r="E796" s="203">
        <v>43777</v>
      </c>
    </row>
    <row r="797" spans="1:5" ht="14.25" hidden="1" customHeight="1">
      <c r="A797" s="16">
        <v>28290152</v>
      </c>
      <c r="B797" s="17" t="s">
        <v>1547</v>
      </c>
      <c r="C797" s="17" t="s">
        <v>5708</v>
      </c>
      <c r="D797" s="1" t="s">
        <v>6981</v>
      </c>
      <c r="E797" s="35" t="s">
        <v>6982</v>
      </c>
    </row>
    <row r="798" spans="1:5" ht="14.25" hidden="1" customHeight="1">
      <c r="A798" s="155">
        <v>28290152</v>
      </c>
      <c r="B798" s="173" t="s">
        <v>1547</v>
      </c>
      <c r="C798" s="173" t="s">
        <v>5708</v>
      </c>
      <c r="D798" s="173" t="s">
        <v>6981</v>
      </c>
      <c r="E798" s="203">
        <v>43777</v>
      </c>
    </row>
    <row r="799" spans="1:5" ht="14.25" hidden="1" customHeight="1">
      <c r="A799" s="16">
        <v>28680958</v>
      </c>
      <c r="B799" s="17" t="s">
        <v>794</v>
      </c>
      <c r="C799" s="17" t="s">
        <v>2146</v>
      </c>
      <c r="D799" s="1" t="s">
        <v>6981</v>
      </c>
      <c r="E799" s="35" t="s">
        <v>6982</v>
      </c>
    </row>
    <row r="800" spans="1:5" ht="14.25" hidden="1" customHeight="1">
      <c r="A800" s="155">
        <v>28680958</v>
      </c>
      <c r="B800" s="173" t="s">
        <v>794</v>
      </c>
      <c r="C800" s="173" t="s">
        <v>2146</v>
      </c>
      <c r="D800" s="173" t="s">
        <v>6981</v>
      </c>
      <c r="E800" s="203">
        <v>43777</v>
      </c>
    </row>
    <row r="801" spans="1:5" ht="14.25" hidden="1" customHeight="1">
      <c r="A801" s="16">
        <v>28884614</v>
      </c>
      <c r="B801" s="17" t="s">
        <v>3006</v>
      </c>
      <c r="C801" s="17" t="s">
        <v>3007</v>
      </c>
      <c r="D801" s="1" t="s">
        <v>6981</v>
      </c>
      <c r="E801" s="35" t="s">
        <v>6982</v>
      </c>
    </row>
    <row r="802" spans="1:5" ht="14.25" hidden="1" customHeight="1">
      <c r="A802" s="155">
        <v>28884614</v>
      </c>
      <c r="B802" s="173" t="s">
        <v>3006</v>
      </c>
      <c r="C802" s="173" t="s">
        <v>3007</v>
      </c>
      <c r="D802" s="173" t="s">
        <v>6981</v>
      </c>
      <c r="E802" s="203">
        <v>43777</v>
      </c>
    </row>
    <row r="803" spans="1:5" ht="14.25" hidden="1" customHeight="1">
      <c r="A803" s="16">
        <v>31030443</v>
      </c>
      <c r="B803" s="17" t="s">
        <v>497</v>
      </c>
      <c r="C803" s="17" t="s">
        <v>6487</v>
      </c>
      <c r="D803" s="1" t="s">
        <v>6981</v>
      </c>
      <c r="E803" s="35" t="s">
        <v>6982</v>
      </c>
    </row>
    <row r="804" spans="1:5" ht="14.25" hidden="1" customHeight="1">
      <c r="A804" s="155">
        <v>31030443</v>
      </c>
      <c r="B804" s="173" t="s">
        <v>497</v>
      </c>
      <c r="C804" s="173" t="s">
        <v>6487</v>
      </c>
      <c r="D804" s="173" t="s">
        <v>6981</v>
      </c>
      <c r="E804" s="203">
        <v>43777</v>
      </c>
    </row>
    <row r="805" spans="1:5" ht="14.25" hidden="1" customHeight="1">
      <c r="A805" s="16">
        <v>31589261</v>
      </c>
      <c r="B805" s="17" t="s">
        <v>3122</v>
      </c>
      <c r="C805" s="17" t="s">
        <v>3058</v>
      </c>
      <c r="D805" s="1" t="s">
        <v>6981</v>
      </c>
      <c r="E805" s="35" t="s">
        <v>6982</v>
      </c>
    </row>
    <row r="806" spans="1:5" ht="14.25" hidden="1" customHeight="1">
      <c r="A806" s="155">
        <v>31589261</v>
      </c>
      <c r="B806" s="173" t="s">
        <v>3122</v>
      </c>
      <c r="C806" s="173" t="s">
        <v>3058</v>
      </c>
      <c r="D806" s="173" t="s">
        <v>6981</v>
      </c>
      <c r="E806" s="203">
        <v>43777</v>
      </c>
    </row>
    <row r="807" spans="1:5" ht="14.25" hidden="1" customHeight="1">
      <c r="A807" s="16">
        <v>31842029</v>
      </c>
      <c r="B807" s="17" t="s">
        <v>5233</v>
      </c>
      <c r="C807" s="17" t="s">
        <v>5234</v>
      </c>
      <c r="D807" s="1" t="s">
        <v>6981</v>
      </c>
      <c r="E807" s="35" t="s">
        <v>6982</v>
      </c>
    </row>
    <row r="808" spans="1:5" ht="14.25" hidden="1" customHeight="1">
      <c r="A808" s="155">
        <v>31842029</v>
      </c>
      <c r="B808" s="173" t="s">
        <v>5233</v>
      </c>
      <c r="C808" s="173" t="s">
        <v>5234</v>
      </c>
      <c r="D808" s="173" t="s">
        <v>6981</v>
      </c>
      <c r="E808" s="203">
        <v>43777</v>
      </c>
    </row>
    <row r="809" spans="1:5" ht="14.25" hidden="1" customHeight="1">
      <c r="A809" s="16">
        <v>31857331</v>
      </c>
      <c r="B809" s="17" t="s">
        <v>4914</v>
      </c>
      <c r="C809" s="17" t="s">
        <v>2497</v>
      </c>
      <c r="D809" s="1" t="s">
        <v>6981</v>
      </c>
      <c r="E809" s="35" t="s">
        <v>6982</v>
      </c>
    </row>
    <row r="810" spans="1:5" ht="14.25" hidden="1" customHeight="1">
      <c r="A810" s="155">
        <v>31857331</v>
      </c>
      <c r="B810" s="173" t="s">
        <v>4914</v>
      </c>
      <c r="C810" s="173" t="s">
        <v>2497</v>
      </c>
      <c r="D810" s="173" t="s">
        <v>6981</v>
      </c>
      <c r="E810" s="203">
        <v>43777</v>
      </c>
    </row>
    <row r="811" spans="1:5" ht="14.25" hidden="1" customHeight="1">
      <c r="A811" s="16">
        <v>32460682</v>
      </c>
      <c r="B811" s="17" t="s">
        <v>1244</v>
      </c>
      <c r="C811" s="17" t="s">
        <v>351</v>
      </c>
      <c r="D811" s="1" t="s">
        <v>6981</v>
      </c>
      <c r="E811" s="35" t="s">
        <v>6982</v>
      </c>
    </row>
    <row r="812" spans="1:5" ht="14.25" hidden="1" customHeight="1">
      <c r="A812" s="155">
        <v>32460682</v>
      </c>
      <c r="B812" s="173" t="s">
        <v>1244</v>
      </c>
      <c r="C812" s="173" t="s">
        <v>351</v>
      </c>
      <c r="D812" s="173" t="s">
        <v>6981</v>
      </c>
      <c r="E812" s="203">
        <v>43777</v>
      </c>
    </row>
    <row r="813" spans="1:5" ht="14.25" hidden="1" customHeight="1">
      <c r="A813" s="16">
        <v>32493293</v>
      </c>
      <c r="B813" s="17" t="s">
        <v>73</v>
      </c>
      <c r="C813" s="17" t="s">
        <v>74</v>
      </c>
      <c r="D813" s="1" t="s">
        <v>6981</v>
      </c>
      <c r="E813" s="35" t="s">
        <v>6982</v>
      </c>
    </row>
    <row r="814" spans="1:5" ht="14.25" hidden="1" customHeight="1">
      <c r="A814" s="155">
        <v>32493293</v>
      </c>
      <c r="B814" s="173" t="s">
        <v>73</v>
      </c>
      <c r="C814" s="173" t="s">
        <v>74</v>
      </c>
      <c r="D814" s="173" t="s">
        <v>6981</v>
      </c>
      <c r="E814" s="203">
        <v>43777</v>
      </c>
    </row>
    <row r="815" spans="1:5" ht="14.25" hidden="1" customHeight="1">
      <c r="A815" s="16">
        <v>33050022</v>
      </c>
      <c r="B815" s="17" t="s">
        <v>3474</v>
      </c>
      <c r="C815" s="17" t="s">
        <v>3916</v>
      </c>
      <c r="D815" s="1" t="s">
        <v>6981</v>
      </c>
      <c r="E815" s="35" t="s">
        <v>6982</v>
      </c>
    </row>
    <row r="816" spans="1:5" ht="14.25" hidden="1" customHeight="1">
      <c r="A816" s="155">
        <v>33050022</v>
      </c>
      <c r="B816" s="173" t="s">
        <v>3474</v>
      </c>
      <c r="C816" s="173" t="s">
        <v>3916</v>
      </c>
      <c r="D816" s="173" t="s">
        <v>6981</v>
      </c>
      <c r="E816" s="203">
        <v>43777</v>
      </c>
    </row>
    <row r="817" spans="1:5" ht="14.25" hidden="1" customHeight="1">
      <c r="A817" s="16">
        <v>33374371</v>
      </c>
      <c r="B817" s="17" t="s">
        <v>1599</v>
      </c>
      <c r="C817" s="17" t="s">
        <v>223</v>
      </c>
      <c r="D817" s="1" t="s">
        <v>6981</v>
      </c>
      <c r="E817" s="35" t="s">
        <v>6982</v>
      </c>
    </row>
    <row r="818" spans="1:5" ht="14.25" hidden="1" customHeight="1">
      <c r="A818" s="155">
        <v>33374371</v>
      </c>
      <c r="B818" s="173" t="s">
        <v>1599</v>
      </c>
      <c r="C818" s="173" t="s">
        <v>223</v>
      </c>
      <c r="D818" s="173" t="s">
        <v>6981</v>
      </c>
      <c r="E818" s="203">
        <v>43777</v>
      </c>
    </row>
    <row r="819" spans="1:5" ht="14.25" hidden="1" customHeight="1">
      <c r="A819" s="16">
        <v>33541638</v>
      </c>
      <c r="B819" s="17" t="s">
        <v>2310</v>
      </c>
      <c r="C819" s="17" t="s">
        <v>30</v>
      </c>
      <c r="D819" s="1" t="s">
        <v>6981</v>
      </c>
      <c r="E819" s="35" t="s">
        <v>6982</v>
      </c>
    </row>
    <row r="820" spans="1:5" ht="14.25" hidden="1" customHeight="1">
      <c r="A820" s="155">
        <v>33541638</v>
      </c>
      <c r="B820" s="173" t="s">
        <v>2310</v>
      </c>
      <c r="C820" s="173" t="s">
        <v>30</v>
      </c>
      <c r="D820" s="173" t="s">
        <v>6981</v>
      </c>
      <c r="E820" s="203">
        <v>43777</v>
      </c>
    </row>
    <row r="821" spans="1:5" ht="14.25" hidden="1" customHeight="1">
      <c r="A821" s="16">
        <v>34185207</v>
      </c>
      <c r="B821" s="17" t="s">
        <v>1549</v>
      </c>
      <c r="C821" s="17" t="s">
        <v>3323</v>
      </c>
      <c r="D821" s="1" t="s">
        <v>6981</v>
      </c>
      <c r="E821" s="35" t="s">
        <v>6982</v>
      </c>
    </row>
    <row r="822" spans="1:5" ht="14.25" hidden="1" customHeight="1">
      <c r="A822" s="155">
        <v>34185207</v>
      </c>
      <c r="B822" s="173" t="s">
        <v>1549</v>
      </c>
      <c r="C822" s="173" t="s">
        <v>3323</v>
      </c>
      <c r="D822" s="173" t="s">
        <v>6981</v>
      </c>
      <c r="E822" s="203">
        <v>43777</v>
      </c>
    </row>
    <row r="823" spans="1:5" ht="14.25" hidden="1" customHeight="1">
      <c r="A823" s="16">
        <v>34356805</v>
      </c>
      <c r="B823" s="17" t="s">
        <v>650</v>
      </c>
      <c r="C823" s="17" t="s">
        <v>4021</v>
      </c>
      <c r="D823" s="1" t="s">
        <v>6981</v>
      </c>
      <c r="E823" s="35" t="s">
        <v>6982</v>
      </c>
    </row>
    <row r="824" spans="1:5" ht="14.25" hidden="1" customHeight="1">
      <c r="A824" s="155">
        <v>34356805</v>
      </c>
      <c r="B824" s="173" t="s">
        <v>650</v>
      </c>
      <c r="C824" s="173" t="s">
        <v>4021</v>
      </c>
      <c r="D824" s="173" t="s">
        <v>6981</v>
      </c>
      <c r="E824" s="203">
        <v>43777</v>
      </c>
    </row>
    <row r="825" spans="1:5" ht="14.25" hidden="1" customHeight="1">
      <c r="A825" s="16">
        <v>34442738</v>
      </c>
      <c r="B825" s="17" t="s">
        <v>1378</v>
      </c>
      <c r="C825" s="17" t="s">
        <v>1379</v>
      </c>
      <c r="D825" s="1" t="s">
        <v>6981</v>
      </c>
      <c r="E825" s="35" t="s">
        <v>6982</v>
      </c>
    </row>
    <row r="826" spans="1:5" ht="14.25" hidden="1" customHeight="1">
      <c r="A826" s="155">
        <v>34442738</v>
      </c>
      <c r="B826" s="173" t="s">
        <v>1378</v>
      </c>
      <c r="C826" s="173" t="s">
        <v>1379</v>
      </c>
      <c r="D826" s="173" t="s">
        <v>6981</v>
      </c>
      <c r="E826" s="203">
        <v>43777</v>
      </c>
    </row>
    <row r="827" spans="1:5" ht="14.25" hidden="1" customHeight="1">
      <c r="A827" s="16">
        <v>35485322</v>
      </c>
      <c r="B827" s="17" t="s">
        <v>4227</v>
      </c>
      <c r="C827" s="17" t="s">
        <v>906</v>
      </c>
      <c r="D827" s="1" t="s">
        <v>6981</v>
      </c>
      <c r="E827" s="35" t="s">
        <v>6982</v>
      </c>
    </row>
    <row r="828" spans="1:5" ht="14.25" hidden="1" customHeight="1">
      <c r="A828" s="155">
        <v>35485322</v>
      </c>
      <c r="B828" s="173" t="s">
        <v>4227</v>
      </c>
      <c r="C828" s="173" t="s">
        <v>906</v>
      </c>
      <c r="D828" s="173" t="s">
        <v>6981</v>
      </c>
      <c r="E828" s="203">
        <v>43777</v>
      </c>
    </row>
    <row r="829" spans="1:5" ht="14.25" hidden="1" customHeight="1">
      <c r="A829" s="16">
        <v>35548263</v>
      </c>
      <c r="B829" s="17" t="s">
        <v>415</v>
      </c>
      <c r="C829" s="17" t="s">
        <v>6983</v>
      </c>
      <c r="D829" s="1" t="s">
        <v>6981</v>
      </c>
      <c r="E829" s="35" t="s">
        <v>6982</v>
      </c>
    </row>
    <row r="830" spans="1:5" ht="14.25" hidden="1" customHeight="1">
      <c r="A830" s="155">
        <v>35548263</v>
      </c>
      <c r="B830" s="173" t="s">
        <v>415</v>
      </c>
      <c r="C830" s="173" t="s">
        <v>6983</v>
      </c>
      <c r="D830" s="173" t="s">
        <v>6981</v>
      </c>
      <c r="E830" s="203">
        <v>43777</v>
      </c>
    </row>
    <row r="831" spans="1:5" ht="14.25" hidden="1" customHeight="1">
      <c r="A831" s="16">
        <v>36420915</v>
      </c>
      <c r="B831" s="17" t="s">
        <v>4213</v>
      </c>
      <c r="C831" s="17" t="s">
        <v>2418</v>
      </c>
      <c r="D831" s="1" t="s">
        <v>6981</v>
      </c>
      <c r="E831" s="35" t="s">
        <v>6982</v>
      </c>
    </row>
    <row r="832" spans="1:5" ht="14.25" hidden="1" customHeight="1">
      <c r="A832" s="155">
        <v>36420915</v>
      </c>
      <c r="B832" s="173" t="s">
        <v>4213</v>
      </c>
      <c r="C832" s="173" t="s">
        <v>2418</v>
      </c>
      <c r="D832" s="173" t="s">
        <v>6981</v>
      </c>
      <c r="E832" s="203">
        <v>43777</v>
      </c>
    </row>
    <row r="833" spans="1:5" ht="14.25" hidden="1" customHeight="1">
      <c r="A833" s="16">
        <v>37457738</v>
      </c>
      <c r="B833" s="17" t="s">
        <v>1190</v>
      </c>
      <c r="C833" s="17" t="s">
        <v>2212</v>
      </c>
      <c r="D833" s="1" t="s">
        <v>6981</v>
      </c>
      <c r="E833" s="35" t="s">
        <v>6982</v>
      </c>
    </row>
    <row r="834" spans="1:5" ht="14.25" hidden="1" customHeight="1">
      <c r="A834" s="16">
        <v>37457738</v>
      </c>
      <c r="B834" s="17" t="s">
        <v>1190</v>
      </c>
      <c r="C834" s="17" t="s">
        <v>2212</v>
      </c>
      <c r="D834" s="1" t="s">
        <v>6981</v>
      </c>
      <c r="E834" s="35" t="s">
        <v>6982</v>
      </c>
    </row>
    <row r="835" spans="1:5" ht="14.25" hidden="1" customHeight="1">
      <c r="A835" s="155">
        <v>37457738</v>
      </c>
      <c r="B835" s="173" t="s">
        <v>1190</v>
      </c>
      <c r="C835" s="173" t="s">
        <v>2212</v>
      </c>
      <c r="D835" s="173" t="s">
        <v>6981</v>
      </c>
      <c r="E835" s="203">
        <v>43777</v>
      </c>
    </row>
    <row r="836" spans="1:5" ht="14.25" hidden="1" customHeight="1">
      <c r="A836" s="155">
        <v>37457738</v>
      </c>
      <c r="B836" s="173" t="s">
        <v>1190</v>
      </c>
      <c r="C836" s="173" t="s">
        <v>2212</v>
      </c>
      <c r="D836" s="173" t="s">
        <v>6981</v>
      </c>
      <c r="E836" s="203">
        <v>43777</v>
      </c>
    </row>
    <row r="837" spans="1:5" ht="14.25" hidden="1" customHeight="1">
      <c r="A837" s="16">
        <v>37499769</v>
      </c>
      <c r="B837" s="17" t="s">
        <v>797</v>
      </c>
      <c r="C837" s="17" t="s">
        <v>798</v>
      </c>
      <c r="D837" s="1" t="s">
        <v>6981</v>
      </c>
      <c r="E837" s="35" t="s">
        <v>6982</v>
      </c>
    </row>
    <row r="838" spans="1:5" ht="14.25" hidden="1" customHeight="1">
      <c r="A838" s="155">
        <v>37499769</v>
      </c>
      <c r="B838" s="173" t="s">
        <v>797</v>
      </c>
      <c r="C838" s="173" t="s">
        <v>798</v>
      </c>
      <c r="D838" s="173" t="s">
        <v>6981</v>
      </c>
      <c r="E838" s="203">
        <v>43777</v>
      </c>
    </row>
    <row r="839" spans="1:5" ht="14.25" hidden="1" customHeight="1">
      <c r="A839" s="16">
        <v>38423529</v>
      </c>
      <c r="B839" s="17" t="s">
        <v>467</v>
      </c>
      <c r="C839" s="17" t="s">
        <v>4241</v>
      </c>
      <c r="D839" s="1" t="s">
        <v>6981</v>
      </c>
      <c r="E839" s="35" t="s">
        <v>6982</v>
      </c>
    </row>
    <row r="840" spans="1:5" ht="14.25" hidden="1" customHeight="1">
      <c r="A840" s="155">
        <v>38423529</v>
      </c>
      <c r="B840" s="173" t="s">
        <v>467</v>
      </c>
      <c r="C840" s="173" t="s">
        <v>4241</v>
      </c>
      <c r="D840" s="173" t="s">
        <v>6981</v>
      </c>
      <c r="E840" s="203">
        <v>43777</v>
      </c>
    </row>
    <row r="841" spans="1:5" ht="14.25" hidden="1" customHeight="1">
      <c r="A841" s="16">
        <v>14410428</v>
      </c>
      <c r="B841" s="17" t="s">
        <v>2731</v>
      </c>
      <c r="C841" s="17" t="s">
        <v>1061</v>
      </c>
      <c r="D841" s="1" t="s">
        <v>6984</v>
      </c>
      <c r="E841" s="35" t="s">
        <v>6985</v>
      </c>
    </row>
    <row r="842" spans="1:5" ht="14.25" hidden="1" customHeight="1">
      <c r="A842" s="155">
        <v>14410428</v>
      </c>
      <c r="B842" s="173" t="s">
        <v>2731</v>
      </c>
      <c r="C842" s="173" t="s">
        <v>1061</v>
      </c>
      <c r="D842" s="173" t="s">
        <v>6984</v>
      </c>
      <c r="E842" s="203">
        <v>43746</v>
      </c>
    </row>
    <row r="843" spans="1:5" ht="14.25" hidden="1" customHeight="1">
      <c r="A843" s="16">
        <v>12318839</v>
      </c>
      <c r="B843" s="17" t="s">
        <v>218</v>
      </c>
      <c r="C843" s="17" t="s">
        <v>27</v>
      </c>
      <c r="D843" s="1" t="s">
        <v>6986</v>
      </c>
      <c r="E843" s="35" t="s">
        <v>6987</v>
      </c>
    </row>
    <row r="844" spans="1:5" ht="14.25" hidden="1" customHeight="1">
      <c r="A844" s="155">
        <v>12318839</v>
      </c>
      <c r="B844" s="173" t="s">
        <v>218</v>
      </c>
      <c r="C844" s="173" t="s">
        <v>27</v>
      </c>
      <c r="D844" s="173" t="s">
        <v>6986</v>
      </c>
      <c r="E844" s="203">
        <v>43740</v>
      </c>
    </row>
    <row r="845" spans="1:5" ht="14.25" hidden="1" customHeight="1">
      <c r="A845" s="16">
        <v>12869224</v>
      </c>
      <c r="B845" s="17" t="s">
        <v>5819</v>
      </c>
      <c r="C845" s="17" t="s">
        <v>5820</v>
      </c>
      <c r="D845" s="1" t="s">
        <v>6986</v>
      </c>
      <c r="E845" s="35" t="s">
        <v>6987</v>
      </c>
    </row>
    <row r="846" spans="1:5" ht="14.25" hidden="1" customHeight="1">
      <c r="A846" s="155">
        <v>12869224</v>
      </c>
      <c r="B846" s="173" t="s">
        <v>5819</v>
      </c>
      <c r="C846" s="173" t="s">
        <v>5820</v>
      </c>
      <c r="D846" s="173" t="s">
        <v>6986</v>
      </c>
      <c r="E846" s="203">
        <v>43740</v>
      </c>
    </row>
    <row r="847" spans="1:5" ht="14.25" hidden="1" customHeight="1">
      <c r="A847" s="16">
        <v>14286859</v>
      </c>
      <c r="B847" s="17" t="s">
        <v>961</v>
      </c>
      <c r="C847" s="17" t="s">
        <v>5755</v>
      </c>
      <c r="D847" s="1" t="s">
        <v>6986</v>
      </c>
      <c r="E847" s="35" t="s">
        <v>6987</v>
      </c>
    </row>
    <row r="848" spans="1:5" ht="14.25" hidden="1" customHeight="1">
      <c r="A848" s="155">
        <v>14286859</v>
      </c>
      <c r="B848" s="173" t="s">
        <v>961</v>
      </c>
      <c r="C848" s="173" t="s">
        <v>5755</v>
      </c>
      <c r="D848" s="173" t="s">
        <v>6986</v>
      </c>
      <c r="E848" s="203">
        <v>43740</v>
      </c>
    </row>
    <row r="849" spans="1:5" ht="14.25" hidden="1" customHeight="1">
      <c r="A849" s="16">
        <v>14984183</v>
      </c>
      <c r="B849" s="17" t="s">
        <v>5811</v>
      </c>
      <c r="C849" s="17" t="s">
        <v>876</v>
      </c>
      <c r="D849" s="1" t="s">
        <v>6986</v>
      </c>
      <c r="E849" s="35" t="s">
        <v>6987</v>
      </c>
    </row>
    <row r="850" spans="1:5" ht="14.25" hidden="1" customHeight="1">
      <c r="A850" s="155">
        <v>14984183</v>
      </c>
      <c r="B850" s="173" t="s">
        <v>5811</v>
      </c>
      <c r="C850" s="173" t="s">
        <v>876</v>
      </c>
      <c r="D850" s="173" t="s">
        <v>6986</v>
      </c>
      <c r="E850" s="203">
        <v>43740</v>
      </c>
    </row>
    <row r="851" spans="1:5" ht="14.25" hidden="1" customHeight="1">
      <c r="A851" s="16">
        <v>16617295</v>
      </c>
      <c r="B851" s="17" t="s">
        <v>574</v>
      </c>
      <c r="C851" s="17" t="s">
        <v>455</v>
      </c>
      <c r="D851" s="1" t="s">
        <v>6986</v>
      </c>
      <c r="E851" s="35" t="s">
        <v>6987</v>
      </c>
    </row>
    <row r="852" spans="1:5" ht="14.25" hidden="1" customHeight="1">
      <c r="A852" s="155">
        <v>16617295</v>
      </c>
      <c r="B852" s="173" t="s">
        <v>574</v>
      </c>
      <c r="C852" s="173" t="s">
        <v>455</v>
      </c>
      <c r="D852" s="173" t="s">
        <v>6986</v>
      </c>
      <c r="E852" s="203">
        <v>43740</v>
      </c>
    </row>
    <row r="853" spans="1:5" ht="14.25" hidden="1" customHeight="1">
      <c r="A853" s="16">
        <v>17270247</v>
      </c>
      <c r="B853" s="17" t="s">
        <v>5098</v>
      </c>
      <c r="C853" s="17" t="s">
        <v>1061</v>
      </c>
      <c r="D853" s="1" t="s">
        <v>6986</v>
      </c>
      <c r="E853" s="35" t="s">
        <v>6987</v>
      </c>
    </row>
    <row r="854" spans="1:5" ht="14.25" hidden="1" customHeight="1">
      <c r="A854" s="155">
        <v>17270247</v>
      </c>
      <c r="B854" s="173" t="s">
        <v>5098</v>
      </c>
      <c r="C854" s="173" t="s">
        <v>1061</v>
      </c>
      <c r="D854" s="173" t="s">
        <v>6986</v>
      </c>
      <c r="E854" s="203">
        <v>43740</v>
      </c>
    </row>
    <row r="855" spans="1:5" ht="14.25" hidden="1" customHeight="1">
      <c r="A855" s="16">
        <v>17614936</v>
      </c>
      <c r="B855" s="17" t="s">
        <v>5596</v>
      </c>
      <c r="C855" s="17" t="s">
        <v>215</v>
      </c>
      <c r="D855" s="1" t="s">
        <v>6986</v>
      </c>
      <c r="E855" s="35" t="s">
        <v>6987</v>
      </c>
    </row>
    <row r="856" spans="1:5" ht="14.25" hidden="1" customHeight="1">
      <c r="A856" s="155">
        <v>17614936</v>
      </c>
      <c r="B856" s="173" t="s">
        <v>5596</v>
      </c>
      <c r="C856" s="173" t="s">
        <v>215</v>
      </c>
      <c r="D856" s="173" t="s">
        <v>6986</v>
      </c>
      <c r="E856" s="203">
        <v>43740</v>
      </c>
    </row>
    <row r="857" spans="1:5" ht="14.25" hidden="1" customHeight="1">
      <c r="A857" s="16">
        <v>18185663</v>
      </c>
      <c r="B857" s="17" t="s">
        <v>26</v>
      </c>
      <c r="C857" s="17" t="s">
        <v>5759</v>
      </c>
      <c r="D857" s="1" t="s">
        <v>6986</v>
      </c>
      <c r="E857" s="35" t="s">
        <v>6987</v>
      </c>
    </row>
    <row r="858" spans="1:5" ht="14.25" hidden="1" customHeight="1">
      <c r="A858" s="155">
        <v>18185663</v>
      </c>
      <c r="B858" s="173" t="s">
        <v>26</v>
      </c>
      <c r="C858" s="173" t="s">
        <v>5759</v>
      </c>
      <c r="D858" s="173" t="s">
        <v>6986</v>
      </c>
      <c r="E858" s="203">
        <v>43740</v>
      </c>
    </row>
    <row r="859" spans="1:5" ht="14.25" hidden="1" customHeight="1">
      <c r="A859" s="16">
        <v>18756576</v>
      </c>
      <c r="B859" s="17" t="s">
        <v>5268</v>
      </c>
      <c r="C859" s="17" t="s">
        <v>1769</v>
      </c>
      <c r="D859" s="1" t="s">
        <v>6986</v>
      </c>
      <c r="E859" s="35" t="s">
        <v>6987</v>
      </c>
    </row>
    <row r="860" spans="1:5" ht="14.25" hidden="1" customHeight="1">
      <c r="A860" s="155">
        <v>18756576</v>
      </c>
      <c r="B860" s="173" t="s">
        <v>5268</v>
      </c>
      <c r="C860" s="173" t="s">
        <v>1769</v>
      </c>
      <c r="D860" s="173" t="s">
        <v>6986</v>
      </c>
      <c r="E860" s="203">
        <v>43740</v>
      </c>
    </row>
    <row r="861" spans="1:5" ht="14.25" hidden="1" customHeight="1">
      <c r="A861" s="16">
        <v>20171458</v>
      </c>
      <c r="B861" s="17" t="s">
        <v>2813</v>
      </c>
      <c r="C861" s="17" t="s">
        <v>5808</v>
      </c>
      <c r="D861" s="1" t="s">
        <v>6986</v>
      </c>
      <c r="E861" s="35" t="s">
        <v>6987</v>
      </c>
    </row>
    <row r="862" spans="1:5" ht="14.25" hidden="1" customHeight="1">
      <c r="A862" s="155">
        <v>20171458</v>
      </c>
      <c r="B862" s="173" t="s">
        <v>2813</v>
      </c>
      <c r="C862" s="173" t="s">
        <v>5808</v>
      </c>
      <c r="D862" s="173" t="s">
        <v>6986</v>
      </c>
      <c r="E862" s="203">
        <v>43740</v>
      </c>
    </row>
    <row r="863" spans="1:5" ht="14.25" hidden="1" customHeight="1">
      <c r="A863" s="16">
        <v>20178158</v>
      </c>
      <c r="B863" s="17" t="s">
        <v>5002</v>
      </c>
      <c r="C863" s="17" t="s">
        <v>5003</v>
      </c>
      <c r="D863" s="1" t="s">
        <v>6986</v>
      </c>
      <c r="E863" s="35" t="s">
        <v>6987</v>
      </c>
    </row>
    <row r="864" spans="1:5" ht="14.25" hidden="1" customHeight="1">
      <c r="A864" s="155">
        <v>20178158</v>
      </c>
      <c r="B864" s="173" t="s">
        <v>5002</v>
      </c>
      <c r="C864" s="173" t="s">
        <v>5003</v>
      </c>
      <c r="D864" s="173" t="s">
        <v>6986</v>
      </c>
      <c r="E864" s="203">
        <v>43740</v>
      </c>
    </row>
    <row r="865" spans="1:5" ht="14.25" hidden="1" customHeight="1">
      <c r="A865" s="16">
        <v>20178922</v>
      </c>
      <c r="B865" s="17" t="s">
        <v>5788</v>
      </c>
      <c r="C865" s="17" t="s">
        <v>5789</v>
      </c>
      <c r="D865" s="1" t="s">
        <v>6986</v>
      </c>
      <c r="E865" s="35" t="s">
        <v>6987</v>
      </c>
    </row>
    <row r="866" spans="1:5" ht="14.25" hidden="1" customHeight="1">
      <c r="A866" s="155">
        <v>20178922</v>
      </c>
      <c r="B866" s="173" t="s">
        <v>5788</v>
      </c>
      <c r="C866" s="173" t="s">
        <v>5789</v>
      </c>
      <c r="D866" s="173" t="s">
        <v>6986</v>
      </c>
      <c r="E866" s="203">
        <v>43740</v>
      </c>
    </row>
    <row r="867" spans="1:5" ht="14.25" hidden="1" customHeight="1">
      <c r="A867" s="16">
        <v>20301219</v>
      </c>
      <c r="B867" s="17" t="s">
        <v>5140</v>
      </c>
      <c r="C867" s="17" t="s">
        <v>5141</v>
      </c>
      <c r="D867" s="1" t="s">
        <v>6986</v>
      </c>
      <c r="E867" s="35" t="s">
        <v>6987</v>
      </c>
    </row>
    <row r="868" spans="1:5" ht="14.25" hidden="1" customHeight="1">
      <c r="A868" s="155">
        <v>20301219</v>
      </c>
      <c r="B868" s="173" t="s">
        <v>5140</v>
      </c>
      <c r="C868" s="173" t="s">
        <v>5141</v>
      </c>
      <c r="D868" s="173" t="s">
        <v>6986</v>
      </c>
      <c r="E868" s="203">
        <v>43740</v>
      </c>
    </row>
    <row r="869" spans="1:5" ht="14.25" hidden="1" customHeight="1">
      <c r="A869" s="34">
        <v>21026672</v>
      </c>
      <c r="B869" s="33" t="s">
        <v>6485</v>
      </c>
      <c r="C869" s="33" t="s">
        <v>571</v>
      </c>
      <c r="D869" s="10" t="s">
        <v>6986</v>
      </c>
      <c r="E869" s="36" t="s">
        <v>6987</v>
      </c>
    </row>
    <row r="870" spans="1:5" ht="14.25" hidden="1" customHeight="1">
      <c r="A870" s="155">
        <v>21026672</v>
      </c>
      <c r="B870" s="173" t="s">
        <v>6485</v>
      </c>
      <c r="C870" s="173" t="s">
        <v>571</v>
      </c>
      <c r="D870" s="173" t="s">
        <v>6986</v>
      </c>
      <c r="E870" s="203">
        <v>43740</v>
      </c>
    </row>
    <row r="871" spans="1:5" ht="14.25" hidden="1" customHeight="1">
      <c r="A871" s="34">
        <v>22451756</v>
      </c>
      <c r="B871" s="33" t="s">
        <v>983</v>
      </c>
      <c r="C871" s="33" t="s">
        <v>2669</v>
      </c>
      <c r="D871" s="10" t="s">
        <v>6986</v>
      </c>
      <c r="E871" s="36" t="s">
        <v>6987</v>
      </c>
    </row>
    <row r="872" spans="1:5" ht="14.25" hidden="1" customHeight="1">
      <c r="A872" s="155">
        <v>22451756</v>
      </c>
      <c r="B872" s="173" t="s">
        <v>983</v>
      </c>
      <c r="C872" s="173" t="s">
        <v>2669</v>
      </c>
      <c r="D872" s="173" t="s">
        <v>6986</v>
      </c>
      <c r="E872" s="203">
        <v>43740</v>
      </c>
    </row>
    <row r="873" spans="1:5" ht="14.25" hidden="1" customHeight="1">
      <c r="A873" s="16">
        <v>24453782</v>
      </c>
      <c r="B873" s="17" t="s">
        <v>5158</v>
      </c>
      <c r="C873" s="17" t="s">
        <v>5159</v>
      </c>
      <c r="D873" s="1" t="s">
        <v>6986</v>
      </c>
      <c r="E873" s="35" t="s">
        <v>6987</v>
      </c>
    </row>
    <row r="874" spans="1:5" ht="14.25" hidden="1" customHeight="1">
      <c r="A874" s="155">
        <v>24453782</v>
      </c>
      <c r="B874" s="173" t="s">
        <v>5158</v>
      </c>
      <c r="C874" s="173" t="s">
        <v>5159</v>
      </c>
      <c r="D874" s="173" t="s">
        <v>6986</v>
      </c>
      <c r="E874" s="203">
        <v>43740</v>
      </c>
    </row>
    <row r="875" spans="1:5" ht="14.25" hidden="1" customHeight="1">
      <c r="A875" s="16">
        <v>25444256</v>
      </c>
      <c r="B875" s="17" t="s">
        <v>5764</v>
      </c>
      <c r="C875" s="17" t="s">
        <v>5765</v>
      </c>
      <c r="D875" s="1" t="s">
        <v>6986</v>
      </c>
      <c r="E875" s="35" t="s">
        <v>6987</v>
      </c>
    </row>
    <row r="876" spans="1:5" ht="14.25" hidden="1" customHeight="1">
      <c r="A876" s="155">
        <v>25444256</v>
      </c>
      <c r="B876" s="173" t="s">
        <v>5764</v>
      </c>
      <c r="C876" s="173" t="s">
        <v>5765</v>
      </c>
      <c r="D876" s="173" t="s">
        <v>6986</v>
      </c>
      <c r="E876" s="203">
        <v>43740</v>
      </c>
    </row>
    <row r="877" spans="1:5" ht="14.25" hidden="1" customHeight="1">
      <c r="A877" s="16">
        <v>25884788</v>
      </c>
      <c r="B877" s="17" t="s">
        <v>5166</v>
      </c>
      <c r="C877" s="17" t="s">
        <v>5167</v>
      </c>
      <c r="D877" s="1" t="s">
        <v>6986</v>
      </c>
      <c r="E877" s="35" t="s">
        <v>6987</v>
      </c>
    </row>
    <row r="878" spans="1:5" ht="14.25" hidden="1" customHeight="1">
      <c r="A878" s="155">
        <v>25884788</v>
      </c>
      <c r="B878" s="173" t="s">
        <v>5166</v>
      </c>
      <c r="C878" s="173" t="s">
        <v>5167</v>
      </c>
      <c r="D878" s="173" t="s">
        <v>6986</v>
      </c>
      <c r="E878" s="203">
        <v>43740</v>
      </c>
    </row>
    <row r="879" spans="1:5" ht="14.25" hidden="1" customHeight="1">
      <c r="A879" s="16">
        <v>26176914</v>
      </c>
      <c r="B879" s="17" t="s">
        <v>1216</v>
      </c>
      <c r="C879" s="17" t="s">
        <v>5122</v>
      </c>
      <c r="D879" s="1" t="s">
        <v>6986</v>
      </c>
      <c r="E879" s="35" t="s">
        <v>6987</v>
      </c>
    </row>
    <row r="880" spans="1:5" ht="14.25" hidden="1" customHeight="1">
      <c r="A880" s="155">
        <v>26176914</v>
      </c>
      <c r="B880" s="173" t="s">
        <v>1216</v>
      </c>
      <c r="C880" s="173" t="s">
        <v>5122</v>
      </c>
      <c r="D880" s="173" t="s">
        <v>6986</v>
      </c>
      <c r="E880" s="203">
        <v>43740</v>
      </c>
    </row>
    <row r="881" spans="1:5" ht="14.25" hidden="1" customHeight="1">
      <c r="A881" s="16">
        <v>28476977</v>
      </c>
      <c r="B881" s="17" t="s">
        <v>5296</v>
      </c>
      <c r="C881" s="17" t="s">
        <v>843</v>
      </c>
      <c r="D881" s="1" t="s">
        <v>6986</v>
      </c>
      <c r="E881" s="35" t="s">
        <v>6987</v>
      </c>
    </row>
    <row r="882" spans="1:5" ht="14.25" hidden="1" customHeight="1">
      <c r="A882" s="155">
        <v>28476977</v>
      </c>
      <c r="B882" s="173" t="s">
        <v>5296</v>
      </c>
      <c r="C882" s="173" t="s">
        <v>843</v>
      </c>
      <c r="D882" s="173" t="s">
        <v>6986</v>
      </c>
      <c r="E882" s="203">
        <v>43740</v>
      </c>
    </row>
    <row r="883" spans="1:5" ht="14.25" hidden="1" customHeight="1">
      <c r="A883" s="16">
        <v>29060073</v>
      </c>
      <c r="B883" s="17" t="s">
        <v>4836</v>
      </c>
      <c r="C883" s="17" t="s">
        <v>1061</v>
      </c>
      <c r="D883" s="1" t="s">
        <v>6986</v>
      </c>
      <c r="E883" s="35" t="s">
        <v>6987</v>
      </c>
    </row>
    <row r="884" spans="1:5" ht="14.25" hidden="1" customHeight="1">
      <c r="A884" s="155">
        <v>29060073</v>
      </c>
      <c r="B884" s="173" t="s">
        <v>4836</v>
      </c>
      <c r="C884" s="173" t="s">
        <v>1061</v>
      </c>
      <c r="D884" s="173" t="s">
        <v>6986</v>
      </c>
      <c r="E884" s="203">
        <v>43740</v>
      </c>
    </row>
    <row r="885" spans="1:5" ht="14.25" hidden="1" customHeight="1">
      <c r="A885" s="16">
        <v>30408472</v>
      </c>
      <c r="B885" s="17" t="s">
        <v>5204</v>
      </c>
      <c r="C885" s="17" t="s">
        <v>5205</v>
      </c>
      <c r="D885" s="1" t="s">
        <v>6986</v>
      </c>
      <c r="E885" s="35" t="s">
        <v>6987</v>
      </c>
    </row>
    <row r="886" spans="1:5" ht="14.25" hidden="1" customHeight="1">
      <c r="A886" s="155">
        <v>30408472</v>
      </c>
      <c r="B886" s="173" t="s">
        <v>5204</v>
      </c>
      <c r="C886" s="173" t="s">
        <v>5205</v>
      </c>
      <c r="D886" s="173" t="s">
        <v>6986</v>
      </c>
      <c r="E886" s="203">
        <v>43740</v>
      </c>
    </row>
    <row r="887" spans="1:5" ht="14.25" hidden="1" customHeight="1">
      <c r="A887" s="16">
        <v>31588554</v>
      </c>
      <c r="B887" s="17" t="s">
        <v>5163</v>
      </c>
      <c r="C887" s="17" t="s">
        <v>2678</v>
      </c>
      <c r="D887" s="1" t="s">
        <v>6986</v>
      </c>
      <c r="E887" s="35" t="s">
        <v>6987</v>
      </c>
    </row>
    <row r="888" spans="1:5" ht="14.25" hidden="1" customHeight="1">
      <c r="A888" s="155">
        <v>31588554</v>
      </c>
      <c r="B888" s="173" t="s">
        <v>5163</v>
      </c>
      <c r="C888" s="173" t="s">
        <v>2678</v>
      </c>
      <c r="D888" s="173" t="s">
        <v>6986</v>
      </c>
      <c r="E888" s="203">
        <v>43740</v>
      </c>
    </row>
    <row r="889" spans="1:5" ht="14.25" hidden="1" customHeight="1">
      <c r="A889" s="16">
        <v>33540639</v>
      </c>
      <c r="B889" s="17" t="s">
        <v>2121</v>
      </c>
      <c r="C889" s="17" t="s">
        <v>5070</v>
      </c>
      <c r="D889" s="1" t="s">
        <v>6986</v>
      </c>
      <c r="E889" s="35" t="s">
        <v>6987</v>
      </c>
    </row>
    <row r="890" spans="1:5" ht="14.25" hidden="1" customHeight="1">
      <c r="A890" s="155">
        <v>33540639</v>
      </c>
      <c r="B890" s="173" t="s">
        <v>2121</v>
      </c>
      <c r="C890" s="173" t="s">
        <v>5070</v>
      </c>
      <c r="D890" s="173" t="s">
        <v>6986</v>
      </c>
      <c r="E890" s="203">
        <v>43740</v>
      </c>
    </row>
    <row r="891" spans="1:5" ht="14.25" hidden="1" customHeight="1">
      <c r="A891" s="16">
        <v>34067633</v>
      </c>
      <c r="B891" s="17" t="s">
        <v>5098</v>
      </c>
      <c r="C891" s="17" t="s">
        <v>5170</v>
      </c>
      <c r="D891" s="1" t="s">
        <v>6986</v>
      </c>
      <c r="E891" s="35" t="s">
        <v>6987</v>
      </c>
    </row>
    <row r="892" spans="1:5" ht="14.25" hidden="1" customHeight="1">
      <c r="A892" s="155">
        <v>34067633</v>
      </c>
      <c r="B892" s="173" t="s">
        <v>5098</v>
      </c>
      <c r="C892" s="173" t="s">
        <v>5170</v>
      </c>
      <c r="D892" s="173" t="s">
        <v>6986</v>
      </c>
      <c r="E892" s="203">
        <v>43740</v>
      </c>
    </row>
    <row r="893" spans="1:5" ht="14.25" hidden="1" customHeight="1">
      <c r="A893" s="16">
        <v>34133332</v>
      </c>
      <c r="B893" s="17" t="s">
        <v>5480</v>
      </c>
      <c r="C893" s="17" t="s">
        <v>1572</v>
      </c>
      <c r="D893" s="1" t="s">
        <v>6986</v>
      </c>
      <c r="E893" s="35" t="s">
        <v>6987</v>
      </c>
    </row>
    <row r="894" spans="1:5" ht="14.25" hidden="1" customHeight="1">
      <c r="A894" s="155">
        <v>34133332</v>
      </c>
      <c r="B894" s="173" t="s">
        <v>5480</v>
      </c>
      <c r="C894" s="173" t="s">
        <v>1572</v>
      </c>
      <c r="D894" s="173" t="s">
        <v>6986</v>
      </c>
      <c r="E894" s="203">
        <v>43740</v>
      </c>
    </row>
    <row r="895" spans="1:5" ht="14.25" hidden="1" customHeight="1">
      <c r="A895" s="16">
        <v>12387324</v>
      </c>
      <c r="B895" s="17" t="s">
        <v>2059</v>
      </c>
      <c r="C895" s="17" t="s">
        <v>4859</v>
      </c>
      <c r="D895" s="1" t="s">
        <v>6988</v>
      </c>
      <c r="E895" s="35" t="s">
        <v>6989</v>
      </c>
    </row>
    <row r="896" spans="1:5" ht="14.25" hidden="1" customHeight="1">
      <c r="A896" s="155">
        <v>12387324</v>
      </c>
      <c r="B896" s="173" t="s">
        <v>2059</v>
      </c>
      <c r="C896" s="173" t="s">
        <v>4859</v>
      </c>
      <c r="D896" s="173" t="s">
        <v>6988</v>
      </c>
      <c r="E896" s="203">
        <v>43739</v>
      </c>
    </row>
    <row r="897" spans="1:5" ht="14.25" hidden="1" customHeight="1">
      <c r="A897" s="34">
        <v>14353240</v>
      </c>
      <c r="B897" s="33" t="s">
        <v>3749</v>
      </c>
      <c r="C897" s="33" t="s">
        <v>414</v>
      </c>
      <c r="D897" s="10" t="s">
        <v>6988</v>
      </c>
      <c r="E897" s="36" t="s">
        <v>6989</v>
      </c>
    </row>
    <row r="898" spans="1:5" ht="14.25" hidden="1" customHeight="1">
      <c r="A898" s="155">
        <v>14353240</v>
      </c>
      <c r="B898" s="173" t="s">
        <v>3749</v>
      </c>
      <c r="C898" s="173" t="s">
        <v>414</v>
      </c>
      <c r="D898" s="173" t="s">
        <v>6988</v>
      </c>
      <c r="E898" s="203">
        <v>43739</v>
      </c>
    </row>
    <row r="899" spans="1:5" ht="14.25" hidden="1" customHeight="1">
      <c r="A899" s="16">
        <v>17270247</v>
      </c>
      <c r="B899" s="17" t="s">
        <v>5098</v>
      </c>
      <c r="C899" s="17" t="s">
        <v>1061</v>
      </c>
      <c r="D899" s="1" t="s">
        <v>6988</v>
      </c>
      <c r="E899" s="35" t="s">
        <v>6989</v>
      </c>
    </row>
    <row r="900" spans="1:5" ht="14.25" hidden="1" customHeight="1">
      <c r="A900" s="155">
        <v>17270247</v>
      </c>
      <c r="B900" s="173" t="s">
        <v>5098</v>
      </c>
      <c r="C900" s="173" t="s">
        <v>1061</v>
      </c>
      <c r="D900" s="173" t="s">
        <v>6988</v>
      </c>
      <c r="E900" s="203">
        <v>43739</v>
      </c>
    </row>
    <row r="901" spans="1:5" ht="14.25" hidden="1" customHeight="1">
      <c r="A901" s="16">
        <v>17354788</v>
      </c>
      <c r="B901" s="17" t="s">
        <v>5956</v>
      </c>
      <c r="C901" s="17" t="s">
        <v>1146</v>
      </c>
      <c r="D901" s="1" t="s">
        <v>6988</v>
      </c>
      <c r="E901" s="35" t="s">
        <v>6989</v>
      </c>
    </row>
    <row r="902" spans="1:5" ht="14.25" hidden="1" customHeight="1">
      <c r="A902" s="155">
        <v>17354788</v>
      </c>
      <c r="B902" s="173" t="s">
        <v>5956</v>
      </c>
      <c r="C902" s="173" t="s">
        <v>1146</v>
      </c>
      <c r="D902" s="173" t="s">
        <v>6988</v>
      </c>
      <c r="E902" s="203">
        <v>43739</v>
      </c>
    </row>
    <row r="903" spans="1:5" ht="14.25" hidden="1" customHeight="1">
      <c r="A903" s="34">
        <v>17613465</v>
      </c>
      <c r="B903" s="33" t="s">
        <v>2840</v>
      </c>
      <c r="C903" s="33" t="s">
        <v>687</v>
      </c>
      <c r="D903" s="10" t="s">
        <v>6988</v>
      </c>
      <c r="E903" s="36" t="s">
        <v>6989</v>
      </c>
    </row>
    <row r="904" spans="1:5" ht="14.25" hidden="1" customHeight="1">
      <c r="A904" s="155">
        <v>17613465</v>
      </c>
      <c r="B904" s="173" t="s">
        <v>2840</v>
      </c>
      <c r="C904" s="173" t="s">
        <v>687</v>
      </c>
      <c r="D904" s="173" t="s">
        <v>6988</v>
      </c>
      <c r="E904" s="203">
        <v>43739</v>
      </c>
    </row>
    <row r="905" spans="1:5" ht="14.25" hidden="1" customHeight="1">
      <c r="A905" s="34">
        <v>17615047</v>
      </c>
      <c r="B905" s="33" t="s">
        <v>2966</v>
      </c>
      <c r="C905" s="33" t="s">
        <v>6143</v>
      </c>
      <c r="D905" s="10" t="s">
        <v>6988</v>
      </c>
      <c r="E905" s="36" t="s">
        <v>6989</v>
      </c>
    </row>
    <row r="906" spans="1:5" ht="14.25" hidden="1" customHeight="1">
      <c r="A906" s="155">
        <v>17615047</v>
      </c>
      <c r="B906" s="173" t="s">
        <v>2966</v>
      </c>
      <c r="C906" s="173" t="s">
        <v>6143</v>
      </c>
      <c r="D906" s="173" t="s">
        <v>6988</v>
      </c>
      <c r="E906" s="203">
        <v>43739</v>
      </c>
    </row>
    <row r="907" spans="1:5" ht="14.25" hidden="1" customHeight="1">
      <c r="A907" s="34">
        <v>18461335</v>
      </c>
      <c r="B907" s="33" t="s">
        <v>2919</v>
      </c>
      <c r="C907" s="33" t="s">
        <v>1003</v>
      </c>
      <c r="D907" s="10" t="s">
        <v>6988</v>
      </c>
      <c r="E907" s="36" t="s">
        <v>6989</v>
      </c>
    </row>
    <row r="908" spans="1:5" ht="14.25" hidden="1" customHeight="1">
      <c r="A908" s="155">
        <v>18461335</v>
      </c>
      <c r="B908" s="173" t="s">
        <v>2919</v>
      </c>
      <c r="C908" s="173" t="s">
        <v>1003</v>
      </c>
      <c r="D908" s="173" t="s">
        <v>6988</v>
      </c>
      <c r="E908" s="203">
        <v>43739</v>
      </c>
    </row>
    <row r="909" spans="1:5" ht="14.25" hidden="1" customHeight="1">
      <c r="A909" s="16">
        <v>20285634</v>
      </c>
      <c r="B909" s="17" t="s">
        <v>1793</v>
      </c>
      <c r="C909" s="17" t="s">
        <v>5490</v>
      </c>
      <c r="D909" s="1" t="s">
        <v>6988</v>
      </c>
      <c r="E909" s="35" t="s">
        <v>6989</v>
      </c>
    </row>
    <row r="910" spans="1:5" ht="14.25" hidden="1" customHeight="1">
      <c r="A910" s="155">
        <v>20285634</v>
      </c>
      <c r="B910" s="173" t="s">
        <v>1793</v>
      </c>
      <c r="C910" s="173" t="s">
        <v>5490</v>
      </c>
      <c r="D910" s="173" t="s">
        <v>6988</v>
      </c>
      <c r="E910" s="203">
        <v>43739</v>
      </c>
    </row>
    <row r="911" spans="1:5" ht="14.25" hidden="1" customHeight="1">
      <c r="A911" s="16">
        <v>22428522</v>
      </c>
      <c r="B911" s="17" t="s">
        <v>4879</v>
      </c>
      <c r="C911" s="17" t="s">
        <v>4880</v>
      </c>
      <c r="D911" s="1" t="s">
        <v>6988</v>
      </c>
      <c r="E911" s="35" t="s">
        <v>6989</v>
      </c>
    </row>
    <row r="912" spans="1:5" ht="14.25" hidden="1" customHeight="1">
      <c r="A912" s="155">
        <v>22428522</v>
      </c>
      <c r="B912" s="173" t="s">
        <v>4879</v>
      </c>
      <c r="C912" s="173" t="s">
        <v>4880</v>
      </c>
      <c r="D912" s="173" t="s">
        <v>6988</v>
      </c>
      <c r="E912" s="203">
        <v>43739</v>
      </c>
    </row>
    <row r="913" spans="1:5" ht="14.25" hidden="1" customHeight="1">
      <c r="A913" s="16">
        <v>22799483</v>
      </c>
      <c r="B913" s="17" t="s">
        <v>5902</v>
      </c>
      <c r="C913" s="17" t="s">
        <v>5903</v>
      </c>
      <c r="D913" s="1" t="s">
        <v>6988</v>
      </c>
      <c r="E913" s="35" t="s">
        <v>6989</v>
      </c>
    </row>
    <row r="914" spans="1:5" ht="14.25" hidden="1" customHeight="1">
      <c r="A914" s="155">
        <v>22799483</v>
      </c>
      <c r="B914" s="173" t="s">
        <v>5902</v>
      </c>
      <c r="C914" s="173" t="s">
        <v>5903</v>
      </c>
      <c r="D914" s="173" t="s">
        <v>6988</v>
      </c>
      <c r="E914" s="203">
        <v>43739</v>
      </c>
    </row>
    <row r="915" spans="1:5" ht="14.25" hidden="1" customHeight="1">
      <c r="A915" s="16">
        <v>24098848</v>
      </c>
      <c r="B915" s="17" t="s">
        <v>4830</v>
      </c>
      <c r="C915" s="17" t="s">
        <v>4831</v>
      </c>
      <c r="D915" s="1" t="s">
        <v>6988</v>
      </c>
      <c r="E915" s="35" t="s">
        <v>6989</v>
      </c>
    </row>
    <row r="916" spans="1:5" ht="14.25" hidden="1" customHeight="1">
      <c r="A916" s="155">
        <v>24098848</v>
      </c>
      <c r="B916" s="173" t="s">
        <v>4830</v>
      </c>
      <c r="C916" s="173" t="s">
        <v>4831</v>
      </c>
      <c r="D916" s="173" t="s">
        <v>6988</v>
      </c>
      <c r="E916" s="203">
        <v>43739</v>
      </c>
    </row>
    <row r="917" spans="1:5" ht="14.25" hidden="1" customHeight="1">
      <c r="A917" s="16">
        <v>24200474</v>
      </c>
      <c r="B917" s="17" t="s">
        <v>218</v>
      </c>
      <c r="C917" s="17" t="s">
        <v>5349</v>
      </c>
      <c r="D917" s="1" t="s">
        <v>6988</v>
      </c>
      <c r="E917" s="35" t="s">
        <v>6989</v>
      </c>
    </row>
    <row r="918" spans="1:5" ht="14.25" hidden="1" customHeight="1">
      <c r="A918" s="155">
        <v>24200474</v>
      </c>
      <c r="B918" s="173" t="s">
        <v>218</v>
      </c>
      <c r="C918" s="173" t="s">
        <v>5349</v>
      </c>
      <c r="D918" s="173" t="s">
        <v>6988</v>
      </c>
      <c r="E918" s="203">
        <v>43739</v>
      </c>
    </row>
    <row r="919" spans="1:5" ht="14.25" hidden="1" customHeight="1">
      <c r="A919" s="16">
        <v>24340307</v>
      </c>
      <c r="B919" s="17" t="s">
        <v>5959</v>
      </c>
      <c r="C919" s="17" t="s">
        <v>571</v>
      </c>
      <c r="D919" s="1" t="s">
        <v>6988</v>
      </c>
      <c r="E919" s="35" t="s">
        <v>6989</v>
      </c>
    </row>
    <row r="920" spans="1:5" ht="14.25" hidden="1" customHeight="1">
      <c r="A920" s="155">
        <v>24340307</v>
      </c>
      <c r="B920" s="173" t="s">
        <v>5959</v>
      </c>
      <c r="C920" s="173" t="s">
        <v>571</v>
      </c>
      <c r="D920" s="173" t="s">
        <v>6988</v>
      </c>
      <c r="E920" s="203">
        <v>43739</v>
      </c>
    </row>
    <row r="921" spans="1:5" ht="14.25" hidden="1" customHeight="1">
      <c r="A921" s="16">
        <v>24503795</v>
      </c>
      <c r="B921" s="17" t="s">
        <v>2262</v>
      </c>
      <c r="C921" s="17" t="s">
        <v>178</v>
      </c>
      <c r="D921" s="1" t="s">
        <v>6988</v>
      </c>
      <c r="E921" s="35" t="s">
        <v>6989</v>
      </c>
    </row>
    <row r="922" spans="1:5" ht="14.25" hidden="1" customHeight="1">
      <c r="A922" s="155">
        <v>24503795</v>
      </c>
      <c r="B922" s="173" t="s">
        <v>2262</v>
      </c>
      <c r="C922" s="173" t="s">
        <v>178</v>
      </c>
      <c r="D922" s="173" t="s">
        <v>6988</v>
      </c>
      <c r="E922" s="203">
        <v>43739</v>
      </c>
    </row>
    <row r="923" spans="1:5" ht="14.25" hidden="1" customHeight="1">
      <c r="A923" s="16">
        <v>25444118</v>
      </c>
      <c r="B923" s="17" t="s">
        <v>5949</v>
      </c>
      <c r="C923" s="17" t="s">
        <v>5103</v>
      </c>
      <c r="D923" s="1" t="s">
        <v>6988</v>
      </c>
      <c r="E923" s="35" t="s">
        <v>6989</v>
      </c>
    </row>
    <row r="924" spans="1:5" ht="14.25" hidden="1" customHeight="1">
      <c r="A924" s="155">
        <v>25444118</v>
      </c>
      <c r="B924" s="173" t="s">
        <v>5949</v>
      </c>
      <c r="C924" s="173" t="s">
        <v>5103</v>
      </c>
      <c r="D924" s="173" t="s">
        <v>6988</v>
      </c>
      <c r="E924" s="203">
        <v>43739</v>
      </c>
    </row>
    <row r="925" spans="1:5" ht="14.25" hidden="1" customHeight="1">
      <c r="A925" s="16">
        <v>25734543</v>
      </c>
      <c r="B925" s="17" t="s">
        <v>5420</v>
      </c>
      <c r="C925" s="17" t="s">
        <v>5421</v>
      </c>
      <c r="D925" s="1" t="s">
        <v>6988</v>
      </c>
      <c r="E925" s="35" t="s">
        <v>6989</v>
      </c>
    </row>
    <row r="926" spans="1:5" ht="14.25" hidden="1" customHeight="1">
      <c r="A926" s="155">
        <v>25734543</v>
      </c>
      <c r="B926" s="173" t="s">
        <v>5420</v>
      </c>
      <c r="C926" s="173" t="s">
        <v>5421</v>
      </c>
      <c r="D926" s="173" t="s">
        <v>6988</v>
      </c>
      <c r="E926" s="203">
        <v>43739</v>
      </c>
    </row>
    <row r="927" spans="1:5" ht="14.25" hidden="1" customHeight="1">
      <c r="A927" s="16">
        <v>25734593</v>
      </c>
      <c r="B927" s="17" t="s">
        <v>5433</v>
      </c>
      <c r="C927" s="17" t="s">
        <v>5434</v>
      </c>
      <c r="D927" s="1" t="s">
        <v>6988</v>
      </c>
      <c r="E927" s="35" t="s">
        <v>6989</v>
      </c>
    </row>
    <row r="928" spans="1:5" ht="14.25" hidden="1" customHeight="1">
      <c r="A928" s="155">
        <v>25734593</v>
      </c>
      <c r="B928" s="173" t="s">
        <v>5433</v>
      </c>
      <c r="C928" s="173" t="s">
        <v>5434</v>
      </c>
      <c r="D928" s="173" t="s">
        <v>6988</v>
      </c>
      <c r="E928" s="203">
        <v>43739</v>
      </c>
    </row>
    <row r="929" spans="1:5" ht="14.25" hidden="1" customHeight="1">
      <c r="A929" s="34">
        <v>25735261</v>
      </c>
      <c r="B929" s="33" t="s">
        <v>2912</v>
      </c>
      <c r="C929" s="33" t="s">
        <v>2913</v>
      </c>
      <c r="D929" s="10" t="s">
        <v>6988</v>
      </c>
      <c r="E929" s="36" t="s">
        <v>6989</v>
      </c>
    </row>
    <row r="930" spans="1:5" ht="14.25" hidden="1" customHeight="1">
      <c r="A930" s="155">
        <v>25735261</v>
      </c>
      <c r="B930" s="173" t="s">
        <v>2912</v>
      </c>
      <c r="C930" s="173" t="s">
        <v>2913</v>
      </c>
      <c r="D930" s="173" t="s">
        <v>6988</v>
      </c>
      <c r="E930" s="203">
        <v>43739</v>
      </c>
    </row>
    <row r="931" spans="1:5" ht="14.25" hidden="1" customHeight="1">
      <c r="A931" s="16">
        <v>25843050</v>
      </c>
      <c r="B931" s="17" t="s">
        <v>4033</v>
      </c>
      <c r="C931" s="17" t="s">
        <v>4034</v>
      </c>
      <c r="D931" s="1" t="s">
        <v>6988</v>
      </c>
      <c r="E931" s="35" t="s">
        <v>6989</v>
      </c>
    </row>
    <row r="932" spans="1:5" ht="14.25" hidden="1" customHeight="1">
      <c r="A932" s="155">
        <v>25843050</v>
      </c>
      <c r="B932" s="173" t="s">
        <v>4033</v>
      </c>
      <c r="C932" s="173" t="s">
        <v>4034</v>
      </c>
      <c r="D932" s="173" t="s">
        <v>6988</v>
      </c>
      <c r="E932" s="203">
        <v>43739</v>
      </c>
    </row>
    <row r="933" spans="1:5" ht="14.25" hidden="1" customHeight="1">
      <c r="A933" s="16">
        <v>25844102</v>
      </c>
      <c r="B933" s="17" t="s">
        <v>5922</v>
      </c>
      <c r="C933" s="17" t="s">
        <v>5923</v>
      </c>
      <c r="D933" s="1" t="s">
        <v>6988</v>
      </c>
      <c r="E933" s="35" t="s">
        <v>6989</v>
      </c>
    </row>
    <row r="934" spans="1:5" ht="14.25" hidden="1" customHeight="1">
      <c r="A934" s="155">
        <v>25844102</v>
      </c>
      <c r="B934" s="173" t="s">
        <v>5922</v>
      </c>
      <c r="C934" s="173" t="s">
        <v>5923</v>
      </c>
      <c r="D934" s="173" t="s">
        <v>6988</v>
      </c>
      <c r="E934" s="203">
        <v>43739</v>
      </c>
    </row>
    <row r="935" spans="1:5" ht="14.25" hidden="1" customHeight="1">
      <c r="A935" s="16">
        <v>25853037</v>
      </c>
      <c r="B935" s="17" t="s">
        <v>2087</v>
      </c>
      <c r="C935" s="17" t="s">
        <v>5367</v>
      </c>
      <c r="D935" s="1" t="s">
        <v>6988</v>
      </c>
      <c r="E935" s="35" t="s">
        <v>6989</v>
      </c>
    </row>
    <row r="936" spans="1:5" ht="14.25" hidden="1" customHeight="1">
      <c r="A936" s="155">
        <v>25853037</v>
      </c>
      <c r="B936" s="173" t="s">
        <v>2087</v>
      </c>
      <c r="C936" s="173" t="s">
        <v>5367</v>
      </c>
      <c r="D936" s="173" t="s">
        <v>6988</v>
      </c>
      <c r="E936" s="203">
        <v>43739</v>
      </c>
    </row>
    <row r="937" spans="1:5" ht="14.25" hidden="1" customHeight="1">
      <c r="A937" s="16">
        <v>26029215</v>
      </c>
      <c r="B937" s="17" t="s">
        <v>5918</v>
      </c>
      <c r="C937" s="17" t="s">
        <v>274</v>
      </c>
      <c r="D937" s="1" t="s">
        <v>6988</v>
      </c>
      <c r="E937" s="35" t="s">
        <v>6989</v>
      </c>
    </row>
    <row r="938" spans="1:5" ht="14.25" hidden="1" customHeight="1">
      <c r="A938" s="155">
        <v>26029215</v>
      </c>
      <c r="B938" s="173" t="s">
        <v>5918</v>
      </c>
      <c r="C938" s="173" t="s">
        <v>274</v>
      </c>
      <c r="D938" s="173" t="s">
        <v>6988</v>
      </c>
      <c r="E938" s="203">
        <v>43739</v>
      </c>
    </row>
    <row r="939" spans="1:5" ht="14.25" hidden="1" customHeight="1">
      <c r="A939" s="34">
        <v>27575318</v>
      </c>
      <c r="B939" s="33" t="s">
        <v>4929</v>
      </c>
      <c r="C939" s="33" t="s">
        <v>4930</v>
      </c>
      <c r="D939" s="10" t="s">
        <v>6988</v>
      </c>
      <c r="E939" s="36" t="s">
        <v>6989</v>
      </c>
    </row>
    <row r="940" spans="1:5" ht="14.25" hidden="1" customHeight="1">
      <c r="A940" s="155">
        <v>27575318</v>
      </c>
      <c r="B940" s="173" t="s">
        <v>4929</v>
      </c>
      <c r="C940" s="173" t="s">
        <v>4930</v>
      </c>
      <c r="D940" s="173" t="s">
        <v>6988</v>
      </c>
      <c r="E940" s="203">
        <v>43739</v>
      </c>
    </row>
    <row r="941" spans="1:5" ht="14.25" hidden="1" customHeight="1">
      <c r="A941" s="16">
        <v>27594473</v>
      </c>
      <c r="B941" s="17" t="s">
        <v>1906</v>
      </c>
      <c r="C941" s="17" t="s">
        <v>1003</v>
      </c>
      <c r="D941" s="1" t="s">
        <v>6988</v>
      </c>
      <c r="E941" s="35" t="s">
        <v>6989</v>
      </c>
    </row>
    <row r="942" spans="1:5" ht="14.25" hidden="1" customHeight="1">
      <c r="A942" s="155">
        <v>27594473</v>
      </c>
      <c r="B942" s="173" t="s">
        <v>1906</v>
      </c>
      <c r="C942" s="173" t="s">
        <v>1003</v>
      </c>
      <c r="D942" s="173" t="s">
        <v>6988</v>
      </c>
      <c r="E942" s="203">
        <v>43739</v>
      </c>
    </row>
    <row r="943" spans="1:5" ht="14.25" hidden="1" customHeight="1">
      <c r="A943" s="16">
        <v>27651507</v>
      </c>
      <c r="B943" s="17" t="s">
        <v>2795</v>
      </c>
      <c r="C943" s="17" t="s">
        <v>4637</v>
      </c>
      <c r="D943" s="1" t="s">
        <v>6988</v>
      </c>
      <c r="E943" s="35" t="s">
        <v>6989</v>
      </c>
    </row>
    <row r="944" spans="1:5" ht="14.25" hidden="1" customHeight="1">
      <c r="A944" s="155">
        <v>27651507</v>
      </c>
      <c r="B944" s="173" t="s">
        <v>2795</v>
      </c>
      <c r="C944" s="173" t="s">
        <v>4637</v>
      </c>
      <c r="D944" s="173" t="s">
        <v>6988</v>
      </c>
      <c r="E944" s="203">
        <v>43739</v>
      </c>
    </row>
    <row r="945" spans="1:5" ht="14.25" hidden="1" customHeight="1">
      <c r="A945" s="16">
        <v>27732969</v>
      </c>
      <c r="B945" s="17" t="s">
        <v>226</v>
      </c>
      <c r="C945" s="17" t="s">
        <v>5899</v>
      </c>
      <c r="D945" s="1" t="s">
        <v>6988</v>
      </c>
      <c r="E945" s="35" t="s">
        <v>6989</v>
      </c>
    </row>
    <row r="946" spans="1:5" ht="14.25" hidden="1" customHeight="1">
      <c r="A946" s="155">
        <v>27732969</v>
      </c>
      <c r="B946" s="173" t="s">
        <v>226</v>
      </c>
      <c r="C946" s="173" t="s">
        <v>5899</v>
      </c>
      <c r="D946" s="173" t="s">
        <v>6988</v>
      </c>
      <c r="E946" s="203">
        <v>43739</v>
      </c>
    </row>
    <row r="947" spans="1:5" ht="14.25" hidden="1" customHeight="1">
      <c r="A947" s="16">
        <v>27751765</v>
      </c>
      <c r="B947" s="17" t="s">
        <v>5355</v>
      </c>
      <c r="C947" s="17" t="s">
        <v>5356</v>
      </c>
      <c r="D947" s="1" t="s">
        <v>6988</v>
      </c>
      <c r="E947" s="35" t="s">
        <v>6989</v>
      </c>
    </row>
    <row r="948" spans="1:5" ht="14.25" hidden="1" customHeight="1">
      <c r="A948" s="155">
        <v>27751765</v>
      </c>
      <c r="B948" s="173" t="s">
        <v>5355</v>
      </c>
      <c r="C948" s="173" t="s">
        <v>5356</v>
      </c>
      <c r="D948" s="173" t="s">
        <v>6988</v>
      </c>
      <c r="E948" s="203">
        <v>43739</v>
      </c>
    </row>
    <row r="949" spans="1:5" ht="14.25" hidden="1" customHeight="1">
      <c r="A949" s="34">
        <v>27962568</v>
      </c>
      <c r="B949" s="33" t="s">
        <v>6486</v>
      </c>
      <c r="C949" s="33" t="s">
        <v>2726</v>
      </c>
      <c r="D949" s="10" t="s">
        <v>6988</v>
      </c>
      <c r="E949" s="36" t="s">
        <v>6989</v>
      </c>
    </row>
    <row r="950" spans="1:5" ht="14.25" hidden="1" customHeight="1">
      <c r="A950" s="155">
        <v>27962568</v>
      </c>
      <c r="B950" s="173" t="s">
        <v>6486</v>
      </c>
      <c r="C950" s="173" t="s">
        <v>2726</v>
      </c>
      <c r="D950" s="173" t="s">
        <v>6988</v>
      </c>
      <c r="E950" s="203">
        <v>43739</v>
      </c>
    </row>
    <row r="951" spans="1:5" ht="14.25" hidden="1" customHeight="1">
      <c r="A951" s="16">
        <v>28053203</v>
      </c>
      <c r="B951" s="17" t="s">
        <v>327</v>
      </c>
      <c r="C951" s="17" t="s">
        <v>4495</v>
      </c>
      <c r="D951" s="1" t="s">
        <v>6988</v>
      </c>
      <c r="E951" s="35" t="s">
        <v>6989</v>
      </c>
    </row>
    <row r="952" spans="1:5" ht="14.25" hidden="1" customHeight="1">
      <c r="A952" s="155">
        <v>28053203</v>
      </c>
      <c r="B952" s="173" t="s">
        <v>327</v>
      </c>
      <c r="C952" s="173" t="s">
        <v>4495</v>
      </c>
      <c r="D952" s="173" t="s">
        <v>6988</v>
      </c>
      <c r="E952" s="203">
        <v>43739</v>
      </c>
    </row>
    <row r="953" spans="1:5" ht="14.25" hidden="1" customHeight="1">
      <c r="A953" s="16">
        <v>28418227</v>
      </c>
      <c r="B953" s="17" t="s">
        <v>2121</v>
      </c>
      <c r="C953" s="17" t="s">
        <v>3098</v>
      </c>
      <c r="D953" s="1" t="s">
        <v>6988</v>
      </c>
      <c r="E953" s="35" t="s">
        <v>6989</v>
      </c>
    </row>
    <row r="954" spans="1:5" ht="14.25" hidden="1" customHeight="1">
      <c r="A954" s="155">
        <v>28418227</v>
      </c>
      <c r="B954" s="173" t="s">
        <v>2121</v>
      </c>
      <c r="C954" s="173" t="s">
        <v>3098</v>
      </c>
      <c r="D954" s="173" t="s">
        <v>6988</v>
      </c>
      <c r="E954" s="203">
        <v>43739</v>
      </c>
    </row>
    <row r="955" spans="1:5" ht="14.25" hidden="1" customHeight="1">
      <c r="A955" s="16">
        <v>29060912</v>
      </c>
      <c r="B955" s="17" t="s">
        <v>760</v>
      </c>
      <c r="C955" s="17" t="s">
        <v>4373</v>
      </c>
      <c r="D955" s="1" t="s">
        <v>6988</v>
      </c>
      <c r="E955" s="35" t="s">
        <v>6989</v>
      </c>
    </row>
    <row r="956" spans="1:5" ht="14.25" hidden="1" customHeight="1">
      <c r="A956" s="155">
        <v>29060912</v>
      </c>
      <c r="B956" s="173" t="s">
        <v>760</v>
      </c>
      <c r="C956" s="173" t="s">
        <v>4373</v>
      </c>
      <c r="D956" s="173" t="s">
        <v>6988</v>
      </c>
      <c r="E956" s="203">
        <v>43739</v>
      </c>
    </row>
    <row r="957" spans="1:5" ht="14.25" hidden="1" customHeight="1">
      <c r="A957" s="16">
        <v>29206623</v>
      </c>
      <c r="B957" s="17" t="s">
        <v>4947</v>
      </c>
      <c r="C957" s="17" t="s">
        <v>4948</v>
      </c>
      <c r="D957" s="1" t="s">
        <v>6988</v>
      </c>
      <c r="E957" s="35" t="s">
        <v>6989</v>
      </c>
    </row>
    <row r="958" spans="1:5" ht="14.25" hidden="1" customHeight="1">
      <c r="A958" s="155">
        <v>29206623</v>
      </c>
      <c r="B958" s="173" t="s">
        <v>4947</v>
      </c>
      <c r="C958" s="173" t="s">
        <v>4948</v>
      </c>
      <c r="D958" s="173" t="s">
        <v>6988</v>
      </c>
      <c r="E958" s="203">
        <v>43739</v>
      </c>
    </row>
    <row r="959" spans="1:5" ht="14.25" hidden="1" customHeight="1">
      <c r="A959" s="16">
        <v>29555986</v>
      </c>
      <c r="B959" s="17" t="s">
        <v>5893</v>
      </c>
      <c r="C959" s="17" t="s">
        <v>5894</v>
      </c>
      <c r="D959" s="1" t="s">
        <v>6988</v>
      </c>
      <c r="E959" s="35" t="s">
        <v>6989</v>
      </c>
    </row>
    <row r="960" spans="1:5" ht="14.25" hidden="1" customHeight="1">
      <c r="A960" s="155">
        <v>29555986</v>
      </c>
      <c r="B960" s="173" t="s">
        <v>5893</v>
      </c>
      <c r="C960" s="173" t="s">
        <v>5894</v>
      </c>
      <c r="D960" s="173" t="s">
        <v>6988</v>
      </c>
      <c r="E960" s="203">
        <v>43739</v>
      </c>
    </row>
    <row r="961" spans="1:5" ht="14.25" hidden="1" customHeight="1">
      <c r="A961" s="16">
        <v>29838285</v>
      </c>
      <c r="B961" s="17" t="s">
        <v>5440</v>
      </c>
      <c r="C961" s="17" t="s">
        <v>5441</v>
      </c>
      <c r="D961" s="1" t="s">
        <v>6988</v>
      </c>
      <c r="E961" s="35" t="s">
        <v>6989</v>
      </c>
    </row>
    <row r="962" spans="1:5" ht="14.25" hidden="1" customHeight="1">
      <c r="A962" s="155">
        <v>29838285</v>
      </c>
      <c r="B962" s="173" t="s">
        <v>5440</v>
      </c>
      <c r="C962" s="173" t="s">
        <v>5441</v>
      </c>
      <c r="D962" s="173" t="s">
        <v>6988</v>
      </c>
      <c r="E962" s="203">
        <v>43739</v>
      </c>
    </row>
    <row r="963" spans="1:5" ht="14.25" hidden="1" customHeight="1">
      <c r="A963" s="16">
        <v>29997496</v>
      </c>
      <c r="B963" s="17" t="s">
        <v>5318</v>
      </c>
      <c r="C963" s="17" t="s">
        <v>5319</v>
      </c>
      <c r="D963" s="1" t="s">
        <v>6988</v>
      </c>
      <c r="E963" s="35" t="s">
        <v>6989</v>
      </c>
    </row>
    <row r="964" spans="1:5" ht="14.25" hidden="1" customHeight="1">
      <c r="A964" s="155">
        <v>29997496</v>
      </c>
      <c r="B964" s="173" t="s">
        <v>5318</v>
      </c>
      <c r="C964" s="173" t="s">
        <v>5319</v>
      </c>
      <c r="D964" s="173" t="s">
        <v>6988</v>
      </c>
      <c r="E964" s="203">
        <v>43739</v>
      </c>
    </row>
    <row r="965" spans="1:5" ht="14.25" hidden="1" customHeight="1">
      <c r="A965" s="16">
        <v>30598579</v>
      </c>
      <c r="B965" s="17" t="s">
        <v>4938</v>
      </c>
      <c r="C965" s="17" t="s">
        <v>4939</v>
      </c>
      <c r="D965" s="1" t="s">
        <v>6988</v>
      </c>
      <c r="E965" s="35" t="s">
        <v>6989</v>
      </c>
    </row>
    <row r="966" spans="1:5" ht="14.25" hidden="1" customHeight="1">
      <c r="A966" s="155">
        <v>30598579</v>
      </c>
      <c r="B966" s="173" t="s">
        <v>4938</v>
      </c>
      <c r="C966" s="173" t="s">
        <v>4939</v>
      </c>
      <c r="D966" s="173" t="s">
        <v>6988</v>
      </c>
      <c r="E966" s="203">
        <v>43739</v>
      </c>
    </row>
    <row r="967" spans="1:5" ht="14.25" hidden="1" customHeight="1">
      <c r="A967" s="16">
        <v>30759927</v>
      </c>
      <c r="B967" s="17" t="s">
        <v>4933</v>
      </c>
      <c r="C967" s="17" t="s">
        <v>4934</v>
      </c>
      <c r="D967" s="1" t="s">
        <v>6988</v>
      </c>
      <c r="E967" s="35" t="s">
        <v>6989</v>
      </c>
    </row>
    <row r="968" spans="1:5" ht="14.25" hidden="1" customHeight="1">
      <c r="A968" s="155">
        <v>30759927</v>
      </c>
      <c r="B968" s="173" t="s">
        <v>4933</v>
      </c>
      <c r="C968" s="173" t="s">
        <v>4934</v>
      </c>
      <c r="D968" s="173" t="s">
        <v>6988</v>
      </c>
      <c r="E968" s="203">
        <v>43739</v>
      </c>
    </row>
    <row r="969" spans="1:5" ht="14.25" hidden="1" customHeight="1">
      <c r="A969" s="16">
        <v>31323198</v>
      </c>
      <c r="B969" s="17" t="s">
        <v>94</v>
      </c>
      <c r="C969" s="17" t="s">
        <v>95</v>
      </c>
      <c r="D969" s="1" t="s">
        <v>6988</v>
      </c>
      <c r="E969" s="35" t="s">
        <v>6989</v>
      </c>
    </row>
    <row r="970" spans="1:5" ht="14.25" hidden="1" customHeight="1">
      <c r="A970" s="155">
        <v>31323198</v>
      </c>
      <c r="B970" s="173" t="s">
        <v>94</v>
      </c>
      <c r="C970" s="173" t="s">
        <v>95</v>
      </c>
      <c r="D970" s="173" t="s">
        <v>6988</v>
      </c>
      <c r="E970" s="203">
        <v>43739</v>
      </c>
    </row>
    <row r="971" spans="1:5" ht="14.25" hidden="1" customHeight="1">
      <c r="A971" s="34">
        <v>31842821</v>
      </c>
      <c r="B971" s="33" t="s">
        <v>5994</v>
      </c>
      <c r="C971" s="33" t="s">
        <v>5995</v>
      </c>
      <c r="D971" s="10" t="s">
        <v>6988</v>
      </c>
      <c r="E971" s="36" t="s">
        <v>6989</v>
      </c>
    </row>
    <row r="972" spans="1:5" ht="14.25" hidden="1" customHeight="1">
      <c r="A972" s="155">
        <v>31842821</v>
      </c>
      <c r="B972" s="173" t="s">
        <v>5994</v>
      </c>
      <c r="C972" s="173" t="s">
        <v>5995</v>
      </c>
      <c r="D972" s="173" t="s">
        <v>6988</v>
      </c>
      <c r="E972" s="203">
        <v>43739</v>
      </c>
    </row>
    <row r="973" spans="1:5" ht="14.25" hidden="1" customHeight="1">
      <c r="A973" s="34">
        <v>32115802</v>
      </c>
      <c r="B973" s="33" t="s">
        <v>2718</v>
      </c>
      <c r="C973" s="33" t="s">
        <v>2719</v>
      </c>
      <c r="D973" s="10" t="s">
        <v>6988</v>
      </c>
      <c r="E973" s="36" t="s">
        <v>6989</v>
      </c>
    </row>
    <row r="974" spans="1:5" ht="14.25" hidden="1" customHeight="1">
      <c r="A974" s="155">
        <v>32115802</v>
      </c>
      <c r="B974" s="173" t="s">
        <v>2718</v>
      </c>
      <c r="C974" s="173" t="s">
        <v>2719</v>
      </c>
      <c r="D974" s="173" t="s">
        <v>6988</v>
      </c>
      <c r="E974" s="203">
        <v>43739</v>
      </c>
    </row>
    <row r="975" spans="1:5" ht="14.25" hidden="1" customHeight="1">
      <c r="A975" s="16">
        <v>32460837</v>
      </c>
      <c r="B975" s="17" t="s">
        <v>4112</v>
      </c>
      <c r="C975" s="17" t="s">
        <v>5341</v>
      </c>
      <c r="D975" s="1" t="s">
        <v>6988</v>
      </c>
      <c r="E975" s="35" t="s">
        <v>6989</v>
      </c>
    </row>
    <row r="976" spans="1:5" ht="14.25" hidden="1" customHeight="1">
      <c r="A976" s="155">
        <v>32460837</v>
      </c>
      <c r="B976" s="173" t="s">
        <v>4112</v>
      </c>
      <c r="C976" s="173" t="s">
        <v>5341</v>
      </c>
      <c r="D976" s="173" t="s">
        <v>6988</v>
      </c>
      <c r="E976" s="203">
        <v>43739</v>
      </c>
    </row>
    <row r="977" spans="1:5" ht="14.25" hidden="1" customHeight="1">
      <c r="A977" s="16">
        <v>32513757</v>
      </c>
      <c r="B977" s="17" t="s">
        <v>622</v>
      </c>
      <c r="C977" s="17" t="s">
        <v>5487</v>
      </c>
      <c r="D977" s="1" t="s">
        <v>6988</v>
      </c>
      <c r="E977" s="35" t="s">
        <v>6989</v>
      </c>
    </row>
    <row r="978" spans="1:5" ht="14.25" hidden="1" customHeight="1">
      <c r="A978" s="155">
        <v>32513757</v>
      </c>
      <c r="B978" s="173" t="s">
        <v>622</v>
      </c>
      <c r="C978" s="173" t="s">
        <v>5487</v>
      </c>
      <c r="D978" s="173" t="s">
        <v>6988</v>
      </c>
      <c r="E978" s="203">
        <v>43739</v>
      </c>
    </row>
    <row r="979" spans="1:5" ht="14.25" hidden="1" customHeight="1">
      <c r="A979" s="16">
        <v>32927371</v>
      </c>
      <c r="B979" s="17" t="s">
        <v>5381</v>
      </c>
      <c r="C979" s="17" t="s">
        <v>527</v>
      </c>
      <c r="D979" s="1" t="s">
        <v>6988</v>
      </c>
      <c r="E979" s="35" t="s">
        <v>6989</v>
      </c>
    </row>
    <row r="980" spans="1:5" ht="14.25" hidden="1" customHeight="1">
      <c r="A980" s="155">
        <v>32927371</v>
      </c>
      <c r="B980" s="173" t="s">
        <v>5381</v>
      </c>
      <c r="C980" s="173" t="s">
        <v>527</v>
      </c>
      <c r="D980" s="173" t="s">
        <v>6988</v>
      </c>
      <c r="E980" s="203">
        <v>43739</v>
      </c>
    </row>
    <row r="981" spans="1:5" ht="14.25" hidden="1" customHeight="1">
      <c r="A981" s="34">
        <v>36584270</v>
      </c>
      <c r="B981" s="33" t="s">
        <v>5878</v>
      </c>
      <c r="C981" s="33" t="s">
        <v>5879</v>
      </c>
      <c r="D981" s="10" t="s">
        <v>6988</v>
      </c>
      <c r="E981" s="36" t="s">
        <v>6989</v>
      </c>
    </row>
    <row r="982" spans="1:5" ht="14.25" hidden="1" customHeight="1">
      <c r="A982" s="155">
        <v>36584270</v>
      </c>
      <c r="B982" s="173" t="s">
        <v>5878</v>
      </c>
      <c r="C982" s="173" t="s">
        <v>5879</v>
      </c>
      <c r="D982" s="173" t="s">
        <v>6988</v>
      </c>
      <c r="E982" s="203">
        <v>43739</v>
      </c>
    </row>
    <row r="983" spans="1:5" ht="14.25" hidden="1" customHeight="1">
      <c r="A983" s="16">
        <v>37311669</v>
      </c>
      <c r="B983" s="17" t="s">
        <v>218</v>
      </c>
      <c r="C983" s="17" t="s">
        <v>4942</v>
      </c>
      <c r="D983" s="1" t="s">
        <v>6988</v>
      </c>
      <c r="E983" s="35" t="s">
        <v>6989</v>
      </c>
    </row>
    <row r="984" spans="1:5" ht="14.25" hidden="1" customHeight="1">
      <c r="A984" s="155">
        <v>37311669</v>
      </c>
      <c r="B984" s="173" t="s">
        <v>218</v>
      </c>
      <c r="C984" s="173" t="s">
        <v>4942</v>
      </c>
      <c r="D984" s="173" t="s">
        <v>6988</v>
      </c>
      <c r="E984" s="203">
        <v>43739</v>
      </c>
    </row>
    <row r="985" spans="1:5" ht="14.25" hidden="1" customHeight="1">
      <c r="A985" s="16">
        <v>14225922</v>
      </c>
      <c r="B985" s="17" t="s">
        <v>207</v>
      </c>
      <c r="C985" s="17" t="s">
        <v>27</v>
      </c>
      <c r="D985" s="1" t="s">
        <v>6984</v>
      </c>
      <c r="E985" s="35" t="s">
        <v>6990</v>
      </c>
    </row>
    <row r="986" spans="1:5" ht="14.25" hidden="1" customHeight="1">
      <c r="A986" s="155">
        <v>14225922</v>
      </c>
      <c r="B986" s="173" t="s">
        <v>207</v>
      </c>
      <c r="C986" s="173" t="s">
        <v>27</v>
      </c>
      <c r="D986" s="173" t="s">
        <v>6984</v>
      </c>
      <c r="E986" s="203">
        <v>43728</v>
      </c>
    </row>
    <row r="987" spans="1:5" ht="14.25" hidden="1" customHeight="1">
      <c r="A987" s="16">
        <v>14480478</v>
      </c>
      <c r="B987" s="17" t="s">
        <v>4603</v>
      </c>
      <c r="C987" s="17" t="s">
        <v>708</v>
      </c>
      <c r="D987" s="1" t="s">
        <v>6984</v>
      </c>
      <c r="E987" s="35" t="s">
        <v>6990</v>
      </c>
    </row>
    <row r="988" spans="1:5" ht="14.25" hidden="1" customHeight="1">
      <c r="A988" s="155">
        <v>14480478</v>
      </c>
      <c r="B988" s="173" t="s">
        <v>4603</v>
      </c>
      <c r="C988" s="173" t="s">
        <v>708</v>
      </c>
      <c r="D988" s="173" t="s">
        <v>6984</v>
      </c>
      <c r="E988" s="203">
        <v>43728</v>
      </c>
    </row>
    <row r="989" spans="1:5" ht="14.25" hidden="1" customHeight="1">
      <c r="A989" s="16">
        <v>14660819</v>
      </c>
      <c r="B989" s="17" t="s">
        <v>789</v>
      </c>
      <c r="C989" s="17" t="s">
        <v>790</v>
      </c>
      <c r="D989" s="1" t="s">
        <v>6984</v>
      </c>
      <c r="E989" s="35" t="s">
        <v>6990</v>
      </c>
    </row>
    <row r="990" spans="1:5" ht="14.25" hidden="1" customHeight="1">
      <c r="A990" s="155">
        <v>14660819</v>
      </c>
      <c r="B990" s="173" t="s">
        <v>789</v>
      </c>
      <c r="C990" s="173" t="s">
        <v>790</v>
      </c>
      <c r="D990" s="173" t="s">
        <v>6984</v>
      </c>
      <c r="E990" s="203">
        <v>43728</v>
      </c>
    </row>
    <row r="991" spans="1:5" ht="14.25" hidden="1" customHeight="1">
      <c r="A991" s="16">
        <v>22264675</v>
      </c>
      <c r="B991" s="17" t="s">
        <v>399</v>
      </c>
      <c r="C991" s="17" t="s">
        <v>400</v>
      </c>
      <c r="D991" s="1" t="s">
        <v>6984</v>
      </c>
      <c r="E991" s="35" t="s">
        <v>6990</v>
      </c>
    </row>
    <row r="992" spans="1:5" ht="14.25" hidden="1" customHeight="1">
      <c r="A992" s="155">
        <v>22264675</v>
      </c>
      <c r="B992" s="173" t="s">
        <v>399</v>
      </c>
      <c r="C992" s="173" t="s">
        <v>400</v>
      </c>
      <c r="D992" s="173" t="s">
        <v>6984</v>
      </c>
      <c r="E992" s="203">
        <v>43728</v>
      </c>
    </row>
    <row r="993" spans="1:5" ht="14.25" hidden="1" customHeight="1">
      <c r="A993" s="16">
        <v>22280512</v>
      </c>
      <c r="B993" s="17" t="s">
        <v>4585</v>
      </c>
      <c r="C993" s="17" t="s">
        <v>902</v>
      </c>
      <c r="D993" s="1" t="s">
        <v>6984</v>
      </c>
      <c r="E993" s="35" t="s">
        <v>6990</v>
      </c>
    </row>
    <row r="994" spans="1:5" ht="14.25" hidden="1" customHeight="1">
      <c r="A994" s="155">
        <v>22280512</v>
      </c>
      <c r="B994" s="173" t="s">
        <v>4585</v>
      </c>
      <c r="C994" s="173" t="s">
        <v>902</v>
      </c>
      <c r="D994" s="173" t="s">
        <v>6984</v>
      </c>
      <c r="E994" s="203">
        <v>43728</v>
      </c>
    </row>
    <row r="995" spans="1:5" ht="14.25" hidden="1" customHeight="1">
      <c r="A995" s="16">
        <v>22451756</v>
      </c>
      <c r="B995" s="17" t="s">
        <v>983</v>
      </c>
      <c r="C995" s="17" t="s">
        <v>2669</v>
      </c>
      <c r="D995" s="1" t="s">
        <v>6984</v>
      </c>
      <c r="E995" s="35" t="s">
        <v>6990</v>
      </c>
    </row>
    <row r="996" spans="1:5" ht="14.25" hidden="1" customHeight="1">
      <c r="A996" s="155">
        <v>22451756</v>
      </c>
      <c r="B996" s="173" t="s">
        <v>983</v>
      </c>
      <c r="C996" s="173" t="s">
        <v>2669</v>
      </c>
      <c r="D996" s="173" t="s">
        <v>6984</v>
      </c>
      <c r="E996" s="203">
        <v>43728</v>
      </c>
    </row>
    <row r="997" spans="1:5" ht="14.25" hidden="1" customHeight="1">
      <c r="A997" s="16">
        <v>24432570</v>
      </c>
      <c r="B997" s="17" t="s">
        <v>4170</v>
      </c>
      <c r="C997" s="17" t="s">
        <v>5944</v>
      </c>
      <c r="D997" s="1" t="s">
        <v>6984</v>
      </c>
      <c r="E997" s="35" t="s">
        <v>6990</v>
      </c>
    </row>
    <row r="998" spans="1:5" ht="14.25" hidden="1" customHeight="1">
      <c r="A998" s="16">
        <v>24432570</v>
      </c>
      <c r="B998" s="17" t="s">
        <v>4170</v>
      </c>
      <c r="C998" s="17" t="s">
        <v>5944</v>
      </c>
      <c r="D998" s="1" t="s">
        <v>6984</v>
      </c>
      <c r="E998" s="35" t="s">
        <v>6990</v>
      </c>
    </row>
    <row r="999" spans="1:5" ht="14.25" hidden="1" customHeight="1">
      <c r="A999" s="155">
        <v>24432570</v>
      </c>
      <c r="B999" s="173" t="s">
        <v>4170</v>
      </c>
      <c r="C999" s="173" t="s">
        <v>5944</v>
      </c>
      <c r="D999" s="173" t="s">
        <v>6984</v>
      </c>
      <c r="E999" s="203">
        <v>43728</v>
      </c>
    </row>
    <row r="1000" spans="1:5" ht="14.25" hidden="1" customHeight="1">
      <c r="A1000" s="155">
        <v>24432570</v>
      </c>
      <c r="B1000" s="173" t="s">
        <v>4170</v>
      </c>
      <c r="C1000" s="173" t="s">
        <v>5944</v>
      </c>
      <c r="D1000" s="173" t="s">
        <v>6984</v>
      </c>
      <c r="E1000" s="203">
        <v>43728</v>
      </c>
    </row>
    <row r="1001" spans="1:5" ht="14.25" hidden="1" customHeight="1">
      <c r="A1001" s="16">
        <v>24553770</v>
      </c>
      <c r="B1001" s="17" t="s">
        <v>2923</v>
      </c>
      <c r="C1001" s="17" t="s">
        <v>2924</v>
      </c>
      <c r="D1001" s="1" t="s">
        <v>6984</v>
      </c>
      <c r="E1001" s="35" t="s">
        <v>6990</v>
      </c>
    </row>
    <row r="1002" spans="1:5" ht="14.25" hidden="1" customHeight="1">
      <c r="A1002" s="155">
        <v>24553770</v>
      </c>
      <c r="B1002" s="173" t="s">
        <v>2923</v>
      </c>
      <c r="C1002" s="173" t="s">
        <v>2924</v>
      </c>
      <c r="D1002" s="173" t="s">
        <v>6984</v>
      </c>
      <c r="E1002" s="203">
        <v>43728</v>
      </c>
    </row>
    <row r="1003" spans="1:5" ht="14.25" hidden="1" customHeight="1">
      <c r="A1003" s="16">
        <v>25380568</v>
      </c>
      <c r="B1003" s="17" t="s">
        <v>1823</v>
      </c>
      <c r="C1003" s="17" t="s">
        <v>2753</v>
      </c>
      <c r="D1003" s="1" t="s">
        <v>6984</v>
      </c>
      <c r="E1003" s="35" t="s">
        <v>6990</v>
      </c>
    </row>
    <row r="1004" spans="1:5" ht="14.25" hidden="1" customHeight="1">
      <c r="A1004" s="155">
        <v>25380568</v>
      </c>
      <c r="B1004" s="173" t="s">
        <v>1823</v>
      </c>
      <c r="C1004" s="173" t="s">
        <v>2753</v>
      </c>
      <c r="D1004" s="173" t="s">
        <v>6984</v>
      </c>
      <c r="E1004" s="203">
        <v>43728</v>
      </c>
    </row>
    <row r="1005" spans="1:5" ht="14.25" hidden="1" customHeight="1">
      <c r="A1005" s="16">
        <v>27732258</v>
      </c>
      <c r="B1005" s="17" t="s">
        <v>1385</v>
      </c>
      <c r="C1005" s="17" t="s">
        <v>74</v>
      </c>
      <c r="D1005" s="1" t="s">
        <v>6984</v>
      </c>
      <c r="E1005" s="35" t="s">
        <v>6990</v>
      </c>
    </row>
    <row r="1006" spans="1:5" ht="14.25" hidden="1" customHeight="1">
      <c r="A1006" s="155">
        <v>27732258</v>
      </c>
      <c r="B1006" s="173" t="s">
        <v>1385</v>
      </c>
      <c r="C1006" s="173" t="s">
        <v>74</v>
      </c>
      <c r="D1006" s="173" t="s">
        <v>6984</v>
      </c>
      <c r="E1006" s="203">
        <v>43728</v>
      </c>
    </row>
    <row r="1007" spans="1:5" ht="14.25" hidden="1" customHeight="1">
      <c r="A1007" s="16">
        <v>28458542</v>
      </c>
      <c r="B1007" s="17" t="s">
        <v>578</v>
      </c>
      <c r="C1007" s="17" t="s">
        <v>579</v>
      </c>
      <c r="D1007" s="1" t="s">
        <v>6984</v>
      </c>
      <c r="E1007" s="35" t="s">
        <v>6990</v>
      </c>
    </row>
    <row r="1008" spans="1:5" ht="14.25" hidden="1" customHeight="1">
      <c r="A1008" s="155">
        <v>28458542</v>
      </c>
      <c r="B1008" s="173" t="s">
        <v>578</v>
      </c>
      <c r="C1008" s="173" t="s">
        <v>579</v>
      </c>
      <c r="D1008" s="173" t="s">
        <v>6984</v>
      </c>
      <c r="E1008" s="203">
        <v>43728</v>
      </c>
    </row>
    <row r="1009" spans="1:5" ht="14.25" hidden="1" customHeight="1">
      <c r="A1009" s="16">
        <v>32012359</v>
      </c>
      <c r="B1009" s="17" t="s">
        <v>2961</v>
      </c>
      <c r="C1009" s="17" t="s">
        <v>253</v>
      </c>
      <c r="D1009" s="1" t="s">
        <v>6984</v>
      </c>
      <c r="E1009" s="35" t="s">
        <v>6990</v>
      </c>
    </row>
    <row r="1010" spans="1:5" ht="14.25" hidden="1" customHeight="1">
      <c r="A1010" s="155">
        <v>32012359</v>
      </c>
      <c r="B1010" s="173" t="s">
        <v>2961</v>
      </c>
      <c r="C1010" s="173" t="s">
        <v>253</v>
      </c>
      <c r="D1010" s="173" t="s">
        <v>6984</v>
      </c>
      <c r="E1010" s="203">
        <v>43728</v>
      </c>
    </row>
    <row r="1011" spans="1:5" ht="14.25" hidden="1" customHeight="1">
      <c r="A1011" s="16">
        <v>32109721</v>
      </c>
      <c r="B1011" s="17" t="s">
        <v>428</v>
      </c>
      <c r="C1011" s="17" t="s">
        <v>3549</v>
      </c>
      <c r="D1011" s="1" t="s">
        <v>6984</v>
      </c>
      <c r="E1011" s="35" t="s">
        <v>6990</v>
      </c>
    </row>
    <row r="1012" spans="1:5" ht="14.25" hidden="1" customHeight="1">
      <c r="A1012" s="155">
        <v>32109721</v>
      </c>
      <c r="B1012" s="173" t="s">
        <v>428</v>
      </c>
      <c r="C1012" s="173" t="s">
        <v>3549</v>
      </c>
      <c r="D1012" s="173" t="s">
        <v>6984</v>
      </c>
      <c r="E1012" s="203">
        <v>43728</v>
      </c>
    </row>
    <row r="1013" spans="1:5" ht="14.25" hidden="1" customHeight="1">
      <c r="A1013" s="16">
        <v>32493293</v>
      </c>
      <c r="B1013" s="17" t="s">
        <v>73</v>
      </c>
      <c r="C1013" s="17" t="s">
        <v>74</v>
      </c>
      <c r="D1013" s="1" t="s">
        <v>6984</v>
      </c>
      <c r="E1013" s="35" t="s">
        <v>6990</v>
      </c>
    </row>
    <row r="1014" spans="1:5" ht="14.25" hidden="1" customHeight="1">
      <c r="A1014" s="155">
        <v>32493293</v>
      </c>
      <c r="B1014" s="173" t="s">
        <v>73</v>
      </c>
      <c r="C1014" s="173" t="s">
        <v>74</v>
      </c>
      <c r="D1014" s="173" t="s">
        <v>6984</v>
      </c>
      <c r="E1014" s="203">
        <v>43728</v>
      </c>
    </row>
    <row r="1015" spans="1:5" ht="14.25" hidden="1" customHeight="1">
      <c r="A1015" s="16">
        <v>33540499</v>
      </c>
      <c r="B1015" s="17" t="s">
        <v>794</v>
      </c>
      <c r="C1015" s="17" t="s">
        <v>1585</v>
      </c>
      <c r="D1015" s="1" t="s">
        <v>6984</v>
      </c>
      <c r="E1015" s="35" t="s">
        <v>6990</v>
      </c>
    </row>
    <row r="1016" spans="1:5" ht="14.25" hidden="1" customHeight="1">
      <c r="A1016" s="155">
        <v>33540499</v>
      </c>
      <c r="B1016" s="173" t="s">
        <v>794</v>
      </c>
      <c r="C1016" s="173" t="s">
        <v>1585</v>
      </c>
      <c r="D1016" s="173" t="s">
        <v>6984</v>
      </c>
      <c r="E1016" s="203">
        <v>43728</v>
      </c>
    </row>
    <row r="1017" spans="1:5" ht="14.25" hidden="1" customHeight="1">
      <c r="A1017" s="16">
        <v>34356805</v>
      </c>
      <c r="B1017" s="17" t="s">
        <v>650</v>
      </c>
      <c r="C1017" s="17" t="s">
        <v>6991</v>
      </c>
      <c r="D1017" s="1" t="s">
        <v>6984</v>
      </c>
      <c r="E1017" s="35" t="s">
        <v>6990</v>
      </c>
    </row>
    <row r="1018" spans="1:5" ht="14.25" hidden="1" customHeight="1">
      <c r="A1018" s="155">
        <v>34356805</v>
      </c>
      <c r="B1018" s="173" t="s">
        <v>650</v>
      </c>
      <c r="C1018" s="173" t="s">
        <v>6991</v>
      </c>
      <c r="D1018" s="173" t="s">
        <v>6984</v>
      </c>
      <c r="E1018" s="203">
        <v>43728</v>
      </c>
    </row>
    <row r="1019" spans="1:5" ht="14.25" hidden="1" customHeight="1">
      <c r="A1019" s="16">
        <v>35485322</v>
      </c>
      <c r="B1019" s="17" t="s">
        <v>4227</v>
      </c>
      <c r="C1019" s="17" t="s">
        <v>906</v>
      </c>
      <c r="D1019" s="1" t="s">
        <v>6984</v>
      </c>
      <c r="E1019" s="35" t="s">
        <v>6990</v>
      </c>
    </row>
    <row r="1020" spans="1:5" ht="14.25" hidden="1" customHeight="1">
      <c r="A1020" s="155">
        <v>35485322</v>
      </c>
      <c r="B1020" s="173" t="s">
        <v>4227</v>
      </c>
      <c r="C1020" s="173" t="s">
        <v>906</v>
      </c>
      <c r="D1020" s="173" t="s">
        <v>6984</v>
      </c>
      <c r="E1020" s="203">
        <v>43728</v>
      </c>
    </row>
    <row r="1021" spans="1:5" ht="14.25" hidden="1" customHeight="1">
      <c r="A1021" s="16">
        <v>11475984</v>
      </c>
      <c r="B1021" s="17" t="s">
        <v>3041</v>
      </c>
      <c r="C1021" s="17" t="s">
        <v>783</v>
      </c>
      <c r="D1021" s="1" t="s">
        <v>6992</v>
      </c>
      <c r="E1021" s="35">
        <v>43718</v>
      </c>
    </row>
    <row r="1022" spans="1:5" ht="14.25" hidden="1" customHeight="1">
      <c r="A1022" s="155">
        <v>11475984</v>
      </c>
      <c r="B1022" s="173" t="s">
        <v>3041</v>
      </c>
      <c r="C1022" s="173" t="s">
        <v>783</v>
      </c>
      <c r="D1022" s="173" t="s">
        <v>6992</v>
      </c>
      <c r="E1022" s="203">
        <v>43718</v>
      </c>
    </row>
    <row r="1023" spans="1:5" ht="14.25" hidden="1" customHeight="1">
      <c r="A1023" s="16">
        <v>12318129</v>
      </c>
      <c r="B1023" s="17" t="s">
        <v>2952</v>
      </c>
      <c r="C1023" s="17" t="s">
        <v>1023</v>
      </c>
      <c r="D1023" s="1" t="s">
        <v>6992</v>
      </c>
      <c r="E1023" s="35">
        <v>43718</v>
      </c>
    </row>
    <row r="1024" spans="1:5" ht="14.25" hidden="1" customHeight="1">
      <c r="A1024" s="155">
        <v>12318129</v>
      </c>
      <c r="B1024" s="173" t="s">
        <v>2952</v>
      </c>
      <c r="C1024" s="173" t="s">
        <v>1023</v>
      </c>
      <c r="D1024" s="173" t="s">
        <v>6992</v>
      </c>
      <c r="E1024" s="203">
        <v>43718</v>
      </c>
    </row>
    <row r="1025" spans="1:5" ht="14.25" hidden="1" customHeight="1">
      <c r="A1025" s="16">
        <v>13849108</v>
      </c>
      <c r="B1025" s="17" t="s">
        <v>3101</v>
      </c>
      <c r="C1025" s="17" t="s">
        <v>3102</v>
      </c>
      <c r="D1025" s="1" t="s">
        <v>6992</v>
      </c>
      <c r="E1025" s="35">
        <v>43718</v>
      </c>
    </row>
    <row r="1026" spans="1:5" ht="14.25" hidden="1" customHeight="1">
      <c r="A1026" s="155">
        <v>13849108</v>
      </c>
      <c r="B1026" s="173" t="s">
        <v>3101</v>
      </c>
      <c r="C1026" s="173" t="s">
        <v>3102</v>
      </c>
      <c r="D1026" s="173" t="s">
        <v>6992</v>
      </c>
      <c r="E1026" s="203">
        <v>43718</v>
      </c>
    </row>
    <row r="1027" spans="1:5" ht="14.25" hidden="1" customHeight="1">
      <c r="A1027" s="16">
        <v>14234802</v>
      </c>
      <c r="B1027" s="17" t="s">
        <v>499</v>
      </c>
      <c r="C1027" s="17" t="s">
        <v>2986</v>
      </c>
      <c r="D1027" s="1" t="s">
        <v>6992</v>
      </c>
      <c r="E1027" s="35">
        <v>43718</v>
      </c>
    </row>
    <row r="1028" spans="1:5" ht="14.25" hidden="1" customHeight="1">
      <c r="A1028" s="155">
        <v>14234802</v>
      </c>
      <c r="B1028" s="173" t="s">
        <v>499</v>
      </c>
      <c r="C1028" s="173" t="s">
        <v>2986</v>
      </c>
      <c r="D1028" s="173" t="s">
        <v>6992</v>
      </c>
      <c r="E1028" s="203">
        <v>43718</v>
      </c>
    </row>
    <row r="1029" spans="1:5" ht="14.25" hidden="1" customHeight="1">
      <c r="A1029" s="16">
        <v>14358676</v>
      </c>
      <c r="B1029" s="17" t="s">
        <v>2966</v>
      </c>
      <c r="C1029" s="17" t="s">
        <v>2967</v>
      </c>
      <c r="D1029" s="1" t="s">
        <v>6992</v>
      </c>
      <c r="E1029" s="35">
        <v>43718</v>
      </c>
    </row>
    <row r="1030" spans="1:5" ht="14.25" hidden="1" customHeight="1">
      <c r="A1030" s="155">
        <v>14358676</v>
      </c>
      <c r="B1030" s="173" t="s">
        <v>2966</v>
      </c>
      <c r="C1030" s="173" t="s">
        <v>2967</v>
      </c>
      <c r="D1030" s="173" t="s">
        <v>6992</v>
      </c>
      <c r="E1030" s="203">
        <v>43718</v>
      </c>
    </row>
    <row r="1031" spans="1:5" ht="14.25" hidden="1" customHeight="1">
      <c r="A1031" s="16">
        <v>14358737</v>
      </c>
      <c r="B1031" s="17" t="s">
        <v>2995</v>
      </c>
      <c r="C1031" s="17" t="s">
        <v>1191</v>
      </c>
      <c r="D1031" s="1" t="s">
        <v>6992</v>
      </c>
      <c r="E1031" s="35">
        <v>43718</v>
      </c>
    </row>
    <row r="1032" spans="1:5" ht="14.25" hidden="1" customHeight="1">
      <c r="A1032" s="155">
        <v>14358737</v>
      </c>
      <c r="B1032" s="173" t="s">
        <v>2995</v>
      </c>
      <c r="C1032" s="173" t="s">
        <v>1191</v>
      </c>
      <c r="D1032" s="173" t="s">
        <v>6992</v>
      </c>
      <c r="E1032" s="203">
        <v>43718</v>
      </c>
    </row>
    <row r="1033" spans="1:5" ht="14.25" hidden="1" customHeight="1">
      <c r="A1033" s="16">
        <v>16685009</v>
      </c>
      <c r="B1033" s="17" t="s">
        <v>2936</v>
      </c>
      <c r="C1033" s="17" t="s">
        <v>2937</v>
      </c>
      <c r="D1033" s="1" t="s">
        <v>6992</v>
      </c>
      <c r="E1033" s="35">
        <v>43718</v>
      </c>
    </row>
    <row r="1034" spans="1:5" ht="14.25" hidden="1" customHeight="1">
      <c r="A1034" s="155">
        <v>16685009</v>
      </c>
      <c r="B1034" s="173" t="s">
        <v>2936</v>
      </c>
      <c r="C1034" s="173" t="s">
        <v>2937</v>
      </c>
      <c r="D1034" s="173" t="s">
        <v>6992</v>
      </c>
      <c r="E1034" s="203">
        <v>43718</v>
      </c>
    </row>
    <row r="1035" spans="1:5" ht="14.25" hidden="1" customHeight="1">
      <c r="A1035" s="16">
        <v>16685790</v>
      </c>
      <c r="B1035" s="17" t="s">
        <v>3016</v>
      </c>
      <c r="C1035" s="17" t="s">
        <v>3017</v>
      </c>
      <c r="D1035" s="1" t="s">
        <v>6992</v>
      </c>
      <c r="E1035" s="35">
        <v>43718</v>
      </c>
    </row>
    <row r="1036" spans="1:5" ht="14.25" hidden="1" customHeight="1">
      <c r="A1036" s="155">
        <v>16685790</v>
      </c>
      <c r="B1036" s="173" t="s">
        <v>3016</v>
      </c>
      <c r="C1036" s="173" t="s">
        <v>3017</v>
      </c>
      <c r="D1036" s="173" t="s">
        <v>6992</v>
      </c>
      <c r="E1036" s="203">
        <v>43718</v>
      </c>
    </row>
    <row r="1037" spans="1:5" ht="14.25" hidden="1" customHeight="1">
      <c r="A1037" s="16">
        <v>17614923</v>
      </c>
      <c r="B1037" s="17" t="s">
        <v>690</v>
      </c>
      <c r="C1037" s="17" t="s">
        <v>922</v>
      </c>
      <c r="D1037" s="1" t="s">
        <v>6992</v>
      </c>
      <c r="E1037" s="35">
        <v>43718</v>
      </c>
    </row>
    <row r="1038" spans="1:5" ht="14.25" hidden="1" customHeight="1">
      <c r="A1038" s="155">
        <v>17614923</v>
      </c>
      <c r="B1038" s="173" t="s">
        <v>690</v>
      </c>
      <c r="C1038" s="173" t="s">
        <v>922</v>
      </c>
      <c r="D1038" s="173" t="s">
        <v>6992</v>
      </c>
      <c r="E1038" s="203">
        <v>43718</v>
      </c>
    </row>
    <row r="1039" spans="1:5" ht="14.25" hidden="1" customHeight="1">
      <c r="A1039" s="16">
        <v>17655542</v>
      </c>
      <c r="B1039" s="17" t="s">
        <v>1385</v>
      </c>
      <c r="C1039" s="17" t="s">
        <v>27</v>
      </c>
      <c r="D1039" s="1" t="s">
        <v>6992</v>
      </c>
      <c r="E1039" s="35">
        <v>43718</v>
      </c>
    </row>
    <row r="1040" spans="1:5" ht="14.25" hidden="1" customHeight="1">
      <c r="A1040" s="155">
        <v>17655542</v>
      </c>
      <c r="B1040" s="173" t="s">
        <v>1385</v>
      </c>
      <c r="C1040" s="173" t="s">
        <v>27</v>
      </c>
      <c r="D1040" s="173" t="s">
        <v>6992</v>
      </c>
      <c r="E1040" s="203">
        <v>43718</v>
      </c>
    </row>
    <row r="1041" spans="1:5" ht="14.25" hidden="1" customHeight="1">
      <c r="A1041" s="16">
        <v>17860924</v>
      </c>
      <c r="B1041" s="17" t="s">
        <v>252</v>
      </c>
      <c r="C1041" s="17" t="s">
        <v>2975</v>
      </c>
      <c r="D1041" s="1" t="s">
        <v>6992</v>
      </c>
      <c r="E1041" s="35">
        <v>43718</v>
      </c>
    </row>
    <row r="1042" spans="1:5" ht="14.25" hidden="1" customHeight="1">
      <c r="A1042" s="155">
        <v>17860924</v>
      </c>
      <c r="B1042" s="173" t="s">
        <v>252</v>
      </c>
      <c r="C1042" s="173" t="s">
        <v>2975</v>
      </c>
      <c r="D1042" s="173" t="s">
        <v>6992</v>
      </c>
      <c r="E1042" s="203">
        <v>43718</v>
      </c>
    </row>
    <row r="1043" spans="1:5" ht="14.25" hidden="1" customHeight="1">
      <c r="A1043" s="16">
        <v>20433790</v>
      </c>
      <c r="B1043" s="17" t="s">
        <v>425</v>
      </c>
      <c r="C1043" s="17" t="s">
        <v>1299</v>
      </c>
      <c r="D1043" s="1" t="s">
        <v>6992</v>
      </c>
      <c r="E1043" s="35">
        <v>43718</v>
      </c>
    </row>
    <row r="1044" spans="1:5" ht="14.25" hidden="1" customHeight="1">
      <c r="A1044" s="155">
        <v>20433790</v>
      </c>
      <c r="B1044" s="173" t="s">
        <v>425</v>
      </c>
      <c r="C1044" s="173" t="s">
        <v>1299</v>
      </c>
      <c r="D1044" s="173" t="s">
        <v>6992</v>
      </c>
      <c r="E1044" s="203">
        <v>43718</v>
      </c>
    </row>
    <row r="1045" spans="1:5" ht="14.25" hidden="1" customHeight="1">
      <c r="A1045" s="16">
        <v>21609438</v>
      </c>
      <c r="B1045" s="17" t="s">
        <v>377</v>
      </c>
      <c r="C1045" s="17" t="s">
        <v>3032</v>
      </c>
      <c r="D1045" s="1" t="s">
        <v>6992</v>
      </c>
      <c r="E1045" s="35">
        <v>43718</v>
      </c>
    </row>
    <row r="1046" spans="1:5" ht="14.25" hidden="1" customHeight="1">
      <c r="A1046" s="155">
        <v>21609438</v>
      </c>
      <c r="B1046" s="173" t="s">
        <v>377</v>
      </c>
      <c r="C1046" s="173" t="s">
        <v>3032</v>
      </c>
      <c r="D1046" s="173" t="s">
        <v>6992</v>
      </c>
      <c r="E1046" s="203">
        <v>43718</v>
      </c>
    </row>
    <row r="1047" spans="1:5" ht="14.25" hidden="1" customHeight="1">
      <c r="A1047" s="16">
        <v>22058809</v>
      </c>
      <c r="B1047" s="17" t="s">
        <v>595</v>
      </c>
      <c r="C1047" s="17" t="s">
        <v>2929</v>
      </c>
      <c r="D1047" s="1" t="s">
        <v>6992</v>
      </c>
      <c r="E1047" s="35">
        <v>43718</v>
      </c>
    </row>
    <row r="1048" spans="1:5" ht="14.25" hidden="1" customHeight="1">
      <c r="A1048" s="155">
        <v>22058809</v>
      </c>
      <c r="B1048" s="173" t="s">
        <v>595</v>
      </c>
      <c r="C1048" s="173" t="s">
        <v>2929</v>
      </c>
      <c r="D1048" s="173" t="s">
        <v>6992</v>
      </c>
      <c r="E1048" s="203">
        <v>43718</v>
      </c>
    </row>
    <row r="1049" spans="1:5" ht="14.25" hidden="1" customHeight="1">
      <c r="A1049" s="16">
        <v>22073420</v>
      </c>
      <c r="B1049" s="17" t="s">
        <v>195</v>
      </c>
      <c r="C1049" s="17" t="s">
        <v>363</v>
      </c>
      <c r="D1049" s="1" t="s">
        <v>6992</v>
      </c>
      <c r="E1049" s="35">
        <v>43718</v>
      </c>
    </row>
    <row r="1050" spans="1:5" ht="14.25" hidden="1" customHeight="1">
      <c r="A1050" s="155">
        <v>22073420</v>
      </c>
      <c r="B1050" s="173" t="s">
        <v>195</v>
      </c>
      <c r="C1050" s="173" t="s">
        <v>363</v>
      </c>
      <c r="D1050" s="173" t="s">
        <v>6992</v>
      </c>
      <c r="E1050" s="203">
        <v>43718</v>
      </c>
    </row>
    <row r="1051" spans="1:5" ht="14.25" hidden="1" customHeight="1">
      <c r="A1051" s="16">
        <v>22331107</v>
      </c>
      <c r="B1051" s="17" t="s">
        <v>3061</v>
      </c>
      <c r="C1051" s="17" t="s">
        <v>414</v>
      </c>
      <c r="D1051" s="1" t="s">
        <v>6992</v>
      </c>
      <c r="E1051" s="35">
        <v>43718</v>
      </c>
    </row>
    <row r="1052" spans="1:5" ht="14.25" hidden="1" customHeight="1">
      <c r="A1052" s="155">
        <v>22331107</v>
      </c>
      <c r="B1052" s="173" t="s">
        <v>3061</v>
      </c>
      <c r="C1052" s="173" t="s">
        <v>414</v>
      </c>
      <c r="D1052" s="173" t="s">
        <v>6992</v>
      </c>
      <c r="E1052" s="203">
        <v>43718</v>
      </c>
    </row>
    <row r="1053" spans="1:5" ht="14.25" hidden="1" customHeight="1">
      <c r="A1053" s="16">
        <v>22332640</v>
      </c>
      <c r="B1053" s="17" t="s">
        <v>3094</v>
      </c>
      <c r="C1053" s="17" t="s">
        <v>3095</v>
      </c>
      <c r="D1053" s="1" t="s">
        <v>6992</v>
      </c>
      <c r="E1053" s="35">
        <v>43718</v>
      </c>
    </row>
    <row r="1054" spans="1:5" ht="14.25" hidden="1" customHeight="1">
      <c r="A1054" s="155">
        <v>22332640</v>
      </c>
      <c r="B1054" s="173" t="s">
        <v>3094</v>
      </c>
      <c r="C1054" s="173" t="s">
        <v>3095</v>
      </c>
      <c r="D1054" s="173" t="s">
        <v>6992</v>
      </c>
      <c r="E1054" s="203">
        <v>43718</v>
      </c>
    </row>
    <row r="1055" spans="1:5" ht="14.25" hidden="1" customHeight="1">
      <c r="A1055" s="16">
        <v>22460925</v>
      </c>
      <c r="B1055" s="17" t="s">
        <v>3114</v>
      </c>
      <c r="C1055" s="17" t="s">
        <v>3115</v>
      </c>
      <c r="D1055" s="1" t="s">
        <v>6992</v>
      </c>
      <c r="E1055" s="35">
        <v>43718</v>
      </c>
    </row>
    <row r="1056" spans="1:5" ht="14.25" hidden="1" customHeight="1">
      <c r="A1056" s="155">
        <v>22460925</v>
      </c>
      <c r="B1056" s="173" t="s">
        <v>3114</v>
      </c>
      <c r="C1056" s="173" t="s">
        <v>3115</v>
      </c>
      <c r="D1056" s="173" t="s">
        <v>6992</v>
      </c>
      <c r="E1056" s="203">
        <v>43718</v>
      </c>
    </row>
    <row r="1057" spans="1:5" ht="14.25" hidden="1" customHeight="1">
      <c r="A1057" s="16">
        <v>22664120</v>
      </c>
      <c r="B1057" s="17" t="s">
        <v>3082</v>
      </c>
      <c r="C1057" s="17" t="s">
        <v>3083</v>
      </c>
      <c r="D1057" s="1" t="s">
        <v>6992</v>
      </c>
      <c r="E1057" s="35">
        <v>43718</v>
      </c>
    </row>
    <row r="1058" spans="1:5" ht="14.25" hidden="1" customHeight="1">
      <c r="A1058" s="155">
        <v>22664120</v>
      </c>
      <c r="B1058" s="173" t="s">
        <v>3082</v>
      </c>
      <c r="C1058" s="173" t="s">
        <v>3083</v>
      </c>
      <c r="D1058" s="173" t="s">
        <v>6992</v>
      </c>
      <c r="E1058" s="203">
        <v>43718</v>
      </c>
    </row>
    <row r="1059" spans="1:5" ht="14.25" hidden="1" customHeight="1">
      <c r="A1059" s="16">
        <v>23116307</v>
      </c>
      <c r="B1059" s="17" t="s">
        <v>1547</v>
      </c>
      <c r="C1059" s="17" t="s">
        <v>1353</v>
      </c>
      <c r="D1059" s="1" t="s">
        <v>6992</v>
      </c>
      <c r="E1059" s="35">
        <v>43718</v>
      </c>
    </row>
    <row r="1060" spans="1:5" ht="14.25" hidden="1" customHeight="1">
      <c r="A1060" s="155">
        <v>23116307</v>
      </c>
      <c r="B1060" s="173" t="s">
        <v>1547</v>
      </c>
      <c r="C1060" s="173" t="s">
        <v>1353</v>
      </c>
      <c r="D1060" s="173" t="s">
        <v>6992</v>
      </c>
      <c r="E1060" s="203">
        <v>43718</v>
      </c>
    </row>
    <row r="1061" spans="1:5" ht="14.25" hidden="1" customHeight="1">
      <c r="A1061" s="16">
        <v>23519818</v>
      </c>
      <c r="B1061" s="17" t="s">
        <v>742</v>
      </c>
      <c r="C1061" s="17" t="s">
        <v>3106</v>
      </c>
      <c r="D1061" s="1" t="s">
        <v>6992</v>
      </c>
      <c r="E1061" s="35">
        <v>43718</v>
      </c>
    </row>
    <row r="1062" spans="1:5" ht="14.25" hidden="1" customHeight="1">
      <c r="A1062" s="155">
        <v>23519818</v>
      </c>
      <c r="B1062" s="173" t="s">
        <v>742</v>
      </c>
      <c r="C1062" s="173" t="s">
        <v>3106</v>
      </c>
      <c r="D1062" s="173" t="s">
        <v>6992</v>
      </c>
      <c r="E1062" s="203">
        <v>43718</v>
      </c>
    </row>
    <row r="1063" spans="1:5" ht="14.25" hidden="1" customHeight="1">
      <c r="A1063" s="16">
        <v>26454917</v>
      </c>
      <c r="B1063" s="17" t="s">
        <v>218</v>
      </c>
      <c r="C1063" s="17" t="s">
        <v>3109</v>
      </c>
      <c r="D1063" s="1" t="s">
        <v>6992</v>
      </c>
      <c r="E1063" s="35">
        <v>43718</v>
      </c>
    </row>
    <row r="1064" spans="1:5" ht="14.25" hidden="1" customHeight="1">
      <c r="A1064" s="155">
        <v>26454917</v>
      </c>
      <c r="B1064" s="173" t="s">
        <v>218</v>
      </c>
      <c r="C1064" s="173" t="s">
        <v>3109</v>
      </c>
      <c r="D1064" s="173" t="s">
        <v>6992</v>
      </c>
      <c r="E1064" s="203">
        <v>43718</v>
      </c>
    </row>
    <row r="1065" spans="1:5" ht="14.25" hidden="1" customHeight="1">
      <c r="A1065" s="16">
        <v>28884614</v>
      </c>
      <c r="B1065" s="17" t="s">
        <v>3006</v>
      </c>
      <c r="C1065" s="17" t="s">
        <v>3007</v>
      </c>
      <c r="D1065" s="1" t="s">
        <v>6992</v>
      </c>
      <c r="E1065" s="35">
        <v>43718</v>
      </c>
    </row>
    <row r="1066" spans="1:5" ht="14.25" hidden="1" customHeight="1">
      <c r="A1066" s="155">
        <v>28884614</v>
      </c>
      <c r="B1066" s="173" t="s">
        <v>3006</v>
      </c>
      <c r="C1066" s="173" t="s">
        <v>3007</v>
      </c>
      <c r="D1066" s="173" t="s">
        <v>6992</v>
      </c>
      <c r="E1066" s="203">
        <v>43718</v>
      </c>
    </row>
    <row r="1067" spans="1:5" ht="14.25" hidden="1" customHeight="1">
      <c r="A1067" s="16">
        <v>29532427</v>
      </c>
      <c r="B1067" s="17" t="s">
        <v>226</v>
      </c>
      <c r="C1067" s="17" t="s">
        <v>3091</v>
      </c>
      <c r="D1067" s="1" t="s">
        <v>6992</v>
      </c>
      <c r="E1067" s="35">
        <v>43718</v>
      </c>
    </row>
    <row r="1068" spans="1:5" ht="14.25" hidden="1" customHeight="1">
      <c r="A1068" s="155">
        <v>29532427</v>
      </c>
      <c r="B1068" s="173" t="s">
        <v>226</v>
      </c>
      <c r="C1068" s="173" t="s">
        <v>3091</v>
      </c>
      <c r="D1068" s="173" t="s">
        <v>6992</v>
      </c>
      <c r="E1068" s="203">
        <v>43718</v>
      </c>
    </row>
    <row r="1069" spans="1:5" ht="14.25" hidden="1" customHeight="1">
      <c r="A1069" s="16">
        <v>30597790</v>
      </c>
      <c r="B1069" s="17" t="s">
        <v>3039</v>
      </c>
      <c r="C1069" s="17" t="s">
        <v>3040</v>
      </c>
      <c r="D1069" s="1" t="s">
        <v>6992</v>
      </c>
      <c r="E1069" s="35">
        <v>43718</v>
      </c>
    </row>
    <row r="1070" spans="1:5" ht="14.25" hidden="1" customHeight="1">
      <c r="A1070" s="155">
        <v>30597790</v>
      </c>
      <c r="B1070" s="173" t="s">
        <v>3039</v>
      </c>
      <c r="C1070" s="173" t="s">
        <v>3040</v>
      </c>
      <c r="D1070" s="173" t="s">
        <v>6992</v>
      </c>
      <c r="E1070" s="203">
        <v>43718</v>
      </c>
    </row>
    <row r="1071" spans="1:5" ht="14.25" hidden="1" customHeight="1">
      <c r="A1071" s="16">
        <v>31505906</v>
      </c>
      <c r="B1071" s="17" t="s">
        <v>3068</v>
      </c>
      <c r="C1071" s="17" t="s">
        <v>3069</v>
      </c>
      <c r="D1071" s="1" t="s">
        <v>6992</v>
      </c>
      <c r="E1071" s="35">
        <v>43718</v>
      </c>
    </row>
    <row r="1072" spans="1:5" ht="14.25" hidden="1" customHeight="1">
      <c r="A1072" s="155">
        <v>31505906</v>
      </c>
      <c r="B1072" s="173" t="s">
        <v>3068</v>
      </c>
      <c r="C1072" s="173" t="s">
        <v>3069</v>
      </c>
      <c r="D1072" s="173" t="s">
        <v>6992</v>
      </c>
      <c r="E1072" s="203">
        <v>43718</v>
      </c>
    </row>
    <row r="1073" spans="1:5" ht="14.25" hidden="1" customHeight="1">
      <c r="A1073" s="16">
        <v>31587261</v>
      </c>
      <c r="B1073" s="17" t="s">
        <v>3057</v>
      </c>
      <c r="C1073" s="17" t="s">
        <v>3058</v>
      </c>
      <c r="D1073" s="1" t="s">
        <v>6992</v>
      </c>
      <c r="E1073" s="35">
        <v>43718</v>
      </c>
    </row>
    <row r="1074" spans="1:5" ht="14.25" hidden="1" customHeight="1">
      <c r="A1074" s="155">
        <v>31587261</v>
      </c>
      <c r="B1074" s="173" t="s">
        <v>3057</v>
      </c>
      <c r="C1074" s="173" t="s">
        <v>3058</v>
      </c>
      <c r="D1074" s="173" t="s">
        <v>6992</v>
      </c>
      <c r="E1074" s="203">
        <v>43718</v>
      </c>
    </row>
    <row r="1075" spans="1:5" ht="14.25" hidden="1" customHeight="1">
      <c r="A1075" s="16">
        <v>31588602</v>
      </c>
      <c r="B1075" s="17" t="s">
        <v>3097</v>
      </c>
      <c r="C1075" s="17" t="s">
        <v>3098</v>
      </c>
      <c r="D1075" s="1" t="s">
        <v>6992</v>
      </c>
      <c r="E1075" s="35">
        <v>43718</v>
      </c>
    </row>
    <row r="1076" spans="1:5" ht="14.25" hidden="1" customHeight="1">
      <c r="A1076" s="155">
        <v>31588602</v>
      </c>
      <c r="B1076" s="173" t="s">
        <v>3097</v>
      </c>
      <c r="C1076" s="173" t="s">
        <v>3098</v>
      </c>
      <c r="D1076" s="173" t="s">
        <v>6992</v>
      </c>
      <c r="E1076" s="203">
        <v>43718</v>
      </c>
    </row>
    <row r="1077" spans="1:5" ht="14.25" hidden="1" customHeight="1">
      <c r="A1077" s="16">
        <v>32110828</v>
      </c>
      <c r="B1077" s="17" t="s">
        <v>2294</v>
      </c>
      <c r="C1077" s="17" t="s">
        <v>3111</v>
      </c>
      <c r="D1077" s="1" t="s">
        <v>6992</v>
      </c>
      <c r="E1077" s="35">
        <v>43718</v>
      </c>
    </row>
    <row r="1078" spans="1:5" ht="14.25" hidden="1" customHeight="1">
      <c r="A1078" s="155">
        <v>32110828</v>
      </c>
      <c r="B1078" s="173" t="s">
        <v>2294</v>
      </c>
      <c r="C1078" s="173" t="s">
        <v>3111</v>
      </c>
      <c r="D1078" s="173" t="s">
        <v>6992</v>
      </c>
      <c r="E1078" s="203">
        <v>43718</v>
      </c>
    </row>
    <row r="1079" spans="1:5" ht="14.25" hidden="1" customHeight="1">
      <c r="A1079" s="16">
        <v>33973474</v>
      </c>
      <c r="B1079" s="17" t="s">
        <v>425</v>
      </c>
      <c r="C1079" s="17" t="s">
        <v>3072</v>
      </c>
      <c r="D1079" s="1" t="s">
        <v>6992</v>
      </c>
      <c r="E1079" s="35">
        <v>43718</v>
      </c>
    </row>
    <row r="1080" spans="1:5" ht="14.25" hidden="1" customHeight="1">
      <c r="A1080" s="155">
        <v>33973474</v>
      </c>
      <c r="B1080" s="173" t="s">
        <v>425</v>
      </c>
      <c r="C1080" s="173" t="s">
        <v>3072</v>
      </c>
      <c r="D1080" s="173" t="s">
        <v>6992</v>
      </c>
      <c r="E1080" s="203">
        <v>43718</v>
      </c>
    </row>
    <row r="1081" spans="1:5" ht="14.25" hidden="1" customHeight="1">
      <c r="A1081" s="16">
        <v>34132915</v>
      </c>
      <c r="B1081" s="17" t="s">
        <v>3061</v>
      </c>
      <c r="C1081" s="17" t="s">
        <v>3076</v>
      </c>
      <c r="D1081" s="1" t="s">
        <v>6992</v>
      </c>
      <c r="E1081" s="35">
        <v>43718</v>
      </c>
    </row>
    <row r="1082" spans="1:5" ht="14.25" hidden="1" customHeight="1">
      <c r="A1082" s="155">
        <v>34132915</v>
      </c>
      <c r="B1082" s="173" t="s">
        <v>3061</v>
      </c>
      <c r="C1082" s="173" t="s">
        <v>3076</v>
      </c>
      <c r="D1082" s="173" t="s">
        <v>6992</v>
      </c>
      <c r="E1082" s="203">
        <v>43718</v>
      </c>
    </row>
    <row r="1083" spans="1:5" ht="14.25" hidden="1" customHeight="1">
      <c r="A1083" s="16">
        <v>34133413</v>
      </c>
      <c r="B1083" s="17" t="s">
        <v>3064</v>
      </c>
      <c r="C1083" s="17" t="s">
        <v>3065</v>
      </c>
      <c r="D1083" s="1" t="s">
        <v>6992</v>
      </c>
      <c r="E1083" s="35">
        <v>43718</v>
      </c>
    </row>
    <row r="1084" spans="1:5" ht="14.25" hidden="1" customHeight="1">
      <c r="A1084" s="155">
        <v>34133413</v>
      </c>
      <c r="B1084" s="173" t="s">
        <v>3064</v>
      </c>
      <c r="C1084" s="173" t="s">
        <v>3065</v>
      </c>
      <c r="D1084" s="173" t="s">
        <v>6992</v>
      </c>
      <c r="E1084" s="203">
        <v>43718</v>
      </c>
    </row>
    <row r="1085" spans="1:5" ht="14.25" hidden="1" customHeight="1">
      <c r="A1085" s="16">
        <v>36585692</v>
      </c>
      <c r="B1085" s="17" t="s">
        <v>608</v>
      </c>
      <c r="C1085" s="17" t="s">
        <v>2931</v>
      </c>
      <c r="D1085" s="1" t="s">
        <v>6992</v>
      </c>
      <c r="E1085" s="35">
        <v>43718</v>
      </c>
    </row>
    <row r="1086" spans="1:5" ht="14.25" hidden="1" customHeight="1">
      <c r="A1086" s="155">
        <v>36585692</v>
      </c>
      <c r="B1086" s="173" t="s">
        <v>608</v>
      </c>
      <c r="C1086" s="173" t="s">
        <v>2931</v>
      </c>
      <c r="D1086" s="173" t="s">
        <v>6992</v>
      </c>
      <c r="E1086" s="203">
        <v>43718</v>
      </c>
    </row>
    <row r="1087" spans="1:5" ht="14.25" hidden="1" customHeight="1">
      <c r="A1087" s="16">
        <v>36838485</v>
      </c>
      <c r="B1087" s="17" t="s">
        <v>1793</v>
      </c>
      <c r="C1087" s="17" t="s">
        <v>3088</v>
      </c>
      <c r="D1087" s="1" t="s">
        <v>6992</v>
      </c>
      <c r="E1087" s="35">
        <v>43718</v>
      </c>
    </row>
    <row r="1088" spans="1:5" ht="14.25" hidden="1" customHeight="1">
      <c r="A1088" s="155">
        <v>36838485</v>
      </c>
      <c r="B1088" s="173" t="s">
        <v>1793</v>
      </c>
      <c r="C1088" s="173" t="s">
        <v>3088</v>
      </c>
      <c r="D1088" s="173" t="s">
        <v>6992</v>
      </c>
      <c r="E1088" s="203">
        <v>43718</v>
      </c>
    </row>
    <row r="1089" spans="1:5" ht="14.25" hidden="1" customHeight="1">
      <c r="A1089" s="16">
        <v>36867206</v>
      </c>
      <c r="B1089" s="17" t="s">
        <v>342</v>
      </c>
      <c r="C1089" s="17" t="s">
        <v>3104</v>
      </c>
      <c r="D1089" s="1" t="s">
        <v>6992</v>
      </c>
      <c r="E1089" s="35">
        <v>43718</v>
      </c>
    </row>
    <row r="1090" spans="1:5" ht="14.25" hidden="1" customHeight="1">
      <c r="A1090" s="155">
        <v>36867206</v>
      </c>
      <c r="B1090" s="173" t="s">
        <v>342</v>
      </c>
      <c r="C1090" s="173" t="s">
        <v>3104</v>
      </c>
      <c r="D1090" s="173" t="s">
        <v>6992</v>
      </c>
      <c r="E1090" s="203">
        <v>43718</v>
      </c>
    </row>
    <row r="1091" spans="1:5" ht="14.25" hidden="1" customHeight="1">
      <c r="A1091" s="16">
        <v>39477273</v>
      </c>
      <c r="B1091" s="17" t="s">
        <v>2844</v>
      </c>
      <c r="C1091" s="17" t="s">
        <v>3117</v>
      </c>
      <c r="D1091" s="1" t="s">
        <v>6992</v>
      </c>
      <c r="E1091" s="35">
        <v>43718</v>
      </c>
    </row>
    <row r="1092" spans="1:5" ht="14.25" hidden="1" customHeight="1">
      <c r="A1092" s="155">
        <v>39477273</v>
      </c>
      <c r="B1092" s="173" t="s">
        <v>2844</v>
      </c>
      <c r="C1092" s="173" t="s">
        <v>3117</v>
      </c>
      <c r="D1092" s="173" t="s">
        <v>6992</v>
      </c>
      <c r="E1092" s="203">
        <v>43718</v>
      </c>
    </row>
    <row r="1093" spans="1:5" ht="14.25" hidden="1" customHeight="1">
      <c r="A1093" s="16">
        <v>12733236</v>
      </c>
      <c r="B1093" s="17" t="s">
        <v>1805</v>
      </c>
      <c r="C1093" s="17" t="s">
        <v>1806</v>
      </c>
      <c r="D1093" s="1" t="s">
        <v>6988</v>
      </c>
      <c r="E1093" s="35" t="s">
        <v>6993</v>
      </c>
    </row>
    <row r="1094" spans="1:5" ht="14.25" hidden="1" customHeight="1">
      <c r="A1094" s="155">
        <v>12733236</v>
      </c>
      <c r="B1094" s="173" t="s">
        <v>1805</v>
      </c>
      <c r="C1094" s="173" t="s">
        <v>1806</v>
      </c>
      <c r="D1094" s="173" t="s">
        <v>6988</v>
      </c>
      <c r="E1094" s="203">
        <v>43640</v>
      </c>
    </row>
    <row r="1095" spans="1:5" ht="14.25" hidden="1" customHeight="1">
      <c r="A1095" s="16">
        <v>14023732</v>
      </c>
      <c r="B1095" s="17" t="s">
        <v>6026</v>
      </c>
      <c r="C1095" s="17" t="s">
        <v>1672</v>
      </c>
      <c r="D1095" s="1" t="s">
        <v>6988</v>
      </c>
      <c r="E1095" s="35" t="s">
        <v>6993</v>
      </c>
    </row>
    <row r="1096" spans="1:5" ht="14.25" hidden="1" customHeight="1">
      <c r="A1096" s="155">
        <v>14023732</v>
      </c>
      <c r="B1096" s="173" t="s">
        <v>6026</v>
      </c>
      <c r="C1096" s="173" t="s">
        <v>1672</v>
      </c>
      <c r="D1096" s="173" t="s">
        <v>6988</v>
      </c>
      <c r="E1096" s="203">
        <v>43640</v>
      </c>
    </row>
    <row r="1097" spans="1:5" ht="14.25" hidden="1" customHeight="1">
      <c r="A1097" s="16">
        <v>14296958</v>
      </c>
      <c r="B1097" s="17" t="s">
        <v>5838</v>
      </c>
      <c r="C1097" s="17" t="s">
        <v>5839</v>
      </c>
      <c r="D1097" s="1" t="s">
        <v>6988</v>
      </c>
      <c r="E1097" s="35" t="s">
        <v>6993</v>
      </c>
    </row>
    <row r="1098" spans="1:5" ht="14.25" hidden="1" customHeight="1">
      <c r="A1098" s="155">
        <v>14296958</v>
      </c>
      <c r="B1098" s="173" t="s">
        <v>5838</v>
      </c>
      <c r="C1098" s="173" t="s">
        <v>5839</v>
      </c>
      <c r="D1098" s="173" t="s">
        <v>6988</v>
      </c>
      <c r="E1098" s="203">
        <v>43640</v>
      </c>
    </row>
    <row r="1099" spans="1:5" ht="14.25" hidden="1" customHeight="1">
      <c r="A1099" s="16">
        <v>14660185</v>
      </c>
      <c r="B1099" s="17" t="s">
        <v>5940</v>
      </c>
      <c r="C1099" s="17" t="s">
        <v>5941</v>
      </c>
      <c r="D1099" s="1" t="s">
        <v>6988</v>
      </c>
      <c r="E1099" s="35" t="s">
        <v>6993</v>
      </c>
    </row>
    <row r="1100" spans="1:5" ht="14.25" hidden="1" customHeight="1">
      <c r="A1100" s="155">
        <v>14660185</v>
      </c>
      <c r="B1100" s="173" t="s">
        <v>5940</v>
      </c>
      <c r="C1100" s="173" t="s">
        <v>5941</v>
      </c>
      <c r="D1100" s="173" t="s">
        <v>6988</v>
      </c>
      <c r="E1100" s="203">
        <v>43640</v>
      </c>
    </row>
    <row r="1101" spans="1:5" ht="14.25" hidden="1" customHeight="1">
      <c r="A1101" s="16">
        <v>16308116</v>
      </c>
      <c r="B1101" s="17" t="s">
        <v>4972</v>
      </c>
      <c r="C1101" s="17" t="s">
        <v>639</v>
      </c>
      <c r="D1101" s="1" t="s">
        <v>6988</v>
      </c>
      <c r="E1101" s="35" t="s">
        <v>6993</v>
      </c>
    </row>
    <row r="1102" spans="1:5" ht="14.25" hidden="1" customHeight="1">
      <c r="A1102" s="155">
        <v>16308116</v>
      </c>
      <c r="B1102" s="173" t="s">
        <v>4972</v>
      </c>
      <c r="C1102" s="173" t="s">
        <v>639</v>
      </c>
      <c r="D1102" s="173" t="s">
        <v>6988</v>
      </c>
      <c r="E1102" s="203">
        <v>43640</v>
      </c>
    </row>
    <row r="1103" spans="1:5" ht="14.25" hidden="1" customHeight="1">
      <c r="A1103" s="16">
        <v>20307247</v>
      </c>
      <c r="B1103" s="17" t="s">
        <v>5475</v>
      </c>
      <c r="C1103" s="17" t="s">
        <v>5476</v>
      </c>
      <c r="D1103" s="1" t="s">
        <v>6988</v>
      </c>
      <c r="E1103" s="35" t="s">
        <v>6993</v>
      </c>
    </row>
    <row r="1104" spans="1:5" ht="14.25" hidden="1" customHeight="1">
      <c r="A1104" s="155">
        <v>20307247</v>
      </c>
      <c r="B1104" s="173" t="s">
        <v>5475</v>
      </c>
      <c r="C1104" s="173" t="s">
        <v>5476</v>
      </c>
      <c r="D1104" s="173" t="s">
        <v>6988</v>
      </c>
      <c r="E1104" s="203">
        <v>43640</v>
      </c>
    </row>
    <row r="1105" spans="1:5" ht="14.25" hidden="1" customHeight="1">
      <c r="A1105" s="16">
        <v>20398681</v>
      </c>
      <c r="B1105" s="17" t="s">
        <v>1774</v>
      </c>
      <c r="C1105" s="17" t="s">
        <v>1775</v>
      </c>
      <c r="D1105" s="1" t="s">
        <v>6988</v>
      </c>
      <c r="E1105" s="35" t="s">
        <v>6993</v>
      </c>
    </row>
    <row r="1106" spans="1:5" ht="14.25" hidden="1" customHeight="1">
      <c r="A1106" s="155">
        <v>20398681</v>
      </c>
      <c r="B1106" s="173" t="s">
        <v>1774</v>
      </c>
      <c r="C1106" s="173" t="s">
        <v>1775</v>
      </c>
      <c r="D1106" s="173" t="s">
        <v>6988</v>
      </c>
      <c r="E1106" s="203">
        <v>43640</v>
      </c>
    </row>
    <row r="1107" spans="1:5" ht="14.25" hidden="1" customHeight="1">
      <c r="A1107" s="16">
        <v>22414324</v>
      </c>
      <c r="B1107" s="17" t="s">
        <v>1926</v>
      </c>
      <c r="C1107" s="17" t="s">
        <v>2815</v>
      </c>
      <c r="D1107" s="1" t="s">
        <v>6988</v>
      </c>
      <c r="E1107" s="35" t="s">
        <v>6993</v>
      </c>
    </row>
    <row r="1108" spans="1:5" ht="14.25" hidden="1" customHeight="1">
      <c r="A1108" s="155">
        <v>22414324</v>
      </c>
      <c r="B1108" s="173" t="s">
        <v>1926</v>
      </c>
      <c r="C1108" s="173" t="s">
        <v>2815</v>
      </c>
      <c r="D1108" s="173" t="s">
        <v>6988</v>
      </c>
      <c r="E1108" s="203">
        <v>43640</v>
      </c>
    </row>
    <row r="1109" spans="1:5" ht="14.25" hidden="1" customHeight="1">
      <c r="A1109" s="16">
        <v>23238026</v>
      </c>
      <c r="B1109" s="17" t="s">
        <v>4893</v>
      </c>
      <c r="C1109" s="17" t="s">
        <v>1535</v>
      </c>
      <c r="D1109" s="1" t="s">
        <v>6988</v>
      </c>
      <c r="E1109" s="35" t="s">
        <v>6993</v>
      </c>
    </row>
    <row r="1110" spans="1:5" ht="14.25" hidden="1" customHeight="1">
      <c r="A1110" s="155">
        <v>23238026</v>
      </c>
      <c r="B1110" s="173" t="s">
        <v>4893</v>
      </c>
      <c r="C1110" s="173" t="s">
        <v>1535</v>
      </c>
      <c r="D1110" s="173" t="s">
        <v>6988</v>
      </c>
      <c r="E1110" s="203">
        <v>43640</v>
      </c>
    </row>
    <row r="1111" spans="1:5" ht="14.25" hidden="1" customHeight="1">
      <c r="A1111" s="16">
        <v>25734593</v>
      </c>
      <c r="B1111" s="17" t="s">
        <v>5433</v>
      </c>
      <c r="C1111" s="17" t="s">
        <v>5434</v>
      </c>
      <c r="D1111" s="1" t="s">
        <v>6988</v>
      </c>
      <c r="E1111" s="35" t="s">
        <v>6993</v>
      </c>
    </row>
    <row r="1112" spans="1:5" ht="14.25" hidden="1" customHeight="1">
      <c r="A1112" s="155">
        <v>25734593</v>
      </c>
      <c r="B1112" s="173" t="s">
        <v>5433</v>
      </c>
      <c r="C1112" s="173" t="s">
        <v>5434</v>
      </c>
      <c r="D1112" s="173" t="s">
        <v>6988</v>
      </c>
      <c r="E1112" s="203">
        <v>43640</v>
      </c>
    </row>
    <row r="1113" spans="1:5" ht="14.25" hidden="1" customHeight="1">
      <c r="A1113" s="16">
        <v>25844102</v>
      </c>
      <c r="B1113" s="17" t="s">
        <v>5922</v>
      </c>
      <c r="C1113" s="17" t="s">
        <v>5923</v>
      </c>
      <c r="D1113" s="1" t="s">
        <v>6988</v>
      </c>
      <c r="E1113" s="35" t="s">
        <v>6993</v>
      </c>
    </row>
    <row r="1114" spans="1:5" ht="14.25" hidden="1" customHeight="1">
      <c r="A1114" s="155">
        <v>25844102</v>
      </c>
      <c r="B1114" s="173" t="s">
        <v>5922</v>
      </c>
      <c r="C1114" s="173" t="s">
        <v>5923</v>
      </c>
      <c r="D1114" s="173" t="s">
        <v>6988</v>
      </c>
      <c r="E1114" s="203">
        <v>43640</v>
      </c>
    </row>
    <row r="1115" spans="1:5" ht="14.25" hidden="1" customHeight="1">
      <c r="A1115" s="16">
        <v>27972084</v>
      </c>
      <c r="B1115" s="17" t="s">
        <v>6481</v>
      </c>
      <c r="C1115" s="17" t="s">
        <v>6482</v>
      </c>
      <c r="D1115" s="1" t="s">
        <v>6988</v>
      </c>
      <c r="E1115" s="35" t="s">
        <v>6993</v>
      </c>
    </row>
    <row r="1116" spans="1:5" ht="14.25" hidden="1" customHeight="1">
      <c r="A1116" s="16">
        <v>27972084</v>
      </c>
      <c r="B1116" s="17" t="s">
        <v>6481</v>
      </c>
      <c r="C1116" s="17" t="s">
        <v>6482</v>
      </c>
      <c r="D1116" s="1" t="s">
        <v>6988</v>
      </c>
      <c r="E1116" s="35" t="s">
        <v>6993</v>
      </c>
    </row>
    <row r="1117" spans="1:5" ht="14.25" hidden="1" customHeight="1">
      <c r="A1117" s="155">
        <v>27972084</v>
      </c>
      <c r="B1117" s="173" t="s">
        <v>6481</v>
      </c>
      <c r="C1117" s="173" t="s">
        <v>6482</v>
      </c>
      <c r="D1117" s="173" t="s">
        <v>6988</v>
      </c>
      <c r="E1117" s="203">
        <v>43640</v>
      </c>
    </row>
    <row r="1118" spans="1:5" ht="14.25" hidden="1" customHeight="1">
      <c r="A1118" s="155">
        <v>27972084</v>
      </c>
      <c r="B1118" s="173" t="s">
        <v>6481</v>
      </c>
      <c r="C1118" s="173" t="s">
        <v>6482</v>
      </c>
      <c r="D1118" s="173" t="s">
        <v>6988</v>
      </c>
      <c r="E1118" s="203">
        <v>43640</v>
      </c>
    </row>
    <row r="1119" spans="1:5" ht="14.25" hidden="1" customHeight="1">
      <c r="A1119" s="16">
        <v>11475132</v>
      </c>
      <c r="B1119" s="17" t="s">
        <v>5034</v>
      </c>
      <c r="C1119" s="17" t="s">
        <v>6492</v>
      </c>
      <c r="D1119" s="1" t="s">
        <v>6994</v>
      </c>
      <c r="E1119" s="35" t="s">
        <v>6995</v>
      </c>
    </row>
    <row r="1120" spans="1:5" ht="14.25" hidden="1" customHeight="1">
      <c r="A1120" s="155">
        <v>11475132</v>
      </c>
      <c r="B1120" s="173" t="s">
        <v>5034</v>
      </c>
      <c r="C1120" s="173" t="s">
        <v>6492</v>
      </c>
      <c r="D1120" s="173" t="s">
        <v>6994</v>
      </c>
      <c r="E1120" s="203">
        <v>43612</v>
      </c>
    </row>
    <row r="1121" spans="1:5" ht="14.25" hidden="1" customHeight="1">
      <c r="A1121" s="16">
        <v>12336328</v>
      </c>
      <c r="B1121" s="17" t="s">
        <v>1032</v>
      </c>
      <c r="C1121" s="17" t="s">
        <v>6070</v>
      </c>
      <c r="D1121" s="1" t="s">
        <v>6994</v>
      </c>
      <c r="E1121" s="35" t="s">
        <v>6995</v>
      </c>
    </row>
    <row r="1122" spans="1:5" ht="14.25" hidden="1" customHeight="1">
      <c r="A1122" s="155">
        <v>12336328</v>
      </c>
      <c r="B1122" s="173" t="s">
        <v>1032</v>
      </c>
      <c r="C1122" s="173" t="s">
        <v>6070</v>
      </c>
      <c r="D1122" s="173" t="s">
        <v>6994</v>
      </c>
      <c r="E1122" s="203">
        <v>43612</v>
      </c>
    </row>
    <row r="1123" spans="1:5" ht="14.25" hidden="1" customHeight="1">
      <c r="A1123" s="16">
        <v>13338617</v>
      </c>
      <c r="B1123" s="17" t="s">
        <v>83</v>
      </c>
      <c r="C1123" s="17" t="s">
        <v>84</v>
      </c>
      <c r="D1123" s="1" t="s">
        <v>6994</v>
      </c>
      <c r="E1123" s="35" t="s">
        <v>6995</v>
      </c>
    </row>
    <row r="1124" spans="1:5" ht="14.25" hidden="1" customHeight="1">
      <c r="A1124" s="155">
        <v>13338617</v>
      </c>
      <c r="B1124" s="173" t="s">
        <v>83</v>
      </c>
      <c r="C1124" s="173" t="s">
        <v>84</v>
      </c>
      <c r="D1124" s="173" t="s">
        <v>6994</v>
      </c>
      <c r="E1124" s="203">
        <v>43612</v>
      </c>
    </row>
    <row r="1125" spans="1:5" ht="14.25" hidden="1" customHeight="1">
      <c r="A1125" s="16">
        <v>14984183</v>
      </c>
      <c r="B1125" s="17" t="s">
        <v>5811</v>
      </c>
      <c r="C1125" s="17" t="s">
        <v>876</v>
      </c>
      <c r="D1125" s="1" t="s">
        <v>6994</v>
      </c>
      <c r="E1125" s="35" t="s">
        <v>6995</v>
      </c>
    </row>
    <row r="1126" spans="1:5" ht="14.25" hidden="1" customHeight="1">
      <c r="A1126" s="155">
        <v>14984183</v>
      </c>
      <c r="B1126" s="173" t="s">
        <v>5811</v>
      </c>
      <c r="C1126" s="173" t="s">
        <v>876</v>
      </c>
      <c r="D1126" s="173" t="s">
        <v>6994</v>
      </c>
      <c r="E1126" s="203">
        <v>43612</v>
      </c>
    </row>
    <row r="1127" spans="1:5" ht="14.25" hidden="1" customHeight="1">
      <c r="A1127" s="16">
        <v>16314577</v>
      </c>
      <c r="B1127" s="17" t="s">
        <v>377</v>
      </c>
      <c r="C1127" s="17" t="s">
        <v>378</v>
      </c>
      <c r="D1127" s="1" t="s">
        <v>6994</v>
      </c>
      <c r="E1127" s="35" t="s">
        <v>6995</v>
      </c>
    </row>
    <row r="1128" spans="1:5" ht="14.25" hidden="1" customHeight="1">
      <c r="A1128" s="155">
        <v>16314577</v>
      </c>
      <c r="B1128" s="173" t="s">
        <v>377</v>
      </c>
      <c r="C1128" s="173" t="s">
        <v>378</v>
      </c>
      <c r="D1128" s="173" t="s">
        <v>6994</v>
      </c>
      <c r="E1128" s="203">
        <v>43612</v>
      </c>
    </row>
    <row r="1129" spans="1:5" ht="14.25" hidden="1" customHeight="1">
      <c r="A1129" s="16">
        <v>16540918</v>
      </c>
      <c r="B1129" s="17" t="s">
        <v>595</v>
      </c>
      <c r="C1129" s="17" t="s">
        <v>468</v>
      </c>
      <c r="D1129" s="1" t="s">
        <v>6994</v>
      </c>
      <c r="E1129" s="35" t="s">
        <v>6995</v>
      </c>
    </row>
    <row r="1130" spans="1:5" ht="14.25" hidden="1" customHeight="1">
      <c r="A1130" s="155">
        <v>16540918</v>
      </c>
      <c r="B1130" s="173" t="s">
        <v>595</v>
      </c>
      <c r="C1130" s="173" t="s">
        <v>468</v>
      </c>
      <c r="D1130" s="173" t="s">
        <v>6994</v>
      </c>
      <c r="E1130" s="203">
        <v>43612</v>
      </c>
    </row>
    <row r="1131" spans="1:5" ht="14.25" hidden="1" customHeight="1">
      <c r="A1131" s="16">
        <v>16932642</v>
      </c>
      <c r="B1131" s="17" t="s">
        <v>4344</v>
      </c>
      <c r="C1131" s="17" t="s">
        <v>767</v>
      </c>
      <c r="D1131" s="1" t="s">
        <v>6994</v>
      </c>
      <c r="E1131" s="35" t="s">
        <v>6995</v>
      </c>
    </row>
    <row r="1132" spans="1:5" ht="14.25" hidden="1" customHeight="1">
      <c r="A1132" s="155">
        <v>16932642</v>
      </c>
      <c r="B1132" s="173" t="s">
        <v>4344</v>
      </c>
      <c r="C1132" s="173" t="s">
        <v>767</v>
      </c>
      <c r="D1132" s="173" t="s">
        <v>6994</v>
      </c>
      <c r="E1132" s="203">
        <v>43612</v>
      </c>
    </row>
    <row r="1133" spans="1:5" ht="14.25" hidden="1" customHeight="1">
      <c r="A1133" s="16">
        <v>18461335</v>
      </c>
      <c r="B1133" s="17" t="s">
        <v>2919</v>
      </c>
      <c r="C1133" s="17" t="s">
        <v>1003</v>
      </c>
      <c r="D1133" s="1" t="s">
        <v>6994</v>
      </c>
      <c r="E1133" s="35" t="s">
        <v>6995</v>
      </c>
    </row>
    <row r="1134" spans="1:5" ht="14.25" hidden="1" customHeight="1">
      <c r="A1134" s="155">
        <v>18461335</v>
      </c>
      <c r="B1134" s="173" t="s">
        <v>2919</v>
      </c>
      <c r="C1134" s="173" t="s">
        <v>1003</v>
      </c>
      <c r="D1134" s="173" t="s">
        <v>6994</v>
      </c>
      <c r="E1134" s="203">
        <v>43612</v>
      </c>
    </row>
    <row r="1135" spans="1:5" ht="14.25" hidden="1" customHeight="1">
      <c r="A1135" s="16">
        <v>20285487</v>
      </c>
      <c r="B1135" s="17" t="s">
        <v>428</v>
      </c>
      <c r="C1135" s="17" t="s">
        <v>3318</v>
      </c>
      <c r="D1135" s="1" t="s">
        <v>6994</v>
      </c>
      <c r="E1135" s="35" t="s">
        <v>6995</v>
      </c>
    </row>
    <row r="1136" spans="1:5" ht="14.25" hidden="1" customHeight="1">
      <c r="A1136" s="155">
        <v>20285487</v>
      </c>
      <c r="B1136" s="173" t="s">
        <v>428</v>
      </c>
      <c r="C1136" s="173" t="s">
        <v>3318</v>
      </c>
      <c r="D1136" s="173" t="s">
        <v>6994</v>
      </c>
      <c r="E1136" s="203">
        <v>43612</v>
      </c>
    </row>
    <row r="1137" spans="1:5" ht="14.25" hidden="1" customHeight="1">
      <c r="A1137" s="16">
        <v>21320060</v>
      </c>
      <c r="B1137" s="17" t="s">
        <v>5133</v>
      </c>
      <c r="C1137" s="17" t="s">
        <v>5134</v>
      </c>
      <c r="D1137" s="1" t="s">
        <v>6994</v>
      </c>
      <c r="E1137" s="35" t="s">
        <v>6995</v>
      </c>
    </row>
    <row r="1138" spans="1:5" ht="14.25" hidden="1" customHeight="1">
      <c r="A1138" s="155">
        <v>21320060</v>
      </c>
      <c r="B1138" s="173" t="s">
        <v>5133</v>
      </c>
      <c r="C1138" s="173" t="s">
        <v>5134</v>
      </c>
      <c r="D1138" s="173" t="s">
        <v>6994</v>
      </c>
      <c r="E1138" s="203">
        <v>43612</v>
      </c>
    </row>
    <row r="1139" spans="1:5" ht="14.25" hidden="1" customHeight="1">
      <c r="A1139" s="16">
        <v>21744058</v>
      </c>
      <c r="B1139" s="17" t="s">
        <v>1823</v>
      </c>
      <c r="C1139" s="17" t="s">
        <v>1138</v>
      </c>
      <c r="D1139" s="1" t="s">
        <v>6994</v>
      </c>
      <c r="E1139" s="35" t="s">
        <v>6995</v>
      </c>
    </row>
    <row r="1140" spans="1:5" ht="14.25" hidden="1" customHeight="1">
      <c r="A1140" s="155">
        <v>21744058</v>
      </c>
      <c r="B1140" s="173" t="s">
        <v>1823</v>
      </c>
      <c r="C1140" s="173" t="s">
        <v>1138</v>
      </c>
      <c r="D1140" s="173" t="s">
        <v>6994</v>
      </c>
      <c r="E1140" s="203">
        <v>43612</v>
      </c>
    </row>
    <row r="1141" spans="1:5" ht="14.25" hidden="1" customHeight="1">
      <c r="A1141" s="16">
        <v>21744631</v>
      </c>
      <c r="B1141" s="17" t="s">
        <v>3622</v>
      </c>
      <c r="C1141" s="17" t="s">
        <v>3623</v>
      </c>
      <c r="D1141" s="1" t="s">
        <v>6994</v>
      </c>
      <c r="E1141" s="35" t="s">
        <v>6995</v>
      </c>
    </row>
    <row r="1142" spans="1:5" ht="14.25" hidden="1" customHeight="1">
      <c r="A1142" s="155">
        <v>21744631</v>
      </c>
      <c r="B1142" s="173" t="s">
        <v>3622</v>
      </c>
      <c r="C1142" s="173" t="s">
        <v>3623</v>
      </c>
      <c r="D1142" s="173" t="s">
        <v>6994</v>
      </c>
      <c r="E1142" s="203">
        <v>43612</v>
      </c>
    </row>
    <row r="1143" spans="1:5" ht="14.25" hidden="1" customHeight="1">
      <c r="A1143" s="16">
        <v>22336712</v>
      </c>
      <c r="B1143" s="17" t="s">
        <v>5262</v>
      </c>
      <c r="C1143" s="17" t="s">
        <v>5263</v>
      </c>
      <c r="D1143" s="1" t="s">
        <v>6994</v>
      </c>
      <c r="E1143" s="35" t="s">
        <v>6995</v>
      </c>
    </row>
    <row r="1144" spans="1:5" ht="14.25" hidden="1" customHeight="1">
      <c r="A1144" s="155">
        <v>22336712</v>
      </c>
      <c r="B1144" s="173" t="s">
        <v>5262</v>
      </c>
      <c r="C1144" s="173" t="s">
        <v>5263</v>
      </c>
      <c r="D1144" s="173" t="s">
        <v>6994</v>
      </c>
      <c r="E1144" s="203">
        <v>43612</v>
      </c>
    </row>
    <row r="1145" spans="1:5" ht="14.25" hidden="1" customHeight="1">
      <c r="A1145" s="16">
        <v>23411308</v>
      </c>
      <c r="B1145" s="17" t="s">
        <v>2359</v>
      </c>
      <c r="C1145" s="17" t="s">
        <v>962</v>
      </c>
      <c r="D1145" s="1" t="s">
        <v>6994</v>
      </c>
      <c r="E1145" s="35" t="s">
        <v>6995</v>
      </c>
    </row>
    <row r="1146" spans="1:5" ht="14.25" hidden="1" customHeight="1">
      <c r="A1146" s="155">
        <v>23411308</v>
      </c>
      <c r="B1146" s="173" t="s">
        <v>2359</v>
      </c>
      <c r="C1146" s="173" t="s">
        <v>962</v>
      </c>
      <c r="D1146" s="173" t="s">
        <v>6994</v>
      </c>
      <c r="E1146" s="203">
        <v>43612</v>
      </c>
    </row>
    <row r="1147" spans="1:5" ht="14.25" hidden="1" customHeight="1">
      <c r="A1147" s="16">
        <v>23517103</v>
      </c>
      <c r="B1147" s="17" t="s">
        <v>3612</v>
      </c>
      <c r="C1147" s="17" t="s">
        <v>3613</v>
      </c>
      <c r="D1147" s="1" t="s">
        <v>6994</v>
      </c>
      <c r="E1147" s="35" t="s">
        <v>6995</v>
      </c>
    </row>
    <row r="1148" spans="1:5" ht="14.25" hidden="1" customHeight="1">
      <c r="A1148" s="155">
        <v>23517103</v>
      </c>
      <c r="B1148" s="173" t="s">
        <v>3612</v>
      </c>
      <c r="C1148" s="173" t="s">
        <v>3613</v>
      </c>
      <c r="D1148" s="173" t="s">
        <v>6994</v>
      </c>
      <c r="E1148" s="203">
        <v>43612</v>
      </c>
    </row>
    <row r="1149" spans="1:5" ht="14.25" hidden="1" customHeight="1">
      <c r="A1149" s="16">
        <v>23930783</v>
      </c>
      <c r="B1149" s="17" t="s">
        <v>4730</v>
      </c>
      <c r="C1149" s="17" t="s">
        <v>4676</v>
      </c>
      <c r="D1149" s="1" t="s">
        <v>6994</v>
      </c>
      <c r="E1149" s="35" t="s">
        <v>6995</v>
      </c>
    </row>
    <row r="1150" spans="1:5" ht="14.25" hidden="1" customHeight="1">
      <c r="A1150" s="155">
        <v>23930783</v>
      </c>
      <c r="B1150" s="173" t="s">
        <v>4730</v>
      </c>
      <c r="C1150" s="173" t="s">
        <v>4676</v>
      </c>
      <c r="D1150" s="173" t="s">
        <v>6994</v>
      </c>
      <c r="E1150" s="203">
        <v>43612</v>
      </c>
    </row>
    <row r="1151" spans="1:5" ht="14.25" hidden="1" customHeight="1">
      <c r="A1151" s="16">
        <v>24200383</v>
      </c>
      <c r="B1151" s="17" t="s">
        <v>207</v>
      </c>
      <c r="C1151" s="17" t="s">
        <v>655</v>
      </c>
      <c r="D1151" s="1" t="s">
        <v>6994</v>
      </c>
      <c r="E1151" s="35" t="s">
        <v>6995</v>
      </c>
    </row>
    <row r="1152" spans="1:5" ht="14.25" hidden="1" customHeight="1">
      <c r="A1152" s="155">
        <v>24200383</v>
      </c>
      <c r="B1152" s="173" t="s">
        <v>207</v>
      </c>
      <c r="C1152" s="173" t="s">
        <v>655</v>
      </c>
      <c r="D1152" s="173" t="s">
        <v>6994</v>
      </c>
      <c r="E1152" s="203">
        <v>43612</v>
      </c>
    </row>
    <row r="1153" spans="1:5" ht="14.25" hidden="1" customHeight="1">
      <c r="A1153" s="16">
        <v>24200813</v>
      </c>
      <c r="B1153" s="17" t="s">
        <v>2766</v>
      </c>
      <c r="C1153" s="17" t="s">
        <v>2767</v>
      </c>
      <c r="D1153" s="1" t="s">
        <v>6994</v>
      </c>
      <c r="E1153" s="35" t="s">
        <v>6995</v>
      </c>
    </row>
    <row r="1154" spans="1:5" ht="14.25" hidden="1" customHeight="1">
      <c r="A1154" s="155">
        <v>24200813</v>
      </c>
      <c r="B1154" s="173" t="s">
        <v>2766</v>
      </c>
      <c r="C1154" s="173" t="s">
        <v>2767</v>
      </c>
      <c r="D1154" s="173" t="s">
        <v>6994</v>
      </c>
      <c r="E1154" s="203">
        <v>43612</v>
      </c>
    </row>
    <row r="1155" spans="1:5" ht="14.25" hidden="1" customHeight="1">
      <c r="A1155" s="16">
        <v>24622574</v>
      </c>
      <c r="B1155" s="17" t="s">
        <v>47</v>
      </c>
      <c r="C1155" s="17" t="s">
        <v>4961</v>
      </c>
      <c r="D1155" s="1" t="s">
        <v>6994</v>
      </c>
      <c r="E1155" s="35" t="s">
        <v>6995</v>
      </c>
    </row>
    <row r="1156" spans="1:5" ht="14.25" hidden="1" customHeight="1">
      <c r="A1156" s="155">
        <v>24622574</v>
      </c>
      <c r="B1156" s="173" t="s">
        <v>47</v>
      </c>
      <c r="C1156" s="173" t="s">
        <v>4961</v>
      </c>
      <c r="D1156" s="173" t="s">
        <v>6994</v>
      </c>
      <c r="E1156" s="203">
        <v>43612</v>
      </c>
    </row>
    <row r="1157" spans="1:5" ht="14.25" hidden="1" customHeight="1">
      <c r="A1157" s="16">
        <v>25069190</v>
      </c>
      <c r="B1157" s="17" t="s">
        <v>842</v>
      </c>
      <c r="C1157" s="17" t="s">
        <v>843</v>
      </c>
      <c r="D1157" s="1" t="s">
        <v>6994</v>
      </c>
      <c r="E1157" s="35" t="s">
        <v>6995</v>
      </c>
    </row>
    <row r="1158" spans="1:5" ht="14.25" hidden="1" customHeight="1">
      <c r="A1158" s="155">
        <v>25069190</v>
      </c>
      <c r="B1158" s="173" t="s">
        <v>842</v>
      </c>
      <c r="C1158" s="173" t="s">
        <v>843</v>
      </c>
      <c r="D1158" s="173" t="s">
        <v>6994</v>
      </c>
      <c r="E1158" s="203">
        <v>43612</v>
      </c>
    </row>
    <row r="1159" spans="1:5" ht="14.25" hidden="1" customHeight="1">
      <c r="A1159" s="16">
        <v>25444256</v>
      </c>
      <c r="B1159" s="17" t="s">
        <v>5764</v>
      </c>
      <c r="C1159" s="17" t="s">
        <v>5765</v>
      </c>
      <c r="D1159" s="1" t="s">
        <v>6994</v>
      </c>
      <c r="E1159" s="35" t="s">
        <v>6995</v>
      </c>
    </row>
    <row r="1160" spans="1:5" ht="14.25" hidden="1" customHeight="1">
      <c r="A1160" s="155">
        <v>25444256</v>
      </c>
      <c r="B1160" s="173" t="s">
        <v>5764</v>
      </c>
      <c r="C1160" s="173" t="s">
        <v>5765</v>
      </c>
      <c r="D1160" s="173" t="s">
        <v>6994</v>
      </c>
      <c r="E1160" s="203">
        <v>43612</v>
      </c>
    </row>
    <row r="1161" spans="1:5" ht="14.25" hidden="1" customHeight="1">
      <c r="A1161" s="16">
        <v>25734593</v>
      </c>
      <c r="B1161" s="17" t="s">
        <v>5433</v>
      </c>
      <c r="C1161" s="17" t="s">
        <v>5434</v>
      </c>
      <c r="D1161" s="1" t="s">
        <v>6994</v>
      </c>
      <c r="E1161" s="35" t="s">
        <v>6995</v>
      </c>
    </row>
    <row r="1162" spans="1:5" ht="14.25" hidden="1" customHeight="1">
      <c r="A1162" s="155">
        <v>25734593</v>
      </c>
      <c r="B1162" s="173" t="s">
        <v>5433</v>
      </c>
      <c r="C1162" s="173" t="s">
        <v>5434</v>
      </c>
      <c r="D1162" s="173" t="s">
        <v>6994</v>
      </c>
      <c r="E1162" s="203">
        <v>43612</v>
      </c>
    </row>
    <row r="1163" spans="1:5" ht="14.25" hidden="1" customHeight="1">
      <c r="A1163" s="16">
        <v>25735261</v>
      </c>
      <c r="B1163" s="17" t="s">
        <v>2912</v>
      </c>
      <c r="C1163" s="17" t="s">
        <v>2913</v>
      </c>
      <c r="D1163" s="1" t="s">
        <v>6994</v>
      </c>
      <c r="E1163" s="35" t="s">
        <v>6995</v>
      </c>
    </row>
    <row r="1164" spans="1:5" ht="14.25" hidden="1" customHeight="1">
      <c r="A1164" s="155">
        <v>25735261</v>
      </c>
      <c r="B1164" s="173" t="s">
        <v>2912</v>
      </c>
      <c r="C1164" s="173" t="s">
        <v>2913</v>
      </c>
      <c r="D1164" s="173" t="s">
        <v>6994</v>
      </c>
      <c r="E1164" s="203">
        <v>43612</v>
      </c>
    </row>
    <row r="1165" spans="1:5" ht="14.25" hidden="1" customHeight="1">
      <c r="A1165" s="16">
        <v>25735833</v>
      </c>
      <c r="B1165" s="17" t="s">
        <v>3622</v>
      </c>
      <c r="C1165" s="17" t="s">
        <v>4184</v>
      </c>
      <c r="D1165" s="1" t="s">
        <v>6994</v>
      </c>
      <c r="E1165" s="35" t="s">
        <v>6995</v>
      </c>
    </row>
    <row r="1166" spans="1:5" ht="14.25" hidden="1" customHeight="1">
      <c r="A1166" s="155">
        <v>25735833</v>
      </c>
      <c r="B1166" s="173" t="s">
        <v>3622</v>
      </c>
      <c r="C1166" s="173" t="s">
        <v>4184</v>
      </c>
      <c r="D1166" s="173" t="s">
        <v>6994</v>
      </c>
      <c r="E1166" s="203">
        <v>43612</v>
      </c>
    </row>
    <row r="1167" spans="1:5" ht="14.25" hidden="1" customHeight="1">
      <c r="A1167" s="16">
        <v>25923655</v>
      </c>
      <c r="B1167" s="17" t="s">
        <v>311</v>
      </c>
      <c r="C1167" s="17" t="s">
        <v>174</v>
      </c>
      <c r="D1167" s="1" t="s">
        <v>6994</v>
      </c>
      <c r="E1167" s="35" t="s">
        <v>6995</v>
      </c>
    </row>
    <row r="1168" spans="1:5" ht="14.25" hidden="1" customHeight="1">
      <c r="A1168" s="155">
        <v>25923655</v>
      </c>
      <c r="B1168" s="173" t="s">
        <v>311</v>
      </c>
      <c r="C1168" s="173" t="s">
        <v>174</v>
      </c>
      <c r="D1168" s="173" t="s">
        <v>6994</v>
      </c>
      <c r="E1168" s="203">
        <v>43612</v>
      </c>
    </row>
    <row r="1169" spans="1:5" ht="14.25" hidden="1" customHeight="1">
      <c r="A1169" s="16">
        <v>31275812</v>
      </c>
      <c r="B1169" s="17" t="s">
        <v>327</v>
      </c>
      <c r="C1169" s="17" t="s">
        <v>838</v>
      </c>
      <c r="D1169" s="1" t="s">
        <v>6994</v>
      </c>
      <c r="E1169" s="35" t="s">
        <v>6995</v>
      </c>
    </row>
    <row r="1170" spans="1:5" ht="14.25" hidden="1" customHeight="1">
      <c r="A1170" s="155">
        <v>31275812</v>
      </c>
      <c r="B1170" s="173" t="s">
        <v>327</v>
      </c>
      <c r="C1170" s="173" t="s">
        <v>838</v>
      </c>
      <c r="D1170" s="173" t="s">
        <v>6994</v>
      </c>
      <c r="E1170" s="203">
        <v>43612</v>
      </c>
    </row>
    <row r="1171" spans="1:5" ht="14.25" hidden="1" customHeight="1">
      <c r="A1171" s="16">
        <v>32012359</v>
      </c>
      <c r="B1171" s="17" t="s">
        <v>2961</v>
      </c>
      <c r="C1171" s="17" t="s">
        <v>253</v>
      </c>
      <c r="D1171" s="1" t="s">
        <v>6994</v>
      </c>
      <c r="E1171" s="35" t="s">
        <v>6995</v>
      </c>
    </row>
    <row r="1172" spans="1:5" ht="14.25" hidden="1" customHeight="1">
      <c r="A1172" s="155">
        <v>32012359</v>
      </c>
      <c r="B1172" s="173" t="s">
        <v>2961</v>
      </c>
      <c r="C1172" s="173" t="s">
        <v>253</v>
      </c>
      <c r="D1172" s="173" t="s">
        <v>6994</v>
      </c>
      <c r="E1172" s="203">
        <v>43612</v>
      </c>
    </row>
    <row r="1173" spans="1:5" ht="14.25" hidden="1" customHeight="1">
      <c r="A1173" s="16">
        <v>32109721</v>
      </c>
      <c r="B1173" s="17" t="s">
        <v>428</v>
      </c>
      <c r="C1173" s="17" t="s">
        <v>3549</v>
      </c>
      <c r="D1173" s="1" t="s">
        <v>6994</v>
      </c>
      <c r="E1173" s="35" t="s">
        <v>6995</v>
      </c>
    </row>
    <row r="1174" spans="1:5" ht="14.25" hidden="1" customHeight="1">
      <c r="A1174" s="155">
        <v>32109721</v>
      </c>
      <c r="B1174" s="173" t="s">
        <v>428</v>
      </c>
      <c r="C1174" s="173" t="s">
        <v>3549</v>
      </c>
      <c r="D1174" s="173" t="s">
        <v>6994</v>
      </c>
      <c r="E1174" s="203">
        <v>43612</v>
      </c>
    </row>
    <row r="1175" spans="1:5" ht="14.25" hidden="1" customHeight="1">
      <c r="A1175" s="16">
        <v>33756264</v>
      </c>
      <c r="B1175" s="17" t="s">
        <v>3895</v>
      </c>
      <c r="C1175" s="17" t="s">
        <v>5753</v>
      </c>
      <c r="D1175" s="1" t="s">
        <v>6994</v>
      </c>
      <c r="E1175" s="35" t="s">
        <v>6995</v>
      </c>
    </row>
    <row r="1176" spans="1:5" ht="14.25" hidden="1" customHeight="1">
      <c r="A1176" s="155">
        <v>33756264</v>
      </c>
      <c r="B1176" s="173" t="s">
        <v>3895</v>
      </c>
      <c r="C1176" s="173" t="s">
        <v>5753</v>
      </c>
      <c r="D1176" s="173" t="s">
        <v>6994</v>
      </c>
      <c r="E1176" s="203">
        <v>43612</v>
      </c>
    </row>
    <row r="1177" spans="1:5" ht="14.25" hidden="1" customHeight="1">
      <c r="A1177" s="16">
        <v>34356805</v>
      </c>
      <c r="B1177" s="17" t="s">
        <v>650</v>
      </c>
      <c r="C1177" s="17" t="s">
        <v>6991</v>
      </c>
      <c r="D1177" s="1" t="s">
        <v>6994</v>
      </c>
      <c r="E1177" s="35" t="s">
        <v>6995</v>
      </c>
    </row>
    <row r="1178" spans="1:5" ht="14.25" hidden="1" customHeight="1">
      <c r="A1178" s="155">
        <v>34356805</v>
      </c>
      <c r="B1178" s="173" t="s">
        <v>650</v>
      </c>
      <c r="C1178" s="173" t="s">
        <v>6991</v>
      </c>
      <c r="D1178" s="173" t="s">
        <v>6994</v>
      </c>
      <c r="E1178" s="203">
        <v>43612</v>
      </c>
    </row>
    <row r="1179" spans="1:5" ht="14.25" hidden="1" customHeight="1">
      <c r="A1179" s="16">
        <v>36420915</v>
      </c>
      <c r="B1179" s="17" t="s">
        <v>4213</v>
      </c>
      <c r="C1179" s="17" t="s">
        <v>2418</v>
      </c>
      <c r="D1179" s="1" t="s">
        <v>6994</v>
      </c>
      <c r="E1179" s="35" t="s">
        <v>6995</v>
      </c>
    </row>
    <row r="1180" spans="1:5" ht="14.25" hidden="1" customHeight="1">
      <c r="A1180" s="155">
        <v>36420915</v>
      </c>
      <c r="B1180" s="173" t="s">
        <v>4213</v>
      </c>
      <c r="C1180" s="173" t="s">
        <v>2418</v>
      </c>
      <c r="D1180" s="173" t="s">
        <v>6994</v>
      </c>
      <c r="E1180" s="203">
        <v>43612</v>
      </c>
    </row>
    <row r="1181" spans="1:5" ht="14.25" hidden="1" customHeight="1">
      <c r="A1181" s="16">
        <v>12387324</v>
      </c>
      <c r="B1181" s="17" t="s">
        <v>2059</v>
      </c>
      <c r="C1181" s="17" t="s">
        <v>4859</v>
      </c>
      <c r="D1181" s="1" t="s">
        <v>6986</v>
      </c>
      <c r="E1181" s="35" t="s">
        <v>6996</v>
      </c>
    </row>
    <row r="1182" spans="1:5" ht="14.25" hidden="1" customHeight="1">
      <c r="A1182" s="155">
        <v>12387324</v>
      </c>
      <c r="B1182" s="173" t="s">
        <v>2059</v>
      </c>
      <c r="C1182" s="173" t="s">
        <v>4859</v>
      </c>
      <c r="D1182" s="173" t="s">
        <v>6986</v>
      </c>
      <c r="E1182" s="203">
        <v>43593</v>
      </c>
    </row>
    <row r="1183" spans="1:5" ht="14.25" hidden="1" customHeight="1">
      <c r="A1183" s="16">
        <v>12607547</v>
      </c>
      <c r="B1183" s="17" t="s">
        <v>6516</v>
      </c>
      <c r="C1183" s="17" t="s">
        <v>6517</v>
      </c>
      <c r="D1183" s="1" t="s">
        <v>6986</v>
      </c>
      <c r="E1183" s="35" t="s">
        <v>6996</v>
      </c>
    </row>
    <row r="1184" spans="1:5" ht="14.25" hidden="1" customHeight="1">
      <c r="A1184" s="155">
        <v>12607547</v>
      </c>
      <c r="B1184" s="173" t="s">
        <v>6516</v>
      </c>
      <c r="C1184" s="173" t="s">
        <v>6517</v>
      </c>
      <c r="D1184" s="173" t="s">
        <v>6986</v>
      </c>
      <c r="E1184" s="203">
        <v>43593</v>
      </c>
    </row>
    <row r="1185" spans="1:5" ht="14.25" hidden="1" customHeight="1">
      <c r="A1185" s="16">
        <v>12919979</v>
      </c>
      <c r="B1185" s="17" t="s">
        <v>3182</v>
      </c>
      <c r="C1185" s="17" t="s">
        <v>724</v>
      </c>
      <c r="D1185" s="1" t="s">
        <v>6986</v>
      </c>
      <c r="E1185" s="35" t="s">
        <v>6996</v>
      </c>
    </row>
    <row r="1186" spans="1:5" ht="14.25" hidden="1" customHeight="1">
      <c r="A1186" s="155">
        <v>12919979</v>
      </c>
      <c r="B1186" s="173" t="s">
        <v>3182</v>
      </c>
      <c r="C1186" s="173" t="s">
        <v>724</v>
      </c>
      <c r="D1186" s="173" t="s">
        <v>6986</v>
      </c>
      <c r="E1186" s="203">
        <v>43593</v>
      </c>
    </row>
    <row r="1187" spans="1:5" ht="14.25" hidden="1" customHeight="1">
      <c r="A1187" s="16">
        <v>13338781</v>
      </c>
      <c r="B1187" s="17" t="s">
        <v>5389</v>
      </c>
      <c r="C1187" s="17" t="s">
        <v>5390</v>
      </c>
      <c r="D1187" s="1" t="s">
        <v>6986</v>
      </c>
      <c r="E1187" s="35" t="s">
        <v>6996</v>
      </c>
    </row>
    <row r="1188" spans="1:5" ht="14.25" hidden="1" customHeight="1">
      <c r="A1188" s="155">
        <v>13338781</v>
      </c>
      <c r="B1188" s="173" t="s">
        <v>5389</v>
      </c>
      <c r="C1188" s="173" t="s">
        <v>5390</v>
      </c>
      <c r="D1188" s="173" t="s">
        <v>6986</v>
      </c>
      <c r="E1188" s="203">
        <v>43593</v>
      </c>
    </row>
    <row r="1189" spans="1:5" ht="14.25" hidden="1" customHeight="1">
      <c r="A1189" s="16">
        <v>14225164</v>
      </c>
      <c r="B1189" s="17" t="s">
        <v>1833</v>
      </c>
      <c r="C1189" s="17" t="s">
        <v>2102</v>
      </c>
      <c r="D1189" s="1" t="s">
        <v>6986</v>
      </c>
      <c r="E1189" s="35" t="s">
        <v>6996</v>
      </c>
    </row>
    <row r="1190" spans="1:5" ht="14.25" hidden="1" customHeight="1">
      <c r="A1190" s="155">
        <v>14225164</v>
      </c>
      <c r="B1190" s="173" t="s">
        <v>1833</v>
      </c>
      <c r="C1190" s="173" t="s">
        <v>2102</v>
      </c>
      <c r="D1190" s="173" t="s">
        <v>6986</v>
      </c>
      <c r="E1190" s="203">
        <v>43593</v>
      </c>
    </row>
    <row r="1191" spans="1:5" ht="14.25" hidden="1" customHeight="1">
      <c r="A1191" s="16">
        <v>14226455</v>
      </c>
      <c r="B1191" s="17" t="s">
        <v>6279</v>
      </c>
      <c r="C1191" s="17" t="s">
        <v>6280</v>
      </c>
      <c r="D1191" s="1" t="s">
        <v>6986</v>
      </c>
      <c r="E1191" s="35" t="s">
        <v>6996</v>
      </c>
    </row>
    <row r="1192" spans="1:5" ht="14.25" hidden="1" customHeight="1">
      <c r="A1192" s="155">
        <v>14226455</v>
      </c>
      <c r="B1192" s="173" t="s">
        <v>6279</v>
      </c>
      <c r="C1192" s="173" t="s">
        <v>6280</v>
      </c>
      <c r="D1192" s="173" t="s">
        <v>6986</v>
      </c>
      <c r="E1192" s="203">
        <v>43593</v>
      </c>
    </row>
    <row r="1193" spans="1:5" ht="14.25" hidden="1" customHeight="1">
      <c r="A1193" s="16">
        <v>14298098</v>
      </c>
      <c r="B1193" s="17" t="s">
        <v>4779</v>
      </c>
      <c r="C1193" s="17" t="s">
        <v>5401</v>
      </c>
      <c r="D1193" s="1" t="s">
        <v>6986</v>
      </c>
      <c r="E1193" s="35" t="s">
        <v>6996</v>
      </c>
    </row>
    <row r="1194" spans="1:5" ht="14.25" hidden="1" customHeight="1">
      <c r="A1194" s="155">
        <v>14298098</v>
      </c>
      <c r="B1194" s="173" t="s">
        <v>4779</v>
      </c>
      <c r="C1194" s="173" t="s">
        <v>5401</v>
      </c>
      <c r="D1194" s="173" t="s">
        <v>6986</v>
      </c>
      <c r="E1194" s="203">
        <v>43593</v>
      </c>
    </row>
    <row r="1195" spans="1:5" ht="14.25" hidden="1" customHeight="1">
      <c r="A1195" s="16">
        <v>14359872</v>
      </c>
      <c r="B1195" s="17" t="s">
        <v>4282</v>
      </c>
      <c r="C1195" s="17" t="s">
        <v>4827</v>
      </c>
      <c r="D1195" s="1" t="s">
        <v>6986</v>
      </c>
      <c r="E1195" s="35" t="s">
        <v>6996</v>
      </c>
    </row>
    <row r="1196" spans="1:5" ht="14.25" hidden="1" customHeight="1">
      <c r="A1196" s="155">
        <v>14359872</v>
      </c>
      <c r="B1196" s="173" t="s">
        <v>4282</v>
      </c>
      <c r="C1196" s="173" t="s">
        <v>4827</v>
      </c>
      <c r="D1196" s="173" t="s">
        <v>6986</v>
      </c>
      <c r="E1196" s="203">
        <v>43593</v>
      </c>
    </row>
    <row r="1197" spans="1:5" ht="14.25" hidden="1" customHeight="1">
      <c r="A1197" s="16">
        <v>14966562</v>
      </c>
      <c r="B1197" s="17" t="s">
        <v>1493</v>
      </c>
      <c r="C1197" s="17" t="s">
        <v>4889</v>
      </c>
      <c r="D1197" s="1" t="s">
        <v>6986</v>
      </c>
      <c r="E1197" s="35" t="s">
        <v>6996</v>
      </c>
    </row>
    <row r="1198" spans="1:5" ht="14.25" hidden="1" customHeight="1">
      <c r="A1198" s="155">
        <v>14966562</v>
      </c>
      <c r="B1198" s="173" t="s">
        <v>1493</v>
      </c>
      <c r="C1198" s="173" t="s">
        <v>4889</v>
      </c>
      <c r="D1198" s="173" t="s">
        <v>6986</v>
      </c>
      <c r="E1198" s="203">
        <v>43593</v>
      </c>
    </row>
    <row r="1199" spans="1:5" ht="14.25" hidden="1" customHeight="1">
      <c r="A1199" s="16">
        <v>16176302</v>
      </c>
      <c r="B1199" s="17" t="s">
        <v>5456</v>
      </c>
      <c r="C1199" s="17" t="s">
        <v>2184</v>
      </c>
      <c r="D1199" s="1" t="s">
        <v>6986</v>
      </c>
      <c r="E1199" s="35" t="s">
        <v>6996</v>
      </c>
    </row>
    <row r="1200" spans="1:5" ht="14.25" hidden="1" customHeight="1">
      <c r="A1200" s="155">
        <v>16176302</v>
      </c>
      <c r="B1200" s="173" t="s">
        <v>5456</v>
      </c>
      <c r="C1200" s="173" t="s">
        <v>2184</v>
      </c>
      <c r="D1200" s="173" t="s">
        <v>6986</v>
      </c>
      <c r="E1200" s="203">
        <v>43593</v>
      </c>
    </row>
    <row r="1201" spans="1:5" ht="14.25" hidden="1" customHeight="1">
      <c r="A1201" s="16">
        <v>16458164</v>
      </c>
      <c r="B1201" s="17" t="s">
        <v>4706</v>
      </c>
      <c r="C1201" s="17" t="s">
        <v>4818</v>
      </c>
      <c r="D1201" s="1" t="s">
        <v>6986</v>
      </c>
      <c r="E1201" s="35" t="s">
        <v>6996</v>
      </c>
    </row>
    <row r="1202" spans="1:5" ht="14.25" hidden="1" customHeight="1">
      <c r="A1202" s="155">
        <v>16458164</v>
      </c>
      <c r="B1202" s="173" t="s">
        <v>4706</v>
      </c>
      <c r="C1202" s="173" t="s">
        <v>4818</v>
      </c>
      <c r="D1202" s="173" t="s">
        <v>6986</v>
      </c>
      <c r="E1202" s="203">
        <v>43593</v>
      </c>
    </row>
    <row r="1203" spans="1:5" ht="14.25" hidden="1" customHeight="1">
      <c r="A1203" s="16">
        <v>16686145</v>
      </c>
      <c r="B1203" s="17" t="s">
        <v>1793</v>
      </c>
      <c r="C1203" s="17" t="s">
        <v>5406</v>
      </c>
      <c r="D1203" s="1" t="s">
        <v>6986</v>
      </c>
      <c r="E1203" s="35" t="s">
        <v>6996</v>
      </c>
    </row>
    <row r="1204" spans="1:5" ht="14.25" hidden="1" customHeight="1">
      <c r="A1204" s="155">
        <v>16686145</v>
      </c>
      <c r="B1204" s="173" t="s">
        <v>1793</v>
      </c>
      <c r="C1204" s="173" t="s">
        <v>5406</v>
      </c>
      <c r="D1204" s="173" t="s">
        <v>6986</v>
      </c>
      <c r="E1204" s="203">
        <v>43593</v>
      </c>
    </row>
    <row r="1205" spans="1:5" ht="14.25" hidden="1" customHeight="1">
      <c r="A1205" s="16">
        <v>16998863</v>
      </c>
      <c r="B1205" s="17" t="s">
        <v>863</v>
      </c>
      <c r="C1205" s="17" t="s">
        <v>5907</v>
      </c>
      <c r="D1205" s="1" t="s">
        <v>6986</v>
      </c>
      <c r="E1205" s="35" t="s">
        <v>6996</v>
      </c>
    </row>
    <row r="1206" spans="1:5" ht="14.25" hidden="1" customHeight="1">
      <c r="A1206" s="155">
        <v>16998863</v>
      </c>
      <c r="B1206" s="173" t="s">
        <v>863</v>
      </c>
      <c r="C1206" s="173" t="s">
        <v>5907</v>
      </c>
      <c r="D1206" s="173" t="s">
        <v>6986</v>
      </c>
      <c r="E1206" s="203">
        <v>43593</v>
      </c>
    </row>
    <row r="1207" spans="1:5" ht="14.25" hidden="1" customHeight="1">
      <c r="A1207" s="16">
        <v>17040680</v>
      </c>
      <c r="B1207" s="17" t="s">
        <v>6355</v>
      </c>
      <c r="C1207" s="17" t="s">
        <v>6356</v>
      </c>
      <c r="D1207" s="1" t="s">
        <v>6986</v>
      </c>
      <c r="E1207" s="35" t="s">
        <v>6996</v>
      </c>
    </row>
    <row r="1208" spans="1:5" ht="14.25" hidden="1" customHeight="1">
      <c r="A1208" s="155">
        <v>17040680</v>
      </c>
      <c r="B1208" s="173" t="s">
        <v>6355</v>
      </c>
      <c r="C1208" s="173" t="s">
        <v>6356</v>
      </c>
      <c r="D1208" s="173" t="s">
        <v>6986</v>
      </c>
      <c r="E1208" s="203">
        <v>43593</v>
      </c>
    </row>
    <row r="1209" spans="1:5" ht="14.25" hidden="1" customHeight="1">
      <c r="A1209" s="34">
        <v>17041554</v>
      </c>
      <c r="B1209" s="33" t="s">
        <v>1655</v>
      </c>
      <c r="C1209" s="33" t="s">
        <v>5473</v>
      </c>
      <c r="D1209" s="10" t="s">
        <v>6986</v>
      </c>
      <c r="E1209" s="36" t="s">
        <v>6996</v>
      </c>
    </row>
    <row r="1210" spans="1:5" ht="14.25" hidden="1" customHeight="1">
      <c r="A1210" s="155">
        <v>17041554</v>
      </c>
      <c r="B1210" s="173" t="s">
        <v>1655</v>
      </c>
      <c r="C1210" s="173" t="s">
        <v>5473</v>
      </c>
      <c r="D1210" s="173" t="s">
        <v>6986</v>
      </c>
      <c r="E1210" s="203">
        <v>43593</v>
      </c>
    </row>
    <row r="1211" spans="1:5" ht="14.25" hidden="1" customHeight="1">
      <c r="A1211" s="16">
        <v>17859090</v>
      </c>
      <c r="B1211" s="17" t="s">
        <v>676</v>
      </c>
      <c r="C1211" s="17" t="s">
        <v>4854</v>
      </c>
      <c r="D1211" s="1" t="s">
        <v>6986</v>
      </c>
      <c r="E1211" s="35" t="s">
        <v>6996</v>
      </c>
    </row>
    <row r="1212" spans="1:5" ht="14.25" hidden="1" customHeight="1">
      <c r="A1212" s="155">
        <v>17859090</v>
      </c>
      <c r="B1212" s="173" t="s">
        <v>676</v>
      </c>
      <c r="C1212" s="173" t="s">
        <v>4854</v>
      </c>
      <c r="D1212" s="173" t="s">
        <v>6986</v>
      </c>
      <c r="E1212" s="203">
        <v>43593</v>
      </c>
    </row>
    <row r="1213" spans="1:5" ht="14.25" hidden="1" customHeight="1">
      <c r="A1213" s="16">
        <v>17947492</v>
      </c>
      <c r="B1213" s="17" t="s">
        <v>5914</v>
      </c>
      <c r="C1213" s="17" t="s">
        <v>365</v>
      </c>
      <c r="D1213" s="1" t="s">
        <v>6986</v>
      </c>
      <c r="E1213" s="35" t="s">
        <v>6996</v>
      </c>
    </row>
    <row r="1214" spans="1:5" ht="14.25" hidden="1" customHeight="1">
      <c r="A1214" s="155">
        <v>17947492</v>
      </c>
      <c r="B1214" s="173" t="s">
        <v>5914</v>
      </c>
      <c r="C1214" s="173" t="s">
        <v>365</v>
      </c>
      <c r="D1214" s="173" t="s">
        <v>6986</v>
      </c>
      <c r="E1214" s="203">
        <v>43593</v>
      </c>
    </row>
    <row r="1215" spans="1:5" ht="14.25" hidden="1" customHeight="1">
      <c r="A1215" s="16">
        <v>20284994</v>
      </c>
      <c r="B1215" s="17" t="s">
        <v>288</v>
      </c>
      <c r="C1215" s="17" t="s">
        <v>5937</v>
      </c>
      <c r="D1215" s="1" t="s">
        <v>6986</v>
      </c>
      <c r="E1215" s="35" t="s">
        <v>6996</v>
      </c>
    </row>
    <row r="1216" spans="1:5" ht="14.25" hidden="1" customHeight="1">
      <c r="A1216" s="155">
        <v>20284994</v>
      </c>
      <c r="B1216" s="173" t="s">
        <v>288</v>
      </c>
      <c r="C1216" s="173" t="s">
        <v>5937</v>
      </c>
      <c r="D1216" s="173" t="s">
        <v>6986</v>
      </c>
      <c r="E1216" s="203">
        <v>43593</v>
      </c>
    </row>
    <row r="1217" spans="1:5" ht="14.25" hidden="1" customHeight="1">
      <c r="A1217" s="16">
        <v>20838335</v>
      </c>
      <c r="B1217" s="17" t="s">
        <v>5451</v>
      </c>
      <c r="C1217" s="17" t="s">
        <v>129</v>
      </c>
      <c r="D1217" s="1" t="s">
        <v>6986</v>
      </c>
      <c r="E1217" s="35" t="s">
        <v>6996</v>
      </c>
    </row>
    <row r="1218" spans="1:5" ht="14.25" hidden="1" customHeight="1">
      <c r="A1218" s="155">
        <v>20838335</v>
      </c>
      <c r="B1218" s="173" t="s">
        <v>5451</v>
      </c>
      <c r="C1218" s="173" t="s">
        <v>129</v>
      </c>
      <c r="D1218" s="173" t="s">
        <v>6986</v>
      </c>
      <c r="E1218" s="203">
        <v>43593</v>
      </c>
    </row>
    <row r="1219" spans="1:5" ht="14.25" hidden="1" customHeight="1">
      <c r="A1219" s="16">
        <v>21829062</v>
      </c>
      <c r="B1219" s="17" t="s">
        <v>2813</v>
      </c>
      <c r="C1219" s="17" t="s">
        <v>4843</v>
      </c>
      <c r="D1219" s="1" t="s">
        <v>6986</v>
      </c>
      <c r="E1219" s="35" t="s">
        <v>6996</v>
      </c>
    </row>
    <row r="1220" spans="1:5" ht="14.25" hidden="1" customHeight="1">
      <c r="A1220" s="155">
        <v>21829062</v>
      </c>
      <c r="B1220" s="173" t="s">
        <v>2813</v>
      </c>
      <c r="C1220" s="173" t="s">
        <v>4843</v>
      </c>
      <c r="D1220" s="173" t="s">
        <v>6986</v>
      </c>
      <c r="E1220" s="203">
        <v>43593</v>
      </c>
    </row>
    <row r="1221" spans="1:5" ht="14.25" hidden="1" customHeight="1">
      <c r="A1221" s="16">
        <v>22264981</v>
      </c>
      <c r="B1221" s="17" t="s">
        <v>5885</v>
      </c>
      <c r="C1221" s="17" t="s">
        <v>5886</v>
      </c>
      <c r="D1221" s="1" t="s">
        <v>6986</v>
      </c>
      <c r="E1221" s="35" t="s">
        <v>6996</v>
      </c>
    </row>
    <row r="1222" spans="1:5" ht="14.25" hidden="1" customHeight="1">
      <c r="A1222" s="155">
        <v>22264981</v>
      </c>
      <c r="B1222" s="173" t="s">
        <v>5885</v>
      </c>
      <c r="C1222" s="173" t="s">
        <v>5886</v>
      </c>
      <c r="D1222" s="173" t="s">
        <v>6986</v>
      </c>
      <c r="E1222" s="203">
        <v>43593</v>
      </c>
    </row>
    <row r="1223" spans="1:5" ht="14.25" hidden="1" customHeight="1">
      <c r="A1223" s="16">
        <v>22414527</v>
      </c>
      <c r="B1223" s="17" t="s">
        <v>4907</v>
      </c>
      <c r="C1223" s="17" t="s">
        <v>4908</v>
      </c>
      <c r="D1223" s="1" t="s">
        <v>6986</v>
      </c>
      <c r="E1223" s="35" t="s">
        <v>6996</v>
      </c>
    </row>
    <row r="1224" spans="1:5" ht="14.25" hidden="1" customHeight="1">
      <c r="A1224" s="155">
        <v>22414527</v>
      </c>
      <c r="B1224" s="173" t="s">
        <v>4907</v>
      </c>
      <c r="C1224" s="173" t="s">
        <v>4908</v>
      </c>
      <c r="D1224" s="173" t="s">
        <v>6986</v>
      </c>
      <c r="E1224" s="203">
        <v>43593</v>
      </c>
    </row>
    <row r="1225" spans="1:5" ht="14.25" hidden="1" customHeight="1">
      <c r="A1225" s="16">
        <v>23985536</v>
      </c>
      <c r="B1225" s="17" t="s">
        <v>5468</v>
      </c>
      <c r="C1225" s="17" t="s">
        <v>131</v>
      </c>
      <c r="D1225" s="1" t="s">
        <v>6986</v>
      </c>
      <c r="E1225" s="35" t="s">
        <v>6996</v>
      </c>
    </row>
    <row r="1226" spans="1:5" ht="14.25" hidden="1" customHeight="1">
      <c r="A1226" s="155">
        <v>23985536</v>
      </c>
      <c r="B1226" s="173" t="s">
        <v>5468</v>
      </c>
      <c r="C1226" s="173" t="s">
        <v>131</v>
      </c>
      <c r="D1226" s="173" t="s">
        <v>6986</v>
      </c>
      <c r="E1226" s="203">
        <v>43593</v>
      </c>
    </row>
    <row r="1227" spans="1:5" ht="14.25" hidden="1" customHeight="1">
      <c r="A1227" s="16">
        <v>23994367</v>
      </c>
      <c r="B1227" s="17" t="s">
        <v>4922</v>
      </c>
      <c r="C1227" s="17" t="s">
        <v>4923</v>
      </c>
      <c r="D1227" s="1" t="s">
        <v>6986</v>
      </c>
      <c r="E1227" s="35" t="s">
        <v>6996</v>
      </c>
    </row>
    <row r="1228" spans="1:5" ht="14.25" hidden="1" customHeight="1">
      <c r="A1228" s="155">
        <v>23994367</v>
      </c>
      <c r="B1228" s="173" t="s">
        <v>4922</v>
      </c>
      <c r="C1228" s="173" t="s">
        <v>4923</v>
      </c>
      <c r="D1228" s="173" t="s">
        <v>6986</v>
      </c>
      <c r="E1228" s="203">
        <v>43593</v>
      </c>
    </row>
    <row r="1229" spans="1:5" ht="14.25" hidden="1" customHeight="1">
      <c r="A1229" s="16">
        <v>24059996</v>
      </c>
      <c r="B1229" s="17" t="s">
        <v>5359</v>
      </c>
      <c r="C1229" s="17" t="s">
        <v>1523</v>
      </c>
      <c r="D1229" s="1" t="s">
        <v>6986</v>
      </c>
      <c r="E1229" s="35" t="s">
        <v>6996</v>
      </c>
    </row>
    <row r="1230" spans="1:5" ht="14.25" hidden="1" customHeight="1">
      <c r="A1230" s="155">
        <v>24059996</v>
      </c>
      <c r="B1230" s="173" t="s">
        <v>5359</v>
      </c>
      <c r="C1230" s="173" t="s">
        <v>1523</v>
      </c>
      <c r="D1230" s="173" t="s">
        <v>6986</v>
      </c>
      <c r="E1230" s="203">
        <v>43593</v>
      </c>
    </row>
    <row r="1231" spans="1:5" ht="14.25" hidden="1" customHeight="1">
      <c r="A1231" s="16">
        <v>24098848</v>
      </c>
      <c r="B1231" s="17" t="s">
        <v>4830</v>
      </c>
      <c r="C1231" s="17" t="s">
        <v>4831</v>
      </c>
      <c r="D1231" s="1" t="s">
        <v>6986</v>
      </c>
      <c r="E1231" s="35" t="s">
        <v>6996</v>
      </c>
    </row>
    <row r="1232" spans="1:5" ht="14.25" hidden="1" customHeight="1">
      <c r="A1232" s="155">
        <v>24098848</v>
      </c>
      <c r="B1232" s="173" t="s">
        <v>4830</v>
      </c>
      <c r="C1232" s="173" t="s">
        <v>4831</v>
      </c>
      <c r="D1232" s="173" t="s">
        <v>6986</v>
      </c>
      <c r="E1232" s="203">
        <v>43593</v>
      </c>
    </row>
    <row r="1233" spans="1:5" ht="14.25" hidden="1" customHeight="1">
      <c r="A1233" s="16">
        <v>24553198</v>
      </c>
      <c r="B1233" s="17" t="s">
        <v>1906</v>
      </c>
      <c r="C1233" s="17" t="s">
        <v>5933</v>
      </c>
      <c r="D1233" s="1" t="s">
        <v>6986</v>
      </c>
      <c r="E1233" s="35" t="s">
        <v>6996</v>
      </c>
    </row>
    <row r="1234" spans="1:5" ht="14.25" hidden="1" customHeight="1">
      <c r="A1234" s="155">
        <v>24553198</v>
      </c>
      <c r="B1234" s="173" t="s">
        <v>1906</v>
      </c>
      <c r="C1234" s="173" t="s">
        <v>5933</v>
      </c>
      <c r="D1234" s="173" t="s">
        <v>6986</v>
      </c>
      <c r="E1234" s="203">
        <v>43593</v>
      </c>
    </row>
    <row r="1235" spans="1:5" ht="14.25" hidden="1" customHeight="1">
      <c r="A1235" s="16">
        <v>24982907</v>
      </c>
      <c r="B1235" s="17" t="s">
        <v>4900</v>
      </c>
      <c r="C1235" s="17" t="s">
        <v>902</v>
      </c>
      <c r="D1235" s="1" t="s">
        <v>6986</v>
      </c>
      <c r="E1235" s="35" t="s">
        <v>6996</v>
      </c>
    </row>
    <row r="1236" spans="1:5" ht="14.25" hidden="1" customHeight="1">
      <c r="A1236" s="155">
        <v>24982907</v>
      </c>
      <c r="B1236" s="173" t="s">
        <v>4900</v>
      </c>
      <c r="C1236" s="173" t="s">
        <v>902</v>
      </c>
      <c r="D1236" s="173" t="s">
        <v>6986</v>
      </c>
      <c r="E1236" s="203">
        <v>43593</v>
      </c>
    </row>
    <row r="1237" spans="1:5" ht="14.25" hidden="1" customHeight="1">
      <c r="A1237" s="16">
        <v>25498927</v>
      </c>
      <c r="B1237" s="17" t="s">
        <v>5444</v>
      </c>
      <c r="C1237" s="17" t="s">
        <v>5445</v>
      </c>
      <c r="D1237" s="1" t="s">
        <v>6986</v>
      </c>
      <c r="E1237" s="35" t="s">
        <v>6996</v>
      </c>
    </row>
    <row r="1238" spans="1:5" ht="14.25" hidden="1" customHeight="1">
      <c r="A1238" s="155">
        <v>25498927</v>
      </c>
      <c r="B1238" s="173" t="s">
        <v>5444</v>
      </c>
      <c r="C1238" s="173" t="s">
        <v>5445</v>
      </c>
      <c r="D1238" s="173" t="s">
        <v>6986</v>
      </c>
      <c r="E1238" s="203">
        <v>43593</v>
      </c>
    </row>
    <row r="1239" spans="1:5" ht="14.25" hidden="1" customHeight="1">
      <c r="A1239" s="16">
        <v>25734593</v>
      </c>
      <c r="B1239" s="17" t="s">
        <v>5433</v>
      </c>
      <c r="C1239" s="17" t="s">
        <v>5434</v>
      </c>
      <c r="D1239" s="1" t="s">
        <v>6986</v>
      </c>
      <c r="E1239" s="35" t="s">
        <v>6996</v>
      </c>
    </row>
    <row r="1240" spans="1:5" ht="14.25" hidden="1" customHeight="1">
      <c r="A1240" s="155">
        <v>25734593</v>
      </c>
      <c r="B1240" s="173" t="s">
        <v>5433</v>
      </c>
      <c r="C1240" s="173" t="s">
        <v>5434</v>
      </c>
      <c r="D1240" s="173" t="s">
        <v>6986</v>
      </c>
      <c r="E1240" s="203">
        <v>43593</v>
      </c>
    </row>
    <row r="1241" spans="1:5" ht="14.25" hidden="1" customHeight="1">
      <c r="A1241" s="16">
        <v>26028024</v>
      </c>
      <c r="B1241" s="17" t="s">
        <v>5376</v>
      </c>
      <c r="C1241" s="17" t="s">
        <v>5377</v>
      </c>
      <c r="D1241" s="1" t="s">
        <v>6986</v>
      </c>
      <c r="E1241" s="35" t="s">
        <v>6996</v>
      </c>
    </row>
    <row r="1242" spans="1:5" ht="14.25" hidden="1" customHeight="1">
      <c r="A1242" s="155">
        <v>26028024</v>
      </c>
      <c r="B1242" s="173" t="s">
        <v>5376</v>
      </c>
      <c r="C1242" s="173" t="s">
        <v>5377</v>
      </c>
      <c r="D1242" s="173" t="s">
        <v>6986</v>
      </c>
      <c r="E1242" s="203">
        <v>43593</v>
      </c>
    </row>
    <row r="1243" spans="1:5" ht="14.25" hidden="1" customHeight="1">
      <c r="A1243" s="16">
        <v>26638536</v>
      </c>
      <c r="B1243" s="17" t="s">
        <v>901</v>
      </c>
      <c r="C1243" s="17" t="s">
        <v>902</v>
      </c>
      <c r="D1243" s="1" t="s">
        <v>6986</v>
      </c>
      <c r="E1243" s="35" t="s">
        <v>6996</v>
      </c>
    </row>
    <row r="1244" spans="1:5" ht="14.25" hidden="1" customHeight="1">
      <c r="A1244" s="155">
        <v>26638536</v>
      </c>
      <c r="B1244" s="173" t="s">
        <v>901</v>
      </c>
      <c r="C1244" s="173" t="s">
        <v>902</v>
      </c>
      <c r="D1244" s="173" t="s">
        <v>6986</v>
      </c>
      <c r="E1244" s="203">
        <v>43593</v>
      </c>
    </row>
    <row r="1245" spans="1:5" ht="14.25" hidden="1" customHeight="1">
      <c r="A1245" s="16">
        <v>27575318</v>
      </c>
      <c r="B1245" s="17" t="s">
        <v>4929</v>
      </c>
      <c r="C1245" s="17" t="s">
        <v>4930</v>
      </c>
      <c r="D1245" s="1" t="s">
        <v>6986</v>
      </c>
      <c r="E1245" s="35" t="s">
        <v>6996</v>
      </c>
    </row>
    <row r="1246" spans="1:5" ht="14.25" hidden="1" customHeight="1">
      <c r="A1246" s="155">
        <v>27575318</v>
      </c>
      <c r="B1246" s="173" t="s">
        <v>4929</v>
      </c>
      <c r="C1246" s="173" t="s">
        <v>4930</v>
      </c>
      <c r="D1246" s="173" t="s">
        <v>6986</v>
      </c>
      <c r="E1246" s="203">
        <v>43593</v>
      </c>
    </row>
    <row r="1247" spans="1:5" ht="14.25" hidden="1" customHeight="1">
      <c r="A1247" s="16">
        <v>27751639</v>
      </c>
      <c r="B1247" s="17" t="s">
        <v>5372</v>
      </c>
      <c r="C1247" s="17" t="s">
        <v>5061</v>
      </c>
      <c r="D1247" s="1" t="s">
        <v>6986</v>
      </c>
      <c r="E1247" s="35" t="s">
        <v>6996</v>
      </c>
    </row>
    <row r="1248" spans="1:5" ht="14.25" hidden="1" customHeight="1">
      <c r="A1248" s="155">
        <v>27751639</v>
      </c>
      <c r="B1248" s="173" t="s">
        <v>5372</v>
      </c>
      <c r="C1248" s="173" t="s">
        <v>5061</v>
      </c>
      <c r="D1248" s="173" t="s">
        <v>6986</v>
      </c>
      <c r="E1248" s="203">
        <v>43593</v>
      </c>
    </row>
    <row r="1249" spans="1:5" ht="14.25" hidden="1" customHeight="1">
      <c r="A1249" s="16">
        <v>28124512</v>
      </c>
      <c r="B1249" s="17" t="s">
        <v>5461</v>
      </c>
      <c r="C1249" s="17" t="s">
        <v>3858</v>
      </c>
      <c r="D1249" s="1" t="s">
        <v>6986</v>
      </c>
      <c r="E1249" s="35" t="s">
        <v>6996</v>
      </c>
    </row>
    <row r="1250" spans="1:5" ht="14.25" hidden="1" customHeight="1">
      <c r="A1250" s="155">
        <v>28124512</v>
      </c>
      <c r="B1250" s="173" t="s">
        <v>5461</v>
      </c>
      <c r="C1250" s="173" t="s">
        <v>3858</v>
      </c>
      <c r="D1250" s="173" t="s">
        <v>6986</v>
      </c>
      <c r="E1250" s="203">
        <v>43593</v>
      </c>
    </row>
    <row r="1251" spans="1:5" ht="14.25" hidden="1" customHeight="1">
      <c r="A1251" s="16">
        <v>29102855</v>
      </c>
      <c r="B1251" s="17" t="s">
        <v>650</v>
      </c>
      <c r="C1251" s="17" t="s">
        <v>5335</v>
      </c>
      <c r="D1251" s="1" t="s">
        <v>6986</v>
      </c>
      <c r="E1251" s="35" t="s">
        <v>6996</v>
      </c>
    </row>
    <row r="1252" spans="1:5" ht="14.25" hidden="1" customHeight="1">
      <c r="A1252" s="155">
        <v>29102855</v>
      </c>
      <c r="B1252" s="173" t="s">
        <v>650</v>
      </c>
      <c r="C1252" s="173" t="s">
        <v>5335</v>
      </c>
      <c r="D1252" s="173" t="s">
        <v>6986</v>
      </c>
      <c r="E1252" s="203">
        <v>43593</v>
      </c>
    </row>
    <row r="1253" spans="1:5" ht="14.25" hidden="1" customHeight="1">
      <c r="A1253" s="16">
        <v>31253897</v>
      </c>
      <c r="B1253" s="17" t="s">
        <v>5415</v>
      </c>
      <c r="C1253" s="17" t="s">
        <v>30</v>
      </c>
      <c r="D1253" s="1" t="s">
        <v>6986</v>
      </c>
      <c r="E1253" s="35" t="s">
        <v>6996</v>
      </c>
    </row>
    <row r="1254" spans="1:5" ht="14.25" hidden="1" customHeight="1">
      <c r="A1254" s="155">
        <v>31253897</v>
      </c>
      <c r="B1254" s="173" t="s">
        <v>5415</v>
      </c>
      <c r="C1254" s="173" t="s">
        <v>30</v>
      </c>
      <c r="D1254" s="173" t="s">
        <v>6986</v>
      </c>
      <c r="E1254" s="203">
        <v>43593</v>
      </c>
    </row>
    <row r="1255" spans="1:5" ht="14.25" hidden="1" customHeight="1">
      <c r="A1255" s="16">
        <v>31857331</v>
      </c>
      <c r="B1255" s="17" t="s">
        <v>4914</v>
      </c>
      <c r="C1255" s="17" t="s">
        <v>2497</v>
      </c>
      <c r="D1255" s="1" t="s">
        <v>6986</v>
      </c>
      <c r="E1255" s="35" t="s">
        <v>6996</v>
      </c>
    </row>
    <row r="1256" spans="1:5" ht="14.25" hidden="1" customHeight="1">
      <c r="A1256" s="155">
        <v>31857331</v>
      </c>
      <c r="B1256" s="173" t="s">
        <v>4914</v>
      </c>
      <c r="C1256" s="173" t="s">
        <v>2497</v>
      </c>
      <c r="D1256" s="173" t="s">
        <v>6986</v>
      </c>
      <c r="E1256" s="203">
        <v>43593</v>
      </c>
    </row>
    <row r="1257" spans="1:5" ht="14.25" hidden="1" customHeight="1">
      <c r="A1257" s="16">
        <v>36584270</v>
      </c>
      <c r="B1257" s="17" t="s">
        <v>5878</v>
      </c>
      <c r="C1257" s="17" t="s">
        <v>5879</v>
      </c>
      <c r="D1257" s="1" t="s">
        <v>6986</v>
      </c>
      <c r="E1257" s="35" t="s">
        <v>6996</v>
      </c>
    </row>
    <row r="1258" spans="1:5" ht="14.25" hidden="1" customHeight="1">
      <c r="A1258" s="155">
        <v>36584270</v>
      </c>
      <c r="B1258" s="173" t="s">
        <v>5878</v>
      </c>
      <c r="C1258" s="173" t="s">
        <v>5879</v>
      </c>
      <c r="D1258" s="173" t="s">
        <v>6986</v>
      </c>
      <c r="E1258" s="203">
        <v>43593</v>
      </c>
    </row>
    <row r="1259" spans="1:5" ht="14.25" hidden="1" customHeight="1">
      <c r="A1259" s="16">
        <v>37456249</v>
      </c>
      <c r="B1259" s="17" t="s">
        <v>5409</v>
      </c>
      <c r="C1259" s="17" t="s">
        <v>5410</v>
      </c>
      <c r="D1259" s="1" t="s">
        <v>6986</v>
      </c>
      <c r="E1259" s="35" t="s">
        <v>6996</v>
      </c>
    </row>
    <row r="1260" spans="1:5" ht="14.25" hidden="1" customHeight="1">
      <c r="A1260" s="155">
        <v>37456249</v>
      </c>
      <c r="B1260" s="173" t="s">
        <v>5409</v>
      </c>
      <c r="C1260" s="173" t="s">
        <v>5410</v>
      </c>
      <c r="D1260" s="173" t="s">
        <v>6986</v>
      </c>
      <c r="E1260" s="203">
        <v>43593</v>
      </c>
    </row>
    <row r="1261" spans="1:5" ht="14.25" hidden="1" customHeight="1">
      <c r="A1261" s="16">
        <v>12309312</v>
      </c>
      <c r="B1261" s="17" t="s">
        <v>156</v>
      </c>
      <c r="C1261" s="17" t="s">
        <v>157</v>
      </c>
      <c r="D1261" s="1" t="s">
        <v>6997</v>
      </c>
      <c r="E1261" s="35" t="s">
        <v>6998</v>
      </c>
    </row>
    <row r="1262" spans="1:5" ht="14.25" hidden="1" customHeight="1">
      <c r="A1262" s="155">
        <v>12309312</v>
      </c>
      <c r="B1262" s="173" t="s">
        <v>156</v>
      </c>
      <c r="C1262" s="173" t="s">
        <v>157</v>
      </c>
      <c r="D1262" s="173" t="s">
        <v>6997</v>
      </c>
      <c r="E1262" s="203">
        <v>43577</v>
      </c>
    </row>
    <row r="1263" spans="1:5" ht="14.25" hidden="1" customHeight="1">
      <c r="A1263" s="16">
        <v>12919979</v>
      </c>
      <c r="B1263" s="17" t="s">
        <v>3182</v>
      </c>
      <c r="C1263" s="17" t="s">
        <v>724</v>
      </c>
      <c r="D1263" s="1" t="s">
        <v>6997</v>
      </c>
      <c r="E1263" s="35" t="s">
        <v>6998</v>
      </c>
    </row>
    <row r="1264" spans="1:5" ht="14.25" hidden="1" customHeight="1">
      <c r="A1264" s="155">
        <v>12919979</v>
      </c>
      <c r="B1264" s="173" t="s">
        <v>3182</v>
      </c>
      <c r="C1264" s="173" t="s">
        <v>724</v>
      </c>
      <c r="D1264" s="173" t="s">
        <v>6997</v>
      </c>
      <c r="E1264" s="203">
        <v>43577</v>
      </c>
    </row>
    <row r="1265" spans="1:5" ht="14.25" hidden="1" customHeight="1">
      <c r="A1265" s="16">
        <v>14225505</v>
      </c>
      <c r="B1265" s="17" t="s">
        <v>260</v>
      </c>
      <c r="C1265" s="17" t="s">
        <v>261</v>
      </c>
      <c r="D1265" s="1" t="s">
        <v>6997</v>
      </c>
      <c r="E1265" s="35" t="s">
        <v>6998</v>
      </c>
    </row>
    <row r="1266" spans="1:5" ht="14.25" hidden="1" customHeight="1">
      <c r="A1266" s="155">
        <v>14225505</v>
      </c>
      <c r="B1266" s="173" t="s">
        <v>260</v>
      </c>
      <c r="C1266" s="173" t="s">
        <v>261</v>
      </c>
      <c r="D1266" s="173" t="s">
        <v>6997</v>
      </c>
      <c r="E1266" s="203">
        <v>43577</v>
      </c>
    </row>
    <row r="1267" spans="1:5" ht="14.25" hidden="1" customHeight="1">
      <c r="A1267" s="16">
        <v>17376396</v>
      </c>
      <c r="B1267" s="17" t="s">
        <v>1257</v>
      </c>
      <c r="C1267" s="17" t="s">
        <v>3405</v>
      </c>
      <c r="D1267" s="1" t="s">
        <v>6997</v>
      </c>
      <c r="E1267" s="35" t="s">
        <v>6998</v>
      </c>
    </row>
    <row r="1268" spans="1:5" ht="14.25" hidden="1" customHeight="1">
      <c r="A1268" s="155">
        <v>17376396</v>
      </c>
      <c r="B1268" s="173" t="s">
        <v>1257</v>
      </c>
      <c r="C1268" s="173" t="s">
        <v>3405</v>
      </c>
      <c r="D1268" s="173" t="s">
        <v>6997</v>
      </c>
      <c r="E1268" s="203">
        <v>43577</v>
      </c>
    </row>
    <row r="1269" spans="1:5" ht="14.25" hidden="1" customHeight="1">
      <c r="A1269" s="16">
        <v>18189383</v>
      </c>
      <c r="B1269" s="17" t="s">
        <v>4842</v>
      </c>
      <c r="C1269" s="17" t="s">
        <v>4843</v>
      </c>
      <c r="D1269" s="1" t="s">
        <v>6997</v>
      </c>
      <c r="E1269" s="35" t="s">
        <v>6998</v>
      </c>
    </row>
    <row r="1270" spans="1:5" ht="14.25" hidden="1" customHeight="1">
      <c r="A1270" s="155">
        <v>18189383</v>
      </c>
      <c r="B1270" s="173" t="s">
        <v>4842</v>
      </c>
      <c r="C1270" s="173" t="s">
        <v>4843</v>
      </c>
      <c r="D1270" s="173" t="s">
        <v>6997</v>
      </c>
      <c r="E1270" s="203">
        <v>43577</v>
      </c>
    </row>
    <row r="1271" spans="1:5" ht="14.25" hidden="1" customHeight="1">
      <c r="A1271" s="16">
        <v>18253250</v>
      </c>
      <c r="B1271" s="17" t="s">
        <v>680</v>
      </c>
      <c r="C1271" s="17" t="s">
        <v>1876</v>
      </c>
      <c r="D1271" s="1" t="s">
        <v>6997</v>
      </c>
      <c r="E1271" s="35" t="s">
        <v>6998</v>
      </c>
    </row>
    <row r="1272" spans="1:5" ht="14.25" hidden="1" customHeight="1">
      <c r="A1272" s="155">
        <v>18253250</v>
      </c>
      <c r="B1272" s="173" t="s">
        <v>680</v>
      </c>
      <c r="C1272" s="173" t="s">
        <v>1876</v>
      </c>
      <c r="D1272" s="173" t="s">
        <v>6997</v>
      </c>
      <c r="E1272" s="203">
        <v>43577</v>
      </c>
    </row>
    <row r="1273" spans="1:5" ht="14.25" hidden="1" customHeight="1">
      <c r="A1273" s="16">
        <v>20433316</v>
      </c>
      <c r="B1273" s="17" t="s">
        <v>690</v>
      </c>
      <c r="C1273" s="17" t="s">
        <v>6476</v>
      </c>
      <c r="D1273" s="1" t="s">
        <v>6997</v>
      </c>
      <c r="E1273" s="35" t="s">
        <v>6998</v>
      </c>
    </row>
    <row r="1274" spans="1:5" ht="14.25" hidden="1" customHeight="1">
      <c r="A1274" s="155">
        <v>20433316</v>
      </c>
      <c r="B1274" s="173" t="s">
        <v>690</v>
      </c>
      <c r="C1274" s="173" t="s">
        <v>6476</v>
      </c>
      <c r="D1274" s="173" t="s">
        <v>6997</v>
      </c>
      <c r="E1274" s="203">
        <v>43577</v>
      </c>
    </row>
    <row r="1275" spans="1:5" ht="14.25" hidden="1" customHeight="1">
      <c r="A1275" s="16">
        <v>21026697</v>
      </c>
      <c r="B1275" s="17" t="s">
        <v>927</v>
      </c>
      <c r="C1275" s="17" t="s">
        <v>930</v>
      </c>
      <c r="D1275" s="1" t="s">
        <v>6997</v>
      </c>
      <c r="E1275" s="35" t="s">
        <v>6998</v>
      </c>
    </row>
    <row r="1276" spans="1:5" ht="14.25" hidden="1" customHeight="1">
      <c r="A1276" s="155">
        <v>21026697</v>
      </c>
      <c r="B1276" s="173" t="s">
        <v>927</v>
      </c>
      <c r="C1276" s="173" t="s">
        <v>930</v>
      </c>
      <c r="D1276" s="173" t="s">
        <v>6997</v>
      </c>
      <c r="E1276" s="203">
        <v>43577</v>
      </c>
    </row>
    <row r="1277" spans="1:5" ht="14.25" hidden="1" customHeight="1">
      <c r="A1277" s="16">
        <v>21331893</v>
      </c>
      <c r="B1277" s="17" t="s">
        <v>405</v>
      </c>
      <c r="C1277" s="17" t="s">
        <v>406</v>
      </c>
      <c r="D1277" s="1" t="s">
        <v>6997</v>
      </c>
      <c r="E1277" s="35" t="s">
        <v>6998</v>
      </c>
    </row>
    <row r="1278" spans="1:5" ht="14.25" hidden="1" customHeight="1">
      <c r="A1278" s="155">
        <v>21331893</v>
      </c>
      <c r="B1278" s="173" t="s">
        <v>405</v>
      </c>
      <c r="C1278" s="173" t="s">
        <v>406</v>
      </c>
      <c r="D1278" s="173" t="s">
        <v>6997</v>
      </c>
      <c r="E1278" s="203">
        <v>43577</v>
      </c>
    </row>
    <row r="1279" spans="1:5" ht="14.25" hidden="1" customHeight="1">
      <c r="A1279" s="16">
        <v>23116848</v>
      </c>
      <c r="B1279" s="17" t="s">
        <v>583</v>
      </c>
      <c r="C1279" s="17" t="s">
        <v>584</v>
      </c>
      <c r="D1279" s="1" t="s">
        <v>6997</v>
      </c>
      <c r="E1279" s="35" t="s">
        <v>6998</v>
      </c>
    </row>
    <row r="1280" spans="1:5" ht="14.25" hidden="1" customHeight="1">
      <c r="A1280" s="155">
        <v>23116848</v>
      </c>
      <c r="B1280" s="173" t="s">
        <v>583</v>
      </c>
      <c r="C1280" s="173" t="s">
        <v>584</v>
      </c>
      <c r="D1280" s="173" t="s">
        <v>6997</v>
      </c>
      <c r="E1280" s="203">
        <v>43577</v>
      </c>
    </row>
    <row r="1281" spans="1:5" ht="14.25" hidden="1" customHeight="1">
      <c r="A1281" s="16">
        <v>24584184</v>
      </c>
      <c r="B1281" s="17" t="s">
        <v>990</v>
      </c>
      <c r="C1281" s="17" t="s">
        <v>991</v>
      </c>
      <c r="D1281" s="1" t="s">
        <v>6997</v>
      </c>
      <c r="E1281" s="35" t="s">
        <v>6998</v>
      </c>
    </row>
    <row r="1282" spans="1:5" ht="14.25" hidden="1" customHeight="1">
      <c r="A1282" s="155">
        <v>24584184</v>
      </c>
      <c r="B1282" s="173" t="s">
        <v>990</v>
      </c>
      <c r="C1282" s="173" t="s">
        <v>991</v>
      </c>
      <c r="D1282" s="173" t="s">
        <v>6997</v>
      </c>
      <c r="E1282" s="203">
        <v>43577</v>
      </c>
    </row>
    <row r="1283" spans="1:5" ht="14.25" hidden="1" customHeight="1">
      <c r="A1283" s="16">
        <v>25843480</v>
      </c>
      <c r="B1283" s="17" t="s">
        <v>355</v>
      </c>
      <c r="C1283" s="17" t="s">
        <v>1778</v>
      </c>
      <c r="D1283" s="1" t="s">
        <v>6997</v>
      </c>
      <c r="E1283" s="35" t="s">
        <v>6998</v>
      </c>
    </row>
    <row r="1284" spans="1:5" ht="14.25" hidden="1" customHeight="1">
      <c r="A1284" s="155">
        <v>25843480</v>
      </c>
      <c r="B1284" s="173" t="s">
        <v>355</v>
      </c>
      <c r="C1284" s="173" t="s">
        <v>1778</v>
      </c>
      <c r="D1284" s="173" t="s">
        <v>6997</v>
      </c>
      <c r="E1284" s="203">
        <v>43577</v>
      </c>
    </row>
    <row r="1285" spans="1:5" ht="14.25" hidden="1" customHeight="1">
      <c r="A1285" s="16">
        <v>37503443</v>
      </c>
      <c r="B1285" s="17" t="s">
        <v>927</v>
      </c>
      <c r="C1285" s="17" t="s">
        <v>1871</v>
      </c>
      <c r="D1285" s="1" t="s">
        <v>6997</v>
      </c>
      <c r="E1285" s="35" t="s">
        <v>6998</v>
      </c>
    </row>
    <row r="1286" spans="1:5" ht="14.25" hidden="1" customHeight="1">
      <c r="A1286" s="155">
        <v>37503443</v>
      </c>
      <c r="B1286" s="173" t="s">
        <v>927</v>
      </c>
      <c r="C1286" s="173" t="s">
        <v>1871</v>
      </c>
      <c r="D1286" s="173" t="s">
        <v>6997</v>
      </c>
      <c r="E1286" s="203">
        <v>43577</v>
      </c>
    </row>
    <row r="1287" spans="1:5" ht="14.25" hidden="1" customHeight="1">
      <c r="A1287" s="16">
        <v>11064260</v>
      </c>
      <c r="B1287" s="17" t="s">
        <v>574</v>
      </c>
      <c r="C1287" s="17" t="s">
        <v>1440</v>
      </c>
      <c r="D1287" s="1" t="s">
        <v>6992</v>
      </c>
      <c r="E1287" s="35" t="s">
        <v>6999</v>
      </c>
    </row>
    <row r="1288" spans="1:5" ht="14.25" hidden="1" customHeight="1">
      <c r="A1288" s="155">
        <v>11064260</v>
      </c>
      <c r="B1288" s="173" t="s">
        <v>574</v>
      </c>
      <c r="C1288" s="173" t="s">
        <v>1440</v>
      </c>
      <c r="D1288" s="173" t="s">
        <v>6992</v>
      </c>
      <c r="E1288" s="203">
        <v>43564</v>
      </c>
    </row>
    <row r="1289" spans="1:5" ht="14.25" hidden="1" customHeight="1">
      <c r="A1289" s="16">
        <v>12449905</v>
      </c>
      <c r="B1289" s="17" t="s">
        <v>2947</v>
      </c>
      <c r="C1289" s="17" t="s">
        <v>2948</v>
      </c>
      <c r="D1289" s="1" t="s">
        <v>6992</v>
      </c>
      <c r="E1289" s="35" t="s">
        <v>6999</v>
      </c>
    </row>
    <row r="1290" spans="1:5" ht="14.25" hidden="1" customHeight="1">
      <c r="A1290" s="155">
        <v>12449905</v>
      </c>
      <c r="B1290" s="173" t="s">
        <v>2947</v>
      </c>
      <c r="C1290" s="173" t="s">
        <v>2948</v>
      </c>
      <c r="D1290" s="173" t="s">
        <v>6992</v>
      </c>
      <c r="E1290" s="203">
        <v>43564</v>
      </c>
    </row>
    <row r="1291" spans="1:5" ht="14.25" hidden="1" customHeight="1">
      <c r="A1291" s="16">
        <v>13338617</v>
      </c>
      <c r="B1291" s="17" t="s">
        <v>83</v>
      </c>
      <c r="C1291" s="17" t="s">
        <v>84</v>
      </c>
      <c r="D1291" s="1" t="s">
        <v>6992</v>
      </c>
      <c r="E1291" s="35" t="s">
        <v>6999</v>
      </c>
    </row>
    <row r="1292" spans="1:5" ht="14.25" hidden="1" customHeight="1">
      <c r="A1292" s="155">
        <v>13338617</v>
      </c>
      <c r="B1292" s="173" t="s">
        <v>83</v>
      </c>
      <c r="C1292" s="173" t="s">
        <v>84</v>
      </c>
      <c r="D1292" s="173" t="s">
        <v>6992</v>
      </c>
      <c r="E1292" s="203">
        <v>43564</v>
      </c>
    </row>
    <row r="1293" spans="1:5" ht="14.25" hidden="1" customHeight="1">
      <c r="A1293" s="16">
        <v>14352978</v>
      </c>
      <c r="B1293" s="17" t="s">
        <v>1434</v>
      </c>
      <c r="C1293" s="17" t="s">
        <v>1191</v>
      </c>
      <c r="D1293" s="1" t="s">
        <v>6992</v>
      </c>
      <c r="E1293" s="35" t="s">
        <v>6999</v>
      </c>
    </row>
    <row r="1294" spans="1:5" ht="14.25" hidden="1" customHeight="1">
      <c r="A1294" s="155">
        <v>14352978</v>
      </c>
      <c r="B1294" s="173" t="s">
        <v>1434</v>
      </c>
      <c r="C1294" s="173" t="s">
        <v>1191</v>
      </c>
      <c r="D1294" s="173" t="s">
        <v>6992</v>
      </c>
      <c r="E1294" s="203">
        <v>43564</v>
      </c>
    </row>
    <row r="1295" spans="1:5" ht="14.25" hidden="1" customHeight="1">
      <c r="A1295" s="16">
        <v>14984183</v>
      </c>
      <c r="B1295" s="17" t="s">
        <v>5811</v>
      </c>
      <c r="C1295" s="17" t="s">
        <v>876</v>
      </c>
      <c r="D1295" s="1" t="s">
        <v>6992</v>
      </c>
      <c r="E1295" s="35" t="s">
        <v>6999</v>
      </c>
    </row>
    <row r="1296" spans="1:5" ht="14.25" hidden="1" customHeight="1">
      <c r="A1296" s="155">
        <v>14984183</v>
      </c>
      <c r="B1296" s="173" t="s">
        <v>5811</v>
      </c>
      <c r="C1296" s="173" t="s">
        <v>876</v>
      </c>
      <c r="D1296" s="173" t="s">
        <v>6992</v>
      </c>
      <c r="E1296" s="203">
        <v>43564</v>
      </c>
    </row>
    <row r="1297" spans="1:5" ht="14.25" hidden="1" customHeight="1">
      <c r="A1297" s="16">
        <v>16314577</v>
      </c>
      <c r="B1297" s="17" t="s">
        <v>377</v>
      </c>
      <c r="C1297" s="17" t="s">
        <v>378</v>
      </c>
      <c r="D1297" s="1" t="s">
        <v>6992</v>
      </c>
      <c r="E1297" s="35" t="s">
        <v>6999</v>
      </c>
    </row>
    <row r="1298" spans="1:5" ht="14.25" hidden="1" customHeight="1">
      <c r="A1298" s="155">
        <v>16314577</v>
      </c>
      <c r="B1298" s="173" t="s">
        <v>377</v>
      </c>
      <c r="C1298" s="173" t="s">
        <v>378</v>
      </c>
      <c r="D1298" s="173" t="s">
        <v>6992</v>
      </c>
      <c r="E1298" s="203">
        <v>43564</v>
      </c>
    </row>
    <row r="1299" spans="1:5" ht="14.25" hidden="1" customHeight="1">
      <c r="A1299" s="16">
        <v>16685844</v>
      </c>
      <c r="B1299" s="17" t="s">
        <v>1926</v>
      </c>
      <c r="C1299" s="17" t="s">
        <v>1974</v>
      </c>
      <c r="D1299" s="1" t="s">
        <v>6992</v>
      </c>
      <c r="E1299" s="35" t="s">
        <v>6999</v>
      </c>
    </row>
    <row r="1300" spans="1:5" ht="14.25" hidden="1" customHeight="1">
      <c r="A1300" s="155">
        <v>16685844</v>
      </c>
      <c r="B1300" s="173" t="s">
        <v>1926</v>
      </c>
      <c r="C1300" s="173" t="s">
        <v>1974</v>
      </c>
      <c r="D1300" s="173" t="s">
        <v>6992</v>
      </c>
      <c r="E1300" s="203">
        <v>43564</v>
      </c>
    </row>
    <row r="1301" spans="1:5" ht="14.25" hidden="1" customHeight="1">
      <c r="A1301" s="16">
        <v>17268021</v>
      </c>
      <c r="B1301" s="17" t="s">
        <v>4649</v>
      </c>
      <c r="C1301" s="17" t="s">
        <v>2184</v>
      </c>
      <c r="D1301" s="1" t="s">
        <v>6992</v>
      </c>
      <c r="E1301" s="35" t="s">
        <v>6999</v>
      </c>
    </row>
    <row r="1302" spans="1:5" ht="14.25" hidden="1" customHeight="1">
      <c r="A1302" s="155">
        <v>17268021</v>
      </c>
      <c r="B1302" s="173" t="s">
        <v>4649</v>
      </c>
      <c r="C1302" s="173" t="s">
        <v>2184</v>
      </c>
      <c r="D1302" s="173" t="s">
        <v>6992</v>
      </c>
      <c r="E1302" s="203">
        <v>43564</v>
      </c>
    </row>
    <row r="1303" spans="1:5" ht="14.25" hidden="1" customHeight="1">
      <c r="A1303" s="16">
        <v>17376654</v>
      </c>
      <c r="B1303" s="17" t="s">
        <v>4223</v>
      </c>
      <c r="C1303" s="17" t="s">
        <v>4224</v>
      </c>
      <c r="D1303" s="1" t="s">
        <v>6992</v>
      </c>
      <c r="E1303" s="35" t="s">
        <v>6999</v>
      </c>
    </row>
    <row r="1304" spans="1:5" ht="14.25" hidden="1" customHeight="1">
      <c r="A1304" s="155">
        <v>17376654</v>
      </c>
      <c r="B1304" s="173" t="s">
        <v>4223</v>
      </c>
      <c r="C1304" s="173" t="s">
        <v>4224</v>
      </c>
      <c r="D1304" s="173" t="s">
        <v>6992</v>
      </c>
      <c r="E1304" s="203">
        <v>43564</v>
      </c>
    </row>
    <row r="1305" spans="1:5" ht="14.25" hidden="1" customHeight="1">
      <c r="A1305" s="16">
        <v>21744631</v>
      </c>
      <c r="B1305" s="17" t="s">
        <v>3622</v>
      </c>
      <c r="C1305" s="17" t="s">
        <v>3623</v>
      </c>
      <c r="D1305" s="1" t="s">
        <v>6992</v>
      </c>
      <c r="E1305" s="35" t="s">
        <v>6999</v>
      </c>
    </row>
    <row r="1306" spans="1:5" ht="14.25" hidden="1" customHeight="1">
      <c r="A1306" s="155">
        <v>21744631</v>
      </c>
      <c r="B1306" s="173" t="s">
        <v>3622</v>
      </c>
      <c r="C1306" s="173" t="s">
        <v>3623</v>
      </c>
      <c r="D1306" s="173" t="s">
        <v>6992</v>
      </c>
      <c r="E1306" s="203">
        <v>43564</v>
      </c>
    </row>
    <row r="1307" spans="1:5" ht="14.25" hidden="1" customHeight="1">
      <c r="A1307" s="16">
        <v>22263363</v>
      </c>
      <c r="B1307" s="17" t="s">
        <v>472</v>
      </c>
      <c r="C1307" s="17" t="s">
        <v>473</v>
      </c>
      <c r="D1307" s="1" t="s">
        <v>6992</v>
      </c>
      <c r="E1307" s="35" t="s">
        <v>6999</v>
      </c>
    </row>
    <row r="1308" spans="1:5" ht="14.25" hidden="1" customHeight="1">
      <c r="A1308" s="155">
        <v>22263363</v>
      </c>
      <c r="B1308" s="173" t="s">
        <v>472</v>
      </c>
      <c r="C1308" s="173" t="s">
        <v>473</v>
      </c>
      <c r="D1308" s="173" t="s">
        <v>6992</v>
      </c>
      <c r="E1308" s="203">
        <v>43564</v>
      </c>
    </row>
    <row r="1309" spans="1:5" ht="14.25" hidden="1" customHeight="1">
      <c r="A1309" s="16">
        <v>22264675</v>
      </c>
      <c r="B1309" s="17" t="s">
        <v>399</v>
      </c>
      <c r="C1309" s="17" t="s">
        <v>400</v>
      </c>
      <c r="D1309" s="1" t="s">
        <v>6992</v>
      </c>
      <c r="E1309" s="35" t="s">
        <v>6999</v>
      </c>
    </row>
    <row r="1310" spans="1:5" ht="14.25" hidden="1" customHeight="1">
      <c r="A1310" s="155">
        <v>22264675</v>
      </c>
      <c r="B1310" s="173" t="s">
        <v>399</v>
      </c>
      <c r="C1310" s="173" t="s">
        <v>400</v>
      </c>
      <c r="D1310" s="173" t="s">
        <v>6992</v>
      </c>
      <c r="E1310" s="203">
        <v>43564</v>
      </c>
    </row>
    <row r="1311" spans="1:5" ht="14.25" hidden="1" customHeight="1">
      <c r="A1311" s="16">
        <v>22336584</v>
      </c>
      <c r="B1311" s="17" t="s">
        <v>4072</v>
      </c>
      <c r="C1311" s="17" t="s">
        <v>527</v>
      </c>
      <c r="D1311" s="1" t="s">
        <v>6992</v>
      </c>
      <c r="E1311" s="35" t="s">
        <v>6999</v>
      </c>
    </row>
    <row r="1312" spans="1:5" ht="14.25" hidden="1" customHeight="1">
      <c r="A1312" s="155">
        <v>22336584</v>
      </c>
      <c r="B1312" s="173" t="s">
        <v>4072</v>
      </c>
      <c r="C1312" s="173" t="s">
        <v>527</v>
      </c>
      <c r="D1312" s="173" t="s">
        <v>6992</v>
      </c>
      <c r="E1312" s="203">
        <v>43564</v>
      </c>
    </row>
    <row r="1313" spans="1:5" ht="14.25" hidden="1" customHeight="1">
      <c r="A1313" s="16">
        <v>22451756</v>
      </c>
      <c r="B1313" s="17" t="s">
        <v>983</v>
      </c>
      <c r="C1313" s="17" t="s">
        <v>2669</v>
      </c>
      <c r="D1313" s="1" t="s">
        <v>6992</v>
      </c>
      <c r="E1313" s="35" t="s">
        <v>6999</v>
      </c>
    </row>
    <row r="1314" spans="1:5" ht="14.25" hidden="1" customHeight="1">
      <c r="A1314" s="155">
        <v>22451756</v>
      </c>
      <c r="B1314" s="173" t="s">
        <v>983</v>
      </c>
      <c r="C1314" s="173" t="s">
        <v>2669</v>
      </c>
      <c r="D1314" s="173" t="s">
        <v>6992</v>
      </c>
      <c r="E1314" s="203">
        <v>43564</v>
      </c>
    </row>
    <row r="1315" spans="1:5" ht="14.25" hidden="1" customHeight="1">
      <c r="A1315" s="16">
        <v>22664437</v>
      </c>
      <c r="B1315" s="17" t="s">
        <v>4809</v>
      </c>
      <c r="C1315" s="17" t="s">
        <v>4810</v>
      </c>
      <c r="D1315" s="1" t="s">
        <v>6992</v>
      </c>
      <c r="E1315" s="35" t="s">
        <v>6999</v>
      </c>
    </row>
    <row r="1316" spans="1:5" ht="14.25" hidden="1" customHeight="1">
      <c r="A1316" s="155">
        <v>22664437</v>
      </c>
      <c r="B1316" s="173" t="s">
        <v>4809</v>
      </c>
      <c r="C1316" s="173" t="s">
        <v>4810</v>
      </c>
      <c r="D1316" s="173" t="s">
        <v>6992</v>
      </c>
      <c r="E1316" s="203">
        <v>43564</v>
      </c>
    </row>
    <row r="1317" spans="1:5" ht="14.25" hidden="1" customHeight="1">
      <c r="A1317" s="16">
        <v>23239528</v>
      </c>
      <c r="B1317" s="17" t="s">
        <v>4981</v>
      </c>
      <c r="C1317" s="17" t="s">
        <v>4982</v>
      </c>
      <c r="D1317" s="1" t="s">
        <v>6992</v>
      </c>
      <c r="E1317" s="35" t="s">
        <v>6999</v>
      </c>
    </row>
    <row r="1318" spans="1:5" ht="14.25" hidden="1" customHeight="1">
      <c r="A1318" s="155">
        <v>23239528</v>
      </c>
      <c r="B1318" s="173" t="s">
        <v>4981</v>
      </c>
      <c r="C1318" s="173" t="s">
        <v>4982</v>
      </c>
      <c r="D1318" s="173" t="s">
        <v>6992</v>
      </c>
      <c r="E1318" s="203">
        <v>43564</v>
      </c>
    </row>
    <row r="1319" spans="1:5" ht="14.25" hidden="1" customHeight="1">
      <c r="A1319" s="16">
        <v>24200383</v>
      </c>
      <c r="B1319" s="17" t="s">
        <v>207</v>
      </c>
      <c r="C1319" s="17" t="s">
        <v>655</v>
      </c>
      <c r="D1319" s="1" t="s">
        <v>6992</v>
      </c>
      <c r="E1319" s="35" t="s">
        <v>6999</v>
      </c>
    </row>
    <row r="1320" spans="1:5" ht="14.25" hidden="1" customHeight="1">
      <c r="A1320" s="155">
        <v>24200383</v>
      </c>
      <c r="B1320" s="173" t="s">
        <v>207</v>
      </c>
      <c r="C1320" s="173" t="s">
        <v>655</v>
      </c>
      <c r="D1320" s="173" t="s">
        <v>6992</v>
      </c>
      <c r="E1320" s="203">
        <v>43564</v>
      </c>
    </row>
    <row r="1321" spans="1:5" ht="14.25" hidden="1" customHeight="1">
      <c r="A1321" s="16">
        <v>24553198</v>
      </c>
      <c r="B1321" s="17" t="s">
        <v>1906</v>
      </c>
      <c r="C1321" s="17" t="s">
        <v>5933</v>
      </c>
      <c r="D1321" s="1" t="s">
        <v>6992</v>
      </c>
      <c r="E1321" s="35" t="s">
        <v>6999</v>
      </c>
    </row>
    <row r="1322" spans="1:5" ht="14.25" hidden="1" customHeight="1">
      <c r="A1322" s="155">
        <v>24553198</v>
      </c>
      <c r="B1322" s="173" t="s">
        <v>1906</v>
      </c>
      <c r="C1322" s="173" t="s">
        <v>5933</v>
      </c>
      <c r="D1322" s="173" t="s">
        <v>6992</v>
      </c>
      <c r="E1322" s="203">
        <v>43564</v>
      </c>
    </row>
    <row r="1323" spans="1:5" ht="14.25" hidden="1" customHeight="1">
      <c r="A1323" s="16">
        <v>24802248</v>
      </c>
      <c r="B1323" s="17" t="s">
        <v>1613</v>
      </c>
      <c r="C1323" s="17" t="s">
        <v>2418</v>
      </c>
      <c r="D1323" s="1" t="s">
        <v>6992</v>
      </c>
      <c r="E1323" s="35" t="s">
        <v>6999</v>
      </c>
    </row>
    <row r="1324" spans="1:5" ht="14.25" hidden="1" customHeight="1">
      <c r="A1324" s="155">
        <v>24802248</v>
      </c>
      <c r="B1324" s="173" t="s">
        <v>1613</v>
      </c>
      <c r="C1324" s="173" t="s">
        <v>2418</v>
      </c>
      <c r="D1324" s="173" t="s">
        <v>6992</v>
      </c>
      <c r="E1324" s="203">
        <v>43564</v>
      </c>
    </row>
    <row r="1325" spans="1:5" ht="14.25" hidden="1" customHeight="1">
      <c r="A1325" s="16">
        <v>25735261</v>
      </c>
      <c r="B1325" s="17" t="s">
        <v>2912</v>
      </c>
      <c r="C1325" s="17" t="s">
        <v>2913</v>
      </c>
      <c r="D1325" s="1" t="s">
        <v>6992</v>
      </c>
      <c r="E1325" s="35" t="s">
        <v>6999</v>
      </c>
    </row>
    <row r="1326" spans="1:5" ht="14.25" hidden="1" customHeight="1">
      <c r="A1326" s="155">
        <v>25735261</v>
      </c>
      <c r="B1326" s="173" t="s">
        <v>2912</v>
      </c>
      <c r="C1326" s="173" t="s">
        <v>2913</v>
      </c>
      <c r="D1326" s="173" t="s">
        <v>6992</v>
      </c>
      <c r="E1326" s="203">
        <v>43564</v>
      </c>
    </row>
    <row r="1327" spans="1:5" ht="14.25" hidden="1" customHeight="1">
      <c r="A1327" s="16">
        <v>25735833</v>
      </c>
      <c r="B1327" s="17" t="s">
        <v>3622</v>
      </c>
      <c r="C1327" s="17" t="s">
        <v>4184</v>
      </c>
      <c r="D1327" s="1" t="s">
        <v>6992</v>
      </c>
      <c r="E1327" s="35" t="s">
        <v>6999</v>
      </c>
    </row>
    <row r="1328" spans="1:5" ht="14.25" hidden="1" customHeight="1">
      <c r="A1328" s="155">
        <v>25735833</v>
      </c>
      <c r="B1328" s="173" t="s">
        <v>3622</v>
      </c>
      <c r="C1328" s="173" t="s">
        <v>4184</v>
      </c>
      <c r="D1328" s="173" t="s">
        <v>6992</v>
      </c>
      <c r="E1328" s="203">
        <v>43564</v>
      </c>
    </row>
    <row r="1329" spans="1:5" ht="14.25" hidden="1" customHeight="1">
      <c r="A1329" s="16">
        <v>25843239</v>
      </c>
      <c r="B1329" s="17" t="s">
        <v>4874</v>
      </c>
      <c r="C1329" s="17" t="s">
        <v>4875</v>
      </c>
      <c r="D1329" s="1" t="s">
        <v>6992</v>
      </c>
      <c r="E1329" s="35" t="s">
        <v>6999</v>
      </c>
    </row>
    <row r="1330" spans="1:5" ht="14.25" hidden="1" customHeight="1">
      <c r="A1330" s="155">
        <v>25843239</v>
      </c>
      <c r="B1330" s="173" t="s">
        <v>4874</v>
      </c>
      <c r="C1330" s="173" t="s">
        <v>4875</v>
      </c>
      <c r="D1330" s="173" t="s">
        <v>6992</v>
      </c>
      <c r="E1330" s="203">
        <v>43564</v>
      </c>
    </row>
    <row r="1331" spans="1:5" ht="14.25" hidden="1" customHeight="1">
      <c r="A1331" s="16">
        <v>26454127</v>
      </c>
      <c r="B1331" s="17" t="s">
        <v>2622</v>
      </c>
      <c r="C1331" s="17" t="s">
        <v>4232</v>
      </c>
      <c r="D1331" s="1" t="s">
        <v>6992</v>
      </c>
      <c r="E1331" s="35" t="s">
        <v>6999</v>
      </c>
    </row>
    <row r="1332" spans="1:5" ht="14.25" hidden="1" customHeight="1">
      <c r="A1332" s="155">
        <v>26454127</v>
      </c>
      <c r="B1332" s="173" t="s">
        <v>2622</v>
      </c>
      <c r="C1332" s="173" t="s">
        <v>4232</v>
      </c>
      <c r="D1332" s="173" t="s">
        <v>6992</v>
      </c>
      <c r="E1332" s="203">
        <v>43564</v>
      </c>
    </row>
    <row r="1333" spans="1:5" ht="14.25" hidden="1" customHeight="1">
      <c r="A1333" s="16">
        <v>27732258</v>
      </c>
      <c r="B1333" s="17" t="s">
        <v>1385</v>
      </c>
      <c r="C1333" s="17" t="s">
        <v>74</v>
      </c>
      <c r="D1333" s="1" t="s">
        <v>6992</v>
      </c>
      <c r="E1333" s="35" t="s">
        <v>6999</v>
      </c>
    </row>
    <row r="1334" spans="1:5" ht="14.25" hidden="1" customHeight="1">
      <c r="A1334" s="155">
        <v>27732258</v>
      </c>
      <c r="B1334" s="173" t="s">
        <v>1385</v>
      </c>
      <c r="C1334" s="173" t="s">
        <v>74</v>
      </c>
      <c r="D1334" s="173" t="s">
        <v>6992</v>
      </c>
      <c r="E1334" s="203">
        <v>43564</v>
      </c>
    </row>
    <row r="1335" spans="1:5" ht="14.25" hidden="1" customHeight="1">
      <c r="A1335" s="16">
        <v>28458542</v>
      </c>
      <c r="B1335" s="17" t="s">
        <v>578</v>
      </c>
      <c r="C1335" s="17" t="s">
        <v>579</v>
      </c>
      <c r="D1335" s="1" t="s">
        <v>6992</v>
      </c>
      <c r="E1335" s="35" t="s">
        <v>6999</v>
      </c>
    </row>
    <row r="1336" spans="1:5" ht="14.25" hidden="1" customHeight="1">
      <c r="A1336" s="155">
        <v>28458542</v>
      </c>
      <c r="B1336" s="173" t="s">
        <v>578</v>
      </c>
      <c r="C1336" s="173" t="s">
        <v>579</v>
      </c>
      <c r="D1336" s="173" t="s">
        <v>6992</v>
      </c>
      <c r="E1336" s="203">
        <v>43564</v>
      </c>
    </row>
    <row r="1337" spans="1:5" ht="14.25" hidden="1" customHeight="1">
      <c r="A1337" s="16">
        <v>29060415</v>
      </c>
      <c r="B1337" s="17" t="s">
        <v>94</v>
      </c>
      <c r="C1337" s="17" t="s">
        <v>455</v>
      </c>
      <c r="D1337" s="1" t="s">
        <v>6992</v>
      </c>
      <c r="E1337" s="35" t="s">
        <v>6999</v>
      </c>
    </row>
    <row r="1338" spans="1:5" ht="14.25" hidden="1" customHeight="1">
      <c r="A1338" s="155">
        <v>29060415</v>
      </c>
      <c r="B1338" s="173" t="s">
        <v>94</v>
      </c>
      <c r="C1338" s="173" t="s">
        <v>455</v>
      </c>
      <c r="D1338" s="173" t="s">
        <v>6992</v>
      </c>
      <c r="E1338" s="203">
        <v>43564</v>
      </c>
    </row>
    <row r="1339" spans="1:5" ht="14.25" hidden="1" customHeight="1">
      <c r="A1339" s="16">
        <v>32012359</v>
      </c>
      <c r="B1339" s="17" t="s">
        <v>2961</v>
      </c>
      <c r="C1339" s="17" t="s">
        <v>253</v>
      </c>
      <c r="D1339" s="1" t="s">
        <v>6992</v>
      </c>
      <c r="E1339" s="35" t="s">
        <v>6999</v>
      </c>
    </row>
    <row r="1340" spans="1:5" ht="14.25" hidden="1" customHeight="1">
      <c r="A1340" s="155">
        <v>32012359</v>
      </c>
      <c r="B1340" s="173" t="s">
        <v>2961</v>
      </c>
      <c r="C1340" s="173" t="s">
        <v>253</v>
      </c>
      <c r="D1340" s="173" t="s">
        <v>6992</v>
      </c>
      <c r="E1340" s="203">
        <v>43564</v>
      </c>
    </row>
    <row r="1341" spans="1:5" ht="14.25" hidden="1" customHeight="1">
      <c r="A1341" s="16">
        <v>32109721</v>
      </c>
      <c r="B1341" s="17" t="s">
        <v>428</v>
      </c>
      <c r="C1341" s="17" t="s">
        <v>3549</v>
      </c>
      <c r="D1341" s="1" t="s">
        <v>6992</v>
      </c>
      <c r="E1341" s="35" t="s">
        <v>6999</v>
      </c>
    </row>
    <row r="1342" spans="1:5" ht="14.25" hidden="1" customHeight="1">
      <c r="A1342" s="155">
        <v>32109721</v>
      </c>
      <c r="B1342" s="173" t="s">
        <v>428</v>
      </c>
      <c r="C1342" s="173" t="s">
        <v>3549</v>
      </c>
      <c r="D1342" s="173" t="s">
        <v>6992</v>
      </c>
      <c r="E1342" s="203">
        <v>43564</v>
      </c>
    </row>
    <row r="1343" spans="1:5" ht="14.25" hidden="1" customHeight="1">
      <c r="A1343" s="16">
        <v>32110544</v>
      </c>
      <c r="B1343" s="17" t="s">
        <v>3277</v>
      </c>
      <c r="C1343" s="17" t="s">
        <v>3278</v>
      </c>
      <c r="D1343" s="1" t="s">
        <v>6992</v>
      </c>
      <c r="E1343" s="35" t="s">
        <v>6999</v>
      </c>
    </row>
    <row r="1344" spans="1:5" ht="14.25" hidden="1" customHeight="1">
      <c r="A1344" s="155">
        <v>32110544</v>
      </c>
      <c r="B1344" s="173" t="s">
        <v>3277</v>
      </c>
      <c r="C1344" s="173" t="s">
        <v>3278</v>
      </c>
      <c r="D1344" s="173" t="s">
        <v>6992</v>
      </c>
      <c r="E1344" s="203">
        <v>43564</v>
      </c>
    </row>
    <row r="1345" spans="1:5" ht="14.25" hidden="1" customHeight="1">
      <c r="A1345" s="16">
        <v>32460682</v>
      </c>
      <c r="B1345" s="17" t="s">
        <v>1244</v>
      </c>
      <c r="C1345" s="17" t="s">
        <v>351</v>
      </c>
      <c r="D1345" s="1" t="s">
        <v>6992</v>
      </c>
      <c r="E1345" s="35" t="s">
        <v>6999</v>
      </c>
    </row>
    <row r="1346" spans="1:5" ht="14.25" hidden="1" customHeight="1">
      <c r="A1346" s="155">
        <v>32460682</v>
      </c>
      <c r="B1346" s="173" t="s">
        <v>1244</v>
      </c>
      <c r="C1346" s="173" t="s">
        <v>351</v>
      </c>
      <c r="D1346" s="173" t="s">
        <v>6992</v>
      </c>
      <c r="E1346" s="203">
        <v>43564</v>
      </c>
    </row>
    <row r="1347" spans="1:5" ht="14.25" hidden="1" customHeight="1">
      <c r="A1347" s="16">
        <v>32493293</v>
      </c>
      <c r="B1347" s="17" t="s">
        <v>73</v>
      </c>
      <c r="C1347" s="17" t="s">
        <v>74</v>
      </c>
      <c r="D1347" s="1" t="s">
        <v>6992</v>
      </c>
      <c r="E1347" s="35" t="s">
        <v>6999</v>
      </c>
    </row>
    <row r="1348" spans="1:5" ht="14.25" hidden="1" customHeight="1">
      <c r="A1348" s="155">
        <v>32493293</v>
      </c>
      <c r="B1348" s="173" t="s">
        <v>73</v>
      </c>
      <c r="C1348" s="173" t="s">
        <v>74</v>
      </c>
      <c r="D1348" s="173" t="s">
        <v>6992</v>
      </c>
      <c r="E1348" s="203">
        <v>43564</v>
      </c>
    </row>
    <row r="1349" spans="1:5" ht="14.25" hidden="1" customHeight="1">
      <c r="A1349" s="16">
        <v>33756264</v>
      </c>
      <c r="B1349" s="17" t="s">
        <v>3895</v>
      </c>
      <c r="C1349" s="17" t="s">
        <v>5753</v>
      </c>
      <c r="D1349" s="1" t="s">
        <v>6992</v>
      </c>
      <c r="E1349" s="35" t="s">
        <v>6999</v>
      </c>
    </row>
    <row r="1350" spans="1:5" ht="14.25" hidden="1" customHeight="1">
      <c r="A1350" s="155">
        <v>33756264</v>
      </c>
      <c r="B1350" s="173" t="s">
        <v>3895</v>
      </c>
      <c r="C1350" s="173" t="s">
        <v>5753</v>
      </c>
      <c r="D1350" s="173" t="s">
        <v>6992</v>
      </c>
      <c r="E1350" s="203">
        <v>43564</v>
      </c>
    </row>
    <row r="1351" spans="1:5" ht="14.25" hidden="1" customHeight="1">
      <c r="A1351" s="16">
        <v>34356805</v>
      </c>
      <c r="B1351" s="17" t="s">
        <v>650</v>
      </c>
      <c r="C1351" s="17" t="s">
        <v>6991</v>
      </c>
      <c r="D1351" s="1" t="s">
        <v>6992</v>
      </c>
      <c r="E1351" s="35" t="s">
        <v>6999</v>
      </c>
    </row>
    <row r="1352" spans="1:5" ht="14.25" hidden="1" customHeight="1">
      <c r="A1352" s="155">
        <v>34356805</v>
      </c>
      <c r="B1352" s="173" t="s">
        <v>650</v>
      </c>
      <c r="C1352" s="173" t="s">
        <v>6991</v>
      </c>
      <c r="D1352" s="173" t="s">
        <v>6992</v>
      </c>
      <c r="E1352" s="203">
        <v>43564</v>
      </c>
    </row>
    <row r="1353" spans="1:5" ht="14.25" hidden="1" customHeight="1">
      <c r="A1353" s="16">
        <v>40630488</v>
      </c>
      <c r="B1353" s="17" t="s">
        <v>1427</v>
      </c>
      <c r="C1353" s="17" t="s">
        <v>1428</v>
      </c>
      <c r="D1353" s="1" t="s">
        <v>6992</v>
      </c>
      <c r="E1353" s="35" t="s">
        <v>6999</v>
      </c>
    </row>
    <row r="1354" spans="1:5" ht="14.25" hidden="1" customHeight="1">
      <c r="A1354" s="155">
        <v>40630488</v>
      </c>
      <c r="B1354" s="173" t="s">
        <v>1427</v>
      </c>
      <c r="C1354" s="173" t="s">
        <v>1428</v>
      </c>
      <c r="D1354" s="173" t="s">
        <v>6992</v>
      </c>
      <c r="E1354" s="203">
        <v>43564</v>
      </c>
    </row>
    <row r="1355" spans="1:5" ht="14.25" hidden="1" customHeight="1">
      <c r="A1355" s="16">
        <v>27732258</v>
      </c>
      <c r="B1355" s="17" t="s">
        <v>1385</v>
      </c>
      <c r="C1355" s="17" t="s">
        <v>74</v>
      </c>
      <c r="D1355" s="1" t="s">
        <v>6992</v>
      </c>
      <c r="E1355" s="35" t="s">
        <v>7000</v>
      </c>
    </row>
    <row r="1356" spans="1:5" ht="14.25" hidden="1" customHeight="1">
      <c r="A1356" s="155">
        <v>27732258</v>
      </c>
      <c r="B1356" s="173" t="s">
        <v>1385</v>
      </c>
      <c r="C1356" s="173" t="s">
        <v>74</v>
      </c>
      <c r="D1356" s="173" t="s">
        <v>6992</v>
      </c>
      <c r="E1356" s="203">
        <v>43563</v>
      </c>
    </row>
    <row r="1357" spans="1:5" ht="14.25" hidden="1" customHeight="1">
      <c r="A1357" s="155">
        <v>14073031</v>
      </c>
      <c r="B1357" s="173" t="s">
        <v>541</v>
      </c>
      <c r="C1357" s="173" t="s">
        <v>2382</v>
      </c>
      <c r="D1357" s="173" t="s">
        <v>9301</v>
      </c>
      <c r="E1357" s="203">
        <v>43544</v>
      </c>
    </row>
    <row r="1358" spans="1:5" ht="14.25" hidden="1" customHeight="1">
      <c r="A1358" s="155">
        <v>24200086</v>
      </c>
      <c r="B1358" s="173" t="s">
        <v>2364</v>
      </c>
      <c r="C1358" s="173" t="s">
        <v>2365</v>
      </c>
      <c r="D1358" s="173" t="s">
        <v>9301</v>
      </c>
      <c r="E1358" s="203">
        <v>43544</v>
      </c>
    </row>
    <row r="1359" spans="1:5" ht="14.25" hidden="1" customHeight="1">
      <c r="A1359" s="155">
        <v>26743740</v>
      </c>
      <c r="B1359" s="173" t="s">
        <v>794</v>
      </c>
      <c r="C1359" s="173" t="s">
        <v>2371</v>
      </c>
      <c r="D1359" s="173" t="s">
        <v>9301</v>
      </c>
      <c r="E1359" s="203">
        <v>43544</v>
      </c>
    </row>
    <row r="1360" spans="1:5" ht="14.25" hidden="1" customHeight="1">
      <c r="A1360" s="16">
        <v>12796743</v>
      </c>
      <c r="B1360" s="17" t="s">
        <v>734</v>
      </c>
      <c r="C1360" s="17" t="s">
        <v>2346</v>
      </c>
      <c r="D1360" s="1" t="s">
        <v>7001</v>
      </c>
      <c r="E1360" s="35" t="s">
        <v>7002</v>
      </c>
    </row>
    <row r="1361" spans="1:5" ht="14.25" hidden="1" customHeight="1">
      <c r="A1361" s="155">
        <v>12796743</v>
      </c>
      <c r="B1361" s="173" t="s">
        <v>734</v>
      </c>
      <c r="C1361" s="173" t="s">
        <v>2346</v>
      </c>
      <c r="D1361" s="173" t="s">
        <v>7001</v>
      </c>
      <c r="E1361" s="203">
        <v>43544</v>
      </c>
    </row>
    <row r="1362" spans="1:5" ht="14.25" hidden="1" customHeight="1">
      <c r="A1362" s="16">
        <v>12870523</v>
      </c>
      <c r="B1362" s="17" t="s">
        <v>476</v>
      </c>
      <c r="C1362" s="17" t="s">
        <v>477</v>
      </c>
      <c r="D1362" s="1" t="s">
        <v>7001</v>
      </c>
      <c r="E1362" s="35" t="s">
        <v>7002</v>
      </c>
    </row>
    <row r="1363" spans="1:5" ht="14.25" hidden="1" customHeight="1">
      <c r="A1363" s="155">
        <v>12870523</v>
      </c>
      <c r="B1363" s="173" t="s">
        <v>476</v>
      </c>
      <c r="C1363" s="173" t="s">
        <v>477</v>
      </c>
      <c r="D1363" s="173" t="s">
        <v>7001</v>
      </c>
      <c r="E1363" s="203">
        <v>43544</v>
      </c>
    </row>
    <row r="1364" spans="1:5" ht="14.25" hidden="1" customHeight="1">
      <c r="A1364" s="16">
        <v>13338781</v>
      </c>
      <c r="B1364" s="17" t="s">
        <v>5389</v>
      </c>
      <c r="C1364" s="17" t="s">
        <v>5390</v>
      </c>
      <c r="D1364" s="1" t="s">
        <v>7001</v>
      </c>
      <c r="E1364" s="35" t="s">
        <v>7002</v>
      </c>
    </row>
    <row r="1365" spans="1:5" ht="14.25" hidden="1" customHeight="1">
      <c r="A1365" s="155">
        <v>13338781</v>
      </c>
      <c r="B1365" s="173" t="s">
        <v>5389</v>
      </c>
      <c r="C1365" s="173" t="s">
        <v>5390</v>
      </c>
      <c r="D1365" s="173" t="s">
        <v>7001</v>
      </c>
      <c r="E1365" s="203">
        <v>43544</v>
      </c>
    </row>
    <row r="1366" spans="1:5" ht="14.25" hidden="1" customHeight="1">
      <c r="A1366" s="16">
        <v>13378152</v>
      </c>
      <c r="B1366" s="17" t="s">
        <v>610</v>
      </c>
      <c r="C1366" s="17" t="s">
        <v>612</v>
      </c>
      <c r="D1366" s="1" t="s">
        <v>7001</v>
      </c>
      <c r="E1366" s="35" t="s">
        <v>7002</v>
      </c>
    </row>
    <row r="1367" spans="1:5" ht="14.25" hidden="1" customHeight="1">
      <c r="A1367" s="155">
        <v>13378152</v>
      </c>
      <c r="B1367" s="173" t="s">
        <v>610</v>
      </c>
      <c r="C1367" s="173" t="s">
        <v>612</v>
      </c>
      <c r="D1367" s="173" t="s">
        <v>7001</v>
      </c>
      <c r="E1367" s="203">
        <v>43544</v>
      </c>
    </row>
    <row r="1368" spans="1:5" ht="14.25" hidden="1" customHeight="1">
      <c r="A1368" s="16">
        <v>13784371</v>
      </c>
      <c r="B1368" s="17" t="s">
        <v>6219</v>
      </c>
      <c r="C1368" s="17" t="s">
        <v>6220</v>
      </c>
      <c r="D1368" s="1" t="s">
        <v>7001</v>
      </c>
      <c r="E1368" s="35" t="s">
        <v>7002</v>
      </c>
    </row>
    <row r="1369" spans="1:5" ht="14.25" hidden="1" customHeight="1">
      <c r="A1369" s="155">
        <v>13784371</v>
      </c>
      <c r="B1369" s="173" t="s">
        <v>6219</v>
      </c>
      <c r="C1369" s="173" t="s">
        <v>6220</v>
      </c>
      <c r="D1369" s="173" t="s">
        <v>7001</v>
      </c>
      <c r="E1369" s="203">
        <v>43544</v>
      </c>
    </row>
    <row r="1370" spans="1:5" ht="14.25" hidden="1" customHeight="1">
      <c r="A1370" s="16">
        <v>14023565</v>
      </c>
      <c r="B1370" s="17" t="s">
        <v>5281</v>
      </c>
      <c r="C1370" s="17" t="s">
        <v>5282</v>
      </c>
      <c r="D1370" s="1" t="s">
        <v>7001</v>
      </c>
      <c r="E1370" s="35" t="s">
        <v>7002</v>
      </c>
    </row>
    <row r="1371" spans="1:5" ht="14.25" hidden="1" customHeight="1">
      <c r="A1371" s="155">
        <v>14023565</v>
      </c>
      <c r="B1371" s="173" t="s">
        <v>5281</v>
      </c>
      <c r="C1371" s="173" t="s">
        <v>5282</v>
      </c>
      <c r="D1371" s="173" t="s">
        <v>7001</v>
      </c>
      <c r="E1371" s="203">
        <v>43544</v>
      </c>
    </row>
    <row r="1372" spans="1:5" ht="14.25" hidden="1" customHeight="1">
      <c r="A1372" s="16">
        <v>14073031</v>
      </c>
      <c r="B1372" s="17" t="s">
        <v>541</v>
      </c>
      <c r="C1372" s="17" t="s">
        <v>2382</v>
      </c>
      <c r="D1372" s="1" t="s">
        <v>7001</v>
      </c>
      <c r="E1372" s="35" t="s">
        <v>7002</v>
      </c>
    </row>
    <row r="1373" spans="1:5" ht="14.25" hidden="1" customHeight="1">
      <c r="A1373" s="16">
        <v>14300445</v>
      </c>
      <c r="B1373" s="17" t="s">
        <v>3699</v>
      </c>
      <c r="C1373" s="17" t="s">
        <v>363</v>
      </c>
      <c r="D1373" s="1" t="s">
        <v>7001</v>
      </c>
      <c r="E1373" s="35" t="s">
        <v>7002</v>
      </c>
    </row>
    <row r="1374" spans="1:5" ht="14.25" hidden="1" customHeight="1">
      <c r="A1374" s="155">
        <v>14300445</v>
      </c>
      <c r="B1374" s="173" t="s">
        <v>3699</v>
      </c>
      <c r="C1374" s="173" t="s">
        <v>363</v>
      </c>
      <c r="D1374" s="173" t="s">
        <v>7001</v>
      </c>
      <c r="E1374" s="203">
        <v>43544</v>
      </c>
    </row>
    <row r="1375" spans="1:5" ht="14.25" hidden="1" customHeight="1">
      <c r="A1375" s="16">
        <v>14312881</v>
      </c>
      <c r="B1375" s="17" t="s">
        <v>694</v>
      </c>
      <c r="C1375" s="17" t="s">
        <v>695</v>
      </c>
      <c r="D1375" s="1" t="s">
        <v>7001</v>
      </c>
      <c r="E1375" s="35" t="s">
        <v>7002</v>
      </c>
    </row>
    <row r="1376" spans="1:5" ht="14.25" hidden="1" customHeight="1">
      <c r="A1376" s="155">
        <v>14312881</v>
      </c>
      <c r="B1376" s="173" t="s">
        <v>694</v>
      </c>
      <c r="C1376" s="173" t="s">
        <v>695</v>
      </c>
      <c r="D1376" s="173" t="s">
        <v>7001</v>
      </c>
      <c r="E1376" s="203">
        <v>43544</v>
      </c>
    </row>
    <row r="1377" spans="1:5" ht="14.25" hidden="1" customHeight="1">
      <c r="A1377" s="16">
        <v>16425202</v>
      </c>
      <c r="B1377" s="17" t="s">
        <v>760</v>
      </c>
      <c r="C1377" s="17" t="s">
        <v>3983</v>
      </c>
      <c r="D1377" s="1" t="s">
        <v>7001</v>
      </c>
      <c r="E1377" s="35" t="s">
        <v>7002</v>
      </c>
    </row>
    <row r="1378" spans="1:5" ht="14.25" hidden="1" customHeight="1">
      <c r="A1378" s="155">
        <v>16425202</v>
      </c>
      <c r="B1378" s="173" t="s">
        <v>760</v>
      </c>
      <c r="C1378" s="173" t="s">
        <v>3983</v>
      </c>
      <c r="D1378" s="173" t="s">
        <v>7001</v>
      </c>
      <c r="E1378" s="203">
        <v>43544</v>
      </c>
    </row>
    <row r="1379" spans="1:5" ht="14.25" hidden="1" customHeight="1">
      <c r="A1379" s="16">
        <v>16450046</v>
      </c>
      <c r="B1379" s="17" t="s">
        <v>476</v>
      </c>
      <c r="C1379" s="17" t="s">
        <v>2605</v>
      </c>
      <c r="D1379" s="1" t="s">
        <v>7001</v>
      </c>
      <c r="E1379" s="35" t="s">
        <v>7002</v>
      </c>
    </row>
    <row r="1380" spans="1:5" ht="14.25" hidden="1" customHeight="1">
      <c r="A1380" s="155">
        <v>16450046</v>
      </c>
      <c r="B1380" s="173" t="s">
        <v>476</v>
      </c>
      <c r="C1380" s="173" t="s">
        <v>2605</v>
      </c>
      <c r="D1380" s="173" t="s">
        <v>7001</v>
      </c>
      <c r="E1380" s="203">
        <v>43544</v>
      </c>
    </row>
    <row r="1381" spans="1:5" ht="14.25" hidden="1" customHeight="1">
      <c r="A1381" s="16">
        <v>16458525</v>
      </c>
      <c r="B1381" s="17" t="s">
        <v>327</v>
      </c>
      <c r="C1381" s="17" t="s">
        <v>2882</v>
      </c>
      <c r="D1381" s="1" t="s">
        <v>7001</v>
      </c>
      <c r="E1381" s="35" t="s">
        <v>7002</v>
      </c>
    </row>
    <row r="1382" spans="1:5" ht="14.25" hidden="1" customHeight="1">
      <c r="A1382" s="155">
        <v>16458525</v>
      </c>
      <c r="B1382" s="173" t="s">
        <v>327</v>
      </c>
      <c r="C1382" s="173" t="s">
        <v>2882</v>
      </c>
      <c r="D1382" s="173" t="s">
        <v>7001</v>
      </c>
      <c r="E1382" s="203">
        <v>43544</v>
      </c>
    </row>
    <row r="1383" spans="1:5" ht="14.25" hidden="1" customHeight="1">
      <c r="A1383" s="16">
        <v>16686145</v>
      </c>
      <c r="B1383" s="17" t="s">
        <v>1793</v>
      </c>
      <c r="C1383" s="17" t="s">
        <v>5406</v>
      </c>
      <c r="D1383" s="1" t="s">
        <v>7001</v>
      </c>
      <c r="E1383" s="35" t="s">
        <v>7002</v>
      </c>
    </row>
    <row r="1384" spans="1:5" ht="14.25" hidden="1" customHeight="1">
      <c r="A1384" s="155">
        <v>16686145</v>
      </c>
      <c r="B1384" s="173" t="s">
        <v>1793</v>
      </c>
      <c r="C1384" s="173" t="s">
        <v>5406</v>
      </c>
      <c r="D1384" s="173" t="s">
        <v>7001</v>
      </c>
      <c r="E1384" s="203">
        <v>43544</v>
      </c>
    </row>
    <row r="1385" spans="1:5" ht="14.25" hidden="1" customHeight="1">
      <c r="A1385" s="16">
        <v>17377987</v>
      </c>
      <c r="B1385" s="17" t="s">
        <v>659</v>
      </c>
      <c r="C1385" s="17" t="s">
        <v>1082</v>
      </c>
      <c r="D1385" s="1" t="s">
        <v>7001</v>
      </c>
      <c r="E1385" s="35" t="s">
        <v>7002</v>
      </c>
    </row>
    <row r="1386" spans="1:5" ht="14.25" hidden="1" customHeight="1">
      <c r="A1386" s="155">
        <v>17377987</v>
      </c>
      <c r="B1386" s="173" t="s">
        <v>659</v>
      </c>
      <c r="C1386" s="173" t="s">
        <v>1082</v>
      </c>
      <c r="D1386" s="173" t="s">
        <v>7001</v>
      </c>
      <c r="E1386" s="203">
        <v>43544</v>
      </c>
    </row>
    <row r="1387" spans="1:5" ht="14.25" hidden="1" customHeight="1">
      <c r="A1387" s="16">
        <v>17869268</v>
      </c>
      <c r="B1387" s="17" t="s">
        <v>2350</v>
      </c>
      <c r="C1387" s="17" t="s">
        <v>165</v>
      </c>
      <c r="D1387" s="1" t="s">
        <v>7001</v>
      </c>
      <c r="E1387" s="35" t="s">
        <v>7002</v>
      </c>
    </row>
    <row r="1388" spans="1:5" ht="14.25" hidden="1" customHeight="1">
      <c r="A1388" s="155">
        <v>17869268</v>
      </c>
      <c r="B1388" s="173" t="s">
        <v>2350</v>
      </c>
      <c r="C1388" s="173" t="s">
        <v>165</v>
      </c>
      <c r="D1388" s="173" t="s">
        <v>7001</v>
      </c>
      <c r="E1388" s="203">
        <v>43544</v>
      </c>
    </row>
    <row r="1389" spans="1:5" ht="14.25" hidden="1" customHeight="1">
      <c r="A1389" s="16">
        <v>20219090</v>
      </c>
      <c r="B1389" s="17" t="s">
        <v>4429</v>
      </c>
      <c r="C1389" s="17" t="s">
        <v>215</v>
      </c>
      <c r="D1389" s="1" t="s">
        <v>7001</v>
      </c>
      <c r="E1389" s="35" t="s">
        <v>7002</v>
      </c>
    </row>
    <row r="1390" spans="1:5" ht="14.25" hidden="1" customHeight="1">
      <c r="A1390" s="155">
        <v>20219090</v>
      </c>
      <c r="B1390" s="173" t="s">
        <v>4429</v>
      </c>
      <c r="C1390" s="173" t="s">
        <v>215</v>
      </c>
      <c r="D1390" s="173" t="s">
        <v>7001</v>
      </c>
      <c r="E1390" s="203">
        <v>43544</v>
      </c>
    </row>
    <row r="1391" spans="1:5" ht="14.25" hidden="1" customHeight="1">
      <c r="A1391" s="16">
        <v>21320089</v>
      </c>
      <c r="B1391" s="17" t="s">
        <v>1839</v>
      </c>
      <c r="C1391" s="17" t="s">
        <v>4485</v>
      </c>
      <c r="D1391" s="1" t="s">
        <v>7001</v>
      </c>
      <c r="E1391" s="35" t="s">
        <v>7002</v>
      </c>
    </row>
    <row r="1392" spans="1:5" ht="14.25" hidden="1" customHeight="1">
      <c r="A1392" s="155">
        <v>21320089</v>
      </c>
      <c r="B1392" s="173" t="s">
        <v>1839</v>
      </c>
      <c r="C1392" s="173" t="s">
        <v>4485</v>
      </c>
      <c r="D1392" s="173" t="s">
        <v>7001</v>
      </c>
      <c r="E1392" s="203">
        <v>43544</v>
      </c>
    </row>
    <row r="1393" spans="1:5" ht="14.25" hidden="1" customHeight="1">
      <c r="A1393" s="16">
        <v>21745747</v>
      </c>
      <c r="B1393" s="17" t="s">
        <v>3617</v>
      </c>
      <c r="C1393" s="17" t="s">
        <v>3618</v>
      </c>
      <c r="D1393" s="1" t="s">
        <v>7001</v>
      </c>
      <c r="E1393" s="35" t="s">
        <v>7002</v>
      </c>
    </row>
    <row r="1394" spans="1:5" ht="14.25" hidden="1" customHeight="1">
      <c r="A1394" s="155">
        <v>21745747</v>
      </c>
      <c r="B1394" s="173" t="s">
        <v>3617</v>
      </c>
      <c r="C1394" s="173" t="s">
        <v>3618</v>
      </c>
      <c r="D1394" s="173" t="s">
        <v>7001</v>
      </c>
      <c r="E1394" s="203">
        <v>43544</v>
      </c>
    </row>
    <row r="1395" spans="1:5" ht="14.25" hidden="1" customHeight="1">
      <c r="A1395" s="16">
        <v>21799894</v>
      </c>
      <c r="B1395" s="17" t="s">
        <v>3543</v>
      </c>
      <c r="C1395" s="17" t="s">
        <v>3544</v>
      </c>
      <c r="D1395" s="1" t="s">
        <v>7001</v>
      </c>
      <c r="E1395" s="35" t="s">
        <v>7002</v>
      </c>
    </row>
    <row r="1396" spans="1:5" ht="14.25" hidden="1" customHeight="1">
      <c r="A1396" s="155">
        <v>21799894</v>
      </c>
      <c r="B1396" s="173" t="s">
        <v>3543</v>
      </c>
      <c r="C1396" s="173" t="s">
        <v>3544</v>
      </c>
      <c r="D1396" s="173" t="s">
        <v>7001</v>
      </c>
      <c r="E1396" s="203">
        <v>43544</v>
      </c>
    </row>
    <row r="1397" spans="1:5" ht="14.25" hidden="1" customHeight="1">
      <c r="A1397" s="16">
        <v>22146852</v>
      </c>
      <c r="B1397" s="17" t="s">
        <v>2294</v>
      </c>
      <c r="C1397" s="17" t="s">
        <v>3525</v>
      </c>
      <c r="D1397" s="1" t="s">
        <v>7001</v>
      </c>
      <c r="E1397" s="35" t="s">
        <v>7002</v>
      </c>
    </row>
    <row r="1398" spans="1:5" ht="14.25" hidden="1" customHeight="1">
      <c r="A1398" s="16">
        <v>22146852</v>
      </c>
      <c r="B1398" s="17" t="s">
        <v>2294</v>
      </c>
      <c r="C1398" s="17" t="s">
        <v>3525</v>
      </c>
      <c r="D1398" s="1" t="s">
        <v>7001</v>
      </c>
      <c r="E1398" s="35" t="s">
        <v>7002</v>
      </c>
    </row>
    <row r="1399" spans="1:5" ht="14.25" hidden="1" customHeight="1">
      <c r="A1399" s="155">
        <v>22146852</v>
      </c>
      <c r="B1399" s="173" t="s">
        <v>2294</v>
      </c>
      <c r="C1399" s="173" t="s">
        <v>3525</v>
      </c>
      <c r="D1399" s="173" t="s">
        <v>7001</v>
      </c>
      <c r="E1399" s="203">
        <v>43544</v>
      </c>
    </row>
    <row r="1400" spans="1:5" ht="14.25" hidden="1" customHeight="1">
      <c r="A1400" s="155">
        <v>22146852</v>
      </c>
      <c r="B1400" s="173" t="s">
        <v>2294</v>
      </c>
      <c r="C1400" s="173" t="s">
        <v>3525</v>
      </c>
      <c r="D1400" s="173" t="s">
        <v>7001</v>
      </c>
      <c r="E1400" s="203">
        <v>43544</v>
      </c>
    </row>
    <row r="1401" spans="1:5" ht="14.25" hidden="1" customHeight="1">
      <c r="A1401" s="16">
        <v>22263182</v>
      </c>
      <c r="B1401" s="17" t="s">
        <v>4490</v>
      </c>
      <c r="C1401" s="17" t="s">
        <v>1103</v>
      </c>
      <c r="D1401" s="1" t="s">
        <v>7001</v>
      </c>
      <c r="E1401" s="35" t="s">
        <v>7002</v>
      </c>
    </row>
    <row r="1402" spans="1:5" ht="14.25" hidden="1" customHeight="1">
      <c r="A1402" s="155">
        <v>22263182</v>
      </c>
      <c r="B1402" s="173" t="s">
        <v>4490</v>
      </c>
      <c r="C1402" s="173" t="s">
        <v>1103</v>
      </c>
      <c r="D1402" s="173" t="s">
        <v>7001</v>
      </c>
      <c r="E1402" s="203">
        <v>43544</v>
      </c>
    </row>
    <row r="1403" spans="1:5" ht="14.25" hidden="1" customHeight="1">
      <c r="A1403" s="16">
        <v>22264658</v>
      </c>
      <c r="B1403" s="17" t="s">
        <v>4700</v>
      </c>
      <c r="C1403" s="17" t="s">
        <v>4701</v>
      </c>
      <c r="D1403" s="1" t="s">
        <v>7001</v>
      </c>
      <c r="E1403" s="35" t="s">
        <v>7002</v>
      </c>
    </row>
    <row r="1404" spans="1:5" ht="14.25" hidden="1" customHeight="1">
      <c r="A1404" s="155">
        <v>22264658</v>
      </c>
      <c r="B1404" s="173" t="s">
        <v>4700</v>
      </c>
      <c r="C1404" s="173" t="s">
        <v>4701</v>
      </c>
      <c r="D1404" s="173" t="s">
        <v>7001</v>
      </c>
      <c r="E1404" s="203">
        <v>43544</v>
      </c>
    </row>
    <row r="1405" spans="1:5" ht="14.25" hidden="1" customHeight="1">
      <c r="A1405" s="16">
        <v>22331870</v>
      </c>
      <c r="B1405" s="17" t="s">
        <v>4470</v>
      </c>
      <c r="C1405" s="17" t="s">
        <v>4471</v>
      </c>
      <c r="D1405" s="1" t="s">
        <v>7001</v>
      </c>
      <c r="E1405" s="35" t="s">
        <v>7002</v>
      </c>
    </row>
    <row r="1406" spans="1:5" ht="14.25" hidden="1" customHeight="1">
      <c r="A1406" s="155">
        <v>22331870</v>
      </c>
      <c r="B1406" s="173" t="s">
        <v>4470</v>
      </c>
      <c r="C1406" s="173" t="s">
        <v>4471</v>
      </c>
      <c r="D1406" s="173" t="s">
        <v>7001</v>
      </c>
      <c r="E1406" s="203">
        <v>43544</v>
      </c>
    </row>
    <row r="1407" spans="1:5" ht="14.25" hidden="1" customHeight="1">
      <c r="A1407" s="16">
        <v>22336444</v>
      </c>
      <c r="B1407" s="17" t="s">
        <v>40</v>
      </c>
      <c r="C1407" s="17" t="s">
        <v>2924</v>
      </c>
      <c r="D1407" s="1" t="s">
        <v>7001</v>
      </c>
      <c r="E1407" s="35" t="s">
        <v>7002</v>
      </c>
    </row>
    <row r="1408" spans="1:5" ht="14.25" hidden="1" customHeight="1">
      <c r="A1408" s="155">
        <v>22336444</v>
      </c>
      <c r="B1408" s="173" t="s">
        <v>40</v>
      </c>
      <c r="C1408" s="173" t="s">
        <v>2924</v>
      </c>
      <c r="D1408" s="173" t="s">
        <v>7001</v>
      </c>
      <c r="E1408" s="203">
        <v>43544</v>
      </c>
    </row>
    <row r="1409" spans="1:5" ht="14.25" hidden="1" customHeight="1">
      <c r="A1409" s="16">
        <v>22336712</v>
      </c>
      <c r="B1409" s="17" t="s">
        <v>5262</v>
      </c>
      <c r="C1409" s="17" t="s">
        <v>5263</v>
      </c>
      <c r="D1409" s="1" t="s">
        <v>7001</v>
      </c>
      <c r="E1409" s="35" t="s">
        <v>7002</v>
      </c>
    </row>
    <row r="1410" spans="1:5" ht="14.25" hidden="1" customHeight="1">
      <c r="A1410" s="155">
        <v>22336712</v>
      </c>
      <c r="B1410" s="173" t="s">
        <v>5262</v>
      </c>
      <c r="C1410" s="173" t="s">
        <v>5263</v>
      </c>
      <c r="D1410" s="173" t="s">
        <v>7001</v>
      </c>
      <c r="E1410" s="203">
        <v>43544</v>
      </c>
    </row>
    <row r="1411" spans="1:5" ht="14.25" hidden="1" customHeight="1">
      <c r="A1411" s="16">
        <v>22451756</v>
      </c>
      <c r="B1411" s="17" t="s">
        <v>983</v>
      </c>
      <c r="C1411" s="17" t="s">
        <v>2669</v>
      </c>
      <c r="D1411" s="1" t="s">
        <v>7001</v>
      </c>
      <c r="E1411" s="35" t="s">
        <v>7002</v>
      </c>
    </row>
    <row r="1412" spans="1:5" ht="14.25" hidden="1" customHeight="1">
      <c r="A1412" s="155">
        <v>22451756</v>
      </c>
      <c r="B1412" s="173" t="s">
        <v>983</v>
      </c>
      <c r="C1412" s="173" t="s">
        <v>2669</v>
      </c>
      <c r="D1412" s="173" t="s">
        <v>7001</v>
      </c>
      <c r="E1412" s="203">
        <v>43544</v>
      </c>
    </row>
    <row r="1413" spans="1:5" ht="14.25" hidden="1" customHeight="1">
      <c r="A1413" s="16">
        <v>22613410</v>
      </c>
      <c r="B1413" s="17" t="s">
        <v>195</v>
      </c>
      <c r="C1413" s="17" t="s">
        <v>1304</v>
      </c>
      <c r="D1413" s="1" t="s">
        <v>7001</v>
      </c>
      <c r="E1413" s="35" t="s">
        <v>7002</v>
      </c>
    </row>
    <row r="1414" spans="1:5" ht="14.25" hidden="1" customHeight="1">
      <c r="A1414" s="155">
        <v>22613410</v>
      </c>
      <c r="B1414" s="173" t="s">
        <v>195</v>
      </c>
      <c r="C1414" s="173" t="s">
        <v>1304</v>
      </c>
      <c r="D1414" s="173" t="s">
        <v>7001</v>
      </c>
      <c r="E1414" s="203">
        <v>43544</v>
      </c>
    </row>
    <row r="1415" spans="1:5" ht="14.25" hidden="1" customHeight="1">
      <c r="A1415" s="16">
        <v>22804573</v>
      </c>
      <c r="B1415" s="17" t="s">
        <v>3530</v>
      </c>
      <c r="C1415" s="17" t="s">
        <v>322</v>
      </c>
      <c r="D1415" s="1" t="s">
        <v>7001</v>
      </c>
      <c r="E1415" s="35" t="s">
        <v>7002</v>
      </c>
    </row>
    <row r="1416" spans="1:5" ht="14.25" hidden="1" customHeight="1">
      <c r="A1416" s="155">
        <v>22804573</v>
      </c>
      <c r="B1416" s="173" t="s">
        <v>3530</v>
      </c>
      <c r="C1416" s="173" t="s">
        <v>322</v>
      </c>
      <c r="D1416" s="173" t="s">
        <v>7001</v>
      </c>
      <c r="E1416" s="203">
        <v>43544</v>
      </c>
    </row>
    <row r="1417" spans="1:5" ht="14.25" hidden="1" customHeight="1">
      <c r="A1417" s="16">
        <v>23238026</v>
      </c>
      <c r="B1417" s="17" t="s">
        <v>4893</v>
      </c>
      <c r="C1417" s="17" t="s">
        <v>1535</v>
      </c>
      <c r="D1417" s="1" t="s">
        <v>7001</v>
      </c>
      <c r="E1417" s="35" t="s">
        <v>7002</v>
      </c>
    </row>
    <row r="1418" spans="1:5" ht="14.25" hidden="1" customHeight="1">
      <c r="A1418" s="155">
        <v>23238026</v>
      </c>
      <c r="B1418" s="173" t="s">
        <v>4893</v>
      </c>
      <c r="C1418" s="173" t="s">
        <v>1535</v>
      </c>
      <c r="D1418" s="173" t="s">
        <v>7001</v>
      </c>
      <c r="E1418" s="203">
        <v>43544</v>
      </c>
    </row>
    <row r="1419" spans="1:5" ht="14.25" hidden="1" customHeight="1">
      <c r="A1419" s="16">
        <v>23517103</v>
      </c>
      <c r="B1419" s="17" t="s">
        <v>3612</v>
      </c>
      <c r="C1419" s="17" t="s">
        <v>3613</v>
      </c>
      <c r="D1419" s="1" t="s">
        <v>7001</v>
      </c>
      <c r="E1419" s="35" t="s">
        <v>7002</v>
      </c>
    </row>
    <row r="1420" spans="1:5" ht="14.25" hidden="1" customHeight="1">
      <c r="A1420" s="155">
        <v>23517103</v>
      </c>
      <c r="B1420" s="173" t="s">
        <v>3612</v>
      </c>
      <c r="C1420" s="173" t="s">
        <v>3613</v>
      </c>
      <c r="D1420" s="173" t="s">
        <v>7001</v>
      </c>
      <c r="E1420" s="203">
        <v>43544</v>
      </c>
    </row>
    <row r="1421" spans="1:5" ht="14.25" hidden="1" customHeight="1">
      <c r="A1421" s="16">
        <v>24200086</v>
      </c>
      <c r="B1421" s="17" t="s">
        <v>2364</v>
      </c>
      <c r="C1421" s="17" t="s">
        <v>2365</v>
      </c>
      <c r="D1421" s="1" t="s">
        <v>7001</v>
      </c>
      <c r="E1421" s="35" t="s">
        <v>7002</v>
      </c>
    </row>
    <row r="1422" spans="1:5" ht="14.25" hidden="1" customHeight="1">
      <c r="A1422" s="16">
        <v>24340614</v>
      </c>
      <c r="B1422" s="17" t="s">
        <v>364</v>
      </c>
      <c r="C1422" s="17" t="s">
        <v>365</v>
      </c>
      <c r="D1422" s="1" t="s">
        <v>7001</v>
      </c>
      <c r="E1422" s="35" t="s">
        <v>7002</v>
      </c>
    </row>
    <row r="1423" spans="1:5" ht="14.25" hidden="1" customHeight="1">
      <c r="A1423" s="155">
        <v>24340614</v>
      </c>
      <c r="B1423" s="173" t="s">
        <v>364</v>
      </c>
      <c r="C1423" s="173" t="s">
        <v>365</v>
      </c>
      <c r="D1423" s="173" t="s">
        <v>7001</v>
      </c>
      <c r="E1423" s="203">
        <v>43544</v>
      </c>
    </row>
    <row r="1424" spans="1:5" ht="14.25" hidden="1" customHeight="1">
      <c r="A1424" s="16">
        <v>24553770</v>
      </c>
      <c r="B1424" s="17" t="s">
        <v>2923</v>
      </c>
      <c r="C1424" s="17" t="s">
        <v>2924</v>
      </c>
      <c r="D1424" s="1" t="s">
        <v>7001</v>
      </c>
      <c r="E1424" s="35" t="s">
        <v>7002</v>
      </c>
    </row>
    <row r="1425" spans="1:5" ht="14.25" hidden="1" customHeight="1">
      <c r="A1425" s="155">
        <v>24553770</v>
      </c>
      <c r="B1425" s="173" t="s">
        <v>2923</v>
      </c>
      <c r="C1425" s="173" t="s">
        <v>2924</v>
      </c>
      <c r="D1425" s="173" t="s">
        <v>7001</v>
      </c>
      <c r="E1425" s="203">
        <v>43544</v>
      </c>
    </row>
    <row r="1426" spans="1:5" ht="14.25" hidden="1" customHeight="1">
      <c r="A1426" s="16">
        <v>25004663</v>
      </c>
      <c r="B1426" s="17" t="s">
        <v>443</v>
      </c>
      <c r="C1426" s="17" t="s">
        <v>2623</v>
      </c>
      <c r="D1426" s="1" t="s">
        <v>7001</v>
      </c>
      <c r="E1426" s="35" t="s">
        <v>7002</v>
      </c>
    </row>
    <row r="1427" spans="1:5" ht="14.25" hidden="1" customHeight="1">
      <c r="A1427" s="155">
        <v>25004663</v>
      </c>
      <c r="B1427" s="173" t="s">
        <v>443</v>
      </c>
      <c r="C1427" s="173" t="s">
        <v>2623</v>
      </c>
      <c r="D1427" s="173" t="s">
        <v>7001</v>
      </c>
      <c r="E1427" s="203">
        <v>43544</v>
      </c>
    </row>
    <row r="1428" spans="1:5" ht="14.25" hidden="1" customHeight="1">
      <c r="A1428" s="16">
        <v>25082588</v>
      </c>
      <c r="B1428" s="17" t="s">
        <v>2488</v>
      </c>
      <c r="C1428" s="17" t="s">
        <v>1585</v>
      </c>
      <c r="D1428" s="1" t="s">
        <v>7001</v>
      </c>
      <c r="E1428" s="35" t="s">
        <v>7002</v>
      </c>
    </row>
    <row r="1429" spans="1:5" ht="14.25" hidden="1" customHeight="1">
      <c r="A1429" s="155">
        <v>25082588</v>
      </c>
      <c r="B1429" s="173" t="s">
        <v>2488</v>
      </c>
      <c r="C1429" s="173" t="s">
        <v>1585</v>
      </c>
      <c r="D1429" s="173" t="s">
        <v>7001</v>
      </c>
      <c r="E1429" s="203">
        <v>43544</v>
      </c>
    </row>
    <row r="1430" spans="1:5" ht="14.25" hidden="1" customHeight="1">
      <c r="A1430" s="16">
        <v>25444256</v>
      </c>
      <c r="B1430" s="17" t="s">
        <v>5764</v>
      </c>
      <c r="C1430" s="17" t="s">
        <v>5765</v>
      </c>
      <c r="D1430" s="1" t="s">
        <v>7001</v>
      </c>
      <c r="E1430" s="35" t="s">
        <v>7002</v>
      </c>
    </row>
    <row r="1431" spans="1:5" ht="14.25" hidden="1" customHeight="1">
      <c r="A1431" s="155">
        <v>25444256</v>
      </c>
      <c r="B1431" s="173" t="s">
        <v>5764</v>
      </c>
      <c r="C1431" s="173" t="s">
        <v>5765</v>
      </c>
      <c r="D1431" s="173" t="s">
        <v>7001</v>
      </c>
      <c r="E1431" s="203">
        <v>43544</v>
      </c>
    </row>
    <row r="1432" spans="1:5" ht="14.25" hidden="1" customHeight="1">
      <c r="A1432" s="16">
        <v>25736369</v>
      </c>
      <c r="B1432" s="17" t="s">
        <v>3389</v>
      </c>
      <c r="C1432" s="17" t="s">
        <v>3390</v>
      </c>
      <c r="D1432" s="1" t="s">
        <v>7001</v>
      </c>
      <c r="E1432" s="35" t="s">
        <v>7002</v>
      </c>
    </row>
    <row r="1433" spans="1:5" ht="14.25" hidden="1" customHeight="1">
      <c r="A1433" s="155">
        <v>25736369</v>
      </c>
      <c r="B1433" s="173" t="s">
        <v>3389</v>
      </c>
      <c r="C1433" s="173" t="s">
        <v>3390</v>
      </c>
      <c r="D1433" s="173" t="s">
        <v>7001</v>
      </c>
      <c r="E1433" s="203">
        <v>43544</v>
      </c>
    </row>
    <row r="1434" spans="1:5" ht="14.25" hidden="1" customHeight="1">
      <c r="A1434" s="16">
        <v>25843239</v>
      </c>
      <c r="B1434" s="17" t="s">
        <v>4874</v>
      </c>
      <c r="C1434" s="17" t="s">
        <v>4875</v>
      </c>
      <c r="D1434" s="1" t="s">
        <v>7001</v>
      </c>
      <c r="E1434" s="35" t="s">
        <v>7002</v>
      </c>
    </row>
    <row r="1435" spans="1:5" ht="14.25" hidden="1" customHeight="1">
      <c r="A1435" s="155">
        <v>25843239</v>
      </c>
      <c r="B1435" s="173" t="s">
        <v>4874</v>
      </c>
      <c r="C1435" s="173" t="s">
        <v>4875</v>
      </c>
      <c r="D1435" s="173" t="s">
        <v>7001</v>
      </c>
      <c r="E1435" s="203">
        <v>43544</v>
      </c>
    </row>
    <row r="1436" spans="1:5" ht="14.25" hidden="1" customHeight="1">
      <c r="A1436" s="16">
        <v>25843618</v>
      </c>
      <c r="B1436" s="17" t="s">
        <v>1823</v>
      </c>
      <c r="C1436" s="17" t="s">
        <v>4410</v>
      </c>
      <c r="D1436" s="1" t="s">
        <v>7001</v>
      </c>
      <c r="E1436" s="35" t="s">
        <v>7002</v>
      </c>
    </row>
    <row r="1437" spans="1:5" ht="14.25" hidden="1" customHeight="1">
      <c r="A1437" s="155">
        <v>25843618</v>
      </c>
      <c r="B1437" s="173" t="s">
        <v>1823</v>
      </c>
      <c r="C1437" s="173" t="s">
        <v>4410</v>
      </c>
      <c r="D1437" s="173" t="s">
        <v>7001</v>
      </c>
      <c r="E1437" s="203">
        <v>43544</v>
      </c>
    </row>
    <row r="1438" spans="1:5" ht="14.25" hidden="1" customHeight="1">
      <c r="A1438" s="16">
        <v>26743740</v>
      </c>
      <c r="B1438" s="17" t="s">
        <v>794</v>
      </c>
      <c r="C1438" s="17" t="s">
        <v>2371</v>
      </c>
      <c r="D1438" s="1" t="s">
        <v>7001</v>
      </c>
      <c r="E1438" s="35" t="s">
        <v>7002</v>
      </c>
    </row>
    <row r="1439" spans="1:5" ht="14.25" hidden="1" customHeight="1">
      <c r="A1439" s="16">
        <v>28053203</v>
      </c>
      <c r="B1439" s="17" t="s">
        <v>327</v>
      </c>
      <c r="C1439" s="17" t="s">
        <v>4495</v>
      </c>
      <c r="D1439" s="1" t="s">
        <v>7001</v>
      </c>
      <c r="E1439" s="35" t="s">
        <v>7002</v>
      </c>
    </row>
    <row r="1440" spans="1:5" ht="14.25" hidden="1" customHeight="1">
      <c r="A1440" s="155">
        <v>28053203</v>
      </c>
      <c r="B1440" s="173" t="s">
        <v>327</v>
      </c>
      <c r="C1440" s="173" t="s">
        <v>4495</v>
      </c>
      <c r="D1440" s="173" t="s">
        <v>7001</v>
      </c>
      <c r="E1440" s="203">
        <v>43544</v>
      </c>
    </row>
    <row r="1441" spans="1:5" ht="14.25" hidden="1" customHeight="1">
      <c r="A1441" s="16">
        <v>28290152</v>
      </c>
      <c r="B1441" s="17" t="s">
        <v>1547</v>
      </c>
      <c r="C1441" s="17" t="s">
        <v>5708</v>
      </c>
      <c r="D1441" s="1" t="s">
        <v>7001</v>
      </c>
      <c r="E1441" s="35" t="s">
        <v>7002</v>
      </c>
    </row>
    <row r="1442" spans="1:5" ht="14.25" hidden="1" customHeight="1">
      <c r="A1442" s="155">
        <v>28290152</v>
      </c>
      <c r="B1442" s="173" t="s">
        <v>1547</v>
      </c>
      <c r="C1442" s="173" t="s">
        <v>5708</v>
      </c>
      <c r="D1442" s="173" t="s">
        <v>7001</v>
      </c>
      <c r="E1442" s="203">
        <v>43544</v>
      </c>
    </row>
    <row r="1443" spans="1:5" ht="14.25" hidden="1" customHeight="1">
      <c r="A1443" s="16">
        <v>29997715</v>
      </c>
      <c r="B1443" s="17" t="s">
        <v>2270</v>
      </c>
      <c r="C1443" s="17" t="s">
        <v>363</v>
      </c>
      <c r="D1443" s="1" t="s">
        <v>7001</v>
      </c>
      <c r="E1443" s="35" t="s">
        <v>7002</v>
      </c>
    </row>
    <row r="1444" spans="1:5" ht="14.25" hidden="1" customHeight="1">
      <c r="A1444" s="155">
        <v>29997715</v>
      </c>
      <c r="B1444" s="173" t="s">
        <v>2270</v>
      </c>
      <c r="C1444" s="173" t="s">
        <v>363</v>
      </c>
      <c r="D1444" s="173" t="s">
        <v>7001</v>
      </c>
      <c r="E1444" s="203">
        <v>43544</v>
      </c>
    </row>
    <row r="1445" spans="1:5" ht="14.25" hidden="1" customHeight="1">
      <c r="A1445" s="16">
        <v>31588509</v>
      </c>
      <c r="B1445" s="17" t="s">
        <v>2341</v>
      </c>
      <c r="C1445" s="17" t="s">
        <v>2342</v>
      </c>
      <c r="D1445" s="1" t="s">
        <v>7001</v>
      </c>
      <c r="E1445" s="35" t="s">
        <v>7002</v>
      </c>
    </row>
    <row r="1446" spans="1:5" ht="14.25" hidden="1" customHeight="1">
      <c r="A1446" s="155">
        <v>31588509</v>
      </c>
      <c r="B1446" s="173" t="s">
        <v>2341</v>
      </c>
      <c r="C1446" s="173" t="s">
        <v>2342</v>
      </c>
      <c r="D1446" s="173" t="s">
        <v>7001</v>
      </c>
      <c r="E1446" s="203">
        <v>43544</v>
      </c>
    </row>
    <row r="1447" spans="1:5" ht="14.25" hidden="1" customHeight="1">
      <c r="A1447" s="16">
        <v>31644470</v>
      </c>
      <c r="B1447" s="17" t="s">
        <v>574</v>
      </c>
      <c r="C1447" s="17" t="s">
        <v>575</v>
      </c>
      <c r="D1447" s="1" t="s">
        <v>7001</v>
      </c>
      <c r="E1447" s="35" t="s">
        <v>7002</v>
      </c>
    </row>
    <row r="1448" spans="1:5" ht="14.25" hidden="1" customHeight="1">
      <c r="A1448" s="155">
        <v>31644470</v>
      </c>
      <c r="B1448" s="173" t="s">
        <v>574</v>
      </c>
      <c r="C1448" s="173" t="s">
        <v>575</v>
      </c>
      <c r="D1448" s="173" t="s">
        <v>7001</v>
      </c>
      <c r="E1448" s="203">
        <v>43544</v>
      </c>
    </row>
    <row r="1449" spans="1:5" ht="14.25" hidden="1" customHeight="1">
      <c r="A1449" s="16">
        <v>32012359</v>
      </c>
      <c r="B1449" s="17" t="s">
        <v>2961</v>
      </c>
      <c r="C1449" s="17" t="s">
        <v>253</v>
      </c>
      <c r="D1449" s="1" t="s">
        <v>7001</v>
      </c>
      <c r="E1449" s="35" t="s">
        <v>7002</v>
      </c>
    </row>
    <row r="1450" spans="1:5" ht="14.25" hidden="1" customHeight="1">
      <c r="A1450" s="155">
        <v>32012359</v>
      </c>
      <c r="B1450" s="173" t="s">
        <v>2961</v>
      </c>
      <c r="C1450" s="173" t="s">
        <v>253</v>
      </c>
      <c r="D1450" s="173" t="s">
        <v>7001</v>
      </c>
      <c r="E1450" s="203">
        <v>43544</v>
      </c>
    </row>
    <row r="1451" spans="1:5" ht="14.25" hidden="1" customHeight="1">
      <c r="A1451" s="16">
        <v>32493499</v>
      </c>
      <c r="B1451" s="17" t="s">
        <v>1422</v>
      </c>
      <c r="C1451" s="17" t="s">
        <v>1423</v>
      </c>
      <c r="D1451" s="1" t="s">
        <v>7001</v>
      </c>
      <c r="E1451" s="35" t="s">
        <v>7002</v>
      </c>
    </row>
    <row r="1452" spans="1:5" ht="14.25" hidden="1" customHeight="1">
      <c r="A1452" s="155">
        <v>32493499</v>
      </c>
      <c r="B1452" s="173" t="s">
        <v>1422</v>
      </c>
      <c r="C1452" s="173" t="s">
        <v>1423</v>
      </c>
      <c r="D1452" s="173" t="s">
        <v>7001</v>
      </c>
      <c r="E1452" s="203">
        <v>43544</v>
      </c>
    </row>
    <row r="1453" spans="1:5" ht="14.25" hidden="1" customHeight="1">
      <c r="A1453" s="16">
        <v>32513798</v>
      </c>
      <c r="B1453" s="17" t="s">
        <v>570</v>
      </c>
      <c r="C1453" s="17" t="s">
        <v>571</v>
      </c>
      <c r="D1453" s="1" t="s">
        <v>7001</v>
      </c>
      <c r="E1453" s="35" t="s">
        <v>7002</v>
      </c>
    </row>
    <row r="1454" spans="1:5" ht="14.25" hidden="1" customHeight="1">
      <c r="A1454" s="155">
        <v>32513798</v>
      </c>
      <c r="B1454" s="173" t="s">
        <v>570</v>
      </c>
      <c r="C1454" s="173" t="s">
        <v>571</v>
      </c>
      <c r="D1454" s="173" t="s">
        <v>7001</v>
      </c>
      <c r="E1454" s="203">
        <v>43544</v>
      </c>
    </row>
    <row r="1455" spans="1:5" ht="14.25" hidden="1" customHeight="1">
      <c r="A1455" s="16">
        <v>35485322</v>
      </c>
      <c r="B1455" s="17" t="s">
        <v>4227</v>
      </c>
      <c r="C1455" s="17" t="s">
        <v>906</v>
      </c>
      <c r="D1455" s="1" t="s">
        <v>7001</v>
      </c>
      <c r="E1455" s="35" t="s">
        <v>7002</v>
      </c>
    </row>
    <row r="1456" spans="1:5" ht="14.25" hidden="1" customHeight="1">
      <c r="A1456" s="155">
        <v>35485322</v>
      </c>
      <c r="B1456" s="173" t="s">
        <v>4227</v>
      </c>
      <c r="C1456" s="173" t="s">
        <v>906</v>
      </c>
      <c r="D1456" s="173" t="s">
        <v>7001</v>
      </c>
      <c r="E1456" s="203">
        <v>43544</v>
      </c>
    </row>
    <row r="1457" spans="1:5" ht="14.25" hidden="1" customHeight="1">
      <c r="A1457" s="16">
        <v>36420915</v>
      </c>
      <c r="B1457" s="17" t="s">
        <v>4213</v>
      </c>
      <c r="C1457" s="17" t="s">
        <v>2418</v>
      </c>
      <c r="D1457" s="1" t="s">
        <v>7001</v>
      </c>
      <c r="E1457" s="35" t="s">
        <v>7002</v>
      </c>
    </row>
    <row r="1458" spans="1:5" ht="14.25" hidden="1" customHeight="1">
      <c r="A1458" s="155">
        <v>36420915</v>
      </c>
      <c r="B1458" s="173" t="s">
        <v>4213</v>
      </c>
      <c r="C1458" s="173" t="s">
        <v>2418</v>
      </c>
      <c r="D1458" s="173" t="s">
        <v>7001</v>
      </c>
      <c r="E1458" s="203">
        <v>43544</v>
      </c>
    </row>
    <row r="1459" spans="1:5" ht="14.25" hidden="1" customHeight="1">
      <c r="A1459" s="16">
        <v>277751985</v>
      </c>
      <c r="B1459" s="17" t="s">
        <v>377</v>
      </c>
      <c r="C1459" s="17" t="s">
        <v>3179</v>
      </c>
      <c r="D1459" s="1" t="s">
        <v>7001</v>
      </c>
      <c r="E1459" s="35" t="s">
        <v>7002</v>
      </c>
    </row>
    <row r="1460" spans="1:5" ht="14.25" hidden="1" customHeight="1">
      <c r="A1460" s="155">
        <v>277751985</v>
      </c>
      <c r="B1460" s="173" t="s">
        <v>377</v>
      </c>
      <c r="C1460" s="173" t="s">
        <v>3179</v>
      </c>
      <c r="D1460" s="173" t="s">
        <v>7001</v>
      </c>
      <c r="E1460" s="203">
        <v>43544</v>
      </c>
    </row>
    <row r="1461" spans="1:5" ht="14.25" hidden="1" customHeight="1">
      <c r="A1461" s="16">
        <v>11380013</v>
      </c>
      <c r="B1461" s="17" t="s">
        <v>2414</v>
      </c>
      <c r="C1461" s="17" t="s">
        <v>767</v>
      </c>
      <c r="D1461" s="1" t="s">
        <v>6979</v>
      </c>
      <c r="E1461" s="35" t="s">
        <v>7003</v>
      </c>
    </row>
    <row r="1462" spans="1:5" ht="14.25" hidden="1" customHeight="1">
      <c r="A1462" s="155">
        <v>11380013</v>
      </c>
      <c r="B1462" s="173" t="s">
        <v>2414</v>
      </c>
      <c r="C1462" s="173" t="s">
        <v>767</v>
      </c>
      <c r="D1462" s="173" t="s">
        <v>6979</v>
      </c>
      <c r="E1462" s="203">
        <v>43413</v>
      </c>
    </row>
    <row r="1463" spans="1:5" ht="14.25" hidden="1" customHeight="1">
      <c r="A1463" s="16">
        <v>11909595</v>
      </c>
      <c r="B1463" s="17" t="s">
        <v>4691</v>
      </c>
      <c r="C1463" s="17" t="s">
        <v>4692</v>
      </c>
      <c r="D1463" s="1" t="s">
        <v>6979</v>
      </c>
      <c r="E1463" s="35" t="s">
        <v>7003</v>
      </c>
    </row>
    <row r="1464" spans="1:5" ht="14.25" hidden="1" customHeight="1">
      <c r="A1464" s="155">
        <v>11909595</v>
      </c>
      <c r="B1464" s="173" t="s">
        <v>4691</v>
      </c>
      <c r="C1464" s="173" t="s">
        <v>4692</v>
      </c>
      <c r="D1464" s="173" t="s">
        <v>6979</v>
      </c>
      <c r="E1464" s="203">
        <v>43413</v>
      </c>
    </row>
    <row r="1465" spans="1:5" ht="14.25" hidden="1" customHeight="1">
      <c r="A1465" s="16">
        <v>11960881</v>
      </c>
      <c r="B1465" s="17" t="s">
        <v>753</v>
      </c>
      <c r="C1465" s="17" t="s">
        <v>754</v>
      </c>
      <c r="D1465" s="1" t="s">
        <v>6979</v>
      </c>
      <c r="E1465" s="35" t="s">
        <v>7003</v>
      </c>
    </row>
    <row r="1466" spans="1:5" ht="14.25" hidden="1" customHeight="1">
      <c r="A1466" s="155">
        <v>11960881</v>
      </c>
      <c r="B1466" s="173" t="s">
        <v>753</v>
      </c>
      <c r="C1466" s="173" t="s">
        <v>754</v>
      </c>
      <c r="D1466" s="173" t="s">
        <v>6979</v>
      </c>
      <c r="E1466" s="203">
        <v>43413</v>
      </c>
    </row>
    <row r="1467" spans="1:5" ht="14.25" hidden="1" customHeight="1">
      <c r="A1467" s="16">
        <v>12413563</v>
      </c>
      <c r="B1467" s="17" t="s">
        <v>3052</v>
      </c>
      <c r="C1467" s="17" t="s">
        <v>3053</v>
      </c>
      <c r="D1467" s="1" t="s">
        <v>6979</v>
      </c>
      <c r="E1467" s="35" t="s">
        <v>7003</v>
      </c>
    </row>
    <row r="1468" spans="1:5" ht="14.25" hidden="1" customHeight="1">
      <c r="A1468" s="155">
        <v>12413563</v>
      </c>
      <c r="B1468" s="173" t="s">
        <v>3052</v>
      </c>
      <c r="C1468" s="173" t="s">
        <v>3053</v>
      </c>
      <c r="D1468" s="173" t="s">
        <v>6979</v>
      </c>
      <c r="E1468" s="203">
        <v>43413</v>
      </c>
    </row>
    <row r="1469" spans="1:5" ht="14.25" hidden="1" customHeight="1">
      <c r="A1469" s="16">
        <v>12449905</v>
      </c>
      <c r="B1469" s="17" t="s">
        <v>2947</v>
      </c>
      <c r="C1469" s="17" t="s">
        <v>2948</v>
      </c>
      <c r="D1469" s="1" t="s">
        <v>6979</v>
      </c>
      <c r="E1469" s="35" t="s">
        <v>7003</v>
      </c>
    </row>
    <row r="1470" spans="1:5" ht="14.25" hidden="1" customHeight="1">
      <c r="A1470" s="155">
        <v>12449905</v>
      </c>
      <c r="B1470" s="173" t="s">
        <v>2947</v>
      </c>
      <c r="C1470" s="173" t="s">
        <v>2948</v>
      </c>
      <c r="D1470" s="173" t="s">
        <v>6979</v>
      </c>
      <c r="E1470" s="203">
        <v>43413</v>
      </c>
    </row>
    <row r="1471" spans="1:5" ht="14.25" hidden="1" customHeight="1">
      <c r="A1471" s="16">
        <v>13475331</v>
      </c>
      <c r="B1471" s="17" t="s">
        <v>996</v>
      </c>
      <c r="C1471" s="17" t="s">
        <v>3670</v>
      </c>
      <c r="D1471" s="1" t="s">
        <v>6979</v>
      </c>
      <c r="E1471" s="35" t="s">
        <v>7003</v>
      </c>
    </row>
    <row r="1472" spans="1:5" ht="14.25" hidden="1" customHeight="1">
      <c r="A1472" s="155">
        <v>13475331</v>
      </c>
      <c r="B1472" s="173" t="s">
        <v>996</v>
      </c>
      <c r="C1472" s="173" t="s">
        <v>3670</v>
      </c>
      <c r="D1472" s="173" t="s">
        <v>6979</v>
      </c>
      <c r="E1472" s="203">
        <v>43413</v>
      </c>
    </row>
    <row r="1473" spans="1:5" ht="14.25" hidden="1" customHeight="1">
      <c r="A1473" s="16">
        <v>13475605</v>
      </c>
      <c r="B1473" s="17" t="s">
        <v>1411</v>
      </c>
      <c r="C1473" s="17" t="s">
        <v>1412</v>
      </c>
      <c r="D1473" s="1" t="s">
        <v>6979</v>
      </c>
      <c r="E1473" s="35" t="s">
        <v>7003</v>
      </c>
    </row>
    <row r="1474" spans="1:5" ht="14.25" hidden="1" customHeight="1">
      <c r="A1474" s="155">
        <v>13475605</v>
      </c>
      <c r="B1474" s="173" t="s">
        <v>1411</v>
      </c>
      <c r="C1474" s="173" t="s">
        <v>1412</v>
      </c>
      <c r="D1474" s="173" t="s">
        <v>6979</v>
      </c>
      <c r="E1474" s="203">
        <v>43413</v>
      </c>
    </row>
    <row r="1475" spans="1:5" ht="14.25" hidden="1" customHeight="1">
      <c r="A1475" s="16">
        <v>13710018</v>
      </c>
      <c r="B1475" s="17" t="s">
        <v>2992</v>
      </c>
      <c r="C1475" s="17" t="s">
        <v>2993</v>
      </c>
      <c r="D1475" s="1" t="s">
        <v>6979</v>
      </c>
      <c r="E1475" s="35" t="s">
        <v>7003</v>
      </c>
    </row>
    <row r="1476" spans="1:5" ht="14.25" hidden="1" customHeight="1">
      <c r="A1476" s="155">
        <v>13710018</v>
      </c>
      <c r="B1476" s="173" t="s">
        <v>2992</v>
      </c>
      <c r="C1476" s="173" t="s">
        <v>2993</v>
      </c>
      <c r="D1476" s="173" t="s">
        <v>6979</v>
      </c>
      <c r="E1476" s="203">
        <v>43413</v>
      </c>
    </row>
    <row r="1477" spans="1:5" ht="14.25" hidden="1" customHeight="1">
      <c r="A1477" s="16">
        <v>14226015</v>
      </c>
      <c r="B1477" s="17" t="s">
        <v>4418</v>
      </c>
      <c r="C1477" s="17" t="s">
        <v>97</v>
      </c>
      <c r="D1477" s="1" t="s">
        <v>6979</v>
      </c>
      <c r="E1477" s="35" t="s">
        <v>7003</v>
      </c>
    </row>
    <row r="1478" spans="1:5" ht="14.25" hidden="1" customHeight="1">
      <c r="A1478" s="155">
        <v>14226015</v>
      </c>
      <c r="B1478" s="173" t="s">
        <v>4418</v>
      </c>
      <c r="C1478" s="173" t="s">
        <v>97</v>
      </c>
      <c r="D1478" s="173" t="s">
        <v>6979</v>
      </c>
      <c r="E1478" s="203">
        <v>43413</v>
      </c>
    </row>
    <row r="1479" spans="1:5" ht="14.25" hidden="1" customHeight="1">
      <c r="A1479" s="16">
        <v>14300770</v>
      </c>
      <c r="B1479" s="17" t="s">
        <v>3520</v>
      </c>
      <c r="C1479" s="17" t="s">
        <v>414</v>
      </c>
      <c r="D1479" s="1" t="s">
        <v>6979</v>
      </c>
      <c r="E1479" s="35" t="s">
        <v>7003</v>
      </c>
    </row>
    <row r="1480" spans="1:5" ht="14.25" hidden="1" customHeight="1">
      <c r="A1480" s="155">
        <v>14300770</v>
      </c>
      <c r="B1480" s="173" t="s">
        <v>3520</v>
      </c>
      <c r="C1480" s="173" t="s">
        <v>414</v>
      </c>
      <c r="D1480" s="173" t="s">
        <v>6979</v>
      </c>
      <c r="E1480" s="203">
        <v>43413</v>
      </c>
    </row>
    <row r="1481" spans="1:5" ht="14.25" hidden="1" customHeight="1">
      <c r="A1481" s="16">
        <v>14351534</v>
      </c>
      <c r="B1481" s="17" t="s">
        <v>2785</v>
      </c>
      <c r="C1481" s="17" t="s">
        <v>2161</v>
      </c>
      <c r="D1481" s="1" t="s">
        <v>6979</v>
      </c>
      <c r="E1481" s="35" t="s">
        <v>7003</v>
      </c>
    </row>
    <row r="1482" spans="1:5" ht="14.25" hidden="1" customHeight="1">
      <c r="A1482" s="155">
        <v>14351534</v>
      </c>
      <c r="B1482" s="173" t="s">
        <v>2785</v>
      </c>
      <c r="C1482" s="173" t="s">
        <v>2161</v>
      </c>
      <c r="D1482" s="173" t="s">
        <v>6979</v>
      </c>
      <c r="E1482" s="203">
        <v>43413</v>
      </c>
    </row>
    <row r="1483" spans="1:5" ht="14.25" hidden="1" customHeight="1">
      <c r="A1483" s="16">
        <v>14351641</v>
      </c>
      <c r="B1483" s="17" t="s">
        <v>774</v>
      </c>
      <c r="C1483" s="17" t="s">
        <v>775</v>
      </c>
      <c r="D1483" s="1" t="s">
        <v>6979</v>
      </c>
      <c r="E1483" s="35" t="s">
        <v>7003</v>
      </c>
    </row>
    <row r="1484" spans="1:5" ht="14.25" hidden="1" customHeight="1">
      <c r="A1484" s="155">
        <v>14351641</v>
      </c>
      <c r="B1484" s="173" t="s">
        <v>774</v>
      </c>
      <c r="C1484" s="173" t="s">
        <v>775</v>
      </c>
      <c r="D1484" s="173" t="s">
        <v>6979</v>
      </c>
      <c r="E1484" s="203">
        <v>43413</v>
      </c>
    </row>
    <row r="1485" spans="1:5" ht="14.25" hidden="1" customHeight="1">
      <c r="A1485" s="16">
        <v>14358919</v>
      </c>
      <c r="B1485" s="17" t="s">
        <v>1406</v>
      </c>
      <c r="C1485" s="17" t="s">
        <v>758</v>
      </c>
      <c r="D1485" s="1" t="s">
        <v>6979</v>
      </c>
      <c r="E1485" s="35" t="s">
        <v>7003</v>
      </c>
    </row>
    <row r="1486" spans="1:5" ht="14.25" hidden="1" customHeight="1">
      <c r="A1486" s="155">
        <v>14358919</v>
      </c>
      <c r="B1486" s="173" t="s">
        <v>1406</v>
      </c>
      <c r="C1486" s="173" t="s">
        <v>758</v>
      </c>
      <c r="D1486" s="173" t="s">
        <v>6979</v>
      </c>
      <c r="E1486" s="203">
        <v>43413</v>
      </c>
    </row>
    <row r="1487" spans="1:5" ht="14.25" hidden="1" customHeight="1">
      <c r="A1487" s="16">
        <v>14947988</v>
      </c>
      <c r="B1487" s="17" t="s">
        <v>574</v>
      </c>
      <c r="C1487" s="17" t="s">
        <v>3515</v>
      </c>
      <c r="D1487" s="1" t="s">
        <v>6979</v>
      </c>
      <c r="E1487" s="35" t="s">
        <v>7003</v>
      </c>
    </row>
    <row r="1488" spans="1:5" ht="14.25" hidden="1" customHeight="1">
      <c r="A1488" s="155">
        <v>14947988</v>
      </c>
      <c r="B1488" s="173" t="s">
        <v>574</v>
      </c>
      <c r="C1488" s="173" t="s">
        <v>3515</v>
      </c>
      <c r="D1488" s="173" t="s">
        <v>6979</v>
      </c>
      <c r="E1488" s="203">
        <v>43413</v>
      </c>
    </row>
    <row r="1489" spans="1:5" ht="14.25" hidden="1" customHeight="1">
      <c r="A1489" s="16">
        <v>16176136</v>
      </c>
      <c r="B1489" s="17" t="s">
        <v>7004</v>
      </c>
      <c r="C1489" s="17" t="s">
        <v>165</v>
      </c>
      <c r="D1489" s="1" t="s">
        <v>6979</v>
      </c>
      <c r="E1489" s="35" t="s">
        <v>7003</v>
      </c>
    </row>
    <row r="1490" spans="1:5" ht="14.25" hidden="1" customHeight="1">
      <c r="A1490" s="155">
        <v>16176136</v>
      </c>
      <c r="B1490" s="173" t="s">
        <v>7004</v>
      </c>
      <c r="C1490" s="173" t="s">
        <v>165</v>
      </c>
      <c r="D1490" s="173" t="s">
        <v>6979</v>
      </c>
      <c r="E1490" s="203">
        <v>43413</v>
      </c>
    </row>
    <row r="1491" spans="1:5" ht="14.25" hidden="1" customHeight="1">
      <c r="A1491" s="16">
        <v>16314323</v>
      </c>
      <c r="B1491" s="17" t="s">
        <v>304</v>
      </c>
      <c r="C1491" s="17" t="s">
        <v>4685</v>
      </c>
      <c r="D1491" s="1" t="s">
        <v>6979</v>
      </c>
      <c r="E1491" s="35" t="s">
        <v>7003</v>
      </c>
    </row>
    <row r="1492" spans="1:5" ht="14.25" hidden="1" customHeight="1">
      <c r="A1492" s="155">
        <v>16314323</v>
      </c>
      <c r="B1492" s="173" t="s">
        <v>304</v>
      </c>
      <c r="C1492" s="173" t="s">
        <v>4685</v>
      </c>
      <c r="D1492" s="173" t="s">
        <v>6979</v>
      </c>
      <c r="E1492" s="203">
        <v>43413</v>
      </c>
    </row>
    <row r="1493" spans="1:5" ht="14.25" hidden="1" customHeight="1">
      <c r="A1493" s="16">
        <v>17458306</v>
      </c>
      <c r="B1493" s="17" t="s">
        <v>547</v>
      </c>
      <c r="C1493" s="17" t="s">
        <v>548</v>
      </c>
      <c r="D1493" s="1" t="s">
        <v>6979</v>
      </c>
      <c r="E1493" s="35" t="s">
        <v>7003</v>
      </c>
    </row>
    <row r="1494" spans="1:5" ht="14.25" hidden="1" customHeight="1">
      <c r="A1494" s="155">
        <v>17458306</v>
      </c>
      <c r="B1494" s="173" t="s">
        <v>547</v>
      </c>
      <c r="C1494" s="173" t="s">
        <v>548</v>
      </c>
      <c r="D1494" s="173" t="s">
        <v>6979</v>
      </c>
      <c r="E1494" s="203">
        <v>43413</v>
      </c>
    </row>
    <row r="1495" spans="1:5" ht="14.25" hidden="1" customHeight="1">
      <c r="A1495" s="16">
        <v>17494092</v>
      </c>
      <c r="B1495" s="17" t="s">
        <v>1401</v>
      </c>
      <c r="C1495" s="17" t="s">
        <v>1085</v>
      </c>
      <c r="D1495" s="1" t="s">
        <v>6979</v>
      </c>
      <c r="E1495" s="35" t="s">
        <v>7003</v>
      </c>
    </row>
    <row r="1496" spans="1:5" ht="14.25" hidden="1" customHeight="1">
      <c r="A1496" s="155">
        <v>17494092</v>
      </c>
      <c r="B1496" s="173" t="s">
        <v>1401</v>
      </c>
      <c r="C1496" s="173" t="s">
        <v>1085</v>
      </c>
      <c r="D1496" s="173" t="s">
        <v>6979</v>
      </c>
      <c r="E1496" s="203">
        <v>43413</v>
      </c>
    </row>
    <row r="1497" spans="1:5" ht="14.25" hidden="1" customHeight="1">
      <c r="A1497" s="16">
        <v>17494339</v>
      </c>
      <c r="B1497" s="17" t="s">
        <v>547</v>
      </c>
      <c r="C1497" s="17" t="s">
        <v>566</v>
      </c>
      <c r="D1497" s="1" t="s">
        <v>6979</v>
      </c>
      <c r="E1497" s="35" t="s">
        <v>7003</v>
      </c>
    </row>
    <row r="1498" spans="1:5" ht="14.25" hidden="1" customHeight="1">
      <c r="A1498" s="155">
        <v>17494339</v>
      </c>
      <c r="B1498" s="173" t="s">
        <v>547</v>
      </c>
      <c r="C1498" s="173" t="s">
        <v>566</v>
      </c>
      <c r="D1498" s="173" t="s">
        <v>6979</v>
      </c>
      <c r="E1498" s="203">
        <v>43413</v>
      </c>
    </row>
    <row r="1499" spans="1:5" ht="14.25" hidden="1" customHeight="1">
      <c r="A1499" s="16">
        <v>17614893</v>
      </c>
      <c r="B1499" s="17" t="s">
        <v>5748</v>
      </c>
      <c r="C1499" s="17" t="s">
        <v>5749</v>
      </c>
      <c r="D1499" s="1" t="s">
        <v>6979</v>
      </c>
      <c r="E1499" s="35" t="s">
        <v>7003</v>
      </c>
    </row>
    <row r="1500" spans="1:5" ht="14.25" hidden="1" customHeight="1">
      <c r="A1500" s="155">
        <v>17614893</v>
      </c>
      <c r="B1500" s="173" t="s">
        <v>5748</v>
      </c>
      <c r="C1500" s="173" t="s">
        <v>5749</v>
      </c>
      <c r="D1500" s="173" t="s">
        <v>6979</v>
      </c>
      <c r="E1500" s="203">
        <v>43413</v>
      </c>
    </row>
    <row r="1501" spans="1:5" ht="14.25" hidden="1" customHeight="1">
      <c r="A1501" s="16">
        <v>17615005</v>
      </c>
      <c r="B1501" s="17" t="s">
        <v>4752</v>
      </c>
      <c r="C1501" s="17" t="s">
        <v>5741</v>
      </c>
      <c r="D1501" s="1" t="s">
        <v>6979</v>
      </c>
      <c r="E1501" s="35" t="s">
        <v>7003</v>
      </c>
    </row>
    <row r="1502" spans="1:5" ht="14.25" hidden="1" customHeight="1">
      <c r="A1502" s="155">
        <v>17615005</v>
      </c>
      <c r="B1502" s="173" t="s">
        <v>4752</v>
      </c>
      <c r="C1502" s="173" t="s">
        <v>5741</v>
      </c>
      <c r="D1502" s="173" t="s">
        <v>6979</v>
      </c>
      <c r="E1502" s="203">
        <v>43413</v>
      </c>
    </row>
    <row r="1503" spans="1:5" ht="14.25" hidden="1" customHeight="1">
      <c r="A1503" s="16">
        <v>17859967</v>
      </c>
      <c r="B1503" s="17" t="s">
        <v>3315</v>
      </c>
      <c r="C1503" s="17" t="s">
        <v>1353</v>
      </c>
      <c r="D1503" s="1" t="s">
        <v>6979</v>
      </c>
      <c r="E1503" s="35" t="s">
        <v>7003</v>
      </c>
    </row>
    <row r="1504" spans="1:5" ht="14.25" hidden="1" customHeight="1">
      <c r="A1504" s="155">
        <v>17859967</v>
      </c>
      <c r="B1504" s="173" t="s">
        <v>3315</v>
      </c>
      <c r="C1504" s="173" t="s">
        <v>1353</v>
      </c>
      <c r="D1504" s="173" t="s">
        <v>6979</v>
      </c>
      <c r="E1504" s="203">
        <v>43413</v>
      </c>
    </row>
    <row r="1505" spans="1:5" ht="14.25" hidden="1" customHeight="1">
      <c r="A1505" s="16">
        <v>17860977</v>
      </c>
      <c r="B1505" s="17" t="s">
        <v>327</v>
      </c>
      <c r="C1505" s="17" t="s">
        <v>783</v>
      </c>
      <c r="D1505" s="1" t="s">
        <v>6979</v>
      </c>
      <c r="E1505" s="35" t="s">
        <v>7003</v>
      </c>
    </row>
    <row r="1506" spans="1:5" ht="14.25" hidden="1" customHeight="1">
      <c r="A1506" s="155">
        <v>17860977</v>
      </c>
      <c r="B1506" s="173" t="s">
        <v>327</v>
      </c>
      <c r="C1506" s="173" t="s">
        <v>783</v>
      </c>
      <c r="D1506" s="173" t="s">
        <v>6979</v>
      </c>
      <c r="E1506" s="203">
        <v>43413</v>
      </c>
    </row>
    <row r="1507" spans="1:5" ht="14.25" hidden="1" customHeight="1">
      <c r="A1507" s="16">
        <v>18450400</v>
      </c>
      <c r="B1507" s="17" t="s">
        <v>311</v>
      </c>
      <c r="C1507" s="17" t="s">
        <v>5614</v>
      </c>
      <c r="D1507" s="1" t="s">
        <v>6979</v>
      </c>
      <c r="E1507" s="35" t="s">
        <v>7003</v>
      </c>
    </row>
    <row r="1508" spans="1:5" ht="14.25" hidden="1" customHeight="1">
      <c r="A1508" s="155">
        <v>18450400</v>
      </c>
      <c r="B1508" s="173" t="s">
        <v>311</v>
      </c>
      <c r="C1508" s="173" t="s">
        <v>5614</v>
      </c>
      <c r="D1508" s="173" t="s">
        <v>6979</v>
      </c>
      <c r="E1508" s="203">
        <v>43413</v>
      </c>
    </row>
    <row r="1509" spans="1:5" ht="14.25" hidden="1" customHeight="1">
      <c r="A1509" s="16">
        <v>18545210</v>
      </c>
      <c r="B1509" s="17" t="s">
        <v>1720</v>
      </c>
      <c r="C1509" s="17" t="s">
        <v>1721</v>
      </c>
      <c r="D1509" s="1" t="s">
        <v>6979</v>
      </c>
      <c r="E1509" s="35" t="s">
        <v>7003</v>
      </c>
    </row>
    <row r="1510" spans="1:5" ht="14.25" hidden="1" customHeight="1">
      <c r="A1510" s="155">
        <v>18545210</v>
      </c>
      <c r="B1510" s="173" t="s">
        <v>1720</v>
      </c>
      <c r="C1510" s="173" t="s">
        <v>1721</v>
      </c>
      <c r="D1510" s="173" t="s">
        <v>6979</v>
      </c>
      <c r="E1510" s="203">
        <v>43413</v>
      </c>
    </row>
    <row r="1511" spans="1:5" ht="14.25" hidden="1" customHeight="1">
      <c r="A1511" s="16">
        <v>18617591</v>
      </c>
      <c r="B1511" s="17" t="s">
        <v>1008</v>
      </c>
      <c r="C1511" s="17" t="s">
        <v>761</v>
      </c>
      <c r="D1511" s="1" t="s">
        <v>6979</v>
      </c>
      <c r="E1511" s="35" t="s">
        <v>7003</v>
      </c>
    </row>
    <row r="1512" spans="1:5" ht="14.25" hidden="1" customHeight="1">
      <c r="A1512" s="155">
        <v>18617591</v>
      </c>
      <c r="B1512" s="173" t="s">
        <v>1008</v>
      </c>
      <c r="C1512" s="173" t="s">
        <v>761</v>
      </c>
      <c r="D1512" s="173" t="s">
        <v>6979</v>
      </c>
      <c r="E1512" s="203">
        <v>43413</v>
      </c>
    </row>
    <row r="1513" spans="1:5" ht="14.25" hidden="1" customHeight="1">
      <c r="A1513" s="16">
        <v>21328390</v>
      </c>
      <c r="B1513" s="17" t="s">
        <v>1195</v>
      </c>
      <c r="C1513" s="17" t="s">
        <v>1085</v>
      </c>
      <c r="D1513" s="1" t="s">
        <v>6979</v>
      </c>
      <c r="E1513" s="35" t="s">
        <v>7003</v>
      </c>
    </row>
    <row r="1514" spans="1:5" ht="14.25" hidden="1" customHeight="1">
      <c r="A1514" s="16">
        <v>21328390</v>
      </c>
      <c r="B1514" s="17" t="s">
        <v>1195</v>
      </c>
      <c r="C1514" s="17" t="s">
        <v>1085</v>
      </c>
      <c r="D1514" s="1" t="s">
        <v>6979</v>
      </c>
      <c r="E1514" s="35" t="s">
        <v>7003</v>
      </c>
    </row>
    <row r="1515" spans="1:5" ht="14.25" hidden="1" customHeight="1">
      <c r="A1515" s="16">
        <v>22031835</v>
      </c>
      <c r="B1515" s="17" t="s">
        <v>273</v>
      </c>
      <c r="C1515" s="17" t="s">
        <v>274</v>
      </c>
      <c r="D1515" s="1" t="s">
        <v>6979</v>
      </c>
      <c r="E1515" s="35" t="s">
        <v>7003</v>
      </c>
    </row>
    <row r="1516" spans="1:5" ht="14.25" hidden="1" customHeight="1">
      <c r="A1516" s="155">
        <v>22031835</v>
      </c>
      <c r="B1516" s="173" t="s">
        <v>273</v>
      </c>
      <c r="C1516" s="173" t="s">
        <v>274</v>
      </c>
      <c r="D1516" s="173" t="s">
        <v>6979</v>
      </c>
      <c r="E1516" s="203">
        <v>43413</v>
      </c>
    </row>
    <row r="1517" spans="1:5" ht="14.25" hidden="1" customHeight="1">
      <c r="A1517" s="16">
        <v>23239188</v>
      </c>
      <c r="B1517" s="17" t="s">
        <v>983</v>
      </c>
      <c r="C1517" s="17" t="s">
        <v>4800</v>
      </c>
      <c r="D1517" s="1" t="s">
        <v>6979</v>
      </c>
      <c r="E1517" s="35" t="s">
        <v>7003</v>
      </c>
    </row>
    <row r="1518" spans="1:5" ht="14.25" hidden="1" customHeight="1">
      <c r="A1518" s="155">
        <v>23239188</v>
      </c>
      <c r="B1518" s="173" t="s">
        <v>983</v>
      </c>
      <c r="C1518" s="173" t="s">
        <v>4800</v>
      </c>
      <c r="D1518" s="173" t="s">
        <v>6979</v>
      </c>
      <c r="E1518" s="203">
        <v>43413</v>
      </c>
    </row>
    <row r="1519" spans="1:5" ht="14.25" hidden="1" customHeight="1">
      <c r="A1519" s="16">
        <v>27211366</v>
      </c>
      <c r="B1519" s="17" t="s">
        <v>3906</v>
      </c>
      <c r="C1519" s="17" t="s">
        <v>3907</v>
      </c>
      <c r="D1519" s="1" t="s">
        <v>6979</v>
      </c>
      <c r="E1519" s="35" t="s">
        <v>7003</v>
      </c>
    </row>
    <row r="1520" spans="1:5" ht="14.25" hidden="1" customHeight="1">
      <c r="A1520" s="155">
        <v>27211366</v>
      </c>
      <c r="B1520" s="173" t="s">
        <v>3906</v>
      </c>
      <c r="C1520" s="173" t="s">
        <v>3907</v>
      </c>
      <c r="D1520" s="173" t="s">
        <v>6979</v>
      </c>
      <c r="E1520" s="203">
        <v>43413</v>
      </c>
    </row>
    <row r="1521" spans="1:5" ht="14.25" hidden="1" customHeight="1">
      <c r="A1521" s="16">
        <v>27400571</v>
      </c>
      <c r="B1521" s="17" t="s">
        <v>779</v>
      </c>
      <c r="C1521" s="17" t="s">
        <v>780</v>
      </c>
      <c r="D1521" s="1" t="s">
        <v>6979</v>
      </c>
      <c r="E1521" s="35" t="s">
        <v>7003</v>
      </c>
    </row>
    <row r="1522" spans="1:5" ht="14.25" hidden="1" customHeight="1">
      <c r="A1522" s="155">
        <v>27400571</v>
      </c>
      <c r="B1522" s="173" t="s">
        <v>779</v>
      </c>
      <c r="C1522" s="173" t="s">
        <v>780</v>
      </c>
      <c r="D1522" s="173" t="s">
        <v>6979</v>
      </c>
      <c r="E1522" s="203">
        <v>43413</v>
      </c>
    </row>
    <row r="1523" spans="1:5" ht="14.25" hidden="1" customHeight="1">
      <c r="A1523" s="16">
        <v>28564148</v>
      </c>
      <c r="B1523" s="17" t="s">
        <v>2407</v>
      </c>
      <c r="C1523" s="17" t="s">
        <v>2408</v>
      </c>
      <c r="D1523" s="1" t="s">
        <v>6979</v>
      </c>
      <c r="E1523" s="35" t="s">
        <v>7003</v>
      </c>
    </row>
    <row r="1524" spans="1:5" ht="14.25" hidden="1" customHeight="1">
      <c r="A1524" s="155">
        <v>28564148</v>
      </c>
      <c r="B1524" s="173" t="s">
        <v>2407</v>
      </c>
      <c r="C1524" s="173" t="s">
        <v>2408</v>
      </c>
      <c r="D1524" s="173" t="s">
        <v>6979</v>
      </c>
      <c r="E1524" s="203">
        <v>43413</v>
      </c>
    </row>
    <row r="1525" spans="1:5" ht="14.25" hidden="1" customHeight="1">
      <c r="A1525" s="16">
        <v>28920031</v>
      </c>
      <c r="B1525" s="17" t="s">
        <v>4170</v>
      </c>
      <c r="C1525" s="17" t="s">
        <v>588</v>
      </c>
      <c r="D1525" s="1" t="s">
        <v>6979</v>
      </c>
      <c r="E1525" s="35" t="s">
        <v>7003</v>
      </c>
    </row>
    <row r="1526" spans="1:5" ht="14.25" hidden="1" customHeight="1">
      <c r="A1526" s="155">
        <v>28920031</v>
      </c>
      <c r="B1526" s="173" t="s">
        <v>4170</v>
      </c>
      <c r="C1526" s="173" t="s">
        <v>588</v>
      </c>
      <c r="D1526" s="173" t="s">
        <v>6979</v>
      </c>
      <c r="E1526" s="203">
        <v>43413</v>
      </c>
    </row>
    <row r="1527" spans="1:5" ht="14.25" hidden="1" customHeight="1">
      <c r="A1527" s="16">
        <v>29997386</v>
      </c>
      <c r="B1527" s="17" t="s">
        <v>3400</v>
      </c>
      <c r="C1527" s="17" t="s">
        <v>3401</v>
      </c>
      <c r="D1527" s="1" t="s">
        <v>6979</v>
      </c>
      <c r="E1527" s="35" t="s">
        <v>7003</v>
      </c>
    </row>
    <row r="1528" spans="1:5" ht="14.25" hidden="1" customHeight="1">
      <c r="A1528" s="155">
        <v>29997386</v>
      </c>
      <c r="B1528" s="173" t="s">
        <v>3400</v>
      </c>
      <c r="C1528" s="173" t="s">
        <v>3401</v>
      </c>
      <c r="D1528" s="173" t="s">
        <v>6979</v>
      </c>
      <c r="E1528" s="203">
        <v>43413</v>
      </c>
    </row>
    <row r="1529" spans="1:5" ht="14.25" hidden="1" customHeight="1">
      <c r="A1529" s="16">
        <v>30598547</v>
      </c>
      <c r="B1529" s="17" t="s">
        <v>2400</v>
      </c>
      <c r="C1529" s="17" t="s">
        <v>2401</v>
      </c>
      <c r="D1529" s="1" t="s">
        <v>6979</v>
      </c>
      <c r="E1529" s="35" t="s">
        <v>7003</v>
      </c>
    </row>
    <row r="1530" spans="1:5" ht="14.25" hidden="1" customHeight="1">
      <c r="A1530" s="155">
        <v>30598547</v>
      </c>
      <c r="B1530" s="173" t="s">
        <v>2400</v>
      </c>
      <c r="C1530" s="173" t="s">
        <v>2401</v>
      </c>
      <c r="D1530" s="173" t="s">
        <v>6979</v>
      </c>
      <c r="E1530" s="203">
        <v>43413</v>
      </c>
    </row>
    <row r="1531" spans="1:5" ht="14.25" hidden="1" customHeight="1">
      <c r="A1531" s="16">
        <v>31842375</v>
      </c>
      <c r="B1531" s="17" t="s">
        <v>2335</v>
      </c>
      <c r="C1531" s="17" t="s">
        <v>2336</v>
      </c>
      <c r="D1531" s="1" t="s">
        <v>6979</v>
      </c>
      <c r="E1531" s="35" t="s">
        <v>7003</v>
      </c>
    </row>
    <row r="1532" spans="1:5" ht="14.25" hidden="1" customHeight="1">
      <c r="A1532" s="155">
        <v>31842375</v>
      </c>
      <c r="B1532" s="173" t="s">
        <v>2335</v>
      </c>
      <c r="C1532" s="173" t="s">
        <v>2336</v>
      </c>
      <c r="D1532" s="173" t="s">
        <v>6979</v>
      </c>
      <c r="E1532" s="203">
        <v>43413</v>
      </c>
    </row>
    <row r="1533" spans="1:5" ht="14.25" hidden="1" customHeight="1">
      <c r="A1533" s="16">
        <v>33163397</v>
      </c>
      <c r="B1533" s="17" t="s">
        <v>2714</v>
      </c>
      <c r="C1533" s="17" t="s">
        <v>6473</v>
      </c>
      <c r="D1533" s="1" t="s">
        <v>6979</v>
      </c>
      <c r="E1533" s="35" t="s">
        <v>7003</v>
      </c>
    </row>
    <row r="1534" spans="1:5" ht="14.25" hidden="1" customHeight="1">
      <c r="A1534" s="155">
        <v>33163397</v>
      </c>
      <c r="B1534" s="173" t="s">
        <v>2714</v>
      </c>
      <c r="C1534" s="173" t="s">
        <v>6473</v>
      </c>
      <c r="D1534" s="173" t="s">
        <v>6979</v>
      </c>
      <c r="E1534" s="203">
        <v>43413</v>
      </c>
    </row>
    <row r="1535" spans="1:5" ht="14.25" hidden="1" customHeight="1">
      <c r="A1535" s="16">
        <v>33540716</v>
      </c>
      <c r="B1535" s="17" t="s">
        <v>2652</v>
      </c>
      <c r="C1535" s="17" t="s">
        <v>2653</v>
      </c>
      <c r="D1535" s="1" t="s">
        <v>6979</v>
      </c>
      <c r="E1535" s="35" t="s">
        <v>7003</v>
      </c>
    </row>
    <row r="1536" spans="1:5" ht="14.25" hidden="1" customHeight="1">
      <c r="A1536" s="155">
        <v>33540716</v>
      </c>
      <c r="B1536" s="173" t="s">
        <v>2652</v>
      </c>
      <c r="C1536" s="173" t="s">
        <v>2653</v>
      </c>
      <c r="D1536" s="173" t="s">
        <v>6979</v>
      </c>
      <c r="E1536" s="203">
        <v>43413</v>
      </c>
    </row>
    <row r="1537" spans="1:5" ht="14.25" hidden="1" customHeight="1">
      <c r="A1537" s="16">
        <v>36766001</v>
      </c>
      <c r="B1537" s="17" t="s">
        <v>4696</v>
      </c>
      <c r="C1537" s="17" t="s">
        <v>4697</v>
      </c>
      <c r="D1537" s="1" t="s">
        <v>6979</v>
      </c>
      <c r="E1537" s="35" t="s">
        <v>7003</v>
      </c>
    </row>
    <row r="1538" spans="1:5" ht="14.25" hidden="1" customHeight="1">
      <c r="A1538" s="155">
        <v>36766001</v>
      </c>
      <c r="B1538" s="173" t="s">
        <v>4696</v>
      </c>
      <c r="C1538" s="173" t="s">
        <v>4697</v>
      </c>
      <c r="D1538" s="173" t="s">
        <v>6979</v>
      </c>
      <c r="E1538" s="203">
        <v>43413</v>
      </c>
    </row>
    <row r="1539" spans="1:5" ht="14.25" hidden="1" customHeight="1">
      <c r="A1539" s="16">
        <v>36865842</v>
      </c>
      <c r="B1539" s="17" t="s">
        <v>1950</v>
      </c>
      <c r="C1539" s="17" t="s">
        <v>95</v>
      </c>
      <c r="D1539" s="1" t="s">
        <v>6979</v>
      </c>
      <c r="E1539" s="35" t="s">
        <v>7003</v>
      </c>
    </row>
    <row r="1540" spans="1:5" ht="14.25" hidden="1" customHeight="1">
      <c r="A1540" s="155">
        <v>36865842</v>
      </c>
      <c r="B1540" s="173" t="s">
        <v>1950</v>
      </c>
      <c r="C1540" s="173" t="s">
        <v>95</v>
      </c>
      <c r="D1540" s="173" t="s">
        <v>6979</v>
      </c>
      <c r="E1540" s="203">
        <v>43413</v>
      </c>
    </row>
    <row r="1541" spans="1:5" ht="14.25" hidden="1" customHeight="1">
      <c r="A1541" s="16">
        <v>39138293</v>
      </c>
      <c r="B1541" s="17" t="s">
        <v>3901</v>
      </c>
      <c r="C1541" s="17" t="s">
        <v>3902</v>
      </c>
      <c r="D1541" s="1" t="s">
        <v>6979</v>
      </c>
      <c r="E1541" s="35" t="s">
        <v>7003</v>
      </c>
    </row>
    <row r="1542" spans="1:5" ht="14.25" hidden="1" customHeight="1">
      <c r="A1542" s="155">
        <v>39138293</v>
      </c>
      <c r="B1542" s="173" t="s">
        <v>3901</v>
      </c>
      <c r="C1542" s="173" t="s">
        <v>3902</v>
      </c>
      <c r="D1542" s="173" t="s">
        <v>6979</v>
      </c>
      <c r="E1542" s="203">
        <v>43413</v>
      </c>
    </row>
    <row r="1543" spans="1:5" ht="14.25" hidden="1" customHeight="1">
      <c r="A1543" s="16">
        <v>39140888</v>
      </c>
      <c r="B1543" s="17" t="s">
        <v>557</v>
      </c>
      <c r="C1543" s="17" t="s">
        <v>558</v>
      </c>
      <c r="D1543" s="1" t="s">
        <v>6979</v>
      </c>
      <c r="E1543" s="35" t="s">
        <v>7003</v>
      </c>
    </row>
    <row r="1544" spans="1:5" ht="14.25" hidden="1" customHeight="1">
      <c r="A1544" s="155">
        <v>39140888</v>
      </c>
      <c r="B1544" s="173" t="s">
        <v>557</v>
      </c>
      <c r="C1544" s="173" t="s">
        <v>558</v>
      </c>
      <c r="D1544" s="173" t="s">
        <v>6979</v>
      </c>
      <c r="E1544" s="203">
        <v>43413</v>
      </c>
    </row>
    <row r="1545" spans="1:5" ht="14.25" hidden="1" customHeight="1">
      <c r="A1545" s="16">
        <v>39140909</v>
      </c>
      <c r="B1545" s="17" t="s">
        <v>1397</v>
      </c>
      <c r="C1545" s="17" t="s">
        <v>1398</v>
      </c>
      <c r="D1545" s="1" t="s">
        <v>6979</v>
      </c>
      <c r="E1545" s="35" t="s">
        <v>7003</v>
      </c>
    </row>
    <row r="1546" spans="1:5" ht="14.25" hidden="1" customHeight="1">
      <c r="A1546" s="155">
        <v>39140909</v>
      </c>
      <c r="B1546" s="173" t="s">
        <v>1397</v>
      </c>
      <c r="C1546" s="173" t="s">
        <v>1398</v>
      </c>
      <c r="D1546" s="173" t="s">
        <v>6979</v>
      </c>
      <c r="E1546" s="203">
        <v>43413</v>
      </c>
    </row>
    <row r="1547" spans="1:5" ht="14.25" hidden="1" customHeight="1">
      <c r="A1547" s="16">
        <v>39360162</v>
      </c>
      <c r="B1547" s="17" t="s">
        <v>311</v>
      </c>
      <c r="C1547" s="17" t="s">
        <v>106</v>
      </c>
      <c r="D1547" s="1" t="s">
        <v>6979</v>
      </c>
      <c r="E1547" s="35" t="s">
        <v>7003</v>
      </c>
    </row>
    <row r="1548" spans="1:5" ht="14.25" hidden="1" customHeight="1">
      <c r="A1548" s="155">
        <v>39360162</v>
      </c>
      <c r="B1548" s="173" t="s">
        <v>311</v>
      </c>
      <c r="C1548" s="173" t="s">
        <v>106</v>
      </c>
      <c r="D1548" s="173" t="s">
        <v>6979</v>
      </c>
      <c r="E1548" s="203">
        <v>43413</v>
      </c>
    </row>
    <row r="1549" spans="1:5" ht="14.25" hidden="1" customHeight="1">
      <c r="A1549" s="16">
        <v>39574782</v>
      </c>
      <c r="B1549" s="17" t="s">
        <v>561</v>
      </c>
      <c r="C1549" s="17" t="s">
        <v>562</v>
      </c>
      <c r="D1549" s="1" t="s">
        <v>6979</v>
      </c>
      <c r="E1549" s="35" t="s">
        <v>7003</v>
      </c>
    </row>
    <row r="1550" spans="1:5" ht="14.25" hidden="1" customHeight="1">
      <c r="A1550" s="155">
        <v>39574782</v>
      </c>
      <c r="B1550" s="173" t="s">
        <v>561</v>
      </c>
      <c r="C1550" s="173" t="s">
        <v>562</v>
      </c>
      <c r="D1550" s="173" t="s">
        <v>6979</v>
      </c>
      <c r="E1550" s="203">
        <v>43413</v>
      </c>
    </row>
    <row r="1551" spans="1:5" ht="14.25" hidden="1" customHeight="1">
      <c r="A1551" s="16">
        <v>14073492</v>
      </c>
      <c r="B1551" s="17" t="s">
        <v>2183</v>
      </c>
      <c r="C1551" s="17" t="s">
        <v>2184</v>
      </c>
      <c r="D1551" s="1" t="s">
        <v>7005</v>
      </c>
      <c r="E1551" s="35" t="s">
        <v>7006</v>
      </c>
    </row>
    <row r="1552" spans="1:5" ht="14.25" hidden="1" customHeight="1">
      <c r="A1552" s="155">
        <v>14073492</v>
      </c>
      <c r="B1552" s="173" t="s">
        <v>2183</v>
      </c>
      <c r="C1552" s="173" t="s">
        <v>2184</v>
      </c>
      <c r="D1552" s="173" t="s">
        <v>7005</v>
      </c>
      <c r="E1552" s="203">
        <v>43384</v>
      </c>
    </row>
    <row r="1553" spans="1:5" ht="14.25" hidden="1" customHeight="1">
      <c r="A1553" s="16">
        <v>14225922</v>
      </c>
      <c r="B1553" s="17" t="s">
        <v>207</v>
      </c>
      <c r="C1553" s="17" t="s">
        <v>27</v>
      </c>
      <c r="D1553" s="1" t="s">
        <v>7005</v>
      </c>
      <c r="E1553" s="35" t="s">
        <v>7006</v>
      </c>
    </row>
    <row r="1554" spans="1:5" ht="14.25" hidden="1" customHeight="1">
      <c r="A1554" s="155">
        <v>14225922</v>
      </c>
      <c r="B1554" s="173" t="s">
        <v>207</v>
      </c>
      <c r="C1554" s="173" t="s">
        <v>27</v>
      </c>
      <c r="D1554" s="173" t="s">
        <v>7005</v>
      </c>
      <c r="E1554" s="203">
        <v>43384</v>
      </c>
    </row>
    <row r="1555" spans="1:5" ht="14.25" hidden="1" customHeight="1">
      <c r="A1555" s="16">
        <v>14359850</v>
      </c>
      <c r="B1555" s="17" t="s">
        <v>5663</v>
      </c>
      <c r="C1555" s="17" t="s">
        <v>5664</v>
      </c>
      <c r="D1555" s="1" t="s">
        <v>7005</v>
      </c>
      <c r="E1555" s="35" t="s">
        <v>7006</v>
      </c>
    </row>
    <row r="1556" spans="1:5" ht="14.25" hidden="1" customHeight="1">
      <c r="A1556" s="155">
        <v>14359850</v>
      </c>
      <c r="B1556" s="173" t="s">
        <v>5663</v>
      </c>
      <c r="C1556" s="173" t="s">
        <v>5664</v>
      </c>
      <c r="D1556" s="173" t="s">
        <v>7005</v>
      </c>
      <c r="E1556" s="203">
        <v>43384</v>
      </c>
    </row>
    <row r="1557" spans="1:5" ht="14.25" hidden="1" customHeight="1">
      <c r="A1557" s="16">
        <v>14984007</v>
      </c>
      <c r="B1557" s="17" t="s">
        <v>3742</v>
      </c>
      <c r="C1557" s="17" t="s">
        <v>3743</v>
      </c>
      <c r="D1557" s="1" t="s">
        <v>7005</v>
      </c>
      <c r="E1557" s="35" t="s">
        <v>7006</v>
      </c>
    </row>
    <row r="1558" spans="1:5" ht="14.25" hidden="1" customHeight="1">
      <c r="A1558" s="155">
        <v>14984007</v>
      </c>
      <c r="B1558" s="173" t="s">
        <v>3742</v>
      </c>
      <c r="C1558" s="173" t="s">
        <v>3743</v>
      </c>
      <c r="D1558" s="173" t="s">
        <v>7005</v>
      </c>
      <c r="E1558" s="203">
        <v>43384</v>
      </c>
    </row>
    <row r="1559" spans="1:5" ht="14.25" hidden="1" customHeight="1">
      <c r="A1559" s="16">
        <v>16008463</v>
      </c>
      <c r="B1559" s="17" t="s">
        <v>1774</v>
      </c>
      <c r="C1559" s="17" t="s">
        <v>5624</v>
      </c>
      <c r="D1559" s="1" t="s">
        <v>7005</v>
      </c>
      <c r="E1559" s="35" t="s">
        <v>7006</v>
      </c>
    </row>
    <row r="1560" spans="1:5" ht="14.25" hidden="1" customHeight="1">
      <c r="A1560" s="16">
        <v>16008463</v>
      </c>
      <c r="B1560" s="17" t="s">
        <v>1774</v>
      </c>
      <c r="C1560" s="17" t="s">
        <v>5624</v>
      </c>
      <c r="D1560" s="1" t="s">
        <v>7005</v>
      </c>
      <c r="E1560" s="35" t="s">
        <v>7006</v>
      </c>
    </row>
    <row r="1561" spans="1:5" ht="14.25" hidden="1" customHeight="1">
      <c r="A1561" s="155">
        <v>16008463</v>
      </c>
      <c r="B1561" s="173" t="s">
        <v>1774</v>
      </c>
      <c r="C1561" s="173" t="s">
        <v>5624</v>
      </c>
      <c r="D1561" s="173" t="s">
        <v>7005</v>
      </c>
      <c r="E1561" s="203">
        <v>43384</v>
      </c>
    </row>
    <row r="1562" spans="1:5" ht="14.25" hidden="1" customHeight="1">
      <c r="A1562" s="155">
        <v>16008463</v>
      </c>
      <c r="B1562" s="173" t="s">
        <v>1774</v>
      </c>
      <c r="C1562" s="173" t="s">
        <v>5624</v>
      </c>
      <c r="D1562" s="173" t="s">
        <v>7005</v>
      </c>
      <c r="E1562" s="203">
        <v>43384</v>
      </c>
    </row>
    <row r="1563" spans="1:5" ht="14.25" hidden="1" customHeight="1">
      <c r="A1563" s="16">
        <v>17376659</v>
      </c>
      <c r="B1563" s="17" t="s">
        <v>4223</v>
      </c>
      <c r="C1563" s="17" t="s">
        <v>4224</v>
      </c>
      <c r="D1563" s="1" t="s">
        <v>7005</v>
      </c>
      <c r="E1563" s="35" t="s">
        <v>7006</v>
      </c>
    </row>
    <row r="1564" spans="1:5" ht="14.25" hidden="1" customHeight="1">
      <c r="A1564" s="155">
        <v>17376659</v>
      </c>
      <c r="B1564" s="173" t="s">
        <v>4223</v>
      </c>
      <c r="C1564" s="173" t="s">
        <v>4224</v>
      </c>
      <c r="D1564" s="173" t="s">
        <v>7005</v>
      </c>
      <c r="E1564" s="203">
        <v>43384</v>
      </c>
    </row>
    <row r="1565" spans="1:5" ht="14.25" hidden="1" customHeight="1">
      <c r="A1565" s="16">
        <v>18566394</v>
      </c>
      <c r="B1565" s="17" t="s">
        <v>144</v>
      </c>
      <c r="C1565" s="17" t="s">
        <v>283</v>
      </c>
      <c r="D1565" s="1" t="s">
        <v>7005</v>
      </c>
      <c r="E1565" s="35" t="s">
        <v>7006</v>
      </c>
    </row>
    <row r="1566" spans="1:5" ht="14.25" hidden="1" customHeight="1">
      <c r="A1566" s="155">
        <v>18566394</v>
      </c>
      <c r="B1566" s="173" t="s">
        <v>144</v>
      </c>
      <c r="C1566" s="173" t="s">
        <v>283</v>
      </c>
      <c r="D1566" s="173" t="s">
        <v>7005</v>
      </c>
      <c r="E1566" s="203">
        <v>43384</v>
      </c>
    </row>
    <row r="1567" spans="1:5" ht="14.25" hidden="1" customHeight="1">
      <c r="A1567" s="16">
        <v>24803365</v>
      </c>
      <c r="B1567" s="17" t="s">
        <v>734</v>
      </c>
      <c r="C1567" s="17" t="s">
        <v>7007</v>
      </c>
      <c r="D1567" s="1" t="s">
        <v>7005</v>
      </c>
      <c r="E1567" s="35" t="s">
        <v>7006</v>
      </c>
    </row>
    <row r="1568" spans="1:5" ht="14.25" hidden="1" customHeight="1">
      <c r="A1568" s="155">
        <v>24803365</v>
      </c>
      <c r="B1568" s="173" t="s">
        <v>734</v>
      </c>
      <c r="C1568" s="173" t="s">
        <v>7007</v>
      </c>
      <c r="D1568" s="173" t="s">
        <v>7005</v>
      </c>
      <c r="E1568" s="203">
        <v>43384</v>
      </c>
    </row>
    <row r="1569" spans="1:5" ht="14.25" hidden="1" customHeight="1">
      <c r="A1569" s="16">
        <v>24830971</v>
      </c>
      <c r="B1569" s="17" t="s">
        <v>4333</v>
      </c>
      <c r="C1569" s="17" t="s">
        <v>4334</v>
      </c>
      <c r="D1569" s="1" t="s">
        <v>7005</v>
      </c>
      <c r="E1569" s="35" t="s">
        <v>7006</v>
      </c>
    </row>
    <row r="1570" spans="1:5" ht="14.25" hidden="1" customHeight="1">
      <c r="A1570" s="155">
        <v>24830971</v>
      </c>
      <c r="B1570" s="173" t="s">
        <v>4333</v>
      </c>
      <c r="C1570" s="173" t="s">
        <v>4334</v>
      </c>
      <c r="D1570" s="173" t="s">
        <v>7005</v>
      </c>
      <c r="E1570" s="203">
        <v>43384</v>
      </c>
    </row>
    <row r="1571" spans="1:5" ht="14.25" hidden="1" customHeight="1">
      <c r="A1571" s="16">
        <v>26028695</v>
      </c>
      <c r="B1571" s="17" t="s">
        <v>1680</v>
      </c>
      <c r="C1571" s="17" t="s">
        <v>1681</v>
      </c>
      <c r="D1571" s="1" t="s">
        <v>7005</v>
      </c>
      <c r="E1571" s="35" t="s">
        <v>7006</v>
      </c>
    </row>
    <row r="1572" spans="1:5" ht="14.25" hidden="1" customHeight="1">
      <c r="A1572" s="155">
        <v>26028695</v>
      </c>
      <c r="B1572" s="173" t="s">
        <v>1680</v>
      </c>
      <c r="C1572" s="173" t="s">
        <v>1681</v>
      </c>
      <c r="D1572" s="173" t="s">
        <v>7005</v>
      </c>
      <c r="E1572" s="203">
        <v>43384</v>
      </c>
    </row>
    <row r="1573" spans="1:5" ht="14.25" hidden="1" customHeight="1">
      <c r="A1573" s="16">
        <v>26982736</v>
      </c>
      <c r="B1573" s="17" t="s">
        <v>64</v>
      </c>
      <c r="C1573" s="17" t="s">
        <v>65</v>
      </c>
      <c r="D1573" s="1" t="s">
        <v>7005</v>
      </c>
      <c r="E1573" s="35" t="s">
        <v>7006</v>
      </c>
    </row>
    <row r="1574" spans="1:5" ht="14.25" hidden="1" customHeight="1">
      <c r="A1574" s="155">
        <v>26982736</v>
      </c>
      <c r="B1574" s="173" t="s">
        <v>64</v>
      </c>
      <c r="C1574" s="173" t="s">
        <v>65</v>
      </c>
      <c r="D1574" s="173" t="s">
        <v>7005</v>
      </c>
      <c r="E1574" s="203">
        <v>43384</v>
      </c>
    </row>
    <row r="1575" spans="1:5" ht="14.25" hidden="1" customHeight="1">
      <c r="A1575" s="16">
        <v>33541638</v>
      </c>
      <c r="B1575" s="17" t="s">
        <v>2310</v>
      </c>
      <c r="C1575" s="17" t="s">
        <v>30</v>
      </c>
      <c r="D1575" s="1" t="s">
        <v>7005</v>
      </c>
      <c r="E1575" s="35" t="s">
        <v>7006</v>
      </c>
    </row>
    <row r="1576" spans="1:5" ht="14.25" hidden="1" customHeight="1">
      <c r="A1576" s="155">
        <v>33541638</v>
      </c>
      <c r="B1576" s="173" t="s">
        <v>2310</v>
      </c>
      <c r="C1576" s="173" t="s">
        <v>30</v>
      </c>
      <c r="D1576" s="173" t="s">
        <v>7005</v>
      </c>
      <c r="E1576" s="203">
        <v>43384</v>
      </c>
    </row>
    <row r="1577" spans="1:5" ht="14.25" hidden="1" customHeight="1">
      <c r="A1577" s="16">
        <v>34356805</v>
      </c>
      <c r="B1577" s="17" t="s">
        <v>650</v>
      </c>
      <c r="C1577" s="17" t="s">
        <v>6991</v>
      </c>
      <c r="D1577" s="1" t="s">
        <v>7005</v>
      </c>
      <c r="E1577" s="35" t="s">
        <v>7006</v>
      </c>
    </row>
    <row r="1578" spans="1:5" ht="14.25" hidden="1" customHeight="1">
      <c r="A1578" s="155">
        <v>34356805</v>
      </c>
      <c r="B1578" s="173" t="s">
        <v>650</v>
      </c>
      <c r="C1578" s="173" t="s">
        <v>6991</v>
      </c>
      <c r="D1578" s="173" t="s">
        <v>7005</v>
      </c>
      <c r="E1578" s="203">
        <v>43384</v>
      </c>
    </row>
    <row r="1579" spans="1:5" ht="14.25" hidden="1" customHeight="1">
      <c r="A1579" s="155">
        <v>14660614</v>
      </c>
      <c r="B1579" s="173" t="s">
        <v>2355</v>
      </c>
      <c r="C1579" s="173" t="s">
        <v>2356</v>
      </c>
      <c r="D1579" s="173" t="s">
        <v>9300</v>
      </c>
      <c r="E1579" s="203">
        <v>43383</v>
      </c>
    </row>
    <row r="1580" spans="1:5" ht="14.25" hidden="1" customHeight="1">
      <c r="A1580" s="155">
        <v>20178395</v>
      </c>
      <c r="B1580" s="173" t="s">
        <v>2358</v>
      </c>
      <c r="C1580" s="173" t="s">
        <v>902</v>
      </c>
      <c r="D1580" s="173" t="s">
        <v>9300</v>
      </c>
      <c r="E1580" s="203">
        <v>43383</v>
      </c>
    </row>
    <row r="1581" spans="1:5" ht="14.25" hidden="1" customHeight="1">
      <c r="A1581" s="155">
        <v>37309662</v>
      </c>
      <c r="B1581" s="173" t="s">
        <v>164</v>
      </c>
      <c r="C1581" s="173" t="s">
        <v>2396</v>
      </c>
      <c r="D1581" s="173" t="s">
        <v>9300</v>
      </c>
      <c r="E1581" s="203">
        <v>43383</v>
      </c>
    </row>
    <row r="1582" spans="1:5" ht="14.25" hidden="1" customHeight="1">
      <c r="A1582" s="16">
        <v>13338617</v>
      </c>
      <c r="B1582" s="17" t="s">
        <v>83</v>
      </c>
      <c r="C1582" s="17" t="s">
        <v>783</v>
      </c>
      <c r="D1582" s="1" t="s">
        <v>7001</v>
      </c>
      <c r="E1582" s="35" t="s">
        <v>7008</v>
      </c>
    </row>
    <row r="1583" spans="1:5" ht="14.25" hidden="1" customHeight="1">
      <c r="A1583" s="155">
        <v>13338617</v>
      </c>
      <c r="B1583" s="173" t="s">
        <v>83</v>
      </c>
      <c r="C1583" s="173" t="s">
        <v>783</v>
      </c>
      <c r="D1583" s="173" t="s">
        <v>7001</v>
      </c>
      <c r="E1583" s="203">
        <v>43383</v>
      </c>
    </row>
    <row r="1584" spans="1:5" ht="14.25" hidden="1" customHeight="1">
      <c r="A1584" s="16">
        <v>14410428</v>
      </c>
      <c r="B1584" s="17" t="s">
        <v>2731</v>
      </c>
      <c r="C1584" s="17" t="s">
        <v>1061</v>
      </c>
      <c r="D1584" s="1" t="s">
        <v>7001</v>
      </c>
      <c r="E1584" s="35" t="s">
        <v>7008</v>
      </c>
    </row>
    <row r="1585" spans="1:5" ht="14.25" hidden="1" customHeight="1">
      <c r="A1585" s="155">
        <v>14410428</v>
      </c>
      <c r="B1585" s="173" t="s">
        <v>2731</v>
      </c>
      <c r="C1585" s="173" t="s">
        <v>1061</v>
      </c>
      <c r="D1585" s="173" t="s">
        <v>7001</v>
      </c>
      <c r="E1585" s="203">
        <v>43383</v>
      </c>
    </row>
    <row r="1586" spans="1:5" ht="14.25" hidden="1" customHeight="1">
      <c r="A1586" s="16">
        <v>14660614</v>
      </c>
      <c r="B1586" s="17" t="s">
        <v>2355</v>
      </c>
      <c r="C1586" s="17" t="s">
        <v>2356</v>
      </c>
      <c r="D1586" s="1" t="s">
        <v>7001</v>
      </c>
      <c r="E1586" s="35" t="s">
        <v>7008</v>
      </c>
    </row>
    <row r="1587" spans="1:5" ht="14.25" hidden="1" customHeight="1">
      <c r="A1587" s="16">
        <v>16541630</v>
      </c>
      <c r="B1587" s="17" t="s">
        <v>3101</v>
      </c>
      <c r="C1587" s="17" t="s">
        <v>3765</v>
      </c>
      <c r="D1587" s="1" t="s">
        <v>7001</v>
      </c>
      <c r="E1587" s="35" t="s">
        <v>7008</v>
      </c>
    </row>
    <row r="1588" spans="1:5" ht="14.25" hidden="1" customHeight="1">
      <c r="A1588" s="155">
        <v>16541630</v>
      </c>
      <c r="B1588" s="173" t="s">
        <v>3101</v>
      </c>
      <c r="C1588" s="173" t="s">
        <v>3765</v>
      </c>
      <c r="D1588" s="173" t="s">
        <v>7001</v>
      </c>
      <c r="E1588" s="203">
        <v>43383</v>
      </c>
    </row>
    <row r="1589" spans="1:5" ht="14.25" hidden="1" customHeight="1">
      <c r="A1589" s="16">
        <v>16617561</v>
      </c>
      <c r="B1589" s="17" t="s">
        <v>4445</v>
      </c>
      <c r="C1589" s="17" t="s">
        <v>4446</v>
      </c>
      <c r="D1589" s="1" t="s">
        <v>7001</v>
      </c>
      <c r="E1589" s="35" t="s">
        <v>7008</v>
      </c>
    </row>
    <row r="1590" spans="1:5" ht="14.25" hidden="1" customHeight="1">
      <c r="A1590" s="155">
        <v>16617561</v>
      </c>
      <c r="B1590" s="173" t="s">
        <v>4445</v>
      </c>
      <c r="C1590" s="173" t="s">
        <v>4446</v>
      </c>
      <c r="D1590" s="173" t="s">
        <v>7001</v>
      </c>
      <c r="E1590" s="203">
        <v>43383</v>
      </c>
    </row>
    <row r="1591" spans="1:5" ht="14.25" hidden="1" customHeight="1">
      <c r="A1591" s="16">
        <v>17040680</v>
      </c>
      <c r="B1591" s="17" t="s">
        <v>6355</v>
      </c>
      <c r="C1591" s="17" t="s">
        <v>6356</v>
      </c>
      <c r="D1591" s="1" t="s">
        <v>7001</v>
      </c>
      <c r="E1591" s="35" t="s">
        <v>7008</v>
      </c>
    </row>
    <row r="1592" spans="1:5" ht="14.25" hidden="1" customHeight="1">
      <c r="A1592" s="155">
        <v>17040680</v>
      </c>
      <c r="B1592" s="173" t="s">
        <v>6355</v>
      </c>
      <c r="C1592" s="173" t="s">
        <v>6356</v>
      </c>
      <c r="D1592" s="173" t="s">
        <v>7001</v>
      </c>
      <c r="E1592" s="203">
        <v>43383</v>
      </c>
    </row>
    <row r="1593" spans="1:5" ht="14.25" hidden="1" customHeight="1">
      <c r="A1593" s="16">
        <v>17269935</v>
      </c>
      <c r="B1593" s="17" t="s">
        <v>315</v>
      </c>
      <c r="C1593" s="17" t="s">
        <v>1334</v>
      </c>
      <c r="D1593" s="1" t="s">
        <v>7001</v>
      </c>
      <c r="E1593" s="35" t="s">
        <v>7008</v>
      </c>
    </row>
    <row r="1594" spans="1:5" ht="14.25" hidden="1" customHeight="1">
      <c r="A1594" s="155">
        <v>17269935</v>
      </c>
      <c r="B1594" s="173" t="s">
        <v>315</v>
      </c>
      <c r="C1594" s="173" t="s">
        <v>1334</v>
      </c>
      <c r="D1594" s="173" t="s">
        <v>7001</v>
      </c>
      <c r="E1594" s="203">
        <v>43383</v>
      </c>
    </row>
    <row r="1595" spans="1:5" ht="14.25" hidden="1" customHeight="1">
      <c r="A1595" s="16">
        <v>17293872</v>
      </c>
      <c r="B1595" s="17" t="s">
        <v>47</v>
      </c>
      <c r="C1595" s="17" t="s">
        <v>4259</v>
      </c>
      <c r="D1595" s="1" t="s">
        <v>7001</v>
      </c>
      <c r="E1595" s="35" t="s">
        <v>7008</v>
      </c>
    </row>
    <row r="1596" spans="1:5" ht="14.25" hidden="1" customHeight="1">
      <c r="A1596" s="155">
        <v>17293872</v>
      </c>
      <c r="B1596" s="173" t="s">
        <v>47</v>
      </c>
      <c r="C1596" s="173" t="s">
        <v>4259</v>
      </c>
      <c r="D1596" s="173" t="s">
        <v>7001</v>
      </c>
      <c r="E1596" s="203">
        <v>43383</v>
      </c>
    </row>
    <row r="1597" spans="1:5" ht="14.25" hidden="1" customHeight="1">
      <c r="A1597" s="16">
        <v>17860924</v>
      </c>
      <c r="B1597" s="17" t="s">
        <v>252</v>
      </c>
      <c r="C1597" s="17" t="s">
        <v>2975</v>
      </c>
      <c r="D1597" s="1" t="s">
        <v>7001</v>
      </c>
      <c r="E1597" s="35" t="s">
        <v>7008</v>
      </c>
    </row>
    <row r="1598" spans="1:5" ht="14.25" hidden="1" customHeight="1">
      <c r="A1598" s="155">
        <v>17860924</v>
      </c>
      <c r="B1598" s="173" t="s">
        <v>252</v>
      </c>
      <c r="C1598" s="173" t="s">
        <v>2975</v>
      </c>
      <c r="D1598" s="173" t="s">
        <v>7001</v>
      </c>
      <c r="E1598" s="203">
        <v>43383</v>
      </c>
    </row>
    <row r="1599" spans="1:5" ht="14.25" hidden="1" customHeight="1">
      <c r="A1599" s="16">
        <v>18464655</v>
      </c>
      <c r="B1599" s="17" t="s">
        <v>247</v>
      </c>
      <c r="C1599" s="17" t="s">
        <v>248</v>
      </c>
      <c r="D1599" s="1" t="s">
        <v>7001</v>
      </c>
      <c r="E1599" s="35" t="s">
        <v>7008</v>
      </c>
    </row>
    <row r="1600" spans="1:5" ht="14.25" hidden="1" customHeight="1">
      <c r="A1600" s="155">
        <v>18464655</v>
      </c>
      <c r="B1600" s="173" t="s">
        <v>247</v>
      </c>
      <c r="C1600" s="173" t="s">
        <v>248</v>
      </c>
      <c r="D1600" s="173" t="s">
        <v>7001</v>
      </c>
      <c r="E1600" s="203">
        <v>43383</v>
      </c>
    </row>
    <row r="1601" spans="1:5" ht="14.25" hidden="1" customHeight="1">
      <c r="A1601" s="16">
        <v>20178395</v>
      </c>
      <c r="B1601" s="17" t="s">
        <v>2358</v>
      </c>
      <c r="C1601" s="17" t="s">
        <v>902</v>
      </c>
      <c r="D1601" s="1" t="s">
        <v>7001</v>
      </c>
      <c r="E1601" s="35" t="s">
        <v>7008</v>
      </c>
    </row>
    <row r="1602" spans="1:5" ht="14.25" hidden="1" customHeight="1">
      <c r="A1602" s="16">
        <v>20219090</v>
      </c>
      <c r="B1602" s="17" t="s">
        <v>4429</v>
      </c>
      <c r="C1602" s="17" t="s">
        <v>215</v>
      </c>
      <c r="D1602" s="1" t="s">
        <v>7001</v>
      </c>
      <c r="E1602" s="35" t="s">
        <v>7008</v>
      </c>
    </row>
    <row r="1603" spans="1:5" ht="14.25" hidden="1" customHeight="1">
      <c r="A1603" s="155">
        <v>20219090</v>
      </c>
      <c r="B1603" s="173" t="s">
        <v>4429</v>
      </c>
      <c r="C1603" s="173" t="s">
        <v>215</v>
      </c>
      <c r="D1603" s="173" t="s">
        <v>7001</v>
      </c>
      <c r="E1603" s="203">
        <v>43383</v>
      </c>
    </row>
    <row r="1604" spans="1:5" ht="14.25" hidden="1" customHeight="1">
      <c r="A1604" s="16">
        <v>21328591</v>
      </c>
      <c r="B1604" s="17" t="s">
        <v>3975</v>
      </c>
      <c r="C1604" s="17" t="s">
        <v>571</v>
      </c>
      <c r="D1604" s="1" t="s">
        <v>7001</v>
      </c>
      <c r="E1604" s="35" t="s">
        <v>7008</v>
      </c>
    </row>
    <row r="1605" spans="1:5" ht="14.25" hidden="1" customHeight="1">
      <c r="A1605" s="155">
        <v>21328591</v>
      </c>
      <c r="B1605" s="173" t="s">
        <v>3975</v>
      </c>
      <c r="C1605" s="173" t="s">
        <v>571</v>
      </c>
      <c r="D1605" s="173" t="s">
        <v>7001</v>
      </c>
      <c r="E1605" s="203">
        <v>43383</v>
      </c>
    </row>
    <row r="1606" spans="1:5" ht="14.25" hidden="1" customHeight="1">
      <c r="A1606" s="16">
        <v>21334713</v>
      </c>
      <c r="B1606" s="17" t="s">
        <v>413</v>
      </c>
      <c r="C1606" s="17" t="s">
        <v>2218</v>
      </c>
      <c r="D1606" s="1" t="s">
        <v>7001</v>
      </c>
      <c r="E1606" s="35" t="s">
        <v>7008</v>
      </c>
    </row>
    <row r="1607" spans="1:5" ht="14.25" hidden="1" customHeight="1">
      <c r="A1607" s="155">
        <v>21334713</v>
      </c>
      <c r="B1607" s="173" t="s">
        <v>413</v>
      </c>
      <c r="C1607" s="173" t="s">
        <v>2218</v>
      </c>
      <c r="D1607" s="173" t="s">
        <v>7001</v>
      </c>
      <c r="E1607" s="203">
        <v>43383</v>
      </c>
    </row>
    <row r="1608" spans="1:5" ht="14.25" hidden="1" customHeight="1">
      <c r="A1608" s="16">
        <v>21746943</v>
      </c>
      <c r="B1608" s="17" t="s">
        <v>184</v>
      </c>
      <c r="C1608" s="17" t="s">
        <v>185</v>
      </c>
      <c r="D1608" s="1" t="s">
        <v>7001</v>
      </c>
      <c r="E1608" s="35" t="s">
        <v>7008</v>
      </c>
    </row>
    <row r="1609" spans="1:5" ht="14.25" hidden="1" customHeight="1">
      <c r="A1609" s="155">
        <v>21746943</v>
      </c>
      <c r="B1609" s="173" t="s">
        <v>184</v>
      </c>
      <c r="C1609" s="173" t="s">
        <v>185</v>
      </c>
      <c r="D1609" s="173" t="s">
        <v>7001</v>
      </c>
      <c r="E1609" s="203">
        <v>43383</v>
      </c>
    </row>
    <row r="1610" spans="1:5" ht="14.25" hidden="1" customHeight="1">
      <c r="A1610" s="16">
        <v>22211664</v>
      </c>
      <c r="B1610" s="17" t="s">
        <v>5551</v>
      </c>
      <c r="C1610" s="17" t="s">
        <v>5552</v>
      </c>
      <c r="D1610" s="1" t="s">
        <v>7001</v>
      </c>
      <c r="E1610" s="35" t="s">
        <v>7008</v>
      </c>
    </row>
    <row r="1611" spans="1:5" ht="14.25" hidden="1" customHeight="1">
      <c r="A1611" s="155">
        <v>22211664</v>
      </c>
      <c r="B1611" s="173" t="s">
        <v>5551</v>
      </c>
      <c r="C1611" s="173" t="s">
        <v>5552</v>
      </c>
      <c r="D1611" s="173" t="s">
        <v>7001</v>
      </c>
      <c r="E1611" s="203">
        <v>43383</v>
      </c>
    </row>
    <row r="1612" spans="1:5" ht="14.25" hidden="1" customHeight="1">
      <c r="A1612" s="16">
        <v>22264316</v>
      </c>
      <c r="B1612" s="17" t="s">
        <v>2687</v>
      </c>
      <c r="C1612" s="17" t="s">
        <v>2688</v>
      </c>
      <c r="D1612" s="1" t="s">
        <v>7001</v>
      </c>
      <c r="E1612" s="35" t="s">
        <v>7008</v>
      </c>
    </row>
    <row r="1613" spans="1:5" ht="14.25" hidden="1" customHeight="1">
      <c r="A1613" s="155">
        <v>22264316</v>
      </c>
      <c r="B1613" s="173" t="s">
        <v>2687</v>
      </c>
      <c r="C1613" s="173" t="s">
        <v>2688</v>
      </c>
      <c r="D1613" s="173" t="s">
        <v>7001</v>
      </c>
      <c r="E1613" s="203">
        <v>43383</v>
      </c>
    </row>
    <row r="1614" spans="1:5" ht="14.25" hidden="1" customHeight="1">
      <c r="A1614" s="16">
        <v>23238427</v>
      </c>
      <c r="B1614" s="17" t="s">
        <v>3734</v>
      </c>
      <c r="C1614" s="17" t="s">
        <v>3735</v>
      </c>
      <c r="D1614" s="1" t="s">
        <v>7001</v>
      </c>
      <c r="E1614" s="35" t="s">
        <v>7008</v>
      </c>
    </row>
    <row r="1615" spans="1:5" ht="14.25" hidden="1" customHeight="1">
      <c r="A1615" s="155">
        <v>23238427</v>
      </c>
      <c r="B1615" s="173" t="s">
        <v>3734</v>
      </c>
      <c r="C1615" s="173" t="s">
        <v>3735</v>
      </c>
      <c r="D1615" s="173" t="s">
        <v>7001</v>
      </c>
      <c r="E1615" s="203">
        <v>43383</v>
      </c>
    </row>
    <row r="1616" spans="1:5" ht="14.25" hidden="1" customHeight="1">
      <c r="A1616" s="16">
        <v>24830971</v>
      </c>
      <c r="B1616" s="17" t="s">
        <v>4333</v>
      </c>
      <c r="C1616" s="17" t="s">
        <v>4334</v>
      </c>
      <c r="D1616" s="1" t="s">
        <v>7001</v>
      </c>
      <c r="E1616" s="35" t="s">
        <v>7008</v>
      </c>
    </row>
    <row r="1617" spans="1:5" ht="14.25" hidden="1" customHeight="1">
      <c r="A1617" s="155">
        <v>24830971</v>
      </c>
      <c r="B1617" s="173" t="s">
        <v>4333</v>
      </c>
      <c r="C1617" s="173" t="s">
        <v>4334</v>
      </c>
      <c r="D1617" s="173" t="s">
        <v>7001</v>
      </c>
      <c r="E1617" s="203">
        <v>43383</v>
      </c>
    </row>
    <row r="1618" spans="1:5" ht="14.25" hidden="1" customHeight="1">
      <c r="A1618" s="16">
        <v>25444256</v>
      </c>
      <c r="B1618" s="17" t="s">
        <v>5764</v>
      </c>
      <c r="C1618" s="17" t="s">
        <v>5765</v>
      </c>
      <c r="D1618" s="1" t="s">
        <v>7001</v>
      </c>
      <c r="E1618" s="35" t="s">
        <v>7008</v>
      </c>
    </row>
    <row r="1619" spans="1:5" ht="14.25" hidden="1" customHeight="1">
      <c r="A1619" s="155">
        <v>25444256</v>
      </c>
      <c r="B1619" s="173" t="s">
        <v>5764</v>
      </c>
      <c r="C1619" s="173" t="s">
        <v>5765</v>
      </c>
      <c r="D1619" s="173" t="s">
        <v>7001</v>
      </c>
      <c r="E1619" s="203">
        <v>43383</v>
      </c>
    </row>
    <row r="1620" spans="1:5" ht="14.25" hidden="1" customHeight="1">
      <c r="A1620" s="16">
        <v>25800534</v>
      </c>
      <c r="B1620" s="17" t="s">
        <v>4868</v>
      </c>
      <c r="C1620" s="17" t="s">
        <v>4869</v>
      </c>
      <c r="D1620" s="1" t="s">
        <v>7001</v>
      </c>
      <c r="E1620" s="35" t="s">
        <v>7008</v>
      </c>
    </row>
    <row r="1621" spans="1:5" ht="14.25" hidden="1" customHeight="1">
      <c r="A1621" s="155">
        <v>25800534</v>
      </c>
      <c r="B1621" s="173" t="s">
        <v>4868</v>
      </c>
      <c r="C1621" s="173" t="s">
        <v>4869</v>
      </c>
      <c r="D1621" s="173" t="s">
        <v>7001</v>
      </c>
      <c r="E1621" s="203">
        <v>43383</v>
      </c>
    </row>
    <row r="1622" spans="1:5" ht="14.25" hidden="1" customHeight="1">
      <c r="A1622" s="16">
        <v>25843480</v>
      </c>
      <c r="B1622" s="17" t="s">
        <v>355</v>
      </c>
      <c r="C1622" s="17" t="s">
        <v>1778</v>
      </c>
      <c r="D1622" s="1" t="s">
        <v>7001</v>
      </c>
      <c r="E1622" s="35" t="s">
        <v>7008</v>
      </c>
    </row>
    <row r="1623" spans="1:5" ht="14.25" hidden="1" customHeight="1">
      <c r="A1623" s="155">
        <v>25843480</v>
      </c>
      <c r="B1623" s="173" t="s">
        <v>355</v>
      </c>
      <c r="C1623" s="173" t="s">
        <v>1778</v>
      </c>
      <c r="D1623" s="173" t="s">
        <v>7001</v>
      </c>
      <c r="E1623" s="203">
        <v>43383</v>
      </c>
    </row>
    <row r="1624" spans="1:5" ht="14.25" hidden="1" customHeight="1">
      <c r="A1624" s="16">
        <v>28681684</v>
      </c>
      <c r="B1624" s="17" t="s">
        <v>2642</v>
      </c>
      <c r="C1624" s="17" t="s">
        <v>2643</v>
      </c>
      <c r="D1624" s="1" t="s">
        <v>7001</v>
      </c>
      <c r="E1624" s="35" t="s">
        <v>7008</v>
      </c>
    </row>
    <row r="1625" spans="1:5" ht="14.25" hidden="1" customHeight="1">
      <c r="A1625" s="155">
        <v>28681684</v>
      </c>
      <c r="B1625" s="173" t="s">
        <v>2642</v>
      </c>
      <c r="C1625" s="173" t="s">
        <v>2643</v>
      </c>
      <c r="D1625" s="173" t="s">
        <v>7001</v>
      </c>
      <c r="E1625" s="203">
        <v>43383</v>
      </c>
    </row>
    <row r="1626" spans="1:5" ht="14.25" hidden="1" customHeight="1">
      <c r="A1626" s="16">
        <v>29175472</v>
      </c>
      <c r="B1626" s="17" t="s">
        <v>138</v>
      </c>
      <c r="C1626" s="17" t="s">
        <v>139</v>
      </c>
      <c r="D1626" s="1" t="s">
        <v>7001</v>
      </c>
      <c r="E1626" s="35" t="s">
        <v>7008</v>
      </c>
    </row>
    <row r="1627" spans="1:5" ht="14.25" hidden="1" customHeight="1">
      <c r="A1627" s="155">
        <v>29175472</v>
      </c>
      <c r="B1627" s="173" t="s">
        <v>138</v>
      </c>
      <c r="C1627" s="173" t="s">
        <v>139</v>
      </c>
      <c r="D1627" s="173" t="s">
        <v>7001</v>
      </c>
      <c r="E1627" s="203">
        <v>43383</v>
      </c>
    </row>
    <row r="1628" spans="1:5" ht="14.25" hidden="1" customHeight="1">
      <c r="A1628" s="16">
        <v>30606953</v>
      </c>
      <c r="B1628" s="17" t="s">
        <v>3606</v>
      </c>
      <c r="C1628" s="17" t="s">
        <v>3607</v>
      </c>
      <c r="D1628" s="1" t="s">
        <v>7001</v>
      </c>
      <c r="E1628" s="35" t="s">
        <v>7008</v>
      </c>
    </row>
    <row r="1629" spans="1:5" ht="14.25" hidden="1" customHeight="1">
      <c r="A1629" s="155">
        <v>30606953</v>
      </c>
      <c r="B1629" s="173" t="s">
        <v>3606</v>
      </c>
      <c r="C1629" s="173" t="s">
        <v>3607</v>
      </c>
      <c r="D1629" s="173" t="s">
        <v>7001</v>
      </c>
      <c r="E1629" s="203">
        <v>43383</v>
      </c>
    </row>
    <row r="1630" spans="1:5" ht="14.25" hidden="1" customHeight="1">
      <c r="A1630" s="16">
        <v>32201633</v>
      </c>
      <c r="B1630" s="17" t="s">
        <v>327</v>
      </c>
      <c r="C1630" s="17" t="s">
        <v>3793</v>
      </c>
      <c r="D1630" s="1" t="s">
        <v>7001</v>
      </c>
      <c r="E1630" s="35" t="s">
        <v>7008</v>
      </c>
    </row>
    <row r="1631" spans="1:5" ht="14.25" hidden="1" customHeight="1">
      <c r="A1631" s="16">
        <v>32201633</v>
      </c>
      <c r="B1631" s="17" t="s">
        <v>327</v>
      </c>
      <c r="C1631" s="17" t="s">
        <v>3793</v>
      </c>
      <c r="D1631" s="1" t="s">
        <v>7001</v>
      </c>
      <c r="E1631" s="35" t="s">
        <v>7008</v>
      </c>
    </row>
    <row r="1632" spans="1:5" ht="14.25" hidden="1" customHeight="1">
      <c r="A1632" s="155">
        <v>32201633</v>
      </c>
      <c r="B1632" s="173" t="s">
        <v>327</v>
      </c>
      <c r="C1632" s="173" t="s">
        <v>3793</v>
      </c>
      <c r="D1632" s="173" t="s">
        <v>7001</v>
      </c>
      <c r="E1632" s="203">
        <v>43383</v>
      </c>
    </row>
    <row r="1633" spans="1:5" ht="14.25" hidden="1" customHeight="1">
      <c r="A1633" s="155">
        <v>32201633</v>
      </c>
      <c r="B1633" s="173" t="s">
        <v>327</v>
      </c>
      <c r="C1633" s="173" t="s">
        <v>3793</v>
      </c>
      <c r="D1633" s="173" t="s">
        <v>7001</v>
      </c>
      <c r="E1633" s="203">
        <v>43383</v>
      </c>
    </row>
    <row r="1634" spans="1:5" ht="14.25" hidden="1" customHeight="1">
      <c r="A1634" s="16">
        <v>32493499</v>
      </c>
      <c r="B1634" s="17" t="s">
        <v>1422</v>
      </c>
      <c r="C1634" s="17" t="s">
        <v>1423</v>
      </c>
      <c r="D1634" s="1" t="s">
        <v>7001</v>
      </c>
      <c r="E1634" s="35" t="s">
        <v>7008</v>
      </c>
    </row>
    <row r="1635" spans="1:5" ht="14.25" hidden="1" customHeight="1">
      <c r="A1635" s="155">
        <v>32493499</v>
      </c>
      <c r="B1635" s="173" t="s">
        <v>1422</v>
      </c>
      <c r="C1635" s="173" t="s">
        <v>1423</v>
      </c>
      <c r="D1635" s="173" t="s">
        <v>7001</v>
      </c>
      <c r="E1635" s="203">
        <v>43383</v>
      </c>
    </row>
    <row r="1636" spans="1:5" ht="14.25" hidden="1" customHeight="1">
      <c r="A1636" s="16">
        <v>33432151</v>
      </c>
      <c r="B1636" s="17" t="s">
        <v>226</v>
      </c>
      <c r="C1636" s="17" t="s">
        <v>5582</v>
      </c>
      <c r="D1636" s="1" t="s">
        <v>7001</v>
      </c>
      <c r="E1636" s="35" t="s">
        <v>7008</v>
      </c>
    </row>
    <row r="1637" spans="1:5" ht="14.25" hidden="1" customHeight="1">
      <c r="A1637" s="155">
        <v>33432151</v>
      </c>
      <c r="B1637" s="173" t="s">
        <v>226</v>
      </c>
      <c r="C1637" s="173" t="s">
        <v>5582</v>
      </c>
      <c r="D1637" s="173" t="s">
        <v>7001</v>
      </c>
      <c r="E1637" s="203">
        <v>43383</v>
      </c>
    </row>
    <row r="1638" spans="1:5" ht="14.25" hidden="1" customHeight="1">
      <c r="A1638" s="16">
        <v>37309662</v>
      </c>
      <c r="B1638" s="17" t="s">
        <v>164</v>
      </c>
      <c r="C1638" s="17" t="s">
        <v>2396</v>
      </c>
      <c r="D1638" s="1" t="s">
        <v>7001</v>
      </c>
      <c r="E1638" s="35" t="s">
        <v>7008</v>
      </c>
    </row>
    <row r="1639" spans="1:5" ht="14.25" hidden="1" customHeight="1">
      <c r="A1639" s="16">
        <v>14480478</v>
      </c>
      <c r="B1639" s="17" t="s">
        <v>4603</v>
      </c>
      <c r="C1639" s="17" t="s">
        <v>708</v>
      </c>
      <c r="D1639" s="1" t="s">
        <v>7009</v>
      </c>
      <c r="E1639" s="35" t="s">
        <v>7010</v>
      </c>
    </row>
    <row r="1640" spans="1:5" ht="14.25" hidden="1" customHeight="1">
      <c r="A1640" s="155">
        <v>14480478</v>
      </c>
      <c r="B1640" s="173" t="s">
        <v>4603</v>
      </c>
      <c r="C1640" s="173" t="s">
        <v>708</v>
      </c>
      <c r="D1640" s="173" t="s">
        <v>7009</v>
      </c>
      <c r="E1640" s="203">
        <v>43382</v>
      </c>
    </row>
    <row r="1641" spans="1:5" ht="14.25" hidden="1" customHeight="1">
      <c r="A1641" s="16">
        <v>14480554</v>
      </c>
      <c r="B1641" s="17" t="s">
        <v>1671</v>
      </c>
      <c r="C1641" s="17" t="s">
        <v>1672</v>
      </c>
      <c r="D1641" s="1" t="s">
        <v>7009</v>
      </c>
      <c r="E1641" s="35" t="s">
        <v>7010</v>
      </c>
    </row>
    <row r="1642" spans="1:5" ht="14.25" hidden="1" customHeight="1">
      <c r="A1642" s="155">
        <v>14480554</v>
      </c>
      <c r="B1642" s="173" t="s">
        <v>1671</v>
      </c>
      <c r="C1642" s="173" t="s">
        <v>1672</v>
      </c>
      <c r="D1642" s="173" t="s">
        <v>7009</v>
      </c>
      <c r="E1642" s="203">
        <v>43382</v>
      </c>
    </row>
    <row r="1643" spans="1:5" ht="14.25" hidden="1" customHeight="1">
      <c r="A1643" s="16">
        <v>20219090</v>
      </c>
      <c r="B1643" s="17" t="s">
        <v>4429</v>
      </c>
      <c r="C1643" s="17" t="s">
        <v>215</v>
      </c>
      <c r="D1643" s="1" t="s">
        <v>7009</v>
      </c>
      <c r="E1643" s="35" t="s">
        <v>7010</v>
      </c>
    </row>
    <row r="1644" spans="1:5" ht="14.25" hidden="1" customHeight="1">
      <c r="A1644" s="155">
        <v>20219090</v>
      </c>
      <c r="B1644" s="173" t="s">
        <v>4429</v>
      </c>
      <c r="C1644" s="173" t="s">
        <v>215</v>
      </c>
      <c r="D1644" s="173" t="s">
        <v>7009</v>
      </c>
      <c r="E1644" s="203">
        <v>43382</v>
      </c>
    </row>
    <row r="1645" spans="1:5" ht="14.25" hidden="1" customHeight="1">
      <c r="A1645" s="16">
        <v>22877621</v>
      </c>
      <c r="B1645" s="17" t="s">
        <v>2454</v>
      </c>
      <c r="C1645" s="17" t="s">
        <v>106</v>
      </c>
      <c r="D1645" s="1" t="s">
        <v>7009</v>
      </c>
      <c r="E1645" s="35" t="s">
        <v>7010</v>
      </c>
    </row>
    <row r="1646" spans="1:5" ht="14.25" hidden="1" customHeight="1">
      <c r="A1646" s="155">
        <v>22877621</v>
      </c>
      <c r="B1646" s="173" t="s">
        <v>2454</v>
      </c>
      <c r="C1646" s="173" t="s">
        <v>106</v>
      </c>
      <c r="D1646" s="173" t="s">
        <v>7009</v>
      </c>
      <c r="E1646" s="203">
        <v>43382</v>
      </c>
    </row>
    <row r="1647" spans="1:5" ht="14.25" hidden="1" customHeight="1">
      <c r="A1647" s="16">
        <v>23519447</v>
      </c>
      <c r="B1647" s="17" t="s">
        <v>2195</v>
      </c>
      <c r="C1647" s="17" t="s">
        <v>2198</v>
      </c>
      <c r="D1647" s="1" t="s">
        <v>7009</v>
      </c>
      <c r="E1647" s="35" t="s">
        <v>7010</v>
      </c>
    </row>
    <row r="1648" spans="1:5" ht="14.25" hidden="1" customHeight="1">
      <c r="A1648" s="155">
        <v>23519447</v>
      </c>
      <c r="B1648" s="173" t="s">
        <v>2195</v>
      </c>
      <c r="C1648" s="173" t="s">
        <v>2198</v>
      </c>
      <c r="D1648" s="173" t="s">
        <v>7009</v>
      </c>
      <c r="E1648" s="203">
        <v>43382</v>
      </c>
    </row>
    <row r="1649" spans="1:5" ht="14.25" hidden="1" customHeight="1">
      <c r="A1649" s="16">
        <v>24200921</v>
      </c>
      <c r="B1649" s="17" t="s">
        <v>4784</v>
      </c>
      <c r="C1649" s="17" t="s">
        <v>1085</v>
      </c>
      <c r="D1649" s="1" t="s">
        <v>7009</v>
      </c>
      <c r="E1649" s="35" t="s">
        <v>7010</v>
      </c>
    </row>
    <row r="1650" spans="1:5" ht="14.25" hidden="1" customHeight="1">
      <c r="A1650" s="155">
        <v>24200921</v>
      </c>
      <c r="B1650" s="173" t="s">
        <v>4784</v>
      </c>
      <c r="C1650" s="173" t="s">
        <v>1085</v>
      </c>
      <c r="D1650" s="173" t="s">
        <v>7009</v>
      </c>
      <c r="E1650" s="203">
        <v>43382</v>
      </c>
    </row>
    <row r="1651" spans="1:5" ht="14.25" hidden="1" customHeight="1">
      <c r="A1651" s="16">
        <v>28053203</v>
      </c>
      <c r="B1651" s="17" t="s">
        <v>327</v>
      </c>
      <c r="C1651" s="17" t="s">
        <v>4495</v>
      </c>
      <c r="D1651" s="1" t="s">
        <v>7009</v>
      </c>
      <c r="E1651" s="35" t="s">
        <v>7010</v>
      </c>
    </row>
    <row r="1652" spans="1:5" ht="14.25" hidden="1" customHeight="1">
      <c r="A1652" s="155">
        <v>28053203</v>
      </c>
      <c r="B1652" s="173" t="s">
        <v>327</v>
      </c>
      <c r="C1652" s="173" t="s">
        <v>4495</v>
      </c>
      <c r="D1652" s="173" t="s">
        <v>7009</v>
      </c>
      <c r="E1652" s="203">
        <v>43382</v>
      </c>
    </row>
    <row r="1653" spans="1:5" ht="14.25" hidden="1" customHeight="1">
      <c r="A1653" s="16">
        <v>33091069</v>
      </c>
      <c r="B1653" s="17" t="s">
        <v>267</v>
      </c>
      <c r="C1653" s="17" t="s">
        <v>1756</v>
      </c>
      <c r="D1653" s="1" t="s">
        <v>7009</v>
      </c>
      <c r="E1653" s="35" t="s">
        <v>7010</v>
      </c>
    </row>
    <row r="1654" spans="1:5" ht="14.25" hidden="1" customHeight="1">
      <c r="A1654" s="155">
        <v>33091069</v>
      </c>
      <c r="B1654" s="173" t="s">
        <v>267</v>
      </c>
      <c r="C1654" s="173" t="s">
        <v>1756</v>
      </c>
      <c r="D1654" s="173" t="s">
        <v>7009</v>
      </c>
      <c r="E1654" s="203">
        <v>43382</v>
      </c>
    </row>
    <row r="1655" spans="1:5" ht="14.25" hidden="1" customHeight="1">
      <c r="A1655" s="16">
        <v>34287491</v>
      </c>
      <c r="B1655" s="17" t="s">
        <v>288</v>
      </c>
      <c r="C1655" s="17" t="s">
        <v>2112</v>
      </c>
      <c r="D1655" s="1" t="s">
        <v>7009</v>
      </c>
      <c r="E1655" s="35" t="s">
        <v>7010</v>
      </c>
    </row>
    <row r="1656" spans="1:5" ht="14.25" hidden="1" customHeight="1">
      <c r="A1656" s="155">
        <v>34287491</v>
      </c>
      <c r="B1656" s="173" t="s">
        <v>288</v>
      </c>
      <c r="C1656" s="173" t="s">
        <v>2112</v>
      </c>
      <c r="D1656" s="173" t="s">
        <v>7009</v>
      </c>
      <c r="E1656" s="203">
        <v>43382</v>
      </c>
    </row>
    <row r="1657" spans="1:5" ht="14.25" hidden="1" customHeight="1">
      <c r="A1657" s="16">
        <v>36224368</v>
      </c>
      <c r="B1657" s="17" t="s">
        <v>1257</v>
      </c>
      <c r="C1657" s="17" t="s">
        <v>1258</v>
      </c>
      <c r="D1657" s="1" t="s">
        <v>7009</v>
      </c>
      <c r="E1657" s="35" t="s">
        <v>7010</v>
      </c>
    </row>
    <row r="1658" spans="1:5" ht="14.25" hidden="1" customHeight="1">
      <c r="A1658" s="155">
        <v>36224368</v>
      </c>
      <c r="B1658" s="173" t="s">
        <v>1257</v>
      </c>
      <c r="C1658" s="173" t="s">
        <v>1258</v>
      </c>
      <c r="D1658" s="173" t="s">
        <v>7009</v>
      </c>
      <c r="E1658" s="203">
        <v>43382</v>
      </c>
    </row>
    <row r="1659" spans="1:5" ht="14.25" hidden="1" customHeight="1">
      <c r="A1659" s="16">
        <v>36838680</v>
      </c>
      <c r="B1659" s="17" t="s">
        <v>1393</v>
      </c>
      <c r="C1659" s="17" t="s">
        <v>97</v>
      </c>
      <c r="D1659" s="1" t="s">
        <v>7009</v>
      </c>
      <c r="E1659" s="35" t="s">
        <v>7010</v>
      </c>
    </row>
    <row r="1660" spans="1:5" ht="14.25" hidden="1" customHeight="1">
      <c r="A1660" s="155">
        <v>36838680</v>
      </c>
      <c r="B1660" s="173" t="s">
        <v>1393</v>
      </c>
      <c r="C1660" s="173" t="s">
        <v>97</v>
      </c>
      <c r="D1660" s="173" t="s">
        <v>7009</v>
      </c>
      <c r="E1660" s="203">
        <v>43382</v>
      </c>
    </row>
    <row r="1661" spans="1:5" ht="14.25" hidden="1" customHeight="1">
      <c r="A1661" s="16">
        <v>38744819</v>
      </c>
      <c r="B1661" s="17" t="s">
        <v>1388</v>
      </c>
      <c r="C1661" s="17" t="s">
        <v>1389</v>
      </c>
      <c r="D1661" s="1" t="s">
        <v>7009</v>
      </c>
      <c r="E1661" s="35" t="s">
        <v>7010</v>
      </c>
    </row>
    <row r="1662" spans="1:5" ht="14.25" hidden="1" customHeight="1">
      <c r="A1662" s="155">
        <v>38744819</v>
      </c>
      <c r="B1662" s="173" t="s">
        <v>1388</v>
      </c>
      <c r="C1662" s="173" t="s">
        <v>1389</v>
      </c>
      <c r="D1662" s="173" t="s">
        <v>7009</v>
      </c>
      <c r="E1662" s="203">
        <v>43382</v>
      </c>
    </row>
    <row r="1663" spans="1:5" ht="14.25" hidden="1" customHeight="1">
      <c r="A1663" s="16">
        <v>11239557</v>
      </c>
      <c r="B1663" s="17" t="s">
        <v>1385</v>
      </c>
      <c r="C1663" s="17" t="s">
        <v>3655</v>
      </c>
      <c r="D1663" s="1" t="s">
        <v>6984</v>
      </c>
      <c r="E1663" s="35" t="s">
        <v>7012</v>
      </c>
    </row>
    <row r="1664" spans="1:5" ht="14.25" hidden="1" customHeight="1">
      <c r="A1664" s="155">
        <v>11239557</v>
      </c>
      <c r="B1664" s="173" t="s">
        <v>1385</v>
      </c>
      <c r="C1664" s="173" t="s">
        <v>3655</v>
      </c>
      <c r="D1664" s="173" t="s">
        <v>6984</v>
      </c>
      <c r="E1664" s="203">
        <v>43381</v>
      </c>
    </row>
    <row r="1665" spans="1:5" ht="14.25" hidden="1" customHeight="1">
      <c r="A1665" s="16">
        <v>13710155</v>
      </c>
      <c r="B1665" s="17" t="s">
        <v>3182</v>
      </c>
      <c r="C1665" s="17" t="s">
        <v>3664</v>
      </c>
      <c r="D1665" s="1" t="s">
        <v>6984</v>
      </c>
      <c r="E1665" s="35" t="s">
        <v>7012</v>
      </c>
    </row>
    <row r="1666" spans="1:5" ht="14.25" hidden="1" customHeight="1">
      <c r="A1666" s="155">
        <v>13710155</v>
      </c>
      <c r="B1666" s="173" t="s">
        <v>3182</v>
      </c>
      <c r="C1666" s="173" t="s">
        <v>3664</v>
      </c>
      <c r="D1666" s="173" t="s">
        <v>6984</v>
      </c>
      <c r="E1666" s="203">
        <v>43381</v>
      </c>
    </row>
    <row r="1667" spans="1:5" ht="14.25" hidden="1" customHeight="1">
      <c r="A1667" s="16">
        <v>14359662</v>
      </c>
      <c r="B1667" s="17" t="s">
        <v>3770</v>
      </c>
      <c r="C1667" s="17" t="s">
        <v>3771</v>
      </c>
      <c r="D1667" s="1" t="s">
        <v>6984</v>
      </c>
      <c r="E1667" s="35" t="s">
        <v>7012</v>
      </c>
    </row>
    <row r="1668" spans="1:5" ht="14.25" hidden="1" customHeight="1">
      <c r="A1668" s="155">
        <v>14359662</v>
      </c>
      <c r="B1668" s="173" t="s">
        <v>3770</v>
      </c>
      <c r="C1668" s="173" t="s">
        <v>3771</v>
      </c>
      <c r="D1668" s="173" t="s">
        <v>6984</v>
      </c>
      <c r="E1668" s="203">
        <v>43381</v>
      </c>
    </row>
    <row r="1669" spans="1:5" ht="14.25" hidden="1" customHeight="1">
      <c r="A1669" s="16">
        <v>22263816</v>
      </c>
      <c r="B1669" s="17" t="s">
        <v>1613</v>
      </c>
      <c r="C1669" s="17" t="s">
        <v>3852</v>
      </c>
      <c r="D1669" s="1" t="s">
        <v>6984</v>
      </c>
      <c r="E1669" s="35" t="s">
        <v>7012</v>
      </c>
    </row>
    <row r="1670" spans="1:5" ht="14.25" hidden="1" customHeight="1">
      <c r="A1670" s="155">
        <v>22263816</v>
      </c>
      <c r="B1670" s="173" t="s">
        <v>1613</v>
      </c>
      <c r="C1670" s="173" t="s">
        <v>3852</v>
      </c>
      <c r="D1670" s="173" t="s">
        <v>6984</v>
      </c>
      <c r="E1670" s="203">
        <v>43381</v>
      </c>
    </row>
    <row r="1671" spans="1:5" ht="14.25" hidden="1" customHeight="1">
      <c r="A1671" s="16">
        <v>23015488</v>
      </c>
      <c r="B1671" s="17" t="s">
        <v>3871</v>
      </c>
      <c r="C1671" s="17" t="s">
        <v>1061</v>
      </c>
      <c r="D1671" s="1" t="s">
        <v>6984</v>
      </c>
      <c r="E1671" s="35" t="s">
        <v>7012</v>
      </c>
    </row>
    <row r="1672" spans="1:5" ht="14.25" hidden="1" customHeight="1">
      <c r="A1672" s="155">
        <v>23015488</v>
      </c>
      <c r="B1672" s="173" t="s">
        <v>3871</v>
      </c>
      <c r="C1672" s="173" t="s">
        <v>1061</v>
      </c>
      <c r="D1672" s="173" t="s">
        <v>6984</v>
      </c>
      <c r="E1672" s="203">
        <v>43381</v>
      </c>
    </row>
    <row r="1673" spans="1:5" ht="14.25" hidden="1" customHeight="1">
      <c r="A1673" s="16">
        <v>23238427</v>
      </c>
      <c r="B1673" s="17" t="s">
        <v>3734</v>
      </c>
      <c r="C1673" s="17" t="s">
        <v>3735</v>
      </c>
      <c r="D1673" s="1" t="s">
        <v>6984</v>
      </c>
      <c r="E1673" s="35" t="s">
        <v>7012</v>
      </c>
    </row>
    <row r="1674" spans="1:5" ht="14.25" hidden="1" customHeight="1">
      <c r="A1674" s="155">
        <v>23238427</v>
      </c>
      <c r="B1674" s="173" t="s">
        <v>3734</v>
      </c>
      <c r="C1674" s="173" t="s">
        <v>3735</v>
      </c>
      <c r="D1674" s="173" t="s">
        <v>6984</v>
      </c>
      <c r="E1674" s="203">
        <v>43381</v>
      </c>
    </row>
    <row r="1675" spans="1:5" ht="14.25" hidden="1" customHeight="1">
      <c r="A1675" s="16">
        <v>23827367</v>
      </c>
      <c r="B1675" s="17" t="s">
        <v>3754</v>
      </c>
      <c r="C1675" s="17" t="s">
        <v>3755</v>
      </c>
      <c r="D1675" s="1" t="s">
        <v>6984</v>
      </c>
      <c r="E1675" s="35" t="s">
        <v>7012</v>
      </c>
    </row>
    <row r="1676" spans="1:5" ht="14.25" hidden="1" customHeight="1">
      <c r="A1676" s="155">
        <v>23827367</v>
      </c>
      <c r="B1676" s="173" t="s">
        <v>3754</v>
      </c>
      <c r="C1676" s="173" t="s">
        <v>3755</v>
      </c>
      <c r="D1676" s="173" t="s">
        <v>6984</v>
      </c>
      <c r="E1676" s="203">
        <v>43381</v>
      </c>
    </row>
    <row r="1677" spans="1:5" ht="14.25" hidden="1" customHeight="1">
      <c r="A1677" s="16">
        <v>24553106</v>
      </c>
      <c r="B1677" s="17" t="s">
        <v>3749</v>
      </c>
      <c r="C1677" s="17" t="s">
        <v>3750</v>
      </c>
      <c r="D1677" s="1" t="s">
        <v>6984</v>
      </c>
      <c r="E1677" s="35" t="s">
        <v>7012</v>
      </c>
    </row>
    <row r="1678" spans="1:5" ht="14.25" hidden="1" customHeight="1">
      <c r="A1678" s="155">
        <v>24553106</v>
      </c>
      <c r="B1678" s="173" t="s">
        <v>3749</v>
      </c>
      <c r="C1678" s="173" t="s">
        <v>3750</v>
      </c>
      <c r="D1678" s="173" t="s">
        <v>6984</v>
      </c>
      <c r="E1678" s="203">
        <v>43381</v>
      </c>
    </row>
    <row r="1679" spans="1:5" ht="14.25" hidden="1" customHeight="1">
      <c r="A1679" s="16">
        <v>33163552</v>
      </c>
      <c r="B1679" s="17" t="s">
        <v>190</v>
      </c>
      <c r="C1679" s="17" t="s">
        <v>743</v>
      </c>
      <c r="D1679" s="1" t="s">
        <v>6984</v>
      </c>
      <c r="E1679" s="35" t="s">
        <v>7012</v>
      </c>
    </row>
    <row r="1680" spans="1:5" ht="14.25" hidden="1" customHeight="1">
      <c r="A1680" s="155">
        <v>33163552</v>
      </c>
      <c r="B1680" s="173" t="s">
        <v>190</v>
      </c>
      <c r="C1680" s="173" t="s">
        <v>743</v>
      </c>
      <c r="D1680" s="173" t="s">
        <v>6984</v>
      </c>
      <c r="E1680" s="203">
        <v>43381</v>
      </c>
    </row>
    <row r="1681" spans="1:5" ht="14.25" hidden="1" customHeight="1">
      <c r="A1681" s="16">
        <v>11475984</v>
      </c>
      <c r="B1681" s="17" t="s">
        <v>3041</v>
      </c>
      <c r="C1681" s="17" t="s">
        <v>783</v>
      </c>
      <c r="D1681" s="1" t="s">
        <v>7011</v>
      </c>
      <c r="E1681" s="35" t="s">
        <v>7012</v>
      </c>
    </row>
    <row r="1682" spans="1:5" ht="14.25" hidden="1" customHeight="1">
      <c r="A1682" s="155">
        <v>11475984</v>
      </c>
      <c r="B1682" s="173" t="s">
        <v>3041</v>
      </c>
      <c r="C1682" s="173" t="s">
        <v>783</v>
      </c>
      <c r="D1682" s="173" t="s">
        <v>7011</v>
      </c>
      <c r="E1682" s="203">
        <v>43381</v>
      </c>
    </row>
    <row r="1683" spans="1:5" ht="14.25" hidden="1" customHeight="1">
      <c r="A1683" s="16">
        <v>12869656</v>
      </c>
      <c r="B1683" s="17" t="s">
        <v>1989</v>
      </c>
      <c r="C1683" s="17" t="s">
        <v>1990</v>
      </c>
      <c r="D1683" s="1" t="s">
        <v>7011</v>
      </c>
      <c r="E1683" s="35" t="s">
        <v>7012</v>
      </c>
    </row>
    <row r="1684" spans="1:5" ht="14.25" hidden="1" customHeight="1">
      <c r="A1684" s="155">
        <v>12869656</v>
      </c>
      <c r="B1684" s="173" t="s">
        <v>1989</v>
      </c>
      <c r="C1684" s="173" t="s">
        <v>1990</v>
      </c>
      <c r="D1684" s="173" t="s">
        <v>7011</v>
      </c>
      <c r="E1684" s="203">
        <v>43381</v>
      </c>
    </row>
    <row r="1685" spans="1:5" ht="14.25" hidden="1" customHeight="1">
      <c r="A1685" s="16">
        <v>14226566</v>
      </c>
      <c r="B1685" s="17" t="s">
        <v>547</v>
      </c>
      <c r="C1685" s="17" t="s">
        <v>2827</v>
      </c>
      <c r="D1685" s="1" t="s">
        <v>7011</v>
      </c>
      <c r="E1685" s="35" t="s">
        <v>7012</v>
      </c>
    </row>
    <row r="1686" spans="1:5" ht="14.25" hidden="1" customHeight="1">
      <c r="A1686" s="155">
        <v>14226566</v>
      </c>
      <c r="B1686" s="173" t="s">
        <v>547</v>
      </c>
      <c r="C1686" s="173" t="s">
        <v>2827</v>
      </c>
      <c r="D1686" s="173" t="s">
        <v>7011</v>
      </c>
      <c r="E1686" s="203">
        <v>43381</v>
      </c>
    </row>
    <row r="1687" spans="1:5" ht="14.25" hidden="1" customHeight="1">
      <c r="A1687" s="16">
        <v>16685130</v>
      </c>
      <c r="B1687" s="17" t="s">
        <v>2329</v>
      </c>
      <c r="C1687" s="17" t="s">
        <v>2330</v>
      </c>
      <c r="D1687" s="1" t="s">
        <v>7011</v>
      </c>
      <c r="E1687" s="35" t="s">
        <v>7012</v>
      </c>
    </row>
    <row r="1688" spans="1:5" ht="14.25" hidden="1" customHeight="1">
      <c r="A1688" s="155">
        <v>16685130</v>
      </c>
      <c r="B1688" s="173" t="s">
        <v>2329</v>
      </c>
      <c r="C1688" s="173" t="s">
        <v>2330</v>
      </c>
      <c r="D1688" s="173" t="s">
        <v>7011</v>
      </c>
      <c r="E1688" s="203">
        <v>43381</v>
      </c>
    </row>
    <row r="1689" spans="1:5" ht="14.25" hidden="1" customHeight="1">
      <c r="A1689" s="16">
        <v>20285028</v>
      </c>
      <c r="B1689" s="17" t="s">
        <v>927</v>
      </c>
      <c r="C1689" s="17" t="s">
        <v>4897</v>
      </c>
      <c r="D1689" s="5" t="s">
        <v>7011</v>
      </c>
      <c r="E1689" s="35" t="s">
        <v>7012</v>
      </c>
    </row>
    <row r="1690" spans="1:5" ht="14.25" hidden="1" customHeight="1">
      <c r="A1690" s="155">
        <v>20285028</v>
      </c>
      <c r="B1690" s="173" t="s">
        <v>927</v>
      </c>
      <c r="C1690" s="173" t="s">
        <v>4897</v>
      </c>
      <c r="D1690" s="173" t="s">
        <v>7011</v>
      </c>
      <c r="E1690" s="203">
        <v>43381</v>
      </c>
    </row>
    <row r="1691" spans="1:5" ht="14.25" hidden="1" customHeight="1">
      <c r="A1691" s="16">
        <v>27365353</v>
      </c>
      <c r="B1691" s="17" t="s">
        <v>5732</v>
      </c>
      <c r="C1691" s="17" t="s">
        <v>5733</v>
      </c>
      <c r="D1691" s="1" t="s">
        <v>7011</v>
      </c>
      <c r="E1691" s="35" t="s">
        <v>7012</v>
      </c>
    </row>
    <row r="1692" spans="1:5" ht="14.25" hidden="1" customHeight="1">
      <c r="A1692" s="155">
        <v>27365353</v>
      </c>
      <c r="B1692" s="173" t="s">
        <v>5732</v>
      </c>
      <c r="C1692" s="173" t="s">
        <v>5733</v>
      </c>
      <c r="D1692" s="173" t="s">
        <v>7011</v>
      </c>
      <c r="E1692" s="203">
        <v>43381</v>
      </c>
    </row>
    <row r="1693" spans="1:5" ht="14.25" hidden="1" customHeight="1">
      <c r="A1693" s="16">
        <v>27732258</v>
      </c>
      <c r="B1693" s="17" t="s">
        <v>1385</v>
      </c>
      <c r="C1693" s="17" t="s">
        <v>74</v>
      </c>
      <c r="D1693" s="1" t="s">
        <v>7011</v>
      </c>
      <c r="E1693" s="35" t="s">
        <v>7012</v>
      </c>
    </row>
    <row r="1694" spans="1:5" ht="14.25" hidden="1" customHeight="1">
      <c r="A1694" s="155">
        <v>27732258</v>
      </c>
      <c r="B1694" s="173" t="s">
        <v>1385</v>
      </c>
      <c r="C1694" s="173" t="s">
        <v>74</v>
      </c>
      <c r="D1694" s="173" t="s">
        <v>7011</v>
      </c>
      <c r="E1694" s="203">
        <v>43381</v>
      </c>
    </row>
    <row r="1695" spans="1:5" ht="14.25" hidden="1" customHeight="1">
      <c r="A1695" s="16">
        <v>29061095</v>
      </c>
      <c r="B1695" s="17" t="s">
        <v>1864</v>
      </c>
      <c r="C1695" s="17" t="s">
        <v>1585</v>
      </c>
      <c r="D1695" s="1" t="s">
        <v>7011</v>
      </c>
      <c r="E1695" s="35" t="s">
        <v>7012</v>
      </c>
    </row>
    <row r="1696" spans="1:5" ht="14.25" hidden="1" customHeight="1">
      <c r="A1696" s="155">
        <v>29061095</v>
      </c>
      <c r="B1696" s="173" t="s">
        <v>1864</v>
      </c>
      <c r="C1696" s="173" t="s">
        <v>1585</v>
      </c>
      <c r="D1696" s="173" t="s">
        <v>7011</v>
      </c>
      <c r="E1696" s="203">
        <v>43381</v>
      </c>
    </row>
    <row r="1697" spans="1:5" ht="14.25" hidden="1" customHeight="1">
      <c r="A1697" s="16">
        <v>32158209</v>
      </c>
      <c r="B1697" s="17" t="s">
        <v>1900</v>
      </c>
      <c r="C1697" s="17" t="s">
        <v>1901</v>
      </c>
      <c r="D1697" s="1" t="s">
        <v>7011</v>
      </c>
      <c r="E1697" s="35" t="s">
        <v>7012</v>
      </c>
    </row>
    <row r="1698" spans="1:5" ht="14.25" hidden="1" customHeight="1">
      <c r="A1698" s="155">
        <v>32158209</v>
      </c>
      <c r="B1698" s="173" t="s">
        <v>1900</v>
      </c>
      <c r="C1698" s="173" t="s">
        <v>1901</v>
      </c>
      <c r="D1698" s="173" t="s">
        <v>7011</v>
      </c>
      <c r="E1698" s="203">
        <v>43381</v>
      </c>
    </row>
    <row r="1699" spans="1:5" ht="14.25" hidden="1" customHeight="1">
      <c r="A1699" s="16">
        <v>12413084</v>
      </c>
      <c r="B1699" s="17" t="s">
        <v>5346</v>
      </c>
      <c r="C1699" s="17" t="s">
        <v>5347</v>
      </c>
      <c r="D1699" s="1" t="s">
        <v>7013</v>
      </c>
      <c r="E1699" s="35" t="s">
        <v>7014</v>
      </c>
    </row>
    <row r="1700" spans="1:5" ht="14.25" hidden="1" customHeight="1">
      <c r="A1700" s="155">
        <v>12413084</v>
      </c>
      <c r="B1700" s="173" t="s">
        <v>5346</v>
      </c>
      <c r="C1700" s="173" t="s">
        <v>5347</v>
      </c>
      <c r="D1700" s="173" t="s">
        <v>7013</v>
      </c>
      <c r="E1700" s="203">
        <v>43327</v>
      </c>
    </row>
    <row r="1701" spans="1:5" ht="14.25" hidden="1" customHeight="1">
      <c r="A1701" s="16">
        <v>12918409</v>
      </c>
      <c r="B1701" s="17" t="s">
        <v>3762</v>
      </c>
      <c r="C1701" s="17" t="s">
        <v>3763</v>
      </c>
      <c r="D1701" s="1" t="s">
        <v>7013</v>
      </c>
      <c r="E1701" s="35" t="s">
        <v>7014</v>
      </c>
    </row>
    <row r="1702" spans="1:5" ht="14.25" hidden="1" customHeight="1">
      <c r="A1702" s="155">
        <v>12918409</v>
      </c>
      <c r="B1702" s="173" t="s">
        <v>3762</v>
      </c>
      <c r="C1702" s="173" t="s">
        <v>3763</v>
      </c>
      <c r="D1702" s="173" t="s">
        <v>7013</v>
      </c>
      <c r="E1702" s="203">
        <v>43327</v>
      </c>
    </row>
    <row r="1703" spans="1:5" ht="14.25" hidden="1" customHeight="1">
      <c r="A1703" s="16">
        <v>14296958</v>
      </c>
      <c r="B1703" s="17" t="s">
        <v>5838</v>
      </c>
      <c r="C1703" s="17" t="s">
        <v>5839</v>
      </c>
      <c r="D1703" s="1" t="s">
        <v>7013</v>
      </c>
      <c r="E1703" s="35" t="s">
        <v>7014</v>
      </c>
    </row>
    <row r="1704" spans="1:5" ht="14.25" hidden="1" customHeight="1">
      <c r="A1704" s="155">
        <v>14296958</v>
      </c>
      <c r="B1704" s="173" t="s">
        <v>5838</v>
      </c>
      <c r="C1704" s="173" t="s">
        <v>5839</v>
      </c>
      <c r="D1704" s="173" t="s">
        <v>7013</v>
      </c>
      <c r="E1704" s="203">
        <v>43327</v>
      </c>
    </row>
    <row r="1705" spans="1:5" ht="14.25" hidden="1" customHeight="1">
      <c r="A1705" s="16">
        <v>14359850</v>
      </c>
      <c r="B1705" s="17" t="s">
        <v>5663</v>
      </c>
      <c r="C1705" s="17" t="s">
        <v>5664</v>
      </c>
      <c r="D1705" s="1" t="s">
        <v>7013</v>
      </c>
      <c r="E1705" s="35" t="s">
        <v>7014</v>
      </c>
    </row>
    <row r="1706" spans="1:5" ht="14.25" hidden="1" customHeight="1">
      <c r="A1706" s="155">
        <v>14359850</v>
      </c>
      <c r="B1706" s="173" t="s">
        <v>5663</v>
      </c>
      <c r="C1706" s="173" t="s">
        <v>5664</v>
      </c>
      <c r="D1706" s="173" t="s">
        <v>7013</v>
      </c>
      <c r="E1706" s="203">
        <v>43327</v>
      </c>
    </row>
    <row r="1707" spans="1:5" ht="14.25" hidden="1" customHeight="1">
      <c r="A1707" s="16">
        <v>14480444</v>
      </c>
      <c r="B1707" s="17" t="s">
        <v>5781</v>
      </c>
      <c r="C1707" s="17" t="s">
        <v>639</v>
      </c>
      <c r="D1707" s="1" t="s">
        <v>7013</v>
      </c>
      <c r="E1707" s="35" t="s">
        <v>7014</v>
      </c>
    </row>
    <row r="1708" spans="1:5" ht="14.25" hidden="1" customHeight="1">
      <c r="A1708" s="155">
        <v>14480444</v>
      </c>
      <c r="B1708" s="173" t="s">
        <v>5781</v>
      </c>
      <c r="C1708" s="173" t="s">
        <v>639</v>
      </c>
      <c r="D1708" s="173" t="s">
        <v>7013</v>
      </c>
      <c r="E1708" s="203">
        <v>43327</v>
      </c>
    </row>
    <row r="1709" spans="1:5" ht="14.25" hidden="1" customHeight="1">
      <c r="A1709" s="16">
        <v>14660614</v>
      </c>
      <c r="B1709" s="17" t="s">
        <v>2355</v>
      </c>
      <c r="C1709" s="17" t="s">
        <v>2356</v>
      </c>
      <c r="D1709" s="1" t="s">
        <v>7013</v>
      </c>
      <c r="E1709" s="35" t="s">
        <v>7014</v>
      </c>
    </row>
    <row r="1710" spans="1:5" ht="14.25" hidden="1" customHeight="1">
      <c r="A1710" s="155">
        <v>14660614</v>
      </c>
      <c r="B1710" s="173" t="s">
        <v>2355</v>
      </c>
      <c r="C1710" s="173" t="s">
        <v>2356</v>
      </c>
      <c r="D1710" s="173" t="s">
        <v>7013</v>
      </c>
      <c r="E1710" s="203">
        <v>43327</v>
      </c>
    </row>
    <row r="1711" spans="1:5" ht="14.25" hidden="1" customHeight="1">
      <c r="A1711" s="16">
        <v>16617561</v>
      </c>
      <c r="B1711" s="17" t="s">
        <v>4445</v>
      </c>
      <c r="C1711" s="17" t="s">
        <v>4446</v>
      </c>
      <c r="D1711" s="1" t="s">
        <v>7013</v>
      </c>
      <c r="E1711" s="35" t="s">
        <v>7014</v>
      </c>
    </row>
    <row r="1712" spans="1:5" ht="14.25" hidden="1" customHeight="1">
      <c r="A1712" s="155">
        <v>16617561</v>
      </c>
      <c r="B1712" s="173" t="s">
        <v>4445</v>
      </c>
      <c r="C1712" s="173" t="s">
        <v>4446</v>
      </c>
      <c r="D1712" s="173" t="s">
        <v>7013</v>
      </c>
      <c r="E1712" s="203">
        <v>43327</v>
      </c>
    </row>
    <row r="1713" spans="1:5" ht="14.25" hidden="1" customHeight="1">
      <c r="A1713" s="16">
        <v>16811619</v>
      </c>
      <c r="B1713" s="17" t="s">
        <v>811</v>
      </c>
      <c r="C1713" s="17" t="s">
        <v>2295</v>
      </c>
      <c r="D1713" s="1" t="s">
        <v>7013</v>
      </c>
      <c r="E1713" s="35" t="s">
        <v>7014</v>
      </c>
    </row>
    <row r="1714" spans="1:5" ht="14.25" hidden="1" customHeight="1">
      <c r="A1714" s="155">
        <v>16811619</v>
      </c>
      <c r="B1714" s="173" t="s">
        <v>811</v>
      </c>
      <c r="C1714" s="173" t="s">
        <v>2295</v>
      </c>
      <c r="D1714" s="173" t="s">
        <v>7013</v>
      </c>
      <c r="E1714" s="203">
        <v>43327</v>
      </c>
    </row>
    <row r="1715" spans="1:5" ht="14.25" hidden="1" customHeight="1">
      <c r="A1715" s="16">
        <v>17293872</v>
      </c>
      <c r="B1715" s="17" t="s">
        <v>47</v>
      </c>
      <c r="C1715" s="17" t="s">
        <v>4259</v>
      </c>
      <c r="D1715" s="1" t="s">
        <v>7013</v>
      </c>
      <c r="E1715" s="35" t="s">
        <v>7014</v>
      </c>
    </row>
    <row r="1716" spans="1:5" ht="14.25" hidden="1" customHeight="1">
      <c r="A1716" s="155">
        <v>17293872</v>
      </c>
      <c r="B1716" s="173" t="s">
        <v>47</v>
      </c>
      <c r="C1716" s="173" t="s">
        <v>4259</v>
      </c>
      <c r="D1716" s="173" t="s">
        <v>7013</v>
      </c>
      <c r="E1716" s="203">
        <v>43327</v>
      </c>
    </row>
    <row r="1717" spans="1:5" ht="14.25" hidden="1" customHeight="1">
      <c r="A1717" s="16">
        <v>17613465</v>
      </c>
      <c r="B1717" s="17" t="s">
        <v>2840</v>
      </c>
      <c r="C1717" s="17" t="s">
        <v>687</v>
      </c>
      <c r="D1717" s="1" t="s">
        <v>7013</v>
      </c>
      <c r="E1717" s="35" t="s">
        <v>7014</v>
      </c>
    </row>
    <row r="1718" spans="1:5" ht="14.25" hidden="1" customHeight="1">
      <c r="A1718" s="155">
        <v>17613465</v>
      </c>
      <c r="B1718" s="173" t="s">
        <v>2840</v>
      </c>
      <c r="C1718" s="173" t="s">
        <v>687</v>
      </c>
      <c r="D1718" s="173" t="s">
        <v>7013</v>
      </c>
      <c r="E1718" s="203">
        <v>43327</v>
      </c>
    </row>
    <row r="1719" spans="1:5" ht="14.25" hidden="1" customHeight="1">
      <c r="A1719" s="16">
        <v>20178395</v>
      </c>
      <c r="B1719" s="17" t="s">
        <v>2358</v>
      </c>
      <c r="C1719" s="17" t="s">
        <v>902</v>
      </c>
      <c r="D1719" s="1" t="s">
        <v>7013</v>
      </c>
      <c r="E1719" s="35" t="s">
        <v>7014</v>
      </c>
    </row>
    <row r="1720" spans="1:5" ht="14.25" hidden="1" customHeight="1">
      <c r="A1720" s="155">
        <v>20178395</v>
      </c>
      <c r="B1720" s="173" t="s">
        <v>2358</v>
      </c>
      <c r="C1720" s="173" t="s">
        <v>902</v>
      </c>
      <c r="D1720" s="173" t="s">
        <v>7013</v>
      </c>
      <c r="E1720" s="203">
        <v>43327</v>
      </c>
    </row>
    <row r="1721" spans="1:5" ht="14.25" hidden="1" customHeight="1">
      <c r="A1721" s="16">
        <v>21328591</v>
      </c>
      <c r="B1721" s="17" t="s">
        <v>3975</v>
      </c>
      <c r="C1721" s="17" t="s">
        <v>571</v>
      </c>
      <c r="D1721" s="1" t="s">
        <v>7013</v>
      </c>
      <c r="E1721" s="35" t="s">
        <v>7014</v>
      </c>
    </row>
    <row r="1722" spans="1:5" ht="14.25" hidden="1" customHeight="1">
      <c r="A1722" s="155">
        <v>21328591</v>
      </c>
      <c r="B1722" s="173" t="s">
        <v>3975</v>
      </c>
      <c r="C1722" s="173" t="s">
        <v>571</v>
      </c>
      <c r="D1722" s="173" t="s">
        <v>7013</v>
      </c>
      <c r="E1722" s="203">
        <v>43327</v>
      </c>
    </row>
    <row r="1723" spans="1:5" ht="14.25" hidden="1" customHeight="1">
      <c r="A1723" s="16">
        <v>21329323</v>
      </c>
      <c r="B1723" s="17" t="s">
        <v>4646</v>
      </c>
      <c r="C1723" s="17" t="s">
        <v>2447</v>
      </c>
      <c r="D1723" s="1" t="s">
        <v>7013</v>
      </c>
      <c r="E1723" s="35" t="s">
        <v>7014</v>
      </c>
    </row>
    <row r="1724" spans="1:5" ht="14.25" hidden="1" customHeight="1">
      <c r="A1724" s="155">
        <v>21329323</v>
      </c>
      <c r="B1724" s="173" t="s">
        <v>4646</v>
      </c>
      <c r="C1724" s="173" t="s">
        <v>2447</v>
      </c>
      <c r="D1724" s="173" t="s">
        <v>7013</v>
      </c>
      <c r="E1724" s="203">
        <v>43327</v>
      </c>
    </row>
    <row r="1725" spans="1:5" ht="14.25" hidden="1" customHeight="1">
      <c r="A1725" s="16">
        <v>21846191</v>
      </c>
      <c r="B1725" s="17" t="s">
        <v>4330</v>
      </c>
      <c r="C1725" s="17" t="s">
        <v>4331</v>
      </c>
      <c r="D1725" s="1" t="s">
        <v>7013</v>
      </c>
      <c r="E1725" s="35" t="s">
        <v>7014</v>
      </c>
    </row>
    <row r="1726" spans="1:5" ht="14.25" hidden="1" customHeight="1">
      <c r="A1726" s="155">
        <v>21846191</v>
      </c>
      <c r="B1726" s="173" t="s">
        <v>4330</v>
      </c>
      <c r="C1726" s="173" t="s">
        <v>4331</v>
      </c>
      <c r="D1726" s="173" t="s">
        <v>7013</v>
      </c>
      <c r="E1726" s="203">
        <v>43327</v>
      </c>
    </row>
    <row r="1727" spans="1:5" ht="14.25" hidden="1" customHeight="1">
      <c r="A1727" s="16">
        <v>22211664</v>
      </c>
      <c r="B1727" s="17" t="s">
        <v>5551</v>
      </c>
      <c r="C1727" s="17" t="s">
        <v>5552</v>
      </c>
      <c r="D1727" s="1" t="s">
        <v>7013</v>
      </c>
      <c r="E1727" s="35" t="s">
        <v>7014</v>
      </c>
    </row>
    <row r="1728" spans="1:5" ht="14.25" hidden="1" customHeight="1">
      <c r="A1728" s="155">
        <v>22211664</v>
      </c>
      <c r="B1728" s="173" t="s">
        <v>5551</v>
      </c>
      <c r="C1728" s="173" t="s">
        <v>5552</v>
      </c>
      <c r="D1728" s="173" t="s">
        <v>7013</v>
      </c>
      <c r="E1728" s="203">
        <v>43327</v>
      </c>
    </row>
    <row r="1729" spans="1:5" ht="14.25" hidden="1" customHeight="1">
      <c r="A1729" s="16">
        <v>22264316</v>
      </c>
      <c r="B1729" s="17" t="s">
        <v>2687</v>
      </c>
      <c r="C1729" s="17" t="s">
        <v>2688</v>
      </c>
      <c r="D1729" s="1" t="s">
        <v>7013</v>
      </c>
      <c r="E1729" s="35" t="s">
        <v>7014</v>
      </c>
    </row>
    <row r="1730" spans="1:5" ht="14.25" hidden="1" customHeight="1">
      <c r="A1730" s="155">
        <v>22264316</v>
      </c>
      <c r="B1730" s="173" t="s">
        <v>2687</v>
      </c>
      <c r="C1730" s="173" t="s">
        <v>2688</v>
      </c>
      <c r="D1730" s="173" t="s">
        <v>7013</v>
      </c>
      <c r="E1730" s="203">
        <v>43327</v>
      </c>
    </row>
    <row r="1731" spans="1:5" ht="14.25" hidden="1" customHeight="1">
      <c r="A1731" s="16">
        <v>23238026</v>
      </c>
      <c r="B1731" s="17" t="s">
        <v>4893</v>
      </c>
      <c r="C1731" s="17" t="s">
        <v>1535</v>
      </c>
      <c r="D1731" s="1" t="s">
        <v>7013</v>
      </c>
      <c r="E1731" s="35" t="s">
        <v>7014</v>
      </c>
    </row>
    <row r="1732" spans="1:5" ht="14.25" hidden="1" customHeight="1">
      <c r="A1732" s="155">
        <v>23238026</v>
      </c>
      <c r="B1732" s="173" t="s">
        <v>4893</v>
      </c>
      <c r="C1732" s="173" t="s">
        <v>1535</v>
      </c>
      <c r="D1732" s="173" t="s">
        <v>7013</v>
      </c>
      <c r="E1732" s="203">
        <v>43327</v>
      </c>
    </row>
    <row r="1733" spans="1:5" ht="14.25" hidden="1" customHeight="1">
      <c r="A1733" s="16">
        <v>23931160</v>
      </c>
      <c r="B1733" s="17" t="s">
        <v>4673</v>
      </c>
      <c r="C1733" s="17" t="s">
        <v>3888</v>
      </c>
      <c r="D1733" s="1" t="s">
        <v>7013</v>
      </c>
      <c r="E1733" s="35" t="s">
        <v>7014</v>
      </c>
    </row>
    <row r="1734" spans="1:5" ht="14.25" hidden="1" customHeight="1">
      <c r="A1734" s="155">
        <v>23931160</v>
      </c>
      <c r="B1734" s="173" t="s">
        <v>4673</v>
      </c>
      <c r="C1734" s="173" t="s">
        <v>3888</v>
      </c>
      <c r="D1734" s="173" t="s">
        <v>7013</v>
      </c>
      <c r="E1734" s="203">
        <v>43327</v>
      </c>
    </row>
    <row r="1735" spans="1:5" ht="14.25" hidden="1" customHeight="1">
      <c r="A1735" s="16">
        <v>24830971</v>
      </c>
      <c r="B1735" s="17" t="s">
        <v>4333</v>
      </c>
      <c r="C1735" s="17" t="s">
        <v>4334</v>
      </c>
      <c r="D1735" s="1" t="s">
        <v>7013</v>
      </c>
      <c r="E1735" s="35" t="s">
        <v>7014</v>
      </c>
    </row>
    <row r="1736" spans="1:5" ht="14.25" hidden="1" customHeight="1">
      <c r="A1736" s="155">
        <v>24830971</v>
      </c>
      <c r="B1736" s="173" t="s">
        <v>4333</v>
      </c>
      <c r="C1736" s="173" t="s">
        <v>4334</v>
      </c>
      <c r="D1736" s="173" t="s">
        <v>7013</v>
      </c>
      <c r="E1736" s="203">
        <v>43327</v>
      </c>
    </row>
    <row r="1737" spans="1:5" ht="14.25" hidden="1" customHeight="1">
      <c r="A1737" s="16">
        <v>25211601</v>
      </c>
      <c r="B1737" s="17" t="s">
        <v>1957</v>
      </c>
      <c r="C1737" s="17" t="s">
        <v>1958</v>
      </c>
      <c r="D1737" s="1" t="s">
        <v>7013</v>
      </c>
      <c r="E1737" s="35" t="s">
        <v>7014</v>
      </c>
    </row>
    <row r="1738" spans="1:5" ht="14.25" hidden="1" customHeight="1">
      <c r="A1738" s="155">
        <v>25211601</v>
      </c>
      <c r="B1738" s="173" t="s">
        <v>1957</v>
      </c>
      <c r="C1738" s="173" t="s">
        <v>1958</v>
      </c>
      <c r="D1738" s="173" t="s">
        <v>7013</v>
      </c>
      <c r="E1738" s="203">
        <v>43327</v>
      </c>
    </row>
    <row r="1739" spans="1:5" ht="14.25" hidden="1" customHeight="1">
      <c r="A1739" s="16">
        <v>25843239</v>
      </c>
      <c r="B1739" s="17" t="s">
        <v>4874</v>
      </c>
      <c r="C1739" s="17" t="s">
        <v>4875</v>
      </c>
      <c r="D1739" s="1" t="s">
        <v>7013</v>
      </c>
      <c r="E1739" s="35" t="s">
        <v>7014</v>
      </c>
    </row>
    <row r="1740" spans="1:5" ht="14.25" hidden="1" customHeight="1">
      <c r="A1740" s="155">
        <v>25843239</v>
      </c>
      <c r="B1740" s="173" t="s">
        <v>4874</v>
      </c>
      <c r="C1740" s="173" t="s">
        <v>4875</v>
      </c>
      <c r="D1740" s="173" t="s">
        <v>7013</v>
      </c>
      <c r="E1740" s="203">
        <v>43327</v>
      </c>
    </row>
    <row r="1741" spans="1:5" ht="14.25" hidden="1" customHeight="1">
      <c r="A1741" s="16">
        <v>27365139</v>
      </c>
      <c r="B1741" s="17" t="s">
        <v>195</v>
      </c>
      <c r="C1741" s="17" t="s">
        <v>1710</v>
      </c>
      <c r="D1741" s="1" t="s">
        <v>7013</v>
      </c>
      <c r="E1741" s="35" t="s">
        <v>7014</v>
      </c>
    </row>
    <row r="1742" spans="1:5" ht="14.25" hidden="1" customHeight="1">
      <c r="A1742" s="155">
        <v>27365139</v>
      </c>
      <c r="B1742" s="173" t="s">
        <v>195</v>
      </c>
      <c r="C1742" s="173" t="s">
        <v>1710</v>
      </c>
      <c r="D1742" s="173" t="s">
        <v>7013</v>
      </c>
      <c r="E1742" s="203">
        <v>43327</v>
      </c>
    </row>
    <row r="1743" spans="1:5" ht="14.25" hidden="1" customHeight="1">
      <c r="A1743" s="16">
        <v>29533058</v>
      </c>
      <c r="B1743" s="17" t="s">
        <v>146</v>
      </c>
      <c r="C1743" s="17" t="s">
        <v>147</v>
      </c>
      <c r="D1743" s="1" t="s">
        <v>7013</v>
      </c>
      <c r="E1743" s="35" t="s">
        <v>7014</v>
      </c>
    </row>
    <row r="1744" spans="1:5" ht="14.25" hidden="1" customHeight="1">
      <c r="A1744" s="155">
        <v>29533058</v>
      </c>
      <c r="B1744" s="173" t="s">
        <v>146</v>
      </c>
      <c r="C1744" s="173" t="s">
        <v>147</v>
      </c>
      <c r="D1744" s="173" t="s">
        <v>7013</v>
      </c>
      <c r="E1744" s="203">
        <v>43327</v>
      </c>
    </row>
    <row r="1745" spans="1:5" ht="14.25" hidden="1" customHeight="1">
      <c r="A1745" s="16">
        <v>31425939</v>
      </c>
      <c r="B1745" s="17" t="s">
        <v>218</v>
      </c>
      <c r="C1745" s="17" t="s">
        <v>1741</v>
      </c>
      <c r="D1745" s="1" t="s">
        <v>7013</v>
      </c>
      <c r="E1745" s="35" t="s">
        <v>7014</v>
      </c>
    </row>
    <row r="1746" spans="1:5" ht="14.25" hidden="1" customHeight="1">
      <c r="A1746" s="155">
        <v>31425939</v>
      </c>
      <c r="B1746" s="173" t="s">
        <v>218</v>
      </c>
      <c r="C1746" s="173" t="s">
        <v>1741</v>
      </c>
      <c r="D1746" s="173" t="s">
        <v>7013</v>
      </c>
      <c r="E1746" s="203">
        <v>43327</v>
      </c>
    </row>
    <row r="1747" spans="1:5" ht="14.25" hidden="1" customHeight="1">
      <c r="A1747" s="16">
        <v>33756495</v>
      </c>
      <c r="B1747" s="17" t="s">
        <v>1385</v>
      </c>
      <c r="C1747" s="17" t="s">
        <v>1867</v>
      </c>
      <c r="D1747" s="1" t="s">
        <v>7013</v>
      </c>
      <c r="E1747" s="35" t="s">
        <v>7014</v>
      </c>
    </row>
    <row r="1748" spans="1:5" ht="14.25" hidden="1" customHeight="1">
      <c r="A1748" s="155">
        <v>33756495</v>
      </c>
      <c r="B1748" s="173" t="s">
        <v>1385</v>
      </c>
      <c r="C1748" s="173" t="s">
        <v>1867</v>
      </c>
      <c r="D1748" s="173" t="s">
        <v>7013</v>
      </c>
      <c r="E1748" s="203">
        <v>43327</v>
      </c>
    </row>
    <row r="1749" spans="1:5" ht="14.25" hidden="1" customHeight="1">
      <c r="A1749" s="16">
        <v>36838188</v>
      </c>
      <c r="B1749" s="17" t="s">
        <v>875</v>
      </c>
      <c r="C1749" s="17" t="s">
        <v>3409</v>
      </c>
      <c r="D1749" s="1" t="s">
        <v>7013</v>
      </c>
      <c r="E1749" s="35" t="s">
        <v>7014</v>
      </c>
    </row>
    <row r="1750" spans="1:5" ht="14.25" hidden="1" customHeight="1">
      <c r="A1750" s="155">
        <v>36838188</v>
      </c>
      <c r="B1750" s="173" t="s">
        <v>875</v>
      </c>
      <c r="C1750" s="173" t="s">
        <v>3409</v>
      </c>
      <c r="D1750" s="173" t="s">
        <v>7013</v>
      </c>
      <c r="E1750" s="203">
        <v>43327</v>
      </c>
    </row>
    <row r="1751" spans="1:5" ht="14.25" hidden="1" customHeight="1">
      <c r="A1751" s="16">
        <v>12597724</v>
      </c>
      <c r="B1751" s="17" t="s">
        <v>760</v>
      </c>
      <c r="C1751" s="17" t="s">
        <v>4424</v>
      </c>
      <c r="D1751" s="1" t="s">
        <v>7016</v>
      </c>
      <c r="E1751" s="35" t="s">
        <v>7017</v>
      </c>
    </row>
    <row r="1752" spans="1:5" ht="14.25" hidden="1" customHeight="1">
      <c r="A1752" s="155">
        <v>12597724</v>
      </c>
      <c r="B1752" s="173" t="s">
        <v>760</v>
      </c>
      <c r="C1752" s="173" t="s">
        <v>4424</v>
      </c>
      <c r="D1752" s="173" t="s">
        <v>7016</v>
      </c>
      <c r="E1752" s="203">
        <v>43321</v>
      </c>
    </row>
    <row r="1753" spans="1:5" ht="14.25" hidden="1" customHeight="1">
      <c r="A1753" s="16">
        <v>25444256</v>
      </c>
      <c r="B1753" s="17" t="s">
        <v>5764</v>
      </c>
      <c r="C1753" s="17" t="s">
        <v>5765</v>
      </c>
      <c r="D1753" s="1" t="s">
        <v>7016</v>
      </c>
      <c r="E1753" s="35" t="s">
        <v>7017</v>
      </c>
    </row>
    <row r="1754" spans="1:5" ht="14.25" hidden="1" customHeight="1">
      <c r="A1754" s="155">
        <v>25444256</v>
      </c>
      <c r="B1754" s="173" t="s">
        <v>5764</v>
      </c>
      <c r="C1754" s="173" t="s">
        <v>5765</v>
      </c>
      <c r="D1754" s="173" t="s">
        <v>7016</v>
      </c>
      <c r="E1754" s="203">
        <v>43321</v>
      </c>
    </row>
    <row r="1755" spans="1:5" ht="14.25" hidden="1" customHeight="1">
      <c r="A1755" s="16">
        <v>26028695</v>
      </c>
      <c r="B1755" s="17" t="s">
        <v>1680</v>
      </c>
      <c r="C1755" s="17" t="s">
        <v>1681</v>
      </c>
      <c r="D1755" s="1" t="s">
        <v>7016</v>
      </c>
      <c r="E1755" s="35" t="s">
        <v>7017</v>
      </c>
    </row>
    <row r="1756" spans="1:5" ht="14.25" hidden="1" customHeight="1">
      <c r="A1756" s="155">
        <v>26028695</v>
      </c>
      <c r="B1756" s="173" t="s">
        <v>1680</v>
      </c>
      <c r="C1756" s="173" t="s">
        <v>1681</v>
      </c>
      <c r="D1756" s="173" t="s">
        <v>7016</v>
      </c>
      <c r="E1756" s="203">
        <v>43321</v>
      </c>
    </row>
    <row r="1757" spans="1:5" ht="14.25" hidden="1" customHeight="1">
      <c r="A1757" s="155">
        <v>30497540</v>
      </c>
      <c r="B1757" s="173" t="s">
        <v>6606</v>
      </c>
      <c r="C1757" s="173" t="s">
        <v>6607</v>
      </c>
      <c r="D1757" s="173" t="s">
        <v>7016</v>
      </c>
      <c r="E1757" s="203">
        <v>43321</v>
      </c>
    </row>
    <row r="1758" spans="1:5" ht="14.25" hidden="1" customHeight="1">
      <c r="A1758" s="16">
        <v>12540739</v>
      </c>
      <c r="B1758" s="17" t="s">
        <v>4759</v>
      </c>
      <c r="C1758" s="17" t="s">
        <v>4760</v>
      </c>
      <c r="D1758" s="1" t="s">
        <v>7018</v>
      </c>
      <c r="E1758" s="35" t="s">
        <v>7019</v>
      </c>
    </row>
    <row r="1759" spans="1:5" ht="14.25" hidden="1" customHeight="1">
      <c r="A1759" s="155">
        <v>12540739</v>
      </c>
      <c r="B1759" s="173" t="s">
        <v>4759</v>
      </c>
      <c r="C1759" s="173" t="s">
        <v>4760</v>
      </c>
      <c r="D1759" s="173" t="s">
        <v>7018</v>
      </c>
      <c r="E1759" s="203">
        <v>43319</v>
      </c>
    </row>
    <row r="1760" spans="1:5" ht="14.25" hidden="1" customHeight="1">
      <c r="A1760" s="16">
        <v>14480478</v>
      </c>
      <c r="B1760" s="17" t="s">
        <v>4603</v>
      </c>
      <c r="C1760" s="17" t="s">
        <v>708</v>
      </c>
      <c r="D1760" s="1" t="s">
        <v>7018</v>
      </c>
      <c r="E1760" s="35" t="s">
        <v>7019</v>
      </c>
    </row>
    <row r="1761" spans="1:5" ht="14.25" hidden="1" customHeight="1">
      <c r="A1761" s="155">
        <v>14480478</v>
      </c>
      <c r="B1761" s="173" t="s">
        <v>4603</v>
      </c>
      <c r="C1761" s="173" t="s">
        <v>708</v>
      </c>
      <c r="D1761" s="173" t="s">
        <v>7018</v>
      </c>
      <c r="E1761" s="203">
        <v>43319</v>
      </c>
    </row>
    <row r="1762" spans="1:5" ht="14.25" hidden="1" customHeight="1">
      <c r="A1762" s="16">
        <v>16008463</v>
      </c>
      <c r="B1762" s="17" t="s">
        <v>1774</v>
      </c>
      <c r="C1762" s="17" t="s">
        <v>5624</v>
      </c>
      <c r="D1762" s="1" t="s">
        <v>7018</v>
      </c>
      <c r="E1762" s="35" t="s">
        <v>7019</v>
      </c>
    </row>
    <row r="1763" spans="1:5" ht="14.25" hidden="1" customHeight="1">
      <c r="A1763" s="16">
        <v>16008463</v>
      </c>
      <c r="B1763" s="17" t="s">
        <v>1774</v>
      </c>
      <c r="C1763" s="17" t="s">
        <v>5624</v>
      </c>
      <c r="D1763" s="1" t="s">
        <v>7018</v>
      </c>
      <c r="E1763" s="35" t="s">
        <v>7019</v>
      </c>
    </row>
    <row r="1764" spans="1:5" ht="14.25" hidden="1" customHeight="1">
      <c r="A1764" s="155">
        <v>16008463</v>
      </c>
      <c r="B1764" s="173" t="s">
        <v>1774</v>
      </c>
      <c r="C1764" s="173" t="s">
        <v>5624</v>
      </c>
      <c r="D1764" s="173" t="s">
        <v>7018</v>
      </c>
      <c r="E1764" s="203">
        <v>43319</v>
      </c>
    </row>
    <row r="1765" spans="1:5" ht="14.25" hidden="1" customHeight="1">
      <c r="A1765" s="155">
        <v>16008463</v>
      </c>
      <c r="B1765" s="173" t="s">
        <v>1774</v>
      </c>
      <c r="C1765" s="173" t="s">
        <v>5624</v>
      </c>
      <c r="D1765" s="173" t="s">
        <v>7018</v>
      </c>
      <c r="E1765" s="203">
        <v>43319</v>
      </c>
    </row>
    <row r="1766" spans="1:5" ht="14.25" hidden="1" customHeight="1">
      <c r="A1766" s="16">
        <v>22877621</v>
      </c>
      <c r="B1766" s="17" t="s">
        <v>2454</v>
      </c>
      <c r="C1766" s="17" t="s">
        <v>106</v>
      </c>
      <c r="D1766" s="1" t="s">
        <v>7018</v>
      </c>
      <c r="E1766" s="35" t="s">
        <v>7019</v>
      </c>
    </row>
    <row r="1767" spans="1:5" ht="14.25" hidden="1" customHeight="1">
      <c r="A1767" s="155">
        <v>22877621</v>
      </c>
      <c r="B1767" s="173" t="s">
        <v>2454</v>
      </c>
      <c r="C1767" s="173" t="s">
        <v>106</v>
      </c>
      <c r="D1767" s="173" t="s">
        <v>7018</v>
      </c>
      <c r="E1767" s="203">
        <v>43319</v>
      </c>
    </row>
    <row r="1768" spans="1:5" ht="14.25" hidden="1" customHeight="1">
      <c r="A1768" s="16">
        <v>24200086</v>
      </c>
      <c r="B1768" s="17" t="s">
        <v>2364</v>
      </c>
      <c r="C1768" s="17" t="s">
        <v>2365</v>
      </c>
      <c r="D1768" s="1" t="s">
        <v>7018</v>
      </c>
      <c r="E1768" s="35" t="s">
        <v>7019</v>
      </c>
    </row>
    <row r="1769" spans="1:5" ht="14.25" hidden="1" customHeight="1">
      <c r="A1769" s="155">
        <v>24200086</v>
      </c>
      <c r="B1769" s="173" t="s">
        <v>2364</v>
      </c>
      <c r="C1769" s="173" t="s">
        <v>2365</v>
      </c>
      <c r="D1769" s="173" t="s">
        <v>7018</v>
      </c>
      <c r="E1769" s="203">
        <v>43319</v>
      </c>
    </row>
    <row r="1770" spans="1:5" ht="14.25" hidden="1" customHeight="1">
      <c r="A1770" s="16">
        <v>24200921</v>
      </c>
      <c r="B1770" s="17" t="s">
        <v>4784</v>
      </c>
      <c r="C1770" s="17" t="s">
        <v>1085</v>
      </c>
      <c r="D1770" s="1" t="s">
        <v>7018</v>
      </c>
      <c r="E1770" s="35" t="s">
        <v>7019</v>
      </c>
    </row>
    <row r="1771" spans="1:5" ht="14.25" hidden="1" customHeight="1">
      <c r="A1771" s="155">
        <v>24200921</v>
      </c>
      <c r="B1771" s="173" t="s">
        <v>4784</v>
      </c>
      <c r="C1771" s="173" t="s">
        <v>1085</v>
      </c>
      <c r="D1771" s="173" t="s">
        <v>7018</v>
      </c>
      <c r="E1771" s="203">
        <v>43319</v>
      </c>
    </row>
    <row r="1772" spans="1:5" ht="14.25" hidden="1" customHeight="1">
      <c r="A1772" s="16">
        <v>25735232</v>
      </c>
      <c r="B1772" s="17" t="s">
        <v>875</v>
      </c>
      <c r="C1772" s="17" t="s">
        <v>5286</v>
      </c>
      <c r="D1772" s="1" t="s">
        <v>7018</v>
      </c>
      <c r="E1772" s="35" t="s">
        <v>7019</v>
      </c>
    </row>
    <row r="1773" spans="1:5" ht="14.25" hidden="1" customHeight="1">
      <c r="A1773" s="155">
        <v>25735232</v>
      </c>
      <c r="B1773" s="173" t="s">
        <v>875</v>
      </c>
      <c r="C1773" s="173" t="s">
        <v>5286</v>
      </c>
      <c r="D1773" s="173" t="s">
        <v>7018</v>
      </c>
      <c r="E1773" s="203">
        <v>43319</v>
      </c>
    </row>
    <row r="1774" spans="1:5" ht="14.25" hidden="1" customHeight="1">
      <c r="A1774" s="16">
        <v>25735665</v>
      </c>
      <c r="B1774" s="17" t="s">
        <v>734</v>
      </c>
      <c r="C1774" s="17" t="s">
        <v>737</v>
      </c>
      <c r="D1774" s="1" t="s">
        <v>7018</v>
      </c>
      <c r="E1774" s="35" t="s">
        <v>7019</v>
      </c>
    </row>
    <row r="1775" spans="1:5" ht="14.25" hidden="1" customHeight="1">
      <c r="A1775" s="155">
        <v>25735665</v>
      </c>
      <c r="B1775" s="173" t="s">
        <v>734</v>
      </c>
      <c r="C1775" s="173" t="s">
        <v>737</v>
      </c>
      <c r="D1775" s="173" t="s">
        <v>7018</v>
      </c>
      <c r="E1775" s="203">
        <v>43319</v>
      </c>
    </row>
    <row r="1776" spans="1:5" ht="14.25" hidden="1" customHeight="1">
      <c r="A1776" s="16">
        <v>27206962</v>
      </c>
      <c r="B1776" s="17" t="s">
        <v>2774</v>
      </c>
      <c r="C1776" s="17" t="s">
        <v>2775</v>
      </c>
      <c r="D1776" s="1" t="s">
        <v>7018</v>
      </c>
      <c r="E1776" s="35" t="s">
        <v>7019</v>
      </c>
    </row>
    <row r="1777" spans="1:5" ht="14.25" hidden="1" customHeight="1">
      <c r="A1777" s="155">
        <v>27206962</v>
      </c>
      <c r="B1777" s="173" t="s">
        <v>2774</v>
      </c>
      <c r="C1777" s="173" t="s">
        <v>2775</v>
      </c>
      <c r="D1777" s="173" t="s">
        <v>7018</v>
      </c>
      <c r="E1777" s="203">
        <v>43319</v>
      </c>
    </row>
    <row r="1778" spans="1:5" ht="14.25" hidden="1" customHeight="1">
      <c r="A1778" s="16">
        <v>28053203</v>
      </c>
      <c r="B1778" s="17" t="s">
        <v>327</v>
      </c>
      <c r="C1778" s="17" t="s">
        <v>4495</v>
      </c>
      <c r="D1778" s="1" t="s">
        <v>7018</v>
      </c>
      <c r="E1778" s="35" t="s">
        <v>7019</v>
      </c>
    </row>
    <row r="1779" spans="1:5" ht="14.25" hidden="1" customHeight="1">
      <c r="A1779" s="155">
        <v>28053203</v>
      </c>
      <c r="B1779" s="173" t="s">
        <v>327</v>
      </c>
      <c r="C1779" s="173" t="s">
        <v>4495</v>
      </c>
      <c r="D1779" s="173" t="s">
        <v>7018</v>
      </c>
      <c r="E1779" s="203">
        <v>43319</v>
      </c>
    </row>
    <row r="1780" spans="1:5" ht="14.25" hidden="1" customHeight="1">
      <c r="A1780" s="16">
        <v>31425836</v>
      </c>
      <c r="B1780" s="17" t="s">
        <v>4067</v>
      </c>
      <c r="C1780" s="17" t="s">
        <v>4068</v>
      </c>
      <c r="D1780" s="1" t="s">
        <v>7018</v>
      </c>
      <c r="E1780" s="35" t="s">
        <v>7019</v>
      </c>
    </row>
    <row r="1781" spans="1:5" ht="14.25" hidden="1" customHeight="1">
      <c r="A1781" s="155">
        <v>31425836</v>
      </c>
      <c r="B1781" s="173" t="s">
        <v>4067</v>
      </c>
      <c r="C1781" s="173" t="s">
        <v>4068</v>
      </c>
      <c r="D1781" s="173" t="s">
        <v>7018</v>
      </c>
      <c r="E1781" s="203">
        <v>43319</v>
      </c>
    </row>
    <row r="1782" spans="1:5" ht="14.25" hidden="1" customHeight="1">
      <c r="A1782" s="16">
        <v>33091069</v>
      </c>
      <c r="B1782" s="17" t="s">
        <v>267</v>
      </c>
      <c r="C1782" s="17" t="s">
        <v>1756</v>
      </c>
      <c r="D1782" s="1" t="s">
        <v>7018</v>
      </c>
      <c r="E1782" s="35" t="s">
        <v>7019</v>
      </c>
    </row>
    <row r="1783" spans="1:5" ht="14.25" hidden="1" customHeight="1">
      <c r="A1783" s="155">
        <v>33091069</v>
      </c>
      <c r="B1783" s="173" t="s">
        <v>267</v>
      </c>
      <c r="C1783" s="173" t="s">
        <v>1756</v>
      </c>
      <c r="D1783" s="173" t="s">
        <v>7018</v>
      </c>
      <c r="E1783" s="203">
        <v>43319</v>
      </c>
    </row>
    <row r="1784" spans="1:5" ht="14.25" hidden="1" customHeight="1">
      <c r="A1784" s="16">
        <v>16811869</v>
      </c>
      <c r="B1784" s="17" t="s">
        <v>3634</v>
      </c>
      <c r="C1784" s="17" t="s">
        <v>215</v>
      </c>
      <c r="D1784" s="1" t="s">
        <v>7020</v>
      </c>
      <c r="E1784" s="35" t="s">
        <v>7021</v>
      </c>
    </row>
    <row r="1785" spans="1:5" ht="14.25" hidden="1" customHeight="1">
      <c r="A1785" s="155">
        <v>16811869</v>
      </c>
      <c r="B1785" s="173" t="s">
        <v>3634</v>
      </c>
      <c r="C1785" s="173" t="s">
        <v>215</v>
      </c>
      <c r="D1785" s="173" t="s">
        <v>7020</v>
      </c>
      <c r="E1785" s="203">
        <v>43318</v>
      </c>
    </row>
    <row r="1786" spans="1:5" ht="14.25" hidden="1" customHeight="1">
      <c r="A1786" s="16">
        <v>20692487</v>
      </c>
      <c r="B1786" s="17" t="s">
        <v>377</v>
      </c>
      <c r="C1786" s="17" t="s">
        <v>5674</v>
      </c>
      <c r="D1786" s="1" t="s">
        <v>7020</v>
      </c>
      <c r="E1786" s="35" t="s">
        <v>7021</v>
      </c>
    </row>
    <row r="1787" spans="1:5" ht="14.25" hidden="1" customHeight="1">
      <c r="A1787" s="155">
        <v>20692487</v>
      </c>
      <c r="B1787" s="173" t="s">
        <v>377</v>
      </c>
      <c r="C1787" s="173" t="s">
        <v>5674</v>
      </c>
      <c r="D1787" s="173" t="s">
        <v>7020</v>
      </c>
      <c r="E1787" s="203">
        <v>43318</v>
      </c>
    </row>
    <row r="1788" spans="1:5" ht="14.25" hidden="1" customHeight="1">
      <c r="A1788" s="16">
        <v>21328591</v>
      </c>
      <c r="B1788" s="17" t="s">
        <v>3975</v>
      </c>
      <c r="C1788" s="17" t="s">
        <v>571</v>
      </c>
      <c r="D1788" s="1" t="s">
        <v>7020</v>
      </c>
      <c r="E1788" s="35" t="s">
        <v>7021</v>
      </c>
    </row>
    <row r="1789" spans="1:5" ht="14.25" hidden="1" customHeight="1">
      <c r="A1789" s="155">
        <v>21328591</v>
      </c>
      <c r="B1789" s="173" t="s">
        <v>3975</v>
      </c>
      <c r="C1789" s="173" t="s">
        <v>571</v>
      </c>
      <c r="D1789" s="173" t="s">
        <v>7020</v>
      </c>
      <c r="E1789" s="203">
        <v>43318</v>
      </c>
    </row>
    <row r="1790" spans="1:5" ht="14.25" hidden="1" customHeight="1">
      <c r="A1790" s="16">
        <v>22332403</v>
      </c>
      <c r="B1790" s="17" t="s">
        <v>4279</v>
      </c>
      <c r="C1790" s="17" t="s">
        <v>6045</v>
      </c>
      <c r="D1790" s="1" t="s">
        <v>7020</v>
      </c>
      <c r="E1790" s="35" t="s">
        <v>7021</v>
      </c>
    </row>
    <row r="1791" spans="1:5" ht="14.25" hidden="1" customHeight="1">
      <c r="A1791" s="155">
        <v>22332403</v>
      </c>
      <c r="B1791" s="173" t="s">
        <v>4279</v>
      </c>
      <c r="C1791" s="173" t="s">
        <v>6045</v>
      </c>
      <c r="D1791" s="173" t="s">
        <v>7020</v>
      </c>
      <c r="E1791" s="203">
        <v>43318</v>
      </c>
    </row>
    <row r="1792" spans="1:5" ht="14.25" hidden="1" customHeight="1">
      <c r="A1792" s="16">
        <v>22451163</v>
      </c>
      <c r="B1792" s="17" t="s">
        <v>26</v>
      </c>
      <c r="C1792" s="17" t="s">
        <v>2102</v>
      </c>
      <c r="D1792" s="1" t="s">
        <v>7020</v>
      </c>
      <c r="E1792" s="35" t="s">
        <v>7021</v>
      </c>
    </row>
    <row r="1793" spans="1:5" ht="14.25" hidden="1" customHeight="1">
      <c r="A1793" s="155">
        <v>22451163</v>
      </c>
      <c r="B1793" s="173" t="s">
        <v>26</v>
      </c>
      <c r="C1793" s="173" t="s">
        <v>2102</v>
      </c>
      <c r="D1793" s="173" t="s">
        <v>7020</v>
      </c>
      <c r="E1793" s="203">
        <v>43318</v>
      </c>
    </row>
    <row r="1794" spans="1:5" ht="14.25" hidden="1" customHeight="1">
      <c r="A1794" s="16">
        <v>26137675</v>
      </c>
      <c r="B1794" s="17" t="s">
        <v>541</v>
      </c>
      <c r="C1794" s="17" t="s">
        <v>542</v>
      </c>
      <c r="D1794" s="1" t="s">
        <v>7020</v>
      </c>
      <c r="E1794" s="35" t="s">
        <v>7021</v>
      </c>
    </row>
    <row r="1795" spans="1:5" ht="14.25" hidden="1" customHeight="1">
      <c r="A1795" s="155">
        <v>26137675</v>
      </c>
      <c r="B1795" s="173" t="s">
        <v>541</v>
      </c>
      <c r="C1795" s="173" t="s">
        <v>542</v>
      </c>
      <c r="D1795" s="173" t="s">
        <v>7020</v>
      </c>
      <c r="E1795" s="203">
        <v>43318</v>
      </c>
    </row>
    <row r="1796" spans="1:5" ht="14.25" hidden="1" customHeight="1">
      <c r="A1796" s="16">
        <v>29061095</v>
      </c>
      <c r="B1796" s="17" t="s">
        <v>1864</v>
      </c>
      <c r="C1796" s="17" t="s">
        <v>1585</v>
      </c>
      <c r="D1796" s="1" t="s">
        <v>7020</v>
      </c>
      <c r="E1796" s="35" t="s">
        <v>7021</v>
      </c>
    </row>
    <row r="1797" spans="1:5" ht="14.25" hidden="1" customHeight="1">
      <c r="A1797" s="155">
        <v>29061095</v>
      </c>
      <c r="B1797" s="173" t="s">
        <v>1864</v>
      </c>
      <c r="C1797" s="173" t="s">
        <v>1585</v>
      </c>
      <c r="D1797" s="173" t="s">
        <v>7020</v>
      </c>
      <c r="E1797" s="203">
        <v>43318</v>
      </c>
    </row>
    <row r="1798" spans="1:5" ht="14.25" hidden="1" customHeight="1">
      <c r="A1798" s="16">
        <v>31589520</v>
      </c>
      <c r="B1798" s="17" t="s">
        <v>1446</v>
      </c>
      <c r="C1798" s="17" t="s">
        <v>1447</v>
      </c>
      <c r="D1798" s="1" t="s">
        <v>7020</v>
      </c>
      <c r="E1798" s="35" t="s">
        <v>7021</v>
      </c>
    </row>
    <row r="1799" spans="1:5" ht="14.25" hidden="1" customHeight="1">
      <c r="A1799" s="155">
        <v>31589520</v>
      </c>
      <c r="B1799" s="173" t="s">
        <v>1446</v>
      </c>
      <c r="C1799" s="173" t="s">
        <v>1447</v>
      </c>
      <c r="D1799" s="173" t="s">
        <v>7020</v>
      </c>
      <c r="E1799" s="203">
        <v>43318</v>
      </c>
    </row>
    <row r="1800" spans="1:5" ht="14.25" hidden="1" customHeight="1">
      <c r="A1800" s="16">
        <v>11475683</v>
      </c>
      <c r="B1800" s="17" t="s">
        <v>6466</v>
      </c>
      <c r="C1800" s="17" t="s">
        <v>3850</v>
      </c>
      <c r="D1800" s="1" t="s">
        <v>7022</v>
      </c>
      <c r="E1800" s="35" t="s">
        <v>7023</v>
      </c>
    </row>
    <row r="1801" spans="1:5" ht="14.25" hidden="1" customHeight="1">
      <c r="A1801" s="155">
        <v>11475683</v>
      </c>
      <c r="B1801" s="173" t="s">
        <v>6466</v>
      </c>
      <c r="C1801" s="173" t="s">
        <v>3850</v>
      </c>
      <c r="D1801" s="173" t="s">
        <v>7022</v>
      </c>
      <c r="E1801" s="203">
        <v>43241</v>
      </c>
    </row>
    <row r="1802" spans="1:5" ht="14.25" hidden="1" customHeight="1">
      <c r="A1802" s="16">
        <v>11707394</v>
      </c>
      <c r="B1802" s="17" t="s">
        <v>5240</v>
      </c>
      <c r="C1802" s="17" t="s">
        <v>5241</v>
      </c>
      <c r="D1802" s="1" t="s">
        <v>7022</v>
      </c>
      <c r="E1802" s="35" t="s">
        <v>7023</v>
      </c>
    </row>
    <row r="1803" spans="1:5" ht="14.25" hidden="1" customHeight="1">
      <c r="A1803" s="155">
        <v>11707394</v>
      </c>
      <c r="B1803" s="173" t="s">
        <v>5240</v>
      </c>
      <c r="C1803" s="173" t="s">
        <v>5241</v>
      </c>
      <c r="D1803" s="173" t="s">
        <v>7022</v>
      </c>
      <c r="E1803" s="203">
        <v>43241</v>
      </c>
    </row>
    <row r="1804" spans="1:5" ht="14.25" hidden="1" customHeight="1">
      <c r="A1804" s="16">
        <v>12402455</v>
      </c>
      <c r="B1804" s="17" t="s">
        <v>1273</v>
      </c>
      <c r="C1804" s="17" t="s">
        <v>274</v>
      </c>
      <c r="D1804" s="1" t="s">
        <v>7022</v>
      </c>
      <c r="E1804" s="35" t="s">
        <v>7023</v>
      </c>
    </row>
    <row r="1805" spans="1:5" ht="14.25" hidden="1" customHeight="1">
      <c r="A1805" s="155">
        <v>12402455</v>
      </c>
      <c r="B1805" s="173" t="s">
        <v>1273</v>
      </c>
      <c r="C1805" s="173" t="s">
        <v>274</v>
      </c>
      <c r="D1805" s="173" t="s">
        <v>7022</v>
      </c>
      <c r="E1805" s="203">
        <v>43241</v>
      </c>
    </row>
    <row r="1806" spans="1:5" ht="14.25" hidden="1" customHeight="1">
      <c r="A1806" s="16">
        <v>12449905</v>
      </c>
      <c r="B1806" s="17" t="s">
        <v>2947</v>
      </c>
      <c r="C1806" s="17" t="s">
        <v>2948</v>
      </c>
      <c r="D1806" s="1" t="s">
        <v>7022</v>
      </c>
      <c r="E1806" s="35" t="s">
        <v>7023</v>
      </c>
    </row>
    <row r="1807" spans="1:5" ht="14.25" hidden="1" customHeight="1">
      <c r="A1807" s="155">
        <v>12449905</v>
      </c>
      <c r="B1807" s="173" t="s">
        <v>2947</v>
      </c>
      <c r="C1807" s="173" t="s">
        <v>2948</v>
      </c>
      <c r="D1807" s="173" t="s">
        <v>7022</v>
      </c>
      <c r="E1807" s="203">
        <v>43241</v>
      </c>
    </row>
    <row r="1808" spans="1:5" ht="14.25" hidden="1" customHeight="1">
      <c r="A1808" s="16">
        <v>12607460</v>
      </c>
      <c r="B1808" s="17" t="s">
        <v>1364</v>
      </c>
      <c r="C1808" s="17" t="s">
        <v>1365</v>
      </c>
      <c r="D1808" s="1" t="s">
        <v>7022</v>
      </c>
      <c r="E1808" s="35" t="s">
        <v>7023</v>
      </c>
    </row>
    <row r="1809" spans="1:5" ht="14.25" hidden="1" customHeight="1">
      <c r="A1809" s="155">
        <v>12607460</v>
      </c>
      <c r="B1809" s="173" t="s">
        <v>1364</v>
      </c>
      <c r="C1809" s="173" t="s">
        <v>1365</v>
      </c>
      <c r="D1809" s="173" t="s">
        <v>7022</v>
      </c>
      <c r="E1809" s="203">
        <v>43241</v>
      </c>
    </row>
    <row r="1810" spans="1:5" ht="14.25" hidden="1" customHeight="1">
      <c r="A1810" s="16">
        <v>12654235</v>
      </c>
      <c r="B1810" s="17" t="s">
        <v>863</v>
      </c>
      <c r="C1810" s="17" t="s">
        <v>4576</v>
      </c>
      <c r="D1810" s="1" t="s">
        <v>7022</v>
      </c>
      <c r="E1810" s="35" t="s">
        <v>7023</v>
      </c>
    </row>
    <row r="1811" spans="1:5" ht="14.25" hidden="1" customHeight="1">
      <c r="A1811" s="155">
        <v>12654235</v>
      </c>
      <c r="B1811" s="173" t="s">
        <v>863</v>
      </c>
      <c r="C1811" s="173" t="s">
        <v>4576</v>
      </c>
      <c r="D1811" s="173" t="s">
        <v>7022</v>
      </c>
      <c r="E1811" s="203">
        <v>43241</v>
      </c>
    </row>
    <row r="1812" spans="1:5" ht="14.25" hidden="1" customHeight="1">
      <c r="A1812" s="16">
        <v>12733903</v>
      </c>
      <c r="B1812" s="17" t="s">
        <v>4677</v>
      </c>
      <c r="C1812" s="17" t="s">
        <v>2184</v>
      </c>
      <c r="D1812" s="1" t="s">
        <v>7022</v>
      </c>
      <c r="E1812" s="35" t="s">
        <v>7023</v>
      </c>
    </row>
    <row r="1813" spans="1:5" ht="14.25" hidden="1" customHeight="1">
      <c r="A1813" s="155">
        <v>12733903</v>
      </c>
      <c r="B1813" s="173" t="s">
        <v>4677</v>
      </c>
      <c r="C1813" s="173" t="s">
        <v>2184</v>
      </c>
      <c r="D1813" s="173" t="s">
        <v>7022</v>
      </c>
      <c r="E1813" s="203">
        <v>43241</v>
      </c>
    </row>
    <row r="1814" spans="1:5" ht="14.25" hidden="1" customHeight="1">
      <c r="A1814" s="16">
        <v>13311202</v>
      </c>
      <c r="B1814" s="17" t="s">
        <v>1309</v>
      </c>
      <c r="C1814" s="17" t="s">
        <v>1310</v>
      </c>
      <c r="D1814" s="1" t="s">
        <v>7022</v>
      </c>
      <c r="E1814" s="35" t="s">
        <v>7023</v>
      </c>
    </row>
    <row r="1815" spans="1:5" ht="14.25" hidden="1" customHeight="1">
      <c r="A1815" s="155">
        <v>13311202</v>
      </c>
      <c r="B1815" s="173" t="s">
        <v>1309</v>
      </c>
      <c r="C1815" s="173" t="s">
        <v>1310</v>
      </c>
      <c r="D1815" s="173" t="s">
        <v>7022</v>
      </c>
      <c r="E1815" s="203">
        <v>43241</v>
      </c>
    </row>
    <row r="1816" spans="1:5" ht="14.25" hidden="1" customHeight="1">
      <c r="A1816" s="16">
        <v>13378080</v>
      </c>
      <c r="B1816" s="17" t="s">
        <v>1660</v>
      </c>
      <c r="C1816" s="17" t="s">
        <v>4461</v>
      </c>
      <c r="D1816" s="1" t="s">
        <v>7022</v>
      </c>
      <c r="E1816" s="35" t="s">
        <v>7023</v>
      </c>
    </row>
    <row r="1817" spans="1:5" ht="14.25" hidden="1" customHeight="1">
      <c r="A1817" s="155">
        <v>13378080</v>
      </c>
      <c r="B1817" s="173" t="s">
        <v>1660</v>
      </c>
      <c r="C1817" s="173" t="s">
        <v>4461</v>
      </c>
      <c r="D1817" s="173" t="s">
        <v>7022</v>
      </c>
      <c r="E1817" s="203">
        <v>43241</v>
      </c>
    </row>
    <row r="1818" spans="1:5" ht="14.25" hidden="1" customHeight="1">
      <c r="A1818" s="16">
        <v>13628734</v>
      </c>
      <c r="B1818" s="17" t="s">
        <v>1194</v>
      </c>
      <c r="C1818" s="17" t="s">
        <v>2218</v>
      </c>
      <c r="D1818" s="1" t="s">
        <v>7022</v>
      </c>
      <c r="E1818" s="35" t="s">
        <v>7023</v>
      </c>
    </row>
    <row r="1819" spans="1:5" ht="14.25" hidden="1" customHeight="1">
      <c r="A1819" s="155">
        <v>13628734</v>
      </c>
      <c r="B1819" s="173" t="s">
        <v>1194</v>
      </c>
      <c r="C1819" s="173" t="s">
        <v>2218</v>
      </c>
      <c r="D1819" s="173" t="s">
        <v>7022</v>
      </c>
      <c r="E1819" s="203">
        <v>43241</v>
      </c>
    </row>
    <row r="1820" spans="1:5" ht="14.25" hidden="1" customHeight="1">
      <c r="A1820" s="16">
        <v>13775146</v>
      </c>
      <c r="B1820" s="17" t="s">
        <v>1371</v>
      </c>
      <c r="C1820" s="17" t="s">
        <v>1061</v>
      </c>
      <c r="D1820" s="1" t="s">
        <v>7022</v>
      </c>
      <c r="E1820" s="35" t="s">
        <v>7023</v>
      </c>
    </row>
    <row r="1821" spans="1:5" ht="14.25" hidden="1" customHeight="1">
      <c r="A1821" s="155">
        <v>13775146</v>
      </c>
      <c r="B1821" s="173" t="s">
        <v>1371</v>
      </c>
      <c r="C1821" s="173" t="s">
        <v>1061</v>
      </c>
      <c r="D1821" s="173" t="s">
        <v>7022</v>
      </c>
      <c r="E1821" s="203">
        <v>43241</v>
      </c>
    </row>
    <row r="1822" spans="1:5" ht="14.25" hidden="1" customHeight="1">
      <c r="A1822" s="16">
        <v>14225046</v>
      </c>
      <c r="B1822" s="17" t="s">
        <v>350</v>
      </c>
      <c r="C1822" s="17" t="s">
        <v>2322</v>
      </c>
      <c r="D1822" s="1" t="s">
        <v>7022</v>
      </c>
      <c r="E1822" s="35" t="s">
        <v>7023</v>
      </c>
    </row>
    <row r="1823" spans="1:5" ht="14.25" hidden="1" customHeight="1">
      <c r="A1823" s="155">
        <v>14225046</v>
      </c>
      <c r="B1823" s="173" t="s">
        <v>350</v>
      </c>
      <c r="C1823" s="173" t="s">
        <v>2322</v>
      </c>
      <c r="D1823" s="173" t="s">
        <v>7022</v>
      </c>
      <c r="E1823" s="203">
        <v>43241</v>
      </c>
    </row>
    <row r="1824" spans="1:5" ht="14.25" hidden="1" customHeight="1">
      <c r="A1824" s="16">
        <v>14226682</v>
      </c>
      <c r="B1824" s="17" t="s">
        <v>685</v>
      </c>
      <c r="C1824" s="17" t="s">
        <v>3719</v>
      </c>
      <c r="D1824" s="1" t="s">
        <v>7022</v>
      </c>
      <c r="E1824" s="35" t="s">
        <v>7023</v>
      </c>
    </row>
    <row r="1825" spans="1:5" ht="14.25" hidden="1" customHeight="1">
      <c r="A1825" s="155">
        <v>14226682</v>
      </c>
      <c r="B1825" s="173" t="s">
        <v>685</v>
      </c>
      <c r="C1825" s="173" t="s">
        <v>3719</v>
      </c>
      <c r="D1825" s="173" t="s">
        <v>7022</v>
      </c>
      <c r="E1825" s="203">
        <v>43241</v>
      </c>
    </row>
    <row r="1826" spans="1:5" ht="14.25" hidden="1" customHeight="1">
      <c r="A1826" s="16">
        <v>14296958</v>
      </c>
      <c r="B1826" s="17" t="s">
        <v>5838</v>
      </c>
      <c r="C1826" s="17" t="s">
        <v>5839</v>
      </c>
      <c r="D1826" s="1" t="s">
        <v>7022</v>
      </c>
      <c r="E1826" s="35" t="s">
        <v>7023</v>
      </c>
    </row>
    <row r="1827" spans="1:5" ht="14.25" hidden="1" customHeight="1">
      <c r="A1827" s="155">
        <v>14296958</v>
      </c>
      <c r="B1827" s="173" t="s">
        <v>5838</v>
      </c>
      <c r="C1827" s="173" t="s">
        <v>5839</v>
      </c>
      <c r="D1827" s="173" t="s">
        <v>7022</v>
      </c>
      <c r="E1827" s="203">
        <v>43241</v>
      </c>
    </row>
    <row r="1828" spans="1:5" ht="14.25" hidden="1" customHeight="1">
      <c r="A1828" s="16">
        <v>14410428</v>
      </c>
      <c r="B1828" s="17" t="s">
        <v>2731</v>
      </c>
      <c r="C1828" s="17" t="s">
        <v>1061</v>
      </c>
      <c r="D1828" s="1" t="s">
        <v>7022</v>
      </c>
      <c r="E1828" s="35" t="s">
        <v>7023</v>
      </c>
    </row>
    <row r="1829" spans="1:5" ht="14.25" hidden="1" customHeight="1">
      <c r="A1829" s="155">
        <v>14410428</v>
      </c>
      <c r="B1829" s="173" t="s">
        <v>2731</v>
      </c>
      <c r="C1829" s="173" t="s">
        <v>1061</v>
      </c>
      <c r="D1829" s="173" t="s">
        <v>7022</v>
      </c>
      <c r="E1829" s="203">
        <v>43241</v>
      </c>
    </row>
    <row r="1830" spans="1:5" ht="14.25" hidden="1" customHeight="1">
      <c r="A1830" s="16">
        <v>14660159</v>
      </c>
      <c r="B1830" s="17" t="s">
        <v>3023</v>
      </c>
      <c r="C1830" s="17" t="s">
        <v>584</v>
      </c>
      <c r="D1830" s="1" t="s">
        <v>7022</v>
      </c>
      <c r="E1830" s="35" t="s">
        <v>7023</v>
      </c>
    </row>
    <row r="1831" spans="1:5" ht="14.25" hidden="1" customHeight="1">
      <c r="A1831" s="155">
        <v>14660159</v>
      </c>
      <c r="B1831" s="173" t="s">
        <v>3023</v>
      </c>
      <c r="C1831" s="173" t="s">
        <v>584</v>
      </c>
      <c r="D1831" s="173" t="s">
        <v>7022</v>
      </c>
      <c r="E1831" s="203">
        <v>43241</v>
      </c>
    </row>
    <row r="1832" spans="1:5" ht="14.25" hidden="1" customHeight="1">
      <c r="A1832" s="16">
        <v>16091162</v>
      </c>
      <c r="B1832" s="17" t="s">
        <v>5866</v>
      </c>
      <c r="C1832" s="17" t="s">
        <v>5867</v>
      </c>
      <c r="D1832" s="1" t="s">
        <v>7022</v>
      </c>
      <c r="E1832" s="35" t="s">
        <v>7023</v>
      </c>
    </row>
    <row r="1833" spans="1:5" ht="14.25" hidden="1" customHeight="1">
      <c r="A1833" s="155">
        <v>16091162</v>
      </c>
      <c r="B1833" s="173" t="s">
        <v>5866</v>
      </c>
      <c r="C1833" s="173" t="s">
        <v>5867</v>
      </c>
      <c r="D1833" s="173" t="s">
        <v>7022</v>
      </c>
      <c r="E1833" s="203">
        <v>43241</v>
      </c>
    </row>
    <row r="1834" spans="1:5" ht="14.25" hidden="1" customHeight="1">
      <c r="A1834" s="16">
        <v>16314577</v>
      </c>
      <c r="B1834" s="17" t="s">
        <v>377</v>
      </c>
      <c r="C1834" s="17" t="s">
        <v>378</v>
      </c>
      <c r="D1834" s="1" t="s">
        <v>7022</v>
      </c>
      <c r="E1834" s="35" t="s">
        <v>7023</v>
      </c>
    </row>
    <row r="1835" spans="1:5" ht="14.25" hidden="1" customHeight="1">
      <c r="A1835" s="155">
        <v>16314577</v>
      </c>
      <c r="B1835" s="173" t="s">
        <v>377</v>
      </c>
      <c r="C1835" s="173" t="s">
        <v>378</v>
      </c>
      <c r="D1835" s="173" t="s">
        <v>7022</v>
      </c>
      <c r="E1835" s="203">
        <v>43241</v>
      </c>
    </row>
    <row r="1836" spans="1:5" ht="14.25" hidden="1" customHeight="1">
      <c r="A1836" s="16">
        <v>16617513</v>
      </c>
      <c r="B1836" s="17" t="s">
        <v>1236</v>
      </c>
      <c r="C1836" s="17" t="s">
        <v>1237</v>
      </c>
      <c r="D1836" s="1" t="s">
        <v>7022</v>
      </c>
      <c r="E1836" s="35" t="s">
        <v>7023</v>
      </c>
    </row>
    <row r="1837" spans="1:5" ht="14.25" hidden="1" customHeight="1">
      <c r="A1837" s="155">
        <v>16617513</v>
      </c>
      <c r="B1837" s="173" t="s">
        <v>1236</v>
      </c>
      <c r="C1837" s="173" t="s">
        <v>1237</v>
      </c>
      <c r="D1837" s="173" t="s">
        <v>7022</v>
      </c>
      <c r="E1837" s="203">
        <v>43241</v>
      </c>
    </row>
    <row r="1838" spans="1:5" ht="14.25" hidden="1" customHeight="1">
      <c r="A1838" s="16">
        <v>16811619</v>
      </c>
      <c r="B1838" s="17" t="s">
        <v>811</v>
      </c>
      <c r="C1838" s="17" t="s">
        <v>2295</v>
      </c>
      <c r="D1838" s="1" t="s">
        <v>7022</v>
      </c>
      <c r="E1838" s="35" t="s">
        <v>7023</v>
      </c>
    </row>
    <row r="1839" spans="1:5" ht="14.25" hidden="1" customHeight="1">
      <c r="A1839" s="155">
        <v>16811619</v>
      </c>
      <c r="B1839" s="173" t="s">
        <v>811</v>
      </c>
      <c r="C1839" s="173" t="s">
        <v>2295</v>
      </c>
      <c r="D1839" s="173" t="s">
        <v>7022</v>
      </c>
      <c r="E1839" s="203">
        <v>43241</v>
      </c>
    </row>
    <row r="1840" spans="1:5" ht="14.25" hidden="1" customHeight="1">
      <c r="A1840" s="16">
        <v>17182507</v>
      </c>
      <c r="B1840" s="17" t="s">
        <v>4795</v>
      </c>
      <c r="C1840" s="17" t="s">
        <v>2190</v>
      </c>
      <c r="D1840" s="1" t="s">
        <v>7022</v>
      </c>
      <c r="E1840" s="35" t="s">
        <v>7023</v>
      </c>
    </row>
    <row r="1841" spans="1:5" ht="14.25" hidden="1" customHeight="1">
      <c r="A1841" s="155">
        <v>17182507</v>
      </c>
      <c r="B1841" s="173" t="s">
        <v>4795</v>
      </c>
      <c r="C1841" s="173" t="s">
        <v>2190</v>
      </c>
      <c r="D1841" s="173" t="s">
        <v>7022</v>
      </c>
      <c r="E1841" s="203">
        <v>43241</v>
      </c>
    </row>
    <row r="1842" spans="1:5" ht="14.25" hidden="1" customHeight="1">
      <c r="A1842" s="16">
        <v>17269004</v>
      </c>
      <c r="B1842" s="17" t="s">
        <v>26</v>
      </c>
      <c r="C1842" s="17" t="s">
        <v>30</v>
      </c>
      <c r="D1842" s="1" t="s">
        <v>7022</v>
      </c>
      <c r="E1842" s="35" t="s">
        <v>7023</v>
      </c>
    </row>
    <row r="1843" spans="1:5" ht="14.25" hidden="1" customHeight="1">
      <c r="A1843" s="155">
        <v>17269004</v>
      </c>
      <c r="B1843" s="173" t="s">
        <v>26</v>
      </c>
      <c r="C1843" s="173" t="s">
        <v>30</v>
      </c>
      <c r="D1843" s="173" t="s">
        <v>7022</v>
      </c>
      <c r="E1843" s="203">
        <v>43241</v>
      </c>
    </row>
    <row r="1844" spans="1:5" ht="14.25" hidden="1" customHeight="1">
      <c r="A1844" s="16">
        <v>17269935</v>
      </c>
      <c r="B1844" s="17" t="s">
        <v>315</v>
      </c>
      <c r="C1844" s="17" t="s">
        <v>1334</v>
      </c>
      <c r="D1844" s="1" t="s">
        <v>7022</v>
      </c>
      <c r="E1844" s="35" t="s">
        <v>7023</v>
      </c>
    </row>
    <row r="1845" spans="1:5" ht="14.25" hidden="1" customHeight="1">
      <c r="A1845" s="155">
        <v>17269935</v>
      </c>
      <c r="B1845" s="173" t="s">
        <v>315</v>
      </c>
      <c r="C1845" s="173" t="s">
        <v>1334</v>
      </c>
      <c r="D1845" s="173" t="s">
        <v>7022</v>
      </c>
      <c r="E1845" s="203">
        <v>43241</v>
      </c>
    </row>
    <row r="1846" spans="1:5" ht="14.25" hidden="1" customHeight="1">
      <c r="A1846" s="16">
        <v>17458672</v>
      </c>
      <c r="B1846" s="17" t="s">
        <v>2316</v>
      </c>
      <c r="C1846" s="17" t="s">
        <v>2317</v>
      </c>
      <c r="D1846" s="1" t="s">
        <v>7022</v>
      </c>
      <c r="E1846" s="35" t="s">
        <v>7023</v>
      </c>
    </row>
    <row r="1847" spans="1:5" ht="14.25" hidden="1" customHeight="1">
      <c r="A1847" s="155">
        <v>17458672</v>
      </c>
      <c r="B1847" s="173" t="s">
        <v>2316</v>
      </c>
      <c r="C1847" s="173" t="s">
        <v>2317</v>
      </c>
      <c r="D1847" s="173" t="s">
        <v>7022</v>
      </c>
      <c r="E1847" s="203">
        <v>43241</v>
      </c>
    </row>
    <row r="1848" spans="1:5" ht="14.25" hidden="1" customHeight="1">
      <c r="A1848" s="16">
        <v>17458926</v>
      </c>
      <c r="B1848" s="17" t="s">
        <v>2531</v>
      </c>
      <c r="C1848" s="17" t="s">
        <v>2532</v>
      </c>
      <c r="D1848" s="1" t="s">
        <v>7022</v>
      </c>
      <c r="E1848" s="35" t="s">
        <v>7023</v>
      </c>
    </row>
    <row r="1849" spans="1:5" ht="14.25" hidden="1" customHeight="1">
      <c r="A1849" s="155">
        <v>17458926</v>
      </c>
      <c r="B1849" s="173" t="s">
        <v>2531</v>
      </c>
      <c r="C1849" s="173" t="s">
        <v>2532</v>
      </c>
      <c r="D1849" s="173" t="s">
        <v>7022</v>
      </c>
      <c r="E1849" s="203">
        <v>43241</v>
      </c>
    </row>
    <row r="1850" spans="1:5" ht="14.25" hidden="1" customHeight="1">
      <c r="A1850" s="16">
        <v>17614415</v>
      </c>
      <c r="B1850" s="17" t="s">
        <v>533</v>
      </c>
      <c r="C1850" s="17" t="s">
        <v>534</v>
      </c>
      <c r="D1850" s="1" t="s">
        <v>7022</v>
      </c>
      <c r="E1850" s="35" t="s">
        <v>7023</v>
      </c>
    </row>
    <row r="1851" spans="1:5" ht="14.25" hidden="1" customHeight="1">
      <c r="A1851" s="155">
        <v>17614415</v>
      </c>
      <c r="B1851" s="173" t="s">
        <v>533</v>
      </c>
      <c r="C1851" s="173" t="s">
        <v>534</v>
      </c>
      <c r="D1851" s="173" t="s">
        <v>7022</v>
      </c>
      <c r="E1851" s="203">
        <v>43241</v>
      </c>
    </row>
    <row r="1852" spans="1:5" ht="14.25" hidden="1" customHeight="1">
      <c r="A1852" s="16">
        <v>17859007</v>
      </c>
      <c r="B1852" s="17" t="s">
        <v>5327</v>
      </c>
      <c r="C1852" s="17" t="s">
        <v>1521</v>
      </c>
      <c r="D1852" s="1" t="s">
        <v>7022</v>
      </c>
      <c r="E1852" s="35" t="s">
        <v>7023</v>
      </c>
    </row>
    <row r="1853" spans="1:5" ht="14.25" hidden="1" customHeight="1">
      <c r="A1853" s="155">
        <v>17859007</v>
      </c>
      <c r="B1853" s="173" t="s">
        <v>5327</v>
      </c>
      <c r="C1853" s="173" t="s">
        <v>1521</v>
      </c>
      <c r="D1853" s="173" t="s">
        <v>7022</v>
      </c>
      <c r="E1853" s="203">
        <v>43241</v>
      </c>
    </row>
    <row r="1854" spans="1:5" ht="14.25" hidden="1" customHeight="1">
      <c r="A1854" s="16">
        <v>17859768</v>
      </c>
      <c r="B1854" s="17" t="s">
        <v>1808</v>
      </c>
      <c r="C1854" s="17" t="s">
        <v>1809</v>
      </c>
      <c r="D1854" s="1" t="s">
        <v>7022</v>
      </c>
      <c r="E1854" s="35" t="s">
        <v>7023</v>
      </c>
    </row>
    <row r="1855" spans="1:5" ht="14.25" hidden="1" customHeight="1">
      <c r="A1855" s="155">
        <v>17859768</v>
      </c>
      <c r="B1855" s="173" t="s">
        <v>1808</v>
      </c>
      <c r="C1855" s="173" t="s">
        <v>1809</v>
      </c>
      <c r="D1855" s="173" t="s">
        <v>7022</v>
      </c>
      <c r="E1855" s="203">
        <v>43241</v>
      </c>
    </row>
    <row r="1856" spans="1:5" ht="14.25" hidden="1" customHeight="1">
      <c r="A1856" s="16">
        <v>17990691</v>
      </c>
      <c r="B1856" s="17" t="s">
        <v>1660</v>
      </c>
      <c r="C1856" s="17" t="s">
        <v>4455</v>
      </c>
      <c r="D1856" s="1" t="s">
        <v>7022</v>
      </c>
      <c r="E1856" s="35" t="s">
        <v>7023</v>
      </c>
    </row>
    <row r="1857" spans="1:5" ht="14.25" hidden="1" customHeight="1">
      <c r="A1857" s="155">
        <v>17990691</v>
      </c>
      <c r="B1857" s="173" t="s">
        <v>1660</v>
      </c>
      <c r="C1857" s="173" t="s">
        <v>4455</v>
      </c>
      <c r="D1857" s="173" t="s">
        <v>7022</v>
      </c>
      <c r="E1857" s="203">
        <v>43241</v>
      </c>
    </row>
    <row r="1858" spans="1:5" ht="14.25" hidden="1" customHeight="1">
      <c r="A1858" s="16">
        <v>18230668</v>
      </c>
      <c r="B1858" s="17" t="s">
        <v>2375</v>
      </c>
      <c r="C1858" s="17" t="s">
        <v>2376</v>
      </c>
      <c r="D1858" s="1" t="s">
        <v>7022</v>
      </c>
      <c r="E1858" s="35" t="s">
        <v>7023</v>
      </c>
    </row>
    <row r="1859" spans="1:5" ht="14.25" hidden="1" customHeight="1">
      <c r="A1859" s="155">
        <v>18230668</v>
      </c>
      <c r="B1859" s="173" t="s">
        <v>2375</v>
      </c>
      <c r="C1859" s="173" t="s">
        <v>2376</v>
      </c>
      <c r="D1859" s="173" t="s">
        <v>7022</v>
      </c>
      <c r="E1859" s="203">
        <v>43241</v>
      </c>
    </row>
    <row r="1860" spans="1:5" ht="14.25" hidden="1" customHeight="1">
      <c r="A1860" s="16">
        <v>18545210</v>
      </c>
      <c r="B1860" s="17" t="s">
        <v>1720</v>
      </c>
      <c r="C1860" s="17" t="s">
        <v>1721</v>
      </c>
      <c r="D1860" s="1" t="s">
        <v>7022</v>
      </c>
      <c r="E1860" s="35" t="s">
        <v>7023</v>
      </c>
    </row>
    <row r="1861" spans="1:5" ht="14.25" hidden="1" customHeight="1">
      <c r="A1861" s="155">
        <v>18545210</v>
      </c>
      <c r="B1861" s="173" t="s">
        <v>1720</v>
      </c>
      <c r="C1861" s="173" t="s">
        <v>1721</v>
      </c>
      <c r="D1861" s="173" t="s">
        <v>7022</v>
      </c>
      <c r="E1861" s="203">
        <v>43241</v>
      </c>
    </row>
    <row r="1862" spans="1:5" ht="14.25" hidden="1" customHeight="1">
      <c r="A1862" s="16">
        <v>20284448</v>
      </c>
      <c r="B1862" s="17" t="s">
        <v>5213</v>
      </c>
      <c r="C1862" s="17" t="s">
        <v>5214</v>
      </c>
      <c r="D1862" s="1" t="s">
        <v>7022</v>
      </c>
      <c r="E1862" s="35" t="s">
        <v>7023</v>
      </c>
    </row>
    <row r="1863" spans="1:5" ht="14.25" hidden="1" customHeight="1">
      <c r="A1863" s="155">
        <v>20284448</v>
      </c>
      <c r="B1863" s="173" t="s">
        <v>5213</v>
      </c>
      <c r="C1863" s="173" t="s">
        <v>5214</v>
      </c>
      <c r="D1863" s="173" t="s">
        <v>7022</v>
      </c>
      <c r="E1863" s="203">
        <v>43241</v>
      </c>
    </row>
    <row r="1864" spans="1:5" ht="14.25" hidden="1" customHeight="1">
      <c r="A1864" s="16">
        <v>20891979</v>
      </c>
      <c r="B1864" s="17" t="s">
        <v>520</v>
      </c>
      <c r="C1864" s="17" t="s">
        <v>521</v>
      </c>
      <c r="D1864" s="1" t="s">
        <v>7022</v>
      </c>
      <c r="E1864" s="35" t="s">
        <v>7023</v>
      </c>
    </row>
    <row r="1865" spans="1:5" ht="14.25" hidden="1" customHeight="1">
      <c r="A1865" s="155">
        <v>20891979</v>
      </c>
      <c r="B1865" s="173" t="s">
        <v>520</v>
      </c>
      <c r="C1865" s="173" t="s">
        <v>521</v>
      </c>
      <c r="D1865" s="173" t="s">
        <v>7022</v>
      </c>
      <c r="E1865" s="203">
        <v>43241</v>
      </c>
    </row>
    <row r="1866" spans="1:5" ht="14.25" hidden="1" customHeight="1">
      <c r="A1866" s="16">
        <v>21026656</v>
      </c>
      <c r="B1866" s="17" t="s">
        <v>315</v>
      </c>
      <c r="C1866" s="17" t="s">
        <v>1358</v>
      </c>
      <c r="D1866" s="1" t="s">
        <v>7022</v>
      </c>
      <c r="E1866" s="35" t="s">
        <v>7023</v>
      </c>
    </row>
    <row r="1867" spans="1:5" ht="14.25" hidden="1" customHeight="1">
      <c r="A1867" s="155">
        <v>21026656</v>
      </c>
      <c r="B1867" s="173" t="s">
        <v>315</v>
      </c>
      <c r="C1867" s="173" t="s">
        <v>1358</v>
      </c>
      <c r="D1867" s="173" t="s">
        <v>7022</v>
      </c>
      <c r="E1867" s="203">
        <v>43241</v>
      </c>
    </row>
    <row r="1868" spans="1:5" ht="14.25" hidden="1" customHeight="1">
      <c r="A1868" s="16">
        <v>21320089</v>
      </c>
      <c r="B1868" s="17" t="s">
        <v>1839</v>
      </c>
      <c r="C1868" s="17" t="s">
        <v>4485</v>
      </c>
      <c r="D1868" s="1" t="s">
        <v>7022</v>
      </c>
      <c r="E1868" s="35" t="s">
        <v>7023</v>
      </c>
    </row>
    <row r="1869" spans="1:5" ht="14.25" hidden="1" customHeight="1">
      <c r="A1869" s="155">
        <v>21320089</v>
      </c>
      <c r="B1869" s="173" t="s">
        <v>1839</v>
      </c>
      <c r="C1869" s="173" t="s">
        <v>4485</v>
      </c>
      <c r="D1869" s="173" t="s">
        <v>7022</v>
      </c>
      <c r="E1869" s="203">
        <v>43241</v>
      </c>
    </row>
    <row r="1870" spans="1:5" ht="14.25" hidden="1" customHeight="1">
      <c r="A1870" s="16">
        <v>22073712</v>
      </c>
      <c r="B1870" s="17" t="s">
        <v>927</v>
      </c>
      <c r="C1870" s="17" t="s">
        <v>1341</v>
      </c>
      <c r="D1870" s="1" t="s">
        <v>7022</v>
      </c>
      <c r="E1870" s="35" t="s">
        <v>7023</v>
      </c>
    </row>
    <row r="1871" spans="1:5" ht="14.25" hidden="1" customHeight="1">
      <c r="A1871" s="155">
        <v>22073712</v>
      </c>
      <c r="B1871" s="173" t="s">
        <v>927</v>
      </c>
      <c r="C1871" s="173" t="s">
        <v>1341</v>
      </c>
      <c r="D1871" s="173" t="s">
        <v>7022</v>
      </c>
      <c r="E1871" s="203">
        <v>43241</v>
      </c>
    </row>
    <row r="1872" spans="1:5" ht="14.25" hidden="1" customHeight="1">
      <c r="A1872" s="16">
        <v>22280512</v>
      </c>
      <c r="B1872" s="17" t="s">
        <v>4585</v>
      </c>
      <c r="C1872" s="17" t="s">
        <v>902</v>
      </c>
      <c r="D1872" s="1" t="s">
        <v>7022</v>
      </c>
      <c r="E1872" s="35" t="s">
        <v>7023</v>
      </c>
    </row>
    <row r="1873" spans="1:5" ht="14.25" hidden="1" customHeight="1">
      <c r="A1873" s="155">
        <v>22280512</v>
      </c>
      <c r="B1873" s="173" t="s">
        <v>4585</v>
      </c>
      <c r="C1873" s="173" t="s">
        <v>902</v>
      </c>
      <c r="D1873" s="173" t="s">
        <v>7022</v>
      </c>
      <c r="E1873" s="203">
        <v>43241</v>
      </c>
    </row>
    <row r="1874" spans="1:5" ht="14.25" hidden="1" customHeight="1">
      <c r="A1874" s="16">
        <v>22331870</v>
      </c>
      <c r="B1874" s="17" t="s">
        <v>4470</v>
      </c>
      <c r="C1874" s="17" t="s">
        <v>4471</v>
      </c>
      <c r="D1874" s="1" t="s">
        <v>7022</v>
      </c>
      <c r="E1874" s="35" t="s">
        <v>7023</v>
      </c>
    </row>
    <row r="1875" spans="1:5" ht="14.25" hidden="1" customHeight="1">
      <c r="A1875" s="155">
        <v>22331870</v>
      </c>
      <c r="B1875" s="173" t="s">
        <v>4470</v>
      </c>
      <c r="C1875" s="173" t="s">
        <v>4471</v>
      </c>
      <c r="D1875" s="173" t="s">
        <v>7022</v>
      </c>
      <c r="E1875" s="203">
        <v>43241</v>
      </c>
    </row>
    <row r="1876" spans="1:5" ht="14.25" hidden="1" customHeight="1">
      <c r="A1876" s="16">
        <v>22429208</v>
      </c>
      <c r="B1876" s="17" t="s">
        <v>5245</v>
      </c>
      <c r="C1876" s="17" t="s">
        <v>5246</v>
      </c>
      <c r="D1876" s="1" t="s">
        <v>7022</v>
      </c>
      <c r="E1876" s="35" t="s">
        <v>7023</v>
      </c>
    </row>
    <row r="1877" spans="1:5" ht="14.25" hidden="1" customHeight="1">
      <c r="A1877" s="155">
        <v>22429208</v>
      </c>
      <c r="B1877" s="173" t="s">
        <v>5245</v>
      </c>
      <c r="C1877" s="173" t="s">
        <v>5246</v>
      </c>
      <c r="D1877" s="173" t="s">
        <v>7022</v>
      </c>
      <c r="E1877" s="203">
        <v>43241</v>
      </c>
    </row>
    <row r="1878" spans="1:5" ht="14.25" hidden="1" customHeight="1">
      <c r="A1878" s="16">
        <v>22805623</v>
      </c>
      <c r="B1878" s="17" t="s">
        <v>2094</v>
      </c>
      <c r="C1878" s="17" t="s">
        <v>3506</v>
      </c>
      <c r="D1878" s="1" t="s">
        <v>7022</v>
      </c>
      <c r="E1878" s="35" t="s">
        <v>7023</v>
      </c>
    </row>
    <row r="1879" spans="1:5" ht="14.25" hidden="1" customHeight="1">
      <c r="A1879" s="155">
        <v>22805623</v>
      </c>
      <c r="B1879" s="173" t="s">
        <v>2094</v>
      </c>
      <c r="C1879" s="173" t="s">
        <v>3506</v>
      </c>
      <c r="D1879" s="173" t="s">
        <v>7022</v>
      </c>
      <c r="E1879" s="203">
        <v>43241</v>
      </c>
    </row>
    <row r="1880" spans="1:5" ht="14.25" hidden="1" customHeight="1">
      <c r="A1880" s="16">
        <v>23015488</v>
      </c>
      <c r="B1880" s="17" t="s">
        <v>3871</v>
      </c>
      <c r="C1880" s="17" t="s">
        <v>1061</v>
      </c>
      <c r="D1880" s="1" t="s">
        <v>7022</v>
      </c>
      <c r="E1880" s="35" t="s">
        <v>7023</v>
      </c>
    </row>
    <row r="1881" spans="1:5" ht="14.25" hidden="1" customHeight="1">
      <c r="A1881" s="155">
        <v>23015488</v>
      </c>
      <c r="B1881" s="173" t="s">
        <v>3871</v>
      </c>
      <c r="C1881" s="173" t="s">
        <v>1061</v>
      </c>
      <c r="D1881" s="173" t="s">
        <v>7022</v>
      </c>
      <c r="E1881" s="203">
        <v>43241</v>
      </c>
    </row>
    <row r="1882" spans="1:5" ht="14.25" hidden="1" customHeight="1">
      <c r="A1882" s="16">
        <v>23116307</v>
      </c>
      <c r="B1882" s="17" t="s">
        <v>1547</v>
      </c>
      <c r="C1882" s="17" t="s">
        <v>1353</v>
      </c>
      <c r="D1882" s="1" t="s">
        <v>7022</v>
      </c>
      <c r="E1882" s="35" t="s">
        <v>7023</v>
      </c>
    </row>
    <row r="1883" spans="1:5" ht="14.25" hidden="1" customHeight="1">
      <c r="A1883" s="155">
        <v>23116307</v>
      </c>
      <c r="B1883" s="173" t="s">
        <v>1547</v>
      </c>
      <c r="C1883" s="173" t="s">
        <v>1353</v>
      </c>
      <c r="D1883" s="173" t="s">
        <v>7022</v>
      </c>
      <c r="E1883" s="203">
        <v>43241</v>
      </c>
    </row>
    <row r="1884" spans="1:5" ht="14.25" hidden="1" customHeight="1">
      <c r="A1884" s="16">
        <v>23117670</v>
      </c>
      <c r="B1884" s="17" t="s">
        <v>4994</v>
      </c>
      <c r="C1884" s="17" t="s">
        <v>5734</v>
      </c>
      <c r="D1884" s="1" t="s">
        <v>7022</v>
      </c>
      <c r="E1884" s="35" t="s">
        <v>7023</v>
      </c>
    </row>
    <row r="1885" spans="1:5" ht="14.25" hidden="1" customHeight="1">
      <c r="A1885" s="155">
        <v>23117670</v>
      </c>
      <c r="B1885" s="173" t="s">
        <v>4994</v>
      </c>
      <c r="C1885" s="173" t="s">
        <v>5734</v>
      </c>
      <c r="D1885" s="173" t="s">
        <v>7022</v>
      </c>
      <c r="E1885" s="203">
        <v>43241</v>
      </c>
    </row>
    <row r="1886" spans="1:5" ht="14.25" hidden="1" customHeight="1">
      <c r="A1886" s="16">
        <v>23238427</v>
      </c>
      <c r="B1886" s="17" t="s">
        <v>3734</v>
      </c>
      <c r="C1886" s="17" t="s">
        <v>3735</v>
      </c>
      <c r="D1886" s="1" t="s">
        <v>7022</v>
      </c>
      <c r="E1886" s="35" t="s">
        <v>7023</v>
      </c>
    </row>
    <row r="1887" spans="1:5" ht="14.25" hidden="1" customHeight="1">
      <c r="A1887" s="155">
        <v>23238427</v>
      </c>
      <c r="B1887" s="173" t="s">
        <v>3734</v>
      </c>
      <c r="C1887" s="173" t="s">
        <v>3735</v>
      </c>
      <c r="D1887" s="173" t="s">
        <v>7022</v>
      </c>
      <c r="E1887" s="203">
        <v>43241</v>
      </c>
    </row>
    <row r="1888" spans="1:5" ht="14.25" hidden="1" customHeight="1">
      <c r="A1888" s="16">
        <v>23931397</v>
      </c>
      <c r="B1888" s="17" t="s">
        <v>384</v>
      </c>
      <c r="C1888" s="17" t="s">
        <v>385</v>
      </c>
      <c r="D1888" s="1" t="s">
        <v>7022</v>
      </c>
      <c r="E1888" s="35" t="s">
        <v>7023</v>
      </c>
    </row>
    <row r="1889" spans="1:5" ht="14.25" hidden="1" customHeight="1">
      <c r="A1889" s="16">
        <v>23931397</v>
      </c>
      <c r="B1889" s="17" t="s">
        <v>384</v>
      </c>
      <c r="C1889" s="17" t="s">
        <v>385</v>
      </c>
      <c r="D1889" s="1" t="s">
        <v>7022</v>
      </c>
      <c r="E1889" s="35" t="s">
        <v>7023</v>
      </c>
    </row>
    <row r="1890" spans="1:5" ht="14.25" hidden="1" customHeight="1">
      <c r="A1890" s="155">
        <v>23931397</v>
      </c>
      <c r="B1890" s="173" t="s">
        <v>384</v>
      </c>
      <c r="C1890" s="173" t="s">
        <v>385</v>
      </c>
      <c r="D1890" s="173" t="s">
        <v>7022</v>
      </c>
      <c r="E1890" s="203">
        <v>43241</v>
      </c>
    </row>
    <row r="1891" spans="1:5" ht="14.25" hidden="1" customHeight="1">
      <c r="A1891" s="155">
        <v>23931397</v>
      </c>
      <c r="B1891" s="173" t="s">
        <v>384</v>
      </c>
      <c r="C1891" s="173" t="s">
        <v>385</v>
      </c>
      <c r="D1891" s="173" t="s">
        <v>7022</v>
      </c>
      <c r="E1891" s="203">
        <v>43241</v>
      </c>
    </row>
    <row r="1892" spans="1:5" ht="14.25" hidden="1" customHeight="1">
      <c r="A1892" s="16">
        <v>24340309</v>
      </c>
      <c r="B1892" s="17" t="s">
        <v>2634</v>
      </c>
      <c r="C1892" s="17" t="s">
        <v>2635</v>
      </c>
      <c r="D1892" s="1" t="s">
        <v>7022</v>
      </c>
      <c r="E1892" s="35" t="s">
        <v>7023</v>
      </c>
    </row>
    <row r="1893" spans="1:5" ht="14.25" hidden="1" customHeight="1">
      <c r="A1893" s="155">
        <v>24340309</v>
      </c>
      <c r="B1893" s="173" t="s">
        <v>2634</v>
      </c>
      <c r="C1893" s="173" t="s">
        <v>2635</v>
      </c>
      <c r="D1893" s="173" t="s">
        <v>7022</v>
      </c>
      <c r="E1893" s="203">
        <v>43241</v>
      </c>
    </row>
    <row r="1894" spans="1:5" ht="14.25" hidden="1" customHeight="1">
      <c r="A1894" s="16">
        <v>24355788</v>
      </c>
      <c r="B1894" s="17" t="s">
        <v>4395</v>
      </c>
      <c r="C1894" s="17" t="s">
        <v>4396</v>
      </c>
      <c r="D1894" s="1" t="s">
        <v>7022</v>
      </c>
      <c r="E1894" s="35" t="s">
        <v>7023</v>
      </c>
    </row>
    <row r="1895" spans="1:5" ht="14.25" hidden="1" customHeight="1">
      <c r="A1895" s="155">
        <v>24355788</v>
      </c>
      <c r="B1895" s="173" t="s">
        <v>4395</v>
      </c>
      <c r="C1895" s="173" t="s">
        <v>4396</v>
      </c>
      <c r="D1895" s="173" t="s">
        <v>7022</v>
      </c>
      <c r="E1895" s="203">
        <v>43241</v>
      </c>
    </row>
    <row r="1896" spans="1:5" ht="14.25" hidden="1" customHeight="1">
      <c r="A1896" s="16">
        <v>24553106</v>
      </c>
      <c r="B1896" s="17" t="s">
        <v>3749</v>
      </c>
      <c r="C1896" s="17" t="s">
        <v>3750</v>
      </c>
      <c r="D1896" s="1" t="s">
        <v>7022</v>
      </c>
      <c r="E1896" s="35" t="s">
        <v>7023</v>
      </c>
    </row>
    <row r="1897" spans="1:5" ht="14.25" hidden="1" customHeight="1">
      <c r="A1897" s="155">
        <v>24553106</v>
      </c>
      <c r="B1897" s="173" t="s">
        <v>3749</v>
      </c>
      <c r="C1897" s="173" t="s">
        <v>3750</v>
      </c>
      <c r="D1897" s="173" t="s">
        <v>7022</v>
      </c>
      <c r="E1897" s="203">
        <v>43241</v>
      </c>
    </row>
    <row r="1898" spans="1:5" ht="14.25" hidden="1" customHeight="1">
      <c r="A1898" s="16">
        <v>24982872</v>
      </c>
      <c r="B1898" s="17" t="s">
        <v>5604</v>
      </c>
      <c r="C1898" s="17" t="s">
        <v>5605</v>
      </c>
      <c r="D1898" s="1" t="s">
        <v>7022</v>
      </c>
      <c r="E1898" s="35" t="s">
        <v>7023</v>
      </c>
    </row>
    <row r="1899" spans="1:5" ht="14.25" hidden="1" customHeight="1">
      <c r="A1899" s="155">
        <v>24982872</v>
      </c>
      <c r="B1899" s="173" t="s">
        <v>5604</v>
      </c>
      <c r="C1899" s="173" t="s">
        <v>5605</v>
      </c>
      <c r="D1899" s="173" t="s">
        <v>7022</v>
      </c>
      <c r="E1899" s="203">
        <v>43241</v>
      </c>
    </row>
    <row r="1900" spans="1:5" ht="14.25" hidden="1" customHeight="1">
      <c r="A1900" s="16">
        <v>25255325</v>
      </c>
      <c r="B1900" s="17" t="s">
        <v>626</v>
      </c>
      <c r="C1900" s="17" t="s">
        <v>627</v>
      </c>
      <c r="D1900" s="1" t="s">
        <v>7022</v>
      </c>
      <c r="E1900" s="35" t="s">
        <v>7023</v>
      </c>
    </row>
    <row r="1901" spans="1:5" ht="14.25" hidden="1" customHeight="1">
      <c r="A1901" s="155">
        <v>25255325</v>
      </c>
      <c r="B1901" s="173" t="s">
        <v>626</v>
      </c>
      <c r="C1901" s="173" t="s">
        <v>627</v>
      </c>
      <c r="D1901" s="173" t="s">
        <v>7022</v>
      </c>
      <c r="E1901" s="203">
        <v>43241</v>
      </c>
    </row>
    <row r="1902" spans="1:5" ht="14.25" hidden="1" customHeight="1">
      <c r="A1902" s="16">
        <v>25255781</v>
      </c>
      <c r="B1902" s="17" t="s">
        <v>1317</v>
      </c>
      <c r="C1902" s="17" t="s">
        <v>1318</v>
      </c>
      <c r="D1902" s="1" t="s">
        <v>7022</v>
      </c>
      <c r="E1902" s="35" t="s">
        <v>7023</v>
      </c>
    </row>
    <row r="1903" spans="1:5" ht="14.25" hidden="1" customHeight="1">
      <c r="A1903" s="155">
        <v>25255781</v>
      </c>
      <c r="B1903" s="173" t="s">
        <v>1317</v>
      </c>
      <c r="C1903" s="173" t="s">
        <v>1318</v>
      </c>
      <c r="D1903" s="173" t="s">
        <v>7022</v>
      </c>
      <c r="E1903" s="203">
        <v>43241</v>
      </c>
    </row>
    <row r="1904" spans="1:5" ht="14.25" hidden="1" customHeight="1">
      <c r="A1904" s="16">
        <v>25380707</v>
      </c>
      <c r="B1904" s="17" t="s">
        <v>5150</v>
      </c>
      <c r="C1904" s="17" t="s">
        <v>5151</v>
      </c>
      <c r="D1904" s="1" t="s">
        <v>7022</v>
      </c>
      <c r="E1904" s="35" t="s">
        <v>7023</v>
      </c>
    </row>
    <row r="1905" spans="1:5" ht="14.25" hidden="1" customHeight="1">
      <c r="A1905" s="155">
        <v>25380707</v>
      </c>
      <c r="B1905" s="173" t="s">
        <v>5150</v>
      </c>
      <c r="C1905" s="173" t="s">
        <v>5151</v>
      </c>
      <c r="D1905" s="173" t="s">
        <v>7022</v>
      </c>
      <c r="E1905" s="203">
        <v>43241</v>
      </c>
    </row>
    <row r="1906" spans="1:5" ht="14.25" hidden="1" customHeight="1">
      <c r="A1906" s="16">
        <v>25444258</v>
      </c>
      <c r="B1906" s="17" t="s">
        <v>4847</v>
      </c>
      <c r="C1906" s="17" t="s">
        <v>4848</v>
      </c>
      <c r="D1906" s="1" t="s">
        <v>7022</v>
      </c>
      <c r="E1906" s="35" t="s">
        <v>7023</v>
      </c>
    </row>
    <row r="1907" spans="1:5" ht="14.25" hidden="1" customHeight="1">
      <c r="A1907" s="155">
        <v>25444258</v>
      </c>
      <c r="B1907" s="173" t="s">
        <v>4847</v>
      </c>
      <c r="C1907" s="173" t="s">
        <v>4848</v>
      </c>
      <c r="D1907" s="173" t="s">
        <v>7022</v>
      </c>
      <c r="E1907" s="203">
        <v>43241</v>
      </c>
    </row>
    <row r="1908" spans="1:5" ht="14.25" hidden="1" customHeight="1">
      <c r="A1908" s="16">
        <v>25542562</v>
      </c>
      <c r="B1908" s="17" t="s">
        <v>3377</v>
      </c>
      <c r="C1908" s="17" t="s">
        <v>1173</v>
      </c>
      <c r="D1908" s="1" t="s">
        <v>7022</v>
      </c>
      <c r="E1908" s="35" t="s">
        <v>7023</v>
      </c>
    </row>
    <row r="1909" spans="1:5" ht="14.25" hidden="1" customHeight="1">
      <c r="A1909" s="155">
        <v>25542562</v>
      </c>
      <c r="B1909" s="173" t="s">
        <v>3377</v>
      </c>
      <c r="C1909" s="173" t="s">
        <v>1173</v>
      </c>
      <c r="D1909" s="173" t="s">
        <v>7022</v>
      </c>
      <c r="E1909" s="203">
        <v>43241</v>
      </c>
    </row>
    <row r="1910" spans="1:5" ht="14.25" hidden="1" customHeight="1">
      <c r="A1910" s="16">
        <v>25559253</v>
      </c>
      <c r="B1910" s="17" t="s">
        <v>435</v>
      </c>
      <c r="C1910" s="17" t="s">
        <v>436</v>
      </c>
      <c r="D1910" s="1" t="s">
        <v>7022</v>
      </c>
      <c r="E1910" s="35" t="s">
        <v>7023</v>
      </c>
    </row>
    <row r="1911" spans="1:5" ht="14.25" hidden="1" customHeight="1">
      <c r="A1911" s="155">
        <v>25559253</v>
      </c>
      <c r="B1911" s="173" t="s">
        <v>435</v>
      </c>
      <c r="C1911" s="173" t="s">
        <v>436</v>
      </c>
      <c r="D1911" s="173" t="s">
        <v>7022</v>
      </c>
      <c r="E1911" s="203">
        <v>43241</v>
      </c>
    </row>
    <row r="1912" spans="1:5" ht="14.25" hidden="1" customHeight="1">
      <c r="A1912" s="16">
        <v>25709455</v>
      </c>
      <c r="B1912" s="17" t="s">
        <v>5643</v>
      </c>
      <c r="C1912" s="17" t="s">
        <v>5644</v>
      </c>
      <c r="D1912" s="1" t="s">
        <v>7022</v>
      </c>
      <c r="E1912" s="35" t="s">
        <v>7023</v>
      </c>
    </row>
    <row r="1913" spans="1:5" ht="14.25" hidden="1" customHeight="1">
      <c r="A1913" s="155">
        <v>25709455</v>
      </c>
      <c r="B1913" s="173" t="s">
        <v>5643</v>
      </c>
      <c r="C1913" s="173" t="s">
        <v>5644</v>
      </c>
      <c r="D1913" s="173" t="s">
        <v>7022</v>
      </c>
      <c r="E1913" s="203">
        <v>43241</v>
      </c>
    </row>
    <row r="1914" spans="1:5" ht="14.25" hidden="1" customHeight="1">
      <c r="A1914" s="16">
        <v>26892754</v>
      </c>
      <c r="B1914" s="17" t="s">
        <v>574</v>
      </c>
      <c r="C1914" s="17" t="s">
        <v>1346</v>
      </c>
      <c r="D1914" s="1" t="s">
        <v>7022</v>
      </c>
      <c r="E1914" s="35" t="s">
        <v>7023</v>
      </c>
    </row>
    <row r="1915" spans="1:5" ht="14.25" hidden="1" customHeight="1">
      <c r="A1915" s="155">
        <v>26892754</v>
      </c>
      <c r="B1915" s="173" t="s">
        <v>574</v>
      </c>
      <c r="C1915" s="173" t="s">
        <v>1346</v>
      </c>
      <c r="D1915" s="173" t="s">
        <v>7022</v>
      </c>
      <c r="E1915" s="203">
        <v>43241</v>
      </c>
    </row>
    <row r="1916" spans="1:5" ht="14.25" hidden="1" customHeight="1">
      <c r="A1916" s="16">
        <v>28444504</v>
      </c>
      <c r="B1916" s="17" t="s">
        <v>1325</v>
      </c>
      <c r="C1916" s="17" t="s">
        <v>1326</v>
      </c>
      <c r="D1916" s="1" t="s">
        <v>7022</v>
      </c>
      <c r="E1916" s="35" t="s">
        <v>7023</v>
      </c>
    </row>
    <row r="1917" spans="1:5" ht="14.25" hidden="1" customHeight="1">
      <c r="A1917" s="155">
        <v>28444504</v>
      </c>
      <c r="B1917" s="173" t="s">
        <v>1325</v>
      </c>
      <c r="C1917" s="173" t="s">
        <v>1326</v>
      </c>
      <c r="D1917" s="173" t="s">
        <v>7022</v>
      </c>
      <c r="E1917" s="203">
        <v>43241</v>
      </c>
    </row>
    <row r="1918" spans="1:5" ht="14.25" hidden="1" customHeight="1">
      <c r="A1918" s="16">
        <v>28496373</v>
      </c>
      <c r="B1918" s="17" t="s">
        <v>1352</v>
      </c>
      <c r="C1918" s="17" t="s">
        <v>1353</v>
      </c>
      <c r="D1918" s="1" t="s">
        <v>7022</v>
      </c>
      <c r="E1918" s="35" t="s">
        <v>7023</v>
      </c>
    </row>
    <row r="1919" spans="1:5" ht="14.25" hidden="1" customHeight="1">
      <c r="A1919" s="155">
        <v>28496373</v>
      </c>
      <c r="B1919" s="173" t="s">
        <v>1352</v>
      </c>
      <c r="C1919" s="173" t="s">
        <v>1353</v>
      </c>
      <c r="D1919" s="173" t="s">
        <v>7022</v>
      </c>
      <c r="E1919" s="203">
        <v>43241</v>
      </c>
    </row>
    <row r="1920" spans="1:5" ht="14.25" hidden="1" customHeight="1">
      <c r="A1920" s="16">
        <v>29060912</v>
      </c>
      <c r="B1920" s="17" t="s">
        <v>760</v>
      </c>
      <c r="C1920" s="17" t="s">
        <v>4373</v>
      </c>
      <c r="D1920" s="1" t="s">
        <v>7022</v>
      </c>
      <c r="E1920" s="35" t="s">
        <v>7023</v>
      </c>
    </row>
    <row r="1921" spans="1:5" ht="14.25" hidden="1" customHeight="1">
      <c r="A1921" s="155">
        <v>29060912</v>
      </c>
      <c r="B1921" s="173" t="s">
        <v>760</v>
      </c>
      <c r="C1921" s="173" t="s">
        <v>4373</v>
      </c>
      <c r="D1921" s="173" t="s">
        <v>7022</v>
      </c>
      <c r="E1921" s="203">
        <v>43241</v>
      </c>
    </row>
    <row r="1922" spans="1:5" ht="14.25" hidden="1" customHeight="1">
      <c r="A1922" s="16">
        <v>29175641</v>
      </c>
      <c r="B1922" s="17" t="s">
        <v>511</v>
      </c>
      <c r="C1922" s="17" t="s">
        <v>512</v>
      </c>
      <c r="D1922" s="1" t="s">
        <v>7022</v>
      </c>
      <c r="E1922" s="35" t="s">
        <v>7023</v>
      </c>
    </row>
    <row r="1923" spans="1:5" ht="14.25" hidden="1" customHeight="1">
      <c r="A1923" s="155">
        <v>29175641</v>
      </c>
      <c r="B1923" s="173" t="s">
        <v>511</v>
      </c>
      <c r="C1923" s="173" t="s">
        <v>512</v>
      </c>
      <c r="D1923" s="173" t="s">
        <v>7022</v>
      </c>
      <c r="E1923" s="203">
        <v>43241</v>
      </c>
    </row>
    <row r="1924" spans="1:5" ht="14.25" hidden="1" customHeight="1">
      <c r="A1924" s="16">
        <v>29430129</v>
      </c>
      <c r="B1924" s="17" t="s">
        <v>218</v>
      </c>
      <c r="C1924" s="17" t="s">
        <v>527</v>
      </c>
      <c r="D1924" s="1" t="s">
        <v>7022</v>
      </c>
      <c r="E1924" s="35" t="s">
        <v>7023</v>
      </c>
    </row>
    <row r="1925" spans="1:5" ht="14.25" hidden="1" customHeight="1">
      <c r="A1925" s="155">
        <v>29430129</v>
      </c>
      <c r="B1925" s="173" t="s">
        <v>218</v>
      </c>
      <c r="C1925" s="173" t="s">
        <v>527</v>
      </c>
      <c r="D1925" s="173" t="s">
        <v>7022</v>
      </c>
      <c r="E1925" s="203">
        <v>43241</v>
      </c>
    </row>
    <row r="1926" spans="1:5" ht="14.25" hidden="1" customHeight="1">
      <c r="A1926" s="16">
        <v>30408472</v>
      </c>
      <c r="B1926" s="17" t="s">
        <v>5204</v>
      </c>
      <c r="C1926" s="17" t="s">
        <v>5205</v>
      </c>
      <c r="D1926" s="1" t="s">
        <v>7022</v>
      </c>
      <c r="E1926" s="35" t="s">
        <v>7023</v>
      </c>
    </row>
    <row r="1927" spans="1:5" ht="14.25" hidden="1" customHeight="1">
      <c r="A1927" s="155">
        <v>30408472</v>
      </c>
      <c r="B1927" s="173" t="s">
        <v>5204</v>
      </c>
      <c r="C1927" s="173" t="s">
        <v>5205</v>
      </c>
      <c r="D1927" s="173" t="s">
        <v>7022</v>
      </c>
      <c r="E1927" s="203">
        <v>43241</v>
      </c>
    </row>
    <row r="1928" spans="1:5" ht="14.25" hidden="1" customHeight="1">
      <c r="A1928" s="16">
        <v>31127445</v>
      </c>
      <c r="B1928" s="17" t="s">
        <v>5251</v>
      </c>
      <c r="C1928" s="17" t="s">
        <v>1182</v>
      </c>
      <c r="D1928" s="1" t="s">
        <v>7022</v>
      </c>
      <c r="E1928" s="35" t="s">
        <v>7023</v>
      </c>
    </row>
    <row r="1929" spans="1:5" ht="14.25" hidden="1" customHeight="1">
      <c r="A1929" s="155">
        <v>31127445</v>
      </c>
      <c r="B1929" s="173" t="s">
        <v>5251</v>
      </c>
      <c r="C1929" s="173" t="s">
        <v>1182</v>
      </c>
      <c r="D1929" s="173" t="s">
        <v>7022</v>
      </c>
      <c r="E1929" s="203">
        <v>43241</v>
      </c>
    </row>
    <row r="1930" spans="1:5" ht="14.25" hidden="1" customHeight="1">
      <c r="A1930" s="16">
        <v>31842029</v>
      </c>
      <c r="B1930" s="17" t="s">
        <v>5233</v>
      </c>
      <c r="C1930" s="17" t="s">
        <v>5234</v>
      </c>
      <c r="D1930" s="1" t="s">
        <v>7022</v>
      </c>
      <c r="E1930" s="35" t="s">
        <v>7023</v>
      </c>
    </row>
    <row r="1931" spans="1:5" ht="14.25" hidden="1" customHeight="1">
      <c r="A1931" s="155">
        <v>31842029</v>
      </c>
      <c r="B1931" s="173" t="s">
        <v>5233</v>
      </c>
      <c r="C1931" s="173" t="s">
        <v>5234</v>
      </c>
      <c r="D1931" s="173" t="s">
        <v>7022</v>
      </c>
      <c r="E1931" s="203">
        <v>43241</v>
      </c>
    </row>
    <row r="1932" spans="1:5" ht="14.25" hidden="1" customHeight="1">
      <c r="A1932" s="16">
        <v>32202336</v>
      </c>
      <c r="B1932" s="17" t="s">
        <v>4286</v>
      </c>
      <c r="C1932" s="17" t="s">
        <v>4465</v>
      </c>
      <c r="D1932" s="1" t="s">
        <v>7022</v>
      </c>
      <c r="E1932" s="35" t="s">
        <v>7023</v>
      </c>
    </row>
    <row r="1933" spans="1:5" ht="14.25" hidden="1" customHeight="1">
      <c r="A1933" s="155">
        <v>32202336</v>
      </c>
      <c r="B1933" s="173" t="s">
        <v>4286</v>
      </c>
      <c r="C1933" s="173" t="s">
        <v>4465</v>
      </c>
      <c r="D1933" s="173" t="s">
        <v>7022</v>
      </c>
      <c r="E1933" s="203">
        <v>43241</v>
      </c>
    </row>
    <row r="1934" spans="1:5" ht="14.25" hidden="1" customHeight="1">
      <c r="A1934" s="16">
        <v>32235561</v>
      </c>
      <c r="B1934" s="17" t="s">
        <v>4478</v>
      </c>
      <c r="C1934" s="17" t="s">
        <v>4479</v>
      </c>
      <c r="D1934" s="1" t="s">
        <v>7022</v>
      </c>
      <c r="E1934" s="35" t="s">
        <v>7023</v>
      </c>
    </row>
    <row r="1935" spans="1:5" ht="14.25" hidden="1" customHeight="1">
      <c r="A1935" s="155">
        <v>32235561</v>
      </c>
      <c r="B1935" s="173" t="s">
        <v>4478</v>
      </c>
      <c r="C1935" s="173" t="s">
        <v>4479</v>
      </c>
      <c r="D1935" s="173" t="s">
        <v>7022</v>
      </c>
      <c r="E1935" s="203">
        <v>43241</v>
      </c>
    </row>
    <row r="1936" spans="1:5" ht="14.25" hidden="1" customHeight="1">
      <c r="A1936" s="16">
        <v>33050647</v>
      </c>
      <c r="B1936" s="17" t="s">
        <v>2579</v>
      </c>
      <c r="C1936" s="17" t="s">
        <v>223</v>
      </c>
      <c r="D1936" s="1" t="s">
        <v>7022</v>
      </c>
      <c r="E1936" s="35" t="s">
        <v>7023</v>
      </c>
    </row>
    <row r="1937" spans="1:5" ht="14.25" hidden="1" customHeight="1">
      <c r="A1937" s="155">
        <v>33050647</v>
      </c>
      <c r="B1937" s="173" t="s">
        <v>2579</v>
      </c>
      <c r="C1937" s="173" t="s">
        <v>223</v>
      </c>
      <c r="D1937" s="173" t="s">
        <v>7022</v>
      </c>
      <c r="E1937" s="203">
        <v>43241</v>
      </c>
    </row>
    <row r="1938" spans="1:5" ht="14.25" hidden="1" customHeight="1">
      <c r="A1938" s="16">
        <v>33977015</v>
      </c>
      <c r="B1938" s="17" t="s">
        <v>472</v>
      </c>
      <c r="C1938" s="17" t="s">
        <v>5721</v>
      </c>
      <c r="D1938" s="1" t="s">
        <v>7022</v>
      </c>
      <c r="E1938" s="35" t="s">
        <v>7023</v>
      </c>
    </row>
    <row r="1939" spans="1:5" ht="14.25" hidden="1" customHeight="1">
      <c r="A1939" s="155">
        <v>33977015</v>
      </c>
      <c r="B1939" s="173" t="s">
        <v>472</v>
      </c>
      <c r="C1939" s="173" t="s">
        <v>5721</v>
      </c>
      <c r="D1939" s="173" t="s">
        <v>7022</v>
      </c>
      <c r="E1939" s="203">
        <v>43241</v>
      </c>
    </row>
    <row r="1940" spans="1:5" ht="14.25" hidden="1" customHeight="1">
      <c r="A1940" s="16">
        <v>34132588</v>
      </c>
      <c r="B1940" s="17" t="s">
        <v>308</v>
      </c>
      <c r="C1940" s="17" t="s">
        <v>6462</v>
      </c>
      <c r="D1940" s="1" t="s">
        <v>7022</v>
      </c>
      <c r="E1940" s="35" t="s">
        <v>7023</v>
      </c>
    </row>
    <row r="1941" spans="1:5" ht="14.25" hidden="1" customHeight="1">
      <c r="A1941" s="155">
        <v>34132588</v>
      </c>
      <c r="B1941" s="173" t="s">
        <v>308</v>
      </c>
      <c r="C1941" s="173" t="s">
        <v>6462</v>
      </c>
      <c r="D1941" s="173" t="s">
        <v>7022</v>
      </c>
      <c r="E1941" s="203">
        <v>43241</v>
      </c>
    </row>
    <row r="1942" spans="1:5" ht="14.25" hidden="1" customHeight="1">
      <c r="A1942" s="16">
        <v>36224368</v>
      </c>
      <c r="B1942" s="17" t="s">
        <v>1257</v>
      </c>
      <c r="C1942" s="17" t="s">
        <v>1258</v>
      </c>
      <c r="D1942" s="1" t="s">
        <v>7022</v>
      </c>
      <c r="E1942" s="35" t="s">
        <v>7023</v>
      </c>
    </row>
    <row r="1943" spans="1:5" ht="14.25" hidden="1" customHeight="1">
      <c r="A1943" s="155">
        <v>36224368</v>
      </c>
      <c r="B1943" s="173" t="s">
        <v>1257</v>
      </c>
      <c r="C1943" s="173" t="s">
        <v>1258</v>
      </c>
      <c r="D1943" s="173" t="s">
        <v>7022</v>
      </c>
      <c r="E1943" s="203">
        <v>43241</v>
      </c>
    </row>
    <row r="1944" spans="1:5" ht="14.25" hidden="1" customHeight="1">
      <c r="A1944" s="16">
        <v>37096427</v>
      </c>
      <c r="B1944" s="17" t="s">
        <v>670</v>
      </c>
      <c r="C1944" s="17" t="s">
        <v>3352</v>
      </c>
      <c r="D1944" s="1" t="s">
        <v>7022</v>
      </c>
      <c r="E1944" s="35" t="s">
        <v>7023</v>
      </c>
    </row>
    <row r="1945" spans="1:5" ht="14.25" hidden="1" customHeight="1">
      <c r="A1945" s="155">
        <v>37096427</v>
      </c>
      <c r="B1945" s="173" t="s">
        <v>670</v>
      </c>
      <c r="C1945" s="173" t="s">
        <v>3352</v>
      </c>
      <c r="D1945" s="173" t="s">
        <v>7022</v>
      </c>
      <c r="E1945" s="203">
        <v>43241</v>
      </c>
    </row>
    <row r="1946" spans="1:5" ht="14.25" hidden="1" customHeight="1">
      <c r="A1946" s="16">
        <v>14984007</v>
      </c>
      <c r="B1946" s="17" t="s">
        <v>3742</v>
      </c>
      <c r="C1946" s="17" t="s">
        <v>3743</v>
      </c>
      <c r="D1946" s="1" t="s">
        <v>7025</v>
      </c>
      <c r="E1946" s="35" t="s">
        <v>7026</v>
      </c>
    </row>
    <row r="1947" spans="1:5" ht="14.25" hidden="1" customHeight="1">
      <c r="A1947" s="155">
        <v>14984007</v>
      </c>
      <c r="B1947" s="173" t="s">
        <v>3742</v>
      </c>
      <c r="C1947" s="173" t="s">
        <v>3743</v>
      </c>
      <c r="D1947" s="173" t="s">
        <v>7025</v>
      </c>
      <c r="E1947" s="203">
        <v>43237</v>
      </c>
    </row>
    <row r="1948" spans="1:5" ht="14.25" hidden="1" customHeight="1">
      <c r="A1948" s="16">
        <v>14984966</v>
      </c>
      <c r="B1948" s="17" t="s">
        <v>1558</v>
      </c>
      <c r="C1948" s="17" t="s">
        <v>1061</v>
      </c>
      <c r="D1948" s="1" t="s">
        <v>7025</v>
      </c>
      <c r="E1948" s="35" t="s">
        <v>7026</v>
      </c>
    </row>
    <row r="1949" spans="1:5" ht="14.25" hidden="1" customHeight="1">
      <c r="A1949" s="155">
        <v>14984966</v>
      </c>
      <c r="B1949" s="173" t="s">
        <v>1558</v>
      </c>
      <c r="C1949" s="173" t="s">
        <v>1061</v>
      </c>
      <c r="D1949" s="173" t="s">
        <v>7025</v>
      </c>
      <c r="E1949" s="203">
        <v>43237</v>
      </c>
    </row>
    <row r="1950" spans="1:5" ht="14.25" hidden="1" customHeight="1">
      <c r="A1950" s="16">
        <v>21823138</v>
      </c>
      <c r="B1950" s="17" t="s">
        <v>2840</v>
      </c>
      <c r="C1950" s="17" t="s">
        <v>2841</v>
      </c>
      <c r="D1950" s="1" t="s">
        <v>7025</v>
      </c>
      <c r="E1950" s="35" t="s">
        <v>7026</v>
      </c>
    </row>
    <row r="1951" spans="1:5" ht="14.25" hidden="1" customHeight="1">
      <c r="A1951" s="155">
        <v>21823138</v>
      </c>
      <c r="B1951" s="173" t="s">
        <v>2840</v>
      </c>
      <c r="C1951" s="173" t="s">
        <v>2841</v>
      </c>
      <c r="D1951" s="173" t="s">
        <v>7025</v>
      </c>
      <c r="E1951" s="203">
        <v>43237</v>
      </c>
    </row>
    <row r="1952" spans="1:5" ht="14.25" hidden="1" customHeight="1">
      <c r="A1952" s="16">
        <v>23519447</v>
      </c>
      <c r="B1952" s="17" t="s">
        <v>2195</v>
      </c>
      <c r="C1952" s="17" t="s">
        <v>2198</v>
      </c>
      <c r="D1952" s="1" t="s">
        <v>7025</v>
      </c>
      <c r="E1952" s="35" t="s">
        <v>7026</v>
      </c>
    </row>
    <row r="1953" spans="1:5" ht="14.25" hidden="1" customHeight="1">
      <c r="A1953" s="155">
        <v>23519447</v>
      </c>
      <c r="B1953" s="173" t="s">
        <v>2195</v>
      </c>
      <c r="C1953" s="173" t="s">
        <v>2198</v>
      </c>
      <c r="D1953" s="173" t="s">
        <v>7025</v>
      </c>
      <c r="E1953" s="203">
        <v>43237</v>
      </c>
    </row>
    <row r="1954" spans="1:5" ht="14.25" hidden="1" customHeight="1">
      <c r="A1954" s="16">
        <v>25380707</v>
      </c>
      <c r="B1954" s="17" t="s">
        <v>5150</v>
      </c>
      <c r="C1954" s="17" t="s">
        <v>5151</v>
      </c>
      <c r="D1954" s="1" t="s">
        <v>7025</v>
      </c>
      <c r="E1954" s="35" t="s">
        <v>7026</v>
      </c>
    </row>
    <row r="1955" spans="1:5" ht="14.25" hidden="1" customHeight="1">
      <c r="A1955" s="155">
        <v>25380707</v>
      </c>
      <c r="B1955" s="173" t="s">
        <v>5150</v>
      </c>
      <c r="C1955" s="173" t="s">
        <v>5151</v>
      </c>
      <c r="D1955" s="173" t="s">
        <v>7025</v>
      </c>
      <c r="E1955" s="203">
        <v>43237</v>
      </c>
    </row>
    <row r="1956" spans="1:5" ht="14.25" hidden="1" customHeight="1">
      <c r="A1956" s="16">
        <v>25444256</v>
      </c>
      <c r="B1956" s="17" t="s">
        <v>5764</v>
      </c>
      <c r="C1956" s="17" t="s">
        <v>5765</v>
      </c>
      <c r="D1956" s="1" t="s">
        <v>7025</v>
      </c>
      <c r="E1956" s="35" t="s">
        <v>7026</v>
      </c>
    </row>
    <row r="1957" spans="1:5" ht="14.25" hidden="1" customHeight="1">
      <c r="A1957" s="155">
        <v>25444256</v>
      </c>
      <c r="B1957" s="173" t="s">
        <v>5764</v>
      </c>
      <c r="C1957" s="173" t="s">
        <v>5765</v>
      </c>
      <c r="D1957" s="173" t="s">
        <v>7025</v>
      </c>
      <c r="E1957" s="203">
        <v>43237</v>
      </c>
    </row>
    <row r="1958" spans="1:5" ht="14.25" hidden="1" customHeight="1">
      <c r="A1958" s="16">
        <v>26638536</v>
      </c>
      <c r="B1958" s="17" t="s">
        <v>901</v>
      </c>
      <c r="C1958" s="17" t="s">
        <v>902</v>
      </c>
      <c r="D1958" s="1" t="s">
        <v>7025</v>
      </c>
      <c r="E1958" s="35" t="s">
        <v>7026</v>
      </c>
    </row>
    <row r="1959" spans="1:5" ht="14.25" hidden="1" customHeight="1">
      <c r="A1959" s="155">
        <v>26638536</v>
      </c>
      <c r="B1959" s="173" t="s">
        <v>901</v>
      </c>
      <c r="C1959" s="173" t="s">
        <v>902</v>
      </c>
      <c r="D1959" s="173" t="s">
        <v>7025</v>
      </c>
      <c r="E1959" s="203">
        <v>43237</v>
      </c>
    </row>
    <row r="1960" spans="1:5" ht="14.25" hidden="1" customHeight="1">
      <c r="A1960" s="16">
        <v>27575169</v>
      </c>
      <c r="B1960" s="17" t="s">
        <v>601</v>
      </c>
      <c r="C1960" s="17" t="s">
        <v>602</v>
      </c>
      <c r="D1960" s="1" t="s">
        <v>7025</v>
      </c>
      <c r="E1960" s="35" t="s">
        <v>7026</v>
      </c>
    </row>
    <row r="1961" spans="1:5" ht="14.25" hidden="1" customHeight="1">
      <c r="A1961" s="155">
        <v>27575169</v>
      </c>
      <c r="B1961" s="173" t="s">
        <v>601</v>
      </c>
      <c r="C1961" s="173" t="s">
        <v>602</v>
      </c>
      <c r="D1961" s="173" t="s">
        <v>7025</v>
      </c>
      <c r="E1961" s="203">
        <v>43237</v>
      </c>
    </row>
    <row r="1962" spans="1:5" ht="14.25" hidden="1" customHeight="1">
      <c r="A1962" s="16">
        <v>28476977</v>
      </c>
      <c r="B1962" s="17" t="s">
        <v>5296</v>
      </c>
      <c r="C1962" s="17" t="s">
        <v>843</v>
      </c>
      <c r="D1962" s="1" t="s">
        <v>7025</v>
      </c>
      <c r="E1962" s="35" t="s">
        <v>7026</v>
      </c>
    </row>
    <row r="1963" spans="1:5" ht="14.25" hidden="1" customHeight="1">
      <c r="A1963" s="155">
        <v>28476977</v>
      </c>
      <c r="B1963" s="173" t="s">
        <v>5296</v>
      </c>
      <c r="C1963" s="173" t="s">
        <v>843</v>
      </c>
      <c r="D1963" s="173" t="s">
        <v>7025</v>
      </c>
      <c r="E1963" s="203">
        <v>43237</v>
      </c>
    </row>
    <row r="1964" spans="1:5" ht="14.25" hidden="1" customHeight="1">
      <c r="A1964" s="16">
        <v>29743258</v>
      </c>
      <c r="B1964" s="17" t="s">
        <v>144</v>
      </c>
      <c r="C1964" s="17" t="s">
        <v>4283</v>
      </c>
      <c r="D1964" s="1" t="s">
        <v>7025</v>
      </c>
      <c r="E1964" s="35" t="s">
        <v>7026</v>
      </c>
    </row>
    <row r="1965" spans="1:5" ht="14.25" hidden="1" customHeight="1">
      <c r="A1965" s="155">
        <v>29743258</v>
      </c>
      <c r="B1965" s="173" t="s">
        <v>144</v>
      </c>
      <c r="C1965" s="173" t="s">
        <v>4283</v>
      </c>
      <c r="D1965" s="173" t="s">
        <v>7025</v>
      </c>
      <c r="E1965" s="203">
        <v>43237</v>
      </c>
    </row>
    <row r="1966" spans="1:5" ht="14.25" hidden="1" customHeight="1">
      <c r="A1966" s="16">
        <v>30268714</v>
      </c>
      <c r="B1966" s="17" t="s">
        <v>499</v>
      </c>
      <c r="C1966" s="17" t="s">
        <v>769</v>
      </c>
      <c r="D1966" s="1" t="s">
        <v>7025</v>
      </c>
      <c r="E1966" s="35" t="s">
        <v>7026</v>
      </c>
    </row>
    <row r="1967" spans="1:5" ht="14.25" hidden="1" customHeight="1">
      <c r="A1967" s="155">
        <v>30268714</v>
      </c>
      <c r="B1967" s="173" t="s">
        <v>499</v>
      </c>
      <c r="C1967" s="173" t="s">
        <v>769</v>
      </c>
      <c r="D1967" s="173" t="s">
        <v>7025</v>
      </c>
      <c r="E1967" s="203">
        <v>43237</v>
      </c>
    </row>
    <row r="1968" spans="1:5" ht="14.25" hidden="1" customHeight="1">
      <c r="A1968" s="16">
        <v>31322920</v>
      </c>
      <c r="B1968" s="17" t="s">
        <v>2026</v>
      </c>
      <c r="C1968" s="17" t="s">
        <v>5441</v>
      </c>
      <c r="D1968" s="1" t="s">
        <v>7025</v>
      </c>
      <c r="E1968" s="35" t="s">
        <v>7026</v>
      </c>
    </row>
    <row r="1969" spans="1:5" ht="14.25" hidden="1" customHeight="1">
      <c r="A1969" s="155">
        <v>31322920</v>
      </c>
      <c r="B1969" s="173" t="s">
        <v>2026</v>
      </c>
      <c r="C1969" s="173" t="s">
        <v>5441</v>
      </c>
      <c r="D1969" s="173" t="s">
        <v>7025</v>
      </c>
      <c r="E1969" s="203">
        <v>43237</v>
      </c>
    </row>
    <row r="1970" spans="1:5" ht="14.25" hidden="1" customHeight="1">
      <c r="A1970" s="16">
        <v>11054779</v>
      </c>
      <c r="B1970" s="17" t="s">
        <v>3745</v>
      </c>
      <c r="C1970" s="17" t="s">
        <v>1185</v>
      </c>
      <c r="D1970" s="1" t="s">
        <v>7016</v>
      </c>
      <c r="E1970" s="35" t="s">
        <v>7029</v>
      </c>
    </row>
    <row r="1971" spans="1:5" ht="14.25" hidden="1" customHeight="1">
      <c r="A1971" s="155">
        <v>11054779</v>
      </c>
      <c r="B1971" s="173" t="s">
        <v>3745</v>
      </c>
      <c r="C1971" s="173" t="s">
        <v>1185</v>
      </c>
      <c r="D1971" s="173" t="s">
        <v>7016</v>
      </c>
      <c r="E1971" s="203">
        <v>43236</v>
      </c>
    </row>
    <row r="1972" spans="1:5" ht="14.25" hidden="1" customHeight="1">
      <c r="A1972" s="16">
        <v>14352478</v>
      </c>
      <c r="B1972" s="17" t="s">
        <v>4018</v>
      </c>
      <c r="C1972" s="17" t="s">
        <v>4019</v>
      </c>
      <c r="D1972" s="1" t="s">
        <v>7016</v>
      </c>
      <c r="E1972" s="35" t="s">
        <v>7029</v>
      </c>
    </row>
    <row r="1973" spans="1:5" ht="14.25" hidden="1" customHeight="1">
      <c r="A1973" s="155">
        <v>14352478</v>
      </c>
      <c r="B1973" s="173" t="s">
        <v>4018</v>
      </c>
      <c r="C1973" s="173" t="s">
        <v>4019</v>
      </c>
      <c r="D1973" s="173" t="s">
        <v>7016</v>
      </c>
      <c r="E1973" s="203">
        <v>43236</v>
      </c>
    </row>
    <row r="1974" spans="1:5" ht="14.25" hidden="1" customHeight="1">
      <c r="A1974" s="16">
        <v>17040749</v>
      </c>
      <c r="B1974" s="17" t="s">
        <v>2132</v>
      </c>
      <c r="C1974" s="17" t="s">
        <v>215</v>
      </c>
      <c r="D1974" s="1" t="s">
        <v>7016</v>
      </c>
      <c r="E1974" s="35" t="s">
        <v>7029</v>
      </c>
    </row>
    <row r="1975" spans="1:5" ht="14.25" hidden="1" customHeight="1">
      <c r="A1975" s="155">
        <v>17040749</v>
      </c>
      <c r="B1975" s="173" t="s">
        <v>2132</v>
      </c>
      <c r="C1975" s="173" t="s">
        <v>215</v>
      </c>
      <c r="D1975" s="173" t="s">
        <v>7016</v>
      </c>
      <c r="E1975" s="203">
        <v>43236</v>
      </c>
    </row>
    <row r="1976" spans="1:5" ht="14.25" hidden="1" customHeight="1">
      <c r="A1976" s="16">
        <v>17042486</v>
      </c>
      <c r="B1976" s="17" t="s">
        <v>2607</v>
      </c>
      <c r="C1976" s="17" t="s">
        <v>2608</v>
      </c>
      <c r="D1976" s="1" t="s">
        <v>7016</v>
      </c>
      <c r="E1976" s="35" t="s">
        <v>7029</v>
      </c>
    </row>
    <row r="1977" spans="1:5" ht="14.25" hidden="1" customHeight="1">
      <c r="A1977" s="155">
        <v>17042486</v>
      </c>
      <c r="B1977" s="173" t="s">
        <v>2607</v>
      </c>
      <c r="C1977" s="173" t="s">
        <v>2608</v>
      </c>
      <c r="D1977" s="173" t="s">
        <v>7016</v>
      </c>
      <c r="E1977" s="203">
        <v>43236</v>
      </c>
    </row>
    <row r="1978" spans="1:5" ht="14.25" hidden="1" customHeight="1">
      <c r="A1978" s="16">
        <v>20219090</v>
      </c>
      <c r="B1978" s="17" t="s">
        <v>4429</v>
      </c>
      <c r="C1978" s="17" t="s">
        <v>215</v>
      </c>
      <c r="D1978" s="1" t="s">
        <v>7016</v>
      </c>
      <c r="E1978" s="35" t="s">
        <v>7029</v>
      </c>
    </row>
    <row r="1979" spans="1:5" ht="14.25" hidden="1" customHeight="1">
      <c r="A1979" s="155">
        <v>20219090</v>
      </c>
      <c r="B1979" s="173" t="s">
        <v>4429</v>
      </c>
      <c r="C1979" s="173" t="s">
        <v>215</v>
      </c>
      <c r="D1979" s="173" t="s">
        <v>7016</v>
      </c>
      <c r="E1979" s="203">
        <v>43236</v>
      </c>
    </row>
    <row r="1980" spans="1:5" ht="14.25" hidden="1" customHeight="1">
      <c r="A1980" s="16">
        <v>21829290</v>
      </c>
      <c r="B1980" s="17" t="s">
        <v>2521</v>
      </c>
      <c r="C1980" s="17" t="s">
        <v>2522</v>
      </c>
      <c r="D1980" s="1" t="s">
        <v>7016</v>
      </c>
      <c r="E1980" s="35" t="s">
        <v>7029</v>
      </c>
    </row>
    <row r="1981" spans="1:5" ht="14.25" hidden="1" customHeight="1">
      <c r="A1981" s="155">
        <v>21829290</v>
      </c>
      <c r="B1981" s="173" t="s">
        <v>2521</v>
      </c>
      <c r="C1981" s="173" t="s">
        <v>2522</v>
      </c>
      <c r="D1981" s="173" t="s">
        <v>7016</v>
      </c>
      <c r="E1981" s="203">
        <v>43236</v>
      </c>
    </row>
    <row r="1982" spans="1:5" ht="14.25" hidden="1" customHeight="1">
      <c r="A1982" s="16">
        <v>22303060</v>
      </c>
      <c r="B1982" s="17" t="s">
        <v>6270</v>
      </c>
      <c r="C1982" s="17" t="s">
        <v>233</v>
      </c>
      <c r="D1982" s="1" t="s">
        <v>7016</v>
      </c>
      <c r="E1982" s="35" t="s">
        <v>7029</v>
      </c>
    </row>
    <row r="1983" spans="1:5" ht="14.25" hidden="1" customHeight="1">
      <c r="A1983" s="155">
        <v>22303060</v>
      </c>
      <c r="B1983" s="173" t="s">
        <v>6270</v>
      </c>
      <c r="C1983" s="173" t="s">
        <v>233</v>
      </c>
      <c r="D1983" s="173" t="s">
        <v>7016</v>
      </c>
      <c r="E1983" s="203">
        <v>43236</v>
      </c>
    </row>
    <row r="1984" spans="1:5" ht="14.25" hidden="1" customHeight="1">
      <c r="A1984" s="16">
        <v>24200086</v>
      </c>
      <c r="B1984" s="17" t="s">
        <v>2364</v>
      </c>
      <c r="C1984" s="17" t="s">
        <v>2365</v>
      </c>
      <c r="D1984" s="1" t="s">
        <v>7016</v>
      </c>
      <c r="E1984" s="35" t="s">
        <v>7029</v>
      </c>
    </row>
    <row r="1985" spans="1:5" ht="14.25" hidden="1" customHeight="1">
      <c r="A1985" s="155">
        <v>24200086</v>
      </c>
      <c r="B1985" s="173" t="s">
        <v>2364</v>
      </c>
      <c r="C1985" s="173" t="s">
        <v>2365</v>
      </c>
      <c r="D1985" s="173" t="s">
        <v>7016</v>
      </c>
      <c r="E1985" s="203">
        <v>43236</v>
      </c>
    </row>
    <row r="1986" spans="1:5" ht="14.25" hidden="1" customHeight="1">
      <c r="A1986" s="16">
        <v>25800534</v>
      </c>
      <c r="B1986" s="17" t="s">
        <v>4868</v>
      </c>
      <c r="C1986" s="17" t="s">
        <v>4869</v>
      </c>
      <c r="D1986" s="1" t="s">
        <v>7016</v>
      </c>
      <c r="E1986" s="35" t="s">
        <v>7029</v>
      </c>
    </row>
    <row r="1987" spans="1:5" ht="14.25" hidden="1" customHeight="1">
      <c r="A1987" s="155">
        <v>25800534</v>
      </c>
      <c r="B1987" s="173" t="s">
        <v>4868</v>
      </c>
      <c r="C1987" s="173" t="s">
        <v>4869</v>
      </c>
      <c r="D1987" s="173" t="s">
        <v>7016</v>
      </c>
      <c r="E1987" s="203">
        <v>43236</v>
      </c>
    </row>
    <row r="1988" spans="1:5" ht="14.25" hidden="1" customHeight="1">
      <c r="A1988" s="16">
        <v>27961528</v>
      </c>
      <c r="B1988" s="17" t="s">
        <v>2696</v>
      </c>
      <c r="C1988" s="17" t="s">
        <v>527</v>
      </c>
      <c r="D1988" s="1" t="s">
        <v>7016</v>
      </c>
      <c r="E1988" s="35" t="s">
        <v>7029</v>
      </c>
    </row>
    <row r="1989" spans="1:5" ht="14.25" hidden="1" customHeight="1">
      <c r="A1989" s="155">
        <v>27961528</v>
      </c>
      <c r="B1989" s="173" t="s">
        <v>2696</v>
      </c>
      <c r="C1989" s="173" t="s">
        <v>527</v>
      </c>
      <c r="D1989" s="173" t="s">
        <v>7016</v>
      </c>
      <c r="E1989" s="203">
        <v>43236</v>
      </c>
    </row>
    <row r="1990" spans="1:5" ht="14.25" hidden="1" customHeight="1">
      <c r="A1990" s="16">
        <v>35921443</v>
      </c>
      <c r="B1990" s="17" t="s">
        <v>680</v>
      </c>
      <c r="C1990" s="17" t="s">
        <v>2706</v>
      </c>
      <c r="D1990" s="1" t="s">
        <v>7016</v>
      </c>
      <c r="E1990" s="35" t="s">
        <v>7029</v>
      </c>
    </row>
    <row r="1991" spans="1:5" ht="14.25" hidden="1" customHeight="1">
      <c r="A1991" s="155">
        <v>35921443</v>
      </c>
      <c r="B1991" s="173" t="s">
        <v>680</v>
      </c>
      <c r="C1991" s="173" t="s">
        <v>2706</v>
      </c>
      <c r="D1991" s="173" t="s">
        <v>7016</v>
      </c>
      <c r="E1991" s="203">
        <v>43236</v>
      </c>
    </row>
    <row r="1992" spans="1:5" ht="14.25" hidden="1" customHeight="1">
      <c r="A1992" s="16">
        <v>36224754</v>
      </c>
      <c r="B1992" s="17" t="s">
        <v>3196</v>
      </c>
      <c r="C1992" s="17" t="s">
        <v>3197</v>
      </c>
      <c r="D1992" s="1" t="s">
        <v>7016</v>
      </c>
      <c r="E1992" s="35" t="s">
        <v>7029</v>
      </c>
    </row>
    <row r="1993" spans="1:5" ht="14.25" hidden="1" customHeight="1">
      <c r="A1993" s="155">
        <v>36224754</v>
      </c>
      <c r="B1993" s="173" t="s">
        <v>3196</v>
      </c>
      <c r="C1993" s="173" t="s">
        <v>3197</v>
      </c>
      <c r="D1993" s="173" t="s">
        <v>7016</v>
      </c>
      <c r="E1993" s="203">
        <v>43236</v>
      </c>
    </row>
    <row r="1994" spans="1:5" ht="14.25" hidden="1" customHeight="1">
      <c r="A1994" s="16">
        <v>14480554</v>
      </c>
      <c r="B1994" s="17" t="s">
        <v>1671</v>
      </c>
      <c r="C1994" s="17" t="s">
        <v>1672</v>
      </c>
      <c r="D1994" s="1" t="s">
        <v>7009</v>
      </c>
      <c r="E1994" s="35" t="s">
        <v>7030</v>
      </c>
    </row>
    <row r="1995" spans="1:5" ht="14.25" hidden="1" customHeight="1">
      <c r="A1995" s="155">
        <v>14480554</v>
      </c>
      <c r="B1995" s="173" t="s">
        <v>1671</v>
      </c>
      <c r="C1995" s="173" t="s">
        <v>1672</v>
      </c>
      <c r="D1995" s="173" t="s">
        <v>7009</v>
      </c>
      <c r="E1995" s="203">
        <v>43235</v>
      </c>
    </row>
    <row r="1996" spans="1:5" ht="14.25" hidden="1" customHeight="1">
      <c r="A1996" s="16">
        <v>16541466</v>
      </c>
      <c r="B1996" s="17" t="s">
        <v>3442</v>
      </c>
      <c r="C1996" s="17" t="s">
        <v>3443</v>
      </c>
      <c r="D1996" s="1" t="s">
        <v>7009</v>
      </c>
      <c r="E1996" s="35" t="s">
        <v>7030</v>
      </c>
    </row>
    <row r="1997" spans="1:5" ht="14.25" hidden="1" customHeight="1">
      <c r="A1997" s="155">
        <v>16541466</v>
      </c>
      <c r="B1997" s="173" t="s">
        <v>3442</v>
      </c>
      <c r="C1997" s="173" t="s">
        <v>3443</v>
      </c>
      <c r="D1997" s="173" t="s">
        <v>7009</v>
      </c>
      <c r="E1997" s="203">
        <v>43235</v>
      </c>
    </row>
    <row r="1998" spans="1:5" ht="14.25" hidden="1" customHeight="1">
      <c r="A1998" s="16">
        <v>17860016</v>
      </c>
      <c r="B1998" s="17" t="s">
        <v>1175</v>
      </c>
      <c r="C1998" s="17" t="s">
        <v>1179</v>
      </c>
      <c r="D1998" s="1" t="s">
        <v>7009</v>
      </c>
      <c r="E1998" s="35" t="s">
        <v>7030</v>
      </c>
    </row>
    <row r="1999" spans="1:5" ht="14.25" hidden="1" customHeight="1">
      <c r="A1999" s="155">
        <v>17860016</v>
      </c>
      <c r="B1999" s="173" t="s">
        <v>1175</v>
      </c>
      <c r="C1999" s="173" t="s">
        <v>1179</v>
      </c>
      <c r="D1999" s="173" t="s">
        <v>7009</v>
      </c>
      <c r="E1999" s="203">
        <v>43235</v>
      </c>
    </row>
    <row r="2000" spans="1:5" ht="14.25" hidden="1" customHeight="1">
      <c r="A2000" s="16">
        <v>20218225</v>
      </c>
      <c r="B2000" s="17" t="s">
        <v>3282</v>
      </c>
      <c r="C2000" s="17" t="s">
        <v>3283</v>
      </c>
      <c r="D2000" s="1" t="s">
        <v>7009</v>
      </c>
      <c r="E2000" s="35" t="s">
        <v>7030</v>
      </c>
    </row>
    <row r="2001" spans="1:5" ht="14.25" hidden="1" customHeight="1">
      <c r="A2001" s="155">
        <v>20218225</v>
      </c>
      <c r="B2001" s="173" t="s">
        <v>3282</v>
      </c>
      <c r="C2001" s="173" t="s">
        <v>3283</v>
      </c>
      <c r="D2001" s="173" t="s">
        <v>7009</v>
      </c>
      <c r="E2001" s="203">
        <v>43235</v>
      </c>
    </row>
    <row r="2002" spans="1:5" ht="14.25" hidden="1" customHeight="1">
      <c r="A2002" s="16">
        <v>20222681</v>
      </c>
      <c r="B2002" s="17" t="s">
        <v>662</v>
      </c>
      <c r="C2002" s="17" t="s">
        <v>663</v>
      </c>
      <c r="D2002" s="1" t="s">
        <v>7009</v>
      </c>
      <c r="E2002" s="35" t="s">
        <v>7030</v>
      </c>
    </row>
    <row r="2003" spans="1:5" ht="14.25" hidden="1" customHeight="1">
      <c r="A2003" s="155">
        <v>20222681</v>
      </c>
      <c r="B2003" s="173" t="s">
        <v>662</v>
      </c>
      <c r="C2003" s="173" t="s">
        <v>663</v>
      </c>
      <c r="D2003" s="173" t="s">
        <v>7009</v>
      </c>
      <c r="E2003" s="203">
        <v>43235</v>
      </c>
    </row>
    <row r="2004" spans="1:5" ht="14.25" hidden="1" customHeight="1">
      <c r="A2004" s="16">
        <v>22613410</v>
      </c>
      <c r="B2004" s="17" t="s">
        <v>195</v>
      </c>
      <c r="C2004" s="17" t="s">
        <v>1304</v>
      </c>
      <c r="D2004" s="1" t="s">
        <v>7009</v>
      </c>
      <c r="E2004" s="35" t="s">
        <v>7030</v>
      </c>
    </row>
    <row r="2005" spans="1:5" ht="14.25" hidden="1" customHeight="1">
      <c r="A2005" s="155">
        <v>22613410</v>
      </c>
      <c r="B2005" s="173" t="s">
        <v>195</v>
      </c>
      <c r="C2005" s="173" t="s">
        <v>1304</v>
      </c>
      <c r="D2005" s="173" t="s">
        <v>7009</v>
      </c>
      <c r="E2005" s="203">
        <v>43235</v>
      </c>
    </row>
    <row r="2006" spans="1:5" ht="14.25" hidden="1" customHeight="1">
      <c r="A2006" s="16">
        <v>23519447</v>
      </c>
      <c r="B2006" s="17" t="s">
        <v>2195</v>
      </c>
      <c r="C2006" s="17" t="s">
        <v>2198</v>
      </c>
      <c r="D2006" s="1" t="s">
        <v>7009</v>
      </c>
      <c r="E2006" s="35" t="s">
        <v>7030</v>
      </c>
    </row>
    <row r="2007" spans="1:5" ht="14.25" hidden="1" customHeight="1">
      <c r="A2007" s="155">
        <v>23519447</v>
      </c>
      <c r="B2007" s="173" t="s">
        <v>2195</v>
      </c>
      <c r="C2007" s="173" t="s">
        <v>2198</v>
      </c>
      <c r="D2007" s="173" t="s">
        <v>7009</v>
      </c>
      <c r="E2007" s="203">
        <v>43235</v>
      </c>
    </row>
    <row r="2008" spans="1:5" ht="14.25" hidden="1" customHeight="1">
      <c r="A2008" s="16">
        <v>24803875</v>
      </c>
      <c r="B2008" s="17" t="s">
        <v>5251</v>
      </c>
      <c r="C2008" s="17" t="s">
        <v>6170</v>
      </c>
      <c r="D2008" s="1" t="s">
        <v>7009</v>
      </c>
      <c r="E2008" s="35" t="s">
        <v>7030</v>
      </c>
    </row>
    <row r="2009" spans="1:5" ht="14.25" hidden="1" customHeight="1">
      <c r="A2009" s="155">
        <v>24803875</v>
      </c>
      <c r="B2009" s="173" t="s">
        <v>5251</v>
      </c>
      <c r="C2009" s="173" t="s">
        <v>6170</v>
      </c>
      <c r="D2009" s="173" t="s">
        <v>7009</v>
      </c>
      <c r="E2009" s="203">
        <v>43235</v>
      </c>
    </row>
    <row r="2010" spans="1:5" ht="14.25" hidden="1" customHeight="1">
      <c r="A2010" s="16">
        <v>27365353</v>
      </c>
      <c r="B2010" s="17" t="s">
        <v>5732</v>
      </c>
      <c r="C2010" s="17" t="s">
        <v>5733</v>
      </c>
      <c r="D2010" s="1" t="s">
        <v>7009</v>
      </c>
      <c r="E2010" s="35" t="s">
        <v>7030</v>
      </c>
    </row>
    <row r="2011" spans="1:5" ht="14.25" hidden="1" customHeight="1">
      <c r="A2011" s="155">
        <v>27365353</v>
      </c>
      <c r="B2011" s="173" t="s">
        <v>5732</v>
      </c>
      <c r="C2011" s="173" t="s">
        <v>5733</v>
      </c>
      <c r="D2011" s="173" t="s">
        <v>7009</v>
      </c>
      <c r="E2011" s="203">
        <v>43235</v>
      </c>
    </row>
    <row r="2012" spans="1:5" ht="14.25" hidden="1" customHeight="1">
      <c r="A2012" s="16">
        <v>27652555</v>
      </c>
      <c r="B2012" s="17" t="s">
        <v>47</v>
      </c>
      <c r="C2012" s="17" t="s">
        <v>5175</v>
      </c>
      <c r="D2012" s="1" t="s">
        <v>7009</v>
      </c>
      <c r="E2012" s="35" t="s">
        <v>7030</v>
      </c>
    </row>
    <row r="2013" spans="1:5" ht="14.25" hidden="1" customHeight="1">
      <c r="A2013" s="155">
        <v>27652555</v>
      </c>
      <c r="B2013" s="173" t="s">
        <v>47</v>
      </c>
      <c r="C2013" s="173" t="s">
        <v>5175</v>
      </c>
      <c r="D2013" s="173" t="s">
        <v>7009</v>
      </c>
      <c r="E2013" s="203">
        <v>43235</v>
      </c>
    </row>
    <row r="2014" spans="1:5" ht="14.25" hidden="1" customHeight="1">
      <c r="A2014" s="16">
        <v>12540739</v>
      </c>
      <c r="B2014" s="25" t="s">
        <v>4759</v>
      </c>
      <c r="C2014" s="17" t="s">
        <v>4760</v>
      </c>
      <c r="D2014" s="1" t="s">
        <v>7011</v>
      </c>
      <c r="E2014" s="35" t="s">
        <v>7031</v>
      </c>
    </row>
    <row r="2015" spans="1:5" ht="14.25" hidden="1" customHeight="1">
      <c r="A2015" s="155">
        <v>12540739</v>
      </c>
      <c r="B2015" s="173" t="s">
        <v>4759</v>
      </c>
      <c r="C2015" s="173" t="s">
        <v>4760</v>
      </c>
      <c r="D2015" s="173" t="s">
        <v>7011</v>
      </c>
      <c r="E2015" s="203">
        <v>43234</v>
      </c>
    </row>
    <row r="2016" spans="1:5" ht="14.25" hidden="1" customHeight="1">
      <c r="A2016" s="16">
        <v>16008463</v>
      </c>
      <c r="B2016" s="17" t="s">
        <v>1774</v>
      </c>
      <c r="C2016" s="17" t="s">
        <v>5624</v>
      </c>
      <c r="D2016" s="1" t="s">
        <v>7011</v>
      </c>
      <c r="E2016" s="35" t="s">
        <v>7031</v>
      </c>
    </row>
    <row r="2017" spans="1:5" ht="14.25" hidden="1" customHeight="1">
      <c r="A2017" s="155">
        <v>16008463</v>
      </c>
      <c r="B2017" s="173" t="s">
        <v>1774</v>
      </c>
      <c r="C2017" s="173" t="s">
        <v>5624</v>
      </c>
      <c r="D2017" s="173" t="s">
        <v>7011</v>
      </c>
      <c r="E2017" s="203">
        <v>43234</v>
      </c>
    </row>
    <row r="2018" spans="1:5" ht="14.25" hidden="1" customHeight="1">
      <c r="A2018" s="16">
        <v>18034548</v>
      </c>
      <c r="B2018" s="17" t="s">
        <v>4623</v>
      </c>
      <c r="C2018" s="17" t="s">
        <v>4624</v>
      </c>
      <c r="D2018" s="1" t="s">
        <v>7011</v>
      </c>
      <c r="E2018" s="35" t="s">
        <v>7031</v>
      </c>
    </row>
    <row r="2019" spans="1:5" ht="14.25" hidden="1" customHeight="1">
      <c r="A2019" s="155">
        <v>18034548</v>
      </c>
      <c r="B2019" s="173" t="s">
        <v>4623</v>
      </c>
      <c r="C2019" s="173" t="s">
        <v>4624</v>
      </c>
      <c r="D2019" s="173" t="s">
        <v>7011</v>
      </c>
      <c r="E2019" s="203">
        <v>43234</v>
      </c>
    </row>
    <row r="2020" spans="1:5" ht="14.25" hidden="1" customHeight="1">
      <c r="A2020" s="16">
        <v>24200921</v>
      </c>
      <c r="B2020" s="17" t="s">
        <v>4784</v>
      </c>
      <c r="C2020" s="17" t="s">
        <v>1085</v>
      </c>
      <c r="D2020" s="1" t="s">
        <v>7011</v>
      </c>
      <c r="E2020" s="35" t="s">
        <v>7031</v>
      </c>
    </row>
    <row r="2021" spans="1:5" ht="14.25" hidden="1" customHeight="1">
      <c r="A2021" s="155">
        <v>24200921</v>
      </c>
      <c r="B2021" s="173" t="s">
        <v>4784</v>
      </c>
      <c r="C2021" s="173" t="s">
        <v>1085</v>
      </c>
      <c r="D2021" s="173" t="s">
        <v>7011</v>
      </c>
      <c r="E2021" s="203">
        <v>43234</v>
      </c>
    </row>
    <row r="2022" spans="1:5" ht="14.25" hidden="1" customHeight="1">
      <c r="A2022" s="16">
        <v>25735232</v>
      </c>
      <c r="B2022" s="17" t="s">
        <v>875</v>
      </c>
      <c r="C2022" s="17" t="s">
        <v>5286</v>
      </c>
      <c r="D2022" s="1" t="s">
        <v>7011</v>
      </c>
      <c r="E2022" s="35" t="s">
        <v>7031</v>
      </c>
    </row>
    <row r="2023" spans="1:5" ht="14.25" hidden="1" customHeight="1">
      <c r="A2023" s="155">
        <v>25735232</v>
      </c>
      <c r="B2023" s="173" t="s">
        <v>875</v>
      </c>
      <c r="C2023" s="173" t="s">
        <v>5286</v>
      </c>
      <c r="D2023" s="173" t="s">
        <v>7011</v>
      </c>
      <c r="E2023" s="203">
        <v>43234</v>
      </c>
    </row>
    <row r="2024" spans="1:5" ht="14.25" hidden="1" customHeight="1">
      <c r="A2024" s="16">
        <v>26028695</v>
      </c>
      <c r="B2024" s="17" t="s">
        <v>1680</v>
      </c>
      <c r="C2024" s="17" t="s">
        <v>1681</v>
      </c>
      <c r="D2024" s="1" t="s">
        <v>7011</v>
      </c>
      <c r="E2024" s="35" t="s">
        <v>7031</v>
      </c>
    </row>
    <row r="2025" spans="1:5" ht="14.25" hidden="1" customHeight="1">
      <c r="A2025" s="155">
        <v>26028695</v>
      </c>
      <c r="B2025" s="173" t="s">
        <v>1680</v>
      </c>
      <c r="C2025" s="173" t="s">
        <v>1681</v>
      </c>
      <c r="D2025" s="173" t="s">
        <v>7011</v>
      </c>
      <c r="E2025" s="203">
        <v>43234</v>
      </c>
    </row>
    <row r="2026" spans="1:5" ht="14.25" hidden="1" customHeight="1">
      <c r="A2026" s="16">
        <v>26981974</v>
      </c>
      <c r="B2026" s="17" t="s">
        <v>961</v>
      </c>
      <c r="C2026" s="17" t="s">
        <v>962</v>
      </c>
      <c r="D2026" s="1" t="s">
        <v>7011</v>
      </c>
      <c r="E2026" s="35" t="s">
        <v>7031</v>
      </c>
    </row>
    <row r="2027" spans="1:5" ht="14.25" hidden="1" customHeight="1">
      <c r="A2027" s="155">
        <v>26981974</v>
      </c>
      <c r="B2027" s="173" t="s">
        <v>961</v>
      </c>
      <c r="C2027" s="173" t="s">
        <v>962</v>
      </c>
      <c r="D2027" s="173" t="s">
        <v>7011</v>
      </c>
      <c r="E2027" s="203">
        <v>43234</v>
      </c>
    </row>
    <row r="2028" spans="1:5" ht="14.25" hidden="1" customHeight="1">
      <c r="A2028" s="16">
        <v>27206962</v>
      </c>
      <c r="B2028" s="17" t="s">
        <v>2774</v>
      </c>
      <c r="C2028" s="17" t="s">
        <v>2775</v>
      </c>
      <c r="D2028" s="1" t="s">
        <v>7011</v>
      </c>
      <c r="E2028" s="35" t="s">
        <v>7031</v>
      </c>
    </row>
    <row r="2029" spans="1:5" ht="14.25" hidden="1" customHeight="1">
      <c r="A2029" s="155">
        <v>27206962</v>
      </c>
      <c r="B2029" s="173" t="s">
        <v>2774</v>
      </c>
      <c r="C2029" s="173" t="s">
        <v>2775</v>
      </c>
      <c r="D2029" s="173" t="s">
        <v>7011</v>
      </c>
      <c r="E2029" s="203">
        <v>43234</v>
      </c>
    </row>
    <row r="2030" spans="1:5" ht="14.25" hidden="1" customHeight="1">
      <c r="A2030" s="16">
        <v>28222480</v>
      </c>
      <c r="B2030" s="17" t="s">
        <v>1482</v>
      </c>
      <c r="C2030" s="17" t="s">
        <v>7032</v>
      </c>
      <c r="D2030" s="1" t="s">
        <v>7011</v>
      </c>
      <c r="E2030" s="35" t="s">
        <v>7031</v>
      </c>
    </row>
    <row r="2031" spans="1:5" ht="14.25" hidden="1" customHeight="1">
      <c r="A2031" s="155">
        <v>28222480</v>
      </c>
      <c r="B2031" s="173" t="s">
        <v>1482</v>
      </c>
      <c r="C2031" s="173" t="s">
        <v>7032</v>
      </c>
      <c r="D2031" s="173" t="s">
        <v>7011</v>
      </c>
      <c r="E2031" s="203">
        <v>43234</v>
      </c>
    </row>
    <row r="2032" spans="1:5" ht="14.25" hidden="1" customHeight="1">
      <c r="A2032" s="16">
        <v>31589520</v>
      </c>
      <c r="B2032" s="17" t="s">
        <v>1446</v>
      </c>
      <c r="C2032" s="17" t="s">
        <v>1447</v>
      </c>
      <c r="D2032" s="1" t="s">
        <v>7011</v>
      </c>
      <c r="E2032" s="35" t="s">
        <v>7031</v>
      </c>
    </row>
    <row r="2033" spans="1:5" ht="14.25" hidden="1" customHeight="1">
      <c r="A2033" s="155">
        <v>31589520</v>
      </c>
      <c r="B2033" s="173" t="s">
        <v>1446</v>
      </c>
      <c r="C2033" s="173" t="s">
        <v>1447</v>
      </c>
      <c r="D2033" s="173" t="s">
        <v>7011</v>
      </c>
      <c r="E2033" s="203">
        <v>43234</v>
      </c>
    </row>
    <row r="2034" spans="1:5" ht="14.25" hidden="1" customHeight="1">
      <c r="A2034" s="16">
        <v>32115718</v>
      </c>
      <c r="B2034" s="17" t="s">
        <v>2389</v>
      </c>
      <c r="C2034" s="17" t="s">
        <v>2390</v>
      </c>
      <c r="D2034" s="1" t="s">
        <v>7011</v>
      </c>
      <c r="E2034" s="35" t="s">
        <v>7031</v>
      </c>
    </row>
    <row r="2035" spans="1:5" ht="14.25" hidden="1" customHeight="1">
      <c r="A2035" s="155">
        <v>32115718</v>
      </c>
      <c r="B2035" s="173" t="s">
        <v>2389</v>
      </c>
      <c r="C2035" s="173" t="s">
        <v>2390</v>
      </c>
      <c r="D2035" s="173" t="s">
        <v>7011</v>
      </c>
      <c r="E2035" s="203">
        <v>43234</v>
      </c>
    </row>
    <row r="2036" spans="1:5" ht="14.25" hidden="1" customHeight="1">
      <c r="A2036" s="16">
        <v>33091069</v>
      </c>
      <c r="B2036" s="17" t="s">
        <v>267</v>
      </c>
      <c r="C2036" s="17" t="s">
        <v>1756</v>
      </c>
      <c r="D2036" s="1" t="s">
        <v>7011</v>
      </c>
      <c r="E2036" s="35" t="s">
        <v>7031</v>
      </c>
    </row>
    <row r="2037" spans="1:5" ht="14.25" hidden="1" customHeight="1">
      <c r="A2037" s="155">
        <v>33091069</v>
      </c>
      <c r="B2037" s="173" t="s">
        <v>267</v>
      </c>
      <c r="C2037" s="173" t="s">
        <v>1756</v>
      </c>
      <c r="D2037" s="173" t="s">
        <v>7011</v>
      </c>
      <c r="E2037" s="203">
        <v>43234</v>
      </c>
    </row>
    <row r="2038" spans="1:5" ht="14.25" hidden="1" customHeight="1">
      <c r="A2038" s="16">
        <v>14324672</v>
      </c>
      <c r="B2038" s="17" t="s">
        <v>5496</v>
      </c>
      <c r="C2038" s="17" t="s">
        <v>5497</v>
      </c>
      <c r="D2038" s="1" t="s">
        <v>6992</v>
      </c>
      <c r="E2038" s="35" t="s">
        <v>7033</v>
      </c>
    </row>
    <row r="2039" spans="1:5" ht="14.25" hidden="1" customHeight="1">
      <c r="A2039" s="155">
        <v>14324672</v>
      </c>
      <c r="B2039" s="173" t="s">
        <v>5496</v>
      </c>
      <c r="C2039" s="173" t="s">
        <v>5497</v>
      </c>
      <c r="D2039" s="173" t="s">
        <v>6992</v>
      </c>
      <c r="E2039" s="203">
        <v>43179</v>
      </c>
    </row>
    <row r="2040" spans="1:5" ht="14.25" hidden="1" customHeight="1">
      <c r="A2040" s="16">
        <v>14359850</v>
      </c>
      <c r="B2040" s="17" t="s">
        <v>5663</v>
      </c>
      <c r="C2040" s="17" t="s">
        <v>5664</v>
      </c>
      <c r="D2040" s="1" t="s">
        <v>6992</v>
      </c>
      <c r="E2040" s="35" t="s">
        <v>7033</v>
      </c>
    </row>
    <row r="2041" spans="1:5" ht="14.25" hidden="1" customHeight="1">
      <c r="A2041" s="155">
        <v>14359850</v>
      </c>
      <c r="B2041" s="173" t="s">
        <v>5663</v>
      </c>
      <c r="C2041" s="173" t="s">
        <v>5664</v>
      </c>
      <c r="D2041" s="173" t="s">
        <v>6992</v>
      </c>
      <c r="E2041" s="203">
        <v>43179</v>
      </c>
    </row>
    <row r="2042" spans="1:5" ht="14.25" hidden="1" customHeight="1">
      <c r="A2042" s="16">
        <v>14480478</v>
      </c>
      <c r="B2042" s="17" t="s">
        <v>4603</v>
      </c>
      <c r="C2042" s="17" t="s">
        <v>708</v>
      </c>
      <c r="D2042" s="1" t="s">
        <v>6992</v>
      </c>
      <c r="E2042" s="35" t="s">
        <v>7033</v>
      </c>
    </row>
    <row r="2043" spans="1:5" ht="14.25" hidden="1" customHeight="1">
      <c r="A2043" s="155">
        <v>14480478</v>
      </c>
      <c r="B2043" s="173" t="s">
        <v>4603</v>
      </c>
      <c r="C2043" s="173" t="s">
        <v>708</v>
      </c>
      <c r="D2043" s="173" t="s">
        <v>6992</v>
      </c>
      <c r="E2043" s="203">
        <v>43179</v>
      </c>
    </row>
    <row r="2044" spans="1:5" ht="14.25" hidden="1" customHeight="1">
      <c r="A2044" s="16">
        <v>17866738</v>
      </c>
      <c r="B2044" s="17" t="s">
        <v>4994</v>
      </c>
      <c r="C2044" s="17" t="s">
        <v>2260</v>
      </c>
      <c r="D2044" s="1" t="s">
        <v>6992</v>
      </c>
      <c r="E2044" s="35" t="s">
        <v>7033</v>
      </c>
    </row>
    <row r="2045" spans="1:5" ht="14.25" hidden="1" customHeight="1">
      <c r="A2045" s="155">
        <v>17866738</v>
      </c>
      <c r="B2045" s="173" t="s">
        <v>4994</v>
      </c>
      <c r="C2045" s="173" t="s">
        <v>2260</v>
      </c>
      <c r="D2045" s="173" t="s">
        <v>6992</v>
      </c>
      <c r="E2045" s="203">
        <v>43179</v>
      </c>
    </row>
    <row r="2046" spans="1:5" ht="14.25" hidden="1" customHeight="1">
      <c r="A2046" s="16">
        <v>21745741</v>
      </c>
      <c r="B2046" s="17" t="s">
        <v>107</v>
      </c>
      <c r="C2046" s="17" t="s">
        <v>108</v>
      </c>
      <c r="D2046" s="1" t="s">
        <v>6992</v>
      </c>
      <c r="E2046" s="35" t="s">
        <v>7033</v>
      </c>
    </row>
    <row r="2047" spans="1:5" ht="14.25" hidden="1" customHeight="1">
      <c r="A2047" s="155">
        <v>21745741</v>
      </c>
      <c r="B2047" s="173" t="s">
        <v>107</v>
      </c>
      <c r="C2047" s="173" t="s">
        <v>108</v>
      </c>
      <c r="D2047" s="173" t="s">
        <v>6992</v>
      </c>
      <c r="E2047" s="203">
        <v>43179</v>
      </c>
    </row>
    <row r="2048" spans="1:5" ht="14.25" hidden="1" customHeight="1">
      <c r="A2048" s="16">
        <v>24200086</v>
      </c>
      <c r="B2048" s="17" t="s">
        <v>2364</v>
      </c>
      <c r="C2048" s="17" t="s">
        <v>2365</v>
      </c>
      <c r="D2048" s="1" t="s">
        <v>6992</v>
      </c>
      <c r="E2048" s="35" t="s">
        <v>7033</v>
      </c>
    </row>
    <row r="2049" spans="1:5" ht="14.25" hidden="1" customHeight="1">
      <c r="A2049" s="155">
        <v>24200086</v>
      </c>
      <c r="B2049" s="173" t="s">
        <v>2364</v>
      </c>
      <c r="C2049" s="173" t="s">
        <v>2365</v>
      </c>
      <c r="D2049" s="173" t="s">
        <v>6992</v>
      </c>
      <c r="E2049" s="203">
        <v>43179</v>
      </c>
    </row>
    <row r="2050" spans="1:5" ht="14.25" hidden="1" customHeight="1">
      <c r="A2050" s="16">
        <v>24830971</v>
      </c>
      <c r="B2050" s="17" t="s">
        <v>4333</v>
      </c>
      <c r="C2050" s="17" t="s">
        <v>4334</v>
      </c>
      <c r="D2050" s="1" t="s">
        <v>6992</v>
      </c>
      <c r="E2050" s="35" t="s">
        <v>7033</v>
      </c>
    </row>
    <row r="2051" spans="1:5" ht="14.25" hidden="1" customHeight="1">
      <c r="A2051" s="155">
        <v>24830971</v>
      </c>
      <c r="B2051" s="173" t="s">
        <v>4333</v>
      </c>
      <c r="C2051" s="173" t="s">
        <v>4334</v>
      </c>
      <c r="D2051" s="173" t="s">
        <v>6992</v>
      </c>
      <c r="E2051" s="203">
        <v>43179</v>
      </c>
    </row>
    <row r="2052" spans="1:5" ht="14.25" hidden="1" customHeight="1">
      <c r="A2052" s="16">
        <v>25843480</v>
      </c>
      <c r="B2052" s="17" t="s">
        <v>355</v>
      </c>
      <c r="C2052" s="17" t="s">
        <v>1778</v>
      </c>
      <c r="D2052" s="1" t="s">
        <v>6992</v>
      </c>
      <c r="E2052" s="35" t="s">
        <v>7033</v>
      </c>
    </row>
    <row r="2053" spans="1:5" ht="14.25" hidden="1" customHeight="1">
      <c r="A2053" s="155">
        <v>25843480</v>
      </c>
      <c r="B2053" s="173" t="s">
        <v>355</v>
      </c>
      <c r="C2053" s="173" t="s">
        <v>1778</v>
      </c>
      <c r="D2053" s="173" t="s">
        <v>6992</v>
      </c>
      <c r="E2053" s="203">
        <v>43179</v>
      </c>
    </row>
    <row r="2054" spans="1:5" ht="14.25" hidden="1" customHeight="1">
      <c r="A2054" s="16">
        <v>29127108</v>
      </c>
      <c r="B2054" s="17" t="s">
        <v>2941</v>
      </c>
      <c r="C2054" s="17" t="s">
        <v>2942</v>
      </c>
      <c r="D2054" s="1" t="s">
        <v>6992</v>
      </c>
      <c r="E2054" s="35" t="s">
        <v>7033</v>
      </c>
    </row>
    <row r="2055" spans="1:5" ht="14.25" hidden="1" customHeight="1">
      <c r="A2055" s="155">
        <v>29127108</v>
      </c>
      <c r="B2055" s="173" t="s">
        <v>2941</v>
      </c>
      <c r="C2055" s="173" t="s">
        <v>2942</v>
      </c>
      <c r="D2055" s="173" t="s">
        <v>6992</v>
      </c>
      <c r="E2055" s="203">
        <v>43179</v>
      </c>
    </row>
    <row r="2056" spans="1:5" ht="14.25" hidden="1" customHeight="1">
      <c r="A2056" s="16">
        <v>30268063</v>
      </c>
      <c r="B2056" s="17" t="s">
        <v>1631</v>
      </c>
      <c r="C2056" s="17" t="s">
        <v>1632</v>
      </c>
      <c r="D2056" s="1" t="s">
        <v>6992</v>
      </c>
      <c r="E2056" s="35" t="s">
        <v>7033</v>
      </c>
    </row>
    <row r="2057" spans="1:5" ht="14.25" hidden="1" customHeight="1">
      <c r="A2057" s="16">
        <v>30268063</v>
      </c>
      <c r="B2057" s="17" t="s">
        <v>1631</v>
      </c>
      <c r="C2057" s="17" t="s">
        <v>1632</v>
      </c>
      <c r="D2057" s="1" t="s">
        <v>6992</v>
      </c>
      <c r="E2057" s="35" t="s">
        <v>7033</v>
      </c>
    </row>
    <row r="2058" spans="1:5" ht="14.25" hidden="1" customHeight="1">
      <c r="A2058" s="155">
        <v>30268063</v>
      </c>
      <c r="B2058" s="173" t="s">
        <v>1631</v>
      </c>
      <c r="C2058" s="173" t="s">
        <v>1632</v>
      </c>
      <c r="D2058" s="173" t="s">
        <v>6992</v>
      </c>
      <c r="E2058" s="203">
        <v>43179</v>
      </c>
    </row>
    <row r="2059" spans="1:5" ht="14.25" hidden="1" customHeight="1">
      <c r="A2059" s="155">
        <v>30268063</v>
      </c>
      <c r="B2059" s="173" t="s">
        <v>1631</v>
      </c>
      <c r="C2059" s="173" t="s">
        <v>1632</v>
      </c>
      <c r="D2059" s="173" t="s">
        <v>6992</v>
      </c>
      <c r="E2059" s="203">
        <v>43179</v>
      </c>
    </row>
    <row r="2060" spans="1:5" ht="14.25" hidden="1" customHeight="1">
      <c r="A2060" s="16">
        <v>31589520</v>
      </c>
      <c r="B2060" s="17" t="s">
        <v>1446</v>
      </c>
      <c r="C2060" s="17" t="s">
        <v>1447</v>
      </c>
      <c r="D2060" s="1" t="s">
        <v>6992</v>
      </c>
      <c r="E2060" s="35" t="s">
        <v>7033</v>
      </c>
    </row>
    <row r="2061" spans="1:5" ht="14.25" hidden="1" customHeight="1">
      <c r="A2061" s="155">
        <v>31589520</v>
      </c>
      <c r="B2061" s="173" t="s">
        <v>1446</v>
      </c>
      <c r="C2061" s="173" t="s">
        <v>1447</v>
      </c>
      <c r="D2061" s="173" t="s">
        <v>6992</v>
      </c>
      <c r="E2061" s="203">
        <v>43179</v>
      </c>
    </row>
    <row r="2062" spans="1:5" ht="14.25" hidden="1" customHeight="1">
      <c r="A2062" s="16">
        <v>17523461</v>
      </c>
      <c r="B2062" s="17" t="s">
        <v>574</v>
      </c>
      <c r="C2062" s="17" t="s">
        <v>571</v>
      </c>
      <c r="D2062" s="1" t="s">
        <v>7009</v>
      </c>
      <c r="E2062" s="35">
        <v>43167</v>
      </c>
    </row>
    <row r="2063" spans="1:5" ht="14.25" hidden="1" customHeight="1">
      <c r="A2063" s="155">
        <v>17523461</v>
      </c>
      <c r="B2063" s="173" t="s">
        <v>574</v>
      </c>
      <c r="C2063" s="173" t="s">
        <v>571</v>
      </c>
      <c r="D2063" s="173" t="s">
        <v>7009</v>
      </c>
      <c r="E2063" s="203">
        <v>43167</v>
      </c>
    </row>
    <row r="2064" spans="1:5" ht="14.25" hidden="1" customHeight="1">
      <c r="A2064" s="16">
        <v>22086112</v>
      </c>
      <c r="B2064" s="17" t="s">
        <v>2087</v>
      </c>
      <c r="C2064" s="17" t="s">
        <v>2896</v>
      </c>
      <c r="D2064" s="1" t="s">
        <v>7009</v>
      </c>
      <c r="E2064" s="35">
        <v>43167</v>
      </c>
    </row>
    <row r="2065" spans="1:5" ht="14.25" hidden="1" customHeight="1">
      <c r="A2065" s="155">
        <v>22086112</v>
      </c>
      <c r="B2065" s="173" t="s">
        <v>2087</v>
      </c>
      <c r="C2065" s="173" t="s">
        <v>2896</v>
      </c>
      <c r="D2065" s="173" t="s">
        <v>7009</v>
      </c>
      <c r="E2065" s="203">
        <v>43167</v>
      </c>
    </row>
    <row r="2066" spans="1:5" ht="14.25" hidden="1" customHeight="1">
      <c r="A2066" s="16">
        <v>24671172</v>
      </c>
      <c r="B2066" s="17" t="s">
        <v>315</v>
      </c>
      <c r="C2066" s="17" t="s">
        <v>2902</v>
      </c>
      <c r="D2066" s="1" t="s">
        <v>7009</v>
      </c>
      <c r="E2066" s="35">
        <v>43167</v>
      </c>
    </row>
    <row r="2067" spans="1:5" ht="14.25" hidden="1" customHeight="1">
      <c r="A2067" s="155">
        <v>24671172</v>
      </c>
      <c r="B2067" s="173" t="s">
        <v>315</v>
      </c>
      <c r="C2067" s="173" t="s">
        <v>2902</v>
      </c>
      <c r="D2067" s="173" t="s">
        <v>7009</v>
      </c>
      <c r="E2067" s="203">
        <v>43167</v>
      </c>
    </row>
    <row r="2068" spans="1:5" ht="14.25" hidden="1" customHeight="1">
      <c r="A2068" s="16">
        <v>26028695</v>
      </c>
      <c r="B2068" s="17" t="s">
        <v>1680</v>
      </c>
      <c r="C2068" s="17" t="s">
        <v>1681</v>
      </c>
      <c r="D2068" s="1" t="s">
        <v>7009</v>
      </c>
      <c r="E2068" s="35">
        <v>43167</v>
      </c>
    </row>
    <row r="2069" spans="1:5" ht="14.25" hidden="1" customHeight="1">
      <c r="A2069" s="155">
        <v>26028695</v>
      </c>
      <c r="B2069" s="173" t="s">
        <v>1680</v>
      </c>
      <c r="C2069" s="173" t="s">
        <v>1681</v>
      </c>
      <c r="D2069" s="173" t="s">
        <v>7009</v>
      </c>
      <c r="E2069" s="203">
        <v>43167</v>
      </c>
    </row>
    <row r="2070" spans="1:5" ht="14.25" hidden="1" customHeight="1">
      <c r="A2070" s="16">
        <v>27575169</v>
      </c>
      <c r="B2070" s="17" t="s">
        <v>601</v>
      </c>
      <c r="C2070" s="17" t="s">
        <v>602</v>
      </c>
      <c r="D2070" s="1" t="s">
        <v>7009</v>
      </c>
      <c r="E2070" s="35">
        <v>43167</v>
      </c>
    </row>
    <row r="2071" spans="1:5" ht="14.25" hidden="1" customHeight="1">
      <c r="A2071" s="155">
        <v>27575169</v>
      </c>
      <c r="B2071" s="173" t="s">
        <v>601</v>
      </c>
      <c r="C2071" s="173" t="s">
        <v>602</v>
      </c>
      <c r="D2071" s="173" t="s">
        <v>7009</v>
      </c>
      <c r="E2071" s="203">
        <v>43167</v>
      </c>
    </row>
    <row r="2072" spans="1:5" ht="14.25" hidden="1" customHeight="1">
      <c r="A2072" s="16">
        <v>28223716</v>
      </c>
      <c r="B2072" s="17" t="s">
        <v>2889</v>
      </c>
      <c r="C2072" s="17" t="s">
        <v>2678</v>
      </c>
      <c r="D2072" s="1" t="s">
        <v>7009</v>
      </c>
      <c r="E2072" s="35">
        <v>43167</v>
      </c>
    </row>
    <row r="2073" spans="1:5" ht="14.25" hidden="1" customHeight="1">
      <c r="A2073" s="155">
        <v>28223716</v>
      </c>
      <c r="B2073" s="173" t="s">
        <v>2889</v>
      </c>
      <c r="C2073" s="173" t="s">
        <v>2678</v>
      </c>
      <c r="D2073" s="173" t="s">
        <v>7009</v>
      </c>
      <c r="E2073" s="203">
        <v>43167</v>
      </c>
    </row>
    <row r="2074" spans="1:5" ht="14.25" hidden="1" customHeight="1">
      <c r="A2074" s="16">
        <v>28476977</v>
      </c>
      <c r="B2074" s="17" t="s">
        <v>5296</v>
      </c>
      <c r="C2074" s="17" t="s">
        <v>843</v>
      </c>
      <c r="D2074" s="1" t="s">
        <v>7009</v>
      </c>
      <c r="E2074" s="35">
        <v>43167</v>
      </c>
    </row>
    <row r="2075" spans="1:5" ht="14.25" hidden="1" customHeight="1">
      <c r="A2075" s="155">
        <v>28476977</v>
      </c>
      <c r="B2075" s="173" t="s">
        <v>5296</v>
      </c>
      <c r="C2075" s="173" t="s">
        <v>843</v>
      </c>
      <c r="D2075" s="173" t="s">
        <v>7009</v>
      </c>
      <c r="E2075" s="203">
        <v>43167</v>
      </c>
    </row>
    <row r="2076" spans="1:5" ht="14.25" hidden="1" customHeight="1">
      <c r="A2076" s="16">
        <v>29743258</v>
      </c>
      <c r="B2076" s="17" t="s">
        <v>144</v>
      </c>
      <c r="C2076" s="17" t="s">
        <v>4283</v>
      </c>
      <c r="D2076" s="1" t="s">
        <v>7009</v>
      </c>
      <c r="E2076" s="35">
        <v>43167</v>
      </c>
    </row>
    <row r="2077" spans="1:5" ht="14.25" hidden="1" customHeight="1">
      <c r="A2077" s="155">
        <v>29743258</v>
      </c>
      <c r="B2077" s="173" t="s">
        <v>144</v>
      </c>
      <c r="C2077" s="173" t="s">
        <v>4283</v>
      </c>
      <c r="D2077" s="173" t="s">
        <v>7009</v>
      </c>
      <c r="E2077" s="203">
        <v>43167</v>
      </c>
    </row>
    <row r="2078" spans="1:5" ht="14.25" hidden="1" customHeight="1">
      <c r="A2078" s="16">
        <v>16541466</v>
      </c>
      <c r="B2078" s="17" t="s">
        <v>3442</v>
      </c>
      <c r="C2078" s="17" t="s">
        <v>3443</v>
      </c>
      <c r="D2078" s="1" t="s">
        <v>7018</v>
      </c>
      <c r="E2078" s="35">
        <v>43165</v>
      </c>
    </row>
    <row r="2079" spans="1:5" ht="14.25" hidden="1" customHeight="1">
      <c r="A2079" s="155">
        <v>16541466</v>
      </c>
      <c r="B2079" s="173" t="s">
        <v>3442</v>
      </c>
      <c r="C2079" s="173" t="s">
        <v>3443</v>
      </c>
      <c r="D2079" s="173" t="s">
        <v>7018</v>
      </c>
      <c r="E2079" s="203">
        <v>43165</v>
      </c>
    </row>
    <row r="2080" spans="1:5" ht="14.25" hidden="1" customHeight="1">
      <c r="A2080" s="16">
        <v>17182244</v>
      </c>
      <c r="B2080" s="17" t="s">
        <v>7034</v>
      </c>
      <c r="C2080" s="17" t="s">
        <v>465</v>
      </c>
      <c r="D2080" s="1" t="s">
        <v>7018</v>
      </c>
      <c r="E2080" s="35">
        <v>43165</v>
      </c>
    </row>
    <row r="2081" spans="1:5" ht="14.25" hidden="1" customHeight="1">
      <c r="A2081" s="155">
        <v>17182244</v>
      </c>
      <c r="B2081" s="173" t="s">
        <v>7034</v>
      </c>
      <c r="C2081" s="173" t="s">
        <v>465</v>
      </c>
      <c r="D2081" s="173" t="s">
        <v>7018</v>
      </c>
      <c r="E2081" s="203">
        <v>43165</v>
      </c>
    </row>
    <row r="2082" spans="1:5" ht="14.25" hidden="1" customHeight="1">
      <c r="A2082" s="16">
        <v>17947952</v>
      </c>
      <c r="B2082" s="17" t="s">
        <v>115</v>
      </c>
      <c r="C2082" s="17" t="s">
        <v>1931</v>
      </c>
      <c r="D2082" s="1" t="s">
        <v>7018</v>
      </c>
      <c r="E2082" s="35">
        <v>43165</v>
      </c>
    </row>
    <row r="2083" spans="1:5" ht="14.25" hidden="1" customHeight="1">
      <c r="A2083" s="155">
        <v>17947952</v>
      </c>
      <c r="B2083" s="173" t="s">
        <v>115</v>
      </c>
      <c r="C2083" s="173" t="s">
        <v>1931</v>
      </c>
      <c r="D2083" s="173" t="s">
        <v>7018</v>
      </c>
      <c r="E2083" s="203">
        <v>43165</v>
      </c>
    </row>
    <row r="2084" spans="1:5" ht="14.25" hidden="1" customHeight="1">
      <c r="A2084" s="16">
        <v>20218225</v>
      </c>
      <c r="B2084" s="17" t="s">
        <v>3282</v>
      </c>
      <c r="C2084" s="17" t="s">
        <v>3283</v>
      </c>
      <c r="D2084" s="1" t="s">
        <v>7018</v>
      </c>
      <c r="E2084" s="35">
        <v>43165</v>
      </c>
    </row>
    <row r="2085" spans="1:5" ht="14.25" hidden="1" customHeight="1">
      <c r="A2085" s="155">
        <v>20218225</v>
      </c>
      <c r="B2085" s="173" t="s">
        <v>3282</v>
      </c>
      <c r="C2085" s="173" t="s">
        <v>3283</v>
      </c>
      <c r="D2085" s="173" t="s">
        <v>7018</v>
      </c>
      <c r="E2085" s="203">
        <v>43165</v>
      </c>
    </row>
    <row r="2086" spans="1:5" ht="14.25" hidden="1" customHeight="1">
      <c r="A2086" s="16">
        <v>22264981</v>
      </c>
      <c r="B2086" s="17" t="s">
        <v>5885</v>
      </c>
      <c r="C2086" s="17" t="s">
        <v>5886</v>
      </c>
      <c r="D2086" s="1" t="s">
        <v>7018</v>
      </c>
      <c r="E2086" s="35">
        <v>43165</v>
      </c>
    </row>
    <row r="2087" spans="1:5" ht="14.25" hidden="1" customHeight="1">
      <c r="A2087" s="155">
        <v>22264981</v>
      </c>
      <c r="B2087" s="173" t="s">
        <v>5885</v>
      </c>
      <c r="C2087" s="173" t="s">
        <v>5886</v>
      </c>
      <c r="D2087" s="173" t="s">
        <v>7018</v>
      </c>
      <c r="E2087" s="203">
        <v>43165</v>
      </c>
    </row>
    <row r="2088" spans="1:5" ht="14.25" hidden="1" customHeight="1">
      <c r="A2088" s="16">
        <v>23517363</v>
      </c>
      <c r="B2088" s="17" t="s">
        <v>1983</v>
      </c>
      <c r="C2088" s="17" t="s">
        <v>1984</v>
      </c>
      <c r="D2088" s="1" t="s">
        <v>7018</v>
      </c>
      <c r="E2088" s="35">
        <v>43165</v>
      </c>
    </row>
    <row r="2089" spans="1:5" ht="14.25" hidden="1" customHeight="1">
      <c r="A2089" s="155">
        <v>23517363</v>
      </c>
      <c r="B2089" s="173" t="s">
        <v>1983</v>
      </c>
      <c r="C2089" s="173" t="s">
        <v>1984</v>
      </c>
      <c r="D2089" s="173" t="s">
        <v>7018</v>
      </c>
      <c r="E2089" s="203">
        <v>43165</v>
      </c>
    </row>
    <row r="2090" spans="1:5" ht="14.25" hidden="1" customHeight="1">
      <c r="A2090" s="16">
        <v>25843239</v>
      </c>
      <c r="B2090" s="17" t="s">
        <v>4874</v>
      </c>
      <c r="C2090" s="17" t="s">
        <v>4875</v>
      </c>
      <c r="D2090" s="1" t="s">
        <v>7018</v>
      </c>
      <c r="E2090" s="35">
        <v>43165</v>
      </c>
    </row>
    <row r="2091" spans="1:5" ht="14.25" hidden="1" customHeight="1">
      <c r="A2091" s="155">
        <v>25843239</v>
      </c>
      <c r="B2091" s="173" t="s">
        <v>4874</v>
      </c>
      <c r="C2091" s="173" t="s">
        <v>4875</v>
      </c>
      <c r="D2091" s="173" t="s">
        <v>7018</v>
      </c>
      <c r="E2091" s="203">
        <v>43165</v>
      </c>
    </row>
    <row r="2092" spans="1:5" ht="14.25" hidden="1" customHeight="1">
      <c r="A2092" s="16">
        <v>27365353</v>
      </c>
      <c r="B2092" s="17" t="s">
        <v>5732</v>
      </c>
      <c r="C2092" s="17" t="s">
        <v>5733</v>
      </c>
      <c r="D2092" s="1" t="s">
        <v>7018</v>
      </c>
      <c r="E2092" s="35">
        <v>43165</v>
      </c>
    </row>
    <row r="2093" spans="1:5" ht="14.25" hidden="1" customHeight="1">
      <c r="A2093" s="155">
        <v>27365353</v>
      </c>
      <c r="B2093" s="173" t="s">
        <v>5732</v>
      </c>
      <c r="C2093" s="173" t="s">
        <v>5733</v>
      </c>
      <c r="D2093" s="173" t="s">
        <v>7018</v>
      </c>
      <c r="E2093" s="203">
        <v>43165</v>
      </c>
    </row>
    <row r="2094" spans="1:5" ht="14.25" hidden="1" customHeight="1">
      <c r="A2094" s="16">
        <v>28721914</v>
      </c>
      <c r="B2094" s="17" t="s">
        <v>5198</v>
      </c>
      <c r="C2094" s="17" t="s">
        <v>5199</v>
      </c>
      <c r="D2094" s="1" t="s">
        <v>7018</v>
      </c>
      <c r="E2094" s="35">
        <v>43165</v>
      </c>
    </row>
    <row r="2095" spans="1:5" ht="14.25" hidden="1" customHeight="1">
      <c r="A2095" s="155">
        <v>28721914</v>
      </c>
      <c r="B2095" s="173" t="s">
        <v>5198</v>
      </c>
      <c r="C2095" s="173" t="s">
        <v>5199</v>
      </c>
      <c r="D2095" s="173" t="s">
        <v>7018</v>
      </c>
      <c r="E2095" s="203">
        <v>43165</v>
      </c>
    </row>
    <row r="2096" spans="1:5" ht="14.25" hidden="1" customHeight="1">
      <c r="A2096" s="16">
        <v>30408472</v>
      </c>
      <c r="B2096" s="17" t="s">
        <v>5204</v>
      </c>
      <c r="C2096" s="17" t="s">
        <v>5205</v>
      </c>
      <c r="D2096" s="1" t="s">
        <v>7018</v>
      </c>
      <c r="E2096" s="35">
        <v>43165</v>
      </c>
    </row>
    <row r="2097" spans="1:5" ht="14.25" hidden="1" customHeight="1">
      <c r="A2097" s="155">
        <v>30408472</v>
      </c>
      <c r="B2097" s="173" t="s">
        <v>5204</v>
      </c>
      <c r="C2097" s="173" t="s">
        <v>5205</v>
      </c>
      <c r="D2097" s="173" t="s">
        <v>7018</v>
      </c>
      <c r="E2097" s="203">
        <v>43165</v>
      </c>
    </row>
    <row r="2098" spans="1:5" ht="14.25" hidden="1" customHeight="1">
      <c r="A2098" s="16">
        <v>33374199</v>
      </c>
      <c r="B2098" s="17" t="s">
        <v>2576</v>
      </c>
      <c r="C2098" s="17" t="s">
        <v>3813</v>
      </c>
      <c r="D2098" s="1" t="s">
        <v>7018</v>
      </c>
      <c r="E2098" s="35">
        <v>43165</v>
      </c>
    </row>
    <row r="2099" spans="1:5" ht="14.25" hidden="1" customHeight="1">
      <c r="A2099" s="155">
        <v>33374199</v>
      </c>
      <c r="B2099" s="173" t="s">
        <v>2576</v>
      </c>
      <c r="C2099" s="173" t="s">
        <v>3813</v>
      </c>
      <c r="D2099" s="173" t="s">
        <v>7018</v>
      </c>
      <c r="E2099" s="203">
        <v>43165</v>
      </c>
    </row>
    <row r="2100" spans="1:5" ht="14.25" hidden="1" customHeight="1">
      <c r="A2100" s="16">
        <v>33977912</v>
      </c>
      <c r="B2100" s="17" t="s">
        <v>2275</v>
      </c>
      <c r="C2100" s="17" t="s">
        <v>2276</v>
      </c>
      <c r="D2100" s="1" t="s">
        <v>7018</v>
      </c>
      <c r="E2100" s="35">
        <v>43165</v>
      </c>
    </row>
    <row r="2101" spans="1:5" ht="14.25" hidden="1" customHeight="1">
      <c r="A2101" s="155">
        <v>33977912</v>
      </c>
      <c r="B2101" s="173" t="s">
        <v>2275</v>
      </c>
      <c r="C2101" s="173" t="s">
        <v>2276</v>
      </c>
      <c r="D2101" s="173" t="s">
        <v>7018</v>
      </c>
      <c r="E2101" s="203">
        <v>43165</v>
      </c>
    </row>
    <row r="2102" spans="1:5" ht="14.25" hidden="1" customHeight="1">
      <c r="A2102" s="16">
        <v>36838733</v>
      </c>
      <c r="B2102" s="17" t="s">
        <v>2026</v>
      </c>
      <c r="C2102" s="17" t="s">
        <v>2430</v>
      </c>
      <c r="D2102" s="1" t="s">
        <v>7018</v>
      </c>
      <c r="E2102" s="35">
        <v>43165</v>
      </c>
    </row>
    <row r="2103" spans="1:5" ht="14.25" hidden="1" customHeight="1">
      <c r="A2103" s="155">
        <v>36838733</v>
      </c>
      <c r="B2103" s="173" t="s">
        <v>2026</v>
      </c>
      <c r="C2103" s="173" t="s">
        <v>2430</v>
      </c>
      <c r="D2103" s="173" t="s">
        <v>7018</v>
      </c>
      <c r="E2103" s="203">
        <v>43165</v>
      </c>
    </row>
    <row r="2104" spans="1:5" ht="14.25" hidden="1" customHeight="1">
      <c r="A2104" s="16">
        <v>12540739</v>
      </c>
      <c r="B2104" s="17" t="s">
        <v>4759</v>
      </c>
      <c r="C2104" s="17" t="s">
        <v>4760</v>
      </c>
      <c r="D2104" s="1" t="s">
        <v>7020</v>
      </c>
      <c r="E2104" s="35">
        <v>43164</v>
      </c>
    </row>
    <row r="2105" spans="1:5" ht="14.25" hidden="1" customHeight="1">
      <c r="A2105" s="155">
        <v>12540739</v>
      </c>
      <c r="B2105" s="173" t="s">
        <v>4759</v>
      </c>
      <c r="C2105" s="173" t="s">
        <v>4760</v>
      </c>
      <c r="D2105" s="173" t="s">
        <v>7020</v>
      </c>
      <c r="E2105" s="203">
        <v>43164</v>
      </c>
    </row>
    <row r="2106" spans="1:5" ht="14.25" hidden="1" customHeight="1">
      <c r="A2106" s="16">
        <v>16008463</v>
      </c>
      <c r="B2106" s="17" t="s">
        <v>1774</v>
      </c>
      <c r="C2106" s="17" t="s">
        <v>7035</v>
      </c>
      <c r="D2106" s="1" t="s">
        <v>7020</v>
      </c>
      <c r="E2106" s="35">
        <v>43164</v>
      </c>
    </row>
    <row r="2107" spans="1:5" ht="14.25" hidden="1" customHeight="1">
      <c r="A2107" s="155">
        <v>16008463</v>
      </c>
      <c r="B2107" s="173" t="s">
        <v>1774</v>
      </c>
      <c r="C2107" s="173" t="s">
        <v>7035</v>
      </c>
      <c r="D2107" s="173" t="s">
        <v>7020</v>
      </c>
      <c r="E2107" s="203">
        <v>43164</v>
      </c>
    </row>
    <row r="2108" spans="1:5" ht="14.25" hidden="1" customHeight="1">
      <c r="A2108" s="16">
        <v>16932642</v>
      </c>
      <c r="B2108" s="17" t="s">
        <v>4344</v>
      </c>
      <c r="C2108" s="17" t="s">
        <v>767</v>
      </c>
      <c r="D2108" s="1" t="s">
        <v>7020</v>
      </c>
      <c r="E2108" s="35">
        <v>43164</v>
      </c>
    </row>
    <row r="2109" spans="1:5" ht="14.25" hidden="1" customHeight="1">
      <c r="A2109" s="155">
        <v>16932642</v>
      </c>
      <c r="B2109" s="173" t="s">
        <v>4344</v>
      </c>
      <c r="C2109" s="173" t="s">
        <v>767</v>
      </c>
      <c r="D2109" s="173" t="s">
        <v>7020</v>
      </c>
      <c r="E2109" s="203">
        <v>43164</v>
      </c>
    </row>
    <row r="2110" spans="1:5" ht="14.25" hidden="1" customHeight="1">
      <c r="A2110" s="16">
        <v>18034548</v>
      </c>
      <c r="B2110" s="17" t="s">
        <v>4623</v>
      </c>
      <c r="C2110" s="17" t="s">
        <v>4624</v>
      </c>
      <c r="D2110" s="1" t="s">
        <v>7020</v>
      </c>
      <c r="E2110" s="35">
        <v>43164</v>
      </c>
    </row>
    <row r="2111" spans="1:5" ht="14.25" hidden="1" customHeight="1">
      <c r="A2111" s="155">
        <v>18034548</v>
      </c>
      <c r="B2111" s="173" t="s">
        <v>4623</v>
      </c>
      <c r="C2111" s="173" t="s">
        <v>4624</v>
      </c>
      <c r="D2111" s="173" t="s">
        <v>7020</v>
      </c>
      <c r="E2111" s="203">
        <v>43164</v>
      </c>
    </row>
    <row r="2112" spans="1:5" ht="14.25" hidden="1" customHeight="1">
      <c r="A2112" s="16">
        <v>24200921</v>
      </c>
      <c r="B2112" s="17" t="s">
        <v>4784</v>
      </c>
      <c r="C2112" s="17" t="s">
        <v>1085</v>
      </c>
      <c r="D2112" s="1" t="s">
        <v>7020</v>
      </c>
      <c r="E2112" s="35">
        <v>43164</v>
      </c>
    </row>
    <row r="2113" spans="1:5" ht="14.25" hidden="1" customHeight="1">
      <c r="A2113" s="155">
        <v>24200921</v>
      </c>
      <c r="B2113" s="173" t="s">
        <v>4784</v>
      </c>
      <c r="C2113" s="173" t="s">
        <v>1085</v>
      </c>
      <c r="D2113" s="173" t="s">
        <v>7020</v>
      </c>
      <c r="E2113" s="203">
        <v>43164</v>
      </c>
    </row>
    <row r="2114" spans="1:5" ht="14.25" hidden="1" customHeight="1">
      <c r="A2114" s="16">
        <v>25735232</v>
      </c>
      <c r="B2114" s="17" t="s">
        <v>875</v>
      </c>
      <c r="C2114" s="17" t="s">
        <v>5286</v>
      </c>
      <c r="D2114" s="1" t="s">
        <v>7020</v>
      </c>
      <c r="E2114" s="35">
        <v>43164</v>
      </c>
    </row>
    <row r="2115" spans="1:5" ht="14.25" hidden="1" customHeight="1">
      <c r="A2115" s="155">
        <v>25735232</v>
      </c>
      <c r="B2115" s="173" t="s">
        <v>875</v>
      </c>
      <c r="C2115" s="173" t="s">
        <v>5286</v>
      </c>
      <c r="D2115" s="173" t="s">
        <v>7020</v>
      </c>
      <c r="E2115" s="203">
        <v>43164</v>
      </c>
    </row>
    <row r="2116" spans="1:5" ht="14.25" hidden="1" customHeight="1">
      <c r="A2116" s="16">
        <v>26981974</v>
      </c>
      <c r="B2116" s="17" t="s">
        <v>961</v>
      </c>
      <c r="C2116" s="17" t="s">
        <v>962</v>
      </c>
      <c r="D2116" s="1" t="s">
        <v>7020</v>
      </c>
      <c r="E2116" s="35">
        <v>43164</v>
      </c>
    </row>
    <row r="2117" spans="1:5" ht="14.25" hidden="1" customHeight="1">
      <c r="A2117" s="155">
        <v>26981974</v>
      </c>
      <c r="B2117" s="173" t="s">
        <v>961</v>
      </c>
      <c r="C2117" s="173" t="s">
        <v>962</v>
      </c>
      <c r="D2117" s="173" t="s">
        <v>7020</v>
      </c>
      <c r="E2117" s="203">
        <v>43164</v>
      </c>
    </row>
    <row r="2118" spans="1:5" ht="14.25" hidden="1" customHeight="1">
      <c r="A2118" s="16">
        <v>27206962</v>
      </c>
      <c r="B2118" s="17" t="s">
        <v>2774</v>
      </c>
      <c r="C2118" s="17" t="s">
        <v>2775</v>
      </c>
      <c r="D2118" s="1" t="s">
        <v>7020</v>
      </c>
      <c r="E2118" s="35">
        <v>43164</v>
      </c>
    </row>
    <row r="2119" spans="1:5" ht="14.25" hidden="1" customHeight="1">
      <c r="A2119" s="155">
        <v>27206962</v>
      </c>
      <c r="B2119" s="173" t="s">
        <v>2774</v>
      </c>
      <c r="C2119" s="173" t="s">
        <v>2775</v>
      </c>
      <c r="D2119" s="173" t="s">
        <v>7020</v>
      </c>
      <c r="E2119" s="203">
        <v>43164</v>
      </c>
    </row>
    <row r="2120" spans="1:5" ht="14.25" hidden="1" customHeight="1">
      <c r="A2120" s="16">
        <v>27651542</v>
      </c>
      <c r="B2120" s="17" t="s">
        <v>5855</v>
      </c>
      <c r="C2120" s="17" t="s">
        <v>5856</v>
      </c>
      <c r="D2120" s="1" t="s">
        <v>7020</v>
      </c>
      <c r="E2120" s="35">
        <v>43164</v>
      </c>
    </row>
    <row r="2121" spans="1:5" ht="14.25" hidden="1" customHeight="1">
      <c r="A2121" s="155">
        <v>27651542</v>
      </c>
      <c r="B2121" s="173" t="s">
        <v>5855</v>
      </c>
      <c r="C2121" s="173" t="s">
        <v>5856</v>
      </c>
      <c r="D2121" s="173" t="s">
        <v>7020</v>
      </c>
      <c r="E2121" s="203">
        <v>43164</v>
      </c>
    </row>
    <row r="2122" spans="1:5" ht="14.25" hidden="1" customHeight="1">
      <c r="A2122" s="16">
        <v>33091069</v>
      </c>
      <c r="B2122" s="17" t="s">
        <v>267</v>
      </c>
      <c r="C2122" s="17" t="s">
        <v>1756</v>
      </c>
      <c r="D2122" s="1" t="s">
        <v>7020</v>
      </c>
      <c r="E2122" s="35">
        <v>43164</v>
      </c>
    </row>
    <row r="2123" spans="1:5" ht="14.25" hidden="1" customHeight="1">
      <c r="A2123" s="155">
        <v>33091069</v>
      </c>
      <c r="B2123" s="173" t="s">
        <v>267</v>
      </c>
      <c r="C2123" s="173" t="s">
        <v>1756</v>
      </c>
      <c r="D2123" s="173" t="s">
        <v>7020</v>
      </c>
      <c r="E2123" s="203">
        <v>43164</v>
      </c>
    </row>
    <row r="2124" spans="1:5" ht="14.25" hidden="1" customHeight="1">
      <c r="A2124" s="16">
        <v>14359591</v>
      </c>
      <c r="B2124" s="17" t="s">
        <v>4247</v>
      </c>
      <c r="C2124" s="17" t="s">
        <v>2822</v>
      </c>
      <c r="D2124" s="5" t="s">
        <v>7009</v>
      </c>
      <c r="E2124" s="35">
        <v>43020</v>
      </c>
    </row>
    <row r="2125" spans="1:5" ht="14.25" hidden="1" customHeight="1">
      <c r="A2125" s="155">
        <v>14359591</v>
      </c>
      <c r="B2125" s="173" t="s">
        <v>4247</v>
      </c>
      <c r="C2125" s="173" t="s">
        <v>2822</v>
      </c>
      <c r="D2125" s="173" t="s">
        <v>7009</v>
      </c>
      <c r="E2125" s="203">
        <v>43020</v>
      </c>
    </row>
    <row r="2126" spans="1:5" ht="14.25" hidden="1" customHeight="1">
      <c r="A2126" s="16">
        <v>14984966</v>
      </c>
      <c r="B2126" s="17" t="s">
        <v>1558</v>
      </c>
      <c r="C2126" s="17" t="s">
        <v>1061</v>
      </c>
      <c r="D2126" s="5" t="s">
        <v>7009</v>
      </c>
      <c r="E2126" s="35">
        <v>43020</v>
      </c>
    </row>
    <row r="2127" spans="1:5" ht="14.25" hidden="1" customHeight="1">
      <c r="A2127" s="155">
        <v>14984966</v>
      </c>
      <c r="B2127" s="173" t="s">
        <v>1558</v>
      </c>
      <c r="C2127" s="173" t="s">
        <v>1061</v>
      </c>
      <c r="D2127" s="173" t="s">
        <v>7009</v>
      </c>
      <c r="E2127" s="203">
        <v>43020</v>
      </c>
    </row>
    <row r="2128" spans="1:5" ht="14.25" hidden="1" customHeight="1">
      <c r="A2128" s="16">
        <v>17860016</v>
      </c>
      <c r="B2128" s="17" t="s">
        <v>1175</v>
      </c>
      <c r="C2128" s="17" t="s">
        <v>1179</v>
      </c>
      <c r="D2128" s="5" t="s">
        <v>7009</v>
      </c>
      <c r="E2128" s="35">
        <v>43020</v>
      </c>
    </row>
    <row r="2129" spans="1:5" ht="14.25" hidden="1" customHeight="1">
      <c r="A2129" s="155">
        <v>17860016</v>
      </c>
      <c r="B2129" s="173" t="s">
        <v>1175</v>
      </c>
      <c r="C2129" s="173" t="s">
        <v>1179</v>
      </c>
      <c r="D2129" s="173" t="s">
        <v>7009</v>
      </c>
      <c r="E2129" s="203">
        <v>43020</v>
      </c>
    </row>
    <row r="2130" spans="1:5" ht="14.25" hidden="1" customHeight="1">
      <c r="A2130" s="16">
        <v>25444256</v>
      </c>
      <c r="B2130" s="17" t="s">
        <v>5764</v>
      </c>
      <c r="C2130" s="17" t="s">
        <v>5765</v>
      </c>
      <c r="D2130" s="5" t="s">
        <v>7009</v>
      </c>
      <c r="E2130" s="35">
        <v>43020</v>
      </c>
    </row>
    <row r="2131" spans="1:5" ht="14.25" hidden="1" customHeight="1">
      <c r="A2131" s="155">
        <v>25444256</v>
      </c>
      <c r="B2131" s="173" t="s">
        <v>5764</v>
      </c>
      <c r="C2131" s="173" t="s">
        <v>5765</v>
      </c>
      <c r="D2131" s="173" t="s">
        <v>7009</v>
      </c>
      <c r="E2131" s="203">
        <v>43020</v>
      </c>
    </row>
    <row r="2132" spans="1:5" ht="14.25" hidden="1" customHeight="1">
      <c r="A2132" s="16">
        <v>25542562</v>
      </c>
      <c r="B2132" s="17" t="s">
        <v>3377</v>
      </c>
      <c r="C2132" s="17" t="s">
        <v>1173</v>
      </c>
      <c r="D2132" s="5" t="s">
        <v>7009</v>
      </c>
      <c r="E2132" s="35">
        <v>43020</v>
      </c>
    </row>
    <row r="2133" spans="1:5" ht="14.25" hidden="1" customHeight="1">
      <c r="A2133" s="155">
        <v>25542562</v>
      </c>
      <c r="B2133" s="173" t="s">
        <v>3377</v>
      </c>
      <c r="C2133" s="173" t="s">
        <v>1173</v>
      </c>
      <c r="D2133" s="173" t="s">
        <v>7009</v>
      </c>
      <c r="E2133" s="203">
        <v>43020</v>
      </c>
    </row>
    <row r="2134" spans="1:5" ht="14.25" hidden="1" customHeight="1">
      <c r="A2134" s="16">
        <v>26638536</v>
      </c>
      <c r="B2134" s="17" t="s">
        <v>901</v>
      </c>
      <c r="C2134" s="17" t="s">
        <v>902</v>
      </c>
      <c r="D2134" s="5" t="s">
        <v>7009</v>
      </c>
      <c r="E2134" s="35">
        <v>43020</v>
      </c>
    </row>
    <row r="2135" spans="1:5" ht="14.25" hidden="1" customHeight="1">
      <c r="A2135" s="155">
        <v>26638536</v>
      </c>
      <c r="B2135" s="173" t="s">
        <v>901</v>
      </c>
      <c r="C2135" s="173" t="s">
        <v>902</v>
      </c>
      <c r="D2135" s="173" t="s">
        <v>7009</v>
      </c>
      <c r="E2135" s="203">
        <v>43020</v>
      </c>
    </row>
    <row r="2136" spans="1:5" ht="14.25" hidden="1" customHeight="1">
      <c r="A2136" s="16">
        <v>31644258</v>
      </c>
      <c r="B2136" s="17" t="s">
        <v>927</v>
      </c>
      <c r="C2136" s="17" t="s">
        <v>933</v>
      </c>
      <c r="D2136" s="5" t="s">
        <v>7009</v>
      </c>
      <c r="E2136" s="35">
        <v>43020</v>
      </c>
    </row>
    <row r="2137" spans="1:5" ht="14.25" hidden="1" customHeight="1">
      <c r="A2137" s="155">
        <v>31644258</v>
      </c>
      <c r="B2137" s="173" t="s">
        <v>927</v>
      </c>
      <c r="C2137" s="173" t="s">
        <v>933</v>
      </c>
      <c r="D2137" s="173" t="s">
        <v>7009</v>
      </c>
      <c r="E2137" s="203">
        <v>43020</v>
      </c>
    </row>
    <row r="2138" spans="1:5" ht="14.25" hidden="1" customHeight="1">
      <c r="A2138" s="16">
        <v>2498288</v>
      </c>
      <c r="B2138" s="17" t="s">
        <v>299</v>
      </c>
      <c r="C2138" s="17" t="s">
        <v>296</v>
      </c>
      <c r="D2138" s="1" t="s">
        <v>7025</v>
      </c>
      <c r="E2138" s="35">
        <v>43019</v>
      </c>
    </row>
    <row r="2139" spans="1:5" ht="14.25" hidden="1" customHeight="1">
      <c r="A2139" s="155">
        <v>2498288</v>
      </c>
      <c r="B2139" s="173" t="s">
        <v>299</v>
      </c>
      <c r="C2139" s="173" t="s">
        <v>296</v>
      </c>
      <c r="D2139" s="173" t="s">
        <v>7025</v>
      </c>
      <c r="E2139" s="203">
        <v>43019</v>
      </c>
    </row>
    <row r="2140" spans="1:5" ht="14.25" hidden="1" customHeight="1">
      <c r="A2140" s="16">
        <v>25213575</v>
      </c>
      <c r="B2140" s="17" t="s">
        <v>64</v>
      </c>
      <c r="C2140" s="17" t="s">
        <v>1453</v>
      </c>
      <c r="D2140" s="1" t="s">
        <v>7025</v>
      </c>
      <c r="E2140" s="35">
        <v>43019</v>
      </c>
    </row>
    <row r="2141" spans="1:5" ht="14.25" hidden="1" customHeight="1">
      <c r="A2141" s="155">
        <v>25213575</v>
      </c>
      <c r="B2141" s="173" t="s">
        <v>64</v>
      </c>
      <c r="C2141" s="173" t="s">
        <v>1453</v>
      </c>
      <c r="D2141" s="173" t="s">
        <v>7025</v>
      </c>
      <c r="E2141" s="203">
        <v>43019</v>
      </c>
    </row>
    <row r="2142" spans="1:5" ht="14.25" hidden="1" customHeight="1">
      <c r="A2142" s="16">
        <v>27016126</v>
      </c>
      <c r="B2142" s="17" t="s">
        <v>327</v>
      </c>
      <c r="C2142" s="17" t="s">
        <v>2885</v>
      </c>
      <c r="D2142" s="1" t="s">
        <v>7025</v>
      </c>
      <c r="E2142" s="35">
        <v>43019</v>
      </c>
    </row>
    <row r="2143" spans="1:5" ht="14.25" hidden="1" customHeight="1">
      <c r="A2143" s="155">
        <v>27016126</v>
      </c>
      <c r="B2143" s="173" t="s">
        <v>327</v>
      </c>
      <c r="C2143" s="173" t="s">
        <v>2885</v>
      </c>
      <c r="D2143" s="173" t="s">
        <v>7025</v>
      </c>
      <c r="E2143" s="203">
        <v>43019</v>
      </c>
    </row>
    <row r="2144" spans="1:5" ht="14.25" hidden="1" customHeight="1">
      <c r="A2144" s="16">
        <v>27961528</v>
      </c>
      <c r="B2144" s="17" t="s">
        <v>7036</v>
      </c>
      <c r="C2144" s="17" t="s">
        <v>2519</v>
      </c>
      <c r="D2144" s="1" t="s">
        <v>7025</v>
      </c>
      <c r="E2144" s="35">
        <v>43019</v>
      </c>
    </row>
    <row r="2145" spans="1:5" ht="14.25" hidden="1" customHeight="1">
      <c r="A2145" s="155">
        <v>27961528</v>
      </c>
      <c r="B2145" s="173" t="s">
        <v>7036</v>
      </c>
      <c r="C2145" s="173" t="s">
        <v>2519</v>
      </c>
      <c r="D2145" s="173" t="s">
        <v>7025</v>
      </c>
      <c r="E2145" s="203">
        <v>43019</v>
      </c>
    </row>
    <row r="2146" spans="1:5" ht="14.25" hidden="1" customHeight="1">
      <c r="A2146" s="16">
        <v>30069677</v>
      </c>
      <c r="B2146" s="17" t="s">
        <v>2612</v>
      </c>
      <c r="C2146" s="17" t="s">
        <v>2613</v>
      </c>
      <c r="D2146" s="1" t="s">
        <v>7025</v>
      </c>
      <c r="E2146" s="35">
        <v>43019</v>
      </c>
    </row>
    <row r="2147" spans="1:5" ht="14.25" hidden="1" customHeight="1">
      <c r="A2147" s="155">
        <v>30069677</v>
      </c>
      <c r="B2147" s="173" t="s">
        <v>2612</v>
      </c>
      <c r="C2147" s="173" t="s">
        <v>2613</v>
      </c>
      <c r="D2147" s="173" t="s">
        <v>7025</v>
      </c>
      <c r="E2147" s="203">
        <v>43019</v>
      </c>
    </row>
    <row r="2148" spans="1:5" ht="14.25" hidden="1" customHeight="1">
      <c r="A2148" s="16">
        <v>31127367</v>
      </c>
      <c r="B2148" s="17" t="s">
        <v>690</v>
      </c>
      <c r="C2148" s="17" t="s">
        <v>1085</v>
      </c>
      <c r="D2148" s="1" t="s">
        <v>7025</v>
      </c>
      <c r="E2148" s="35">
        <v>43019</v>
      </c>
    </row>
    <row r="2149" spans="1:5" ht="14.25" hidden="1" customHeight="1">
      <c r="A2149" s="155">
        <v>31127367</v>
      </c>
      <c r="B2149" s="173" t="s">
        <v>690</v>
      </c>
      <c r="C2149" s="173" t="s">
        <v>1085</v>
      </c>
      <c r="D2149" s="173" t="s">
        <v>7025</v>
      </c>
      <c r="E2149" s="203">
        <v>43019</v>
      </c>
    </row>
    <row r="2150" spans="1:5" ht="14.25" hidden="1" customHeight="1">
      <c r="A2150" s="16">
        <v>31619320</v>
      </c>
      <c r="B2150" s="17" t="s">
        <v>350</v>
      </c>
      <c r="C2150" s="17" t="s">
        <v>1562</v>
      </c>
      <c r="D2150" s="1" t="s">
        <v>7025</v>
      </c>
      <c r="E2150" s="35">
        <v>43019</v>
      </c>
    </row>
    <row r="2151" spans="1:5" ht="14.25" hidden="1" customHeight="1">
      <c r="A2151" s="155">
        <v>31619320</v>
      </c>
      <c r="B2151" s="173" t="s">
        <v>350</v>
      </c>
      <c r="C2151" s="173" t="s">
        <v>1562</v>
      </c>
      <c r="D2151" s="173" t="s">
        <v>7025</v>
      </c>
      <c r="E2151" s="203">
        <v>43019</v>
      </c>
    </row>
    <row r="2152" spans="1:5" ht="14.25" hidden="1" customHeight="1">
      <c r="A2152" s="16">
        <v>31644419</v>
      </c>
      <c r="B2152" s="17" t="s">
        <v>4504</v>
      </c>
      <c r="C2152" s="17" t="s">
        <v>2613</v>
      </c>
      <c r="D2152" s="1" t="s">
        <v>7025</v>
      </c>
      <c r="E2152" s="35">
        <v>43019</v>
      </c>
    </row>
    <row r="2153" spans="1:5" ht="14.25" hidden="1" customHeight="1">
      <c r="A2153" s="155">
        <v>31644419</v>
      </c>
      <c r="B2153" s="173" t="s">
        <v>4504</v>
      </c>
      <c r="C2153" s="173" t="s">
        <v>2613</v>
      </c>
      <c r="D2153" s="173" t="s">
        <v>7025</v>
      </c>
      <c r="E2153" s="203">
        <v>43019</v>
      </c>
    </row>
    <row r="2154" spans="1:5" ht="14.25" hidden="1" customHeight="1">
      <c r="A2154" s="16">
        <v>35921443</v>
      </c>
      <c r="B2154" s="17" t="s">
        <v>680</v>
      </c>
      <c r="C2154" s="17" t="s">
        <v>7037</v>
      </c>
      <c r="D2154" s="1" t="s">
        <v>7025</v>
      </c>
      <c r="E2154" s="35">
        <v>43019</v>
      </c>
    </row>
    <row r="2155" spans="1:5" ht="14.25" hidden="1" customHeight="1">
      <c r="A2155" s="155">
        <v>35921443</v>
      </c>
      <c r="B2155" s="173" t="s">
        <v>680</v>
      </c>
      <c r="C2155" s="173" t="s">
        <v>7037</v>
      </c>
      <c r="D2155" s="173" t="s">
        <v>7025</v>
      </c>
      <c r="E2155" s="203">
        <v>43019</v>
      </c>
    </row>
    <row r="2156" spans="1:5" ht="14.25" hidden="1" customHeight="1">
      <c r="A2156" s="16">
        <v>37725924</v>
      </c>
      <c r="B2156" s="17" t="s">
        <v>392</v>
      </c>
      <c r="C2156" s="17" t="s">
        <v>2836</v>
      </c>
      <c r="D2156" s="1" t="s">
        <v>7025</v>
      </c>
      <c r="E2156" s="35">
        <v>43019</v>
      </c>
    </row>
    <row r="2157" spans="1:5" ht="14.25" hidden="1" customHeight="1">
      <c r="A2157" s="155">
        <v>37725924</v>
      </c>
      <c r="B2157" s="173" t="s">
        <v>392</v>
      </c>
      <c r="C2157" s="173" t="s">
        <v>2836</v>
      </c>
      <c r="D2157" s="173" t="s">
        <v>7025</v>
      </c>
      <c r="E2157" s="203">
        <v>43019</v>
      </c>
    </row>
    <row r="2158" spans="1:5" ht="14.25" hidden="1" customHeight="1">
      <c r="A2158" s="16">
        <v>11475132</v>
      </c>
      <c r="B2158" s="17" t="s">
        <v>5034</v>
      </c>
      <c r="C2158" s="17" t="s">
        <v>6492</v>
      </c>
      <c r="D2158" s="5" t="s">
        <v>7038</v>
      </c>
      <c r="E2158" s="35">
        <v>43019</v>
      </c>
    </row>
    <row r="2159" spans="1:5" ht="14.25" hidden="1" customHeight="1">
      <c r="A2159" s="155">
        <v>11475132</v>
      </c>
      <c r="B2159" s="173" t="s">
        <v>5034</v>
      </c>
      <c r="C2159" s="173" t="s">
        <v>6492</v>
      </c>
      <c r="D2159" s="173" t="s">
        <v>7038</v>
      </c>
      <c r="E2159" s="203">
        <v>43019</v>
      </c>
    </row>
    <row r="2160" spans="1:5" ht="14.25" hidden="1" customHeight="1">
      <c r="A2160" s="16">
        <v>11620975</v>
      </c>
      <c r="B2160" s="17" t="s">
        <v>207</v>
      </c>
      <c r="C2160" s="17" t="s">
        <v>5570</v>
      </c>
      <c r="D2160" s="5" t="s">
        <v>7038</v>
      </c>
      <c r="E2160" s="35">
        <v>43019</v>
      </c>
    </row>
    <row r="2161" spans="1:5" ht="14.25" hidden="1" customHeight="1">
      <c r="A2161" s="155">
        <v>11620975</v>
      </c>
      <c r="B2161" s="173" t="s">
        <v>207</v>
      </c>
      <c r="C2161" s="173" t="s">
        <v>5570</v>
      </c>
      <c r="D2161" s="173" t="s">
        <v>7038</v>
      </c>
      <c r="E2161" s="203">
        <v>43019</v>
      </c>
    </row>
    <row r="2162" spans="1:5" ht="14.25" hidden="1" customHeight="1">
      <c r="A2162" s="16">
        <v>12318006</v>
      </c>
      <c r="B2162" s="17" t="s">
        <v>574</v>
      </c>
      <c r="C2162" s="17" t="s">
        <v>5798</v>
      </c>
      <c r="D2162" s="5" t="s">
        <v>7038</v>
      </c>
      <c r="E2162" s="35">
        <v>43019</v>
      </c>
    </row>
    <row r="2163" spans="1:5" ht="14.25" hidden="1" customHeight="1">
      <c r="A2163" s="155">
        <v>12318006</v>
      </c>
      <c r="B2163" s="173" t="s">
        <v>574</v>
      </c>
      <c r="C2163" s="173" t="s">
        <v>5798</v>
      </c>
      <c r="D2163" s="173" t="s">
        <v>7038</v>
      </c>
      <c r="E2163" s="203">
        <v>43019</v>
      </c>
    </row>
    <row r="2164" spans="1:5" ht="14.25" hidden="1" customHeight="1">
      <c r="A2164" s="16">
        <v>13066434</v>
      </c>
      <c r="B2164" s="17" t="s">
        <v>1565</v>
      </c>
      <c r="C2164" s="17" t="s">
        <v>758</v>
      </c>
      <c r="D2164" s="5" t="s">
        <v>7038</v>
      </c>
      <c r="E2164" s="35">
        <v>43019</v>
      </c>
    </row>
    <row r="2165" spans="1:5" ht="14.25" hidden="1" customHeight="1">
      <c r="A2165" s="155">
        <v>13066434</v>
      </c>
      <c r="B2165" s="173" t="s">
        <v>1565</v>
      </c>
      <c r="C2165" s="173" t="s">
        <v>758</v>
      </c>
      <c r="D2165" s="173" t="s">
        <v>7038</v>
      </c>
      <c r="E2165" s="203">
        <v>43019</v>
      </c>
    </row>
    <row r="2166" spans="1:5" ht="14.25" hidden="1" customHeight="1">
      <c r="A2166" s="16">
        <v>14083636</v>
      </c>
      <c r="B2166" s="17" t="s">
        <v>4204</v>
      </c>
      <c r="C2166" s="17" t="s">
        <v>2826</v>
      </c>
      <c r="D2166" s="5" t="s">
        <v>7038</v>
      </c>
      <c r="E2166" s="35">
        <v>43019</v>
      </c>
    </row>
    <row r="2167" spans="1:5" ht="14.25" hidden="1" customHeight="1">
      <c r="A2167" s="155">
        <v>14083636</v>
      </c>
      <c r="B2167" s="173" t="s">
        <v>4204</v>
      </c>
      <c r="C2167" s="173" t="s">
        <v>2826</v>
      </c>
      <c r="D2167" s="173" t="s">
        <v>7038</v>
      </c>
      <c r="E2167" s="203">
        <v>43019</v>
      </c>
    </row>
    <row r="2168" spans="1:5" ht="14.25" hidden="1" customHeight="1">
      <c r="A2168" s="16">
        <v>14358186</v>
      </c>
      <c r="B2168" s="17" t="s">
        <v>1011</v>
      </c>
      <c r="C2168" s="17" t="s">
        <v>1012</v>
      </c>
      <c r="D2168" s="5" t="s">
        <v>7038</v>
      </c>
      <c r="E2168" s="35">
        <v>43019</v>
      </c>
    </row>
    <row r="2169" spans="1:5" ht="14.25" hidden="1" customHeight="1">
      <c r="A2169" s="155">
        <v>14358186</v>
      </c>
      <c r="B2169" s="173" t="s">
        <v>1011</v>
      </c>
      <c r="C2169" s="173" t="s">
        <v>1012</v>
      </c>
      <c r="D2169" s="173" t="s">
        <v>7038</v>
      </c>
      <c r="E2169" s="203">
        <v>43019</v>
      </c>
    </row>
    <row r="2170" spans="1:5" ht="14.25" hidden="1" customHeight="1">
      <c r="A2170" s="16">
        <v>14359850</v>
      </c>
      <c r="B2170" s="17" t="s">
        <v>5663</v>
      </c>
      <c r="C2170" s="17" t="s">
        <v>5664</v>
      </c>
      <c r="D2170" s="5" t="s">
        <v>7038</v>
      </c>
      <c r="E2170" s="35">
        <v>43019</v>
      </c>
    </row>
    <row r="2171" spans="1:5" ht="14.25" hidden="1" customHeight="1">
      <c r="A2171" s="155">
        <v>14359850</v>
      </c>
      <c r="B2171" s="173" t="s">
        <v>5663</v>
      </c>
      <c r="C2171" s="173" t="s">
        <v>5664</v>
      </c>
      <c r="D2171" s="173" t="s">
        <v>7038</v>
      </c>
      <c r="E2171" s="203">
        <v>43019</v>
      </c>
    </row>
    <row r="2172" spans="1:5" ht="14.25" hidden="1" customHeight="1">
      <c r="A2172" s="16">
        <v>14481830</v>
      </c>
      <c r="B2172" s="17" t="s">
        <v>2664</v>
      </c>
      <c r="C2172" s="17" t="s">
        <v>2665</v>
      </c>
      <c r="D2172" s="5" t="s">
        <v>7038</v>
      </c>
      <c r="E2172" s="35">
        <v>43019</v>
      </c>
    </row>
    <row r="2173" spans="1:5" ht="14.25" hidden="1" customHeight="1">
      <c r="A2173" s="155">
        <v>14481830</v>
      </c>
      <c r="B2173" s="173" t="s">
        <v>2664</v>
      </c>
      <c r="C2173" s="173" t="s">
        <v>2665</v>
      </c>
      <c r="D2173" s="173" t="s">
        <v>7038</v>
      </c>
      <c r="E2173" s="203">
        <v>43019</v>
      </c>
    </row>
    <row r="2174" spans="1:5" ht="14.25" hidden="1" customHeight="1">
      <c r="A2174" s="16">
        <v>14896414</v>
      </c>
      <c r="B2174" s="17" t="s">
        <v>207</v>
      </c>
      <c r="C2174" s="17" t="s">
        <v>6122</v>
      </c>
      <c r="D2174" s="5" t="s">
        <v>7038</v>
      </c>
      <c r="E2174" s="35">
        <v>43019</v>
      </c>
    </row>
    <row r="2175" spans="1:5" ht="14.25" hidden="1" customHeight="1">
      <c r="A2175" s="155">
        <v>14896414</v>
      </c>
      <c r="B2175" s="173" t="s">
        <v>207</v>
      </c>
      <c r="C2175" s="173" t="s">
        <v>6122</v>
      </c>
      <c r="D2175" s="173" t="s">
        <v>7038</v>
      </c>
      <c r="E2175" s="203">
        <v>43019</v>
      </c>
    </row>
    <row r="2176" spans="1:5" ht="14.25" hidden="1" customHeight="1">
      <c r="A2176" s="16">
        <v>14966433</v>
      </c>
      <c r="B2176" s="17" t="s">
        <v>1523</v>
      </c>
      <c r="C2176" s="17" t="s">
        <v>2819</v>
      </c>
      <c r="D2176" s="5" t="s">
        <v>7038</v>
      </c>
      <c r="E2176" s="35">
        <v>43019</v>
      </c>
    </row>
    <row r="2177" spans="1:5" ht="14.25" hidden="1" customHeight="1">
      <c r="A2177" s="155">
        <v>14966433</v>
      </c>
      <c r="B2177" s="173" t="s">
        <v>1523</v>
      </c>
      <c r="C2177" s="173" t="s">
        <v>2819</v>
      </c>
      <c r="D2177" s="173" t="s">
        <v>7038</v>
      </c>
      <c r="E2177" s="203">
        <v>43019</v>
      </c>
    </row>
    <row r="2178" spans="1:5" ht="14.25" hidden="1" customHeight="1">
      <c r="A2178" s="16">
        <v>14966482</v>
      </c>
      <c r="B2178" s="17" t="s">
        <v>2785</v>
      </c>
      <c r="C2178" s="17" t="s">
        <v>2786</v>
      </c>
      <c r="D2178" s="5" t="s">
        <v>7038</v>
      </c>
      <c r="E2178" s="35">
        <v>43019</v>
      </c>
    </row>
    <row r="2179" spans="1:5" ht="14.25" hidden="1" customHeight="1">
      <c r="A2179" s="155">
        <v>14966482</v>
      </c>
      <c r="B2179" s="173" t="s">
        <v>2785</v>
      </c>
      <c r="C2179" s="173" t="s">
        <v>2786</v>
      </c>
      <c r="D2179" s="173" t="s">
        <v>7038</v>
      </c>
      <c r="E2179" s="203">
        <v>43019</v>
      </c>
    </row>
    <row r="2180" spans="1:5" ht="14.25" hidden="1" customHeight="1">
      <c r="A2180" s="16">
        <v>16091162</v>
      </c>
      <c r="B2180" s="17" t="s">
        <v>5866</v>
      </c>
      <c r="C2180" s="17" t="s">
        <v>7040</v>
      </c>
      <c r="D2180" s="5" t="s">
        <v>7038</v>
      </c>
      <c r="E2180" s="35">
        <v>43019</v>
      </c>
    </row>
    <row r="2181" spans="1:5" ht="14.25" hidden="1" customHeight="1">
      <c r="A2181" s="155">
        <v>16091162</v>
      </c>
      <c r="B2181" s="173" t="s">
        <v>5866</v>
      </c>
      <c r="C2181" s="173" t="s">
        <v>7040</v>
      </c>
      <c r="D2181" s="173" t="s">
        <v>7038</v>
      </c>
      <c r="E2181" s="203">
        <v>43019</v>
      </c>
    </row>
    <row r="2182" spans="1:5" ht="14.25" hidden="1" customHeight="1">
      <c r="A2182" s="16">
        <v>16216479</v>
      </c>
      <c r="B2182" s="17" t="s">
        <v>5034</v>
      </c>
      <c r="C2182" s="17" t="s">
        <v>5035</v>
      </c>
      <c r="D2182" s="5" t="s">
        <v>7038</v>
      </c>
      <c r="E2182" s="35">
        <v>43019</v>
      </c>
    </row>
    <row r="2183" spans="1:5" ht="14.25" hidden="1" customHeight="1">
      <c r="A2183" s="155">
        <v>16216479</v>
      </c>
      <c r="B2183" s="173" t="s">
        <v>5034</v>
      </c>
      <c r="C2183" s="173" t="s">
        <v>5035</v>
      </c>
      <c r="D2183" s="173" t="s">
        <v>7038</v>
      </c>
      <c r="E2183" s="203">
        <v>43019</v>
      </c>
    </row>
    <row r="2184" spans="1:5" ht="14.25" hidden="1" customHeight="1">
      <c r="A2184" s="16">
        <v>16540918</v>
      </c>
      <c r="B2184" s="17" t="s">
        <v>595</v>
      </c>
      <c r="C2184" s="17" t="s">
        <v>468</v>
      </c>
      <c r="D2184" s="5" t="s">
        <v>7038</v>
      </c>
      <c r="E2184" s="35">
        <v>43019</v>
      </c>
    </row>
    <row r="2185" spans="1:5" ht="14.25" hidden="1" customHeight="1">
      <c r="A2185" s="155">
        <v>16540918</v>
      </c>
      <c r="B2185" s="173" t="s">
        <v>595</v>
      </c>
      <c r="C2185" s="173" t="s">
        <v>468</v>
      </c>
      <c r="D2185" s="173" t="s">
        <v>7038</v>
      </c>
      <c r="E2185" s="203">
        <v>43019</v>
      </c>
    </row>
    <row r="2186" spans="1:5" ht="14.25" hidden="1" customHeight="1">
      <c r="A2186" s="16">
        <v>16541537</v>
      </c>
      <c r="B2186" s="17" t="s">
        <v>4643</v>
      </c>
      <c r="C2186" s="17" t="s">
        <v>4644</v>
      </c>
      <c r="D2186" s="5" t="s">
        <v>7038</v>
      </c>
      <c r="E2186" s="35">
        <v>43019</v>
      </c>
    </row>
    <row r="2187" spans="1:5" ht="14.25" hidden="1" customHeight="1">
      <c r="A2187" s="155">
        <v>16541537</v>
      </c>
      <c r="B2187" s="173" t="s">
        <v>4643</v>
      </c>
      <c r="C2187" s="173" t="s">
        <v>4644</v>
      </c>
      <c r="D2187" s="173" t="s">
        <v>7038</v>
      </c>
      <c r="E2187" s="203">
        <v>43019</v>
      </c>
    </row>
    <row r="2188" spans="1:5" ht="14.25" hidden="1" customHeight="1">
      <c r="A2188" s="16">
        <v>16811619</v>
      </c>
      <c r="B2188" s="17" t="s">
        <v>811</v>
      </c>
      <c r="C2188" s="17" t="s">
        <v>2295</v>
      </c>
      <c r="D2188" s="5" t="s">
        <v>7038</v>
      </c>
      <c r="E2188" s="35">
        <v>43019</v>
      </c>
    </row>
    <row r="2189" spans="1:5" ht="14.25" hidden="1" customHeight="1">
      <c r="A2189" s="155">
        <v>16811619</v>
      </c>
      <c r="B2189" s="173" t="s">
        <v>811</v>
      </c>
      <c r="C2189" s="173" t="s">
        <v>2295</v>
      </c>
      <c r="D2189" s="173" t="s">
        <v>7038</v>
      </c>
      <c r="E2189" s="203">
        <v>43019</v>
      </c>
    </row>
    <row r="2190" spans="1:5" ht="14.25" hidden="1" customHeight="1">
      <c r="A2190" s="16">
        <v>16883300</v>
      </c>
      <c r="B2190" s="17" t="s">
        <v>5729</v>
      </c>
      <c r="C2190" s="17" t="s">
        <v>1299</v>
      </c>
      <c r="D2190" s="5" t="s">
        <v>7038</v>
      </c>
      <c r="E2190" s="35">
        <v>43019</v>
      </c>
    </row>
    <row r="2191" spans="1:5" ht="14.25" hidden="1" customHeight="1">
      <c r="A2191" s="155">
        <v>16883300</v>
      </c>
      <c r="B2191" s="173" t="s">
        <v>5729</v>
      </c>
      <c r="C2191" s="173" t="s">
        <v>1299</v>
      </c>
      <c r="D2191" s="173" t="s">
        <v>7038</v>
      </c>
      <c r="E2191" s="203">
        <v>43019</v>
      </c>
    </row>
    <row r="2192" spans="1:5" ht="14.25" hidden="1" customHeight="1">
      <c r="A2192" s="16">
        <v>16998863</v>
      </c>
      <c r="B2192" s="17" t="s">
        <v>863</v>
      </c>
      <c r="C2192" s="17" t="s">
        <v>5907</v>
      </c>
      <c r="D2192" s="5" t="s">
        <v>7038</v>
      </c>
      <c r="E2192" s="35">
        <v>43019</v>
      </c>
    </row>
    <row r="2193" spans="1:5" ht="14.25" hidden="1" customHeight="1">
      <c r="A2193" s="155">
        <v>16998863</v>
      </c>
      <c r="B2193" s="173" t="s">
        <v>863</v>
      </c>
      <c r="C2193" s="173" t="s">
        <v>5907</v>
      </c>
      <c r="D2193" s="173" t="s">
        <v>7038</v>
      </c>
      <c r="E2193" s="203">
        <v>43019</v>
      </c>
    </row>
    <row r="2194" spans="1:5" ht="14.25" hidden="1" customHeight="1">
      <c r="A2194" s="16">
        <v>17376756</v>
      </c>
      <c r="B2194" s="17" t="s">
        <v>944</v>
      </c>
      <c r="C2194" s="17" t="s">
        <v>945</v>
      </c>
      <c r="D2194" s="5" t="s">
        <v>7038</v>
      </c>
      <c r="E2194" s="35">
        <v>43019</v>
      </c>
    </row>
    <row r="2195" spans="1:5" ht="14.25" hidden="1" customHeight="1">
      <c r="A2195" s="155">
        <v>17376756</v>
      </c>
      <c r="B2195" s="173" t="s">
        <v>944</v>
      </c>
      <c r="C2195" s="173" t="s">
        <v>945</v>
      </c>
      <c r="D2195" s="173" t="s">
        <v>7038</v>
      </c>
      <c r="E2195" s="203">
        <v>43019</v>
      </c>
    </row>
    <row r="2196" spans="1:5" ht="14.25" hidden="1" customHeight="1">
      <c r="A2196" s="16">
        <v>17543711</v>
      </c>
      <c r="B2196" s="17" t="s">
        <v>195</v>
      </c>
      <c r="C2196" s="17" t="s">
        <v>296</v>
      </c>
      <c r="D2196" s="5" t="s">
        <v>7038</v>
      </c>
      <c r="E2196" s="35">
        <v>43019</v>
      </c>
    </row>
    <row r="2197" spans="1:5" ht="14.25" hidden="1" customHeight="1">
      <c r="A2197" s="155">
        <v>17543711</v>
      </c>
      <c r="B2197" s="173" t="s">
        <v>195</v>
      </c>
      <c r="C2197" s="173" t="s">
        <v>296</v>
      </c>
      <c r="D2197" s="173" t="s">
        <v>7038</v>
      </c>
      <c r="E2197" s="203">
        <v>43019</v>
      </c>
    </row>
    <row r="2198" spans="1:5" ht="14.25" hidden="1" customHeight="1">
      <c r="A2198" s="16">
        <v>17947917</v>
      </c>
      <c r="B2198" s="17" t="s">
        <v>2844</v>
      </c>
      <c r="C2198" s="17" t="s">
        <v>2845</v>
      </c>
      <c r="D2198" s="5" t="s">
        <v>7038</v>
      </c>
      <c r="E2198" s="35">
        <v>43019</v>
      </c>
    </row>
    <row r="2199" spans="1:5" ht="14.25" hidden="1" customHeight="1">
      <c r="A2199" s="155">
        <v>17947917</v>
      </c>
      <c r="B2199" s="173" t="s">
        <v>2844</v>
      </c>
      <c r="C2199" s="173" t="s">
        <v>2845</v>
      </c>
      <c r="D2199" s="173" t="s">
        <v>7038</v>
      </c>
      <c r="E2199" s="203">
        <v>43019</v>
      </c>
    </row>
    <row r="2200" spans="1:5" ht="14.25" hidden="1" customHeight="1">
      <c r="A2200" s="16">
        <v>17947952</v>
      </c>
      <c r="B2200" s="17" t="s">
        <v>115</v>
      </c>
      <c r="C2200" s="17" t="s">
        <v>1931</v>
      </c>
      <c r="D2200" s="5" t="s">
        <v>7038</v>
      </c>
      <c r="E2200" s="35">
        <v>43019</v>
      </c>
    </row>
    <row r="2201" spans="1:5" ht="14.25" hidden="1" customHeight="1">
      <c r="A2201" s="155">
        <v>17947952</v>
      </c>
      <c r="B2201" s="173" t="s">
        <v>115</v>
      </c>
      <c r="C2201" s="173" t="s">
        <v>1931</v>
      </c>
      <c r="D2201" s="173" t="s">
        <v>7038</v>
      </c>
      <c r="E2201" s="203">
        <v>43019</v>
      </c>
    </row>
    <row r="2202" spans="1:5" ht="14.25" hidden="1" customHeight="1">
      <c r="A2202" s="16">
        <v>18102826</v>
      </c>
      <c r="B2202" s="17" t="s">
        <v>3176</v>
      </c>
      <c r="C2202" s="17" t="s">
        <v>3998</v>
      </c>
      <c r="D2202" s="5" t="s">
        <v>7038</v>
      </c>
      <c r="E2202" s="35">
        <v>43019</v>
      </c>
    </row>
    <row r="2203" spans="1:5" ht="14.25" hidden="1" customHeight="1">
      <c r="A2203" s="155">
        <v>18102826</v>
      </c>
      <c r="B2203" s="173" t="s">
        <v>3176</v>
      </c>
      <c r="C2203" s="173" t="s">
        <v>3998</v>
      </c>
      <c r="D2203" s="173" t="s">
        <v>7038</v>
      </c>
      <c r="E2203" s="203">
        <v>43019</v>
      </c>
    </row>
    <row r="2204" spans="1:5" ht="14.25" hidden="1" customHeight="1">
      <c r="A2204" s="16">
        <v>18185663</v>
      </c>
      <c r="B2204" s="17" t="s">
        <v>26</v>
      </c>
      <c r="C2204" s="17" t="s">
        <v>5759</v>
      </c>
      <c r="D2204" s="5" t="s">
        <v>7038</v>
      </c>
      <c r="E2204" s="35">
        <v>43019</v>
      </c>
    </row>
    <row r="2205" spans="1:5" ht="14.25" hidden="1" customHeight="1">
      <c r="A2205" s="155">
        <v>18185663</v>
      </c>
      <c r="B2205" s="173" t="s">
        <v>26</v>
      </c>
      <c r="C2205" s="173" t="s">
        <v>5759</v>
      </c>
      <c r="D2205" s="173" t="s">
        <v>7038</v>
      </c>
      <c r="E2205" s="203">
        <v>43019</v>
      </c>
    </row>
    <row r="2206" spans="1:5" ht="14.25" hidden="1" customHeight="1">
      <c r="A2206" s="16">
        <v>20178395</v>
      </c>
      <c r="B2206" s="17" t="s">
        <v>2358</v>
      </c>
      <c r="C2206" s="17" t="s">
        <v>902</v>
      </c>
      <c r="D2206" s="5" t="s">
        <v>7038</v>
      </c>
      <c r="E2206" s="35">
        <v>43019</v>
      </c>
    </row>
    <row r="2207" spans="1:5" ht="14.25" hidden="1" customHeight="1">
      <c r="A2207" s="155">
        <v>20178395</v>
      </c>
      <c r="B2207" s="173" t="s">
        <v>2358</v>
      </c>
      <c r="C2207" s="173" t="s">
        <v>902</v>
      </c>
      <c r="D2207" s="173" t="s">
        <v>7038</v>
      </c>
      <c r="E2207" s="203">
        <v>43019</v>
      </c>
    </row>
    <row r="2208" spans="1:5" ht="14.25" hidden="1" customHeight="1">
      <c r="A2208" s="16">
        <v>20178405</v>
      </c>
      <c r="B2208" s="17" t="s">
        <v>6129</v>
      </c>
      <c r="C2208" s="17" t="s">
        <v>6130</v>
      </c>
      <c r="D2208" s="5" t="s">
        <v>7038</v>
      </c>
      <c r="E2208" s="35">
        <v>43019</v>
      </c>
    </row>
    <row r="2209" spans="1:5" ht="14.25" hidden="1" customHeight="1">
      <c r="A2209" s="155">
        <v>20178405</v>
      </c>
      <c r="B2209" s="173" t="s">
        <v>6129</v>
      </c>
      <c r="C2209" s="173" t="s">
        <v>6130</v>
      </c>
      <c r="D2209" s="173" t="s">
        <v>7038</v>
      </c>
      <c r="E2209" s="203">
        <v>43019</v>
      </c>
    </row>
    <row r="2210" spans="1:5" ht="14.25" hidden="1" customHeight="1">
      <c r="A2210" s="16">
        <v>20262443</v>
      </c>
      <c r="B2210" s="17" t="s">
        <v>6214</v>
      </c>
      <c r="C2210" s="17" t="s">
        <v>6215</v>
      </c>
      <c r="D2210" s="5" t="s">
        <v>7038</v>
      </c>
      <c r="E2210" s="35">
        <v>43019</v>
      </c>
    </row>
    <row r="2211" spans="1:5" ht="14.25" hidden="1" customHeight="1">
      <c r="A2211" s="155">
        <v>20262443</v>
      </c>
      <c r="B2211" s="173" t="s">
        <v>6214</v>
      </c>
      <c r="C2211" s="173" t="s">
        <v>6215</v>
      </c>
      <c r="D2211" s="173" t="s">
        <v>7038</v>
      </c>
      <c r="E2211" s="203">
        <v>43019</v>
      </c>
    </row>
    <row r="2212" spans="1:5" ht="14.25" hidden="1" customHeight="1">
      <c r="A2212" s="16">
        <v>20759580</v>
      </c>
      <c r="B2212" s="17" t="s">
        <v>118</v>
      </c>
      <c r="C2212" s="17" t="s">
        <v>119</v>
      </c>
      <c r="D2212" s="5" t="s">
        <v>7038</v>
      </c>
      <c r="E2212" s="35">
        <v>43019</v>
      </c>
    </row>
    <row r="2213" spans="1:5" ht="14.25" hidden="1" customHeight="1">
      <c r="A2213" s="155">
        <v>20759580</v>
      </c>
      <c r="B2213" s="173" t="s">
        <v>118</v>
      </c>
      <c r="C2213" s="173" t="s">
        <v>119</v>
      </c>
      <c r="D2213" s="173" t="s">
        <v>7038</v>
      </c>
      <c r="E2213" s="203">
        <v>43019</v>
      </c>
    </row>
    <row r="2214" spans="1:5" ht="14.25" hidden="1" customHeight="1">
      <c r="A2214" s="16">
        <v>21328207</v>
      </c>
      <c r="B2214" s="17" t="s">
        <v>5014</v>
      </c>
      <c r="C2214" s="17" t="s">
        <v>5015</v>
      </c>
      <c r="D2214" s="5" t="s">
        <v>7038</v>
      </c>
      <c r="E2214" s="35">
        <v>43019</v>
      </c>
    </row>
    <row r="2215" spans="1:5" ht="14.25" hidden="1" customHeight="1">
      <c r="A2215" s="155">
        <v>21328207</v>
      </c>
      <c r="B2215" s="173" t="s">
        <v>5014</v>
      </c>
      <c r="C2215" s="173" t="s">
        <v>5015</v>
      </c>
      <c r="D2215" s="173" t="s">
        <v>7038</v>
      </c>
      <c r="E2215" s="203">
        <v>43019</v>
      </c>
    </row>
    <row r="2216" spans="1:5" ht="14.25" hidden="1" customHeight="1">
      <c r="A2216" s="16">
        <v>21846191</v>
      </c>
      <c r="B2216" s="17" t="s">
        <v>4330</v>
      </c>
      <c r="C2216" s="17" t="s">
        <v>4331</v>
      </c>
      <c r="D2216" s="5" t="s">
        <v>7038</v>
      </c>
      <c r="E2216" s="35">
        <v>43019</v>
      </c>
    </row>
    <row r="2217" spans="1:5" ht="14.25" hidden="1" customHeight="1">
      <c r="A2217" s="155">
        <v>21846191</v>
      </c>
      <c r="B2217" s="173" t="s">
        <v>4330</v>
      </c>
      <c r="C2217" s="173" t="s">
        <v>4331</v>
      </c>
      <c r="D2217" s="173" t="s">
        <v>7038</v>
      </c>
      <c r="E2217" s="203">
        <v>43019</v>
      </c>
    </row>
    <row r="2218" spans="1:5" ht="14.25" hidden="1" customHeight="1">
      <c r="A2218" s="16">
        <v>22264316</v>
      </c>
      <c r="B2218" s="17" t="s">
        <v>2687</v>
      </c>
      <c r="C2218" s="17" t="s">
        <v>2688</v>
      </c>
      <c r="D2218" s="5" t="s">
        <v>7038</v>
      </c>
      <c r="E2218" s="35">
        <v>43019</v>
      </c>
    </row>
    <row r="2219" spans="1:5" ht="14.25" hidden="1" customHeight="1">
      <c r="A2219" s="155">
        <v>22264316</v>
      </c>
      <c r="B2219" s="173" t="s">
        <v>2687</v>
      </c>
      <c r="C2219" s="173" t="s">
        <v>2688</v>
      </c>
      <c r="D2219" s="173" t="s">
        <v>7038</v>
      </c>
      <c r="E2219" s="203">
        <v>43019</v>
      </c>
    </row>
    <row r="2220" spans="1:5" ht="14.25" hidden="1" customHeight="1">
      <c r="A2220" s="16">
        <v>22264981</v>
      </c>
      <c r="B2220" s="17" t="s">
        <v>5885</v>
      </c>
      <c r="C2220" s="17" t="s">
        <v>5886</v>
      </c>
      <c r="D2220" s="5" t="s">
        <v>7038</v>
      </c>
      <c r="E2220" s="35">
        <v>43019</v>
      </c>
    </row>
    <row r="2221" spans="1:5" ht="14.25" hidden="1" customHeight="1">
      <c r="A2221" s="155">
        <v>22264981</v>
      </c>
      <c r="B2221" s="173" t="s">
        <v>5885</v>
      </c>
      <c r="C2221" s="173" t="s">
        <v>5886</v>
      </c>
      <c r="D2221" s="173" t="s">
        <v>7038</v>
      </c>
      <c r="E2221" s="203">
        <v>43019</v>
      </c>
    </row>
    <row r="2222" spans="1:5" ht="14.25" hidden="1" customHeight="1">
      <c r="A2222" s="16">
        <v>22414324</v>
      </c>
      <c r="B2222" s="17" t="s">
        <v>1926</v>
      </c>
      <c r="C2222" s="17" t="s">
        <v>2815</v>
      </c>
      <c r="D2222" s="5" t="s">
        <v>7038</v>
      </c>
      <c r="E2222" s="35">
        <v>43019</v>
      </c>
    </row>
    <row r="2223" spans="1:5" ht="14.25" hidden="1" customHeight="1">
      <c r="A2223" s="155">
        <v>22414324</v>
      </c>
      <c r="B2223" s="173" t="s">
        <v>1926</v>
      </c>
      <c r="C2223" s="173" t="s">
        <v>2815</v>
      </c>
      <c r="D2223" s="173" t="s">
        <v>7038</v>
      </c>
      <c r="E2223" s="203">
        <v>43019</v>
      </c>
    </row>
    <row r="2224" spans="1:5" ht="14.25" hidden="1" customHeight="1">
      <c r="A2224" s="16">
        <v>22451756</v>
      </c>
      <c r="B2224" s="17" t="s">
        <v>7039</v>
      </c>
      <c r="C2224" s="17" t="s">
        <v>5325</v>
      </c>
      <c r="D2224" s="5" t="s">
        <v>7038</v>
      </c>
      <c r="E2224" s="35">
        <v>43019</v>
      </c>
    </row>
    <row r="2225" spans="1:5" ht="14.25" hidden="1" customHeight="1">
      <c r="A2225" s="155">
        <v>22451756</v>
      </c>
      <c r="B2225" s="173" t="s">
        <v>7039</v>
      </c>
      <c r="C2225" s="173" t="s">
        <v>5325</v>
      </c>
      <c r="D2225" s="173" t="s">
        <v>7038</v>
      </c>
      <c r="E2225" s="203">
        <v>43019</v>
      </c>
    </row>
    <row r="2226" spans="1:5" ht="14.25" hidden="1" customHeight="1">
      <c r="A2226" s="16">
        <v>22672564</v>
      </c>
      <c r="B2226" s="17" t="s">
        <v>4004</v>
      </c>
      <c r="C2226" s="17" t="s">
        <v>4005</v>
      </c>
      <c r="D2226" s="5" t="s">
        <v>7038</v>
      </c>
      <c r="E2226" s="35">
        <v>43019</v>
      </c>
    </row>
    <row r="2227" spans="1:5" ht="14.25" hidden="1" customHeight="1">
      <c r="A2227" s="155">
        <v>22672564</v>
      </c>
      <c r="B2227" s="173" t="s">
        <v>4004</v>
      </c>
      <c r="C2227" s="173" t="s">
        <v>4005</v>
      </c>
      <c r="D2227" s="173" t="s">
        <v>7038</v>
      </c>
      <c r="E2227" s="203">
        <v>43019</v>
      </c>
    </row>
    <row r="2228" spans="1:5" ht="14.25" hidden="1" customHeight="1">
      <c r="A2228" s="16">
        <v>23021324</v>
      </c>
      <c r="B2228" s="17" t="s">
        <v>3380</v>
      </c>
      <c r="C2228" s="17" t="s">
        <v>5066</v>
      </c>
      <c r="D2228" s="5" t="s">
        <v>7038</v>
      </c>
      <c r="E2228" s="35">
        <v>43019</v>
      </c>
    </row>
    <row r="2229" spans="1:5" ht="14.25" hidden="1" customHeight="1">
      <c r="A2229" s="155">
        <v>23021324</v>
      </c>
      <c r="B2229" s="173" t="s">
        <v>3380</v>
      </c>
      <c r="C2229" s="173" t="s">
        <v>5066</v>
      </c>
      <c r="D2229" s="173" t="s">
        <v>7038</v>
      </c>
      <c r="E2229" s="203">
        <v>43019</v>
      </c>
    </row>
    <row r="2230" spans="1:5" ht="14.25" hidden="1" customHeight="1">
      <c r="A2230" s="16">
        <v>23310064</v>
      </c>
      <c r="B2230" s="17" t="s">
        <v>342</v>
      </c>
      <c r="C2230" s="17" t="s">
        <v>2870</v>
      </c>
      <c r="D2230" s="5" t="s">
        <v>7038</v>
      </c>
      <c r="E2230" s="35">
        <v>43019</v>
      </c>
    </row>
    <row r="2231" spans="1:5" ht="14.25" hidden="1" customHeight="1">
      <c r="A2231" s="155">
        <v>23310064</v>
      </c>
      <c r="B2231" s="173" t="s">
        <v>342</v>
      </c>
      <c r="C2231" s="173" t="s">
        <v>2870</v>
      </c>
      <c r="D2231" s="173" t="s">
        <v>7038</v>
      </c>
      <c r="E2231" s="203">
        <v>43019</v>
      </c>
    </row>
    <row r="2232" spans="1:5" ht="14.25" hidden="1" customHeight="1">
      <c r="A2232" s="16">
        <v>23564530</v>
      </c>
      <c r="B2232" s="17" t="s">
        <v>5529</v>
      </c>
      <c r="C2232" s="17" t="s">
        <v>6032</v>
      </c>
      <c r="D2232" s="5" t="s">
        <v>7038</v>
      </c>
      <c r="E2232" s="35">
        <v>43019</v>
      </c>
    </row>
    <row r="2233" spans="1:5" ht="14.25" hidden="1" customHeight="1">
      <c r="A2233" s="155">
        <v>23564530</v>
      </c>
      <c r="B2233" s="173" t="s">
        <v>5529</v>
      </c>
      <c r="C2233" s="173" t="s">
        <v>6032</v>
      </c>
      <c r="D2233" s="173" t="s">
        <v>7038</v>
      </c>
      <c r="E2233" s="203">
        <v>43019</v>
      </c>
    </row>
    <row r="2234" spans="1:5" ht="14.25" hidden="1" customHeight="1">
      <c r="A2234" s="16">
        <v>23564843</v>
      </c>
      <c r="B2234" s="17" t="s">
        <v>3837</v>
      </c>
      <c r="C2234" s="17" t="s">
        <v>7041</v>
      </c>
      <c r="D2234" s="5" t="s">
        <v>7038</v>
      </c>
      <c r="E2234" s="35">
        <v>43019</v>
      </c>
    </row>
    <row r="2235" spans="1:5" ht="14.25" hidden="1" customHeight="1">
      <c r="A2235" s="155">
        <v>23564843</v>
      </c>
      <c r="B2235" s="173" t="s">
        <v>3837</v>
      </c>
      <c r="C2235" s="173" t="s">
        <v>7041</v>
      </c>
      <c r="D2235" s="173" t="s">
        <v>7038</v>
      </c>
      <c r="E2235" s="203">
        <v>43019</v>
      </c>
    </row>
    <row r="2236" spans="1:5" ht="14.25" hidden="1" customHeight="1">
      <c r="A2236" s="16">
        <v>23930162</v>
      </c>
      <c r="B2236" s="17" t="s">
        <v>2749</v>
      </c>
      <c r="C2236" s="17" t="s">
        <v>2143</v>
      </c>
      <c r="D2236" s="5" t="s">
        <v>7038</v>
      </c>
      <c r="E2236" s="35">
        <v>43019</v>
      </c>
    </row>
    <row r="2237" spans="1:5" ht="14.25" hidden="1" customHeight="1">
      <c r="A2237" s="155">
        <v>23930162</v>
      </c>
      <c r="B2237" s="173" t="s">
        <v>2749</v>
      </c>
      <c r="C2237" s="173" t="s">
        <v>2143</v>
      </c>
      <c r="D2237" s="173" t="s">
        <v>7038</v>
      </c>
      <c r="E2237" s="203">
        <v>43019</v>
      </c>
    </row>
    <row r="2238" spans="1:5" ht="14.25" hidden="1" customHeight="1">
      <c r="A2238" s="16">
        <v>24200813</v>
      </c>
      <c r="B2238" s="17" t="s">
        <v>2766</v>
      </c>
      <c r="C2238" s="17" t="s">
        <v>2767</v>
      </c>
      <c r="D2238" s="5" t="s">
        <v>7038</v>
      </c>
      <c r="E2238" s="35">
        <v>43019</v>
      </c>
    </row>
    <row r="2239" spans="1:5" ht="14.25" hidden="1" customHeight="1">
      <c r="A2239" s="155">
        <v>24200813</v>
      </c>
      <c r="B2239" s="173" t="s">
        <v>2766</v>
      </c>
      <c r="C2239" s="173" t="s">
        <v>2767</v>
      </c>
      <c r="D2239" s="173" t="s">
        <v>7038</v>
      </c>
      <c r="E2239" s="203">
        <v>43019</v>
      </c>
    </row>
    <row r="2240" spans="1:5" ht="14.25" hidden="1" customHeight="1">
      <c r="A2240" s="16">
        <v>24503602</v>
      </c>
      <c r="B2240" s="17" t="s">
        <v>394</v>
      </c>
      <c r="C2240" s="17" t="s">
        <v>2873</v>
      </c>
      <c r="D2240" s="5" t="s">
        <v>7038</v>
      </c>
      <c r="E2240" s="35">
        <v>43019</v>
      </c>
    </row>
    <row r="2241" spans="1:5" ht="14.25" hidden="1" customHeight="1">
      <c r="A2241" s="155">
        <v>24503602</v>
      </c>
      <c r="B2241" s="173" t="s">
        <v>394</v>
      </c>
      <c r="C2241" s="173" t="s">
        <v>2873</v>
      </c>
      <c r="D2241" s="173" t="s">
        <v>7038</v>
      </c>
      <c r="E2241" s="203">
        <v>43019</v>
      </c>
    </row>
    <row r="2242" spans="1:5" ht="14.25" hidden="1" customHeight="1">
      <c r="A2242" s="16">
        <v>24792872</v>
      </c>
      <c r="B2242" s="17" t="s">
        <v>1504</v>
      </c>
      <c r="C2242" s="17" t="s">
        <v>2678</v>
      </c>
      <c r="D2242" s="5" t="s">
        <v>7038</v>
      </c>
      <c r="E2242" s="35">
        <v>43019</v>
      </c>
    </row>
    <row r="2243" spans="1:5" ht="14.25" hidden="1" customHeight="1">
      <c r="A2243" s="155">
        <v>24792872</v>
      </c>
      <c r="B2243" s="173" t="s">
        <v>1504</v>
      </c>
      <c r="C2243" s="173" t="s">
        <v>2678</v>
      </c>
      <c r="D2243" s="173" t="s">
        <v>7038</v>
      </c>
      <c r="E2243" s="203">
        <v>43019</v>
      </c>
    </row>
    <row r="2244" spans="1:5" ht="14.25" hidden="1" customHeight="1">
      <c r="A2244" s="16">
        <v>24802352</v>
      </c>
      <c r="B2244" s="17" t="s">
        <v>3646</v>
      </c>
      <c r="C2244" s="17" t="s">
        <v>455</v>
      </c>
      <c r="D2244" s="5" t="s">
        <v>7038</v>
      </c>
      <c r="E2244" s="35">
        <v>43019</v>
      </c>
    </row>
    <row r="2245" spans="1:5" ht="14.25" hidden="1" customHeight="1">
      <c r="A2245" s="155">
        <v>24802352</v>
      </c>
      <c r="B2245" s="173" t="s">
        <v>3646</v>
      </c>
      <c r="C2245" s="173" t="s">
        <v>455</v>
      </c>
      <c r="D2245" s="173" t="s">
        <v>7038</v>
      </c>
      <c r="E2245" s="203">
        <v>43019</v>
      </c>
    </row>
    <row r="2246" spans="1:5" ht="14.25" hidden="1" customHeight="1">
      <c r="A2246" s="16">
        <v>26028695</v>
      </c>
      <c r="B2246" s="17" t="s">
        <v>1680</v>
      </c>
      <c r="C2246" s="17" t="s">
        <v>1681</v>
      </c>
      <c r="D2246" s="5" t="s">
        <v>7038</v>
      </c>
      <c r="E2246" s="35">
        <v>43019</v>
      </c>
    </row>
    <row r="2247" spans="1:5" ht="14.25" hidden="1" customHeight="1">
      <c r="A2247" s="155">
        <v>26028695</v>
      </c>
      <c r="B2247" s="173" t="s">
        <v>1680</v>
      </c>
      <c r="C2247" s="173" t="s">
        <v>1681</v>
      </c>
      <c r="D2247" s="173" t="s">
        <v>7038</v>
      </c>
      <c r="E2247" s="203">
        <v>43019</v>
      </c>
    </row>
    <row r="2248" spans="1:5" ht="14.25" hidden="1" customHeight="1">
      <c r="A2248" s="16">
        <v>26030971</v>
      </c>
      <c r="B2248" s="17" t="s">
        <v>6446</v>
      </c>
      <c r="C2248" s="17" t="s">
        <v>6447</v>
      </c>
      <c r="D2248" s="5" t="s">
        <v>7038</v>
      </c>
      <c r="E2248" s="35">
        <v>43019</v>
      </c>
    </row>
    <row r="2249" spans="1:5" ht="14.25" hidden="1" customHeight="1">
      <c r="A2249" s="155">
        <v>26030971</v>
      </c>
      <c r="B2249" s="173" t="s">
        <v>6446</v>
      </c>
      <c r="C2249" s="173" t="s">
        <v>6447</v>
      </c>
      <c r="D2249" s="173" t="s">
        <v>7038</v>
      </c>
      <c r="E2249" s="203">
        <v>43019</v>
      </c>
    </row>
    <row r="2250" spans="1:5" ht="14.25" hidden="1" customHeight="1">
      <c r="A2250" s="16">
        <v>26638836</v>
      </c>
      <c r="B2250" s="17" t="s">
        <v>3176</v>
      </c>
      <c r="C2250" s="17" t="s">
        <v>5773</v>
      </c>
      <c r="D2250" s="5" t="s">
        <v>7038</v>
      </c>
      <c r="E2250" s="35">
        <v>43019</v>
      </c>
    </row>
    <row r="2251" spans="1:5" ht="14.25" hidden="1" customHeight="1">
      <c r="A2251" s="155">
        <v>26638836</v>
      </c>
      <c r="B2251" s="173" t="s">
        <v>3176</v>
      </c>
      <c r="C2251" s="173" t="s">
        <v>5773</v>
      </c>
      <c r="D2251" s="173" t="s">
        <v>7038</v>
      </c>
      <c r="E2251" s="203">
        <v>43019</v>
      </c>
    </row>
    <row r="2252" spans="1:5" ht="14.25" hidden="1" customHeight="1">
      <c r="A2252" s="16">
        <v>27016351</v>
      </c>
      <c r="B2252" s="17" t="s">
        <v>2026</v>
      </c>
      <c r="C2252" s="17" t="s">
        <v>3662</v>
      </c>
      <c r="D2252" s="5" t="s">
        <v>7038</v>
      </c>
      <c r="E2252" s="35">
        <v>43019</v>
      </c>
    </row>
    <row r="2253" spans="1:5" ht="14.25" hidden="1" customHeight="1">
      <c r="A2253" s="155">
        <v>27016351</v>
      </c>
      <c r="B2253" s="173" t="s">
        <v>2026</v>
      </c>
      <c r="C2253" s="173" t="s">
        <v>3662</v>
      </c>
      <c r="D2253" s="173" t="s">
        <v>7038</v>
      </c>
      <c r="E2253" s="203">
        <v>43019</v>
      </c>
    </row>
    <row r="2254" spans="1:5" ht="14.25" hidden="1" customHeight="1">
      <c r="A2254" s="16">
        <v>27211228</v>
      </c>
      <c r="B2254" s="17" t="s">
        <v>4126</v>
      </c>
      <c r="C2254" s="17" t="s">
        <v>5054</v>
      </c>
      <c r="D2254" s="5" t="s">
        <v>7038</v>
      </c>
      <c r="E2254" s="35">
        <v>43019</v>
      </c>
    </row>
    <row r="2255" spans="1:5" ht="14.25" hidden="1" customHeight="1">
      <c r="A2255" s="155">
        <v>27211228</v>
      </c>
      <c r="B2255" s="173" t="s">
        <v>4126</v>
      </c>
      <c r="C2255" s="173" t="s">
        <v>5054</v>
      </c>
      <c r="D2255" s="173" t="s">
        <v>7038</v>
      </c>
      <c r="E2255" s="203">
        <v>43019</v>
      </c>
    </row>
    <row r="2256" spans="1:5" ht="14.25" hidden="1" customHeight="1">
      <c r="A2256" s="16">
        <v>27430251</v>
      </c>
      <c r="B2256" s="17" t="s">
        <v>428</v>
      </c>
      <c r="C2256" s="17" t="s">
        <v>803</v>
      </c>
      <c r="D2256" s="5" t="s">
        <v>7038</v>
      </c>
      <c r="E2256" s="35">
        <v>43019</v>
      </c>
    </row>
    <row r="2257" spans="1:5" ht="14.25" hidden="1" customHeight="1">
      <c r="A2257" s="155">
        <v>27430251</v>
      </c>
      <c r="B2257" s="173" t="s">
        <v>428</v>
      </c>
      <c r="C2257" s="173" t="s">
        <v>803</v>
      </c>
      <c r="D2257" s="173" t="s">
        <v>7038</v>
      </c>
      <c r="E2257" s="203">
        <v>43019</v>
      </c>
    </row>
    <row r="2258" spans="1:5" ht="14.25" hidden="1" customHeight="1">
      <c r="A2258" s="16">
        <v>27944383</v>
      </c>
      <c r="B2258" s="17" t="s">
        <v>863</v>
      </c>
      <c r="C2258" s="17" t="s">
        <v>3294</v>
      </c>
      <c r="D2258" s="5" t="s">
        <v>7038</v>
      </c>
      <c r="E2258" s="35">
        <v>43019</v>
      </c>
    </row>
    <row r="2259" spans="1:5" ht="14.25" hidden="1" customHeight="1">
      <c r="A2259" s="155">
        <v>27944383</v>
      </c>
      <c r="B2259" s="173" t="s">
        <v>863</v>
      </c>
      <c r="C2259" s="173" t="s">
        <v>3294</v>
      </c>
      <c r="D2259" s="173" t="s">
        <v>7038</v>
      </c>
      <c r="E2259" s="203">
        <v>43019</v>
      </c>
    </row>
    <row r="2260" spans="1:5" ht="14.25" hidden="1" customHeight="1">
      <c r="A2260" s="16">
        <v>28151268</v>
      </c>
      <c r="B2260" s="17" t="s">
        <v>1973</v>
      </c>
      <c r="C2260" s="17" t="s">
        <v>3689</v>
      </c>
      <c r="D2260" s="5" t="s">
        <v>7038</v>
      </c>
      <c r="E2260" s="35">
        <v>43019</v>
      </c>
    </row>
    <row r="2261" spans="1:5" ht="14.25" hidden="1" customHeight="1">
      <c r="A2261" s="155">
        <v>28151268</v>
      </c>
      <c r="B2261" s="173" t="s">
        <v>1973</v>
      </c>
      <c r="C2261" s="173" t="s">
        <v>3689</v>
      </c>
      <c r="D2261" s="173" t="s">
        <v>7038</v>
      </c>
      <c r="E2261" s="203">
        <v>43019</v>
      </c>
    </row>
    <row r="2262" spans="1:5" ht="14.25" hidden="1" customHeight="1">
      <c r="A2262" s="16">
        <v>30497720</v>
      </c>
      <c r="B2262" s="17" t="s">
        <v>2990</v>
      </c>
      <c r="C2262" s="17" t="s">
        <v>131</v>
      </c>
      <c r="D2262" s="5" t="s">
        <v>7038</v>
      </c>
      <c r="E2262" s="35">
        <v>43019</v>
      </c>
    </row>
    <row r="2263" spans="1:5" ht="14.25" hidden="1" customHeight="1">
      <c r="A2263" s="155">
        <v>30497720</v>
      </c>
      <c r="B2263" s="173" t="s">
        <v>2990</v>
      </c>
      <c r="C2263" s="173" t="s">
        <v>131</v>
      </c>
      <c r="D2263" s="173" t="s">
        <v>7038</v>
      </c>
      <c r="E2263" s="203">
        <v>43019</v>
      </c>
    </row>
    <row r="2264" spans="1:5" ht="14.25" hidden="1" customHeight="1">
      <c r="A2264" s="16">
        <v>32455863</v>
      </c>
      <c r="B2264" s="17" t="s">
        <v>2158</v>
      </c>
      <c r="C2264" s="17" t="s">
        <v>2676</v>
      </c>
      <c r="D2264" s="5" t="s">
        <v>7038</v>
      </c>
      <c r="E2264" s="35">
        <v>43019</v>
      </c>
    </row>
    <row r="2265" spans="1:5" ht="14.25" hidden="1" customHeight="1">
      <c r="A2265" s="155">
        <v>32455863</v>
      </c>
      <c r="B2265" s="173" t="s">
        <v>2158</v>
      </c>
      <c r="C2265" s="173" t="s">
        <v>2676</v>
      </c>
      <c r="D2265" s="173" t="s">
        <v>7038</v>
      </c>
      <c r="E2265" s="203">
        <v>43019</v>
      </c>
    </row>
    <row r="2266" spans="1:5" ht="14.25" hidden="1" customHeight="1">
      <c r="A2266" s="16">
        <v>32501890</v>
      </c>
      <c r="B2266" s="17" t="s">
        <v>2048</v>
      </c>
      <c r="C2266" s="17" t="s">
        <v>2049</v>
      </c>
      <c r="D2266" s="5" t="s">
        <v>7038</v>
      </c>
      <c r="E2266" s="35">
        <v>43019</v>
      </c>
    </row>
    <row r="2267" spans="1:5" ht="14.25" hidden="1" customHeight="1">
      <c r="A2267" s="155">
        <v>32501890</v>
      </c>
      <c r="B2267" s="173" t="s">
        <v>2048</v>
      </c>
      <c r="C2267" s="173" t="s">
        <v>2049</v>
      </c>
      <c r="D2267" s="173" t="s">
        <v>7038</v>
      </c>
      <c r="E2267" s="203">
        <v>43019</v>
      </c>
    </row>
    <row r="2268" spans="1:5" ht="14.25" hidden="1" customHeight="1">
      <c r="A2268" s="16">
        <v>33374199</v>
      </c>
      <c r="B2268" s="17" t="s">
        <v>2576</v>
      </c>
      <c r="C2268" s="17" t="s">
        <v>3813</v>
      </c>
      <c r="D2268" s="5" t="s">
        <v>7038</v>
      </c>
      <c r="E2268" s="35">
        <v>43019</v>
      </c>
    </row>
    <row r="2269" spans="1:5" ht="14.25" hidden="1" customHeight="1">
      <c r="A2269" s="155">
        <v>33374199</v>
      </c>
      <c r="B2269" s="173" t="s">
        <v>2576</v>
      </c>
      <c r="C2269" s="173" t="s">
        <v>3813</v>
      </c>
      <c r="D2269" s="173" t="s">
        <v>7038</v>
      </c>
      <c r="E2269" s="203">
        <v>43019</v>
      </c>
    </row>
    <row r="2270" spans="1:5" ht="14.25" hidden="1" customHeight="1">
      <c r="A2270" s="16">
        <v>33669170</v>
      </c>
      <c r="B2270" s="17" t="s">
        <v>789</v>
      </c>
      <c r="C2270" s="17" t="s">
        <v>3832</v>
      </c>
      <c r="D2270" s="5" t="s">
        <v>7038</v>
      </c>
      <c r="E2270" s="35">
        <v>43019</v>
      </c>
    </row>
    <row r="2271" spans="1:5" ht="14.25" hidden="1" customHeight="1">
      <c r="A2271" s="155">
        <v>33669170</v>
      </c>
      <c r="B2271" s="173" t="s">
        <v>789</v>
      </c>
      <c r="C2271" s="173" t="s">
        <v>3832</v>
      </c>
      <c r="D2271" s="173" t="s">
        <v>7038</v>
      </c>
      <c r="E2271" s="203">
        <v>43019</v>
      </c>
    </row>
    <row r="2272" spans="1:5" ht="14.25" hidden="1" customHeight="1">
      <c r="A2272" s="16">
        <v>13848349</v>
      </c>
      <c r="B2272" s="17" t="s">
        <v>652</v>
      </c>
      <c r="C2272" s="17" t="s">
        <v>465</v>
      </c>
      <c r="D2272" s="5" t="s">
        <v>7016</v>
      </c>
      <c r="E2272" s="35">
        <v>43018</v>
      </c>
    </row>
    <row r="2273" spans="1:5" ht="14.25" hidden="1" customHeight="1">
      <c r="A2273" s="155">
        <v>13848349</v>
      </c>
      <c r="B2273" s="173" t="s">
        <v>652</v>
      </c>
      <c r="C2273" s="173" t="s">
        <v>465</v>
      </c>
      <c r="D2273" s="173" t="s">
        <v>7016</v>
      </c>
      <c r="E2273" s="203">
        <v>43018</v>
      </c>
    </row>
    <row r="2274" spans="1:5" ht="14.25" hidden="1" customHeight="1">
      <c r="A2274" s="16">
        <v>14984007</v>
      </c>
      <c r="B2274" s="17" t="s">
        <v>3742</v>
      </c>
      <c r="C2274" s="17" t="s">
        <v>3743</v>
      </c>
      <c r="D2274" s="5" t="s">
        <v>7016</v>
      </c>
      <c r="E2274" s="35">
        <v>43018</v>
      </c>
    </row>
    <row r="2275" spans="1:5" ht="14.25" hidden="1" customHeight="1">
      <c r="A2275" s="155">
        <v>14984007</v>
      </c>
      <c r="B2275" s="173" t="s">
        <v>3742</v>
      </c>
      <c r="C2275" s="173" t="s">
        <v>3743</v>
      </c>
      <c r="D2275" s="173" t="s">
        <v>7016</v>
      </c>
      <c r="E2275" s="203">
        <v>43018</v>
      </c>
    </row>
    <row r="2276" spans="1:5" ht="14.25" hidden="1" customHeight="1">
      <c r="A2276" s="16">
        <v>14984966</v>
      </c>
      <c r="B2276" s="17" t="s">
        <v>1558</v>
      </c>
      <c r="C2276" s="17" t="s">
        <v>1061</v>
      </c>
      <c r="D2276" s="5" t="s">
        <v>7016</v>
      </c>
      <c r="E2276" s="35">
        <v>43018</v>
      </c>
    </row>
    <row r="2277" spans="1:5" ht="14.25" hidden="1" customHeight="1">
      <c r="A2277" s="155">
        <v>14984966</v>
      </c>
      <c r="B2277" s="173" t="s">
        <v>1558</v>
      </c>
      <c r="C2277" s="173" t="s">
        <v>1061</v>
      </c>
      <c r="D2277" s="173" t="s">
        <v>7016</v>
      </c>
      <c r="E2277" s="203">
        <v>43018</v>
      </c>
    </row>
    <row r="2278" spans="1:5" ht="14.25" hidden="1" customHeight="1">
      <c r="A2278" s="16">
        <v>17040565</v>
      </c>
      <c r="B2278" s="17" t="s">
        <v>1665</v>
      </c>
      <c r="C2278" s="17" t="s">
        <v>1666</v>
      </c>
      <c r="D2278" s="5" t="s">
        <v>7016</v>
      </c>
      <c r="E2278" s="35">
        <v>43018</v>
      </c>
    </row>
    <row r="2279" spans="1:5" ht="14.25" hidden="1" customHeight="1">
      <c r="A2279" s="155">
        <v>17040565</v>
      </c>
      <c r="B2279" s="173" t="s">
        <v>1665</v>
      </c>
      <c r="C2279" s="173" t="s">
        <v>1666</v>
      </c>
      <c r="D2279" s="173" t="s">
        <v>7016</v>
      </c>
      <c r="E2279" s="203">
        <v>43018</v>
      </c>
    </row>
    <row r="2280" spans="1:5" ht="14.25" hidden="1" customHeight="1">
      <c r="A2280" s="16">
        <v>23931160</v>
      </c>
      <c r="B2280" s="17" t="s">
        <v>4673</v>
      </c>
      <c r="C2280" s="17" t="s">
        <v>3888</v>
      </c>
      <c r="D2280" s="5" t="s">
        <v>7016</v>
      </c>
      <c r="E2280" s="35">
        <v>43018</v>
      </c>
    </row>
    <row r="2281" spans="1:5" ht="14.25" hidden="1" customHeight="1">
      <c r="A2281" s="155">
        <v>23931160</v>
      </c>
      <c r="B2281" s="173" t="s">
        <v>4673</v>
      </c>
      <c r="C2281" s="173" t="s">
        <v>3888</v>
      </c>
      <c r="D2281" s="173" t="s">
        <v>7016</v>
      </c>
      <c r="E2281" s="203">
        <v>43018</v>
      </c>
    </row>
    <row r="2282" spans="1:5" ht="14.25" hidden="1" customHeight="1">
      <c r="A2282" s="16">
        <v>25498735</v>
      </c>
      <c r="B2282" s="17" t="s">
        <v>4067</v>
      </c>
      <c r="C2282" s="17" t="s">
        <v>6493</v>
      </c>
      <c r="D2282" s="5" t="s">
        <v>7016</v>
      </c>
      <c r="E2282" s="35">
        <v>43018</v>
      </c>
    </row>
    <row r="2283" spans="1:5" ht="14.25" hidden="1" customHeight="1">
      <c r="A2283" s="155">
        <v>25498735</v>
      </c>
      <c r="B2283" s="173" t="s">
        <v>4067</v>
      </c>
      <c r="C2283" s="173" t="s">
        <v>6493</v>
      </c>
      <c r="D2283" s="173" t="s">
        <v>7016</v>
      </c>
      <c r="E2283" s="203">
        <v>43018</v>
      </c>
    </row>
    <row r="2284" spans="1:5" ht="14.25" hidden="1" customHeight="1">
      <c r="A2284" s="16">
        <v>29060073</v>
      </c>
      <c r="B2284" s="17" t="s">
        <v>4836</v>
      </c>
      <c r="C2284" s="17" t="s">
        <v>1061</v>
      </c>
      <c r="D2284" s="5" t="s">
        <v>7016</v>
      </c>
      <c r="E2284" s="35">
        <v>43018</v>
      </c>
    </row>
    <row r="2285" spans="1:5" ht="14.25" hidden="1" customHeight="1">
      <c r="A2285" s="155">
        <v>29060073</v>
      </c>
      <c r="B2285" s="173" t="s">
        <v>4836</v>
      </c>
      <c r="C2285" s="173" t="s">
        <v>1061</v>
      </c>
      <c r="D2285" s="173" t="s">
        <v>7016</v>
      </c>
      <c r="E2285" s="203">
        <v>43018</v>
      </c>
    </row>
    <row r="2286" spans="1:5" ht="14.25" hidden="1" customHeight="1">
      <c r="A2286" s="16">
        <v>29743258</v>
      </c>
      <c r="B2286" s="17" t="s">
        <v>144</v>
      </c>
      <c r="C2286" s="17" t="s">
        <v>4283</v>
      </c>
      <c r="D2286" s="5" t="s">
        <v>7016</v>
      </c>
      <c r="E2286" s="35">
        <v>43018</v>
      </c>
    </row>
    <row r="2287" spans="1:5" ht="14.25" hidden="1" customHeight="1">
      <c r="A2287" s="155">
        <v>29743258</v>
      </c>
      <c r="B2287" s="173" t="s">
        <v>144</v>
      </c>
      <c r="C2287" s="173" t="s">
        <v>4283</v>
      </c>
      <c r="D2287" s="173" t="s">
        <v>7016</v>
      </c>
      <c r="E2287" s="203">
        <v>43018</v>
      </c>
    </row>
    <row r="2288" spans="1:5" ht="14.25" hidden="1" customHeight="1">
      <c r="A2288" s="16">
        <v>30760295</v>
      </c>
      <c r="B2288" s="17" t="s">
        <v>3706</v>
      </c>
      <c r="C2288" s="17" t="s">
        <v>416</v>
      </c>
      <c r="D2288" s="5" t="s">
        <v>7016</v>
      </c>
      <c r="E2288" s="35">
        <v>43018</v>
      </c>
    </row>
    <row r="2289" spans="1:5" ht="14.25" hidden="1" customHeight="1">
      <c r="A2289" s="155">
        <v>30760295</v>
      </c>
      <c r="B2289" s="173" t="s">
        <v>3706</v>
      </c>
      <c r="C2289" s="173" t="s">
        <v>416</v>
      </c>
      <c r="D2289" s="173" t="s">
        <v>7016</v>
      </c>
      <c r="E2289" s="203">
        <v>43018</v>
      </c>
    </row>
    <row r="2290" spans="1:5" ht="14.25" hidden="1" customHeight="1">
      <c r="A2290" s="16">
        <v>34994170</v>
      </c>
      <c r="B2290" s="17" t="s">
        <v>304</v>
      </c>
      <c r="C2290" s="17" t="s">
        <v>305</v>
      </c>
      <c r="D2290" s="5" t="s">
        <v>7016</v>
      </c>
      <c r="E2290" s="35">
        <v>43018</v>
      </c>
    </row>
    <row r="2291" spans="1:5" ht="14.25" hidden="1" customHeight="1">
      <c r="A2291" s="155">
        <v>34994170</v>
      </c>
      <c r="B2291" s="173" t="s">
        <v>304</v>
      </c>
      <c r="C2291" s="173" t="s">
        <v>305</v>
      </c>
      <c r="D2291" s="173" t="s">
        <v>7016</v>
      </c>
      <c r="E2291" s="203">
        <v>43018</v>
      </c>
    </row>
    <row r="2292" spans="1:5" ht="14.25" hidden="1" customHeight="1">
      <c r="A2292" s="16">
        <v>36224754</v>
      </c>
      <c r="B2292" s="17" t="s">
        <v>3196</v>
      </c>
      <c r="C2292" s="17" t="s">
        <v>3197</v>
      </c>
      <c r="D2292" s="5" t="s">
        <v>7016</v>
      </c>
      <c r="E2292" s="35">
        <v>43018</v>
      </c>
    </row>
    <row r="2293" spans="1:5" ht="14.25" hidden="1" customHeight="1">
      <c r="A2293" s="155">
        <v>36224754</v>
      </c>
      <c r="B2293" s="173" t="s">
        <v>3196</v>
      </c>
      <c r="C2293" s="173" t="s">
        <v>3197</v>
      </c>
      <c r="D2293" s="173" t="s">
        <v>7016</v>
      </c>
      <c r="E2293" s="203">
        <v>43018</v>
      </c>
    </row>
    <row r="2294" spans="1:5" ht="14.25" hidden="1" customHeight="1">
      <c r="A2294" s="16">
        <v>93262857</v>
      </c>
      <c r="B2294" s="17" t="s">
        <v>236</v>
      </c>
      <c r="C2294" s="17" t="s">
        <v>237</v>
      </c>
      <c r="D2294" s="5" t="s">
        <v>7016</v>
      </c>
      <c r="E2294" s="35">
        <v>43018</v>
      </c>
    </row>
    <row r="2295" spans="1:5" ht="14.25" hidden="1" customHeight="1">
      <c r="A2295" s="155">
        <v>93262857</v>
      </c>
      <c r="B2295" s="173" t="s">
        <v>236</v>
      </c>
      <c r="C2295" s="173" t="s">
        <v>237</v>
      </c>
      <c r="D2295" s="173" t="s">
        <v>7016</v>
      </c>
      <c r="E2295" s="203">
        <v>43018</v>
      </c>
    </row>
    <row r="2296" spans="1:5" ht="14.25" hidden="1" customHeight="1">
      <c r="A2296" s="16">
        <v>12318780</v>
      </c>
      <c r="B2296" s="17" t="s">
        <v>2586</v>
      </c>
      <c r="C2296" s="17" t="s">
        <v>2587</v>
      </c>
      <c r="D2296" s="1" t="s">
        <v>7042</v>
      </c>
      <c r="E2296" s="35">
        <v>43017</v>
      </c>
    </row>
    <row r="2297" spans="1:5" ht="14.25" hidden="1" customHeight="1">
      <c r="A2297" s="155">
        <v>12318780</v>
      </c>
      <c r="B2297" s="173" t="s">
        <v>2586</v>
      </c>
      <c r="C2297" s="173" t="s">
        <v>2587</v>
      </c>
      <c r="D2297" s="173" t="s">
        <v>7042</v>
      </c>
      <c r="E2297" s="203">
        <v>43017</v>
      </c>
    </row>
    <row r="2298" spans="1:5" ht="14.25" hidden="1" customHeight="1">
      <c r="A2298" s="16">
        <v>14226968</v>
      </c>
      <c r="B2298" s="17" t="s">
        <v>2460</v>
      </c>
      <c r="C2298" s="17" t="s">
        <v>351</v>
      </c>
      <c r="D2298" s="1" t="s">
        <v>7042</v>
      </c>
      <c r="E2298" s="35">
        <v>43017</v>
      </c>
    </row>
    <row r="2299" spans="1:5" ht="14.25" hidden="1" customHeight="1">
      <c r="A2299" s="155">
        <v>14226968</v>
      </c>
      <c r="B2299" s="173" t="s">
        <v>2460</v>
      </c>
      <c r="C2299" s="173" t="s">
        <v>351</v>
      </c>
      <c r="D2299" s="173" t="s">
        <v>7042</v>
      </c>
      <c r="E2299" s="203">
        <v>43017</v>
      </c>
    </row>
    <row r="2300" spans="1:5" ht="14.25" hidden="1" customHeight="1">
      <c r="A2300" s="16">
        <v>17523461</v>
      </c>
      <c r="B2300" s="17" t="s">
        <v>574</v>
      </c>
      <c r="C2300" s="17" t="s">
        <v>571</v>
      </c>
      <c r="D2300" s="1" t="s">
        <v>7042</v>
      </c>
      <c r="E2300" s="35">
        <v>43017</v>
      </c>
    </row>
    <row r="2301" spans="1:5" ht="14.25" hidden="1" customHeight="1">
      <c r="A2301" s="155">
        <v>17523461</v>
      </c>
      <c r="B2301" s="173" t="s">
        <v>574</v>
      </c>
      <c r="C2301" s="173" t="s">
        <v>571</v>
      </c>
      <c r="D2301" s="173" t="s">
        <v>7042</v>
      </c>
      <c r="E2301" s="203">
        <v>43017</v>
      </c>
    </row>
    <row r="2302" spans="1:5" ht="14.25" hidden="1" customHeight="1">
      <c r="A2302" s="16">
        <v>18185663</v>
      </c>
      <c r="B2302" s="17" t="s">
        <v>26</v>
      </c>
      <c r="C2302" s="17" t="s">
        <v>5759</v>
      </c>
      <c r="D2302" s="1" t="s">
        <v>7042</v>
      </c>
      <c r="E2302" s="35">
        <v>43017</v>
      </c>
    </row>
    <row r="2303" spans="1:5" ht="14.25" hidden="1" customHeight="1">
      <c r="A2303" s="155">
        <v>18185663</v>
      </c>
      <c r="B2303" s="173" t="s">
        <v>26</v>
      </c>
      <c r="C2303" s="173" t="s">
        <v>5759</v>
      </c>
      <c r="D2303" s="173" t="s">
        <v>7042</v>
      </c>
      <c r="E2303" s="203">
        <v>43017</v>
      </c>
    </row>
    <row r="2304" spans="1:5" ht="14.25" hidden="1" customHeight="1">
      <c r="A2304" s="16">
        <v>18229240</v>
      </c>
      <c r="B2304" s="17" t="s">
        <v>3465</v>
      </c>
      <c r="C2304" s="17" t="s">
        <v>3466</v>
      </c>
      <c r="D2304" s="1" t="s">
        <v>7042</v>
      </c>
      <c r="E2304" s="35">
        <v>43017</v>
      </c>
    </row>
    <row r="2305" spans="1:5" ht="14.25" hidden="1" customHeight="1">
      <c r="A2305" s="155">
        <v>18229240</v>
      </c>
      <c r="B2305" s="173" t="s">
        <v>3465</v>
      </c>
      <c r="C2305" s="173" t="s">
        <v>3466</v>
      </c>
      <c r="D2305" s="173" t="s">
        <v>7042</v>
      </c>
      <c r="E2305" s="203">
        <v>43017</v>
      </c>
    </row>
    <row r="2306" spans="1:5" ht="14.25" hidden="1" customHeight="1">
      <c r="A2306" s="16">
        <v>20178922</v>
      </c>
      <c r="B2306" s="17" t="s">
        <v>5788</v>
      </c>
      <c r="C2306" s="17" t="s">
        <v>5789</v>
      </c>
      <c r="D2306" s="1" t="s">
        <v>7042</v>
      </c>
      <c r="E2306" s="35">
        <v>43017</v>
      </c>
    </row>
    <row r="2307" spans="1:5" ht="14.25" hidden="1" customHeight="1">
      <c r="A2307" s="155">
        <v>20178922</v>
      </c>
      <c r="B2307" s="173" t="s">
        <v>5788</v>
      </c>
      <c r="C2307" s="173" t="s">
        <v>5789</v>
      </c>
      <c r="D2307" s="173" t="s">
        <v>7042</v>
      </c>
      <c r="E2307" s="203">
        <v>43017</v>
      </c>
    </row>
    <row r="2308" spans="1:5" ht="14.25" hidden="1" customHeight="1">
      <c r="A2308" s="16">
        <v>20219787</v>
      </c>
      <c r="B2308" s="17" t="s">
        <v>311</v>
      </c>
      <c r="C2308" s="17" t="s">
        <v>3585</v>
      </c>
      <c r="D2308" s="1" t="s">
        <v>7042</v>
      </c>
      <c r="E2308" s="35">
        <v>43017</v>
      </c>
    </row>
    <row r="2309" spans="1:5" ht="14.25" hidden="1" customHeight="1">
      <c r="A2309" s="155">
        <v>20219787</v>
      </c>
      <c r="B2309" s="173" t="s">
        <v>311</v>
      </c>
      <c r="C2309" s="173" t="s">
        <v>3585</v>
      </c>
      <c r="D2309" s="173" t="s">
        <v>7042</v>
      </c>
      <c r="E2309" s="203">
        <v>43017</v>
      </c>
    </row>
    <row r="2310" spans="1:5" ht="14.25" hidden="1" customHeight="1">
      <c r="A2310" s="16">
        <v>20285028</v>
      </c>
      <c r="B2310" s="17" t="s">
        <v>927</v>
      </c>
      <c r="C2310" s="17" t="s">
        <v>4897</v>
      </c>
      <c r="D2310" s="1" t="s">
        <v>7042</v>
      </c>
      <c r="E2310" s="35">
        <v>43017</v>
      </c>
    </row>
    <row r="2311" spans="1:5" ht="14.25" hidden="1" customHeight="1">
      <c r="A2311" s="155">
        <v>20285028</v>
      </c>
      <c r="B2311" s="173" t="s">
        <v>927</v>
      </c>
      <c r="C2311" s="173" t="s">
        <v>4897</v>
      </c>
      <c r="D2311" s="173" t="s">
        <v>7042</v>
      </c>
      <c r="E2311" s="203">
        <v>43017</v>
      </c>
    </row>
    <row r="2312" spans="1:5" ht="14.25" hidden="1" customHeight="1">
      <c r="A2312" s="16">
        <v>24944524</v>
      </c>
      <c r="B2312" s="17" t="s">
        <v>6495</v>
      </c>
      <c r="C2312" s="17" t="s">
        <v>6496</v>
      </c>
      <c r="D2312" s="1" t="s">
        <v>7042</v>
      </c>
      <c r="E2312" s="35">
        <v>43017</v>
      </c>
    </row>
    <row r="2313" spans="1:5" ht="14.25" hidden="1" customHeight="1">
      <c r="A2313" s="155">
        <v>24944524</v>
      </c>
      <c r="B2313" s="173" t="s">
        <v>6495</v>
      </c>
      <c r="C2313" s="173" t="s">
        <v>6496</v>
      </c>
      <c r="D2313" s="173" t="s">
        <v>7042</v>
      </c>
      <c r="E2313" s="203">
        <v>43017</v>
      </c>
    </row>
    <row r="2314" spans="1:5" ht="14.25" hidden="1" customHeight="1">
      <c r="A2314" s="16">
        <v>25542289</v>
      </c>
      <c r="B2314" s="17" t="s">
        <v>1190</v>
      </c>
      <c r="C2314" s="17" t="s">
        <v>2209</v>
      </c>
      <c r="D2314" s="1" t="s">
        <v>7042</v>
      </c>
      <c r="E2314" s="35">
        <v>43017</v>
      </c>
    </row>
    <row r="2315" spans="1:5" ht="14.25" hidden="1" customHeight="1">
      <c r="A2315" s="155">
        <v>25542289</v>
      </c>
      <c r="B2315" s="173" t="s">
        <v>1190</v>
      </c>
      <c r="C2315" s="173" t="s">
        <v>2209</v>
      </c>
      <c r="D2315" s="173" t="s">
        <v>7042</v>
      </c>
      <c r="E2315" s="203">
        <v>43017</v>
      </c>
    </row>
    <row r="2316" spans="1:5" ht="14.25" hidden="1" customHeight="1">
      <c r="A2316" s="16">
        <v>26028695</v>
      </c>
      <c r="B2316" s="17" t="s">
        <v>1680</v>
      </c>
      <c r="C2316" s="17" t="s">
        <v>1681</v>
      </c>
      <c r="D2316" s="1" t="s">
        <v>7042</v>
      </c>
      <c r="E2316" s="35">
        <v>43017</v>
      </c>
    </row>
    <row r="2317" spans="1:5" ht="14.25" hidden="1" customHeight="1">
      <c r="A2317" s="155">
        <v>26028695</v>
      </c>
      <c r="B2317" s="173" t="s">
        <v>1680</v>
      </c>
      <c r="C2317" s="173" t="s">
        <v>1681</v>
      </c>
      <c r="D2317" s="173" t="s">
        <v>7042</v>
      </c>
      <c r="E2317" s="203">
        <v>43017</v>
      </c>
    </row>
    <row r="2318" spans="1:5" ht="14.25" hidden="1" customHeight="1">
      <c r="A2318" s="16">
        <v>29430434</v>
      </c>
      <c r="B2318" s="17" t="s">
        <v>547</v>
      </c>
      <c r="C2318" s="17" t="s">
        <v>4060</v>
      </c>
      <c r="D2318" s="1" t="s">
        <v>7042</v>
      </c>
      <c r="E2318" s="35">
        <v>43017</v>
      </c>
    </row>
    <row r="2319" spans="1:5" ht="14.25" hidden="1" customHeight="1">
      <c r="A2319" s="155">
        <v>29430434</v>
      </c>
      <c r="B2319" s="173" t="s">
        <v>547</v>
      </c>
      <c r="C2319" s="173" t="s">
        <v>4060</v>
      </c>
      <c r="D2319" s="173" t="s">
        <v>7042</v>
      </c>
      <c r="E2319" s="203">
        <v>43017</v>
      </c>
    </row>
    <row r="2320" spans="1:5" ht="14.25" hidden="1" customHeight="1">
      <c r="A2320" s="16">
        <v>36049422</v>
      </c>
      <c r="B2320" s="17" t="s">
        <v>2683</v>
      </c>
      <c r="C2320" s="17" t="s">
        <v>558</v>
      </c>
      <c r="D2320" s="1" t="s">
        <v>7042</v>
      </c>
      <c r="E2320" s="35">
        <v>43017</v>
      </c>
    </row>
    <row r="2321" spans="1:5" ht="14.25" hidden="1" customHeight="1">
      <c r="A2321" s="155">
        <v>36049422</v>
      </c>
      <c r="B2321" s="173" t="s">
        <v>2683</v>
      </c>
      <c r="C2321" s="173" t="s">
        <v>558</v>
      </c>
      <c r="D2321" s="173" t="s">
        <v>7042</v>
      </c>
      <c r="E2321" s="203">
        <v>43017</v>
      </c>
    </row>
    <row r="2322" spans="1:5" ht="14.25" hidden="1" customHeight="1">
      <c r="A2322" s="16">
        <v>13710155</v>
      </c>
      <c r="B2322" s="17" t="s">
        <v>3182</v>
      </c>
      <c r="C2322" s="17" t="s">
        <v>3664</v>
      </c>
      <c r="D2322" s="5" t="s">
        <v>7043</v>
      </c>
      <c r="E2322" s="35">
        <v>43010</v>
      </c>
    </row>
    <row r="2323" spans="1:5" ht="14.25" hidden="1" customHeight="1">
      <c r="A2323" s="155">
        <v>13710155</v>
      </c>
      <c r="B2323" s="173" t="s">
        <v>3182</v>
      </c>
      <c r="C2323" s="173" t="s">
        <v>3664</v>
      </c>
      <c r="D2323" s="173" t="s">
        <v>7043</v>
      </c>
      <c r="E2323" s="203">
        <v>43010</v>
      </c>
    </row>
    <row r="2324" spans="1:5" ht="14.25" hidden="1" customHeight="1">
      <c r="A2324" s="16">
        <v>14226682</v>
      </c>
      <c r="B2324" s="17" t="s">
        <v>685</v>
      </c>
      <c r="C2324" s="17" t="s">
        <v>3719</v>
      </c>
      <c r="D2324" s="5" t="s">
        <v>7043</v>
      </c>
      <c r="E2324" s="35">
        <v>43010</v>
      </c>
    </row>
    <row r="2325" spans="1:5" ht="14.25" hidden="1" customHeight="1">
      <c r="A2325" s="155">
        <v>14226682</v>
      </c>
      <c r="B2325" s="173" t="s">
        <v>685</v>
      </c>
      <c r="C2325" s="173" t="s">
        <v>3719</v>
      </c>
      <c r="D2325" s="173" t="s">
        <v>7043</v>
      </c>
      <c r="E2325" s="203">
        <v>43010</v>
      </c>
    </row>
    <row r="2326" spans="1:5" ht="14.25" hidden="1" customHeight="1">
      <c r="A2326" s="16">
        <v>14359662</v>
      </c>
      <c r="B2326" s="17" t="s">
        <v>3770</v>
      </c>
      <c r="C2326" s="17" t="s">
        <v>3771</v>
      </c>
      <c r="D2326" s="5" t="s">
        <v>7043</v>
      </c>
      <c r="E2326" s="35">
        <v>43010</v>
      </c>
    </row>
    <row r="2327" spans="1:5" ht="14.25" hidden="1" customHeight="1">
      <c r="A2327" s="155">
        <v>14359662</v>
      </c>
      <c r="B2327" s="173" t="s">
        <v>3770</v>
      </c>
      <c r="C2327" s="173" t="s">
        <v>3771</v>
      </c>
      <c r="D2327" s="173" t="s">
        <v>7043</v>
      </c>
      <c r="E2327" s="203">
        <v>43010</v>
      </c>
    </row>
    <row r="2328" spans="1:5" ht="14.25" hidden="1" customHeight="1">
      <c r="A2328" s="16">
        <v>14410428</v>
      </c>
      <c r="B2328" s="17" t="s">
        <v>2731</v>
      </c>
      <c r="C2328" s="17" t="s">
        <v>1061</v>
      </c>
      <c r="D2328" s="5" t="s">
        <v>7043</v>
      </c>
      <c r="E2328" s="35">
        <v>43010</v>
      </c>
    </row>
    <row r="2329" spans="1:5" ht="14.25" hidden="1" customHeight="1">
      <c r="A2329" s="155">
        <v>14410428</v>
      </c>
      <c r="B2329" s="173" t="s">
        <v>2731</v>
      </c>
      <c r="C2329" s="173" t="s">
        <v>1061</v>
      </c>
      <c r="D2329" s="173" t="s">
        <v>7043</v>
      </c>
      <c r="E2329" s="203">
        <v>43010</v>
      </c>
    </row>
    <row r="2330" spans="1:5" ht="14.25" hidden="1" customHeight="1">
      <c r="A2330" s="16">
        <v>16541630</v>
      </c>
      <c r="B2330" s="17" t="s">
        <v>3101</v>
      </c>
      <c r="C2330" s="17" t="s">
        <v>3765</v>
      </c>
      <c r="D2330" s="5" t="s">
        <v>7043</v>
      </c>
      <c r="E2330" s="35">
        <v>43010</v>
      </c>
    </row>
    <row r="2331" spans="1:5" ht="14.25" hidden="1" customHeight="1">
      <c r="A2331" s="155">
        <v>16541630</v>
      </c>
      <c r="B2331" s="173" t="s">
        <v>3101</v>
      </c>
      <c r="C2331" s="173" t="s">
        <v>3765</v>
      </c>
      <c r="D2331" s="173" t="s">
        <v>7043</v>
      </c>
      <c r="E2331" s="203">
        <v>43010</v>
      </c>
    </row>
    <row r="2332" spans="1:5" ht="14.25" hidden="1" customHeight="1">
      <c r="A2332" s="16">
        <v>17239557</v>
      </c>
      <c r="B2332" s="17" t="s">
        <v>1385</v>
      </c>
      <c r="C2332" s="17" t="s">
        <v>3655</v>
      </c>
      <c r="D2332" s="5" t="s">
        <v>7043</v>
      </c>
      <c r="E2332" s="35">
        <v>43010</v>
      </c>
    </row>
    <row r="2333" spans="1:5" ht="14.25" hidden="1" customHeight="1">
      <c r="A2333" s="155">
        <v>17239557</v>
      </c>
      <c r="B2333" s="173" t="s">
        <v>1385</v>
      </c>
      <c r="C2333" s="173" t="s">
        <v>3655</v>
      </c>
      <c r="D2333" s="173" t="s">
        <v>7043</v>
      </c>
      <c r="E2333" s="203">
        <v>43010</v>
      </c>
    </row>
    <row r="2334" spans="1:5" ht="14.25" hidden="1" customHeight="1">
      <c r="A2334" s="16">
        <v>22263816</v>
      </c>
      <c r="B2334" s="17" t="s">
        <v>1613</v>
      </c>
      <c r="C2334" s="17" t="s">
        <v>3852</v>
      </c>
      <c r="D2334" s="5" t="s">
        <v>7043</v>
      </c>
      <c r="E2334" s="35">
        <v>43010</v>
      </c>
    </row>
    <row r="2335" spans="1:5" ht="14.25" hidden="1" customHeight="1">
      <c r="A2335" s="155">
        <v>22263816</v>
      </c>
      <c r="B2335" s="173" t="s">
        <v>1613</v>
      </c>
      <c r="C2335" s="173" t="s">
        <v>3852</v>
      </c>
      <c r="D2335" s="173" t="s">
        <v>7043</v>
      </c>
      <c r="E2335" s="203">
        <v>43010</v>
      </c>
    </row>
    <row r="2336" spans="1:5" ht="14.25" hidden="1" customHeight="1">
      <c r="A2336" s="16">
        <v>23015488</v>
      </c>
      <c r="B2336" s="17" t="s">
        <v>3871</v>
      </c>
      <c r="C2336" s="17" t="s">
        <v>1061</v>
      </c>
      <c r="D2336" s="5" t="s">
        <v>7043</v>
      </c>
      <c r="E2336" s="35">
        <v>43010</v>
      </c>
    </row>
    <row r="2337" spans="1:5" ht="14.25" hidden="1" customHeight="1">
      <c r="A2337" s="155">
        <v>23015488</v>
      </c>
      <c r="B2337" s="173" t="s">
        <v>3871</v>
      </c>
      <c r="C2337" s="173" t="s">
        <v>1061</v>
      </c>
      <c r="D2337" s="173" t="s">
        <v>7043</v>
      </c>
      <c r="E2337" s="203">
        <v>43010</v>
      </c>
    </row>
    <row r="2338" spans="1:5" ht="14.25" hidden="1" customHeight="1">
      <c r="A2338" s="16">
        <v>23238427</v>
      </c>
      <c r="B2338" s="17" t="s">
        <v>3734</v>
      </c>
      <c r="C2338" s="17" t="s">
        <v>3735</v>
      </c>
      <c r="D2338" s="5" t="s">
        <v>7043</v>
      </c>
      <c r="E2338" s="35">
        <v>43010</v>
      </c>
    </row>
    <row r="2339" spans="1:5" ht="14.25" hidden="1" customHeight="1">
      <c r="A2339" s="155">
        <v>23238427</v>
      </c>
      <c r="B2339" s="173" t="s">
        <v>3734</v>
      </c>
      <c r="C2339" s="173" t="s">
        <v>3735</v>
      </c>
      <c r="D2339" s="173" t="s">
        <v>7043</v>
      </c>
      <c r="E2339" s="203">
        <v>43010</v>
      </c>
    </row>
    <row r="2340" spans="1:5" ht="14.25" hidden="1" customHeight="1">
      <c r="A2340" s="16">
        <v>24553106</v>
      </c>
      <c r="B2340" s="17" t="s">
        <v>3749</v>
      </c>
      <c r="C2340" s="17" t="s">
        <v>3750</v>
      </c>
      <c r="D2340" s="5" t="s">
        <v>7043</v>
      </c>
      <c r="E2340" s="35">
        <v>43010</v>
      </c>
    </row>
    <row r="2341" spans="1:5" ht="14.25" hidden="1" customHeight="1">
      <c r="A2341" s="155">
        <v>24553106</v>
      </c>
      <c r="B2341" s="173" t="s">
        <v>3749</v>
      </c>
      <c r="C2341" s="173" t="s">
        <v>3750</v>
      </c>
      <c r="D2341" s="173" t="s">
        <v>7043</v>
      </c>
      <c r="E2341" s="203">
        <v>43010</v>
      </c>
    </row>
    <row r="2342" spans="1:5" ht="14.25" hidden="1" customHeight="1">
      <c r="A2342" s="16">
        <v>33163558</v>
      </c>
      <c r="B2342" s="17" t="s">
        <v>190</v>
      </c>
      <c r="C2342" s="17" t="s">
        <v>743</v>
      </c>
      <c r="D2342" s="5" t="s">
        <v>7043</v>
      </c>
      <c r="E2342" s="35">
        <v>43010</v>
      </c>
    </row>
    <row r="2343" spans="1:5" ht="14.25" hidden="1" customHeight="1">
      <c r="A2343" s="155">
        <v>33163558</v>
      </c>
      <c r="B2343" s="173" t="s">
        <v>190</v>
      </c>
      <c r="C2343" s="173" t="s">
        <v>743</v>
      </c>
      <c r="D2343" s="173" t="s">
        <v>7043</v>
      </c>
      <c r="E2343" s="203">
        <v>43010</v>
      </c>
    </row>
    <row r="2344" spans="1:5" ht="14.25" hidden="1" customHeight="1">
      <c r="B2344" s="17" t="s">
        <v>7044</v>
      </c>
      <c r="C2344" s="17" t="s">
        <v>5546</v>
      </c>
      <c r="D2344" s="5" t="s">
        <v>7043</v>
      </c>
      <c r="E2344" s="35">
        <v>43010</v>
      </c>
    </row>
    <row r="2345" spans="1:5" ht="14.25" hidden="1" customHeight="1">
      <c r="B2345" s="17" t="s">
        <v>3749</v>
      </c>
      <c r="C2345" s="17" t="s">
        <v>2810</v>
      </c>
      <c r="D2345" s="5" t="s">
        <v>7043</v>
      </c>
      <c r="E2345" s="35">
        <v>43010</v>
      </c>
    </row>
    <row r="2346" spans="1:5" ht="14.25" hidden="1" customHeight="1">
      <c r="A2346" s="158"/>
      <c r="B2346" s="173" t="s">
        <v>7044</v>
      </c>
      <c r="C2346" s="173" t="s">
        <v>5546</v>
      </c>
      <c r="D2346" s="173" t="s">
        <v>7043</v>
      </c>
      <c r="E2346" s="203">
        <v>43010</v>
      </c>
    </row>
    <row r="2347" spans="1:5" ht="14.25" hidden="1" customHeight="1">
      <c r="A2347" s="158"/>
      <c r="B2347" s="173" t="s">
        <v>3749</v>
      </c>
      <c r="C2347" s="173" t="s">
        <v>2810</v>
      </c>
      <c r="D2347" s="173" t="s">
        <v>7043</v>
      </c>
      <c r="E2347" s="203">
        <v>43010</v>
      </c>
    </row>
    <row r="2348" spans="1:5" ht="14.25" hidden="1" customHeight="1">
      <c r="A2348" s="16">
        <v>11116525</v>
      </c>
      <c r="B2348" s="17" t="s">
        <v>7075</v>
      </c>
      <c r="C2348" s="17" t="s">
        <v>1310</v>
      </c>
      <c r="D2348" s="5" t="s">
        <v>7045</v>
      </c>
      <c r="E2348" s="35">
        <v>43000</v>
      </c>
    </row>
    <row r="2349" spans="1:5" ht="14.25" hidden="1" customHeight="1">
      <c r="A2349" s="155">
        <v>11116525</v>
      </c>
      <c r="B2349" s="173" t="s">
        <v>7075</v>
      </c>
      <c r="C2349" s="173" t="s">
        <v>1310</v>
      </c>
      <c r="D2349" s="173" t="s">
        <v>7045</v>
      </c>
      <c r="E2349" s="203">
        <v>43000</v>
      </c>
    </row>
    <row r="2350" spans="1:5" ht="14.25" hidden="1" customHeight="1">
      <c r="A2350" s="16">
        <v>12449905</v>
      </c>
      <c r="B2350" s="17" t="s">
        <v>7054</v>
      </c>
      <c r="C2350" s="17" t="s">
        <v>7055</v>
      </c>
      <c r="D2350" s="5" t="s">
        <v>7045</v>
      </c>
      <c r="E2350" s="35">
        <v>43000</v>
      </c>
    </row>
    <row r="2351" spans="1:5" ht="14.25" hidden="1" customHeight="1">
      <c r="A2351" s="155">
        <v>12449905</v>
      </c>
      <c r="B2351" s="173" t="s">
        <v>7054</v>
      </c>
      <c r="C2351" s="173" t="s">
        <v>7055</v>
      </c>
      <c r="D2351" s="173" t="s">
        <v>7045</v>
      </c>
      <c r="E2351" s="203">
        <v>43000</v>
      </c>
    </row>
    <row r="2352" spans="1:5" ht="14.25" hidden="1" customHeight="1">
      <c r="A2352" s="16">
        <v>13279577</v>
      </c>
      <c r="B2352" s="17" t="s">
        <v>948</v>
      </c>
      <c r="C2352" s="17" t="s">
        <v>7050</v>
      </c>
      <c r="D2352" s="5" t="s">
        <v>7045</v>
      </c>
      <c r="E2352" s="35">
        <v>43000</v>
      </c>
    </row>
    <row r="2353" spans="1:5" ht="14.25" hidden="1" customHeight="1">
      <c r="A2353" s="155">
        <v>13279577</v>
      </c>
      <c r="B2353" s="173" t="s">
        <v>948</v>
      </c>
      <c r="C2353" s="173" t="s">
        <v>7050</v>
      </c>
      <c r="D2353" s="173" t="s">
        <v>7045</v>
      </c>
      <c r="E2353" s="203">
        <v>43000</v>
      </c>
    </row>
    <row r="2354" spans="1:5" ht="14.25" hidden="1" customHeight="1">
      <c r="A2354" s="16">
        <v>13475074</v>
      </c>
      <c r="B2354" s="17" t="s">
        <v>7077</v>
      </c>
      <c r="C2354" s="17" t="s">
        <v>7078</v>
      </c>
      <c r="D2354" s="5" t="s">
        <v>7045</v>
      </c>
      <c r="E2354" s="35">
        <v>43000</v>
      </c>
    </row>
    <row r="2355" spans="1:5" ht="14.25" hidden="1" customHeight="1">
      <c r="A2355" s="155">
        <v>13475074</v>
      </c>
      <c r="B2355" s="173" t="s">
        <v>7077</v>
      </c>
      <c r="C2355" s="173" t="s">
        <v>7078</v>
      </c>
      <c r="D2355" s="173" t="s">
        <v>7045</v>
      </c>
      <c r="E2355" s="203">
        <v>43000</v>
      </c>
    </row>
    <row r="2356" spans="1:5" ht="14.25" hidden="1" customHeight="1">
      <c r="A2356" s="16">
        <v>13627358</v>
      </c>
      <c r="B2356" s="17" t="s">
        <v>7052</v>
      </c>
      <c r="C2356" s="17" t="s">
        <v>7053</v>
      </c>
      <c r="D2356" s="5" t="s">
        <v>7045</v>
      </c>
      <c r="E2356" s="35">
        <v>43000</v>
      </c>
    </row>
    <row r="2357" spans="1:5" ht="14.25" hidden="1" customHeight="1">
      <c r="A2357" s="155">
        <v>13627358</v>
      </c>
      <c r="B2357" s="173" t="s">
        <v>7052</v>
      </c>
      <c r="C2357" s="173" t="s">
        <v>7053</v>
      </c>
      <c r="D2357" s="173" t="s">
        <v>7045</v>
      </c>
      <c r="E2357" s="203">
        <v>43000</v>
      </c>
    </row>
    <row r="2358" spans="1:5" ht="14.25" hidden="1" customHeight="1">
      <c r="A2358" s="16">
        <v>13775146</v>
      </c>
      <c r="B2358" s="17" t="s">
        <v>1371</v>
      </c>
      <c r="C2358" s="17" t="s">
        <v>7066</v>
      </c>
      <c r="D2358" s="5" t="s">
        <v>7045</v>
      </c>
      <c r="E2358" s="35">
        <v>43000</v>
      </c>
    </row>
    <row r="2359" spans="1:5" ht="14.25" hidden="1" customHeight="1">
      <c r="A2359" s="155">
        <v>13775146</v>
      </c>
      <c r="B2359" s="173" t="s">
        <v>1371</v>
      </c>
      <c r="C2359" s="173" t="s">
        <v>7066</v>
      </c>
      <c r="D2359" s="173" t="s">
        <v>7045</v>
      </c>
      <c r="E2359" s="203">
        <v>43000</v>
      </c>
    </row>
    <row r="2360" spans="1:5" ht="14.25" hidden="1" customHeight="1">
      <c r="A2360" s="16">
        <v>17269119</v>
      </c>
      <c r="B2360" s="17" t="s">
        <v>1610</v>
      </c>
      <c r="C2360" s="17" t="s">
        <v>3850</v>
      </c>
      <c r="D2360" s="5" t="s">
        <v>7045</v>
      </c>
      <c r="E2360" s="35">
        <v>43000</v>
      </c>
    </row>
    <row r="2361" spans="1:5" ht="14.25" hidden="1" customHeight="1">
      <c r="A2361" s="155">
        <v>17269119</v>
      </c>
      <c r="B2361" s="173" t="s">
        <v>1610</v>
      </c>
      <c r="C2361" s="173" t="s">
        <v>3850</v>
      </c>
      <c r="D2361" s="173" t="s">
        <v>7045</v>
      </c>
      <c r="E2361" s="203">
        <v>43000</v>
      </c>
    </row>
    <row r="2362" spans="1:5" ht="14.25" hidden="1" customHeight="1">
      <c r="A2362" s="16">
        <v>17376929</v>
      </c>
      <c r="B2362" s="17" t="s">
        <v>342</v>
      </c>
      <c r="C2362" s="17" t="s">
        <v>6300</v>
      </c>
      <c r="D2362" s="5" t="s">
        <v>7045</v>
      </c>
      <c r="E2362" s="35">
        <v>43000</v>
      </c>
    </row>
    <row r="2363" spans="1:5" ht="14.25" hidden="1" customHeight="1">
      <c r="A2363" s="155">
        <v>17376929</v>
      </c>
      <c r="B2363" s="173" t="s">
        <v>342</v>
      </c>
      <c r="C2363" s="173" t="s">
        <v>6300</v>
      </c>
      <c r="D2363" s="173" t="s">
        <v>7045</v>
      </c>
      <c r="E2363" s="203">
        <v>43000</v>
      </c>
    </row>
    <row r="2364" spans="1:5" ht="14.25" hidden="1" customHeight="1">
      <c r="A2364" s="16">
        <v>17494339</v>
      </c>
      <c r="B2364" s="17" t="s">
        <v>547</v>
      </c>
      <c r="C2364" s="17" t="s">
        <v>566</v>
      </c>
      <c r="D2364" s="5" t="s">
        <v>7045</v>
      </c>
      <c r="E2364" s="35">
        <v>43000</v>
      </c>
    </row>
    <row r="2365" spans="1:5" ht="14.25" hidden="1" customHeight="1">
      <c r="A2365" s="155">
        <v>17494339</v>
      </c>
      <c r="B2365" s="173" t="s">
        <v>547</v>
      </c>
      <c r="C2365" s="173" t="s">
        <v>566</v>
      </c>
      <c r="D2365" s="173" t="s">
        <v>7045</v>
      </c>
      <c r="E2365" s="203">
        <v>43000</v>
      </c>
    </row>
    <row r="2366" spans="1:5" ht="14.25" hidden="1" customHeight="1">
      <c r="A2366" s="16">
        <v>17560343</v>
      </c>
      <c r="B2366" s="17" t="s">
        <v>7071</v>
      </c>
      <c r="C2366" s="17" t="s">
        <v>465</v>
      </c>
      <c r="D2366" s="5" t="s">
        <v>7045</v>
      </c>
      <c r="E2366" s="35">
        <v>43000</v>
      </c>
    </row>
    <row r="2367" spans="1:5" ht="14.25" hidden="1" customHeight="1">
      <c r="A2367" s="155">
        <v>17560343</v>
      </c>
      <c r="B2367" s="173" t="s">
        <v>7071</v>
      </c>
      <c r="C2367" s="173" t="s">
        <v>465</v>
      </c>
      <c r="D2367" s="173" t="s">
        <v>7045</v>
      </c>
      <c r="E2367" s="203">
        <v>43000</v>
      </c>
    </row>
    <row r="2368" spans="1:5" ht="14.25" hidden="1" customHeight="1">
      <c r="A2368" s="16">
        <v>17859279</v>
      </c>
      <c r="B2368" s="17" t="s">
        <v>327</v>
      </c>
      <c r="C2368" s="17" t="s">
        <v>6526</v>
      </c>
      <c r="D2368" s="5" t="s">
        <v>7045</v>
      </c>
      <c r="E2368" s="35">
        <v>43000</v>
      </c>
    </row>
    <row r="2369" spans="1:5" ht="14.25" hidden="1" customHeight="1">
      <c r="A2369" s="155">
        <v>17859279</v>
      </c>
      <c r="B2369" s="173" t="s">
        <v>327</v>
      </c>
      <c r="C2369" s="173" t="s">
        <v>6526</v>
      </c>
      <c r="D2369" s="173" t="s">
        <v>7045</v>
      </c>
      <c r="E2369" s="203">
        <v>43000</v>
      </c>
    </row>
    <row r="2370" spans="1:5" ht="14.25" hidden="1" customHeight="1">
      <c r="A2370" s="16">
        <v>20591480</v>
      </c>
      <c r="B2370" s="17" t="s">
        <v>7056</v>
      </c>
      <c r="C2370" s="17" t="s">
        <v>7057</v>
      </c>
      <c r="D2370" s="5" t="s">
        <v>7045</v>
      </c>
      <c r="E2370" s="35">
        <v>43000</v>
      </c>
    </row>
    <row r="2371" spans="1:5" ht="14.25" hidden="1" customHeight="1">
      <c r="A2371" s="155">
        <v>20591480</v>
      </c>
      <c r="B2371" s="173" t="s">
        <v>7056</v>
      </c>
      <c r="C2371" s="173" t="s">
        <v>7057</v>
      </c>
      <c r="D2371" s="173" t="s">
        <v>7045</v>
      </c>
      <c r="E2371" s="203">
        <v>43000</v>
      </c>
    </row>
    <row r="2372" spans="1:5" ht="14.25" hidden="1" customHeight="1">
      <c r="A2372" s="16">
        <v>20803370</v>
      </c>
      <c r="B2372" s="17" t="s">
        <v>1631</v>
      </c>
      <c r="C2372" s="17" t="s">
        <v>7076</v>
      </c>
      <c r="D2372" s="5" t="s">
        <v>7045</v>
      </c>
      <c r="E2372" s="35">
        <v>43000</v>
      </c>
    </row>
    <row r="2373" spans="1:5" ht="14.25" hidden="1" customHeight="1">
      <c r="A2373" s="155">
        <v>20803370</v>
      </c>
      <c r="B2373" s="173" t="s">
        <v>1631</v>
      </c>
      <c r="C2373" s="173" t="s">
        <v>7076</v>
      </c>
      <c r="D2373" s="173" t="s">
        <v>7045</v>
      </c>
      <c r="E2373" s="203">
        <v>43000</v>
      </c>
    </row>
    <row r="2374" spans="1:5" ht="14.25" hidden="1" customHeight="1">
      <c r="A2374" s="16">
        <v>21026697</v>
      </c>
      <c r="B2374" s="17" t="s">
        <v>7046</v>
      </c>
      <c r="C2374" s="17" t="s">
        <v>7047</v>
      </c>
      <c r="D2374" s="5" t="s">
        <v>7045</v>
      </c>
      <c r="E2374" s="35">
        <v>43000</v>
      </c>
    </row>
    <row r="2375" spans="1:5" ht="14.25" hidden="1" customHeight="1">
      <c r="A2375" s="155">
        <v>21026697</v>
      </c>
      <c r="B2375" s="173" t="s">
        <v>7046</v>
      </c>
      <c r="C2375" s="173" t="s">
        <v>7047</v>
      </c>
      <c r="D2375" s="173" t="s">
        <v>7045</v>
      </c>
      <c r="E2375" s="203">
        <v>43000</v>
      </c>
    </row>
    <row r="2376" spans="1:5" ht="14.25" hidden="1" customHeight="1">
      <c r="A2376" s="16">
        <v>21112311</v>
      </c>
      <c r="B2376" s="17" t="s">
        <v>7058</v>
      </c>
      <c r="C2376" s="17" t="s">
        <v>639</v>
      </c>
      <c r="D2376" s="5" t="s">
        <v>7045</v>
      </c>
      <c r="E2376" s="35">
        <v>43000</v>
      </c>
    </row>
    <row r="2377" spans="1:5" ht="14.25" hidden="1" customHeight="1">
      <c r="A2377" s="155">
        <v>21112311</v>
      </c>
      <c r="B2377" s="173" t="s">
        <v>7058</v>
      </c>
      <c r="C2377" s="173" t="s">
        <v>639</v>
      </c>
      <c r="D2377" s="173" t="s">
        <v>7045</v>
      </c>
      <c r="E2377" s="203">
        <v>43000</v>
      </c>
    </row>
    <row r="2378" spans="1:5" ht="14.25" hidden="1" customHeight="1">
      <c r="A2378" s="16">
        <v>21328390</v>
      </c>
      <c r="B2378" s="17" t="s">
        <v>7072</v>
      </c>
      <c r="C2378" s="17" t="s">
        <v>7073</v>
      </c>
      <c r="D2378" s="5" t="s">
        <v>7045</v>
      </c>
      <c r="E2378" s="35">
        <v>43000</v>
      </c>
    </row>
    <row r="2379" spans="1:5" ht="14.25" hidden="1" customHeight="1">
      <c r="A2379" s="155">
        <v>21328390</v>
      </c>
      <c r="B2379" s="173" t="s">
        <v>7072</v>
      </c>
      <c r="C2379" s="173" t="s">
        <v>7073</v>
      </c>
      <c r="D2379" s="173" t="s">
        <v>7045</v>
      </c>
      <c r="E2379" s="203">
        <v>43000</v>
      </c>
    </row>
    <row r="2380" spans="1:5" ht="14.25" hidden="1" customHeight="1">
      <c r="A2380" s="16">
        <v>22031835</v>
      </c>
      <c r="B2380" s="17" t="s">
        <v>273</v>
      </c>
      <c r="C2380" s="17" t="s">
        <v>274</v>
      </c>
      <c r="D2380" s="5" t="s">
        <v>7045</v>
      </c>
      <c r="E2380" s="35">
        <v>43000</v>
      </c>
    </row>
    <row r="2381" spans="1:5" ht="14.25" hidden="1" customHeight="1">
      <c r="A2381" s="155">
        <v>22031835</v>
      </c>
      <c r="B2381" s="173" t="s">
        <v>273</v>
      </c>
      <c r="C2381" s="173" t="s">
        <v>274</v>
      </c>
      <c r="D2381" s="173" t="s">
        <v>7045</v>
      </c>
      <c r="E2381" s="203">
        <v>43000</v>
      </c>
    </row>
    <row r="2382" spans="1:5" ht="14.25" hidden="1" customHeight="1">
      <c r="A2382" s="16">
        <v>22336802</v>
      </c>
      <c r="B2382" s="17" t="s">
        <v>1660</v>
      </c>
      <c r="C2382" s="17" t="s">
        <v>1769</v>
      </c>
      <c r="D2382" s="5" t="s">
        <v>7045</v>
      </c>
      <c r="E2382" s="35">
        <v>43000</v>
      </c>
    </row>
    <row r="2383" spans="1:5" ht="14.25" hidden="1" customHeight="1">
      <c r="A2383" s="155">
        <v>22336802</v>
      </c>
      <c r="B2383" s="173" t="s">
        <v>1660</v>
      </c>
      <c r="C2383" s="173" t="s">
        <v>1769</v>
      </c>
      <c r="D2383" s="173" t="s">
        <v>7045</v>
      </c>
      <c r="E2383" s="203">
        <v>43000</v>
      </c>
    </row>
    <row r="2384" spans="1:5" ht="14.25" hidden="1" customHeight="1">
      <c r="A2384" s="16">
        <v>22455086</v>
      </c>
      <c r="B2384" s="17" t="s">
        <v>5166</v>
      </c>
      <c r="C2384" s="17" t="s">
        <v>2447</v>
      </c>
      <c r="D2384" s="5" t="s">
        <v>7045</v>
      </c>
      <c r="E2384" s="35">
        <v>43000</v>
      </c>
    </row>
    <row r="2385" spans="1:5" ht="14.25" hidden="1" customHeight="1">
      <c r="A2385" s="155">
        <v>22455086</v>
      </c>
      <c r="B2385" s="173" t="s">
        <v>5166</v>
      </c>
      <c r="C2385" s="173" t="s">
        <v>2447</v>
      </c>
      <c r="D2385" s="173" t="s">
        <v>7045</v>
      </c>
      <c r="E2385" s="203">
        <v>43000</v>
      </c>
    </row>
    <row r="2386" spans="1:5" ht="14.25" hidden="1" customHeight="1">
      <c r="A2386" s="16">
        <v>24340364</v>
      </c>
      <c r="B2386" s="17" t="s">
        <v>7067</v>
      </c>
      <c r="C2386" s="17" t="s">
        <v>328</v>
      </c>
      <c r="D2386" s="5" t="s">
        <v>7045</v>
      </c>
      <c r="E2386" s="35">
        <v>43000</v>
      </c>
    </row>
    <row r="2387" spans="1:5" ht="14.25" hidden="1" customHeight="1">
      <c r="A2387" s="155">
        <v>24340364</v>
      </c>
      <c r="B2387" s="173" t="s">
        <v>7067</v>
      </c>
      <c r="C2387" s="173" t="s">
        <v>328</v>
      </c>
      <c r="D2387" s="173" t="s">
        <v>7045</v>
      </c>
      <c r="E2387" s="203">
        <v>43000</v>
      </c>
    </row>
    <row r="2388" spans="1:5" ht="14.25" hidden="1" customHeight="1">
      <c r="A2388" s="16">
        <v>25123093</v>
      </c>
      <c r="B2388" s="17" t="s">
        <v>7061</v>
      </c>
      <c r="C2388" s="17" t="s">
        <v>7062</v>
      </c>
      <c r="D2388" s="5" t="s">
        <v>7045</v>
      </c>
      <c r="E2388" s="35">
        <v>43000</v>
      </c>
    </row>
    <row r="2389" spans="1:5" ht="14.25" hidden="1" customHeight="1">
      <c r="A2389" s="155">
        <v>25123093</v>
      </c>
      <c r="B2389" s="173" t="s">
        <v>7061</v>
      </c>
      <c r="C2389" s="173" t="s">
        <v>7062</v>
      </c>
      <c r="D2389" s="173" t="s">
        <v>7045</v>
      </c>
      <c r="E2389" s="203">
        <v>43000</v>
      </c>
    </row>
    <row r="2390" spans="1:5" ht="14.25" hidden="1" customHeight="1">
      <c r="A2390" s="16">
        <v>26028852</v>
      </c>
      <c r="B2390" s="17" t="s">
        <v>2856</v>
      </c>
      <c r="C2390" s="17" t="s">
        <v>7059</v>
      </c>
      <c r="D2390" s="5" t="s">
        <v>7045</v>
      </c>
      <c r="E2390" s="35">
        <v>43000</v>
      </c>
    </row>
    <row r="2391" spans="1:5" ht="14.25" hidden="1" customHeight="1">
      <c r="A2391" s="155">
        <v>26028852</v>
      </c>
      <c r="B2391" s="173" t="s">
        <v>2856</v>
      </c>
      <c r="C2391" s="173" t="s">
        <v>7059</v>
      </c>
      <c r="D2391" s="173" t="s">
        <v>7045</v>
      </c>
      <c r="E2391" s="203">
        <v>43000</v>
      </c>
    </row>
    <row r="2392" spans="1:5" ht="14.25" hidden="1" customHeight="1">
      <c r="A2392" s="16">
        <v>27594362</v>
      </c>
      <c r="B2392" s="17" t="s">
        <v>7079</v>
      </c>
      <c r="C2392" s="17" t="s">
        <v>7080</v>
      </c>
      <c r="D2392" s="5" t="s">
        <v>7045</v>
      </c>
      <c r="E2392" s="35">
        <v>43000</v>
      </c>
    </row>
    <row r="2393" spans="1:5" ht="14.25" hidden="1" customHeight="1">
      <c r="A2393" s="155">
        <v>27594362</v>
      </c>
      <c r="B2393" s="173" t="s">
        <v>7079</v>
      </c>
      <c r="C2393" s="173" t="s">
        <v>7080</v>
      </c>
      <c r="D2393" s="173" t="s">
        <v>7045</v>
      </c>
      <c r="E2393" s="203">
        <v>43000</v>
      </c>
    </row>
    <row r="2394" spans="1:5" ht="14.25" hidden="1" customHeight="1">
      <c r="A2394" s="16">
        <v>28564148</v>
      </c>
      <c r="B2394" s="17" t="s">
        <v>2154</v>
      </c>
      <c r="C2394" s="17" t="s">
        <v>2408</v>
      </c>
      <c r="D2394" s="5" t="s">
        <v>7045</v>
      </c>
      <c r="E2394" s="35">
        <v>43000</v>
      </c>
    </row>
    <row r="2395" spans="1:5" ht="14.25" hidden="1" customHeight="1">
      <c r="A2395" s="155">
        <v>28564148</v>
      </c>
      <c r="B2395" s="173" t="s">
        <v>2154</v>
      </c>
      <c r="C2395" s="173" t="s">
        <v>2408</v>
      </c>
      <c r="D2395" s="173" t="s">
        <v>7045</v>
      </c>
      <c r="E2395" s="203">
        <v>43000</v>
      </c>
    </row>
    <row r="2396" spans="1:5" ht="14.25" hidden="1" customHeight="1">
      <c r="A2396" s="16">
        <v>28877485</v>
      </c>
      <c r="B2396" s="17" t="s">
        <v>990</v>
      </c>
      <c r="C2396" s="17" t="s">
        <v>7051</v>
      </c>
      <c r="D2396" s="5" t="s">
        <v>7045</v>
      </c>
      <c r="E2396" s="35">
        <v>43000</v>
      </c>
    </row>
    <row r="2397" spans="1:5" ht="14.25" hidden="1" customHeight="1">
      <c r="A2397" s="155">
        <v>28877485</v>
      </c>
      <c r="B2397" s="173" t="s">
        <v>990</v>
      </c>
      <c r="C2397" s="173" t="s">
        <v>7051</v>
      </c>
      <c r="D2397" s="173" t="s">
        <v>7045</v>
      </c>
      <c r="E2397" s="203">
        <v>43000</v>
      </c>
    </row>
    <row r="2398" spans="1:5" ht="14.25" hidden="1" customHeight="1">
      <c r="A2398" s="16">
        <v>29997386</v>
      </c>
      <c r="B2398" s="17" t="s">
        <v>3400</v>
      </c>
      <c r="C2398" s="17" t="s">
        <v>3401</v>
      </c>
      <c r="D2398" s="5" t="s">
        <v>7045</v>
      </c>
      <c r="E2398" s="35">
        <v>43000</v>
      </c>
    </row>
    <row r="2399" spans="1:5" ht="14.25" hidden="1" customHeight="1">
      <c r="A2399" s="155">
        <v>29997386</v>
      </c>
      <c r="B2399" s="173" t="s">
        <v>3400</v>
      </c>
      <c r="C2399" s="173" t="s">
        <v>3401</v>
      </c>
      <c r="D2399" s="173" t="s">
        <v>7045</v>
      </c>
      <c r="E2399" s="203">
        <v>43000</v>
      </c>
    </row>
    <row r="2400" spans="1:5" ht="14.25" hidden="1" customHeight="1">
      <c r="A2400" s="16">
        <v>29997715</v>
      </c>
      <c r="B2400" s="17" t="s">
        <v>2270</v>
      </c>
      <c r="C2400" s="17" t="s">
        <v>363</v>
      </c>
      <c r="D2400" s="5" t="s">
        <v>7045</v>
      </c>
      <c r="E2400" s="35">
        <v>43000</v>
      </c>
    </row>
    <row r="2401" spans="1:5" ht="14.25" hidden="1" customHeight="1">
      <c r="A2401" s="155">
        <v>29997715</v>
      </c>
      <c r="B2401" s="173" t="s">
        <v>2270</v>
      </c>
      <c r="C2401" s="173" t="s">
        <v>363</v>
      </c>
      <c r="D2401" s="173" t="s">
        <v>7045</v>
      </c>
      <c r="E2401" s="203">
        <v>43000</v>
      </c>
    </row>
    <row r="2402" spans="1:5" ht="14.25" hidden="1" customHeight="1">
      <c r="A2402" s="16">
        <v>30598547</v>
      </c>
      <c r="B2402" s="17" t="s">
        <v>2400</v>
      </c>
      <c r="C2402" s="17" t="s">
        <v>2401</v>
      </c>
      <c r="D2402" s="5" t="s">
        <v>7045</v>
      </c>
      <c r="E2402" s="35">
        <v>43000</v>
      </c>
    </row>
    <row r="2403" spans="1:5" ht="14.25" hidden="1" customHeight="1">
      <c r="A2403" s="155">
        <v>30598547</v>
      </c>
      <c r="B2403" s="173" t="s">
        <v>2400</v>
      </c>
      <c r="C2403" s="173" t="s">
        <v>2401</v>
      </c>
      <c r="D2403" s="173" t="s">
        <v>7045</v>
      </c>
      <c r="E2403" s="203">
        <v>43000</v>
      </c>
    </row>
    <row r="2404" spans="1:5" ht="14.25" hidden="1" customHeight="1">
      <c r="A2404" s="16">
        <v>32227159</v>
      </c>
      <c r="B2404" s="17" t="s">
        <v>413</v>
      </c>
      <c r="C2404" s="17" t="s">
        <v>414</v>
      </c>
      <c r="D2404" s="5" t="s">
        <v>7045</v>
      </c>
      <c r="E2404" s="35">
        <v>43000</v>
      </c>
    </row>
    <row r="2405" spans="1:5" ht="14.25" hidden="1" customHeight="1">
      <c r="A2405" s="155">
        <v>32227159</v>
      </c>
      <c r="B2405" s="173" t="s">
        <v>413</v>
      </c>
      <c r="C2405" s="173" t="s">
        <v>414</v>
      </c>
      <c r="D2405" s="173" t="s">
        <v>7045</v>
      </c>
      <c r="E2405" s="203">
        <v>43000</v>
      </c>
    </row>
    <row r="2406" spans="1:5" ht="14.25" hidden="1" customHeight="1">
      <c r="A2406" s="16">
        <v>33352251</v>
      </c>
      <c r="B2406" s="17" t="s">
        <v>7064</v>
      </c>
      <c r="C2406" s="17" t="s">
        <v>7065</v>
      </c>
      <c r="D2406" s="5" t="s">
        <v>7045</v>
      </c>
      <c r="E2406" s="35">
        <v>43000</v>
      </c>
    </row>
    <row r="2407" spans="1:5" ht="14.25" hidden="1" customHeight="1">
      <c r="A2407" s="155">
        <v>33352251</v>
      </c>
      <c r="B2407" s="173" t="s">
        <v>7064</v>
      </c>
      <c r="C2407" s="173" t="s">
        <v>7065</v>
      </c>
      <c r="D2407" s="173" t="s">
        <v>7045</v>
      </c>
      <c r="E2407" s="203">
        <v>43000</v>
      </c>
    </row>
    <row r="2408" spans="1:5" ht="14.25" hidden="1" customHeight="1">
      <c r="A2408" s="16">
        <v>33432151</v>
      </c>
      <c r="B2408" s="17" t="s">
        <v>226</v>
      </c>
      <c r="C2408" s="17" t="s">
        <v>7060</v>
      </c>
      <c r="D2408" s="5" t="s">
        <v>7045</v>
      </c>
      <c r="E2408" s="35">
        <v>43000</v>
      </c>
    </row>
    <row r="2409" spans="1:5" ht="14.25" hidden="1" customHeight="1">
      <c r="A2409" s="155">
        <v>33432151</v>
      </c>
      <c r="B2409" s="173" t="s">
        <v>226</v>
      </c>
      <c r="C2409" s="173" t="s">
        <v>7060</v>
      </c>
      <c r="D2409" s="173" t="s">
        <v>7045</v>
      </c>
      <c r="E2409" s="203">
        <v>43000</v>
      </c>
    </row>
    <row r="2410" spans="1:5" ht="14.25" hidden="1" customHeight="1">
      <c r="A2410" s="16">
        <v>33719482</v>
      </c>
      <c r="B2410" s="17" t="s">
        <v>5381</v>
      </c>
      <c r="C2410" s="17" t="s">
        <v>7063</v>
      </c>
      <c r="D2410" s="5" t="s">
        <v>7045</v>
      </c>
      <c r="E2410" s="35">
        <v>43000</v>
      </c>
    </row>
    <row r="2411" spans="1:5" ht="14.25" hidden="1" customHeight="1">
      <c r="A2411" s="155">
        <v>33719482</v>
      </c>
      <c r="B2411" s="173" t="s">
        <v>5381</v>
      </c>
      <c r="C2411" s="173" t="s">
        <v>7063</v>
      </c>
      <c r="D2411" s="173" t="s">
        <v>7045</v>
      </c>
      <c r="E2411" s="203">
        <v>43000</v>
      </c>
    </row>
    <row r="2412" spans="1:5" ht="14.25" hidden="1" customHeight="1">
      <c r="A2412" s="16">
        <v>33966133</v>
      </c>
      <c r="B2412" s="17" t="s">
        <v>7070</v>
      </c>
      <c r="C2412" s="17" t="s">
        <v>1453</v>
      </c>
      <c r="D2412" s="5" t="s">
        <v>7045</v>
      </c>
      <c r="E2412" s="35">
        <v>43000</v>
      </c>
    </row>
    <row r="2413" spans="1:5" ht="14.25" hidden="1" customHeight="1">
      <c r="A2413" s="155">
        <v>33966133</v>
      </c>
      <c r="B2413" s="173" t="s">
        <v>7070</v>
      </c>
      <c r="C2413" s="173" t="s">
        <v>1453</v>
      </c>
      <c r="D2413" s="173" t="s">
        <v>7045</v>
      </c>
      <c r="E2413" s="203">
        <v>43000</v>
      </c>
    </row>
    <row r="2414" spans="1:5" ht="14.25" hidden="1" customHeight="1">
      <c r="A2414" s="16">
        <v>34723722</v>
      </c>
      <c r="B2414" s="17" t="s">
        <v>7048</v>
      </c>
      <c r="C2414" s="17" t="s">
        <v>7049</v>
      </c>
      <c r="D2414" s="5" t="s">
        <v>7045</v>
      </c>
      <c r="E2414" s="35">
        <v>43000</v>
      </c>
    </row>
    <row r="2415" spans="1:5" ht="14.25" hidden="1" customHeight="1">
      <c r="A2415" s="155">
        <v>34723722</v>
      </c>
      <c r="B2415" s="173" t="s">
        <v>7048</v>
      </c>
      <c r="C2415" s="173" t="s">
        <v>7049</v>
      </c>
      <c r="D2415" s="173" t="s">
        <v>7045</v>
      </c>
      <c r="E2415" s="203">
        <v>43000</v>
      </c>
    </row>
    <row r="2416" spans="1:5" ht="14.25" hidden="1" customHeight="1">
      <c r="A2416" s="16">
        <v>36127056</v>
      </c>
      <c r="B2416" s="17" t="s">
        <v>2228</v>
      </c>
      <c r="C2416" s="17" t="s">
        <v>7074</v>
      </c>
      <c r="D2416" s="5" t="s">
        <v>7045</v>
      </c>
      <c r="E2416" s="35">
        <v>43000</v>
      </c>
    </row>
    <row r="2417" spans="1:5" ht="14.25" hidden="1" customHeight="1">
      <c r="A2417" s="155">
        <v>36127056</v>
      </c>
      <c r="B2417" s="173" t="s">
        <v>2228</v>
      </c>
      <c r="C2417" s="173" t="s">
        <v>7074</v>
      </c>
      <c r="D2417" s="173" t="s">
        <v>7045</v>
      </c>
      <c r="E2417" s="203">
        <v>43000</v>
      </c>
    </row>
    <row r="2418" spans="1:5" ht="14.25" hidden="1" customHeight="1">
      <c r="A2418" s="16">
        <v>37500109</v>
      </c>
      <c r="B2418" s="17" t="s">
        <v>1565</v>
      </c>
      <c r="C2418" s="17" t="s">
        <v>139</v>
      </c>
      <c r="D2418" s="5" t="s">
        <v>7045</v>
      </c>
      <c r="E2418" s="35">
        <v>43000</v>
      </c>
    </row>
    <row r="2419" spans="1:5" ht="14.25" hidden="1" customHeight="1">
      <c r="A2419" s="155">
        <v>37500109</v>
      </c>
      <c r="B2419" s="173" t="s">
        <v>1565</v>
      </c>
      <c r="C2419" s="173" t="s">
        <v>139</v>
      </c>
      <c r="D2419" s="173" t="s">
        <v>7045</v>
      </c>
      <c r="E2419" s="203">
        <v>43000</v>
      </c>
    </row>
    <row r="2420" spans="1:5" ht="14.25" hidden="1" customHeight="1">
      <c r="B2420" s="17" t="s">
        <v>3686</v>
      </c>
      <c r="C2420" s="17" t="s">
        <v>4956</v>
      </c>
      <c r="D2420" s="5" t="s">
        <v>7045</v>
      </c>
      <c r="E2420" s="35">
        <v>43000</v>
      </c>
    </row>
    <row r="2421" spans="1:5" ht="14.25" hidden="1" customHeight="1">
      <c r="B2421" s="17" t="s">
        <v>7068</v>
      </c>
      <c r="C2421" s="17" t="s">
        <v>4756</v>
      </c>
      <c r="D2421" s="5" t="s">
        <v>7045</v>
      </c>
      <c r="E2421" s="35">
        <v>43000</v>
      </c>
    </row>
    <row r="2422" spans="1:5" ht="14.25" hidden="1" customHeight="1">
      <c r="B2422" s="17" t="s">
        <v>7069</v>
      </c>
      <c r="C2422" s="17" t="s">
        <v>6030</v>
      </c>
      <c r="D2422" s="5" t="s">
        <v>7045</v>
      </c>
      <c r="E2422" s="35">
        <v>43000</v>
      </c>
    </row>
    <row r="2423" spans="1:5" ht="14.25" hidden="1" customHeight="1">
      <c r="B2423" s="17" t="s">
        <v>476</v>
      </c>
      <c r="C2423" s="17" t="s">
        <v>178</v>
      </c>
      <c r="D2423" s="5" t="s">
        <v>7045</v>
      </c>
      <c r="E2423" s="35">
        <v>43000</v>
      </c>
    </row>
    <row r="2424" spans="1:5" ht="14.25" hidden="1" customHeight="1">
      <c r="B2424" s="17" t="s">
        <v>7081</v>
      </c>
      <c r="C2424" s="17" t="s">
        <v>579</v>
      </c>
      <c r="D2424" s="5" t="s">
        <v>7045</v>
      </c>
      <c r="E2424" s="35">
        <v>43000</v>
      </c>
    </row>
    <row r="2425" spans="1:5" ht="14.25" hidden="1" customHeight="1">
      <c r="A2425" s="158"/>
      <c r="B2425" s="173" t="s">
        <v>3686</v>
      </c>
      <c r="C2425" s="173" t="s">
        <v>4956</v>
      </c>
      <c r="D2425" s="173" t="s">
        <v>7045</v>
      </c>
      <c r="E2425" s="203">
        <v>43000</v>
      </c>
    </row>
    <row r="2426" spans="1:5" ht="14.25" hidden="1" customHeight="1">
      <c r="A2426" s="158"/>
      <c r="B2426" s="173" t="s">
        <v>7068</v>
      </c>
      <c r="C2426" s="173" t="s">
        <v>4756</v>
      </c>
      <c r="D2426" s="173" t="s">
        <v>7045</v>
      </c>
      <c r="E2426" s="203">
        <v>43000</v>
      </c>
    </row>
    <row r="2427" spans="1:5" ht="14.25" hidden="1" customHeight="1">
      <c r="A2427" s="158"/>
      <c r="B2427" s="173" t="s">
        <v>7069</v>
      </c>
      <c r="C2427" s="173" t="s">
        <v>6030</v>
      </c>
      <c r="D2427" s="173" t="s">
        <v>7045</v>
      </c>
      <c r="E2427" s="203">
        <v>43000</v>
      </c>
    </row>
    <row r="2428" spans="1:5" ht="14.25" hidden="1" customHeight="1">
      <c r="A2428" s="158"/>
      <c r="B2428" s="173" t="s">
        <v>476</v>
      </c>
      <c r="C2428" s="173" t="s">
        <v>178</v>
      </c>
      <c r="D2428" s="173" t="s">
        <v>7045</v>
      </c>
      <c r="E2428" s="203">
        <v>43000</v>
      </c>
    </row>
    <row r="2429" spans="1:5" ht="14.25" hidden="1" customHeight="1">
      <c r="A2429" s="158"/>
      <c r="B2429" s="173" t="s">
        <v>7081</v>
      </c>
      <c r="C2429" s="173" t="s">
        <v>579</v>
      </c>
      <c r="D2429" s="173" t="s">
        <v>7045</v>
      </c>
      <c r="E2429" s="203">
        <v>43000</v>
      </c>
    </row>
    <row r="2430" spans="1:5" ht="14.25" hidden="1" customHeight="1">
      <c r="A2430" s="16">
        <v>11463299</v>
      </c>
      <c r="B2430" s="17" t="s">
        <v>1845</v>
      </c>
      <c r="C2430" s="17" t="s">
        <v>1843</v>
      </c>
      <c r="D2430" s="5" t="s">
        <v>7082</v>
      </c>
      <c r="E2430" s="35">
        <v>42992</v>
      </c>
    </row>
    <row r="2431" spans="1:5" ht="14.25" hidden="1" customHeight="1">
      <c r="A2431" s="155">
        <v>11463299</v>
      </c>
      <c r="B2431" s="173" t="s">
        <v>1845</v>
      </c>
      <c r="C2431" s="173" t="s">
        <v>1843</v>
      </c>
      <c r="D2431" s="173" t="s">
        <v>7082</v>
      </c>
      <c r="E2431" s="203">
        <v>42992</v>
      </c>
    </row>
    <row r="2432" spans="1:5" ht="14.25" hidden="1" customHeight="1">
      <c r="A2432" s="16">
        <v>12413084</v>
      </c>
      <c r="B2432" s="17" t="s">
        <v>5346</v>
      </c>
      <c r="C2432" s="17" t="s">
        <v>5347</v>
      </c>
      <c r="D2432" s="5" t="s">
        <v>7082</v>
      </c>
      <c r="E2432" s="35">
        <v>42992</v>
      </c>
    </row>
    <row r="2433" spans="1:5" ht="14.25" hidden="1" customHeight="1">
      <c r="A2433" s="155">
        <v>12413084</v>
      </c>
      <c r="B2433" s="173" t="s">
        <v>5346</v>
      </c>
      <c r="C2433" s="173" t="s">
        <v>5347</v>
      </c>
      <c r="D2433" s="173" t="s">
        <v>7082</v>
      </c>
      <c r="E2433" s="203">
        <v>42992</v>
      </c>
    </row>
    <row r="2434" spans="1:5" ht="14.25" hidden="1" customHeight="1">
      <c r="A2434" s="16">
        <v>12654235</v>
      </c>
      <c r="B2434" s="17" t="s">
        <v>863</v>
      </c>
      <c r="C2434" s="17" t="s">
        <v>4576</v>
      </c>
      <c r="D2434" s="5" t="s">
        <v>7082</v>
      </c>
      <c r="E2434" s="35">
        <v>42992</v>
      </c>
    </row>
    <row r="2435" spans="1:5" ht="14.25" hidden="1" customHeight="1">
      <c r="A2435" s="155">
        <v>12654235</v>
      </c>
      <c r="B2435" s="173" t="s">
        <v>863</v>
      </c>
      <c r="C2435" s="173" t="s">
        <v>4576</v>
      </c>
      <c r="D2435" s="173" t="s">
        <v>7082</v>
      </c>
      <c r="E2435" s="203">
        <v>42992</v>
      </c>
    </row>
    <row r="2436" spans="1:5" ht="14.25" hidden="1" customHeight="1">
      <c r="A2436" s="16">
        <v>14352896</v>
      </c>
      <c r="B2436" s="17" t="s">
        <v>3428</v>
      </c>
      <c r="C2436" s="17" t="s">
        <v>3429</v>
      </c>
      <c r="D2436" s="5" t="s">
        <v>7082</v>
      </c>
      <c r="E2436" s="35">
        <v>42992</v>
      </c>
    </row>
    <row r="2437" spans="1:5" ht="14.25" hidden="1" customHeight="1">
      <c r="A2437" s="155">
        <v>14352896</v>
      </c>
      <c r="B2437" s="173" t="s">
        <v>3428</v>
      </c>
      <c r="C2437" s="173" t="s">
        <v>3429</v>
      </c>
      <c r="D2437" s="173" t="s">
        <v>7082</v>
      </c>
      <c r="E2437" s="203">
        <v>42992</v>
      </c>
    </row>
    <row r="2438" spans="1:5" ht="14.25" hidden="1" customHeight="1">
      <c r="A2438" s="16">
        <v>14410492</v>
      </c>
      <c r="B2438" s="17" t="s">
        <v>5147</v>
      </c>
      <c r="C2438" s="17" t="s">
        <v>5148</v>
      </c>
      <c r="D2438" s="5" t="s">
        <v>7082</v>
      </c>
      <c r="E2438" s="35">
        <v>42992</v>
      </c>
    </row>
    <row r="2439" spans="1:5" ht="14.25" hidden="1" customHeight="1">
      <c r="A2439" s="155">
        <v>14410492</v>
      </c>
      <c r="B2439" s="173" t="s">
        <v>5147</v>
      </c>
      <c r="C2439" s="173" t="s">
        <v>5148</v>
      </c>
      <c r="D2439" s="173" t="s">
        <v>7082</v>
      </c>
      <c r="E2439" s="203">
        <v>42992</v>
      </c>
    </row>
    <row r="2440" spans="1:5" ht="14.25" hidden="1" customHeight="1">
      <c r="A2440" s="16">
        <v>14480554</v>
      </c>
      <c r="B2440" s="17" t="s">
        <v>1671</v>
      </c>
      <c r="C2440" s="17" t="s">
        <v>1672</v>
      </c>
      <c r="D2440" s="5" t="s">
        <v>7082</v>
      </c>
      <c r="E2440" s="35">
        <v>42992</v>
      </c>
    </row>
    <row r="2441" spans="1:5" ht="14.25" hidden="1" customHeight="1">
      <c r="A2441" s="155">
        <v>14480554</v>
      </c>
      <c r="B2441" s="173" t="s">
        <v>1671</v>
      </c>
      <c r="C2441" s="173" t="s">
        <v>1672</v>
      </c>
      <c r="D2441" s="173" t="s">
        <v>7082</v>
      </c>
      <c r="E2441" s="203">
        <v>42992</v>
      </c>
    </row>
    <row r="2442" spans="1:5" ht="14.25" hidden="1" customHeight="1">
      <c r="A2442" s="16">
        <v>14966482</v>
      </c>
      <c r="B2442" s="17" t="s">
        <v>2785</v>
      </c>
      <c r="C2442" s="17" t="s">
        <v>2786</v>
      </c>
      <c r="D2442" s="5" t="s">
        <v>7082</v>
      </c>
      <c r="E2442" s="35">
        <v>42992</v>
      </c>
    </row>
    <row r="2443" spans="1:5" ht="14.25" hidden="1" customHeight="1">
      <c r="A2443" s="155">
        <v>14966482</v>
      </c>
      <c r="B2443" s="173" t="s">
        <v>2785</v>
      </c>
      <c r="C2443" s="173" t="s">
        <v>2786</v>
      </c>
      <c r="D2443" s="173" t="s">
        <v>7082</v>
      </c>
      <c r="E2443" s="203">
        <v>42992</v>
      </c>
    </row>
    <row r="2444" spans="1:5" ht="14.25" hidden="1" customHeight="1">
      <c r="A2444" s="16">
        <v>16175799</v>
      </c>
      <c r="B2444" s="17" t="s">
        <v>3537</v>
      </c>
      <c r="C2444" s="17" t="s">
        <v>3538</v>
      </c>
      <c r="D2444" s="5" t="s">
        <v>7082</v>
      </c>
      <c r="E2444" s="35">
        <v>42992</v>
      </c>
    </row>
    <row r="2445" spans="1:5" ht="14.25" hidden="1" customHeight="1">
      <c r="A2445" s="155">
        <v>16175799</v>
      </c>
      <c r="B2445" s="173" t="s">
        <v>3537</v>
      </c>
      <c r="C2445" s="173" t="s">
        <v>3538</v>
      </c>
      <c r="D2445" s="173" t="s">
        <v>7082</v>
      </c>
      <c r="E2445" s="203">
        <v>42992</v>
      </c>
    </row>
    <row r="2446" spans="1:5" ht="14.25" hidden="1" customHeight="1">
      <c r="A2446" s="16">
        <v>16954394</v>
      </c>
      <c r="B2446" s="17" t="s">
        <v>6498</v>
      </c>
      <c r="C2446" s="17" t="s">
        <v>6499</v>
      </c>
      <c r="D2446" s="5" t="s">
        <v>7082</v>
      </c>
      <c r="E2446" s="35">
        <v>42992</v>
      </c>
    </row>
    <row r="2447" spans="1:5" ht="14.25" hidden="1" customHeight="1">
      <c r="A2447" s="155">
        <v>16954394</v>
      </c>
      <c r="B2447" s="173" t="s">
        <v>6498</v>
      </c>
      <c r="C2447" s="173" t="s">
        <v>6499</v>
      </c>
      <c r="D2447" s="173" t="s">
        <v>7082</v>
      </c>
      <c r="E2447" s="203">
        <v>42992</v>
      </c>
    </row>
    <row r="2448" spans="1:5" ht="14.25" hidden="1" customHeight="1">
      <c r="A2448" s="16">
        <v>17858391</v>
      </c>
      <c r="B2448" s="17" t="s">
        <v>4389</v>
      </c>
      <c r="C2448" s="17" t="s">
        <v>4390</v>
      </c>
      <c r="D2448" s="5" t="s">
        <v>7082</v>
      </c>
      <c r="E2448" s="35">
        <v>42992</v>
      </c>
    </row>
    <row r="2449" spans="1:5" ht="14.25" hidden="1" customHeight="1">
      <c r="A2449" s="155">
        <v>17858391</v>
      </c>
      <c r="B2449" s="173" t="s">
        <v>4389</v>
      </c>
      <c r="C2449" s="173" t="s">
        <v>4390</v>
      </c>
      <c r="D2449" s="173" t="s">
        <v>7082</v>
      </c>
      <c r="E2449" s="203">
        <v>42992</v>
      </c>
    </row>
    <row r="2450" spans="1:5" ht="14.25" hidden="1" customHeight="1">
      <c r="A2450" s="16">
        <v>17859997</v>
      </c>
      <c r="B2450" s="17" t="s">
        <v>3220</v>
      </c>
      <c r="C2450" s="17" t="s">
        <v>3221</v>
      </c>
      <c r="D2450" s="5" t="s">
        <v>7082</v>
      </c>
      <c r="E2450" s="35">
        <v>42992</v>
      </c>
    </row>
    <row r="2451" spans="1:5" ht="14.25" hidden="1" customHeight="1">
      <c r="A2451" s="155">
        <v>17859997</v>
      </c>
      <c r="B2451" s="173" t="s">
        <v>3220</v>
      </c>
      <c r="C2451" s="173" t="s">
        <v>3221</v>
      </c>
      <c r="D2451" s="173" t="s">
        <v>7082</v>
      </c>
      <c r="E2451" s="203">
        <v>42992</v>
      </c>
    </row>
    <row r="2452" spans="1:5" ht="14.25" hidden="1" customHeight="1">
      <c r="A2452" s="16">
        <v>17866738</v>
      </c>
      <c r="B2452" s="17" t="s">
        <v>4994</v>
      </c>
      <c r="C2452" s="17" t="s">
        <v>2260</v>
      </c>
      <c r="D2452" s="5" t="s">
        <v>7082</v>
      </c>
      <c r="E2452" s="35">
        <v>42992</v>
      </c>
    </row>
    <row r="2453" spans="1:5" ht="14.25" hidden="1" customHeight="1">
      <c r="A2453" s="155">
        <v>17866738</v>
      </c>
      <c r="B2453" s="173" t="s">
        <v>4994</v>
      </c>
      <c r="C2453" s="173" t="s">
        <v>2260</v>
      </c>
      <c r="D2453" s="173" t="s">
        <v>7082</v>
      </c>
      <c r="E2453" s="203">
        <v>42992</v>
      </c>
    </row>
    <row r="2454" spans="1:5" ht="14.25" hidden="1" customHeight="1">
      <c r="A2454" s="16">
        <v>20857513</v>
      </c>
      <c r="B2454" s="17" t="s">
        <v>1469</v>
      </c>
      <c r="C2454" s="17" t="s">
        <v>1470</v>
      </c>
      <c r="D2454" s="5" t="s">
        <v>7082</v>
      </c>
      <c r="E2454" s="35">
        <v>42992</v>
      </c>
    </row>
    <row r="2455" spans="1:5" ht="14.25" hidden="1" customHeight="1">
      <c r="A2455" s="155">
        <v>20857513</v>
      </c>
      <c r="B2455" s="173" t="s">
        <v>1469</v>
      </c>
      <c r="C2455" s="173" t="s">
        <v>1470</v>
      </c>
      <c r="D2455" s="173" t="s">
        <v>7082</v>
      </c>
      <c r="E2455" s="203">
        <v>42992</v>
      </c>
    </row>
    <row r="2456" spans="1:5" ht="14.25" hidden="1" customHeight="1">
      <c r="A2456" s="16">
        <v>20977097</v>
      </c>
      <c r="B2456" s="17" t="s">
        <v>167</v>
      </c>
      <c r="C2456" s="17" t="s">
        <v>168</v>
      </c>
      <c r="D2456" s="5" t="s">
        <v>7082</v>
      </c>
      <c r="E2456" s="35">
        <v>42992</v>
      </c>
    </row>
    <row r="2457" spans="1:5" ht="14.25" hidden="1" customHeight="1">
      <c r="A2457" s="155">
        <v>20977097</v>
      </c>
      <c r="B2457" s="173" t="s">
        <v>167</v>
      </c>
      <c r="C2457" s="173" t="s">
        <v>168</v>
      </c>
      <c r="D2457" s="173" t="s">
        <v>7082</v>
      </c>
      <c r="E2457" s="203">
        <v>42992</v>
      </c>
    </row>
    <row r="2458" spans="1:5" ht="14.25" hidden="1" customHeight="1">
      <c r="A2458" s="16">
        <v>22264981</v>
      </c>
      <c r="B2458" s="17" t="s">
        <v>5885</v>
      </c>
      <c r="C2458" s="17" t="s">
        <v>5886</v>
      </c>
      <c r="D2458" s="5" t="s">
        <v>7082</v>
      </c>
      <c r="E2458" s="35">
        <v>42992</v>
      </c>
    </row>
    <row r="2459" spans="1:5" ht="14.25" hidden="1" customHeight="1">
      <c r="A2459" s="155">
        <v>22264981</v>
      </c>
      <c r="B2459" s="173" t="s">
        <v>5885</v>
      </c>
      <c r="C2459" s="173" t="s">
        <v>5886</v>
      </c>
      <c r="D2459" s="173" t="s">
        <v>7082</v>
      </c>
      <c r="E2459" s="203">
        <v>42992</v>
      </c>
    </row>
    <row r="2460" spans="1:5" ht="14.25" hidden="1" customHeight="1">
      <c r="A2460" s="16">
        <v>22451756</v>
      </c>
      <c r="B2460" s="17" t="s">
        <v>7039</v>
      </c>
      <c r="C2460" s="17" t="s">
        <v>5325</v>
      </c>
      <c r="D2460" s="5" t="s">
        <v>7082</v>
      </c>
      <c r="E2460" s="35">
        <v>42992</v>
      </c>
    </row>
    <row r="2461" spans="1:5" ht="14.25" hidden="1" customHeight="1">
      <c r="A2461" s="155">
        <v>22451756</v>
      </c>
      <c r="B2461" s="173" t="s">
        <v>7039</v>
      </c>
      <c r="C2461" s="173" t="s">
        <v>5325</v>
      </c>
      <c r="D2461" s="173" t="s">
        <v>7082</v>
      </c>
      <c r="E2461" s="203">
        <v>42992</v>
      </c>
    </row>
    <row r="2462" spans="1:5" ht="14.25" hidden="1" customHeight="1">
      <c r="A2462" s="16">
        <v>24553486</v>
      </c>
      <c r="B2462" s="17" t="s">
        <v>94</v>
      </c>
      <c r="C2462" s="17" t="s">
        <v>2260</v>
      </c>
      <c r="D2462" s="5" t="s">
        <v>7082</v>
      </c>
      <c r="E2462" s="35">
        <v>42992</v>
      </c>
    </row>
    <row r="2463" spans="1:5" ht="14.25" hidden="1" customHeight="1">
      <c r="A2463" s="155">
        <v>24553486</v>
      </c>
      <c r="B2463" s="173" t="s">
        <v>94</v>
      </c>
      <c r="C2463" s="173" t="s">
        <v>2260</v>
      </c>
      <c r="D2463" s="173" t="s">
        <v>7082</v>
      </c>
      <c r="E2463" s="203">
        <v>42992</v>
      </c>
    </row>
    <row r="2464" spans="1:5" ht="14.25" hidden="1" customHeight="1">
      <c r="A2464" s="16">
        <v>25444256</v>
      </c>
      <c r="B2464" s="17" t="s">
        <v>5764</v>
      </c>
      <c r="C2464" s="17" t="s">
        <v>5765</v>
      </c>
      <c r="D2464" s="5" t="s">
        <v>7082</v>
      </c>
      <c r="E2464" s="35">
        <v>42992</v>
      </c>
    </row>
    <row r="2465" spans="1:5" ht="14.25" hidden="1" customHeight="1">
      <c r="A2465" s="155">
        <v>25444256</v>
      </c>
      <c r="B2465" s="173" t="s">
        <v>5764</v>
      </c>
      <c r="C2465" s="173" t="s">
        <v>5765</v>
      </c>
      <c r="D2465" s="173" t="s">
        <v>7082</v>
      </c>
      <c r="E2465" s="203">
        <v>42992</v>
      </c>
    </row>
    <row r="2466" spans="1:5" ht="14.25" hidden="1" customHeight="1">
      <c r="A2466" s="16">
        <v>25498735</v>
      </c>
      <c r="B2466" s="17" t="s">
        <v>4067</v>
      </c>
      <c r="C2466" s="17" t="s">
        <v>6493</v>
      </c>
      <c r="D2466" s="5" t="s">
        <v>7082</v>
      </c>
      <c r="E2466" s="35">
        <v>42992</v>
      </c>
    </row>
    <row r="2467" spans="1:5" ht="14.25" hidden="1" customHeight="1">
      <c r="A2467" s="155">
        <v>25498735</v>
      </c>
      <c r="B2467" s="173" t="s">
        <v>4067</v>
      </c>
      <c r="C2467" s="173" t="s">
        <v>6493</v>
      </c>
      <c r="D2467" s="173" t="s">
        <v>7082</v>
      </c>
      <c r="E2467" s="203">
        <v>42992</v>
      </c>
    </row>
    <row r="2468" spans="1:5" ht="14.25" hidden="1" customHeight="1">
      <c r="A2468" s="16">
        <v>25843618</v>
      </c>
      <c r="B2468" s="17" t="s">
        <v>1823</v>
      </c>
      <c r="C2468" s="17" t="s">
        <v>4410</v>
      </c>
      <c r="D2468" s="5" t="s">
        <v>7082</v>
      </c>
      <c r="E2468" s="35">
        <v>42992</v>
      </c>
    </row>
    <row r="2469" spans="1:5" ht="14.25" hidden="1" customHeight="1">
      <c r="A2469" s="155">
        <v>25843618</v>
      </c>
      <c r="B2469" s="173" t="s">
        <v>1823</v>
      </c>
      <c r="C2469" s="173" t="s">
        <v>4410</v>
      </c>
      <c r="D2469" s="173" t="s">
        <v>7082</v>
      </c>
      <c r="E2469" s="203">
        <v>42992</v>
      </c>
    </row>
    <row r="2470" spans="1:5" ht="14.25" hidden="1" customHeight="1">
      <c r="A2470" s="16">
        <v>26743740</v>
      </c>
      <c r="B2470" s="17" t="s">
        <v>794</v>
      </c>
      <c r="C2470" s="17" t="s">
        <v>2371</v>
      </c>
      <c r="D2470" s="5" t="s">
        <v>7082</v>
      </c>
      <c r="E2470" s="35">
        <v>42992</v>
      </c>
    </row>
    <row r="2471" spans="1:5" ht="14.25" hidden="1" customHeight="1">
      <c r="A2471" s="155">
        <v>26743740</v>
      </c>
      <c r="B2471" s="173" t="s">
        <v>794</v>
      </c>
      <c r="C2471" s="173" t="s">
        <v>2371</v>
      </c>
      <c r="D2471" s="173" t="s">
        <v>7082</v>
      </c>
      <c r="E2471" s="203">
        <v>42992</v>
      </c>
    </row>
    <row r="2472" spans="1:5" ht="14.25" hidden="1" customHeight="1">
      <c r="A2472" s="16">
        <v>27016649</v>
      </c>
      <c r="B2472" s="17" t="s">
        <v>3172</v>
      </c>
      <c r="C2472" s="17" t="s">
        <v>3173</v>
      </c>
      <c r="D2472" s="5" t="s">
        <v>7082</v>
      </c>
      <c r="E2472" s="35">
        <v>42992</v>
      </c>
    </row>
    <row r="2473" spans="1:5" ht="14.25" hidden="1" customHeight="1">
      <c r="A2473" s="155">
        <v>27016649</v>
      </c>
      <c r="B2473" s="173" t="s">
        <v>3172</v>
      </c>
      <c r="C2473" s="173" t="s">
        <v>3173</v>
      </c>
      <c r="D2473" s="173" t="s">
        <v>7082</v>
      </c>
      <c r="E2473" s="203">
        <v>42992</v>
      </c>
    </row>
    <row r="2474" spans="1:5" ht="14.25" hidden="1" customHeight="1">
      <c r="A2474" s="16">
        <v>27210885</v>
      </c>
      <c r="B2474" s="17" t="s">
        <v>1845</v>
      </c>
      <c r="C2474" s="17" t="s">
        <v>165</v>
      </c>
      <c r="D2474" s="5" t="s">
        <v>7082</v>
      </c>
      <c r="E2474" s="35">
        <v>42992</v>
      </c>
    </row>
    <row r="2475" spans="1:5" ht="14.25" hidden="1" customHeight="1">
      <c r="A2475" s="155">
        <v>27210885</v>
      </c>
      <c r="B2475" s="173" t="s">
        <v>1845</v>
      </c>
      <c r="C2475" s="173" t="s">
        <v>165</v>
      </c>
      <c r="D2475" s="173" t="s">
        <v>7082</v>
      </c>
      <c r="E2475" s="203">
        <v>42992</v>
      </c>
    </row>
    <row r="2476" spans="1:5" ht="14.25" hidden="1" customHeight="1">
      <c r="A2476" s="16">
        <v>27364316</v>
      </c>
      <c r="B2476" s="17" t="s">
        <v>2170</v>
      </c>
      <c r="C2476" s="17" t="s">
        <v>2171</v>
      </c>
      <c r="D2476" s="5" t="s">
        <v>7082</v>
      </c>
      <c r="E2476" s="35">
        <v>42992</v>
      </c>
    </row>
    <row r="2477" spans="1:5" ht="14.25" hidden="1" customHeight="1">
      <c r="A2477" s="155">
        <v>27364316</v>
      </c>
      <c r="B2477" s="173" t="s">
        <v>2170</v>
      </c>
      <c r="C2477" s="173" t="s">
        <v>2171</v>
      </c>
      <c r="D2477" s="173" t="s">
        <v>7082</v>
      </c>
      <c r="E2477" s="203">
        <v>42992</v>
      </c>
    </row>
    <row r="2478" spans="1:5" ht="14.25" hidden="1" customHeight="1">
      <c r="A2478" s="16">
        <v>27651507</v>
      </c>
      <c r="B2478" s="17" t="s">
        <v>2795</v>
      </c>
      <c r="C2478" s="17" t="s">
        <v>4637</v>
      </c>
      <c r="D2478" s="5" t="s">
        <v>7082</v>
      </c>
      <c r="E2478" s="35">
        <v>42992</v>
      </c>
    </row>
    <row r="2479" spans="1:5" ht="14.25" hidden="1" customHeight="1">
      <c r="A2479" s="155">
        <v>27651507</v>
      </c>
      <c r="B2479" s="173" t="s">
        <v>2795</v>
      </c>
      <c r="C2479" s="173" t="s">
        <v>4637</v>
      </c>
      <c r="D2479" s="173" t="s">
        <v>7082</v>
      </c>
      <c r="E2479" s="203">
        <v>42992</v>
      </c>
    </row>
    <row r="2480" spans="1:5" ht="14.25" hidden="1" customHeight="1">
      <c r="A2480" s="16">
        <v>27651651</v>
      </c>
      <c r="B2480" s="17" t="s">
        <v>861</v>
      </c>
      <c r="C2480" s="17" t="s">
        <v>5671</v>
      </c>
      <c r="D2480" s="5" t="s">
        <v>7082</v>
      </c>
      <c r="E2480" s="35">
        <v>42992</v>
      </c>
    </row>
    <row r="2481" spans="1:5" ht="14.25" hidden="1" customHeight="1">
      <c r="A2481" s="155">
        <v>27651651</v>
      </c>
      <c r="B2481" s="173" t="s">
        <v>861</v>
      </c>
      <c r="C2481" s="173" t="s">
        <v>5671</v>
      </c>
      <c r="D2481" s="173" t="s">
        <v>7082</v>
      </c>
      <c r="E2481" s="203">
        <v>42992</v>
      </c>
    </row>
    <row r="2482" spans="1:5" ht="14.25" hidden="1" customHeight="1">
      <c r="A2482" s="16">
        <v>27843241</v>
      </c>
      <c r="B2482" s="17" t="s">
        <v>26</v>
      </c>
      <c r="C2482" s="17" t="s">
        <v>36</v>
      </c>
      <c r="D2482" s="5" t="s">
        <v>7082</v>
      </c>
      <c r="E2482" s="35">
        <v>42992</v>
      </c>
    </row>
    <row r="2483" spans="1:5" ht="14.25" hidden="1" customHeight="1">
      <c r="A2483" s="155">
        <v>27843241</v>
      </c>
      <c r="B2483" s="173" t="s">
        <v>26</v>
      </c>
      <c r="C2483" s="173" t="s">
        <v>36</v>
      </c>
      <c r="D2483" s="173" t="s">
        <v>7082</v>
      </c>
      <c r="E2483" s="203">
        <v>42992</v>
      </c>
    </row>
    <row r="2484" spans="1:5" ht="14.25" hidden="1" customHeight="1">
      <c r="A2484" s="16">
        <v>27961528</v>
      </c>
      <c r="B2484" s="17" t="s">
        <v>2696</v>
      </c>
      <c r="C2484" s="17" t="s">
        <v>527</v>
      </c>
      <c r="D2484" s="5" t="s">
        <v>7082</v>
      </c>
      <c r="E2484" s="35">
        <v>42992</v>
      </c>
    </row>
    <row r="2485" spans="1:5" ht="14.25" hidden="1" customHeight="1">
      <c r="A2485" s="155">
        <v>27961528</v>
      </c>
      <c r="B2485" s="173" t="s">
        <v>2696</v>
      </c>
      <c r="C2485" s="173" t="s">
        <v>527</v>
      </c>
      <c r="D2485" s="173" t="s">
        <v>7082</v>
      </c>
      <c r="E2485" s="203">
        <v>42992</v>
      </c>
    </row>
    <row r="2486" spans="1:5" ht="14.25" hidden="1" customHeight="1">
      <c r="A2486" s="16">
        <v>27962453</v>
      </c>
      <c r="B2486" s="17" t="s">
        <v>3335</v>
      </c>
      <c r="C2486" s="17" t="s">
        <v>3336</v>
      </c>
      <c r="D2486" s="5" t="s">
        <v>7082</v>
      </c>
      <c r="E2486" s="35">
        <v>42992</v>
      </c>
    </row>
    <row r="2487" spans="1:5" ht="14.25" hidden="1" customHeight="1">
      <c r="A2487" s="155">
        <v>27962453</v>
      </c>
      <c r="B2487" s="173" t="s">
        <v>3335</v>
      </c>
      <c r="C2487" s="173" t="s">
        <v>3336</v>
      </c>
      <c r="D2487" s="173" t="s">
        <v>7082</v>
      </c>
      <c r="E2487" s="203">
        <v>42992</v>
      </c>
    </row>
    <row r="2488" spans="1:5" ht="14.25" hidden="1" customHeight="1">
      <c r="A2488" s="16">
        <v>27975948</v>
      </c>
      <c r="B2488" s="17" t="s">
        <v>3947</v>
      </c>
      <c r="C2488" s="17" t="s">
        <v>3948</v>
      </c>
      <c r="D2488" s="5" t="s">
        <v>7082</v>
      </c>
      <c r="E2488" s="35">
        <v>42992</v>
      </c>
    </row>
    <row r="2489" spans="1:5" ht="14.25" hidden="1" customHeight="1">
      <c r="A2489" s="155">
        <v>27975948</v>
      </c>
      <c r="B2489" s="173" t="s">
        <v>3947</v>
      </c>
      <c r="C2489" s="173" t="s">
        <v>3948</v>
      </c>
      <c r="D2489" s="173" t="s">
        <v>7082</v>
      </c>
      <c r="E2489" s="203">
        <v>42992</v>
      </c>
    </row>
    <row r="2490" spans="1:5" ht="14.25" hidden="1" customHeight="1">
      <c r="A2490" s="16">
        <v>28211502</v>
      </c>
      <c r="B2490" s="17" t="s">
        <v>1547</v>
      </c>
      <c r="C2490" s="17" t="s">
        <v>1545</v>
      </c>
      <c r="D2490" s="5" t="s">
        <v>7082</v>
      </c>
      <c r="E2490" s="35">
        <v>42992</v>
      </c>
    </row>
    <row r="2491" spans="1:5" ht="14.25" hidden="1" customHeight="1">
      <c r="A2491" s="155">
        <v>28211502</v>
      </c>
      <c r="B2491" s="173" t="s">
        <v>1547</v>
      </c>
      <c r="C2491" s="173" t="s">
        <v>1545</v>
      </c>
      <c r="D2491" s="173" t="s">
        <v>7082</v>
      </c>
      <c r="E2491" s="203">
        <v>42992</v>
      </c>
    </row>
    <row r="2492" spans="1:5" ht="14.25" hidden="1" customHeight="1">
      <c r="A2492" s="16">
        <v>28326318</v>
      </c>
      <c r="B2492" s="17" t="s">
        <v>5830</v>
      </c>
      <c r="C2492" s="17" t="s">
        <v>365</v>
      </c>
      <c r="D2492" s="5" t="s">
        <v>7082</v>
      </c>
      <c r="E2492" s="35">
        <v>42992</v>
      </c>
    </row>
    <row r="2493" spans="1:5" ht="14.25" hidden="1" customHeight="1">
      <c r="A2493" s="155">
        <v>28326318</v>
      </c>
      <c r="B2493" s="173" t="s">
        <v>5830</v>
      </c>
      <c r="C2493" s="173" t="s">
        <v>365</v>
      </c>
      <c r="D2493" s="173" t="s">
        <v>7082</v>
      </c>
      <c r="E2493" s="203">
        <v>42992</v>
      </c>
    </row>
    <row r="2494" spans="1:5" ht="14.25" hidden="1" customHeight="1">
      <c r="A2494" s="16">
        <v>29533058</v>
      </c>
      <c r="B2494" s="17" t="s">
        <v>146</v>
      </c>
      <c r="C2494" s="17" t="s">
        <v>147</v>
      </c>
      <c r="D2494" s="5" t="s">
        <v>7082</v>
      </c>
      <c r="E2494" s="35">
        <v>42992</v>
      </c>
    </row>
    <row r="2495" spans="1:5" ht="14.25" hidden="1" customHeight="1">
      <c r="A2495" s="155">
        <v>29533058</v>
      </c>
      <c r="B2495" s="173" t="s">
        <v>146</v>
      </c>
      <c r="C2495" s="173" t="s">
        <v>147</v>
      </c>
      <c r="D2495" s="173" t="s">
        <v>7082</v>
      </c>
      <c r="E2495" s="203">
        <v>42992</v>
      </c>
    </row>
    <row r="2496" spans="1:5" ht="14.25" hidden="1" customHeight="1">
      <c r="A2496" s="16">
        <v>29997979</v>
      </c>
      <c r="B2496" s="17" t="s">
        <v>7083</v>
      </c>
      <c r="C2496" s="17" t="s">
        <v>527</v>
      </c>
      <c r="D2496" s="5" t="s">
        <v>7082</v>
      </c>
      <c r="E2496" s="35">
        <v>42992</v>
      </c>
    </row>
    <row r="2497" spans="1:5" ht="14.25" hidden="1" customHeight="1">
      <c r="A2497" s="155">
        <v>29997979</v>
      </c>
      <c r="B2497" s="173" t="s">
        <v>7083</v>
      </c>
      <c r="C2497" s="173" t="s">
        <v>527</v>
      </c>
      <c r="D2497" s="173" t="s">
        <v>7082</v>
      </c>
      <c r="E2497" s="203">
        <v>42992</v>
      </c>
    </row>
    <row r="2498" spans="1:5" ht="14.25" hidden="1" customHeight="1">
      <c r="A2498" s="16">
        <v>30069252</v>
      </c>
      <c r="B2498" s="17" t="s">
        <v>1793</v>
      </c>
      <c r="C2498" s="17" t="s">
        <v>1068</v>
      </c>
      <c r="D2498" s="5" t="s">
        <v>7082</v>
      </c>
      <c r="E2498" s="35">
        <v>42992</v>
      </c>
    </row>
    <row r="2499" spans="1:5" ht="14.25" hidden="1" customHeight="1">
      <c r="A2499" s="155">
        <v>30069252</v>
      </c>
      <c r="B2499" s="173" t="s">
        <v>1793</v>
      </c>
      <c r="C2499" s="173" t="s">
        <v>1068</v>
      </c>
      <c r="D2499" s="173" t="s">
        <v>7082</v>
      </c>
      <c r="E2499" s="203">
        <v>42992</v>
      </c>
    </row>
    <row r="2500" spans="1:5" ht="14.25" hidden="1" customHeight="1">
      <c r="A2500" s="16">
        <v>30497720</v>
      </c>
      <c r="B2500" s="17" t="s">
        <v>2990</v>
      </c>
      <c r="C2500" s="17" t="s">
        <v>7084</v>
      </c>
      <c r="D2500" s="5" t="s">
        <v>7082</v>
      </c>
      <c r="E2500" s="35">
        <v>42992</v>
      </c>
    </row>
    <row r="2501" spans="1:5" ht="14.25" hidden="1" customHeight="1">
      <c r="A2501" s="155">
        <v>30497720</v>
      </c>
      <c r="B2501" s="173" t="s">
        <v>2990</v>
      </c>
      <c r="C2501" s="173" t="s">
        <v>7084</v>
      </c>
      <c r="D2501" s="173" t="s">
        <v>7082</v>
      </c>
      <c r="E2501" s="203">
        <v>42992</v>
      </c>
    </row>
    <row r="2502" spans="1:5" ht="14.25" hidden="1" customHeight="1">
      <c r="A2502" s="16">
        <v>30759476</v>
      </c>
      <c r="B2502" s="17" t="s">
        <v>1487</v>
      </c>
      <c r="C2502" s="17" t="s">
        <v>1488</v>
      </c>
      <c r="D2502" s="5" t="s">
        <v>7082</v>
      </c>
      <c r="E2502" s="35">
        <v>42992</v>
      </c>
    </row>
    <row r="2503" spans="1:5" ht="14.25" hidden="1" customHeight="1">
      <c r="A2503" s="155">
        <v>30759476</v>
      </c>
      <c r="B2503" s="173" t="s">
        <v>1487</v>
      </c>
      <c r="C2503" s="173" t="s">
        <v>1488</v>
      </c>
      <c r="D2503" s="173" t="s">
        <v>7082</v>
      </c>
      <c r="E2503" s="203">
        <v>42992</v>
      </c>
    </row>
    <row r="2504" spans="1:5" ht="14.25" hidden="1" customHeight="1">
      <c r="A2504" s="16">
        <v>32455863</v>
      </c>
      <c r="B2504" s="17" t="s">
        <v>2158</v>
      </c>
      <c r="C2504" s="17" t="s">
        <v>2676</v>
      </c>
      <c r="D2504" s="5" t="s">
        <v>7082</v>
      </c>
      <c r="E2504" s="35">
        <v>42992</v>
      </c>
    </row>
    <row r="2505" spans="1:5" ht="14.25" hidden="1" customHeight="1">
      <c r="A2505" s="155">
        <v>32455863</v>
      </c>
      <c r="B2505" s="173" t="s">
        <v>2158</v>
      </c>
      <c r="C2505" s="173" t="s">
        <v>2676</v>
      </c>
      <c r="D2505" s="173" t="s">
        <v>7082</v>
      </c>
      <c r="E2505" s="203">
        <v>42992</v>
      </c>
    </row>
    <row r="2506" spans="1:5" ht="14.25" hidden="1" customHeight="1">
      <c r="A2506" s="16">
        <v>32460389</v>
      </c>
      <c r="B2506" s="17" t="s">
        <v>1762</v>
      </c>
      <c r="C2506" s="17" t="s">
        <v>571</v>
      </c>
      <c r="D2506" s="5" t="s">
        <v>7082</v>
      </c>
      <c r="E2506" s="35">
        <v>42992</v>
      </c>
    </row>
    <row r="2507" spans="1:5" ht="14.25" hidden="1" customHeight="1">
      <c r="A2507" s="155">
        <v>32460389</v>
      </c>
      <c r="B2507" s="173" t="s">
        <v>1762</v>
      </c>
      <c r="C2507" s="173" t="s">
        <v>571</v>
      </c>
      <c r="D2507" s="173" t="s">
        <v>7082</v>
      </c>
      <c r="E2507" s="203">
        <v>42992</v>
      </c>
    </row>
    <row r="2508" spans="1:5" ht="14.25" hidden="1" customHeight="1">
      <c r="A2508" s="16">
        <v>32589448</v>
      </c>
      <c r="B2508" s="17" t="s">
        <v>288</v>
      </c>
      <c r="C2508" s="17" t="s">
        <v>2753</v>
      </c>
      <c r="D2508" s="5" t="s">
        <v>7082</v>
      </c>
      <c r="E2508" s="35">
        <v>42992</v>
      </c>
    </row>
    <row r="2509" spans="1:5" ht="14.25" hidden="1" customHeight="1">
      <c r="A2509" s="155">
        <v>32589448</v>
      </c>
      <c r="B2509" s="173" t="s">
        <v>288</v>
      </c>
      <c r="C2509" s="173" t="s">
        <v>2753</v>
      </c>
      <c r="D2509" s="173" t="s">
        <v>7082</v>
      </c>
      <c r="E2509" s="203">
        <v>42992</v>
      </c>
    </row>
    <row r="2510" spans="1:5" ht="14.25" hidden="1" customHeight="1">
      <c r="A2510" s="16">
        <v>32775540</v>
      </c>
      <c r="B2510" s="17" t="s">
        <v>1798</v>
      </c>
      <c r="C2510" s="17" t="s">
        <v>1801</v>
      </c>
      <c r="D2510" s="5" t="s">
        <v>7082</v>
      </c>
      <c r="E2510" s="35">
        <v>42992</v>
      </c>
    </row>
    <row r="2511" spans="1:5" ht="14.25" hidden="1" customHeight="1">
      <c r="A2511" s="155">
        <v>32775540</v>
      </c>
      <c r="B2511" s="173" t="s">
        <v>1798</v>
      </c>
      <c r="C2511" s="173" t="s">
        <v>1801</v>
      </c>
      <c r="D2511" s="173" t="s">
        <v>7082</v>
      </c>
      <c r="E2511" s="203">
        <v>42992</v>
      </c>
    </row>
    <row r="2512" spans="1:5" ht="14.25" hidden="1" customHeight="1">
      <c r="A2512" s="16">
        <v>33139225</v>
      </c>
      <c r="B2512" s="17" t="s">
        <v>267</v>
      </c>
      <c r="C2512" s="17" t="s">
        <v>268</v>
      </c>
      <c r="D2512" s="5" t="s">
        <v>7082</v>
      </c>
      <c r="E2512" s="35">
        <v>42992</v>
      </c>
    </row>
    <row r="2513" spans="1:5" ht="14.25" hidden="1" customHeight="1">
      <c r="A2513" s="155">
        <v>33139225</v>
      </c>
      <c r="B2513" s="173" t="s">
        <v>267</v>
      </c>
      <c r="C2513" s="173" t="s">
        <v>268</v>
      </c>
      <c r="D2513" s="173" t="s">
        <v>7082</v>
      </c>
      <c r="E2513" s="203">
        <v>42992</v>
      </c>
    </row>
    <row r="2514" spans="1:5" ht="14.25" hidden="1" customHeight="1">
      <c r="A2514" s="16">
        <v>33430036</v>
      </c>
      <c r="B2514" s="17" t="s">
        <v>2908</v>
      </c>
      <c r="C2514" s="17" t="s">
        <v>2909</v>
      </c>
      <c r="D2514" s="5" t="s">
        <v>7082</v>
      </c>
      <c r="E2514" s="35">
        <v>42992</v>
      </c>
    </row>
    <row r="2515" spans="1:5" ht="14.25" hidden="1" customHeight="1">
      <c r="A2515" s="155">
        <v>33430036</v>
      </c>
      <c r="B2515" s="173" t="s">
        <v>2908</v>
      </c>
      <c r="C2515" s="173" t="s">
        <v>2909</v>
      </c>
      <c r="D2515" s="173" t="s">
        <v>7082</v>
      </c>
      <c r="E2515" s="203">
        <v>42992</v>
      </c>
    </row>
    <row r="2516" spans="1:5" ht="14.25" hidden="1" customHeight="1">
      <c r="A2516" s="16">
        <v>33703823</v>
      </c>
      <c r="B2516" s="17" t="s">
        <v>7085</v>
      </c>
      <c r="C2516" s="17" t="s">
        <v>902</v>
      </c>
      <c r="D2516" s="5" t="s">
        <v>7082</v>
      </c>
      <c r="E2516" s="35">
        <v>42992</v>
      </c>
    </row>
    <row r="2517" spans="1:5" ht="14.25" hidden="1" customHeight="1">
      <c r="A2517" s="155">
        <v>33703823</v>
      </c>
      <c r="B2517" s="173" t="s">
        <v>7085</v>
      </c>
      <c r="C2517" s="173" t="s">
        <v>902</v>
      </c>
      <c r="D2517" s="173" t="s">
        <v>7082</v>
      </c>
      <c r="E2517" s="203">
        <v>42992</v>
      </c>
    </row>
    <row r="2518" spans="1:5" ht="14.25" hidden="1" customHeight="1">
      <c r="A2518" s="16">
        <v>33818840</v>
      </c>
      <c r="B2518" s="17" t="s">
        <v>377</v>
      </c>
      <c r="C2518" s="17" t="s">
        <v>1490</v>
      </c>
      <c r="D2518" s="5" t="s">
        <v>7082</v>
      </c>
      <c r="E2518" s="35">
        <v>42992</v>
      </c>
    </row>
    <row r="2519" spans="1:5" ht="14.25" hidden="1" customHeight="1">
      <c r="A2519" s="155">
        <v>33818840</v>
      </c>
      <c r="B2519" s="173" t="s">
        <v>377</v>
      </c>
      <c r="C2519" s="173" t="s">
        <v>1490</v>
      </c>
      <c r="D2519" s="173" t="s">
        <v>7082</v>
      </c>
      <c r="E2519" s="203">
        <v>42992</v>
      </c>
    </row>
    <row r="2520" spans="1:5" ht="14.25" hidden="1" customHeight="1">
      <c r="A2520" s="16">
        <v>34356805</v>
      </c>
      <c r="B2520" s="17" t="s">
        <v>650</v>
      </c>
      <c r="C2520" s="17" t="s">
        <v>6991</v>
      </c>
      <c r="D2520" s="5" t="s">
        <v>7082</v>
      </c>
      <c r="E2520" s="35">
        <v>42992</v>
      </c>
    </row>
    <row r="2521" spans="1:5" ht="14.25" hidden="1" customHeight="1">
      <c r="A2521" s="155">
        <v>34356805</v>
      </c>
      <c r="B2521" s="173" t="s">
        <v>650</v>
      </c>
      <c r="C2521" s="173" t="s">
        <v>6991</v>
      </c>
      <c r="D2521" s="173" t="s">
        <v>7082</v>
      </c>
      <c r="E2521" s="203">
        <v>42992</v>
      </c>
    </row>
    <row r="2522" spans="1:5" ht="14.25" hidden="1" customHeight="1">
      <c r="A2522" s="16">
        <v>34910252</v>
      </c>
      <c r="B2522" s="17" t="s">
        <v>1839</v>
      </c>
      <c r="C2522" s="17" t="s">
        <v>1840</v>
      </c>
      <c r="D2522" s="5" t="s">
        <v>7082</v>
      </c>
      <c r="E2522" s="35">
        <v>42992</v>
      </c>
    </row>
    <row r="2523" spans="1:5" ht="14.25" hidden="1" customHeight="1">
      <c r="A2523" s="155">
        <v>34910252</v>
      </c>
      <c r="B2523" s="173" t="s">
        <v>1839</v>
      </c>
      <c r="C2523" s="173" t="s">
        <v>1840</v>
      </c>
      <c r="D2523" s="173" t="s">
        <v>7082</v>
      </c>
      <c r="E2523" s="203">
        <v>42992</v>
      </c>
    </row>
    <row r="2524" spans="1:5" ht="14.25" hidden="1" customHeight="1">
      <c r="A2524" s="16">
        <v>34910721</v>
      </c>
      <c r="B2524" s="17" t="s">
        <v>1715</v>
      </c>
      <c r="C2524" s="17" t="s">
        <v>906</v>
      </c>
      <c r="D2524" s="5" t="s">
        <v>7082</v>
      </c>
      <c r="E2524" s="35">
        <v>42992</v>
      </c>
    </row>
    <row r="2525" spans="1:5" ht="14.25" hidden="1" customHeight="1">
      <c r="A2525" s="155">
        <v>34910721</v>
      </c>
      <c r="B2525" s="173" t="s">
        <v>1715</v>
      </c>
      <c r="C2525" s="173" t="s">
        <v>906</v>
      </c>
      <c r="D2525" s="173" t="s">
        <v>7082</v>
      </c>
      <c r="E2525" s="203">
        <v>42992</v>
      </c>
    </row>
    <row r="2526" spans="1:5" ht="14.25" hidden="1" customHeight="1">
      <c r="A2526" s="16">
        <v>35921443</v>
      </c>
      <c r="B2526" s="17" t="s">
        <v>680</v>
      </c>
      <c r="C2526" s="17" t="s">
        <v>2706</v>
      </c>
      <c r="D2526" s="5" t="s">
        <v>7082</v>
      </c>
      <c r="E2526" s="35">
        <v>42992</v>
      </c>
    </row>
    <row r="2527" spans="1:5" ht="14.25" hidden="1" customHeight="1">
      <c r="A2527" s="155">
        <v>35921443</v>
      </c>
      <c r="B2527" s="173" t="s">
        <v>680</v>
      </c>
      <c r="C2527" s="173" t="s">
        <v>2706</v>
      </c>
      <c r="D2527" s="173" t="s">
        <v>7082</v>
      </c>
      <c r="E2527" s="203">
        <v>42992</v>
      </c>
    </row>
    <row r="2528" spans="1:5" ht="14.25" hidden="1" customHeight="1">
      <c r="A2528" s="16">
        <v>36585692</v>
      </c>
      <c r="B2528" s="17" t="s">
        <v>608</v>
      </c>
      <c r="C2528" s="17" t="s">
        <v>2931</v>
      </c>
      <c r="D2528" s="5" t="s">
        <v>7082</v>
      </c>
      <c r="E2528" s="35">
        <v>42992</v>
      </c>
    </row>
    <row r="2529" spans="1:5" ht="14.25" hidden="1" customHeight="1">
      <c r="A2529" s="155">
        <v>36585692</v>
      </c>
      <c r="B2529" s="173" t="s">
        <v>608</v>
      </c>
      <c r="C2529" s="173" t="s">
        <v>2931</v>
      </c>
      <c r="D2529" s="173" t="s">
        <v>7082</v>
      </c>
      <c r="E2529" s="203">
        <v>42992</v>
      </c>
    </row>
    <row r="2530" spans="1:5" ht="14.25" hidden="1" customHeight="1">
      <c r="A2530" s="155">
        <v>10950023</v>
      </c>
      <c r="B2530" s="173" t="s">
        <v>2825</v>
      </c>
      <c r="C2530" s="173" t="s">
        <v>2826</v>
      </c>
      <c r="D2530" s="173" t="s">
        <v>9299</v>
      </c>
      <c r="E2530" s="203">
        <v>42977</v>
      </c>
    </row>
    <row r="2531" spans="1:5" ht="14.25" hidden="1" customHeight="1">
      <c r="A2531" s="155">
        <v>11322668</v>
      </c>
      <c r="B2531" s="173" t="s">
        <v>1565</v>
      </c>
      <c r="C2531" s="173" t="s">
        <v>2751</v>
      </c>
      <c r="D2531" s="173" t="s">
        <v>9299</v>
      </c>
      <c r="E2531" s="203">
        <v>42977</v>
      </c>
    </row>
    <row r="2532" spans="1:5" ht="14.25" hidden="1" customHeight="1">
      <c r="A2532" s="155">
        <v>11475297</v>
      </c>
      <c r="B2532" s="173" t="s">
        <v>5503</v>
      </c>
      <c r="C2532" s="173" t="s">
        <v>5504</v>
      </c>
      <c r="D2532" s="173" t="s">
        <v>9299</v>
      </c>
      <c r="E2532" s="203">
        <v>42977</v>
      </c>
    </row>
    <row r="2533" spans="1:5" ht="14.25" hidden="1" customHeight="1">
      <c r="A2533" s="155">
        <v>12414243</v>
      </c>
      <c r="B2533" s="173" t="s">
        <v>4014</v>
      </c>
      <c r="C2533" s="173" t="s">
        <v>5294</v>
      </c>
      <c r="D2533" s="173" t="s">
        <v>9299</v>
      </c>
      <c r="E2533" s="203">
        <v>42977</v>
      </c>
    </row>
    <row r="2534" spans="1:5" ht="14.25" hidden="1" customHeight="1">
      <c r="A2534" s="155">
        <v>12414762</v>
      </c>
      <c r="B2534" s="173" t="s">
        <v>5679</v>
      </c>
      <c r="C2534" s="173" t="s">
        <v>2218</v>
      </c>
      <c r="D2534" s="173" t="s">
        <v>9299</v>
      </c>
      <c r="E2534" s="203">
        <v>42977</v>
      </c>
    </row>
    <row r="2535" spans="1:5" ht="14.25" hidden="1" customHeight="1">
      <c r="A2535" s="155">
        <v>12606192</v>
      </c>
      <c r="B2535" s="173" t="s">
        <v>2737</v>
      </c>
      <c r="C2535" s="173" t="s">
        <v>2738</v>
      </c>
      <c r="D2535" s="173" t="s">
        <v>9299</v>
      </c>
      <c r="E2535" s="203">
        <v>42977</v>
      </c>
    </row>
    <row r="2536" spans="1:5" ht="14.25" hidden="1" customHeight="1">
      <c r="A2536" s="155">
        <v>12675403</v>
      </c>
      <c r="B2536" s="173" t="s">
        <v>2821</v>
      </c>
      <c r="C2536" s="173" t="s">
        <v>2822</v>
      </c>
      <c r="D2536" s="173" t="s">
        <v>9299</v>
      </c>
      <c r="E2536" s="203">
        <v>42977</v>
      </c>
    </row>
    <row r="2537" spans="1:5" ht="14.25" hidden="1" customHeight="1">
      <c r="A2537" s="155">
        <v>12733236</v>
      </c>
      <c r="B2537" s="173" t="s">
        <v>1805</v>
      </c>
      <c r="C2537" s="173" t="s">
        <v>1806</v>
      </c>
      <c r="D2537" s="173" t="s">
        <v>9299</v>
      </c>
      <c r="E2537" s="203">
        <v>42977</v>
      </c>
    </row>
    <row r="2538" spans="1:5" ht="14.25" hidden="1" customHeight="1">
      <c r="A2538" s="155">
        <v>13338781</v>
      </c>
      <c r="B2538" s="173" t="s">
        <v>327</v>
      </c>
      <c r="C2538" s="173" t="s">
        <v>1191</v>
      </c>
      <c r="D2538" s="173" t="s">
        <v>9299</v>
      </c>
      <c r="E2538" s="203">
        <v>42977</v>
      </c>
    </row>
    <row r="2539" spans="1:5" ht="14.25" hidden="1" customHeight="1">
      <c r="A2539" s="155">
        <v>13474822</v>
      </c>
      <c r="B2539" s="173" t="s">
        <v>3133</v>
      </c>
      <c r="C2539" s="173" t="s">
        <v>7091</v>
      </c>
      <c r="D2539" s="173" t="s">
        <v>9299</v>
      </c>
      <c r="E2539" s="203">
        <v>42977</v>
      </c>
    </row>
    <row r="2540" spans="1:5" ht="14.25" hidden="1" customHeight="1">
      <c r="A2540" s="155">
        <v>13710789</v>
      </c>
      <c r="B2540" s="173" t="s">
        <v>1842</v>
      </c>
      <c r="C2540" s="173" t="s">
        <v>584</v>
      </c>
      <c r="D2540" s="173" t="s">
        <v>9299</v>
      </c>
      <c r="E2540" s="203">
        <v>42977</v>
      </c>
    </row>
    <row r="2541" spans="1:5" ht="14.25" hidden="1" customHeight="1">
      <c r="A2541" s="155">
        <v>13784035</v>
      </c>
      <c r="B2541" s="173" t="s">
        <v>2746</v>
      </c>
      <c r="C2541" s="173" t="s">
        <v>1555</v>
      </c>
      <c r="D2541" s="173" t="s">
        <v>9299</v>
      </c>
      <c r="E2541" s="203">
        <v>42977</v>
      </c>
    </row>
    <row r="2542" spans="1:5" ht="14.25" hidden="1" customHeight="1">
      <c r="A2542" s="155">
        <v>13784871</v>
      </c>
      <c r="B2542" s="173" t="s">
        <v>2683</v>
      </c>
      <c r="C2542" s="173" t="s">
        <v>2684</v>
      </c>
      <c r="D2542" s="173" t="s">
        <v>9299</v>
      </c>
      <c r="E2542" s="203">
        <v>42977</v>
      </c>
    </row>
    <row r="2543" spans="1:5" ht="14.25" hidden="1" customHeight="1">
      <c r="A2543" s="155">
        <v>13844773</v>
      </c>
      <c r="B2543" s="173" t="s">
        <v>1591</v>
      </c>
      <c r="C2543" s="173" t="s">
        <v>2613</v>
      </c>
      <c r="D2543" s="173" t="s">
        <v>9299</v>
      </c>
      <c r="E2543" s="203">
        <v>42977</v>
      </c>
    </row>
    <row r="2544" spans="1:5" ht="14.25" hidden="1" customHeight="1">
      <c r="A2544" s="155">
        <v>14023748</v>
      </c>
      <c r="B2544" s="173" t="s">
        <v>774</v>
      </c>
      <c r="C2544" s="173" t="s">
        <v>4123</v>
      </c>
      <c r="D2544" s="173" t="s">
        <v>9299</v>
      </c>
      <c r="E2544" s="203">
        <v>42977</v>
      </c>
    </row>
    <row r="2545" spans="1:5" ht="14.25" hidden="1" customHeight="1">
      <c r="A2545" s="155">
        <v>14083053</v>
      </c>
      <c r="B2545" s="173" t="s">
        <v>327</v>
      </c>
      <c r="C2545" s="173" t="s">
        <v>5295</v>
      </c>
      <c r="D2545" s="173" t="s">
        <v>9299</v>
      </c>
      <c r="E2545" s="203">
        <v>42977</v>
      </c>
    </row>
    <row r="2546" spans="1:5" ht="14.25" hidden="1" customHeight="1">
      <c r="A2546" s="155">
        <v>14225522</v>
      </c>
      <c r="B2546" s="173" t="s">
        <v>3182</v>
      </c>
      <c r="C2546" s="173" t="s">
        <v>2218</v>
      </c>
      <c r="D2546" s="173" t="s">
        <v>9299</v>
      </c>
      <c r="E2546" s="203">
        <v>42977</v>
      </c>
    </row>
    <row r="2547" spans="1:5" ht="14.25" hidden="1" customHeight="1">
      <c r="A2547" s="155">
        <v>14226566</v>
      </c>
      <c r="B2547" s="173" t="s">
        <v>547</v>
      </c>
      <c r="C2547" s="173" t="s">
        <v>2827</v>
      </c>
      <c r="D2547" s="173" t="s">
        <v>9299</v>
      </c>
      <c r="E2547" s="203">
        <v>42977</v>
      </c>
    </row>
    <row r="2548" spans="1:5" ht="14.25" hidden="1" customHeight="1">
      <c r="A2548" s="155">
        <v>14251117</v>
      </c>
      <c r="B2548" s="173" t="s">
        <v>961</v>
      </c>
      <c r="C2548" s="173" t="s">
        <v>4968</v>
      </c>
      <c r="D2548" s="173" t="s">
        <v>9299</v>
      </c>
      <c r="E2548" s="203">
        <v>42977</v>
      </c>
    </row>
    <row r="2549" spans="1:5" ht="14.25" hidden="1" customHeight="1">
      <c r="A2549" s="155">
        <v>14660614</v>
      </c>
      <c r="B2549" s="173" t="s">
        <v>2355</v>
      </c>
      <c r="C2549" s="173" t="s">
        <v>7087</v>
      </c>
      <c r="D2549" s="173" t="s">
        <v>9299</v>
      </c>
      <c r="E2549" s="203">
        <v>42977</v>
      </c>
    </row>
    <row r="2550" spans="1:5" ht="14.25" hidden="1" customHeight="1">
      <c r="A2550" s="155">
        <v>14660801</v>
      </c>
      <c r="B2550" s="173" t="s">
        <v>680</v>
      </c>
      <c r="C2550" s="173" t="s">
        <v>2702</v>
      </c>
      <c r="D2550" s="173" t="s">
        <v>9299</v>
      </c>
      <c r="E2550" s="203">
        <v>42977</v>
      </c>
    </row>
    <row r="2551" spans="1:5" ht="14.25" hidden="1" customHeight="1">
      <c r="A2551" s="155">
        <v>14661637</v>
      </c>
      <c r="B2551" s="173" t="s">
        <v>308</v>
      </c>
      <c r="C2551" s="173" t="s">
        <v>3996</v>
      </c>
      <c r="D2551" s="173" t="s">
        <v>9299</v>
      </c>
      <c r="E2551" s="203">
        <v>42977</v>
      </c>
    </row>
    <row r="2552" spans="1:5" ht="14.25" hidden="1" customHeight="1">
      <c r="A2552" s="155">
        <v>15966562</v>
      </c>
      <c r="B2552" s="173" t="s">
        <v>1493</v>
      </c>
      <c r="C2552" s="173" t="s">
        <v>1494</v>
      </c>
      <c r="D2552" s="173" t="s">
        <v>9299</v>
      </c>
      <c r="E2552" s="203">
        <v>42977</v>
      </c>
    </row>
    <row r="2553" spans="1:5" ht="14.25" hidden="1" customHeight="1">
      <c r="A2553" s="155">
        <v>16091162</v>
      </c>
      <c r="B2553" s="173" t="s">
        <v>5866</v>
      </c>
      <c r="C2553" s="173" t="s">
        <v>5867</v>
      </c>
      <c r="D2553" s="173" t="s">
        <v>9299</v>
      </c>
      <c r="E2553" s="203">
        <v>42977</v>
      </c>
    </row>
    <row r="2554" spans="1:5" ht="14.25" hidden="1" customHeight="1">
      <c r="A2554" s="155">
        <v>16132114</v>
      </c>
      <c r="B2554" s="173" t="s">
        <v>1446</v>
      </c>
      <c r="C2554" s="173" t="s">
        <v>5493</v>
      </c>
      <c r="D2554" s="173" t="s">
        <v>9299</v>
      </c>
      <c r="E2554" s="203">
        <v>42977</v>
      </c>
    </row>
    <row r="2555" spans="1:5" ht="14.25" hidden="1" customHeight="1">
      <c r="A2555" s="155">
        <v>16132179</v>
      </c>
      <c r="B2555" s="173" t="s">
        <v>824</v>
      </c>
      <c r="C2555" s="173" t="s">
        <v>825</v>
      </c>
      <c r="D2555" s="173" t="s">
        <v>9299</v>
      </c>
      <c r="E2555" s="203">
        <v>42977</v>
      </c>
    </row>
    <row r="2556" spans="1:5" ht="14.25" hidden="1" customHeight="1">
      <c r="A2556" s="155">
        <v>16176626</v>
      </c>
      <c r="B2556" s="173" t="s">
        <v>2026</v>
      </c>
      <c r="C2556" s="173" t="s">
        <v>3993</v>
      </c>
      <c r="D2556" s="173" t="s">
        <v>9299</v>
      </c>
      <c r="E2556" s="203">
        <v>42977</v>
      </c>
    </row>
    <row r="2557" spans="1:5" ht="14.25" hidden="1" customHeight="1">
      <c r="A2557" s="155">
        <v>16176925</v>
      </c>
      <c r="B2557" s="173" t="s">
        <v>2740</v>
      </c>
      <c r="C2557" s="173" t="s">
        <v>2741</v>
      </c>
      <c r="D2557" s="173" t="s">
        <v>9299</v>
      </c>
      <c r="E2557" s="203">
        <v>42977</v>
      </c>
    </row>
    <row r="2558" spans="1:5" ht="14.25" hidden="1" customHeight="1">
      <c r="A2558" s="155">
        <v>16458234</v>
      </c>
      <c r="B2558" s="173" t="s">
        <v>2592</v>
      </c>
      <c r="C2558" s="173" t="s">
        <v>2593</v>
      </c>
      <c r="D2558" s="173" t="s">
        <v>9299</v>
      </c>
      <c r="E2558" s="203">
        <v>42977</v>
      </c>
    </row>
    <row r="2559" spans="1:5" ht="14.25" hidden="1" customHeight="1">
      <c r="A2559" s="155">
        <v>16686145</v>
      </c>
      <c r="B2559" s="173" t="s">
        <v>1793</v>
      </c>
      <c r="C2559" s="173" t="s">
        <v>5406</v>
      </c>
      <c r="D2559" s="173" t="s">
        <v>9299</v>
      </c>
      <c r="E2559" s="203">
        <v>42977</v>
      </c>
    </row>
    <row r="2560" spans="1:5" ht="14.25" hidden="1" customHeight="1">
      <c r="A2560" s="155">
        <v>16806479</v>
      </c>
      <c r="B2560" s="173" t="s">
        <v>774</v>
      </c>
      <c r="C2560" s="173" t="s">
        <v>6523</v>
      </c>
      <c r="D2560" s="173" t="s">
        <v>9299</v>
      </c>
      <c r="E2560" s="203">
        <v>42977</v>
      </c>
    </row>
    <row r="2561" spans="1:5" ht="14.25" hidden="1" customHeight="1">
      <c r="A2561" s="155">
        <v>16883300</v>
      </c>
      <c r="B2561" s="173" t="s">
        <v>7097</v>
      </c>
      <c r="C2561" s="173" t="s">
        <v>7098</v>
      </c>
      <c r="D2561" s="173" t="s">
        <v>9299</v>
      </c>
      <c r="E2561" s="203">
        <v>42977</v>
      </c>
    </row>
    <row r="2562" spans="1:5" ht="14.25" hidden="1" customHeight="1">
      <c r="A2562" s="155">
        <v>16932957</v>
      </c>
      <c r="B2562" s="173" t="s">
        <v>50</v>
      </c>
      <c r="C2562" s="173" t="s">
        <v>5043</v>
      </c>
      <c r="D2562" s="173" t="s">
        <v>9299</v>
      </c>
      <c r="E2562" s="203">
        <v>42977</v>
      </c>
    </row>
    <row r="2563" spans="1:5" ht="14.25" hidden="1" customHeight="1">
      <c r="A2563" s="155">
        <v>17040933</v>
      </c>
      <c r="B2563" s="173" t="s">
        <v>818</v>
      </c>
      <c r="C2563" s="173" t="s">
        <v>819</v>
      </c>
      <c r="D2563" s="173" t="s">
        <v>9299</v>
      </c>
      <c r="E2563" s="203">
        <v>42977</v>
      </c>
    </row>
    <row r="2564" spans="1:5" ht="14.25" hidden="1" customHeight="1">
      <c r="A2564" s="155">
        <v>17040933</v>
      </c>
      <c r="B2564" s="173" t="s">
        <v>818</v>
      </c>
      <c r="C2564" s="173" t="s">
        <v>819</v>
      </c>
      <c r="D2564" s="173" t="s">
        <v>9299</v>
      </c>
      <c r="E2564" s="203">
        <v>42977</v>
      </c>
    </row>
    <row r="2565" spans="1:5" ht="14.25" hidden="1" customHeight="1">
      <c r="A2565" s="155">
        <v>17523461</v>
      </c>
      <c r="B2565" s="173" t="s">
        <v>574</v>
      </c>
      <c r="C2565" s="173" t="s">
        <v>571</v>
      </c>
      <c r="D2565" s="173" t="s">
        <v>9299</v>
      </c>
      <c r="E2565" s="203">
        <v>42977</v>
      </c>
    </row>
    <row r="2566" spans="1:5" ht="14.25" hidden="1" customHeight="1">
      <c r="A2566" s="155">
        <v>17543711</v>
      </c>
      <c r="B2566" s="173" t="s">
        <v>195</v>
      </c>
      <c r="C2566" s="173" t="s">
        <v>296</v>
      </c>
      <c r="D2566" s="173" t="s">
        <v>9299</v>
      </c>
      <c r="E2566" s="203">
        <v>42977</v>
      </c>
    </row>
    <row r="2567" spans="1:5" ht="14.25" hidden="1" customHeight="1">
      <c r="A2567" s="155">
        <v>17614178</v>
      </c>
      <c r="B2567" s="173" t="s">
        <v>1787</v>
      </c>
      <c r="C2567" s="173" t="s">
        <v>3592</v>
      </c>
      <c r="D2567" s="173" t="s">
        <v>9299</v>
      </c>
      <c r="E2567" s="203">
        <v>42977</v>
      </c>
    </row>
    <row r="2568" spans="1:5" ht="14.25" hidden="1" customHeight="1">
      <c r="A2568" s="155">
        <v>17859007</v>
      </c>
      <c r="B2568" s="173" t="s">
        <v>5327</v>
      </c>
      <c r="C2568" s="173" t="s">
        <v>1521</v>
      </c>
      <c r="D2568" s="173" t="s">
        <v>9299</v>
      </c>
      <c r="E2568" s="203">
        <v>42977</v>
      </c>
    </row>
    <row r="2569" spans="1:5" ht="14.25" hidden="1" customHeight="1">
      <c r="A2569" s="155">
        <v>17859090</v>
      </c>
      <c r="B2569" s="173" t="s">
        <v>676</v>
      </c>
      <c r="C2569" s="173" t="s">
        <v>4854</v>
      </c>
      <c r="D2569" s="173" t="s">
        <v>9299</v>
      </c>
      <c r="E2569" s="203">
        <v>42977</v>
      </c>
    </row>
    <row r="2570" spans="1:5" ht="14.25" hidden="1" customHeight="1">
      <c r="A2570" s="155">
        <v>18230668</v>
      </c>
      <c r="B2570" s="173" t="s">
        <v>2375</v>
      </c>
      <c r="C2570" s="173" t="s">
        <v>2376</v>
      </c>
      <c r="D2570" s="173" t="s">
        <v>9299</v>
      </c>
      <c r="E2570" s="203">
        <v>42977</v>
      </c>
    </row>
    <row r="2571" spans="1:5" ht="14.25" hidden="1" customHeight="1">
      <c r="A2571" s="155">
        <v>18433501</v>
      </c>
      <c r="B2571" s="173" t="s">
        <v>2859</v>
      </c>
      <c r="C2571" s="173" t="s">
        <v>2860</v>
      </c>
      <c r="D2571" s="173" t="s">
        <v>9299</v>
      </c>
      <c r="E2571" s="203">
        <v>42977</v>
      </c>
    </row>
    <row r="2572" spans="1:5" ht="14.25" hidden="1" customHeight="1">
      <c r="A2572" s="155">
        <v>18566394</v>
      </c>
      <c r="B2572" s="173" t="s">
        <v>144</v>
      </c>
      <c r="C2572" s="173" t="s">
        <v>283</v>
      </c>
      <c r="D2572" s="173" t="s">
        <v>9299</v>
      </c>
      <c r="E2572" s="203">
        <v>42977</v>
      </c>
    </row>
    <row r="2573" spans="1:5" ht="14.25" hidden="1" customHeight="1">
      <c r="A2573" s="155">
        <v>20178158</v>
      </c>
      <c r="B2573" s="173" t="s">
        <v>5002</v>
      </c>
      <c r="C2573" s="173" t="s">
        <v>5009</v>
      </c>
      <c r="D2573" s="173" t="s">
        <v>9299</v>
      </c>
      <c r="E2573" s="203">
        <v>42977</v>
      </c>
    </row>
    <row r="2574" spans="1:5" ht="14.25" hidden="1" customHeight="1">
      <c r="A2574" s="155">
        <v>20178701</v>
      </c>
      <c r="B2574" s="173" t="s">
        <v>2598</v>
      </c>
      <c r="C2574" s="173" t="s">
        <v>2599</v>
      </c>
      <c r="D2574" s="173" t="s">
        <v>9299</v>
      </c>
      <c r="E2574" s="203">
        <v>42977</v>
      </c>
    </row>
    <row r="2575" spans="1:5" ht="14.25" hidden="1" customHeight="1">
      <c r="A2575" s="155">
        <v>20219100</v>
      </c>
      <c r="B2575" s="173" t="s">
        <v>875</v>
      </c>
      <c r="C2575" s="173" t="s">
        <v>5137</v>
      </c>
      <c r="D2575" s="173" t="s">
        <v>9299</v>
      </c>
      <c r="E2575" s="203">
        <v>42977</v>
      </c>
    </row>
    <row r="2576" spans="1:5" ht="14.25" hidden="1" customHeight="1">
      <c r="A2576" s="155">
        <v>20284448</v>
      </c>
      <c r="B2576" s="173" t="s">
        <v>5213</v>
      </c>
      <c r="C2576" s="173" t="s">
        <v>5214</v>
      </c>
      <c r="D2576" s="173" t="s">
        <v>9299</v>
      </c>
      <c r="E2576" s="203">
        <v>42977</v>
      </c>
    </row>
    <row r="2577" spans="1:5" ht="14.25" hidden="1" customHeight="1">
      <c r="A2577" s="155">
        <v>20301219</v>
      </c>
      <c r="B2577" s="173" t="s">
        <v>5140</v>
      </c>
      <c r="C2577" s="173" t="s">
        <v>5141</v>
      </c>
      <c r="D2577" s="173" t="s">
        <v>9299</v>
      </c>
      <c r="E2577" s="203">
        <v>42977</v>
      </c>
    </row>
    <row r="2578" spans="1:5" ht="14.25" hidden="1" customHeight="1">
      <c r="A2578" s="155">
        <v>20398681</v>
      </c>
      <c r="B2578" s="173" t="s">
        <v>1774</v>
      </c>
      <c r="C2578" s="173" t="s">
        <v>1775</v>
      </c>
      <c r="D2578" s="173" t="s">
        <v>9299</v>
      </c>
      <c r="E2578" s="203">
        <v>42977</v>
      </c>
    </row>
    <row r="2579" spans="1:5" ht="14.25" hidden="1" customHeight="1">
      <c r="A2579" s="155">
        <v>20759438</v>
      </c>
      <c r="B2579" s="173" t="s">
        <v>350</v>
      </c>
      <c r="C2579" s="173" t="s">
        <v>5656</v>
      </c>
      <c r="D2579" s="173" t="s">
        <v>9299</v>
      </c>
      <c r="E2579" s="203">
        <v>42977</v>
      </c>
    </row>
    <row r="2580" spans="1:5" ht="14.25" hidden="1" customHeight="1">
      <c r="A2580" s="155">
        <v>20857513</v>
      </c>
      <c r="B2580" s="173" t="s">
        <v>7088</v>
      </c>
      <c r="C2580" s="173" t="s">
        <v>7089</v>
      </c>
      <c r="D2580" s="173" t="s">
        <v>9299</v>
      </c>
      <c r="E2580" s="203">
        <v>42977</v>
      </c>
    </row>
    <row r="2581" spans="1:5" ht="14.25" hidden="1" customHeight="1">
      <c r="A2581" s="155">
        <v>20884030</v>
      </c>
      <c r="B2581" s="173" t="s">
        <v>2876</v>
      </c>
      <c r="C2581" s="173" t="s">
        <v>27</v>
      </c>
      <c r="D2581" s="173" t="s">
        <v>9299</v>
      </c>
      <c r="E2581" s="203">
        <v>42977</v>
      </c>
    </row>
    <row r="2582" spans="1:5" ht="14.25" hidden="1" customHeight="1">
      <c r="A2582" s="155">
        <v>21054719</v>
      </c>
      <c r="B2582" s="173" t="s">
        <v>1093</v>
      </c>
      <c r="C2582" s="173" t="s">
        <v>5023</v>
      </c>
      <c r="D2582" s="173" t="s">
        <v>9299</v>
      </c>
      <c r="E2582" s="203">
        <v>42977</v>
      </c>
    </row>
    <row r="2583" spans="1:5" ht="14.25" hidden="1" customHeight="1">
      <c r="A2583" s="155">
        <v>21086112</v>
      </c>
      <c r="B2583" s="173" t="s">
        <v>2087</v>
      </c>
      <c r="C2583" s="173" t="s">
        <v>2896</v>
      </c>
      <c r="D2583" s="173" t="s">
        <v>9299</v>
      </c>
      <c r="E2583" s="203">
        <v>42977</v>
      </c>
    </row>
    <row r="2584" spans="1:5" ht="14.25" hidden="1" customHeight="1">
      <c r="A2584" s="155">
        <v>21320060</v>
      </c>
      <c r="B2584" s="173" t="s">
        <v>5133</v>
      </c>
      <c r="C2584" s="173" t="s">
        <v>5134</v>
      </c>
      <c r="D2584" s="173" t="s">
        <v>9299</v>
      </c>
      <c r="E2584" s="203">
        <v>42977</v>
      </c>
    </row>
    <row r="2585" spans="1:5" ht="14.25" hidden="1" customHeight="1">
      <c r="A2585" s="155">
        <v>21329143</v>
      </c>
      <c r="B2585" s="173" t="s">
        <v>511</v>
      </c>
      <c r="C2585" s="173" t="s">
        <v>2830</v>
      </c>
      <c r="D2585" s="173" t="s">
        <v>9299</v>
      </c>
      <c r="E2585" s="203">
        <v>42977</v>
      </c>
    </row>
    <row r="2586" spans="1:5" ht="14.25" hidden="1" customHeight="1">
      <c r="A2586" s="155">
        <v>21823138</v>
      </c>
      <c r="B2586" s="173" t="s">
        <v>2840</v>
      </c>
      <c r="C2586" s="173" t="s">
        <v>2841</v>
      </c>
      <c r="D2586" s="173" t="s">
        <v>9299</v>
      </c>
      <c r="E2586" s="203">
        <v>42977</v>
      </c>
    </row>
    <row r="2587" spans="1:5" ht="14.25" hidden="1" customHeight="1">
      <c r="A2587" s="155">
        <v>21829343</v>
      </c>
      <c r="B2587" s="173" t="s">
        <v>2722</v>
      </c>
      <c r="C2587" s="173" t="s">
        <v>2723</v>
      </c>
      <c r="D2587" s="173" t="s">
        <v>9299</v>
      </c>
      <c r="E2587" s="203">
        <v>42977</v>
      </c>
    </row>
    <row r="2588" spans="1:5" ht="14.25" hidden="1" customHeight="1">
      <c r="A2588" s="155">
        <v>22211664</v>
      </c>
      <c r="B2588" s="173" t="s">
        <v>5551</v>
      </c>
      <c r="C2588" s="173" t="s">
        <v>5552</v>
      </c>
      <c r="D2588" s="173" t="s">
        <v>9299</v>
      </c>
      <c r="E2588" s="203">
        <v>42977</v>
      </c>
    </row>
    <row r="2589" spans="1:5" ht="14.25" hidden="1" customHeight="1">
      <c r="A2589" s="155">
        <v>22264316</v>
      </c>
      <c r="B2589" s="173" t="s">
        <v>2687</v>
      </c>
      <c r="C2589" s="173" t="s">
        <v>2688</v>
      </c>
      <c r="D2589" s="173" t="s">
        <v>9299</v>
      </c>
      <c r="E2589" s="203">
        <v>42977</v>
      </c>
    </row>
    <row r="2590" spans="1:5" ht="14.25" hidden="1" customHeight="1">
      <c r="A2590" s="155">
        <v>22264981</v>
      </c>
      <c r="B2590" s="173" t="s">
        <v>5885</v>
      </c>
      <c r="C2590" s="173" t="s">
        <v>5886</v>
      </c>
      <c r="D2590" s="173" t="s">
        <v>9299</v>
      </c>
      <c r="E2590" s="203">
        <v>42977</v>
      </c>
    </row>
    <row r="2591" spans="1:5" ht="14.25" hidden="1" customHeight="1">
      <c r="A2591" s="155">
        <v>22303060</v>
      </c>
      <c r="B2591" s="173" t="s">
        <v>6270</v>
      </c>
      <c r="C2591" s="173" t="s">
        <v>233</v>
      </c>
      <c r="D2591" s="173" t="s">
        <v>9299</v>
      </c>
      <c r="E2591" s="203">
        <v>42977</v>
      </c>
    </row>
    <row r="2592" spans="1:5" ht="14.25" hidden="1" customHeight="1">
      <c r="A2592" s="155">
        <v>22336712</v>
      </c>
      <c r="B2592" s="173" t="s">
        <v>5262</v>
      </c>
      <c r="C2592" s="173" t="s">
        <v>7090</v>
      </c>
      <c r="D2592" s="173" t="s">
        <v>9299</v>
      </c>
      <c r="E2592" s="203">
        <v>42977</v>
      </c>
    </row>
    <row r="2593" spans="1:5" ht="14.25" hidden="1" customHeight="1">
      <c r="A2593" s="155">
        <v>22429208</v>
      </c>
      <c r="B2593" s="173" t="s">
        <v>5245</v>
      </c>
      <c r="C2593" s="173" t="s">
        <v>7094</v>
      </c>
      <c r="D2593" s="173" t="s">
        <v>9299</v>
      </c>
      <c r="E2593" s="203">
        <v>42977</v>
      </c>
    </row>
    <row r="2594" spans="1:5" ht="14.25" hidden="1" customHeight="1">
      <c r="A2594" s="155">
        <v>22877708</v>
      </c>
      <c r="B2594" s="173" t="s">
        <v>2709</v>
      </c>
      <c r="C2594" s="173" t="s">
        <v>2710</v>
      </c>
      <c r="D2594" s="173" t="s">
        <v>9299</v>
      </c>
      <c r="E2594" s="203">
        <v>42977</v>
      </c>
    </row>
    <row r="2595" spans="1:5" ht="14.25" hidden="1" customHeight="1">
      <c r="A2595" s="155">
        <v>23117670</v>
      </c>
      <c r="B2595" s="173" t="s">
        <v>4994</v>
      </c>
      <c r="C2595" s="173" t="s">
        <v>5734</v>
      </c>
      <c r="D2595" s="173" t="s">
        <v>9299</v>
      </c>
      <c r="E2595" s="203">
        <v>42977</v>
      </c>
    </row>
    <row r="2596" spans="1:5" ht="14.25" hidden="1" customHeight="1">
      <c r="A2596" s="155">
        <v>23319971</v>
      </c>
      <c r="B2596" s="173" t="s">
        <v>2294</v>
      </c>
      <c r="C2596" s="173" t="s">
        <v>3163</v>
      </c>
      <c r="D2596" s="173" t="s">
        <v>9299</v>
      </c>
      <c r="E2596" s="203">
        <v>42977</v>
      </c>
    </row>
    <row r="2597" spans="1:5" ht="14.25" hidden="1" customHeight="1">
      <c r="A2597" s="155">
        <v>23931856</v>
      </c>
      <c r="B2597" s="173" t="s">
        <v>5210</v>
      </c>
      <c r="C2597" s="173" t="s">
        <v>4341</v>
      </c>
      <c r="D2597" s="173" t="s">
        <v>9299</v>
      </c>
      <c r="E2597" s="203">
        <v>42977</v>
      </c>
    </row>
    <row r="2598" spans="1:5" ht="14.25" hidden="1" customHeight="1">
      <c r="A2598" s="155">
        <v>23984466</v>
      </c>
      <c r="B2598" s="173" t="s">
        <v>5611</v>
      </c>
      <c r="C2598" s="173" t="s">
        <v>215</v>
      </c>
      <c r="D2598" s="173" t="s">
        <v>9299</v>
      </c>
      <c r="E2598" s="203">
        <v>42977</v>
      </c>
    </row>
    <row r="2599" spans="1:5" ht="14.25" hidden="1" customHeight="1">
      <c r="A2599" s="155">
        <v>24338410</v>
      </c>
      <c r="B2599" s="173" t="s">
        <v>5849</v>
      </c>
      <c r="C2599" s="173" t="s">
        <v>455</v>
      </c>
      <c r="D2599" s="173" t="s">
        <v>9299</v>
      </c>
      <c r="E2599" s="203">
        <v>42977</v>
      </c>
    </row>
    <row r="2600" spans="1:5" ht="14.25" hidden="1" customHeight="1">
      <c r="A2600" s="155">
        <v>24409715</v>
      </c>
      <c r="B2600" s="173" t="s">
        <v>4566</v>
      </c>
      <c r="C2600" s="173" t="s">
        <v>5191</v>
      </c>
      <c r="D2600" s="173" t="s">
        <v>9299</v>
      </c>
      <c r="E2600" s="203">
        <v>42977</v>
      </c>
    </row>
    <row r="2601" spans="1:5" ht="14.25" hidden="1" customHeight="1">
      <c r="A2601" s="155">
        <v>24553319</v>
      </c>
      <c r="B2601" s="173" t="s">
        <v>1364</v>
      </c>
      <c r="C2601" s="173" t="s">
        <v>5705</v>
      </c>
      <c r="D2601" s="173" t="s">
        <v>9299</v>
      </c>
      <c r="E2601" s="203">
        <v>42977</v>
      </c>
    </row>
    <row r="2602" spans="1:5" ht="14.25" hidden="1" customHeight="1">
      <c r="A2602" s="155">
        <v>24553486</v>
      </c>
      <c r="B2602" s="173" t="s">
        <v>94</v>
      </c>
      <c r="C2602" s="173" t="s">
        <v>427</v>
      </c>
      <c r="D2602" s="173" t="s">
        <v>9299</v>
      </c>
      <c r="E2602" s="203">
        <v>42977</v>
      </c>
    </row>
    <row r="2603" spans="1:5" ht="14.25" hidden="1" customHeight="1">
      <c r="A2603" s="155">
        <v>24671172</v>
      </c>
      <c r="B2603" s="173" t="s">
        <v>315</v>
      </c>
      <c r="C2603" s="173" t="s">
        <v>2902</v>
      </c>
      <c r="D2603" s="173" t="s">
        <v>9299</v>
      </c>
      <c r="E2603" s="203">
        <v>42977</v>
      </c>
    </row>
    <row r="2604" spans="1:5" ht="14.25" hidden="1" customHeight="1">
      <c r="A2604" s="155">
        <v>24802284</v>
      </c>
      <c r="B2604" s="173" t="s">
        <v>1613</v>
      </c>
      <c r="C2604" s="173" t="s">
        <v>455</v>
      </c>
      <c r="D2604" s="173" t="s">
        <v>9299</v>
      </c>
      <c r="E2604" s="203">
        <v>42977</v>
      </c>
    </row>
    <row r="2605" spans="1:5" ht="14.25" hidden="1" customHeight="1">
      <c r="A2605" s="155">
        <v>24802894</v>
      </c>
      <c r="B2605" s="173" t="s">
        <v>4407</v>
      </c>
      <c r="C2605" s="173" t="s">
        <v>5227</v>
      </c>
      <c r="D2605" s="173" t="s">
        <v>9299</v>
      </c>
      <c r="E2605" s="203">
        <v>42977</v>
      </c>
    </row>
    <row r="2606" spans="1:5" ht="14.25" hidden="1" customHeight="1">
      <c r="A2606" s="155">
        <v>25380568</v>
      </c>
      <c r="B2606" s="173" t="s">
        <v>1823</v>
      </c>
      <c r="C2606" s="173" t="s">
        <v>2753</v>
      </c>
      <c r="D2606" s="173" t="s">
        <v>9299</v>
      </c>
      <c r="E2606" s="203">
        <v>42977</v>
      </c>
    </row>
    <row r="2607" spans="1:5" ht="14.25" hidden="1" customHeight="1">
      <c r="A2607" s="155">
        <v>25498993</v>
      </c>
      <c r="B2607" s="173" t="s">
        <v>511</v>
      </c>
      <c r="C2607" s="173" t="s">
        <v>5871</v>
      </c>
      <c r="D2607" s="173" t="s">
        <v>9299</v>
      </c>
      <c r="E2607" s="203">
        <v>42977</v>
      </c>
    </row>
    <row r="2608" spans="1:5" ht="14.25" hidden="1" customHeight="1">
      <c r="A2608" s="155">
        <v>25510655</v>
      </c>
      <c r="B2608" s="173" t="s">
        <v>5589</v>
      </c>
      <c r="C2608" s="173" t="s">
        <v>1453</v>
      </c>
      <c r="D2608" s="173" t="s">
        <v>9299</v>
      </c>
      <c r="E2608" s="203">
        <v>42977</v>
      </c>
    </row>
    <row r="2609" spans="1:5" ht="14.25" hidden="1" customHeight="1">
      <c r="A2609" s="155">
        <v>25709455</v>
      </c>
      <c r="B2609" s="173" t="s">
        <v>5643</v>
      </c>
      <c r="C2609" s="173" t="s">
        <v>5644</v>
      </c>
      <c r="D2609" s="173" t="s">
        <v>9299</v>
      </c>
      <c r="E2609" s="203">
        <v>42977</v>
      </c>
    </row>
    <row r="2610" spans="1:5" ht="14.25" hidden="1" customHeight="1">
      <c r="A2610" s="155">
        <v>25735768</v>
      </c>
      <c r="B2610" s="173" t="s">
        <v>5718</v>
      </c>
      <c r="C2610" s="173" t="s">
        <v>7096</v>
      </c>
      <c r="D2610" s="173" t="s">
        <v>9299</v>
      </c>
      <c r="E2610" s="203">
        <v>42977</v>
      </c>
    </row>
    <row r="2611" spans="1:5" ht="14.25" hidden="1" customHeight="1">
      <c r="A2611" s="155">
        <v>25843849</v>
      </c>
      <c r="B2611" s="173" t="s">
        <v>3126</v>
      </c>
      <c r="C2611" s="173" t="s">
        <v>1520</v>
      </c>
      <c r="D2611" s="173" t="s">
        <v>9299</v>
      </c>
      <c r="E2611" s="203">
        <v>42977</v>
      </c>
    </row>
    <row r="2612" spans="1:5" ht="14.25" hidden="1" customHeight="1">
      <c r="A2612" s="155">
        <v>25922947</v>
      </c>
      <c r="B2612" s="173" t="s">
        <v>4974</v>
      </c>
      <c r="C2612" s="173" t="s">
        <v>4130</v>
      </c>
      <c r="D2612" s="173" t="s">
        <v>9299</v>
      </c>
      <c r="E2612" s="203">
        <v>42977</v>
      </c>
    </row>
    <row r="2613" spans="1:5" ht="14.25" hidden="1" customHeight="1">
      <c r="A2613" s="155">
        <v>26013921</v>
      </c>
      <c r="B2613" s="173" t="s">
        <v>789</v>
      </c>
      <c r="C2613" s="173" t="s">
        <v>1353</v>
      </c>
      <c r="D2613" s="173" t="s">
        <v>9299</v>
      </c>
      <c r="E2613" s="203">
        <v>42977</v>
      </c>
    </row>
    <row r="2614" spans="1:5" ht="14.25" hidden="1" customHeight="1">
      <c r="A2614" s="155">
        <v>26277267</v>
      </c>
      <c r="B2614" s="173" t="s">
        <v>428</v>
      </c>
      <c r="C2614" s="173" t="s">
        <v>5700</v>
      </c>
      <c r="D2614" s="173" t="s">
        <v>9299</v>
      </c>
      <c r="E2614" s="203">
        <v>42977</v>
      </c>
    </row>
    <row r="2615" spans="1:5" ht="14.25" hidden="1" customHeight="1">
      <c r="A2615" s="155">
        <v>26446257</v>
      </c>
      <c r="B2615" s="173" t="s">
        <v>5425</v>
      </c>
      <c r="C2615" s="173" t="s">
        <v>5426</v>
      </c>
      <c r="D2615" s="173" t="s">
        <v>9299</v>
      </c>
      <c r="E2615" s="203">
        <v>42977</v>
      </c>
    </row>
    <row r="2616" spans="1:5" ht="14.25" hidden="1" customHeight="1">
      <c r="A2616" s="155">
        <v>26455841</v>
      </c>
      <c r="B2616" s="173" t="s">
        <v>608</v>
      </c>
      <c r="C2616" s="173" t="s">
        <v>1634</v>
      </c>
      <c r="D2616" s="173" t="s">
        <v>9299</v>
      </c>
      <c r="E2616" s="203">
        <v>42977</v>
      </c>
    </row>
    <row r="2617" spans="1:5" ht="14.25" hidden="1" customHeight="1">
      <c r="A2617" s="155">
        <v>26684318</v>
      </c>
      <c r="B2617" s="173" t="s">
        <v>2742</v>
      </c>
      <c r="C2617" s="173" t="s">
        <v>2743</v>
      </c>
      <c r="D2617" s="173" t="s">
        <v>9299</v>
      </c>
      <c r="E2617" s="203">
        <v>42977</v>
      </c>
    </row>
    <row r="2618" spans="1:5" ht="14.25" hidden="1" customHeight="1">
      <c r="A2618" s="155">
        <v>27210323</v>
      </c>
      <c r="B2618" s="173" t="s">
        <v>2679</v>
      </c>
      <c r="C2618" s="173" t="s">
        <v>2680</v>
      </c>
      <c r="D2618" s="173" t="s">
        <v>9299</v>
      </c>
      <c r="E2618" s="203">
        <v>42977</v>
      </c>
    </row>
    <row r="2619" spans="1:5" ht="14.25" hidden="1" customHeight="1">
      <c r="A2619" s="155">
        <v>27365353</v>
      </c>
      <c r="B2619" s="173" t="s">
        <v>5732</v>
      </c>
      <c r="C2619" s="173" t="s">
        <v>5733</v>
      </c>
      <c r="D2619" s="173" t="s">
        <v>9299</v>
      </c>
      <c r="E2619" s="203">
        <v>42977</v>
      </c>
    </row>
    <row r="2620" spans="1:5" ht="14.25" hidden="1" customHeight="1">
      <c r="A2620" s="155">
        <v>27594473</v>
      </c>
      <c r="B2620" s="173" t="s">
        <v>1906</v>
      </c>
      <c r="C2620" s="173" t="s">
        <v>1003</v>
      </c>
      <c r="D2620" s="173" t="s">
        <v>9299</v>
      </c>
      <c r="E2620" s="203">
        <v>42977</v>
      </c>
    </row>
    <row r="2621" spans="1:5" ht="14.25" hidden="1" customHeight="1">
      <c r="A2621" s="155">
        <v>27595246</v>
      </c>
      <c r="B2621" s="173" t="s">
        <v>6312</v>
      </c>
      <c r="C2621" s="173" t="s">
        <v>328</v>
      </c>
      <c r="D2621" s="173" t="s">
        <v>9299</v>
      </c>
      <c r="E2621" s="203">
        <v>42977</v>
      </c>
    </row>
    <row r="2622" spans="1:5" ht="14.25" hidden="1" customHeight="1">
      <c r="A2622" s="155">
        <v>28223634</v>
      </c>
      <c r="B2622" s="173" t="s">
        <v>5312</v>
      </c>
      <c r="C2622" s="173" t="s">
        <v>2123</v>
      </c>
      <c r="D2622" s="173" t="s">
        <v>9299</v>
      </c>
      <c r="E2622" s="203">
        <v>42977</v>
      </c>
    </row>
    <row r="2623" spans="1:5" ht="14.25" hidden="1" customHeight="1">
      <c r="A2623" s="155">
        <v>28223716</v>
      </c>
      <c r="B2623" s="173" t="s">
        <v>2889</v>
      </c>
      <c r="C2623" s="173" t="s">
        <v>2678</v>
      </c>
      <c r="D2623" s="173" t="s">
        <v>9299</v>
      </c>
      <c r="E2623" s="203">
        <v>42977</v>
      </c>
    </row>
    <row r="2624" spans="1:5" ht="14.25" hidden="1" customHeight="1">
      <c r="A2624" s="155">
        <v>29183945</v>
      </c>
      <c r="B2624" s="173" t="s">
        <v>2731</v>
      </c>
      <c r="C2624" s="173" t="s">
        <v>2732</v>
      </c>
      <c r="D2624" s="173" t="s">
        <v>9299</v>
      </c>
      <c r="E2624" s="203">
        <v>42977</v>
      </c>
    </row>
    <row r="2625" spans="1:5" ht="14.25" hidden="1" customHeight="1">
      <c r="A2625" s="155">
        <v>29997496</v>
      </c>
      <c r="B2625" s="173" t="s">
        <v>5318</v>
      </c>
      <c r="C2625" s="173" t="s">
        <v>5319</v>
      </c>
      <c r="D2625" s="173" t="s">
        <v>9299</v>
      </c>
      <c r="E2625" s="203">
        <v>42977</v>
      </c>
    </row>
    <row r="2626" spans="1:5" ht="14.25" hidden="1" customHeight="1">
      <c r="A2626" s="155">
        <v>30069677</v>
      </c>
      <c r="B2626" s="173" t="s">
        <v>2612</v>
      </c>
      <c r="C2626" s="173" t="s">
        <v>2613</v>
      </c>
      <c r="D2626" s="173" t="s">
        <v>9299</v>
      </c>
      <c r="E2626" s="203">
        <v>42977</v>
      </c>
    </row>
    <row r="2627" spans="1:5" ht="14.25" hidden="1" customHeight="1">
      <c r="A2627" s="155">
        <v>30408472</v>
      </c>
      <c r="B2627" s="173" t="s">
        <v>5204</v>
      </c>
      <c r="C2627" s="173" t="s">
        <v>5205</v>
      </c>
      <c r="D2627" s="173" t="s">
        <v>9299</v>
      </c>
      <c r="E2627" s="203">
        <v>42977</v>
      </c>
    </row>
    <row r="2628" spans="1:5" ht="14.25" hidden="1" customHeight="1">
      <c r="A2628" s="155">
        <v>31127367</v>
      </c>
      <c r="B2628" s="173" t="s">
        <v>690</v>
      </c>
      <c r="C2628" s="173" t="s">
        <v>7093</v>
      </c>
      <c r="D2628" s="173" t="s">
        <v>9299</v>
      </c>
      <c r="E2628" s="203">
        <v>42977</v>
      </c>
    </row>
    <row r="2629" spans="1:5" ht="14.25" hidden="1" customHeight="1">
      <c r="A2629" s="155">
        <v>31253897</v>
      </c>
      <c r="B2629" s="173" t="s">
        <v>5415</v>
      </c>
      <c r="C2629" s="173" t="s">
        <v>30</v>
      </c>
      <c r="D2629" s="173" t="s">
        <v>9299</v>
      </c>
      <c r="E2629" s="203">
        <v>42977</v>
      </c>
    </row>
    <row r="2630" spans="1:5" ht="14.25" hidden="1" customHeight="1">
      <c r="A2630" s="155">
        <v>31842029</v>
      </c>
      <c r="B2630" s="173" t="s">
        <v>5233</v>
      </c>
      <c r="C2630" s="173" t="s">
        <v>5234</v>
      </c>
      <c r="D2630" s="173" t="s">
        <v>9299</v>
      </c>
      <c r="E2630" s="203">
        <v>42977</v>
      </c>
    </row>
    <row r="2631" spans="1:5" ht="14.25" hidden="1" customHeight="1">
      <c r="A2631" s="155">
        <v>32115802</v>
      </c>
      <c r="B2631" s="173" t="s">
        <v>2718</v>
      </c>
      <c r="C2631" s="173" t="s">
        <v>2719</v>
      </c>
      <c r="D2631" s="173" t="s">
        <v>9299</v>
      </c>
      <c r="E2631" s="203">
        <v>42977</v>
      </c>
    </row>
    <row r="2632" spans="1:5" ht="14.25" hidden="1" customHeight="1">
      <c r="A2632" s="155">
        <v>32201633</v>
      </c>
      <c r="B2632" s="173" t="s">
        <v>327</v>
      </c>
      <c r="C2632" s="173" t="s">
        <v>3793</v>
      </c>
      <c r="D2632" s="173" t="s">
        <v>9299</v>
      </c>
      <c r="E2632" s="203">
        <v>42977</v>
      </c>
    </row>
    <row r="2633" spans="1:5" ht="14.25" hidden="1" customHeight="1">
      <c r="A2633" s="155">
        <v>32408684</v>
      </c>
      <c r="B2633" s="173" t="s">
        <v>927</v>
      </c>
      <c r="C2633" s="173" t="s">
        <v>6520</v>
      </c>
      <c r="D2633" s="173" t="s">
        <v>9299</v>
      </c>
      <c r="E2633" s="203">
        <v>42977</v>
      </c>
    </row>
    <row r="2634" spans="1:5" ht="14.25" hidden="1" customHeight="1">
      <c r="A2634" s="155">
        <v>32412209</v>
      </c>
      <c r="B2634" s="173" t="s">
        <v>2834</v>
      </c>
      <c r="C2634" s="173" t="s">
        <v>2835</v>
      </c>
      <c r="D2634" s="173" t="s">
        <v>9299</v>
      </c>
      <c r="E2634" s="203">
        <v>42977</v>
      </c>
    </row>
    <row r="2635" spans="1:5" ht="14.25" hidden="1" customHeight="1">
      <c r="A2635" s="155">
        <v>32460837</v>
      </c>
      <c r="B2635" s="173" t="s">
        <v>4112</v>
      </c>
      <c r="C2635" s="173" t="s">
        <v>5341</v>
      </c>
      <c r="D2635" s="173" t="s">
        <v>9299</v>
      </c>
      <c r="E2635" s="203">
        <v>42977</v>
      </c>
    </row>
    <row r="2636" spans="1:5" ht="14.25" hidden="1" customHeight="1">
      <c r="A2636" s="155">
        <v>33139281</v>
      </c>
      <c r="B2636" s="173" t="s">
        <v>1549</v>
      </c>
      <c r="C2636" s="173" t="s">
        <v>5079</v>
      </c>
      <c r="D2636" s="173" t="s">
        <v>9299</v>
      </c>
      <c r="E2636" s="203">
        <v>42977</v>
      </c>
    </row>
    <row r="2637" spans="1:5" ht="14.25" hidden="1" customHeight="1">
      <c r="A2637" s="155">
        <v>33430063</v>
      </c>
      <c r="B2637" s="173" t="s">
        <v>7092</v>
      </c>
      <c r="C2637" s="173" t="s">
        <v>2909</v>
      </c>
      <c r="D2637" s="173" t="s">
        <v>9299</v>
      </c>
      <c r="E2637" s="203">
        <v>42977</v>
      </c>
    </row>
    <row r="2638" spans="1:5" ht="14.25" hidden="1" customHeight="1">
      <c r="A2638" s="155">
        <v>33541793</v>
      </c>
      <c r="B2638" s="173" t="s">
        <v>1244</v>
      </c>
      <c r="C2638" s="173" t="s">
        <v>906</v>
      </c>
      <c r="D2638" s="173" t="s">
        <v>9299</v>
      </c>
      <c r="E2638" s="203">
        <v>42977</v>
      </c>
    </row>
    <row r="2639" spans="1:5" ht="14.25" hidden="1" customHeight="1">
      <c r="A2639" s="155">
        <v>33818840</v>
      </c>
      <c r="B2639" s="173" t="s">
        <v>5846</v>
      </c>
      <c r="C2639" s="173" t="s">
        <v>7095</v>
      </c>
      <c r="D2639" s="173" t="s">
        <v>9299</v>
      </c>
      <c r="E2639" s="203">
        <v>42977</v>
      </c>
    </row>
    <row r="2640" spans="1:5" ht="14.25" hidden="1" customHeight="1">
      <c r="A2640" s="155">
        <v>33977015</v>
      </c>
      <c r="B2640" s="173" t="s">
        <v>472</v>
      </c>
      <c r="C2640" s="173" t="s">
        <v>5721</v>
      </c>
      <c r="D2640" s="173" t="s">
        <v>9299</v>
      </c>
      <c r="E2640" s="203">
        <v>42977</v>
      </c>
    </row>
    <row r="2641" spans="1:5" ht="14.25" hidden="1" customHeight="1">
      <c r="A2641" s="155">
        <v>36584270</v>
      </c>
      <c r="B2641" s="173" t="s">
        <v>5878</v>
      </c>
      <c r="C2641" s="173" t="s">
        <v>5879</v>
      </c>
      <c r="D2641" s="173" t="s">
        <v>9299</v>
      </c>
      <c r="E2641" s="203">
        <v>42977</v>
      </c>
    </row>
    <row r="2642" spans="1:5" ht="14.25" hidden="1" customHeight="1">
      <c r="A2642" s="155">
        <v>37309766</v>
      </c>
      <c r="B2642" s="173" t="s">
        <v>547</v>
      </c>
      <c r="C2642" s="173" t="s">
        <v>5851</v>
      </c>
      <c r="D2642" s="173" t="s">
        <v>9299</v>
      </c>
      <c r="E2642" s="203">
        <v>42977</v>
      </c>
    </row>
    <row r="2643" spans="1:5" ht="14.25" hidden="1" customHeight="1">
      <c r="A2643" s="155">
        <v>37456249</v>
      </c>
      <c r="B2643" s="173" t="s">
        <v>5409</v>
      </c>
      <c r="C2643" s="173" t="s">
        <v>5410</v>
      </c>
      <c r="D2643" s="173" t="s">
        <v>9299</v>
      </c>
      <c r="E2643" s="203">
        <v>42977</v>
      </c>
    </row>
    <row r="2644" spans="1:5" ht="14.25" hidden="1" customHeight="1">
      <c r="A2644" s="155">
        <v>37511447</v>
      </c>
      <c r="B2644" s="173" t="s">
        <v>2725</v>
      </c>
      <c r="C2644" s="173" t="s">
        <v>2726</v>
      </c>
      <c r="D2644" s="173" t="s">
        <v>9299</v>
      </c>
      <c r="E2644" s="203">
        <v>42977</v>
      </c>
    </row>
    <row r="2645" spans="1:5" ht="14.25" hidden="1" customHeight="1">
      <c r="A2645" s="16">
        <v>10950023</v>
      </c>
      <c r="B2645" s="17" t="s">
        <v>2825</v>
      </c>
      <c r="C2645" s="17" t="s">
        <v>2826</v>
      </c>
      <c r="D2645" s="5" t="s">
        <v>7086</v>
      </c>
      <c r="E2645" s="35">
        <v>42977</v>
      </c>
    </row>
    <row r="2646" spans="1:5" ht="14.25" hidden="1" customHeight="1">
      <c r="A2646" s="16">
        <v>11322668</v>
      </c>
      <c r="B2646" s="17" t="s">
        <v>1565</v>
      </c>
      <c r="C2646" s="17" t="s">
        <v>2751</v>
      </c>
      <c r="D2646" s="5" t="s">
        <v>7086</v>
      </c>
      <c r="E2646" s="35">
        <v>42977</v>
      </c>
    </row>
    <row r="2647" spans="1:5" ht="14.25" hidden="1" customHeight="1">
      <c r="A2647" s="16">
        <v>11475297</v>
      </c>
      <c r="B2647" s="17" t="s">
        <v>5503</v>
      </c>
      <c r="C2647" s="17" t="s">
        <v>5504</v>
      </c>
      <c r="D2647" s="5" t="s">
        <v>7086</v>
      </c>
      <c r="E2647" s="35">
        <v>42977</v>
      </c>
    </row>
    <row r="2648" spans="1:5" ht="14.25" hidden="1" customHeight="1">
      <c r="A2648" s="16">
        <v>12414243</v>
      </c>
      <c r="B2648" s="17" t="s">
        <v>4014</v>
      </c>
      <c r="C2648" s="17" t="s">
        <v>5294</v>
      </c>
      <c r="D2648" s="5" t="s">
        <v>7086</v>
      </c>
      <c r="E2648" s="35">
        <v>42977</v>
      </c>
    </row>
    <row r="2649" spans="1:5" ht="14.25" hidden="1" customHeight="1">
      <c r="A2649" s="16">
        <v>12414762</v>
      </c>
      <c r="B2649" s="17" t="s">
        <v>5679</v>
      </c>
      <c r="C2649" s="17" t="s">
        <v>2218</v>
      </c>
      <c r="D2649" s="5" t="s">
        <v>7086</v>
      </c>
      <c r="E2649" s="35">
        <v>42977</v>
      </c>
    </row>
    <row r="2650" spans="1:5" ht="14.25" hidden="1" customHeight="1">
      <c r="A2650" s="16">
        <v>12606192</v>
      </c>
      <c r="B2650" s="17" t="s">
        <v>2737</v>
      </c>
      <c r="C2650" s="17" t="s">
        <v>2738</v>
      </c>
      <c r="D2650" s="5" t="s">
        <v>7086</v>
      </c>
      <c r="E2650" s="35">
        <v>42977</v>
      </c>
    </row>
    <row r="2651" spans="1:5" ht="14.25" hidden="1" customHeight="1">
      <c r="A2651" s="16">
        <v>12675403</v>
      </c>
      <c r="B2651" s="17" t="s">
        <v>2821</v>
      </c>
      <c r="C2651" s="17" t="s">
        <v>2822</v>
      </c>
      <c r="D2651" s="5" t="s">
        <v>7086</v>
      </c>
      <c r="E2651" s="35">
        <v>42977</v>
      </c>
    </row>
    <row r="2652" spans="1:5" ht="14.25" hidden="1" customHeight="1">
      <c r="A2652" s="16">
        <v>12733236</v>
      </c>
      <c r="B2652" s="17" t="s">
        <v>1805</v>
      </c>
      <c r="C2652" s="17" t="s">
        <v>1806</v>
      </c>
      <c r="D2652" s="5" t="s">
        <v>7086</v>
      </c>
      <c r="E2652" s="35">
        <v>42977</v>
      </c>
    </row>
    <row r="2653" spans="1:5" ht="14.25" hidden="1" customHeight="1">
      <c r="A2653" s="16">
        <v>13338781</v>
      </c>
      <c r="B2653" s="17" t="s">
        <v>327</v>
      </c>
      <c r="C2653" s="17" t="s">
        <v>1191</v>
      </c>
      <c r="D2653" s="5" t="s">
        <v>7086</v>
      </c>
      <c r="E2653" s="35">
        <v>42977</v>
      </c>
    </row>
    <row r="2654" spans="1:5" ht="14.25" hidden="1" customHeight="1">
      <c r="A2654" s="16">
        <v>13474822</v>
      </c>
      <c r="B2654" s="17" t="s">
        <v>3133</v>
      </c>
      <c r="C2654" s="17" t="s">
        <v>7091</v>
      </c>
      <c r="D2654" s="5" t="s">
        <v>7086</v>
      </c>
      <c r="E2654" s="35">
        <v>42977</v>
      </c>
    </row>
    <row r="2655" spans="1:5" ht="14.25" hidden="1" customHeight="1">
      <c r="A2655" s="16">
        <v>13710789</v>
      </c>
      <c r="B2655" s="17" t="s">
        <v>1842</v>
      </c>
      <c r="C2655" s="17" t="s">
        <v>584</v>
      </c>
      <c r="D2655" s="5" t="s">
        <v>7086</v>
      </c>
      <c r="E2655" s="35">
        <v>42977</v>
      </c>
    </row>
    <row r="2656" spans="1:5" ht="14.25" hidden="1" customHeight="1">
      <c r="A2656" s="16">
        <v>13784035</v>
      </c>
      <c r="B2656" s="17" t="s">
        <v>2746</v>
      </c>
      <c r="C2656" s="17" t="s">
        <v>1555</v>
      </c>
      <c r="D2656" s="5" t="s">
        <v>7086</v>
      </c>
      <c r="E2656" s="35">
        <v>42977</v>
      </c>
    </row>
    <row r="2657" spans="1:5" ht="14.25" hidden="1" customHeight="1">
      <c r="A2657" s="16">
        <v>13784871</v>
      </c>
      <c r="B2657" s="17" t="s">
        <v>2683</v>
      </c>
      <c r="C2657" s="17" t="s">
        <v>2684</v>
      </c>
      <c r="D2657" s="5" t="s">
        <v>7086</v>
      </c>
      <c r="E2657" s="35">
        <v>42977</v>
      </c>
    </row>
    <row r="2658" spans="1:5" ht="14.25" hidden="1" customHeight="1">
      <c r="A2658" s="16">
        <v>13844773</v>
      </c>
      <c r="B2658" s="17" t="s">
        <v>1591</v>
      </c>
      <c r="C2658" s="17" t="s">
        <v>2613</v>
      </c>
      <c r="D2658" s="5" t="s">
        <v>7086</v>
      </c>
      <c r="E2658" s="35">
        <v>42977</v>
      </c>
    </row>
    <row r="2659" spans="1:5" ht="14.25" hidden="1" customHeight="1">
      <c r="A2659" s="16">
        <v>14023748</v>
      </c>
      <c r="B2659" s="17" t="s">
        <v>774</v>
      </c>
      <c r="C2659" s="17" t="s">
        <v>4123</v>
      </c>
      <c r="D2659" s="5" t="s">
        <v>7086</v>
      </c>
      <c r="E2659" s="35">
        <v>42977</v>
      </c>
    </row>
    <row r="2660" spans="1:5" ht="14.25" hidden="1" customHeight="1">
      <c r="A2660" s="16">
        <v>14083053</v>
      </c>
      <c r="B2660" s="17" t="s">
        <v>327</v>
      </c>
      <c r="C2660" s="17" t="s">
        <v>5295</v>
      </c>
      <c r="D2660" s="5" t="s">
        <v>7086</v>
      </c>
      <c r="E2660" s="35">
        <v>42977</v>
      </c>
    </row>
    <row r="2661" spans="1:5" ht="14.25" hidden="1" customHeight="1">
      <c r="A2661" s="16">
        <v>14225522</v>
      </c>
      <c r="B2661" s="17" t="s">
        <v>3182</v>
      </c>
      <c r="C2661" s="17" t="s">
        <v>2218</v>
      </c>
      <c r="D2661" s="5" t="s">
        <v>7086</v>
      </c>
      <c r="E2661" s="35">
        <v>42977</v>
      </c>
    </row>
    <row r="2662" spans="1:5" ht="14.25" hidden="1" customHeight="1">
      <c r="A2662" s="16">
        <v>14226566</v>
      </c>
      <c r="B2662" s="17" t="s">
        <v>547</v>
      </c>
      <c r="C2662" s="17" t="s">
        <v>2827</v>
      </c>
      <c r="D2662" s="5" t="s">
        <v>7086</v>
      </c>
      <c r="E2662" s="35">
        <v>42977</v>
      </c>
    </row>
    <row r="2663" spans="1:5" ht="14.25" hidden="1" customHeight="1">
      <c r="A2663" s="16">
        <v>14251117</v>
      </c>
      <c r="B2663" s="17" t="s">
        <v>961</v>
      </c>
      <c r="C2663" s="17" t="s">
        <v>4968</v>
      </c>
      <c r="D2663" s="5" t="s">
        <v>7086</v>
      </c>
      <c r="E2663" s="35">
        <v>42977</v>
      </c>
    </row>
    <row r="2664" spans="1:5" ht="14.25" hidden="1" customHeight="1">
      <c r="A2664" s="16">
        <v>14660614</v>
      </c>
      <c r="B2664" s="17" t="s">
        <v>2355</v>
      </c>
      <c r="C2664" s="17" t="s">
        <v>7087</v>
      </c>
      <c r="D2664" s="5" t="s">
        <v>7086</v>
      </c>
      <c r="E2664" s="35">
        <v>42977</v>
      </c>
    </row>
    <row r="2665" spans="1:5" ht="14.25" hidden="1" customHeight="1">
      <c r="A2665" s="16">
        <v>14660801</v>
      </c>
      <c r="B2665" s="17" t="s">
        <v>680</v>
      </c>
      <c r="C2665" s="17" t="s">
        <v>2702</v>
      </c>
      <c r="D2665" s="5" t="s">
        <v>7086</v>
      </c>
      <c r="E2665" s="35">
        <v>42977</v>
      </c>
    </row>
    <row r="2666" spans="1:5" ht="14.25" hidden="1" customHeight="1">
      <c r="A2666" s="16">
        <v>14661637</v>
      </c>
      <c r="B2666" s="17" t="s">
        <v>308</v>
      </c>
      <c r="C2666" s="17" t="s">
        <v>3996</v>
      </c>
      <c r="D2666" s="5" t="s">
        <v>7086</v>
      </c>
      <c r="E2666" s="35">
        <v>42977</v>
      </c>
    </row>
    <row r="2667" spans="1:5" ht="14.25" hidden="1" customHeight="1">
      <c r="A2667" s="16">
        <v>15966562</v>
      </c>
      <c r="B2667" s="17" t="s">
        <v>1493</v>
      </c>
      <c r="C2667" s="17" t="s">
        <v>1494</v>
      </c>
      <c r="D2667" s="5" t="s">
        <v>7086</v>
      </c>
      <c r="E2667" s="35">
        <v>42977</v>
      </c>
    </row>
    <row r="2668" spans="1:5" ht="14.25" hidden="1" customHeight="1">
      <c r="A2668" s="16">
        <v>16091162</v>
      </c>
      <c r="B2668" s="17" t="s">
        <v>5866</v>
      </c>
      <c r="C2668" s="17" t="s">
        <v>5867</v>
      </c>
      <c r="D2668" s="5" t="s">
        <v>7086</v>
      </c>
      <c r="E2668" s="35">
        <v>42977</v>
      </c>
    </row>
    <row r="2669" spans="1:5" ht="14.25" hidden="1" customHeight="1">
      <c r="A2669" s="16">
        <v>16132114</v>
      </c>
      <c r="B2669" s="17" t="s">
        <v>1446</v>
      </c>
      <c r="C2669" s="17" t="s">
        <v>5493</v>
      </c>
      <c r="D2669" s="5" t="s">
        <v>7086</v>
      </c>
      <c r="E2669" s="35">
        <v>42977</v>
      </c>
    </row>
    <row r="2670" spans="1:5" ht="14.25" hidden="1" customHeight="1">
      <c r="A2670" s="16">
        <v>16132179</v>
      </c>
      <c r="B2670" s="17" t="s">
        <v>824</v>
      </c>
      <c r="C2670" s="17" t="s">
        <v>825</v>
      </c>
      <c r="D2670" s="5" t="s">
        <v>7086</v>
      </c>
      <c r="E2670" s="35">
        <v>42977</v>
      </c>
    </row>
    <row r="2671" spans="1:5" ht="14.25" hidden="1" customHeight="1">
      <c r="A2671" s="16">
        <v>16176626</v>
      </c>
      <c r="B2671" s="17" t="s">
        <v>2026</v>
      </c>
      <c r="C2671" s="17" t="s">
        <v>3993</v>
      </c>
      <c r="D2671" s="5" t="s">
        <v>7086</v>
      </c>
      <c r="E2671" s="35">
        <v>42977</v>
      </c>
    </row>
    <row r="2672" spans="1:5" ht="14.25" hidden="1" customHeight="1">
      <c r="A2672" s="16">
        <v>16176925</v>
      </c>
      <c r="B2672" s="17" t="s">
        <v>2740</v>
      </c>
      <c r="C2672" s="17" t="s">
        <v>2741</v>
      </c>
      <c r="D2672" s="5" t="s">
        <v>7086</v>
      </c>
      <c r="E2672" s="35">
        <v>42977</v>
      </c>
    </row>
    <row r="2673" spans="1:5" ht="14.25" hidden="1" customHeight="1">
      <c r="A2673" s="16">
        <v>16458234</v>
      </c>
      <c r="B2673" s="17" t="s">
        <v>2592</v>
      </c>
      <c r="C2673" s="17" t="s">
        <v>2593</v>
      </c>
      <c r="D2673" s="5" t="s">
        <v>7086</v>
      </c>
      <c r="E2673" s="35">
        <v>42977</v>
      </c>
    </row>
    <row r="2674" spans="1:5" ht="14.25" hidden="1" customHeight="1">
      <c r="A2674" s="16">
        <v>16686145</v>
      </c>
      <c r="B2674" s="17" t="s">
        <v>1793</v>
      </c>
      <c r="C2674" s="17" t="s">
        <v>5406</v>
      </c>
      <c r="D2674" s="5" t="s">
        <v>7086</v>
      </c>
      <c r="E2674" s="35">
        <v>42977</v>
      </c>
    </row>
    <row r="2675" spans="1:5" ht="14.25" hidden="1" customHeight="1">
      <c r="A2675" s="16">
        <v>16806479</v>
      </c>
      <c r="B2675" s="17" t="s">
        <v>774</v>
      </c>
      <c r="C2675" s="17" t="s">
        <v>6523</v>
      </c>
      <c r="D2675" s="5" t="s">
        <v>7086</v>
      </c>
      <c r="E2675" s="35">
        <v>42977</v>
      </c>
    </row>
    <row r="2676" spans="1:5" ht="14.25" hidden="1" customHeight="1">
      <c r="A2676" s="16">
        <v>16883300</v>
      </c>
      <c r="B2676" s="17" t="s">
        <v>7097</v>
      </c>
      <c r="C2676" s="17" t="s">
        <v>7098</v>
      </c>
      <c r="D2676" s="5" t="s">
        <v>7086</v>
      </c>
      <c r="E2676" s="35">
        <v>42977</v>
      </c>
    </row>
    <row r="2677" spans="1:5" ht="14.25" hidden="1" customHeight="1">
      <c r="A2677" s="16">
        <v>16932957</v>
      </c>
      <c r="B2677" s="17" t="s">
        <v>50</v>
      </c>
      <c r="C2677" s="17" t="s">
        <v>5043</v>
      </c>
      <c r="D2677" s="5" t="s">
        <v>7086</v>
      </c>
      <c r="E2677" s="35">
        <v>42977</v>
      </c>
    </row>
    <row r="2678" spans="1:5" ht="14.25" hidden="1" customHeight="1">
      <c r="A2678" s="16">
        <v>17040933</v>
      </c>
      <c r="B2678" s="17" t="s">
        <v>818</v>
      </c>
      <c r="C2678" s="17" t="s">
        <v>819</v>
      </c>
      <c r="D2678" s="5" t="s">
        <v>7086</v>
      </c>
      <c r="E2678" s="35">
        <v>42977</v>
      </c>
    </row>
    <row r="2679" spans="1:5" ht="14.25" hidden="1" customHeight="1">
      <c r="A2679" s="16">
        <v>17040933</v>
      </c>
      <c r="B2679" s="17" t="s">
        <v>818</v>
      </c>
      <c r="C2679" s="17" t="s">
        <v>819</v>
      </c>
      <c r="D2679" s="5" t="s">
        <v>7086</v>
      </c>
      <c r="E2679" s="35">
        <v>42977</v>
      </c>
    </row>
    <row r="2680" spans="1:5" ht="14.25" hidden="1" customHeight="1">
      <c r="A2680" s="16">
        <v>17523461</v>
      </c>
      <c r="B2680" s="17" t="s">
        <v>574</v>
      </c>
      <c r="C2680" s="17" t="s">
        <v>571</v>
      </c>
      <c r="D2680" s="5" t="s">
        <v>7086</v>
      </c>
      <c r="E2680" s="35">
        <v>42977</v>
      </c>
    </row>
    <row r="2681" spans="1:5" ht="14.25" hidden="1" customHeight="1">
      <c r="A2681" s="16">
        <v>17543711</v>
      </c>
      <c r="B2681" s="17" t="s">
        <v>195</v>
      </c>
      <c r="C2681" s="17" t="s">
        <v>296</v>
      </c>
      <c r="D2681" s="5" t="s">
        <v>7086</v>
      </c>
      <c r="E2681" s="35">
        <v>42977</v>
      </c>
    </row>
    <row r="2682" spans="1:5" ht="14.25" hidden="1" customHeight="1">
      <c r="A2682" s="16">
        <v>17614178</v>
      </c>
      <c r="B2682" s="17" t="s">
        <v>1787</v>
      </c>
      <c r="C2682" s="17" t="s">
        <v>3592</v>
      </c>
      <c r="D2682" s="5" t="s">
        <v>7086</v>
      </c>
      <c r="E2682" s="35">
        <v>42977</v>
      </c>
    </row>
    <row r="2683" spans="1:5" ht="14.25" hidden="1" customHeight="1">
      <c r="A2683" s="16">
        <v>17859007</v>
      </c>
      <c r="B2683" s="17" t="s">
        <v>5327</v>
      </c>
      <c r="C2683" s="17" t="s">
        <v>1521</v>
      </c>
      <c r="D2683" s="5" t="s">
        <v>7086</v>
      </c>
      <c r="E2683" s="35">
        <v>42977</v>
      </c>
    </row>
    <row r="2684" spans="1:5" ht="14.25" hidden="1" customHeight="1">
      <c r="A2684" s="16">
        <v>17859090</v>
      </c>
      <c r="B2684" s="17" t="s">
        <v>676</v>
      </c>
      <c r="C2684" s="17" t="s">
        <v>4854</v>
      </c>
      <c r="D2684" s="5" t="s">
        <v>7086</v>
      </c>
      <c r="E2684" s="35">
        <v>42977</v>
      </c>
    </row>
    <row r="2685" spans="1:5" ht="14.25" hidden="1" customHeight="1">
      <c r="A2685" s="16">
        <v>18230668</v>
      </c>
      <c r="B2685" s="17" t="s">
        <v>2375</v>
      </c>
      <c r="C2685" s="17" t="s">
        <v>2376</v>
      </c>
      <c r="D2685" s="5" t="s">
        <v>7086</v>
      </c>
      <c r="E2685" s="35">
        <v>42977</v>
      </c>
    </row>
    <row r="2686" spans="1:5" ht="14.25" hidden="1" customHeight="1">
      <c r="A2686" s="16">
        <v>18433501</v>
      </c>
      <c r="B2686" s="17" t="s">
        <v>2859</v>
      </c>
      <c r="C2686" s="17" t="s">
        <v>2860</v>
      </c>
      <c r="D2686" s="5" t="s">
        <v>7086</v>
      </c>
      <c r="E2686" s="35">
        <v>42977</v>
      </c>
    </row>
    <row r="2687" spans="1:5" ht="14.25" hidden="1" customHeight="1">
      <c r="A2687" s="16">
        <v>18566394</v>
      </c>
      <c r="B2687" s="17" t="s">
        <v>144</v>
      </c>
      <c r="C2687" s="17" t="s">
        <v>283</v>
      </c>
      <c r="D2687" s="5" t="s">
        <v>7086</v>
      </c>
      <c r="E2687" s="35">
        <v>42977</v>
      </c>
    </row>
    <row r="2688" spans="1:5" ht="14.25" hidden="1" customHeight="1">
      <c r="A2688" s="16">
        <v>20178158</v>
      </c>
      <c r="B2688" s="17" t="s">
        <v>5002</v>
      </c>
      <c r="C2688" s="17" t="s">
        <v>5009</v>
      </c>
      <c r="D2688" s="5" t="s">
        <v>7086</v>
      </c>
      <c r="E2688" s="35">
        <v>42977</v>
      </c>
    </row>
    <row r="2689" spans="1:5" ht="14.25" hidden="1" customHeight="1">
      <c r="A2689" s="16">
        <v>20178701</v>
      </c>
      <c r="B2689" s="17" t="s">
        <v>2598</v>
      </c>
      <c r="C2689" s="17" t="s">
        <v>2599</v>
      </c>
      <c r="D2689" s="5" t="s">
        <v>7086</v>
      </c>
      <c r="E2689" s="35">
        <v>42977</v>
      </c>
    </row>
    <row r="2690" spans="1:5" ht="14.25" hidden="1" customHeight="1">
      <c r="A2690" s="16">
        <v>20219100</v>
      </c>
      <c r="B2690" s="17" t="s">
        <v>875</v>
      </c>
      <c r="C2690" s="17" t="s">
        <v>5137</v>
      </c>
      <c r="D2690" s="5" t="s">
        <v>7086</v>
      </c>
      <c r="E2690" s="35">
        <v>42977</v>
      </c>
    </row>
    <row r="2691" spans="1:5" ht="14.25" hidden="1" customHeight="1">
      <c r="A2691" s="16">
        <v>20284448</v>
      </c>
      <c r="B2691" s="17" t="s">
        <v>5213</v>
      </c>
      <c r="C2691" s="17" t="s">
        <v>5214</v>
      </c>
      <c r="D2691" s="5" t="s">
        <v>7086</v>
      </c>
      <c r="E2691" s="35">
        <v>42977</v>
      </c>
    </row>
    <row r="2692" spans="1:5" ht="14.25" hidden="1" customHeight="1">
      <c r="A2692" s="16">
        <v>20301219</v>
      </c>
      <c r="B2692" s="17" t="s">
        <v>5140</v>
      </c>
      <c r="C2692" s="17" t="s">
        <v>5141</v>
      </c>
      <c r="D2692" s="5" t="s">
        <v>7086</v>
      </c>
      <c r="E2692" s="35">
        <v>42977</v>
      </c>
    </row>
    <row r="2693" spans="1:5" ht="14.25" hidden="1" customHeight="1">
      <c r="A2693" s="16">
        <v>20398681</v>
      </c>
      <c r="B2693" s="17" t="s">
        <v>1774</v>
      </c>
      <c r="C2693" s="17" t="s">
        <v>1775</v>
      </c>
      <c r="D2693" s="5" t="s">
        <v>7086</v>
      </c>
      <c r="E2693" s="35">
        <v>42977</v>
      </c>
    </row>
    <row r="2694" spans="1:5" ht="14.25" hidden="1" customHeight="1">
      <c r="A2694" s="16">
        <v>20759438</v>
      </c>
      <c r="B2694" s="17" t="s">
        <v>350</v>
      </c>
      <c r="C2694" s="17" t="s">
        <v>5656</v>
      </c>
      <c r="D2694" s="5" t="s">
        <v>7086</v>
      </c>
      <c r="E2694" s="35">
        <v>42977</v>
      </c>
    </row>
    <row r="2695" spans="1:5" ht="14.25" hidden="1" customHeight="1">
      <c r="A2695" s="16">
        <v>20857513</v>
      </c>
      <c r="B2695" s="17" t="s">
        <v>7088</v>
      </c>
      <c r="C2695" s="17" t="s">
        <v>7089</v>
      </c>
      <c r="D2695" s="5" t="s">
        <v>7086</v>
      </c>
      <c r="E2695" s="35">
        <v>42977</v>
      </c>
    </row>
    <row r="2696" spans="1:5" ht="14.25" hidden="1" customHeight="1">
      <c r="A2696" s="16">
        <v>20884030</v>
      </c>
      <c r="B2696" s="17" t="s">
        <v>2876</v>
      </c>
      <c r="C2696" s="17" t="s">
        <v>27</v>
      </c>
      <c r="D2696" s="5" t="s">
        <v>7086</v>
      </c>
      <c r="E2696" s="35">
        <v>42977</v>
      </c>
    </row>
    <row r="2697" spans="1:5" ht="14.25" hidden="1" customHeight="1">
      <c r="A2697" s="16">
        <v>21054719</v>
      </c>
      <c r="B2697" s="17" t="s">
        <v>1093</v>
      </c>
      <c r="C2697" s="17" t="s">
        <v>5023</v>
      </c>
      <c r="D2697" s="5" t="s">
        <v>7086</v>
      </c>
      <c r="E2697" s="35">
        <v>42977</v>
      </c>
    </row>
    <row r="2698" spans="1:5" ht="14.25" hidden="1" customHeight="1">
      <c r="A2698" s="16">
        <v>21086112</v>
      </c>
      <c r="B2698" s="17" t="s">
        <v>2087</v>
      </c>
      <c r="C2698" s="17" t="s">
        <v>2896</v>
      </c>
      <c r="D2698" s="5" t="s">
        <v>7086</v>
      </c>
      <c r="E2698" s="35">
        <v>42977</v>
      </c>
    </row>
    <row r="2699" spans="1:5" ht="14.25" hidden="1" customHeight="1">
      <c r="A2699" s="16">
        <v>21320060</v>
      </c>
      <c r="B2699" s="17" t="s">
        <v>5133</v>
      </c>
      <c r="C2699" s="17" t="s">
        <v>5134</v>
      </c>
      <c r="D2699" s="5" t="s">
        <v>7086</v>
      </c>
      <c r="E2699" s="35">
        <v>42977</v>
      </c>
    </row>
    <row r="2700" spans="1:5" ht="14.25" hidden="1" customHeight="1">
      <c r="A2700" s="16">
        <v>21329143</v>
      </c>
      <c r="B2700" s="17" t="s">
        <v>511</v>
      </c>
      <c r="C2700" s="17" t="s">
        <v>2830</v>
      </c>
      <c r="D2700" s="5" t="s">
        <v>7086</v>
      </c>
      <c r="E2700" s="35">
        <v>42977</v>
      </c>
    </row>
    <row r="2701" spans="1:5" ht="14.25" hidden="1" customHeight="1">
      <c r="A2701" s="16">
        <v>21823138</v>
      </c>
      <c r="B2701" s="17" t="s">
        <v>2840</v>
      </c>
      <c r="C2701" s="17" t="s">
        <v>2841</v>
      </c>
      <c r="D2701" s="5" t="s">
        <v>7086</v>
      </c>
      <c r="E2701" s="35">
        <v>42977</v>
      </c>
    </row>
    <row r="2702" spans="1:5" ht="14.25" hidden="1" customHeight="1">
      <c r="A2702" s="16">
        <v>21829343</v>
      </c>
      <c r="B2702" s="17" t="s">
        <v>2722</v>
      </c>
      <c r="C2702" s="17" t="s">
        <v>2723</v>
      </c>
      <c r="D2702" s="5" t="s">
        <v>7086</v>
      </c>
      <c r="E2702" s="35">
        <v>42977</v>
      </c>
    </row>
    <row r="2703" spans="1:5" ht="14.25" hidden="1" customHeight="1">
      <c r="A2703" s="16">
        <v>22211664</v>
      </c>
      <c r="B2703" s="17" t="s">
        <v>5551</v>
      </c>
      <c r="C2703" s="17" t="s">
        <v>5552</v>
      </c>
      <c r="D2703" s="5" t="s">
        <v>7086</v>
      </c>
      <c r="E2703" s="35">
        <v>42977</v>
      </c>
    </row>
    <row r="2704" spans="1:5" ht="14.25" hidden="1" customHeight="1">
      <c r="A2704" s="16">
        <v>22264316</v>
      </c>
      <c r="B2704" s="17" t="s">
        <v>2687</v>
      </c>
      <c r="C2704" s="17" t="s">
        <v>2688</v>
      </c>
      <c r="D2704" s="5" t="s">
        <v>7086</v>
      </c>
      <c r="E2704" s="35">
        <v>42977</v>
      </c>
    </row>
    <row r="2705" spans="1:5" ht="14.25" hidden="1" customHeight="1">
      <c r="A2705" s="16">
        <v>22264981</v>
      </c>
      <c r="B2705" s="17" t="s">
        <v>5885</v>
      </c>
      <c r="C2705" s="17" t="s">
        <v>5886</v>
      </c>
      <c r="D2705" s="5" t="s">
        <v>7086</v>
      </c>
      <c r="E2705" s="35">
        <v>42977</v>
      </c>
    </row>
    <row r="2706" spans="1:5" ht="14.25" hidden="1" customHeight="1">
      <c r="A2706" s="16">
        <v>22303060</v>
      </c>
      <c r="B2706" s="17" t="s">
        <v>6270</v>
      </c>
      <c r="C2706" s="17" t="s">
        <v>233</v>
      </c>
      <c r="D2706" s="5" t="s">
        <v>7086</v>
      </c>
      <c r="E2706" s="35">
        <v>42977</v>
      </c>
    </row>
    <row r="2707" spans="1:5" ht="14.25" hidden="1" customHeight="1">
      <c r="A2707" s="16">
        <v>22336712</v>
      </c>
      <c r="B2707" s="17" t="s">
        <v>5262</v>
      </c>
      <c r="C2707" s="17" t="s">
        <v>7090</v>
      </c>
      <c r="D2707" s="5" t="s">
        <v>7086</v>
      </c>
      <c r="E2707" s="35">
        <v>42977</v>
      </c>
    </row>
    <row r="2708" spans="1:5" ht="14.25" hidden="1" customHeight="1">
      <c r="A2708" s="16">
        <v>22429208</v>
      </c>
      <c r="B2708" s="17" t="s">
        <v>5245</v>
      </c>
      <c r="C2708" s="17" t="s">
        <v>7094</v>
      </c>
      <c r="D2708" s="5" t="s">
        <v>7086</v>
      </c>
      <c r="E2708" s="35">
        <v>42977</v>
      </c>
    </row>
    <row r="2709" spans="1:5" ht="14.25" hidden="1" customHeight="1">
      <c r="A2709" s="16">
        <v>22877708</v>
      </c>
      <c r="B2709" s="17" t="s">
        <v>2709</v>
      </c>
      <c r="C2709" s="17" t="s">
        <v>2710</v>
      </c>
      <c r="D2709" s="5" t="s">
        <v>7086</v>
      </c>
      <c r="E2709" s="35">
        <v>42977</v>
      </c>
    </row>
    <row r="2710" spans="1:5" ht="14.25" hidden="1" customHeight="1">
      <c r="A2710" s="16">
        <v>23117670</v>
      </c>
      <c r="B2710" s="17" t="s">
        <v>4994</v>
      </c>
      <c r="C2710" s="17" t="s">
        <v>5734</v>
      </c>
      <c r="D2710" s="5" t="s">
        <v>7086</v>
      </c>
      <c r="E2710" s="35">
        <v>42977</v>
      </c>
    </row>
    <row r="2711" spans="1:5" ht="14.25" hidden="1" customHeight="1">
      <c r="A2711" s="16">
        <v>23319971</v>
      </c>
      <c r="B2711" s="17" t="s">
        <v>2294</v>
      </c>
      <c r="C2711" s="17" t="s">
        <v>3163</v>
      </c>
      <c r="D2711" s="5" t="s">
        <v>7086</v>
      </c>
      <c r="E2711" s="35">
        <v>42977</v>
      </c>
    </row>
    <row r="2712" spans="1:5" ht="14.25" hidden="1" customHeight="1">
      <c r="A2712" s="16">
        <v>23931856</v>
      </c>
      <c r="B2712" s="17" t="s">
        <v>5210</v>
      </c>
      <c r="C2712" s="17" t="s">
        <v>4341</v>
      </c>
      <c r="D2712" s="5" t="s">
        <v>7086</v>
      </c>
      <c r="E2712" s="35">
        <v>42977</v>
      </c>
    </row>
    <row r="2713" spans="1:5" ht="14.25" hidden="1" customHeight="1">
      <c r="A2713" s="16">
        <v>23984466</v>
      </c>
      <c r="B2713" s="17" t="s">
        <v>5611</v>
      </c>
      <c r="C2713" s="17" t="s">
        <v>215</v>
      </c>
      <c r="D2713" s="5" t="s">
        <v>7086</v>
      </c>
      <c r="E2713" s="35">
        <v>42977</v>
      </c>
    </row>
    <row r="2714" spans="1:5" ht="14.25" hidden="1" customHeight="1">
      <c r="A2714" s="16">
        <v>24338410</v>
      </c>
      <c r="B2714" s="17" t="s">
        <v>5849</v>
      </c>
      <c r="C2714" s="17" t="s">
        <v>455</v>
      </c>
      <c r="D2714" s="5" t="s">
        <v>7086</v>
      </c>
      <c r="E2714" s="35">
        <v>42977</v>
      </c>
    </row>
    <row r="2715" spans="1:5" ht="14.25" hidden="1" customHeight="1">
      <c r="A2715" s="16">
        <v>24409715</v>
      </c>
      <c r="B2715" s="17" t="s">
        <v>4566</v>
      </c>
      <c r="C2715" s="17" t="s">
        <v>5191</v>
      </c>
      <c r="D2715" s="5" t="s">
        <v>7086</v>
      </c>
      <c r="E2715" s="35">
        <v>42977</v>
      </c>
    </row>
    <row r="2716" spans="1:5" ht="14.25" hidden="1" customHeight="1">
      <c r="A2716" s="16">
        <v>24553319</v>
      </c>
      <c r="B2716" s="17" t="s">
        <v>1364</v>
      </c>
      <c r="C2716" s="17" t="s">
        <v>5705</v>
      </c>
      <c r="D2716" s="5" t="s">
        <v>7086</v>
      </c>
      <c r="E2716" s="35">
        <v>42977</v>
      </c>
    </row>
    <row r="2717" spans="1:5" ht="14.25" hidden="1" customHeight="1">
      <c r="A2717" s="16">
        <v>24553486</v>
      </c>
      <c r="B2717" s="17" t="s">
        <v>94</v>
      </c>
      <c r="C2717" s="17" t="s">
        <v>427</v>
      </c>
      <c r="D2717" s="5" t="s">
        <v>7086</v>
      </c>
      <c r="E2717" s="35">
        <v>42977</v>
      </c>
    </row>
    <row r="2718" spans="1:5" ht="14.25" hidden="1" customHeight="1">
      <c r="A2718" s="16">
        <v>24671172</v>
      </c>
      <c r="B2718" s="17" t="s">
        <v>315</v>
      </c>
      <c r="C2718" s="17" t="s">
        <v>2902</v>
      </c>
      <c r="D2718" s="5" t="s">
        <v>7086</v>
      </c>
      <c r="E2718" s="35">
        <v>42977</v>
      </c>
    </row>
    <row r="2719" spans="1:5" ht="14.25" hidden="1" customHeight="1">
      <c r="A2719" s="16">
        <v>24802284</v>
      </c>
      <c r="B2719" s="17" t="s">
        <v>1613</v>
      </c>
      <c r="C2719" s="17" t="s">
        <v>455</v>
      </c>
      <c r="D2719" s="5" t="s">
        <v>7086</v>
      </c>
      <c r="E2719" s="35">
        <v>42977</v>
      </c>
    </row>
    <row r="2720" spans="1:5" ht="14.25" hidden="1" customHeight="1">
      <c r="A2720" s="16">
        <v>24802894</v>
      </c>
      <c r="B2720" s="17" t="s">
        <v>4407</v>
      </c>
      <c r="C2720" s="17" t="s">
        <v>5227</v>
      </c>
      <c r="D2720" s="5" t="s">
        <v>7086</v>
      </c>
      <c r="E2720" s="35">
        <v>42977</v>
      </c>
    </row>
    <row r="2721" spans="1:5" ht="14.25" hidden="1" customHeight="1">
      <c r="A2721" s="16">
        <v>25380568</v>
      </c>
      <c r="B2721" s="17" t="s">
        <v>1823</v>
      </c>
      <c r="C2721" s="17" t="s">
        <v>2753</v>
      </c>
      <c r="D2721" s="5" t="s">
        <v>7086</v>
      </c>
      <c r="E2721" s="35">
        <v>42977</v>
      </c>
    </row>
    <row r="2722" spans="1:5" ht="14.25" hidden="1" customHeight="1">
      <c r="A2722" s="16">
        <v>25498993</v>
      </c>
      <c r="B2722" s="17" t="s">
        <v>511</v>
      </c>
      <c r="C2722" s="17" t="s">
        <v>5871</v>
      </c>
      <c r="D2722" s="5" t="s">
        <v>7086</v>
      </c>
      <c r="E2722" s="35">
        <v>42977</v>
      </c>
    </row>
    <row r="2723" spans="1:5" ht="14.25" hidden="1" customHeight="1">
      <c r="A2723" s="16">
        <v>25510655</v>
      </c>
      <c r="B2723" s="17" t="s">
        <v>5589</v>
      </c>
      <c r="C2723" s="17" t="s">
        <v>1453</v>
      </c>
      <c r="D2723" s="5" t="s">
        <v>7086</v>
      </c>
      <c r="E2723" s="35">
        <v>42977</v>
      </c>
    </row>
    <row r="2724" spans="1:5" ht="14.25" hidden="1" customHeight="1">
      <c r="A2724" s="16">
        <v>25709455</v>
      </c>
      <c r="B2724" s="17" t="s">
        <v>5643</v>
      </c>
      <c r="C2724" s="17" t="s">
        <v>5644</v>
      </c>
      <c r="D2724" s="5" t="s">
        <v>7086</v>
      </c>
      <c r="E2724" s="35">
        <v>42977</v>
      </c>
    </row>
    <row r="2725" spans="1:5" ht="14.25" hidden="1" customHeight="1">
      <c r="A2725" s="16">
        <v>25735768</v>
      </c>
      <c r="B2725" s="17" t="s">
        <v>5718</v>
      </c>
      <c r="C2725" s="17" t="s">
        <v>7096</v>
      </c>
      <c r="D2725" s="5" t="s">
        <v>7086</v>
      </c>
      <c r="E2725" s="35">
        <v>42977</v>
      </c>
    </row>
    <row r="2726" spans="1:5" ht="14.25" hidden="1" customHeight="1">
      <c r="A2726" s="16">
        <v>25843849</v>
      </c>
      <c r="B2726" s="17" t="s">
        <v>3126</v>
      </c>
      <c r="C2726" s="17" t="s">
        <v>1520</v>
      </c>
      <c r="D2726" s="5" t="s">
        <v>7086</v>
      </c>
      <c r="E2726" s="35">
        <v>42977</v>
      </c>
    </row>
    <row r="2727" spans="1:5" ht="14.25" hidden="1" customHeight="1">
      <c r="A2727" s="16">
        <v>25922947</v>
      </c>
      <c r="B2727" s="17" t="s">
        <v>4974</v>
      </c>
      <c r="C2727" s="17" t="s">
        <v>4130</v>
      </c>
      <c r="D2727" s="5" t="s">
        <v>7086</v>
      </c>
      <c r="E2727" s="35">
        <v>42977</v>
      </c>
    </row>
    <row r="2728" spans="1:5" ht="14.25" hidden="1" customHeight="1">
      <c r="A2728" s="16">
        <v>26013921</v>
      </c>
      <c r="B2728" s="17" t="s">
        <v>789</v>
      </c>
      <c r="C2728" s="17" t="s">
        <v>1353</v>
      </c>
      <c r="D2728" s="5" t="s">
        <v>7086</v>
      </c>
      <c r="E2728" s="35">
        <v>42977</v>
      </c>
    </row>
    <row r="2729" spans="1:5" ht="14.25" hidden="1" customHeight="1">
      <c r="A2729" s="16">
        <v>26277267</v>
      </c>
      <c r="B2729" s="17" t="s">
        <v>428</v>
      </c>
      <c r="C2729" s="17" t="s">
        <v>5700</v>
      </c>
      <c r="D2729" s="5" t="s">
        <v>7086</v>
      </c>
      <c r="E2729" s="35">
        <v>42977</v>
      </c>
    </row>
    <row r="2730" spans="1:5" ht="14.25" hidden="1" customHeight="1">
      <c r="A2730" s="16">
        <v>26446257</v>
      </c>
      <c r="B2730" s="17" t="s">
        <v>5425</v>
      </c>
      <c r="C2730" s="17" t="s">
        <v>5426</v>
      </c>
      <c r="D2730" s="5" t="s">
        <v>7086</v>
      </c>
      <c r="E2730" s="35">
        <v>42977</v>
      </c>
    </row>
    <row r="2731" spans="1:5" ht="14.25" hidden="1" customHeight="1">
      <c r="A2731" s="16">
        <v>26455841</v>
      </c>
      <c r="B2731" s="17" t="s">
        <v>608</v>
      </c>
      <c r="C2731" s="17" t="s">
        <v>1634</v>
      </c>
      <c r="D2731" s="5" t="s">
        <v>7086</v>
      </c>
      <c r="E2731" s="35">
        <v>42977</v>
      </c>
    </row>
    <row r="2732" spans="1:5" ht="14.25" hidden="1" customHeight="1">
      <c r="A2732" s="16">
        <v>26684318</v>
      </c>
      <c r="B2732" s="17" t="s">
        <v>2742</v>
      </c>
      <c r="C2732" s="17" t="s">
        <v>2743</v>
      </c>
      <c r="D2732" s="5" t="s">
        <v>7086</v>
      </c>
      <c r="E2732" s="35">
        <v>42977</v>
      </c>
    </row>
    <row r="2733" spans="1:5" ht="14.25" hidden="1" customHeight="1">
      <c r="A2733" s="16">
        <v>27210323</v>
      </c>
      <c r="B2733" s="17" t="s">
        <v>2679</v>
      </c>
      <c r="C2733" s="17" t="s">
        <v>2680</v>
      </c>
      <c r="D2733" s="5" t="s">
        <v>7086</v>
      </c>
      <c r="E2733" s="35">
        <v>42977</v>
      </c>
    </row>
    <row r="2734" spans="1:5" ht="14.25" hidden="1" customHeight="1">
      <c r="A2734" s="16">
        <v>27365353</v>
      </c>
      <c r="B2734" s="17" t="s">
        <v>5732</v>
      </c>
      <c r="C2734" s="17" t="s">
        <v>5733</v>
      </c>
      <c r="D2734" s="5" t="s">
        <v>7086</v>
      </c>
      <c r="E2734" s="35">
        <v>42977</v>
      </c>
    </row>
    <row r="2735" spans="1:5" ht="14.25" hidden="1" customHeight="1">
      <c r="A2735" s="16">
        <v>27594473</v>
      </c>
      <c r="B2735" s="17" t="s">
        <v>1906</v>
      </c>
      <c r="C2735" s="17" t="s">
        <v>1003</v>
      </c>
      <c r="D2735" s="5" t="s">
        <v>7086</v>
      </c>
      <c r="E2735" s="35">
        <v>42977</v>
      </c>
    </row>
    <row r="2736" spans="1:5" ht="14.25" hidden="1" customHeight="1">
      <c r="A2736" s="16">
        <v>27595246</v>
      </c>
      <c r="B2736" s="17" t="s">
        <v>6312</v>
      </c>
      <c r="C2736" s="17" t="s">
        <v>328</v>
      </c>
      <c r="D2736" s="5" t="s">
        <v>7086</v>
      </c>
      <c r="E2736" s="35">
        <v>42977</v>
      </c>
    </row>
    <row r="2737" spans="1:5" ht="14.25" hidden="1" customHeight="1">
      <c r="A2737" s="16">
        <v>28223634</v>
      </c>
      <c r="B2737" s="17" t="s">
        <v>5312</v>
      </c>
      <c r="C2737" s="17" t="s">
        <v>2123</v>
      </c>
      <c r="D2737" s="5" t="s">
        <v>7086</v>
      </c>
      <c r="E2737" s="35">
        <v>42977</v>
      </c>
    </row>
    <row r="2738" spans="1:5" ht="14.25" hidden="1" customHeight="1">
      <c r="A2738" s="16">
        <v>28223716</v>
      </c>
      <c r="B2738" s="17" t="s">
        <v>2889</v>
      </c>
      <c r="C2738" s="17" t="s">
        <v>2678</v>
      </c>
      <c r="D2738" s="5" t="s">
        <v>7086</v>
      </c>
      <c r="E2738" s="35">
        <v>42977</v>
      </c>
    </row>
    <row r="2739" spans="1:5" ht="14.25" hidden="1" customHeight="1">
      <c r="A2739" s="16">
        <v>29183945</v>
      </c>
      <c r="B2739" s="17" t="s">
        <v>2731</v>
      </c>
      <c r="C2739" s="17" t="s">
        <v>2732</v>
      </c>
      <c r="D2739" s="5" t="s">
        <v>7086</v>
      </c>
      <c r="E2739" s="35">
        <v>42977</v>
      </c>
    </row>
    <row r="2740" spans="1:5" ht="14.25" hidden="1" customHeight="1">
      <c r="A2740" s="16">
        <v>29997496</v>
      </c>
      <c r="B2740" s="17" t="s">
        <v>5318</v>
      </c>
      <c r="C2740" s="17" t="s">
        <v>5319</v>
      </c>
      <c r="D2740" s="5" t="s">
        <v>7086</v>
      </c>
      <c r="E2740" s="35">
        <v>42977</v>
      </c>
    </row>
    <row r="2741" spans="1:5" ht="14.25" hidden="1" customHeight="1">
      <c r="A2741" s="16">
        <v>30069677</v>
      </c>
      <c r="B2741" s="17" t="s">
        <v>2612</v>
      </c>
      <c r="C2741" s="17" t="s">
        <v>2613</v>
      </c>
      <c r="D2741" s="5" t="s">
        <v>7086</v>
      </c>
      <c r="E2741" s="35">
        <v>42977</v>
      </c>
    </row>
    <row r="2742" spans="1:5" ht="14.25" hidden="1" customHeight="1">
      <c r="A2742" s="16">
        <v>30408472</v>
      </c>
      <c r="B2742" s="17" t="s">
        <v>5204</v>
      </c>
      <c r="C2742" s="17" t="s">
        <v>5205</v>
      </c>
      <c r="D2742" s="5" t="s">
        <v>7086</v>
      </c>
      <c r="E2742" s="35">
        <v>42977</v>
      </c>
    </row>
    <row r="2743" spans="1:5" ht="14.25" hidden="1" customHeight="1">
      <c r="A2743" s="16">
        <v>31127367</v>
      </c>
      <c r="B2743" s="17" t="s">
        <v>690</v>
      </c>
      <c r="C2743" s="17" t="s">
        <v>7093</v>
      </c>
      <c r="D2743" s="5" t="s">
        <v>7086</v>
      </c>
      <c r="E2743" s="35">
        <v>42977</v>
      </c>
    </row>
    <row r="2744" spans="1:5" ht="14.25" hidden="1" customHeight="1">
      <c r="A2744" s="16">
        <v>31253897</v>
      </c>
      <c r="B2744" s="17" t="s">
        <v>5415</v>
      </c>
      <c r="C2744" s="17" t="s">
        <v>30</v>
      </c>
      <c r="D2744" s="5" t="s">
        <v>7086</v>
      </c>
      <c r="E2744" s="35">
        <v>42977</v>
      </c>
    </row>
    <row r="2745" spans="1:5" ht="14.25" hidden="1" customHeight="1">
      <c r="A2745" s="16">
        <v>31842029</v>
      </c>
      <c r="B2745" s="17" t="s">
        <v>5233</v>
      </c>
      <c r="C2745" s="17" t="s">
        <v>5234</v>
      </c>
      <c r="D2745" s="5" t="s">
        <v>7086</v>
      </c>
      <c r="E2745" s="35">
        <v>42977</v>
      </c>
    </row>
    <row r="2746" spans="1:5" ht="14.25" hidden="1" customHeight="1">
      <c r="A2746" s="16">
        <v>32115802</v>
      </c>
      <c r="B2746" s="17" t="s">
        <v>2718</v>
      </c>
      <c r="C2746" s="17" t="s">
        <v>2719</v>
      </c>
      <c r="D2746" s="5" t="s">
        <v>7086</v>
      </c>
      <c r="E2746" s="35">
        <v>42977</v>
      </c>
    </row>
    <row r="2747" spans="1:5" ht="14.25" hidden="1" customHeight="1">
      <c r="A2747" s="16">
        <v>32201633</v>
      </c>
      <c r="B2747" s="17" t="s">
        <v>327</v>
      </c>
      <c r="C2747" s="17" t="s">
        <v>3793</v>
      </c>
      <c r="D2747" s="5" t="s">
        <v>7086</v>
      </c>
      <c r="E2747" s="35">
        <v>42977</v>
      </c>
    </row>
    <row r="2748" spans="1:5" ht="14.25" hidden="1" customHeight="1">
      <c r="A2748" s="16">
        <v>32408684</v>
      </c>
      <c r="B2748" s="17" t="s">
        <v>927</v>
      </c>
      <c r="C2748" s="17" t="s">
        <v>6520</v>
      </c>
      <c r="D2748" s="5" t="s">
        <v>7086</v>
      </c>
      <c r="E2748" s="35">
        <v>42977</v>
      </c>
    </row>
    <row r="2749" spans="1:5" ht="14.25" hidden="1" customHeight="1">
      <c r="A2749" s="16">
        <v>32412209</v>
      </c>
      <c r="B2749" s="17" t="s">
        <v>2834</v>
      </c>
      <c r="C2749" s="17" t="s">
        <v>2835</v>
      </c>
      <c r="D2749" s="5" t="s">
        <v>7086</v>
      </c>
      <c r="E2749" s="35">
        <v>42977</v>
      </c>
    </row>
    <row r="2750" spans="1:5" ht="14.25" hidden="1" customHeight="1">
      <c r="A2750" s="16">
        <v>32460837</v>
      </c>
      <c r="B2750" s="17" t="s">
        <v>4112</v>
      </c>
      <c r="C2750" s="17" t="s">
        <v>5341</v>
      </c>
      <c r="D2750" s="5" t="s">
        <v>7086</v>
      </c>
      <c r="E2750" s="35">
        <v>42977</v>
      </c>
    </row>
    <row r="2751" spans="1:5" ht="14.25" hidden="1" customHeight="1">
      <c r="A2751" s="16">
        <v>33139281</v>
      </c>
      <c r="B2751" s="17" t="s">
        <v>1549</v>
      </c>
      <c r="C2751" s="17" t="s">
        <v>5079</v>
      </c>
      <c r="D2751" s="5" t="s">
        <v>7086</v>
      </c>
      <c r="E2751" s="35">
        <v>42977</v>
      </c>
    </row>
    <row r="2752" spans="1:5" ht="14.25" hidden="1" customHeight="1">
      <c r="A2752" s="16">
        <v>33430063</v>
      </c>
      <c r="B2752" s="17" t="s">
        <v>7092</v>
      </c>
      <c r="C2752" s="17" t="s">
        <v>2909</v>
      </c>
      <c r="D2752" s="5" t="s">
        <v>7086</v>
      </c>
      <c r="E2752" s="35">
        <v>42977</v>
      </c>
    </row>
    <row r="2753" spans="1:5" ht="14.25" hidden="1" customHeight="1">
      <c r="A2753" s="16">
        <v>33541793</v>
      </c>
      <c r="B2753" s="17" t="s">
        <v>1244</v>
      </c>
      <c r="C2753" s="17" t="s">
        <v>906</v>
      </c>
      <c r="D2753" s="5" t="s">
        <v>7086</v>
      </c>
      <c r="E2753" s="35">
        <v>42977</v>
      </c>
    </row>
    <row r="2754" spans="1:5" ht="14.25" hidden="1" customHeight="1">
      <c r="A2754" s="16">
        <v>33818840</v>
      </c>
      <c r="B2754" s="17" t="s">
        <v>5846</v>
      </c>
      <c r="C2754" s="17" t="s">
        <v>7095</v>
      </c>
      <c r="D2754" s="5" t="s">
        <v>7086</v>
      </c>
      <c r="E2754" s="35">
        <v>42977</v>
      </c>
    </row>
    <row r="2755" spans="1:5" ht="14.25" hidden="1" customHeight="1">
      <c r="A2755" s="16">
        <v>33977015</v>
      </c>
      <c r="B2755" s="17" t="s">
        <v>472</v>
      </c>
      <c r="C2755" s="17" t="s">
        <v>5721</v>
      </c>
      <c r="D2755" s="5" t="s">
        <v>7086</v>
      </c>
      <c r="E2755" s="35">
        <v>42977</v>
      </c>
    </row>
    <row r="2756" spans="1:5" ht="14.25" hidden="1" customHeight="1">
      <c r="A2756" s="16">
        <v>36584270</v>
      </c>
      <c r="B2756" s="17" t="s">
        <v>5878</v>
      </c>
      <c r="C2756" s="17" t="s">
        <v>5879</v>
      </c>
      <c r="D2756" s="5" t="s">
        <v>7086</v>
      </c>
      <c r="E2756" s="35">
        <v>42977</v>
      </c>
    </row>
    <row r="2757" spans="1:5" ht="14.25" hidden="1" customHeight="1">
      <c r="A2757" s="16">
        <v>37309766</v>
      </c>
      <c r="B2757" s="17" t="s">
        <v>547</v>
      </c>
      <c r="C2757" s="17" t="s">
        <v>5851</v>
      </c>
      <c r="D2757" s="5" t="s">
        <v>7086</v>
      </c>
      <c r="E2757" s="35">
        <v>42977</v>
      </c>
    </row>
    <row r="2758" spans="1:5" ht="14.25" hidden="1" customHeight="1">
      <c r="A2758" s="16">
        <v>37456249</v>
      </c>
      <c r="B2758" s="17" t="s">
        <v>5409</v>
      </c>
      <c r="C2758" s="17" t="s">
        <v>5410</v>
      </c>
      <c r="D2758" s="5" t="s">
        <v>7086</v>
      </c>
      <c r="E2758" s="35">
        <v>42977</v>
      </c>
    </row>
    <row r="2759" spans="1:5" ht="14.25" hidden="1" customHeight="1">
      <c r="A2759" s="16">
        <v>37511447</v>
      </c>
      <c r="B2759" s="17" t="s">
        <v>2725</v>
      </c>
      <c r="C2759" s="17" t="s">
        <v>2726</v>
      </c>
      <c r="D2759" s="5" t="s">
        <v>7086</v>
      </c>
      <c r="E2759" s="35">
        <v>42977</v>
      </c>
    </row>
    <row r="2760" spans="1:5" ht="14.25" hidden="1" customHeight="1">
      <c r="A2760" s="16">
        <v>18185663</v>
      </c>
      <c r="B2760" s="17" t="s">
        <v>26</v>
      </c>
      <c r="C2760" s="17" t="s">
        <v>5759</v>
      </c>
      <c r="D2760" s="5" t="s">
        <v>7009</v>
      </c>
      <c r="E2760" s="35">
        <v>42958</v>
      </c>
    </row>
    <row r="2761" spans="1:5" ht="14.25" hidden="1" customHeight="1">
      <c r="A2761" s="155">
        <v>18185663</v>
      </c>
      <c r="B2761" s="173" t="s">
        <v>26</v>
      </c>
      <c r="C2761" s="173" t="s">
        <v>5759</v>
      </c>
      <c r="D2761" s="173" t="s">
        <v>7009</v>
      </c>
      <c r="E2761" s="203">
        <v>42958</v>
      </c>
    </row>
    <row r="2762" spans="1:5" ht="14.25" hidden="1" customHeight="1">
      <c r="A2762" s="16">
        <v>18889433</v>
      </c>
      <c r="B2762" s="17" t="s">
        <v>967</v>
      </c>
      <c r="C2762" s="17" t="s">
        <v>968</v>
      </c>
      <c r="D2762" s="5" t="s">
        <v>7009</v>
      </c>
      <c r="E2762" s="35">
        <v>42958</v>
      </c>
    </row>
    <row r="2763" spans="1:5" ht="14.25" hidden="1" customHeight="1">
      <c r="A2763" s="155">
        <v>18889433</v>
      </c>
      <c r="B2763" s="173" t="s">
        <v>967</v>
      </c>
      <c r="C2763" s="173" t="s">
        <v>968</v>
      </c>
      <c r="D2763" s="173" t="s">
        <v>7009</v>
      </c>
      <c r="E2763" s="203">
        <v>42958</v>
      </c>
    </row>
    <row r="2764" spans="1:5" ht="14.25" hidden="1" customHeight="1">
      <c r="A2764" s="16">
        <v>25213575</v>
      </c>
      <c r="B2764" s="17" t="s">
        <v>64</v>
      </c>
      <c r="C2764" s="17" t="s">
        <v>1453</v>
      </c>
      <c r="D2764" s="5" t="s">
        <v>7009</v>
      </c>
      <c r="E2764" s="35">
        <v>42958</v>
      </c>
    </row>
    <row r="2765" spans="1:5" ht="14.25" hidden="1" customHeight="1">
      <c r="A2765" s="155">
        <v>25213575</v>
      </c>
      <c r="B2765" s="173" t="s">
        <v>64</v>
      </c>
      <c r="C2765" s="173" t="s">
        <v>1453</v>
      </c>
      <c r="D2765" s="173" t="s">
        <v>7009</v>
      </c>
      <c r="E2765" s="203">
        <v>42958</v>
      </c>
    </row>
    <row r="2766" spans="1:5" ht="14.25" hidden="1" customHeight="1">
      <c r="A2766" s="16">
        <v>26982288</v>
      </c>
      <c r="B2766" s="17" t="s">
        <v>299</v>
      </c>
      <c r="C2766" s="17" t="s">
        <v>296</v>
      </c>
      <c r="D2766" s="5" t="s">
        <v>7009</v>
      </c>
      <c r="E2766" s="35">
        <v>42958</v>
      </c>
    </row>
    <row r="2767" spans="1:5" ht="14.25" hidden="1" customHeight="1">
      <c r="A2767" s="155">
        <v>26982288</v>
      </c>
      <c r="B2767" s="173" t="s">
        <v>299</v>
      </c>
      <c r="C2767" s="173" t="s">
        <v>296</v>
      </c>
      <c r="D2767" s="173" t="s">
        <v>7009</v>
      </c>
      <c r="E2767" s="203">
        <v>42958</v>
      </c>
    </row>
    <row r="2768" spans="1:5" ht="14.25" hidden="1" customHeight="1">
      <c r="A2768" s="16">
        <v>27016126</v>
      </c>
      <c r="B2768" s="17" t="s">
        <v>327</v>
      </c>
      <c r="C2768" s="17" t="s">
        <v>7099</v>
      </c>
      <c r="D2768" s="5" t="s">
        <v>7009</v>
      </c>
      <c r="E2768" s="35">
        <v>42958</v>
      </c>
    </row>
    <row r="2769" spans="1:5" ht="14.25" hidden="1" customHeight="1">
      <c r="A2769" s="155">
        <v>27016126</v>
      </c>
      <c r="B2769" s="173" t="s">
        <v>327</v>
      </c>
      <c r="C2769" s="173" t="s">
        <v>7099</v>
      </c>
      <c r="D2769" s="173" t="s">
        <v>7009</v>
      </c>
      <c r="E2769" s="203">
        <v>42958</v>
      </c>
    </row>
    <row r="2770" spans="1:5" ht="14.25" hidden="1" customHeight="1">
      <c r="A2770" s="16">
        <v>27961528</v>
      </c>
      <c r="B2770" s="17" t="s">
        <v>7036</v>
      </c>
      <c r="C2770" s="17" t="s">
        <v>2519</v>
      </c>
      <c r="D2770" s="5" t="s">
        <v>7009</v>
      </c>
      <c r="E2770" s="35">
        <v>42958</v>
      </c>
    </row>
    <row r="2771" spans="1:5" ht="14.25" hidden="1" customHeight="1">
      <c r="A2771" s="155">
        <v>27961528</v>
      </c>
      <c r="B2771" s="173" t="s">
        <v>7036</v>
      </c>
      <c r="C2771" s="173" t="s">
        <v>2519</v>
      </c>
      <c r="D2771" s="173" t="s">
        <v>7009</v>
      </c>
      <c r="E2771" s="203">
        <v>42958</v>
      </c>
    </row>
    <row r="2772" spans="1:5" ht="14.25" hidden="1" customHeight="1">
      <c r="A2772" s="16">
        <v>31030695</v>
      </c>
      <c r="B2772" s="17" t="s">
        <v>2541</v>
      </c>
      <c r="C2772" s="17" t="s">
        <v>95</v>
      </c>
      <c r="D2772" s="5" t="s">
        <v>7009</v>
      </c>
      <c r="E2772" s="35">
        <v>42958</v>
      </c>
    </row>
    <row r="2773" spans="1:5" ht="14.25" hidden="1" customHeight="1">
      <c r="A2773" s="155">
        <v>31030695</v>
      </c>
      <c r="B2773" s="173" t="s">
        <v>2541</v>
      </c>
      <c r="C2773" s="173" t="s">
        <v>95</v>
      </c>
      <c r="D2773" s="173" t="s">
        <v>7009</v>
      </c>
      <c r="E2773" s="203">
        <v>42958</v>
      </c>
    </row>
    <row r="2774" spans="1:5" ht="14.25" hidden="1" customHeight="1">
      <c r="A2774" s="16">
        <v>31127367</v>
      </c>
      <c r="B2774" s="17" t="s">
        <v>690</v>
      </c>
      <c r="C2774" s="17" t="s">
        <v>1085</v>
      </c>
      <c r="D2774" s="5" t="s">
        <v>7009</v>
      </c>
      <c r="E2774" s="35">
        <v>42958</v>
      </c>
    </row>
    <row r="2775" spans="1:5" ht="14.25" hidden="1" customHeight="1">
      <c r="A2775" s="155">
        <v>31127367</v>
      </c>
      <c r="B2775" s="173" t="s">
        <v>690</v>
      </c>
      <c r="C2775" s="173" t="s">
        <v>1085</v>
      </c>
      <c r="D2775" s="173" t="s">
        <v>7009</v>
      </c>
      <c r="E2775" s="203">
        <v>42958</v>
      </c>
    </row>
    <row r="2776" spans="1:5" ht="14.25" hidden="1" customHeight="1">
      <c r="A2776" s="16">
        <v>31619320</v>
      </c>
      <c r="B2776" s="17" t="s">
        <v>350</v>
      </c>
      <c r="C2776" s="17" t="s">
        <v>1562</v>
      </c>
      <c r="D2776" s="5" t="s">
        <v>7009</v>
      </c>
      <c r="E2776" s="35">
        <v>42958</v>
      </c>
    </row>
    <row r="2777" spans="1:5" ht="14.25" hidden="1" customHeight="1">
      <c r="A2777" s="155">
        <v>31619320</v>
      </c>
      <c r="B2777" s="173" t="s">
        <v>350</v>
      </c>
      <c r="C2777" s="173" t="s">
        <v>1562</v>
      </c>
      <c r="D2777" s="173" t="s">
        <v>7009</v>
      </c>
      <c r="E2777" s="203">
        <v>42958</v>
      </c>
    </row>
    <row r="2778" spans="1:5" ht="14.25" hidden="1" customHeight="1">
      <c r="A2778" s="16">
        <v>31644419</v>
      </c>
      <c r="B2778" s="17" t="s">
        <v>4504</v>
      </c>
      <c r="C2778" s="17" t="s">
        <v>2613</v>
      </c>
      <c r="D2778" s="5" t="s">
        <v>7009</v>
      </c>
      <c r="E2778" s="35">
        <v>42958</v>
      </c>
    </row>
    <row r="2779" spans="1:5" ht="14.25" hidden="1" customHeight="1">
      <c r="A2779" s="155">
        <v>31644419</v>
      </c>
      <c r="B2779" s="173" t="s">
        <v>4504</v>
      </c>
      <c r="C2779" s="173" t="s">
        <v>2613</v>
      </c>
      <c r="D2779" s="173" t="s">
        <v>7009</v>
      </c>
      <c r="E2779" s="203">
        <v>42958</v>
      </c>
    </row>
    <row r="2780" spans="1:5" ht="14.25" hidden="1" customHeight="1">
      <c r="A2780" s="16">
        <v>33163552</v>
      </c>
      <c r="B2780" s="17" t="s">
        <v>190</v>
      </c>
      <c r="C2780" s="17" t="s">
        <v>743</v>
      </c>
      <c r="D2780" s="5" t="s">
        <v>7009</v>
      </c>
      <c r="E2780" s="35">
        <v>42958</v>
      </c>
    </row>
    <row r="2781" spans="1:5" ht="14.25" hidden="1" customHeight="1">
      <c r="A2781" s="155">
        <v>33163552</v>
      </c>
      <c r="B2781" s="173" t="s">
        <v>190</v>
      </c>
      <c r="C2781" s="173" t="s">
        <v>743</v>
      </c>
      <c r="D2781" s="173" t="s">
        <v>7009</v>
      </c>
      <c r="E2781" s="203">
        <v>42958</v>
      </c>
    </row>
    <row r="2782" spans="1:5" ht="14.25" hidden="1" customHeight="1">
      <c r="A2782" s="16">
        <v>34994170</v>
      </c>
      <c r="B2782" s="17" t="s">
        <v>304</v>
      </c>
      <c r="C2782" s="17" t="s">
        <v>305</v>
      </c>
      <c r="D2782" s="5" t="s">
        <v>7009</v>
      </c>
      <c r="E2782" s="35">
        <v>42958</v>
      </c>
    </row>
    <row r="2783" spans="1:5" ht="14.25" hidden="1" customHeight="1">
      <c r="A2783" s="155">
        <v>34994170</v>
      </c>
      <c r="B2783" s="173" t="s">
        <v>304</v>
      </c>
      <c r="C2783" s="173" t="s">
        <v>305</v>
      </c>
      <c r="D2783" s="173" t="s">
        <v>7009</v>
      </c>
      <c r="E2783" s="203">
        <v>42958</v>
      </c>
    </row>
    <row r="2784" spans="1:5" ht="14.25" hidden="1" customHeight="1">
      <c r="A2784" s="16">
        <v>35921443</v>
      </c>
      <c r="B2784" s="17" t="s">
        <v>680</v>
      </c>
      <c r="C2784" s="17" t="s">
        <v>7037</v>
      </c>
      <c r="D2784" s="5" t="s">
        <v>7009</v>
      </c>
      <c r="E2784" s="35">
        <v>42958</v>
      </c>
    </row>
    <row r="2785" spans="1:5" ht="14.25" hidden="1" customHeight="1">
      <c r="A2785" s="155">
        <v>35921443</v>
      </c>
      <c r="B2785" s="173" t="s">
        <v>680</v>
      </c>
      <c r="C2785" s="173" t="s">
        <v>7037</v>
      </c>
      <c r="D2785" s="173" t="s">
        <v>7009</v>
      </c>
      <c r="E2785" s="203">
        <v>42958</v>
      </c>
    </row>
    <row r="2786" spans="1:5" ht="14.25" hidden="1" customHeight="1">
      <c r="A2786" s="16">
        <v>37725924</v>
      </c>
      <c r="B2786" s="17" t="s">
        <v>392</v>
      </c>
      <c r="C2786" s="17" t="s">
        <v>2836</v>
      </c>
      <c r="D2786" s="5" t="s">
        <v>7009</v>
      </c>
      <c r="E2786" s="35">
        <v>42958</v>
      </c>
    </row>
    <row r="2787" spans="1:5" ht="14.25" hidden="1" customHeight="1">
      <c r="A2787" s="155">
        <v>37725924</v>
      </c>
      <c r="B2787" s="173" t="s">
        <v>392</v>
      </c>
      <c r="C2787" s="173" t="s">
        <v>2836</v>
      </c>
      <c r="D2787" s="173" t="s">
        <v>7009</v>
      </c>
      <c r="E2787" s="203">
        <v>42958</v>
      </c>
    </row>
    <row r="2788" spans="1:5" ht="14.25" hidden="1" customHeight="1">
      <c r="A2788" s="16">
        <v>93262857</v>
      </c>
      <c r="B2788" s="17" t="s">
        <v>236</v>
      </c>
      <c r="C2788" s="17" t="s">
        <v>237</v>
      </c>
      <c r="D2788" s="5" t="s">
        <v>7009</v>
      </c>
      <c r="E2788" s="35">
        <v>42958</v>
      </c>
    </row>
    <row r="2789" spans="1:5" ht="14.25" hidden="1" customHeight="1">
      <c r="A2789" s="155">
        <v>93262857</v>
      </c>
      <c r="B2789" s="173" t="s">
        <v>236</v>
      </c>
      <c r="C2789" s="173" t="s">
        <v>237</v>
      </c>
      <c r="D2789" s="173" t="s">
        <v>7009</v>
      </c>
      <c r="E2789" s="203">
        <v>42958</v>
      </c>
    </row>
    <row r="2790" spans="1:5" ht="14.25" hidden="1" customHeight="1">
      <c r="A2790" s="16">
        <v>11054779</v>
      </c>
      <c r="B2790" s="17" t="s">
        <v>3745</v>
      </c>
      <c r="C2790" s="17" t="s">
        <v>1185</v>
      </c>
      <c r="D2790" s="5" t="s">
        <v>7011</v>
      </c>
      <c r="E2790" s="35">
        <v>42956</v>
      </c>
    </row>
    <row r="2791" spans="1:5" ht="14.25" hidden="1" customHeight="1">
      <c r="A2791" s="155">
        <v>11054779</v>
      </c>
      <c r="B2791" s="173" t="s">
        <v>3745</v>
      </c>
      <c r="C2791" s="173" t="s">
        <v>1185</v>
      </c>
      <c r="D2791" s="173" t="s">
        <v>7011</v>
      </c>
      <c r="E2791" s="203">
        <v>42956</v>
      </c>
    </row>
    <row r="2792" spans="1:5" ht="14.25" hidden="1" customHeight="1">
      <c r="A2792" s="16">
        <v>17040749</v>
      </c>
      <c r="B2792" s="17" t="s">
        <v>2132</v>
      </c>
      <c r="C2792" s="17" t="s">
        <v>7101</v>
      </c>
      <c r="D2792" s="5" t="s">
        <v>7011</v>
      </c>
      <c r="E2792" s="35">
        <v>42956</v>
      </c>
    </row>
    <row r="2793" spans="1:5" ht="14.25" hidden="1" customHeight="1">
      <c r="A2793" s="155">
        <v>17040749</v>
      </c>
      <c r="B2793" s="173" t="s">
        <v>2132</v>
      </c>
      <c r="C2793" s="173" t="s">
        <v>7101</v>
      </c>
      <c r="D2793" s="173" t="s">
        <v>7011</v>
      </c>
      <c r="E2793" s="203">
        <v>42956</v>
      </c>
    </row>
    <row r="2794" spans="1:5" ht="14.25" hidden="1" customHeight="1">
      <c r="A2794" s="16">
        <v>17860924</v>
      </c>
      <c r="B2794" s="17" t="s">
        <v>252</v>
      </c>
      <c r="C2794" s="17" t="s">
        <v>2975</v>
      </c>
      <c r="D2794" s="5" t="s">
        <v>7011</v>
      </c>
      <c r="E2794" s="35">
        <v>42956</v>
      </c>
    </row>
    <row r="2795" spans="1:5" ht="14.25" hidden="1" customHeight="1">
      <c r="A2795" s="155">
        <v>17860924</v>
      </c>
      <c r="B2795" s="173" t="s">
        <v>252</v>
      </c>
      <c r="C2795" s="173" t="s">
        <v>2975</v>
      </c>
      <c r="D2795" s="173" t="s">
        <v>7011</v>
      </c>
      <c r="E2795" s="203">
        <v>42956</v>
      </c>
    </row>
    <row r="2796" spans="1:5" ht="14.25" hidden="1" customHeight="1">
      <c r="A2796" s="16">
        <v>18185663</v>
      </c>
      <c r="B2796" s="17" t="s">
        <v>26</v>
      </c>
      <c r="C2796" s="17" t="s">
        <v>5759</v>
      </c>
      <c r="D2796" s="5" t="s">
        <v>7011</v>
      </c>
      <c r="E2796" s="35">
        <v>42956</v>
      </c>
    </row>
    <row r="2797" spans="1:5" ht="14.25" hidden="1" customHeight="1">
      <c r="A2797" s="155">
        <v>18185663</v>
      </c>
      <c r="B2797" s="173" t="s">
        <v>26</v>
      </c>
      <c r="C2797" s="173" t="s">
        <v>5759</v>
      </c>
      <c r="D2797" s="173" t="s">
        <v>7011</v>
      </c>
      <c r="E2797" s="203">
        <v>42956</v>
      </c>
    </row>
    <row r="2798" spans="1:5" ht="14.25" hidden="1" customHeight="1">
      <c r="A2798" s="16">
        <v>18229240</v>
      </c>
      <c r="B2798" s="17" t="s">
        <v>3465</v>
      </c>
      <c r="C2798" s="17" t="s">
        <v>3466</v>
      </c>
      <c r="D2798" s="5" t="s">
        <v>7011</v>
      </c>
      <c r="E2798" s="35">
        <v>42956</v>
      </c>
    </row>
    <row r="2799" spans="1:5" ht="14.25" hidden="1" customHeight="1">
      <c r="A2799" s="155">
        <v>18229240</v>
      </c>
      <c r="B2799" s="173" t="s">
        <v>3465</v>
      </c>
      <c r="C2799" s="173" t="s">
        <v>3466</v>
      </c>
      <c r="D2799" s="173" t="s">
        <v>7011</v>
      </c>
      <c r="E2799" s="203">
        <v>42956</v>
      </c>
    </row>
    <row r="2800" spans="1:5" ht="14.25" hidden="1" customHeight="1">
      <c r="A2800" s="16">
        <v>20178395</v>
      </c>
      <c r="B2800" s="17" t="s">
        <v>2358</v>
      </c>
      <c r="C2800" s="17" t="s">
        <v>7100</v>
      </c>
      <c r="D2800" s="5" t="s">
        <v>7011</v>
      </c>
      <c r="E2800" s="35">
        <v>42956</v>
      </c>
    </row>
    <row r="2801" spans="1:5" ht="14.25" hidden="1" customHeight="1">
      <c r="A2801" s="155">
        <v>20178395</v>
      </c>
      <c r="B2801" s="173" t="s">
        <v>2358</v>
      </c>
      <c r="C2801" s="173" t="s">
        <v>7100</v>
      </c>
      <c r="D2801" s="173" t="s">
        <v>7011</v>
      </c>
      <c r="E2801" s="203">
        <v>42956</v>
      </c>
    </row>
    <row r="2802" spans="1:5" ht="14.25" hidden="1" customHeight="1">
      <c r="A2802" s="16">
        <v>24803209</v>
      </c>
      <c r="B2802" s="17" t="s">
        <v>2602</v>
      </c>
      <c r="C2802" s="17" t="s">
        <v>2603</v>
      </c>
      <c r="D2802" s="5" t="s">
        <v>7011</v>
      </c>
      <c r="E2802" s="35">
        <v>42956</v>
      </c>
    </row>
    <row r="2803" spans="1:5" ht="14.25" hidden="1" customHeight="1">
      <c r="A2803" s="155">
        <v>24803209</v>
      </c>
      <c r="B2803" s="173" t="s">
        <v>2602</v>
      </c>
      <c r="C2803" s="173" t="s">
        <v>2603</v>
      </c>
      <c r="D2803" s="173" t="s">
        <v>7011</v>
      </c>
      <c r="E2803" s="203">
        <v>42956</v>
      </c>
    </row>
    <row r="2804" spans="1:5" ht="14.25" hidden="1" customHeight="1">
      <c r="A2804" s="16">
        <v>25735232</v>
      </c>
      <c r="B2804" s="17" t="s">
        <v>875</v>
      </c>
      <c r="C2804" s="17" t="s">
        <v>5286</v>
      </c>
      <c r="D2804" s="5" t="s">
        <v>7011</v>
      </c>
      <c r="E2804" s="35">
        <v>42956</v>
      </c>
    </row>
    <row r="2805" spans="1:5" ht="14.25" hidden="1" customHeight="1">
      <c r="A2805" s="155">
        <v>25735232</v>
      </c>
      <c r="B2805" s="173" t="s">
        <v>875</v>
      </c>
      <c r="C2805" s="173" t="s">
        <v>5286</v>
      </c>
      <c r="D2805" s="173" t="s">
        <v>7011</v>
      </c>
      <c r="E2805" s="203">
        <v>42956</v>
      </c>
    </row>
    <row r="2806" spans="1:5" ht="14.25" hidden="1" customHeight="1">
      <c r="A2806" s="16">
        <v>25735261</v>
      </c>
      <c r="B2806" s="17" t="s">
        <v>2912</v>
      </c>
      <c r="C2806" s="17" t="s">
        <v>2913</v>
      </c>
      <c r="D2806" s="5" t="s">
        <v>7011</v>
      </c>
      <c r="E2806" s="35">
        <v>42956</v>
      </c>
    </row>
    <row r="2807" spans="1:5" ht="14.25" hidden="1" customHeight="1">
      <c r="A2807" s="155">
        <v>25735261</v>
      </c>
      <c r="B2807" s="173" t="s">
        <v>2912</v>
      </c>
      <c r="C2807" s="173" t="s">
        <v>2913</v>
      </c>
      <c r="D2807" s="173" t="s">
        <v>7011</v>
      </c>
      <c r="E2807" s="203">
        <v>42956</v>
      </c>
    </row>
    <row r="2808" spans="1:5" ht="14.25" hidden="1" customHeight="1">
      <c r="A2808" s="16">
        <v>26982288</v>
      </c>
      <c r="B2808" s="17" t="s">
        <v>293</v>
      </c>
      <c r="C2808" s="17" t="s">
        <v>296</v>
      </c>
      <c r="D2808" s="5" t="s">
        <v>7011</v>
      </c>
      <c r="E2808" s="35">
        <v>42956</v>
      </c>
    </row>
    <row r="2809" spans="1:5" ht="14.25" hidden="1" customHeight="1">
      <c r="A2809" s="155">
        <v>26982288</v>
      </c>
      <c r="B2809" s="173" t="s">
        <v>293</v>
      </c>
      <c r="C2809" s="173" t="s">
        <v>296</v>
      </c>
      <c r="D2809" s="173" t="s">
        <v>7011</v>
      </c>
      <c r="E2809" s="203">
        <v>42956</v>
      </c>
    </row>
    <row r="2810" spans="1:5" ht="14.25" hidden="1" customHeight="1">
      <c r="A2810" s="16">
        <v>31619320</v>
      </c>
      <c r="B2810" s="17" t="s">
        <v>350</v>
      </c>
      <c r="C2810" s="17" t="s">
        <v>1562</v>
      </c>
      <c r="D2810" s="5" t="s">
        <v>7011</v>
      </c>
      <c r="E2810" s="35">
        <v>42956</v>
      </c>
    </row>
    <row r="2811" spans="1:5" ht="14.25" hidden="1" customHeight="1">
      <c r="A2811" s="155">
        <v>31619320</v>
      </c>
      <c r="B2811" s="173" t="s">
        <v>350</v>
      </c>
      <c r="C2811" s="173" t="s">
        <v>1562</v>
      </c>
      <c r="D2811" s="173" t="s">
        <v>7011</v>
      </c>
      <c r="E2811" s="203">
        <v>42956</v>
      </c>
    </row>
    <row r="2812" spans="1:5" ht="14.25" hidden="1" customHeight="1">
      <c r="A2812" s="16">
        <v>36049422</v>
      </c>
      <c r="B2812" s="17" t="s">
        <v>2683</v>
      </c>
      <c r="C2812" s="17" t="s">
        <v>558</v>
      </c>
      <c r="D2812" s="5" t="s">
        <v>7011</v>
      </c>
      <c r="E2812" s="35">
        <v>42956</v>
      </c>
    </row>
    <row r="2813" spans="1:5" ht="14.25" hidden="1" customHeight="1">
      <c r="A2813" s="155">
        <v>36049422</v>
      </c>
      <c r="B2813" s="173" t="s">
        <v>2683</v>
      </c>
      <c r="C2813" s="173" t="s">
        <v>558</v>
      </c>
      <c r="D2813" s="173" t="s">
        <v>7011</v>
      </c>
      <c r="E2813" s="203">
        <v>42956</v>
      </c>
    </row>
    <row r="2814" spans="1:5" ht="14.25" hidden="1" customHeight="1">
      <c r="A2814" s="16">
        <v>39478644</v>
      </c>
      <c r="B2814" s="17" t="s">
        <v>1014</v>
      </c>
      <c r="C2814" s="17" t="s">
        <v>1015</v>
      </c>
      <c r="D2814" s="5" t="s">
        <v>7011</v>
      </c>
      <c r="E2814" s="35">
        <v>42956</v>
      </c>
    </row>
    <row r="2815" spans="1:5" ht="14.25" hidden="1" customHeight="1">
      <c r="A2815" s="155">
        <v>39478644</v>
      </c>
      <c r="B2815" s="173" t="s">
        <v>1014</v>
      </c>
      <c r="C2815" s="173" t="s">
        <v>1015</v>
      </c>
      <c r="D2815" s="173" t="s">
        <v>7011</v>
      </c>
      <c r="E2815" s="203">
        <v>42956</v>
      </c>
    </row>
    <row r="2816" spans="1:5" ht="14.25" hidden="1" customHeight="1">
      <c r="A2816" s="16">
        <v>12149654</v>
      </c>
      <c r="B2816" s="17" t="s">
        <v>394</v>
      </c>
      <c r="C2816" s="17" t="s">
        <v>395</v>
      </c>
      <c r="D2816" s="5" t="s">
        <v>7102</v>
      </c>
      <c r="E2816" s="35">
        <v>42955</v>
      </c>
    </row>
    <row r="2817" spans="1:5" ht="14.25" hidden="1" customHeight="1">
      <c r="A2817" s="155">
        <v>12149654</v>
      </c>
      <c r="B2817" s="173" t="s">
        <v>394</v>
      </c>
      <c r="C2817" s="173" t="s">
        <v>395</v>
      </c>
      <c r="D2817" s="173" t="s">
        <v>7102</v>
      </c>
      <c r="E2817" s="203">
        <v>42955</v>
      </c>
    </row>
    <row r="2818" spans="1:5" ht="14.25" hidden="1" customHeight="1">
      <c r="A2818" s="16">
        <v>12413333</v>
      </c>
      <c r="B2818" s="17" t="s">
        <v>497</v>
      </c>
      <c r="C2818" s="17" t="s">
        <v>832</v>
      </c>
      <c r="D2818" s="5" t="s">
        <v>7102</v>
      </c>
      <c r="E2818" s="35">
        <v>42955</v>
      </c>
    </row>
    <row r="2819" spans="1:5" ht="14.25" hidden="1" customHeight="1">
      <c r="A2819" s="155">
        <v>12413333</v>
      </c>
      <c r="B2819" s="173" t="s">
        <v>497</v>
      </c>
      <c r="C2819" s="173" t="s">
        <v>832</v>
      </c>
      <c r="D2819" s="173" t="s">
        <v>7102</v>
      </c>
      <c r="E2819" s="203">
        <v>42955</v>
      </c>
    </row>
    <row r="2820" spans="1:5" ht="14.25" hidden="1" customHeight="1">
      <c r="A2820" s="16">
        <v>12597724</v>
      </c>
      <c r="B2820" s="17" t="s">
        <v>760</v>
      </c>
      <c r="C2820" s="17" t="s">
        <v>4424</v>
      </c>
      <c r="D2820" s="5" t="s">
        <v>7102</v>
      </c>
      <c r="E2820" s="35">
        <v>42955</v>
      </c>
    </row>
    <row r="2821" spans="1:5" ht="14.25" hidden="1" customHeight="1">
      <c r="A2821" s="155">
        <v>12597724</v>
      </c>
      <c r="B2821" s="173" t="s">
        <v>760</v>
      </c>
      <c r="C2821" s="173" t="s">
        <v>4424</v>
      </c>
      <c r="D2821" s="173" t="s">
        <v>7102</v>
      </c>
      <c r="E2821" s="203">
        <v>42955</v>
      </c>
    </row>
    <row r="2822" spans="1:5" ht="14.25" hidden="1" customHeight="1">
      <c r="A2822" s="16">
        <v>12674864</v>
      </c>
      <c r="B2822" s="17" t="s">
        <v>811</v>
      </c>
      <c r="C2822" s="17" t="s">
        <v>812</v>
      </c>
      <c r="D2822" s="5" t="s">
        <v>7102</v>
      </c>
      <c r="E2822" s="35">
        <v>42955</v>
      </c>
    </row>
    <row r="2823" spans="1:5" ht="14.25" hidden="1" customHeight="1">
      <c r="A2823" s="155">
        <v>12674864</v>
      </c>
      <c r="B2823" s="173" t="s">
        <v>811</v>
      </c>
      <c r="C2823" s="173" t="s">
        <v>812</v>
      </c>
      <c r="D2823" s="173" t="s">
        <v>7102</v>
      </c>
      <c r="E2823" s="203">
        <v>42955</v>
      </c>
    </row>
    <row r="2824" spans="1:5" ht="14.25" hidden="1" customHeight="1">
      <c r="A2824" s="16">
        <v>14226455</v>
      </c>
      <c r="B2824" s="17" t="s">
        <v>6279</v>
      </c>
      <c r="C2824" s="17" t="s">
        <v>6280</v>
      </c>
      <c r="D2824" s="5" t="s">
        <v>7102</v>
      </c>
      <c r="E2824" s="35">
        <v>42955</v>
      </c>
    </row>
    <row r="2825" spans="1:5" ht="14.25" hidden="1" customHeight="1">
      <c r="A2825" s="155">
        <v>14226455</v>
      </c>
      <c r="B2825" s="173" t="s">
        <v>6279</v>
      </c>
      <c r="C2825" s="173" t="s">
        <v>6280</v>
      </c>
      <c r="D2825" s="173" t="s">
        <v>7102</v>
      </c>
      <c r="E2825" s="203">
        <v>42955</v>
      </c>
    </row>
    <row r="2826" spans="1:5" ht="14.25" hidden="1" customHeight="1">
      <c r="A2826" s="16">
        <v>14966482</v>
      </c>
      <c r="B2826" s="17" t="s">
        <v>2785</v>
      </c>
      <c r="C2826" s="17" t="s">
        <v>2786</v>
      </c>
      <c r="D2826" s="5" t="s">
        <v>7102</v>
      </c>
      <c r="E2826" s="35">
        <v>42955</v>
      </c>
    </row>
    <row r="2827" spans="1:5" ht="14.25" hidden="1" customHeight="1">
      <c r="A2827" s="155">
        <v>14966482</v>
      </c>
      <c r="B2827" s="173" t="s">
        <v>2785</v>
      </c>
      <c r="C2827" s="173" t="s">
        <v>2786</v>
      </c>
      <c r="D2827" s="173" t="s">
        <v>7102</v>
      </c>
      <c r="E2827" s="203">
        <v>42955</v>
      </c>
    </row>
    <row r="2828" spans="1:5" ht="14.25" hidden="1" customHeight="1">
      <c r="A2828" s="16">
        <v>16842434</v>
      </c>
      <c r="B2828" s="17" t="s">
        <v>863</v>
      </c>
      <c r="C2828" s="17" t="s">
        <v>4578</v>
      </c>
      <c r="D2828" s="5" t="s">
        <v>7102</v>
      </c>
      <c r="E2828" s="35">
        <v>42955</v>
      </c>
    </row>
    <row r="2829" spans="1:5" ht="14.25" hidden="1" customHeight="1">
      <c r="A2829" s="155">
        <v>16842434</v>
      </c>
      <c r="B2829" s="173" t="s">
        <v>863</v>
      </c>
      <c r="C2829" s="173" t="s">
        <v>4578</v>
      </c>
      <c r="D2829" s="173" t="s">
        <v>7102</v>
      </c>
      <c r="E2829" s="203">
        <v>42955</v>
      </c>
    </row>
    <row r="2830" spans="1:5" ht="14.25" hidden="1" customHeight="1">
      <c r="A2830" s="16">
        <v>17040749</v>
      </c>
      <c r="B2830" s="17" t="s">
        <v>2132</v>
      </c>
      <c r="C2830" s="17" t="s">
        <v>7101</v>
      </c>
      <c r="D2830" s="5" t="s">
        <v>7102</v>
      </c>
      <c r="E2830" s="35">
        <v>42955</v>
      </c>
    </row>
    <row r="2831" spans="1:5" ht="14.25" hidden="1" customHeight="1">
      <c r="A2831" s="155">
        <v>17040749</v>
      </c>
      <c r="B2831" s="173" t="s">
        <v>2132</v>
      </c>
      <c r="C2831" s="173" t="s">
        <v>7101</v>
      </c>
      <c r="D2831" s="173" t="s">
        <v>7102</v>
      </c>
      <c r="E2831" s="203">
        <v>42955</v>
      </c>
    </row>
    <row r="2832" spans="1:5" ht="14.25" hidden="1" customHeight="1">
      <c r="A2832" s="16">
        <v>20171458</v>
      </c>
      <c r="B2832" s="17" t="s">
        <v>2813</v>
      </c>
      <c r="C2832" s="17" t="s">
        <v>5808</v>
      </c>
      <c r="D2832" s="5" t="s">
        <v>7102</v>
      </c>
      <c r="E2832" s="35">
        <v>42955</v>
      </c>
    </row>
    <row r="2833" spans="1:5" ht="14.25" hidden="1" customHeight="1">
      <c r="A2833" s="155">
        <v>20171458</v>
      </c>
      <c r="B2833" s="173" t="s">
        <v>2813</v>
      </c>
      <c r="C2833" s="173" t="s">
        <v>5808</v>
      </c>
      <c r="D2833" s="173" t="s">
        <v>7102</v>
      </c>
      <c r="E2833" s="203">
        <v>42955</v>
      </c>
    </row>
    <row r="2834" spans="1:5" ht="14.25" hidden="1" customHeight="1">
      <c r="A2834" s="16">
        <v>22264316</v>
      </c>
      <c r="B2834" s="17" t="s">
        <v>2687</v>
      </c>
      <c r="C2834" s="17" t="s">
        <v>2688</v>
      </c>
      <c r="D2834" s="5" t="s">
        <v>7102</v>
      </c>
      <c r="E2834" s="35">
        <v>42955</v>
      </c>
    </row>
    <row r="2835" spans="1:5" ht="14.25" hidden="1" customHeight="1">
      <c r="A2835" s="155">
        <v>22264316</v>
      </c>
      <c r="B2835" s="173" t="s">
        <v>2687</v>
      </c>
      <c r="C2835" s="173" t="s">
        <v>2688</v>
      </c>
      <c r="D2835" s="173" t="s">
        <v>7102</v>
      </c>
      <c r="E2835" s="203">
        <v>42955</v>
      </c>
    </row>
    <row r="2836" spans="1:5" ht="14.25" hidden="1" customHeight="1">
      <c r="A2836" s="16">
        <v>22336712</v>
      </c>
      <c r="B2836" s="17" t="s">
        <v>5262</v>
      </c>
      <c r="C2836" s="17" t="s">
        <v>7103</v>
      </c>
      <c r="D2836" s="5" t="s">
        <v>7102</v>
      </c>
      <c r="E2836" s="35">
        <v>42955</v>
      </c>
    </row>
    <row r="2837" spans="1:5" ht="14.25" hidden="1" customHeight="1">
      <c r="A2837" s="155">
        <v>22336712</v>
      </c>
      <c r="B2837" s="173" t="s">
        <v>5262</v>
      </c>
      <c r="C2837" s="173" t="s">
        <v>7103</v>
      </c>
      <c r="D2837" s="173" t="s">
        <v>7102</v>
      </c>
      <c r="E2837" s="203">
        <v>42955</v>
      </c>
    </row>
    <row r="2838" spans="1:5" ht="14.25" hidden="1" customHeight="1">
      <c r="A2838" s="16">
        <v>23117847</v>
      </c>
      <c r="B2838" s="17" t="s">
        <v>226</v>
      </c>
      <c r="C2838" s="17" t="s">
        <v>895</v>
      </c>
      <c r="D2838" s="5" t="s">
        <v>7102</v>
      </c>
      <c r="E2838" s="35">
        <v>42955</v>
      </c>
    </row>
    <row r="2839" spans="1:5" ht="14.25" hidden="1" customHeight="1">
      <c r="A2839" s="155">
        <v>23117847</v>
      </c>
      <c r="B2839" s="173" t="s">
        <v>226</v>
      </c>
      <c r="C2839" s="173" t="s">
        <v>895</v>
      </c>
      <c r="D2839" s="173" t="s">
        <v>7102</v>
      </c>
      <c r="E2839" s="203">
        <v>42955</v>
      </c>
    </row>
    <row r="2840" spans="1:5" ht="14.25" hidden="1" customHeight="1">
      <c r="A2840" s="16">
        <v>23239528</v>
      </c>
      <c r="B2840" s="17" t="s">
        <v>4981</v>
      </c>
      <c r="C2840" s="17" t="s">
        <v>4982</v>
      </c>
      <c r="D2840" s="5" t="s">
        <v>7102</v>
      </c>
      <c r="E2840" s="35">
        <v>42955</v>
      </c>
    </row>
    <row r="2841" spans="1:5" ht="14.25" hidden="1" customHeight="1">
      <c r="A2841" s="155">
        <v>23239528</v>
      </c>
      <c r="B2841" s="173" t="s">
        <v>4981</v>
      </c>
      <c r="C2841" s="173" t="s">
        <v>4982</v>
      </c>
      <c r="D2841" s="173" t="s">
        <v>7102</v>
      </c>
      <c r="E2841" s="203">
        <v>42955</v>
      </c>
    </row>
    <row r="2842" spans="1:5" ht="14.25" hidden="1" customHeight="1">
      <c r="A2842" s="16">
        <v>24200813</v>
      </c>
      <c r="B2842" s="17" t="s">
        <v>2766</v>
      </c>
      <c r="C2842" s="17" t="s">
        <v>2767</v>
      </c>
      <c r="D2842" s="5" t="s">
        <v>7102</v>
      </c>
      <c r="E2842" s="35">
        <v>42955</v>
      </c>
    </row>
    <row r="2843" spans="1:5" ht="14.25" hidden="1" customHeight="1">
      <c r="A2843" s="155">
        <v>24200813</v>
      </c>
      <c r="B2843" s="173" t="s">
        <v>2766</v>
      </c>
      <c r="C2843" s="173" t="s">
        <v>2767</v>
      </c>
      <c r="D2843" s="173" t="s">
        <v>7102</v>
      </c>
      <c r="E2843" s="203">
        <v>42955</v>
      </c>
    </row>
    <row r="2844" spans="1:5" ht="14.25" hidden="1" customHeight="1">
      <c r="A2844" s="16">
        <v>24503602</v>
      </c>
      <c r="B2844" s="17" t="s">
        <v>394</v>
      </c>
      <c r="C2844" s="17" t="s">
        <v>2873</v>
      </c>
      <c r="D2844" s="5" t="s">
        <v>7102</v>
      </c>
      <c r="E2844" s="35">
        <v>42955</v>
      </c>
    </row>
    <row r="2845" spans="1:5" ht="14.25" hidden="1" customHeight="1">
      <c r="A2845" s="155">
        <v>24503602</v>
      </c>
      <c r="B2845" s="173" t="s">
        <v>394</v>
      </c>
      <c r="C2845" s="173" t="s">
        <v>2873</v>
      </c>
      <c r="D2845" s="173" t="s">
        <v>7102</v>
      </c>
      <c r="E2845" s="203">
        <v>42955</v>
      </c>
    </row>
    <row r="2846" spans="1:5" ht="14.25" hidden="1" customHeight="1">
      <c r="A2846" s="16">
        <v>26638839</v>
      </c>
      <c r="B2846" s="17" t="s">
        <v>901</v>
      </c>
      <c r="C2846" s="17" t="s">
        <v>902</v>
      </c>
      <c r="D2846" s="5" t="s">
        <v>7102</v>
      </c>
      <c r="E2846" s="35">
        <v>42955</v>
      </c>
    </row>
    <row r="2847" spans="1:5" ht="14.25" hidden="1" customHeight="1">
      <c r="A2847" s="155">
        <v>26638839</v>
      </c>
      <c r="B2847" s="173" t="s">
        <v>901</v>
      </c>
      <c r="C2847" s="173" t="s">
        <v>902</v>
      </c>
      <c r="D2847" s="173" t="s">
        <v>7102</v>
      </c>
      <c r="E2847" s="203">
        <v>42955</v>
      </c>
    </row>
    <row r="2848" spans="1:5" ht="14.25" hidden="1" customHeight="1">
      <c r="A2848" s="16">
        <v>26743740</v>
      </c>
      <c r="B2848" s="17" t="s">
        <v>794</v>
      </c>
      <c r="C2848" s="17" t="s">
        <v>2371</v>
      </c>
      <c r="D2848" s="5" t="s">
        <v>7102</v>
      </c>
      <c r="E2848" s="35">
        <v>42955</v>
      </c>
    </row>
    <row r="2849" spans="1:5" ht="14.25" hidden="1" customHeight="1">
      <c r="A2849" s="155">
        <v>26743740</v>
      </c>
      <c r="B2849" s="173" t="s">
        <v>794</v>
      </c>
      <c r="C2849" s="173" t="s">
        <v>2371</v>
      </c>
      <c r="D2849" s="173" t="s">
        <v>7102</v>
      </c>
      <c r="E2849" s="203">
        <v>42955</v>
      </c>
    </row>
    <row r="2850" spans="1:5" ht="14.25" hidden="1" customHeight="1">
      <c r="A2850" s="16">
        <v>26782545</v>
      </c>
      <c r="B2850" s="17" t="s">
        <v>1244</v>
      </c>
      <c r="C2850" s="17" t="s">
        <v>3158</v>
      </c>
      <c r="D2850" s="5" t="s">
        <v>7102</v>
      </c>
      <c r="E2850" s="35">
        <v>42955</v>
      </c>
    </row>
    <row r="2851" spans="1:5" ht="14.25" hidden="1" customHeight="1">
      <c r="A2851" s="155">
        <v>26782545</v>
      </c>
      <c r="B2851" s="173" t="s">
        <v>1244</v>
      </c>
      <c r="C2851" s="173" t="s">
        <v>3158</v>
      </c>
      <c r="D2851" s="173" t="s">
        <v>7102</v>
      </c>
      <c r="E2851" s="203">
        <v>42955</v>
      </c>
    </row>
    <row r="2852" spans="1:5" ht="14.25" hidden="1" customHeight="1">
      <c r="A2852" s="16">
        <v>27017415</v>
      </c>
      <c r="B2852" s="17" t="s">
        <v>4556</v>
      </c>
      <c r="C2852" s="17" t="s">
        <v>1109</v>
      </c>
      <c r="D2852" s="5" t="s">
        <v>7102</v>
      </c>
      <c r="E2852" s="35">
        <v>42955</v>
      </c>
    </row>
    <row r="2853" spans="1:5" ht="14.25" hidden="1" customHeight="1">
      <c r="A2853" s="155">
        <v>27017415</v>
      </c>
      <c r="B2853" s="173" t="s">
        <v>4556</v>
      </c>
      <c r="C2853" s="173" t="s">
        <v>1109</v>
      </c>
      <c r="D2853" s="173" t="s">
        <v>7102</v>
      </c>
      <c r="E2853" s="203">
        <v>42955</v>
      </c>
    </row>
    <row r="2854" spans="1:5" ht="14.25" hidden="1" customHeight="1">
      <c r="A2854" s="16">
        <v>28883570</v>
      </c>
      <c r="B2854" s="17" t="s">
        <v>814</v>
      </c>
      <c r="C2854" s="17" t="s">
        <v>815</v>
      </c>
      <c r="D2854" s="5" t="s">
        <v>7102</v>
      </c>
      <c r="E2854" s="35">
        <v>42955</v>
      </c>
    </row>
    <row r="2855" spans="1:5" ht="14.25" hidden="1" customHeight="1">
      <c r="A2855" s="155">
        <v>28883570</v>
      </c>
      <c r="B2855" s="173" t="s">
        <v>814</v>
      </c>
      <c r="C2855" s="173" t="s">
        <v>815</v>
      </c>
      <c r="D2855" s="173" t="s">
        <v>7102</v>
      </c>
      <c r="E2855" s="203">
        <v>42955</v>
      </c>
    </row>
    <row r="2856" spans="1:5" ht="14.25" hidden="1" customHeight="1">
      <c r="A2856" s="16">
        <v>29430210</v>
      </c>
      <c r="B2856" s="17" t="s">
        <v>828</v>
      </c>
      <c r="C2856" s="17" t="s">
        <v>829</v>
      </c>
      <c r="D2856" s="5" t="s">
        <v>7102</v>
      </c>
      <c r="E2856" s="35">
        <v>42955</v>
      </c>
    </row>
    <row r="2857" spans="1:5" ht="14.25" hidden="1" customHeight="1">
      <c r="A2857" s="155">
        <v>29430210</v>
      </c>
      <c r="B2857" s="173" t="s">
        <v>828</v>
      </c>
      <c r="C2857" s="173" t="s">
        <v>829</v>
      </c>
      <c r="D2857" s="173" t="s">
        <v>7102</v>
      </c>
      <c r="E2857" s="203">
        <v>42955</v>
      </c>
    </row>
    <row r="2858" spans="1:5" ht="14.25" hidden="1" customHeight="1">
      <c r="A2858" s="16">
        <v>31038016</v>
      </c>
      <c r="B2858" s="17" t="s">
        <v>822</v>
      </c>
      <c r="C2858" s="17" t="s">
        <v>823</v>
      </c>
      <c r="D2858" s="5" t="s">
        <v>7102</v>
      </c>
      <c r="E2858" s="35">
        <v>42955</v>
      </c>
    </row>
    <row r="2859" spans="1:5" ht="14.25" hidden="1" customHeight="1">
      <c r="A2859" s="155">
        <v>31038016</v>
      </c>
      <c r="B2859" s="173" t="s">
        <v>822</v>
      </c>
      <c r="C2859" s="173" t="s">
        <v>823</v>
      </c>
      <c r="D2859" s="173" t="s">
        <v>7102</v>
      </c>
      <c r="E2859" s="203">
        <v>42955</v>
      </c>
    </row>
    <row r="2860" spans="1:5" ht="14.25" hidden="1" customHeight="1">
      <c r="A2860" s="16">
        <v>37500942</v>
      </c>
      <c r="B2860" s="17" t="s">
        <v>2304</v>
      </c>
      <c r="C2860" s="17" t="s">
        <v>2305</v>
      </c>
      <c r="D2860" s="5" t="s">
        <v>7102</v>
      </c>
      <c r="E2860" s="35">
        <v>42955</v>
      </c>
    </row>
    <row r="2861" spans="1:5" ht="14.25" hidden="1" customHeight="1">
      <c r="A2861" s="155">
        <v>37500942</v>
      </c>
      <c r="B2861" s="173" t="s">
        <v>2304</v>
      </c>
      <c r="C2861" s="173" t="s">
        <v>2305</v>
      </c>
      <c r="D2861" s="173" t="s">
        <v>7102</v>
      </c>
      <c r="E2861" s="203">
        <v>42955</v>
      </c>
    </row>
    <row r="2862" spans="1:5" ht="14.25" hidden="1" customHeight="1">
      <c r="A2862" s="16">
        <v>12318780</v>
      </c>
      <c r="B2862" s="17" t="s">
        <v>2586</v>
      </c>
      <c r="C2862" s="17" t="s">
        <v>2587</v>
      </c>
      <c r="D2862" s="1" t="s">
        <v>7020</v>
      </c>
      <c r="E2862" s="35">
        <v>42955</v>
      </c>
    </row>
    <row r="2863" spans="1:5" ht="14.25" hidden="1" customHeight="1">
      <c r="A2863" s="155">
        <v>12318780</v>
      </c>
      <c r="B2863" s="173" t="s">
        <v>2586</v>
      </c>
      <c r="C2863" s="173" t="s">
        <v>2587</v>
      </c>
      <c r="D2863" s="173" t="s">
        <v>7020</v>
      </c>
      <c r="E2863" s="203">
        <v>42955</v>
      </c>
    </row>
    <row r="2864" spans="1:5" ht="14.25" hidden="1" customHeight="1">
      <c r="A2864" s="16">
        <v>12414462</v>
      </c>
      <c r="B2864" s="17" t="s">
        <v>1973</v>
      </c>
      <c r="C2864" s="17" t="s">
        <v>4292</v>
      </c>
      <c r="D2864" s="1" t="s">
        <v>7020</v>
      </c>
      <c r="E2864" s="35">
        <v>42955</v>
      </c>
    </row>
    <row r="2865" spans="1:5" ht="14.25" hidden="1" customHeight="1">
      <c r="A2865" s="155">
        <v>12414462</v>
      </c>
      <c r="B2865" s="173" t="s">
        <v>1973</v>
      </c>
      <c r="C2865" s="173" t="s">
        <v>4292</v>
      </c>
      <c r="D2865" s="173" t="s">
        <v>7020</v>
      </c>
      <c r="E2865" s="203">
        <v>42955</v>
      </c>
    </row>
    <row r="2866" spans="1:5" ht="14.25" hidden="1" customHeight="1">
      <c r="A2866" s="16">
        <v>14226968</v>
      </c>
      <c r="B2866" s="17" t="s">
        <v>2460</v>
      </c>
      <c r="C2866" s="17" t="s">
        <v>351</v>
      </c>
      <c r="D2866" s="1" t="s">
        <v>7020</v>
      </c>
      <c r="E2866" s="35">
        <v>42955</v>
      </c>
    </row>
    <row r="2867" spans="1:5" ht="14.25" hidden="1" customHeight="1">
      <c r="A2867" s="155">
        <v>14226968</v>
      </c>
      <c r="B2867" s="173" t="s">
        <v>2460</v>
      </c>
      <c r="C2867" s="173" t="s">
        <v>351</v>
      </c>
      <c r="D2867" s="173" t="s">
        <v>7020</v>
      </c>
      <c r="E2867" s="203">
        <v>42955</v>
      </c>
    </row>
    <row r="2868" spans="1:5" ht="14.25" hidden="1" customHeight="1">
      <c r="A2868" s="16">
        <v>16541630</v>
      </c>
      <c r="B2868" s="17" t="s">
        <v>3101</v>
      </c>
      <c r="C2868" s="17" t="s">
        <v>3765</v>
      </c>
      <c r="D2868" s="1" t="s">
        <v>7020</v>
      </c>
      <c r="E2868" s="35">
        <v>42955</v>
      </c>
    </row>
    <row r="2869" spans="1:5" ht="14.25" hidden="1" customHeight="1">
      <c r="A2869" s="155">
        <v>16541630</v>
      </c>
      <c r="B2869" s="173" t="s">
        <v>3101</v>
      </c>
      <c r="C2869" s="173" t="s">
        <v>3765</v>
      </c>
      <c r="D2869" s="173" t="s">
        <v>7020</v>
      </c>
      <c r="E2869" s="203">
        <v>42955</v>
      </c>
    </row>
    <row r="2870" spans="1:5" ht="14.25" hidden="1" customHeight="1">
      <c r="A2870" s="16">
        <v>16686494</v>
      </c>
      <c r="B2870" s="17" t="s">
        <v>458</v>
      </c>
      <c r="C2870" s="17" t="s">
        <v>459</v>
      </c>
      <c r="D2870" s="1" t="s">
        <v>7020</v>
      </c>
      <c r="E2870" s="35">
        <v>42955</v>
      </c>
    </row>
    <row r="2871" spans="1:5" ht="14.25" hidden="1" customHeight="1">
      <c r="A2871" s="155">
        <v>16686494</v>
      </c>
      <c r="B2871" s="173" t="s">
        <v>458</v>
      </c>
      <c r="C2871" s="173" t="s">
        <v>459</v>
      </c>
      <c r="D2871" s="173" t="s">
        <v>7020</v>
      </c>
      <c r="E2871" s="203">
        <v>42955</v>
      </c>
    </row>
    <row r="2872" spans="1:5" ht="14.25" hidden="1" customHeight="1">
      <c r="A2872" s="16">
        <v>20178922</v>
      </c>
      <c r="B2872" s="17" t="s">
        <v>5788</v>
      </c>
      <c r="C2872" s="17" t="s">
        <v>5789</v>
      </c>
      <c r="D2872" s="1" t="s">
        <v>7020</v>
      </c>
      <c r="E2872" s="35">
        <v>42955</v>
      </c>
    </row>
    <row r="2873" spans="1:5" ht="14.25" hidden="1" customHeight="1">
      <c r="A2873" s="155">
        <v>20178922</v>
      </c>
      <c r="B2873" s="173" t="s">
        <v>5788</v>
      </c>
      <c r="C2873" s="173" t="s">
        <v>5789</v>
      </c>
      <c r="D2873" s="173" t="s">
        <v>7020</v>
      </c>
      <c r="E2873" s="203">
        <v>42955</v>
      </c>
    </row>
    <row r="2874" spans="1:5" ht="14.25" hidden="1" customHeight="1">
      <c r="A2874" s="16">
        <v>20285028</v>
      </c>
      <c r="B2874" s="17" t="s">
        <v>927</v>
      </c>
      <c r="C2874" s="17" t="s">
        <v>4897</v>
      </c>
      <c r="D2874" s="1" t="s">
        <v>7020</v>
      </c>
      <c r="E2874" s="35">
        <v>42955</v>
      </c>
    </row>
    <row r="2875" spans="1:5" ht="14.25" hidden="1" customHeight="1">
      <c r="A2875" s="155">
        <v>20285028</v>
      </c>
      <c r="B2875" s="173" t="s">
        <v>927</v>
      </c>
      <c r="C2875" s="173" t="s">
        <v>4897</v>
      </c>
      <c r="D2875" s="173" t="s">
        <v>7020</v>
      </c>
      <c r="E2875" s="203">
        <v>42955</v>
      </c>
    </row>
    <row r="2876" spans="1:5" ht="14.25" hidden="1" customHeight="1">
      <c r="A2876" s="16">
        <v>25542289</v>
      </c>
      <c r="B2876" s="17" t="s">
        <v>1190</v>
      </c>
      <c r="C2876" s="17" t="s">
        <v>2209</v>
      </c>
      <c r="D2876" s="1" t="s">
        <v>7020</v>
      </c>
      <c r="E2876" s="35">
        <v>42955</v>
      </c>
    </row>
    <row r="2877" spans="1:5" ht="14.25" hidden="1" customHeight="1">
      <c r="A2877" s="155">
        <v>25542289</v>
      </c>
      <c r="B2877" s="173" t="s">
        <v>1190</v>
      </c>
      <c r="C2877" s="173" t="s">
        <v>2209</v>
      </c>
      <c r="D2877" s="173" t="s">
        <v>7020</v>
      </c>
      <c r="E2877" s="203">
        <v>42955</v>
      </c>
    </row>
    <row r="2878" spans="1:5" ht="14.25" hidden="1" customHeight="1">
      <c r="A2878" s="16">
        <v>26028695</v>
      </c>
      <c r="B2878" s="17" t="s">
        <v>1680</v>
      </c>
      <c r="C2878" s="17" t="s">
        <v>1681</v>
      </c>
      <c r="D2878" s="1" t="s">
        <v>7020</v>
      </c>
      <c r="E2878" s="35">
        <v>42955</v>
      </c>
    </row>
    <row r="2879" spans="1:5" ht="14.25" hidden="1" customHeight="1">
      <c r="A2879" s="155">
        <v>26028695</v>
      </c>
      <c r="B2879" s="173" t="s">
        <v>1680</v>
      </c>
      <c r="C2879" s="173" t="s">
        <v>1681</v>
      </c>
      <c r="D2879" s="173" t="s">
        <v>7020</v>
      </c>
      <c r="E2879" s="203">
        <v>42955</v>
      </c>
    </row>
    <row r="2880" spans="1:5" ht="14.25" hidden="1" customHeight="1">
      <c r="A2880" s="16">
        <v>27016096</v>
      </c>
      <c r="B2880" s="17" t="s">
        <v>3290</v>
      </c>
      <c r="C2880" s="17" t="s">
        <v>3291</v>
      </c>
      <c r="D2880" s="1" t="s">
        <v>7020</v>
      </c>
      <c r="E2880" s="35">
        <v>42955</v>
      </c>
    </row>
    <row r="2881" spans="1:5" ht="14.25" hidden="1" customHeight="1">
      <c r="A2881" s="155">
        <v>27016096</v>
      </c>
      <c r="B2881" s="173" t="s">
        <v>3290</v>
      </c>
      <c r="C2881" s="173" t="s">
        <v>3291</v>
      </c>
      <c r="D2881" s="173" t="s">
        <v>7020</v>
      </c>
      <c r="E2881" s="203">
        <v>42955</v>
      </c>
    </row>
    <row r="2882" spans="1:5" ht="14.25" hidden="1" customHeight="1">
      <c r="A2882" s="16">
        <v>28221502</v>
      </c>
      <c r="B2882" s="17" t="s">
        <v>315</v>
      </c>
      <c r="C2882" s="17" t="s">
        <v>1545</v>
      </c>
      <c r="D2882" s="1" t="s">
        <v>7020</v>
      </c>
      <c r="E2882" s="35">
        <v>42955</v>
      </c>
    </row>
    <row r="2883" spans="1:5" ht="14.25" hidden="1" customHeight="1">
      <c r="A2883" s="155">
        <v>28221502</v>
      </c>
      <c r="B2883" s="173" t="s">
        <v>315</v>
      </c>
      <c r="C2883" s="173" t="s">
        <v>1545</v>
      </c>
      <c r="D2883" s="173" t="s">
        <v>7020</v>
      </c>
      <c r="E2883" s="203">
        <v>42955</v>
      </c>
    </row>
    <row r="2884" spans="1:5" ht="14.25" hidden="1" customHeight="1">
      <c r="A2884" s="16">
        <v>29290647</v>
      </c>
      <c r="B2884" s="17" t="s">
        <v>467</v>
      </c>
      <c r="C2884" s="17" t="s">
        <v>469</v>
      </c>
      <c r="D2884" s="1" t="s">
        <v>7020</v>
      </c>
      <c r="E2884" s="35">
        <v>42955</v>
      </c>
    </row>
    <row r="2885" spans="1:5" ht="14.25" hidden="1" customHeight="1">
      <c r="A2885" s="155">
        <v>29290647</v>
      </c>
      <c r="B2885" s="173" t="s">
        <v>467</v>
      </c>
      <c r="C2885" s="173" t="s">
        <v>469</v>
      </c>
      <c r="D2885" s="173" t="s">
        <v>7020</v>
      </c>
      <c r="E2885" s="203">
        <v>42955</v>
      </c>
    </row>
    <row r="2886" spans="1:5" ht="14.25" hidden="1" customHeight="1">
      <c r="A2886" s="16">
        <v>30069677</v>
      </c>
      <c r="B2886" s="17" t="s">
        <v>2612</v>
      </c>
      <c r="C2886" s="17" t="s">
        <v>2613</v>
      </c>
      <c r="D2886" s="1" t="s">
        <v>7020</v>
      </c>
      <c r="E2886" s="35">
        <v>42955</v>
      </c>
    </row>
    <row r="2887" spans="1:5" ht="14.25" hidden="1" customHeight="1">
      <c r="A2887" s="155">
        <v>30069677</v>
      </c>
      <c r="B2887" s="173" t="s">
        <v>2612</v>
      </c>
      <c r="C2887" s="173" t="s">
        <v>2613</v>
      </c>
      <c r="D2887" s="173" t="s">
        <v>7020</v>
      </c>
      <c r="E2887" s="203">
        <v>42955</v>
      </c>
    </row>
    <row r="2888" spans="1:5" ht="14.25" hidden="1" customHeight="1">
      <c r="A2888" s="16">
        <v>34286519</v>
      </c>
      <c r="B2888" s="17" t="s">
        <v>1523</v>
      </c>
      <c r="C2888" s="17" t="s">
        <v>1182</v>
      </c>
      <c r="D2888" s="1" t="s">
        <v>7020</v>
      </c>
      <c r="E2888" s="35">
        <v>42955</v>
      </c>
    </row>
    <row r="2889" spans="1:5" ht="14.25" hidden="1" customHeight="1">
      <c r="A2889" s="155">
        <v>34286519</v>
      </c>
      <c r="B2889" s="173" t="s">
        <v>1523</v>
      </c>
      <c r="C2889" s="173" t="s">
        <v>1182</v>
      </c>
      <c r="D2889" s="173" t="s">
        <v>7020</v>
      </c>
      <c r="E2889" s="203">
        <v>42955</v>
      </c>
    </row>
    <row r="2890" spans="1:5" ht="14.25" hidden="1" customHeight="1">
      <c r="A2890" s="16">
        <v>12721505</v>
      </c>
      <c r="B2890" s="17" t="s">
        <v>1040</v>
      </c>
      <c r="C2890" s="17" t="s">
        <v>2139</v>
      </c>
      <c r="D2890" s="1" t="s">
        <v>7042</v>
      </c>
      <c r="E2890" s="35">
        <v>42954</v>
      </c>
    </row>
    <row r="2891" spans="1:5" ht="14.25" hidden="1" customHeight="1">
      <c r="A2891" s="155">
        <v>12721505</v>
      </c>
      <c r="B2891" s="173" t="s">
        <v>1040</v>
      </c>
      <c r="C2891" s="173" t="s">
        <v>2139</v>
      </c>
      <c r="D2891" s="173" t="s">
        <v>7042</v>
      </c>
      <c r="E2891" s="203">
        <v>42954</v>
      </c>
    </row>
    <row r="2892" spans="1:5" ht="14.25" hidden="1" customHeight="1">
      <c r="A2892" s="16">
        <v>13784371</v>
      </c>
      <c r="B2892" s="17" t="s">
        <v>6219</v>
      </c>
      <c r="C2892" s="17" t="s">
        <v>6220</v>
      </c>
      <c r="D2892" s="1" t="s">
        <v>7042</v>
      </c>
      <c r="E2892" s="35">
        <v>42954</v>
      </c>
    </row>
    <row r="2893" spans="1:5" ht="14.25" hidden="1" customHeight="1">
      <c r="A2893" s="155">
        <v>13784371</v>
      </c>
      <c r="B2893" s="173" t="s">
        <v>6219</v>
      </c>
      <c r="C2893" s="173" t="s">
        <v>6220</v>
      </c>
      <c r="D2893" s="173" t="s">
        <v>7042</v>
      </c>
      <c r="E2893" s="203">
        <v>42954</v>
      </c>
    </row>
    <row r="2894" spans="1:5" ht="14.25" hidden="1" customHeight="1">
      <c r="A2894" s="16">
        <v>14359591</v>
      </c>
      <c r="B2894" s="17" t="s">
        <v>4247</v>
      </c>
      <c r="C2894" s="17" t="s">
        <v>2822</v>
      </c>
      <c r="D2894" s="1" t="s">
        <v>7042</v>
      </c>
      <c r="E2894" s="35">
        <v>42954</v>
      </c>
    </row>
    <row r="2895" spans="1:5" ht="14.25" hidden="1" customHeight="1">
      <c r="A2895" s="155">
        <v>14359591</v>
      </c>
      <c r="B2895" s="173" t="s">
        <v>4247</v>
      </c>
      <c r="C2895" s="173" t="s">
        <v>2822</v>
      </c>
      <c r="D2895" s="173" t="s">
        <v>7042</v>
      </c>
      <c r="E2895" s="203">
        <v>42954</v>
      </c>
    </row>
    <row r="2896" spans="1:5" ht="14.25" hidden="1" customHeight="1">
      <c r="A2896" s="16">
        <v>16541630</v>
      </c>
      <c r="B2896" s="17" t="s">
        <v>3101</v>
      </c>
      <c r="C2896" s="17" t="s">
        <v>3765</v>
      </c>
      <c r="D2896" s="1" t="s">
        <v>7042</v>
      </c>
      <c r="E2896" s="35">
        <v>42954</v>
      </c>
    </row>
    <row r="2897" spans="1:5" ht="14.25" hidden="1" customHeight="1">
      <c r="A2897" s="155">
        <v>16541630</v>
      </c>
      <c r="B2897" s="173" t="s">
        <v>3101</v>
      </c>
      <c r="C2897" s="173" t="s">
        <v>3765</v>
      </c>
      <c r="D2897" s="173" t="s">
        <v>7042</v>
      </c>
      <c r="E2897" s="203">
        <v>42954</v>
      </c>
    </row>
    <row r="2898" spans="1:5" ht="14.25" hidden="1" customHeight="1">
      <c r="A2898" s="16">
        <v>17268324</v>
      </c>
      <c r="B2898" s="17" t="s">
        <v>4441</v>
      </c>
      <c r="C2898" s="17" t="s">
        <v>4442</v>
      </c>
      <c r="D2898" s="1" t="s">
        <v>7042</v>
      </c>
      <c r="E2898" s="35">
        <v>42954</v>
      </c>
    </row>
    <row r="2899" spans="1:5" ht="14.25" hidden="1" customHeight="1">
      <c r="A2899" s="155">
        <v>17268324</v>
      </c>
      <c r="B2899" s="173" t="s">
        <v>4441</v>
      </c>
      <c r="C2899" s="173" t="s">
        <v>4442</v>
      </c>
      <c r="D2899" s="173" t="s">
        <v>7042</v>
      </c>
      <c r="E2899" s="203">
        <v>42954</v>
      </c>
    </row>
    <row r="2900" spans="1:5" ht="14.25" hidden="1" customHeight="1">
      <c r="A2900" s="16">
        <v>17269443</v>
      </c>
      <c r="B2900" s="17" t="s">
        <v>497</v>
      </c>
      <c r="C2900" s="17" t="s">
        <v>4439</v>
      </c>
      <c r="D2900" s="1" t="s">
        <v>7042</v>
      </c>
      <c r="E2900" s="35">
        <v>42954</v>
      </c>
    </row>
    <row r="2901" spans="1:5" ht="14.25" hidden="1" customHeight="1">
      <c r="A2901" s="155">
        <v>17269443</v>
      </c>
      <c r="B2901" s="173" t="s">
        <v>497</v>
      </c>
      <c r="C2901" s="173" t="s">
        <v>4439</v>
      </c>
      <c r="D2901" s="173" t="s">
        <v>7042</v>
      </c>
      <c r="E2901" s="203">
        <v>42954</v>
      </c>
    </row>
    <row r="2902" spans="1:5" ht="14.25" hidden="1" customHeight="1">
      <c r="A2902" s="16">
        <v>17655489</v>
      </c>
      <c r="B2902" s="17" t="s">
        <v>1973</v>
      </c>
      <c r="C2902" s="17" t="s">
        <v>106</v>
      </c>
      <c r="D2902" s="1" t="s">
        <v>7042</v>
      </c>
      <c r="E2902" s="35">
        <v>42954</v>
      </c>
    </row>
    <row r="2903" spans="1:5" ht="14.25" hidden="1" customHeight="1">
      <c r="A2903" s="155">
        <v>17655489</v>
      </c>
      <c r="B2903" s="173" t="s">
        <v>1973</v>
      </c>
      <c r="C2903" s="173" t="s">
        <v>106</v>
      </c>
      <c r="D2903" s="173" t="s">
        <v>7042</v>
      </c>
      <c r="E2903" s="203">
        <v>42954</v>
      </c>
    </row>
    <row r="2904" spans="1:5" ht="14.25" hidden="1" customHeight="1">
      <c r="A2904" s="16">
        <v>17860016</v>
      </c>
      <c r="B2904" s="17" t="s">
        <v>1175</v>
      </c>
      <c r="C2904" s="17" t="s">
        <v>1176</v>
      </c>
      <c r="D2904" s="1" t="s">
        <v>7042</v>
      </c>
      <c r="E2904" s="35">
        <v>42954</v>
      </c>
    </row>
    <row r="2905" spans="1:5" ht="14.25" hidden="1" customHeight="1">
      <c r="A2905" s="155">
        <v>17860016</v>
      </c>
      <c r="B2905" s="173" t="s">
        <v>1175</v>
      </c>
      <c r="C2905" s="173" t="s">
        <v>1176</v>
      </c>
      <c r="D2905" s="173" t="s">
        <v>7042</v>
      </c>
      <c r="E2905" s="203">
        <v>42954</v>
      </c>
    </row>
    <row r="2906" spans="1:5" ht="14.25" hidden="1" customHeight="1">
      <c r="A2906" s="16">
        <v>20218566</v>
      </c>
      <c r="B2906" s="17" t="s">
        <v>944</v>
      </c>
      <c r="C2906" s="17" t="s">
        <v>1085</v>
      </c>
      <c r="D2906" s="1" t="s">
        <v>7042</v>
      </c>
      <c r="E2906" s="35">
        <v>42954</v>
      </c>
    </row>
    <row r="2907" spans="1:5" ht="14.25" hidden="1" customHeight="1">
      <c r="A2907" s="155">
        <v>20218566</v>
      </c>
      <c r="B2907" s="173" t="s">
        <v>944</v>
      </c>
      <c r="C2907" s="173" t="s">
        <v>1085</v>
      </c>
      <c r="D2907" s="173" t="s">
        <v>7042</v>
      </c>
      <c r="E2907" s="203">
        <v>42954</v>
      </c>
    </row>
    <row r="2908" spans="1:5" ht="14.25" hidden="1" customHeight="1">
      <c r="A2908" s="16">
        <v>20222681</v>
      </c>
      <c r="B2908" s="17" t="s">
        <v>662</v>
      </c>
      <c r="C2908" s="17" t="s">
        <v>663</v>
      </c>
      <c r="D2908" s="1" t="s">
        <v>7042</v>
      </c>
      <c r="E2908" s="35">
        <v>42954</v>
      </c>
    </row>
    <row r="2909" spans="1:5" ht="14.25" hidden="1" customHeight="1">
      <c r="A2909" s="155">
        <v>20222681</v>
      </c>
      <c r="B2909" s="173" t="s">
        <v>662</v>
      </c>
      <c r="C2909" s="173" t="s">
        <v>663</v>
      </c>
      <c r="D2909" s="173" t="s">
        <v>7042</v>
      </c>
      <c r="E2909" s="203">
        <v>42954</v>
      </c>
    </row>
    <row r="2910" spans="1:5" ht="14.25" hidden="1" customHeight="1">
      <c r="A2910" s="16">
        <v>24553486</v>
      </c>
      <c r="B2910" s="17" t="s">
        <v>94</v>
      </c>
      <c r="C2910" s="17" t="s">
        <v>6150</v>
      </c>
      <c r="D2910" s="1" t="s">
        <v>7042</v>
      </c>
      <c r="E2910" s="35">
        <v>42954</v>
      </c>
    </row>
    <row r="2911" spans="1:5" ht="14.25" hidden="1" customHeight="1">
      <c r="A2911" s="155">
        <v>24553486</v>
      </c>
      <c r="B2911" s="173" t="s">
        <v>94</v>
      </c>
      <c r="C2911" s="173" t="s">
        <v>6150</v>
      </c>
      <c r="D2911" s="173" t="s">
        <v>7042</v>
      </c>
      <c r="E2911" s="203">
        <v>42954</v>
      </c>
    </row>
    <row r="2912" spans="1:5" ht="14.25" hidden="1" customHeight="1">
      <c r="A2912" s="16">
        <v>25082588</v>
      </c>
      <c r="B2912" s="17" t="s">
        <v>2488</v>
      </c>
      <c r="C2912" s="17" t="s">
        <v>1585</v>
      </c>
      <c r="D2912" s="1" t="s">
        <v>7042</v>
      </c>
      <c r="E2912" s="35">
        <v>42954</v>
      </c>
    </row>
    <row r="2913" spans="1:5" ht="14.25" hidden="1" customHeight="1">
      <c r="A2913" s="155">
        <v>25082588</v>
      </c>
      <c r="B2913" s="173" t="s">
        <v>2488</v>
      </c>
      <c r="C2913" s="173" t="s">
        <v>1585</v>
      </c>
      <c r="D2913" s="173" t="s">
        <v>7042</v>
      </c>
      <c r="E2913" s="203">
        <v>42954</v>
      </c>
    </row>
    <row r="2914" spans="1:5" ht="14.25" hidden="1" customHeight="1">
      <c r="A2914" s="16">
        <v>25444256</v>
      </c>
      <c r="B2914" s="17" t="s">
        <v>5764</v>
      </c>
      <c r="C2914" s="17" t="s">
        <v>7104</v>
      </c>
      <c r="D2914" s="1" t="s">
        <v>7042</v>
      </c>
      <c r="E2914" s="35">
        <v>42954</v>
      </c>
    </row>
    <row r="2915" spans="1:5" ht="14.25" hidden="1" customHeight="1">
      <c r="A2915" s="155">
        <v>25444256</v>
      </c>
      <c r="B2915" s="173" t="s">
        <v>5764</v>
      </c>
      <c r="C2915" s="173" t="s">
        <v>7104</v>
      </c>
      <c r="D2915" s="173" t="s">
        <v>7042</v>
      </c>
      <c r="E2915" s="203">
        <v>42954</v>
      </c>
    </row>
    <row r="2916" spans="1:5" ht="14.25" hidden="1" customHeight="1">
      <c r="A2916" s="16">
        <v>28721914</v>
      </c>
      <c r="B2916" s="17" t="s">
        <v>5198</v>
      </c>
      <c r="C2916" s="17" t="s">
        <v>5199</v>
      </c>
      <c r="D2916" s="1" t="s">
        <v>7042</v>
      </c>
      <c r="E2916" s="35">
        <v>42954</v>
      </c>
    </row>
    <row r="2917" spans="1:5" ht="14.25" hidden="1" customHeight="1">
      <c r="A2917" s="155">
        <v>28721914</v>
      </c>
      <c r="B2917" s="173" t="s">
        <v>5198</v>
      </c>
      <c r="C2917" s="173" t="s">
        <v>5199</v>
      </c>
      <c r="D2917" s="173" t="s">
        <v>7042</v>
      </c>
      <c r="E2917" s="203">
        <v>42954</v>
      </c>
    </row>
    <row r="2918" spans="1:5" ht="14.25" hidden="1" customHeight="1">
      <c r="A2918" s="32">
        <v>11768665</v>
      </c>
      <c r="B2918" s="21" t="s">
        <v>1910</v>
      </c>
      <c r="C2918" s="21" t="s">
        <v>1911</v>
      </c>
      <c r="D2918" s="5" t="s">
        <v>7105</v>
      </c>
      <c r="E2918" s="35">
        <v>42915</v>
      </c>
    </row>
    <row r="2919" spans="1:5" ht="14.25" hidden="1" customHeight="1">
      <c r="A2919" s="160">
        <v>11768665</v>
      </c>
      <c r="B2919" s="174" t="s">
        <v>1910</v>
      </c>
      <c r="C2919" s="174" t="s">
        <v>1911</v>
      </c>
      <c r="D2919" s="173" t="s">
        <v>7105</v>
      </c>
      <c r="E2919" s="203">
        <v>42915</v>
      </c>
    </row>
    <row r="2920" spans="1:5" ht="14.25" hidden="1" customHeight="1">
      <c r="A2920" s="32">
        <v>12413488</v>
      </c>
      <c r="B2920" s="21" t="s">
        <v>1697</v>
      </c>
      <c r="C2920" s="21" t="s">
        <v>1698</v>
      </c>
      <c r="D2920" s="5" t="s">
        <v>7105</v>
      </c>
      <c r="E2920" s="35">
        <v>42915</v>
      </c>
    </row>
    <row r="2921" spans="1:5" ht="14.25" hidden="1" customHeight="1">
      <c r="A2921" s="160">
        <v>12413488</v>
      </c>
      <c r="B2921" s="174" t="s">
        <v>1697</v>
      </c>
      <c r="C2921" s="174" t="s">
        <v>1698</v>
      </c>
      <c r="D2921" s="173" t="s">
        <v>7105</v>
      </c>
      <c r="E2921" s="203">
        <v>42915</v>
      </c>
    </row>
    <row r="2922" spans="1:5" ht="14.25" hidden="1" customHeight="1">
      <c r="A2922" s="31">
        <v>12540739</v>
      </c>
      <c r="B2922" s="19" t="s">
        <v>4759</v>
      </c>
      <c r="C2922" s="19" t="s">
        <v>4760</v>
      </c>
      <c r="D2922" s="5" t="s">
        <v>7105</v>
      </c>
      <c r="E2922" s="35">
        <v>42915</v>
      </c>
    </row>
    <row r="2923" spans="1:5" ht="14.25" hidden="1" customHeight="1">
      <c r="A2923" s="160">
        <v>12540739</v>
      </c>
      <c r="B2923" s="174" t="s">
        <v>4759</v>
      </c>
      <c r="C2923" s="174" t="s">
        <v>4760</v>
      </c>
      <c r="D2923" s="173" t="s">
        <v>7105</v>
      </c>
      <c r="E2923" s="203">
        <v>42915</v>
      </c>
    </row>
    <row r="2924" spans="1:5" ht="14.25" hidden="1" customHeight="1">
      <c r="A2924" s="32">
        <v>12654235</v>
      </c>
      <c r="B2924" s="21" t="s">
        <v>863</v>
      </c>
      <c r="C2924" s="21" t="s">
        <v>4576</v>
      </c>
      <c r="D2924" s="5" t="s">
        <v>7105</v>
      </c>
      <c r="E2924" s="35">
        <v>42915</v>
      </c>
    </row>
    <row r="2925" spans="1:5" ht="14.25" hidden="1" customHeight="1">
      <c r="A2925" s="160">
        <v>12654235</v>
      </c>
      <c r="B2925" s="174" t="s">
        <v>863</v>
      </c>
      <c r="C2925" s="174" t="s">
        <v>4576</v>
      </c>
      <c r="D2925" s="173" t="s">
        <v>7105</v>
      </c>
      <c r="E2925" s="203">
        <v>42915</v>
      </c>
    </row>
    <row r="2926" spans="1:5" ht="14.25" hidden="1" customHeight="1">
      <c r="A2926" s="32">
        <v>12734180</v>
      </c>
      <c r="B2926" s="21" t="s">
        <v>252</v>
      </c>
      <c r="C2926" s="21" t="s">
        <v>4324</v>
      </c>
      <c r="D2926" s="5" t="s">
        <v>7105</v>
      </c>
      <c r="E2926" s="35">
        <v>42915</v>
      </c>
    </row>
    <row r="2927" spans="1:5" ht="14.25" hidden="1" customHeight="1">
      <c r="A2927" s="160">
        <v>12734180</v>
      </c>
      <c r="B2927" s="174" t="s">
        <v>252</v>
      </c>
      <c r="C2927" s="174" t="s">
        <v>4324</v>
      </c>
      <c r="D2927" s="173" t="s">
        <v>7105</v>
      </c>
      <c r="E2927" s="203">
        <v>42915</v>
      </c>
    </row>
    <row r="2928" spans="1:5" ht="14.25" hidden="1" customHeight="1">
      <c r="A2928" s="32">
        <v>13203535</v>
      </c>
      <c r="B2928" s="21" t="s">
        <v>650</v>
      </c>
      <c r="C2928" s="21" t="s">
        <v>2016</v>
      </c>
      <c r="D2928" s="5" t="s">
        <v>7105</v>
      </c>
      <c r="E2928" s="35">
        <v>42915</v>
      </c>
    </row>
    <row r="2929" spans="1:5" ht="14.25" hidden="1" customHeight="1">
      <c r="A2929" s="160">
        <v>13203535</v>
      </c>
      <c r="B2929" s="174" t="s">
        <v>650</v>
      </c>
      <c r="C2929" s="174" t="s">
        <v>2016</v>
      </c>
      <c r="D2929" s="173" t="s">
        <v>7105</v>
      </c>
      <c r="E2929" s="203">
        <v>42915</v>
      </c>
    </row>
    <row r="2930" spans="1:5" ht="14.25" hidden="1" customHeight="1">
      <c r="A2930" s="32">
        <v>13784794</v>
      </c>
      <c r="B2930" s="21" t="s">
        <v>2021</v>
      </c>
      <c r="C2930" s="21" t="s">
        <v>1146</v>
      </c>
      <c r="D2930" s="5" t="s">
        <v>7105</v>
      </c>
      <c r="E2930" s="35">
        <v>42915</v>
      </c>
    </row>
    <row r="2931" spans="1:5" ht="14.25" hidden="1" customHeight="1">
      <c r="A2931" s="160">
        <v>13784794</v>
      </c>
      <c r="B2931" s="174" t="s">
        <v>2021</v>
      </c>
      <c r="C2931" s="174" t="s">
        <v>1146</v>
      </c>
      <c r="D2931" s="173" t="s">
        <v>7105</v>
      </c>
      <c r="E2931" s="203">
        <v>42915</v>
      </c>
    </row>
    <row r="2932" spans="1:5" ht="14.25" hidden="1" customHeight="1">
      <c r="A2932" s="31">
        <v>13989089</v>
      </c>
      <c r="B2932" s="19" t="s">
        <v>2307</v>
      </c>
      <c r="C2932" s="19" t="s">
        <v>2308</v>
      </c>
      <c r="D2932" s="5" t="s">
        <v>7105</v>
      </c>
      <c r="E2932" s="35">
        <v>42915</v>
      </c>
    </row>
    <row r="2933" spans="1:5" ht="14.25" hidden="1" customHeight="1">
      <c r="A2933" s="160">
        <v>13989089</v>
      </c>
      <c r="B2933" s="174" t="s">
        <v>2307</v>
      </c>
      <c r="C2933" s="174" t="s">
        <v>2308</v>
      </c>
      <c r="D2933" s="173" t="s">
        <v>7105</v>
      </c>
      <c r="E2933" s="203">
        <v>42915</v>
      </c>
    </row>
    <row r="2934" spans="1:5" ht="14.25" hidden="1" customHeight="1">
      <c r="A2934" s="32">
        <v>14073492</v>
      </c>
      <c r="B2934" s="21" t="s">
        <v>2183</v>
      </c>
      <c r="C2934" s="21" t="s">
        <v>2184</v>
      </c>
      <c r="D2934" s="5" t="s">
        <v>7105</v>
      </c>
      <c r="E2934" s="35">
        <v>42915</v>
      </c>
    </row>
    <row r="2935" spans="1:5" ht="14.25" hidden="1" customHeight="1">
      <c r="A2935" s="160">
        <v>14073492</v>
      </c>
      <c r="B2935" s="174" t="s">
        <v>2183</v>
      </c>
      <c r="C2935" s="174" t="s">
        <v>2184</v>
      </c>
      <c r="D2935" s="173" t="s">
        <v>7105</v>
      </c>
      <c r="E2935" s="203">
        <v>42915</v>
      </c>
    </row>
    <row r="2936" spans="1:5" ht="14.25" hidden="1" customHeight="1">
      <c r="A2936" s="32">
        <v>14272258</v>
      </c>
      <c r="B2936" s="21" t="s">
        <v>1273</v>
      </c>
      <c r="C2936" s="21" t="s">
        <v>2618</v>
      </c>
      <c r="D2936" s="5" t="s">
        <v>7105</v>
      </c>
      <c r="E2936" s="35">
        <v>42915</v>
      </c>
    </row>
    <row r="2937" spans="1:5" ht="14.25" hidden="1" customHeight="1">
      <c r="A2937" s="160">
        <v>14272258</v>
      </c>
      <c r="B2937" s="174" t="s">
        <v>1273</v>
      </c>
      <c r="C2937" s="174" t="s">
        <v>2618</v>
      </c>
      <c r="D2937" s="173" t="s">
        <v>7105</v>
      </c>
      <c r="E2937" s="203">
        <v>42915</v>
      </c>
    </row>
    <row r="2938" spans="1:5" ht="14.25" hidden="1" customHeight="1">
      <c r="A2938" s="32">
        <v>14352896</v>
      </c>
      <c r="B2938" s="21" t="s">
        <v>3428</v>
      </c>
      <c r="C2938" s="21" t="s">
        <v>3429</v>
      </c>
      <c r="D2938" s="5" t="s">
        <v>7105</v>
      </c>
      <c r="E2938" s="35">
        <v>42915</v>
      </c>
    </row>
    <row r="2939" spans="1:5" ht="14.25" hidden="1" customHeight="1">
      <c r="A2939" s="160">
        <v>14352896</v>
      </c>
      <c r="B2939" s="174" t="s">
        <v>3428</v>
      </c>
      <c r="C2939" s="174" t="s">
        <v>3429</v>
      </c>
      <c r="D2939" s="173" t="s">
        <v>7105</v>
      </c>
      <c r="E2939" s="203">
        <v>42915</v>
      </c>
    </row>
    <row r="2940" spans="1:5" ht="14.25" hidden="1" customHeight="1">
      <c r="A2940" s="32">
        <v>14410492</v>
      </c>
      <c r="B2940" s="21" t="s">
        <v>5147</v>
      </c>
      <c r="C2940" s="21" t="s">
        <v>5148</v>
      </c>
      <c r="D2940" s="5" t="s">
        <v>7105</v>
      </c>
      <c r="E2940" s="35">
        <v>42915</v>
      </c>
    </row>
    <row r="2941" spans="1:5" ht="14.25" hidden="1" customHeight="1">
      <c r="A2941" s="160">
        <v>14410492</v>
      </c>
      <c r="B2941" s="174" t="s">
        <v>5147</v>
      </c>
      <c r="C2941" s="174" t="s">
        <v>5148</v>
      </c>
      <c r="D2941" s="173" t="s">
        <v>7105</v>
      </c>
      <c r="E2941" s="203">
        <v>42915</v>
      </c>
    </row>
    <row r="2942" spans="1:5" ht="14.25" hidden="1" customHeight="1">
      <c r="A2942" s="32">
        <v>14660159</v>
      </c>
      <c r="B2942" s="21" t="s">
        <v>3023</v>
      </c>
      <c r="C2942" s="21" t="s">
        <v>584</v>
      </c>
      <c r="D2942" s="5" t="s">
        <v>7105</v>
      </c>
      <c r="E2942" s="35">
        <v>42915</v>
      </c>
    </row>
    <row r="2943" spans="1:5" ht="14.25" hidden="1" customHeight="1">
      <c r="A2943" s="160">
        <v>14660159</v>
      </c>
      <c r="B2943" s="174" t="s">
        <v>3023</v>
      </c>
      <c r="C2943" s="174" t="s">
        <v>584</v>
      </c>
      <c r="D2943" s="173" t="s">
        <v>7105</v>
      </c>
      <c r="E2943" s="203">
        <v>42915</v>
      </c>
    </row>
    <row r="2944" spans="1:5" ht="14.25" hidden="1" customHeight="1">
      <c r="A2944" s="31">
        <v>14966482</v>
      </c>
      <c r="B2944" s="19" t="s">
        <v>2785</v>
      </c>
      <c r="C2944" s="19" t="s">
        <v>2786</v>
      </c>
      <c r="D2944" s="5" t="s">
        <v>7105</v>
      </c>
      <c r="E2944" s="35">
        <v>42915</v>
      </c>
    </row>
    <row r="2945" spans="1:5" ht="14.25" hidden="1" customHeight="1">
      <c r="A2945" s="160">
        <v>14966482</v>
      </c>
      <c r="B2945" s="174" t="s">
        <v>2785</v>
      </c>
      <c r="C2945" s="174" t="s">
        <v>2786</v>
      </c>
      <c r="D2945" s="173" t="s">
        <v>7105</v>
      </c>
      <c r="E2945" s="203">
        <v>42915</v>
      </c>
    </row>
    <row r="2946" spans="1:5" ht="14.25" hidden="1" customHeight="1">
      <c r="A2946" s="32">
        <v>16685790</v>
      </c>
      <c r="B2946" s="21" t="s">
        <v>3016</v>
      </c>
      <c r="C2946" s="21" t="s">
        <v>3017</v>
      </c>
      <c r="D2946" s="5" t="s">
        <v>7105</v>
      </c>
      <c r="E2946" s="35">
        <v>42915</v>
      </c>
    </row>
    <row r="2947" spans="1:5" ht="14.25" hidden="1" customHeight="1">
      <c r="A2947" s="160">
        <v>16685790</v>
      </c>
      <c r="B2947" s="174" t="s">
        <v>3016</v>
      </c>
      <c r="C2947" s="174" t="s">
        <v>3017</v>
      </c>
      <c r="D2947" s="173" t="s">
        <v>7105</v>
      </c>
      <c r="E2947" s="203">
        <v>42915</v>
      </c>
    </row>
    <row r="2948" spans="1:5" ht="14.25" hidden="1" customHeight="1">
      <c r="A2948" s="32">
        <v>17040749</v>
      </c>
      <c r="B2948" s="21" t="s">
        <v>2132</v>
      </c>
      <c r="C2948" s="21" t="s">
        <v>7106</v>
      </c>
      <c r="D2948" s="5" t="s">
        <v>7105</v>
      </c>
      <c r="E2948" s="35">
        <v>42915</v>
      </c>
    </row>
    <row r="2949" spans="1:5" ht="14.25" hidden="1" customHeight="1">
      <c r="A2949" s="160">
        <v>17040749</v>
      </c>
      <c r="B2949" s="174" t="s">
        <v>2132</v>
      </c>
      <c r="C2949" s="174" t="s">
        <v>7106</v>
      </c>
      <c r="D2949" s="173" t="s">
        <v>7105</v>
      </c>
      <c r="E2949" s="203">
        <v>42915</v>
      </c>
    </row>
    <row r="2950" spans="1:5" ht="14.25" hidden="1" customHeight="1">
      <c r="A2950" s="32">
        <v>17613733</v>
      </c>
      <c r="B2950" s="21" t="s">
        <v>883</v>
      </c>
      <c r="C2950" s="21" t="s">
        <v>1652</v>
      </c>
      <c r="D2950" s="5" t="s">
        <v>7105</v>
      </c>
      <c r="E2950" s="35">
        <v>42915</v>
      </c>
    </row>
    <row r="2951" spans="1:5" ht="14.25" hidden="1" customHeight="1">
      <c r="A2951" s="160">
        <v>17613733</v>
      </c>
      <c r="B2951" s="174" t="s">
        <v>883</v>
      </c>
      <c r="C2951" s="174" t="s">
        <v>1652</v>
      </c>
      <c r="D2951" s="173" t="s">
        <v>7105</v>
      </c>
      <c r="E2951" s="203">
        <v>42915</v>
      </c>
    </row>
    <row r="2952" spans="1:5" ht="14.25" hidden="1" customHeight="1">
      <c r="A2952" s="32">
        <v>18464655</v>
      </c>
      <c r="B2952" s="21" t="s">
        <v>247</v>
      </c>
      <c r="C2952" s="21" t="s">
        <v>248</v>
      </c>
      <c r="D2952" s="5" t="s">
        <v>7105</v>
      </c>
      <c r="E2952" s="35">
        <v>42915</v>
      </c>
    </row>
    <row r="2953" spans="1:5" ht="14.25" hidden="1" customHeight="1">
      <c r="A2953" s="160">
        <v>18464655</v>
      </c>
      <c r="B2953" s="174" t="s">
        <v>247</v>
      </c>
      <c r="C2953" s="174" t="s">
        <v>248</v>
      </c>
      <c r="D2953" s="173" t="s">
        <v>7105</v>
      </c>
      <c r="E2953" s="203">
        <v>42915</v>
      </c>
    </row>
    <row r="2954" spans="1:5" ht="14.25" hidden="1" customHeight="1">
      <c r="A2954" s="32">
        <v>18566394</v>
      </c>
      <c r="B2954" s="21" t="s">
        <v>144</v>
      </c>
      <c r="C2954" s="21" t="s">
        <v>283</v>
      </c>
      <c r="D2954" s="5" t="s">
        <v>7105</v>
      </c>
      <c r="E2954" s="35">
        <v>42915</v>
      </c>
    </row>
    <row r="2955" spans="1:5" ht="14.25" hidden="1" customHeight="1">
      <c r="A2955" s="160">
        <v>18566394</v>
      </c>
      <c r="B2955" s="174" t="s">
        <v>144</v>
      </c>
      <c r="C2955" s="174" t="s">
        <v>283</v>
      </c>
      <c r="D2955" s="173" t="s">
        <v>7105</v>
      </c>
      <c r="E2955" s="203">
        <v>42915</v>
      </c>
    </row>
    <row r="2956" spans="1:5" ht="14.25" hidden="1" customHeight="1">
      <c r="A2956" s="32">
        <v>21026697</v>
      </c>
      <c r="B2956" s="21" t="s">
        <v>927</v>
      </c>
      <c r="C2956" s="21" t="s">
        <v>930</v>
      </c>
      <c r="D2956" s="5" t="s">
        <v>7105</v>
      </c>
      <c r="E2956" s="35">
        <v>42915</v>
      </c>
    </row>
    <row r="2957" spans="1:5" ht="14.25" hidden="1" customHeight="1">
      <c r="A2957" s="160">
        <v>21026697</v>
      </c>
      <c r="B2957" s="174" t="s">
        <v>927</v>
      </c>
      <c r="C2957" s="174" t="s">
        <v>930</v>
      </c>
      <c r="D2957" s="173" t="s">
        <v>7105</v>
      </c>
      <c r="E2957" s="203">
        <v>42915</v>
      </c>
    </row>
    <row r="2958" spans="1:5" ht="14.25" hidden="1" customHeight="1">
      <c r="A2958" s="31">
        <v>21219090</v>
      </c>
      <c r="B2958" s="19" t="s">
        <v>4429</v>
      </c>
      <c r="C2958" s="19" t="s">
        <v>4436</v>
      </c>
      <c r="D2958" s="5" t="s">
        <v>7105</v>
      </c>
      <c r="E2958" s="35">
        <v>42915</v>
      </c>
    </row>
    <row r="2959" spans="1:5" ht="14.25" hidden="1" customHeight="1">
      <c r="A2959" s="160">
        <v>21219090</v>
      </c>
      <c r="B2959" s="174" t="s">
        <v>4429</v>
      </c>
      <c r="C2959" s="174" t="s">
        <v>4436</v>
      </c>
      <c r="D2959" s="173" t="s">
        <v>7105</v>
      </c>
      <c r="E2959" s="203">
        <v>42915</v>
      </c>
    </row>
    <row r="2960" spans="1:5" ht="14.25" hidden="1" customHeight="1">
      <c r="A2960" s="32">
        <v>22031835</v>
      </c>
      <c r="B2960" s="21" t="s">
        <v>273</v>
      </c>
      <c r="C2960" s="21" t="s">
        <v>274</v>
      </c>
      <c r="D2960" s="5" t="s">
        <v>7105</v>
      </c>
      <c r="E2960" s="35">
        <v>42915</v>
      </c>
    </row>
    <row r="2961" spans="1:5" ht="14.25" hidden="1" customHeight="1">
      <c r="A2961" s="160">
        <v>22031835</v>
      </c>
      <c r="B2961" s="174" t="s">
        <v>273</v>
      </c>
      <c r="C2961" s="174" t="s">
        <v>274</v>
      </c>
      <c r="D2961" s="173" t="s">
        <v>7105</v>
      </c>
      <c r="E2961" s="203">
        <v>42915</v>
      </c>
    </row>
    <row r="2962" spans="1:5" ht="14.25" hidden="1" customHeight="1">
      <c r="A2962" s="32">
        <v>22073108</v>
      </c>
      <c r="B2962" s="21" t="s">
        <v>3176</v>
      </c>
      <c r="C2962" s="21" t="s">
        <v>671</v>
      </c>
      <c r="D2962" s="5" t="s">
        <v>7105</v>
      </c>
      <c r="E2962" s="35">
        <v>42915</v>
      </c>
    </row>
    <row r="2963" spans="1:5" ht="14.25" hidden="1" customHeight="1">
      <c r="A2963" s="160">
        <v>22073108</v>
      </c>
      <c r="B2963" s="174" t="s">
        <v>3176</v>
      </c>
      <c r="C2963" s="174" t="s">
        <v>671</v>
      </c>
      <c r="D2963" s="173" t="s">
        <v>7105</v>
      </c>
      <c r="E2963" s="203">
        <v>42915</v>
      </c>
    </row>
    <row r="2964" spans="1:5" ht="14.25" hidden="1" customHeight="1">
      <c r="A2964" s="32">
        <v>22211664</v>
      </c>
      <c r="B2964" s="21" t="s">
        <v>5551</v>
      </c>
      <c r="C2964" s="21" t="s">
        <v>5552</v>
      </c>
      <c r="D2964" s="5" t="s">
        <v>7105</v>
      </c>
      <c r="E2964" s="35">
        <v>42915</v>
      </c>
    </row>
    <row r="2965" spans="1:5" ht="14.25" hidden="1" customHeight="1">
      <c r="A2965" s="160">
        <v>22211664</v>
      </c>
      <c r="B2965" s="174" t="s">
        <v>5551</v>
      </c>
      <c r="C2965" s="174" t="s">
        <v>5552</v>
      </c>
      <c r="D2965" s="173" t="s">
        <v>7105</v>
      </c>
      <c r="E2965" s="203">
        <v>42915</v>
      </c>
    </row>
    <row r="2966" spans="1:5" ht="14.25" hidden="1" customHeight="1">
      <c r="A2966" s="32">
        <v>22264981</v>
      </c>
      <c r="B2966" s="21" t="s">
        <v>5885</v>
      </c>
      <c r="C2966" s="21" t="s">
        <v>5886</v>
      </c>
      <c r="D2966" s="5" t="s">
        <v>7105</v>
      </c>
      <c r="E2966" s="35">
        <v>42915</v>
      </c>
    </row>
    <row r="2967" spans="1:5" ht="14.25" hidden="1" customHeight="1">
      <c r="A2967" s="160">
        <v>22264981</v>
      </c>
      <c r="B2967" s="174" t="s">
        <v>5885</v>
      </c>
      <c r="C2967" s="174" t="s">
        <v>5886</v>
      </c>
      <c r="D2967" s="173" t="s">
        <v>7105</v>
      </c>
      <c r="E2967" s="203">
        <v>42915</v>
      </c>
    </row>
    <row r="2968" spans="1:5" ht="14.25" hidden="1" customHeight="1">
      <c r="A2968" s="32">
        <v>22303060</v>
      </c>
      <c r="B2968" s="21" t="s">
        <v>6270</v>
      </c>
      <c r="C2968" s="21" t="s">
        <v>233</v>
      </c>
      <c r="D2968" s="5" t="s">
        <v>7105</v>
      </c>
      <c r="E2968" s="35">
        <v>42915</v>
      </c>
    </row>
    <row r="2969" spans="1:5" ht="14.25" hidden="1" customHeight="1">
      <c r="A2969" s="160">
        <v>22303060</v>
      </c>
      <c r="B2969" s="174" t="s">
        <v>6270</v>
      </c>
      <c r="C2969" s="174" t="s">
        <v>233</v>
      </c>
      <c r="D2969" s="173" t="s">
        <v>7105</v>
      </c>
      <c r="E2969" s="203">
        <v>42915</v>
      </c>
    </row>
    <row r="2970" spans="1:5" ht="14.25" hidden="1" customHeight="1">
      <c r="A2970" s="32">
        <v>22336712</v>
      </c>
      <c r="B2970" s="21" t="s">
        <v>5262</v>
      </c>
      <c r="C2970" s="21" t="s">
        <v>5263</v>
      </c>
      <c r="D2970" s="5" t="s">
        <v>7105</v>
      </c>
      <c r="E2970" s="35">
        <v>42915</v>
      </c>
    </row>
    <row r="2971" spans="1:5" ht="14.25" hidden="1" customHeight="1">
      <c r="A2971" s="160">
        <v>22336712</v>
      </c>
      <c r="B2971" s="174" t="s">
        <v>5262</v>
      </c>
      <c r="C2971" s="174" t="s">
        <v>5263</v>
      </c>
      <c r="D2971" s="173" t="s">
        <v>7105</v>
      </c>
      <c r="E2971" s="203">
        <v>42915</v>
      </c>
    </row>
    <row r="2972" spans="1:5" ht="14.25" hidden="1" customHeight="1">
      <c r="A2972" s="32">
        <v>22428522</v>
      </c>
      <c r="B2972" s="21" t="s">
        <v>4879</v>
      </c>
      <c r="C2972" s="21" t="s">
        <v>4880</v>
      </c>
      <c r="D2972" s="5" t="s">
        <v>7105</v>
      </c>
      <c r="E2972" s="35">
        <v>42915</v>
      </c>
    </row>
    <row r="2973" spans="1:5" ht="14.25" hidden="1" customHeight="1">
      <c r="A2973" s="160">
        <v>22428522</v>
      </c>
      <c r="B2973" s="174" t="s">
        <v>4879</v>
      </c>
      <c r="C2973" s="174" t="s">
        <v>4880</v>
      </c>
      <c r="D2973" s="173" t="s">
        <v>7105</v>
      </c>
      <c r="E2973" s="203">
        <v>42915</v>
      </c>
    </row>
    <row r="2974" spans="1:5" ht="14.25" hidden="1" customHeight="1">
      <c r="A2974" s="32">
        <v>22799483</v>
      </c>
      <c r="B2974" s="21" t="s">
        <v>5902</v>
      </c>
      <c r="C2974" s="21" t="s">
        <v>5903</v>
      </c>
      <c r="D2974" s="5" t="s">
        <v>7105</v>
      </c>
      <c r="E2974" s="35">
        <v>42915</v>
      </c>
    </row>
    <row r="2975" spans="1:5" ht="14.25" hidden="1" customHeight="1">
      <c r="A2975" s="160">
        <v>22799483</v>
      </c>
      <c r="B2975" s="174" t="s">
        <v>5902</v>
      </c>
      <c r="C2975" s="174" t="s">
        <v>5903</v>
      </c>
      <c r="D2975" s="173" t="s">
        <v>7105</v>
      </c>
      <c r="E2975" s="203">
        <v>42915</v>
      </c>
    </row>
    <row r="2976" spans="1:5" ht="14.25" hidden="1" customHeight="1">
      <c r="A2976" s="32">
        <v>22877863</v>
      </c>
      <c r="B2976" s="21" t="s">
        <v>2053</v>
      </c>
      <c r="C2976" s="21" t="s">
        <v>97</v>
      </c>
      <c r="D2976" s="5" t="s">
        <v>7105</v>
      </c>
      <c r="E2976" s="35">
        <v>42915</v>
      </c>
    </row>
    <row r="2977" spans="1:5" ht="14.25" hidden="1" customHeight="1">
      <c r="A2977" s="160">
        <v>22877863</v>
      </c>
      <c r="B2977" s="174" t="s">
        <v>2053</v>
      </c>
      <c r="C2977" s="174" t="s">
        <v>97</v>
      </c>
      <c r="D2977" s="173" t="s">
        <v>7105</v>
      </c>
      <c r="E2977" s="203">
        <v>42915</v>
      </c>
    </row>
    <row r="2978" spans="1:5" ht="14.25" hidden="1" customHeight="1">
      <c r="A2978" s="32">
        <v>22945322</v>
      </c>
      <c r="B2978" s="21" t="s">
        <v>5229</v>
      </c>
      <c r="C2978" s="21" t="s">
        <v>5230</v>
      </c>
      <c r="D2978" s="5" t="s">
        <v>7105</v>
      </c>
      <c r="E2978" s="35">
        <v>42915</v>
      </c>
    </row>
    <row r="2979" spans="1:5" ht="14.25" hidden="1" customHeight="1">
      <c r="A2979" s="160">
        <v>22945322</v>
      </c>
      <c r="B2979" s="174" t="s">
        <v>5229</v>
      </c>
      <c r="C2979" s="174" t="s">
        <v>5230</v>
      </c>
      <c r="D2979" s="173" t="s">
        <v>7105</v>
      </c>
      <c r="E2979" s="203">
        <v>42915</v>
      </c>
    </row>
    <row r="2980" spans="1:5" ht="14.25" hidden="1" customHeight="1">
      <c r="A2980" s="32">
        <v>23015469</v>
      </c>
      <c r="B2980" s="21" t="s">
        <v>714</v>
      </c>
      <c r="C2980" s="21" t="s">
        <v>715</v>
      </c>
      <c r="D2980" s="5" t="s">
        <v>7105</v>
      </c>
      <c r="E2980" s="35">
        <v>42915</v>
      </c>
    </row>
    <row r="2981" spans="1:5" ht="14.25" hidden="1" customHeight="1">
      <c r="A2981" s="160">
        <v>23015469</v>
      </c>
      <c r="B2981" s="174" t="s">
        <v>714</v>
      </c>
      <c r="C2981" s="174" t="s">
        <v>715</v>
      </c>
      <c r="D2981" s="173" t="s">
        <v>7105</v>
      </c>
      <c r="E2981" s="203">
        <v>42915</v>
      </c>
    </row>
    <row r="2982" spans="1:5" ht="14.25" hidden="1" customHeight="1">
      <c r="A2982" s="32">
        <v>23019235</v>
      </c>
      <c r="B2982" s="21" t="s">
        <v>2856</v>
      </c>
      <c r="C2982" s="21" t="s">
        <v>2857</v>
      </c>
      <c r="D2982" s="5" t="s">
        <v>7105</v>
      </c>
      <c r="E2982" s="35">
        <v>42915</v>
      </c>
    </row>
    <row r="2983" spans="1:5" ht="14.25" hidden="1" customHeight="1">
      <c r="A2983" s="160">
        <v>23019235</v>
      </c>
      <c r="B2983" s="174" t="s">
        <v>2856</v>
      </c>
      <c r="C2983" s="174" t="s">
        <v>2857</v>
      </c>
      <c r="D2983" s="173" t="s">
        <v>7105</v>
      </c>
      <c r="E2983" s="203">
        <v>42915</v>
      </c>
    </row>
    <row r="2984" spans="1:5" ht="14.25" hidden="1" customHeight="1">
      <c r="A2984" s="32">
        <v>23116558</v>
      </c>
      <c r="B2984" s="21" t="s">
        <v>1500</v>
      </c>
      <c r="C2984" s="21" t="s">
        <v>1501</v>
      </c>
      <c r="D2984" s="5" t="s">
        <v>7105</v>
      </c>
      <c r="E2984" s="35">
        <v>42915</v>
      </c>
    </row>
    <row r="2985" spans="1:5" ht="14.25" hidden="1" customHeight="1">
      <c r="A2985" s="160">
        <v>23116558</v>
      </c>
      <c r="B2985" s="174" t="s">
        <v>1500</v>
      </c>
      <c r="C2985" s="174" t="s">
        <v>1501</v>
      </c>
      <c r="D2985" s="173" t="s">
        <v>7105</v>
      </c>
      <c r="E2985" s="203">
        <v>42915</v>
      </c>
    </row>
    <row r="2986" spans="1:5" ht="14.25" hidden="1" customHeight="1">
      <c r="A2986" s="32">
        <v>23518746</v>
      </c>
      <c r="B2986" s="21" t="s">
        <v>734</v>
      </c>
      <c r="C2986" s="21" t="s">
        <v>1187</v>
      </c>
      <c r="D2986" s="5" t="s">
        <v>7105</v>
      </c>
      <c r="E2986" s="35">
        <v>42915</v>
      </c>
    </row>
    <row r="2987" spans="1:5" ht="14.25" hidden="1" customHeight="1">
      <c r="A2987" s="160">
        <v>23518746</v>
      </c>
      <c r="B2987" s="174" t="s">
        <v>734</v>
      </c>
      <c r="C2987" s="174" t="s">
        <v>1187</v>
      </c>
      <c r="D2987" s="173" t="s">
        <v>7105</v>
      </c>
      <c r="E2987" s="203">
        <v>42915</v>
      </c>
    </row>
    <row r="2988" spans="1:5" ht="14.25" hidden="1" customHeight="1">
      <c r="A2988" s="32">
        <v>24200921</v>
      </c>
      <c r="B2988" s="21" t="s">
        <v>4784</v>
      </c>
      <c r="C2988" s="21" t="s">
        <v>7093</v>
      </c>
      <c r="D2988" s="5" t="s">
        <v>7105</v>
      </c>
      <c r="E2988" s="35">
        <v>42915</v>
      </c>
    </row>
    <row r="2989" spans="1:5" ht="14.25" hidden="1" customHeight="1">
      <c r="A2989" s="160">
        <v>24200921</v>
      </c>
      <c r="B2989" s="174" t="s">
        <v>4784</v>
      </c>
      <c r="C2989" s="174" t="s">
        <v>7093</v>
      </c>
      <c r="D2989" s="173" t="s">
        <v>7105</v>
      </c>
      <c r="E2989" s="203">
        <v>42915</v>
      </c>
    </row>
    <row r="2990" spans="1:5" ht="14.25" hidden="1" customHeight="1">
      <c r="A2990" s="32">
        <v>24503602</v>
      </c>
      <c r="B2990" s="21" t="s">
        <v>394</v>
      </c>
      <c r="C2990" s="21" t="s">
        <v>2873</v>
      </c>
      <c r="D2990" s="5" t="s">
        <v>7105</v>
      </c>
      <c r="E2990" s="35">
        <v>42915</v>
      </c>
    </row>
    <row r="2991" spans="1:5" ht="14.25" hidden="1" customHeight="1">
      <c r="A2991" s="160">
        <v>24503602</v>
      </c>
      <c r="B2991" s="174" t="s">
        <v>394</v>
      </c>
      <c r="C2991" s="174" t="s">
        <v>2873</v>
      </c>
      <c r="D2991" s="173" t="s">
        <v>7105</v>
      </c>
      <c r="E2991" s="203">
        <v>42915</v>
      </c>
    </row>
    <row r="2992" spans="1:5" ht="14.25" hidden="1" customHeight="1">
      <c r="A2992" s="32">
        <v>24553486</v>
      </c>
      <c r="B2992" s="21" t="s">
        <v>94</v>
      </c>
      <c r="C2992" s="21" t="s">
        <v>2260</v>
      </c>
      <c r="D2992" s="5" t="s">
        <v>7105</v>
      </c>
      <c r="E2992" s="35">
        <v>42915</v>
      </c>
    </row>
    <row r="2993" spans="1:5" ht="14.25" hidden="1" customHeight="1">
      <c r="A2993" s="160">
        <v>24553486</v>
      </c>
      <c r="B2993" s="174" t="s">
        <v>94</v>
      </c>
      <c r="C2993" s="174" t="s">
        <v>2260</v>
      </c>
      <c r="D2993" s="173" t="s">
        <v>7105</v>
      </c>
      <c r="E2993" s="203">
        <v>42915</v>
      </c>
    </row>
    <row r="2994" spans="1:5" ht="14.25" hidden="1" customHeight="1">
      <c r="A2994" s="32">
        <v>24864426</v>
      </c>
      <c r="B2994" s="21" t="s">
        <v>1504</v>
      </c>
      <c r="C2994" s="21" t="s">
        <v>1505</v>
      </c>
      <c r="D2994" s="5" t="s">
        <v>7105</v>
      </c>
      <c r="E2994" s="35">
        <v>42915</v>
      </c>
    </row>
    <row r="2995" spans="1:5" ht="14.25" hidden="1" customHeight="1">
      <c r="A2995" s="160">
        <v>24864426</v>
      </c>
      <c r="B2995" s="174" t="s">
        <v>1504</v>
      </c>
      <c r="C2995" s="174" t="s">
        <v>1505</v>
      </c>
      <c r="D2995" s="173" t="s">
        <v>7105</v>
      </c>
      <c r="E2995" s="203">
        <v>42915</v>
      </c>
    </row>
    <row r="2996" spans="1:5" ht="14.25" hidden="1" customHeight="1">
      <c r="A2996" s="32">
        <v>25444256</v>
      </c>
      <c r="B2996" s="21" t="s">
        <v>5764</v>
      </c>
      <c r="C2996" s="21" t="s">
        <v>5765</v>
      </c>
      <c r="D2996" s="5" t="s">
        <v>7105</v>
      </c>
      <c r="E2996" s="35">
        <v>42915</v>
      </c>
    </row>
    <row r="2997" spans="1:5" ht="14.25" hidden="1" customHeight="1">
      <c r="A2997" s="160">
        <v>25444256</v>
      </c>
      <c r="B2997" s="174" t="s">
        <v>5764</v>
      </c>
      <c r="C2997" s="174" t="s">
        <v>5765</v>
      </c>
      <c r="D2997" s="173" t="s">
        <v>7105</v>
      </c>
      <c r="E2997" s="203">
        <v>42915</v>
      </c>
    </row>
    <row r="2998" spans="1:5" ht="14.25" hidden="1" customHeight="1">
      <c r="A2998" s="32">
        <v>25483050</v>
      </c>
      <c r="B2998" s="21" t="s">
        <v>4033</v>
      </c>
      <c r="C2998" s="21" t="s">
        <v>4034</v>
      </c>
      <c r="D2998" s="5" t="s">
        <v>7105</v>
      </c>
      <c r="E2998" s="35">
        <v>42915</v>
      </c>
    </row>
    <row r="2999" spans="1:5" ht="14.25" hidden="1" customHeight="1">
      <c r="A2999" s="160">
        <v>25483050</v>
      </c>
      <c r="B2999" s="174" t="s">
        <v>4033</v>
      </c>
      <c r="C2999" s="174" t="s">
        <v>4034</v>
      </c>
      <c r="D2999" s="173" t="s">
        <v>7105</v>
      </c>
      <c r="E2999" s="203">
        <v>42915</v>
      </c>
    </row>
    <row r="3000" spans="1:5" ht="14.25" hidden="1" customHeight="1">
      <c r="A3000" s="32">
        <v>25510655</v>
      </c>
      <c r="B3000" s="21" t="s">
        <v>5589</v>
      </c>
      <c r="C3000" s="21" t="s">
        <v>1103</v>
      </c>
      <c r="D3000" s="5" t="s">
        <v>7105</v>
      </c>
      <c r="E3000" s="35">
        <v>42915</v>
      </c>
    </row>
    <row r="3001" spans="1:5" ht="14.25" hidden="1" customHeight="1">
      <c r="A3001" s="160">
        <v>25510655</v>
      </c>
      <c r="B3001" s="174" t="s">
        <v>5589</v>
      </c>
      <c r="C3001" s="174" t="s">
        <v>1103</v>
      </c>
      <c r="D3001" s="173" t="s">
        <v>7105</v>
      </c>
      <c r="E3001" s="203">
        <v>42915</v>
      </c>
    </row>
    <row r="3002" spans="1:5" ht="14.25" hidden="1" customHeight="1">
      <c r="A3002" s="32">
        <v>25653571</v>
      </c>
      <c r="B3002" s="21" t="s">
        <v>1160</v>
      </c>
      <c r="C3002" s="21" t="s">
        <v>1161</v>
      </c>
      <c r="D3002" s="5" t="s">
        <v>7105</v>
      </c>
      <c r="E3002" s="35">
        <v>42915</v>
      </c>
    </row>
    <row r="3003" spans="1:5" ht="14.25" hidden="1" customHeight="1">
      <c r="A3003" s="160">
        <v>25653571</v>
      </c>
      <c r="B3003" s="174" t="s">
        <v>1160</v>
      </c>
      <c r="C3003" s="174" t="s">
        <v>1161</v>
      </c>
      <c r="D3003" s="173" t="s">
        <v>7105</v>
      </c>
      <c r="E3003" s="203">
        <v>42915</v>
      </c>
    </row>
    <row r="3004" spans="1:5" ht="14.25" hidden="1" customHeight="1">
      <c r="A3004" s="32">
        <v>25734593</v>
      </c>
      <c r="B3004" s="21" t="s">
        <v>5433</v>
      </c>
      <c r="C3004" s="21" t="s">
        <v>5434</v>
      </c>
      <c r="D3004" s="5" t="s">
        <v>7105</v>
      </c>
      <c r="E3004" s="35">
        <v>42915</v>
      </c>
    </row>
    <row r="3005" spans="1:5" ht="14.25" hidden="1" customHeight="1">
      <c r="A3005" s="160">
        <v>25734593</v>
      </c>
      <c r="B3005" s="174" t="s">
        <v>5433</v>
      </c>
      <c r="C3005" s="174" t="s">
        <v>5434</v>
      </c>
      <c r="D3005" s="173" t="s">
        <v>7105</v>
      </c>
      <c r="E3005" s="203">
        <v>42915</v>
      </c>
    </row>
    <row r="3006" spans="1:5" ht="14.25" hidden="1" customHeight="1">
      <c r="A3006" s="32">
        <v>25735768</v>
      </c>
      <c r="B3006" s="21" t="s">
        <v>5718</v>
      </c>
      <c r="C3006" s="21" t="s">
        <v>2643</v>
      </c>
      <c r="D3006" s="5" t="s">
        <v>7105</v>
      </c>
      <c r="E3006" s="35">
        <v>42915</v>
      </c>
    </row>
    <row r="3007" spans="1:5" ht="14.25" hidden="1" customHeight="1">
      <c r="A3007" s="160">
        <v>25735768</v>
      </c>
      <c r="B3007" s="174" t="s">
        <v>5718</v>
      </c>
      <c r="C3007" s="174" t="s">
        <v>2643</v>
      </c>
      <c r="D3007" s="173" t="s">
        <v>7105</v>
      </c>
      <c r="E3007" s="203">
        <v>42915</v>
      </c>
    </row>
    <row r="3008" spans="1:5" ht="14.25" hidden="1" customHeight="1">
      <c r="A3008" s="32">
        <v>26176914</v>
      </c>
      <c r="B3008" s="21" t="s">
        <v>1216</v>
      </c>
      <c r="C3008" s="21" t="s">
        <v>5122</v>
      </c>
      <c r="D3008" s="5" t="s">
        <v>7105</v>
      </c>
      <c r="E3008" s="35">
        <v>42915</v>
      </c>
    </row>
    <row r="3009" spans="1:5" ht="14.25" hidden="1" customHeight="1">
      <c r="A3009" s="160">
        <v>26176914</v>
      </c>
      <c r="B3009" s="174" t="s">
        <v>1216</v>
      </c>
      <c r="C3009" s="174" t="s">
        <v>5122</v>
      </c>
      <c r="D3009" s="173" t="s">
        <v>7105</v>
      </c>
      <c r="E3009" s="203">
        <v>42915</v>
      </c>
    </row>
    <row r="3010" spans="1:5" ht="14.25" hidden="1" customHeight="1">
      <c r="A3010" s="32">
        <v>26722130</v>
      </c>
      <c r="B3010" s="21" t="s">
        <v>863</v>
      </c>
      <c r="C3010" s="21" t="s">
        <v>579</v>
      </c>
      <c r="D3010" s="5" t="s">
        <v>7105</v>
      </c>
      <c r="E3010" s="35">
        <v>42915</v>
      </c>
    </row>
    <row r="3011" spans="1:5" ht="14.25" hidden="1" customHeight="1">
      <c r="A3011" s="160">
        <v>26722130</v>
      </c>
      <c r="B3011" s="174" t="s">
        <v>863</v>
      </c>
      <c r="C3011" s="174" t="s">
        <v>579</v>
      </c>
      <c r="D3011" s="173" t="s">
        <v>7105</v>
      </c>
      <c r="E3011" s="203">
        <v>42915</v>
      </c>
    </row>
    <row r="3012" spans="1:5" ht="14.25" hidden="1" customHeight="1">
      <c r="A3012" s="31">
        <v>26736021</v>
      </c>
      <c r="B3012" s="19" t="s">
        <v>359</v>
      </c>
      <c r="C3012" s="19" t="s">
        <v>1785</v>
      </c>
      <c r="D3012" s="5" t="s">
        <v>7105</v>
      </c>
      <c r="E3012" s="35">
        <v>42915</v>
      </c>
    </row>
    <row r="3013" spans="1:5" ht="14.25" hidden="1" customHeight="1">
      <c r="A3013" s="160">
        <v>26736021</v>
      </c>
      <c r="B3013" s="174" t="s">
        <v>359</v>
      </c>
      <c r="C3013" s="174" t="s">
        <v>1785</v>
      </c>
      <c r="D3013" s="173" t="s">
        <v>7105</v>
      </c>
      <c r="E3013" s="203">
        <v>42915</v>
      </c>
    </row>
    <row r="3014" spans="1:5" ht="14.25" hidden="1" customHeight="1">
      <c r="A3014" s="32">
        <v>27206962</v>
      </c>
      <c r="B3014" s="21" t="s">
        <v>2774</v>
      </c>
      <c r="C3014" s="21" t="s">
        <v>2775</v>
      </c>
      <c r="D3014" s="5" t="s">
        <v>7105</v>
      </c>
      <c r="E3014" s="35">
        <v>42915</v>
      </c>
    </row>
    <row r="3015" spans="1:5" ht="14.25" hidden="1" customHeight="1">
      <c r="A3015" s="160">
        <v>27206962</v>
      </c>
      <c r="B3015" s="174" t="s">
        <v>2774</v>
      </c>
      <c r="C3015" s="174" t="s">
        <v>2775</v>
      </c>
      <c r="D3015" s="173" t="s">
        <v>7105</v>
      </c>
      <c r="E3015" s="203">
        <v>42915</v>
      </c>
    </row>
    <row r="3016" spans="1:5" ht="14.25" hidden="1" customHeight="1">
      <c r="A3016" s="32">
        <v>27365139</v>
      </c>
      <c r="B3016" s="21" t="s">
        <v>195</v>
      </c>
      <c r="C3016" s="21" t="s">
        <v>1710</v>
      </c>
      <c r="D3016" s="5" t="s">
        <v>7105</v>
      </c>
      <c r="E3016" s="35">
        <v>42915</v>
      </c>
    </row>
    <row r="3017" spans="1:5" ht="14.25" hidden="1" customHeight="1">
      <c r="A3017" s="160">
        <v>27365139</v>
      </c>
      <c r="B3017" s="174" t="s">
        <v>195</v>
      </c>
      <c r="C3017" s="174" t="s">
        <v>1710</v>
      </c>
      <c r="D3017" s="173" t="s">
        <v>7105</v>
      </c>
      <c r="E3017" s="203">
        <v>42915</v>
      </c>
    </row>
    <row r="3018" spans="1:5" ht="14.25" hidden="1" customHeight="1">
      <c r="A3018" s="31">
        <v>27651651</v>
      </c>
      <c r="B3018" s="19" t="s">
        <v>861</v>
      </c>
      <c r="C3018" s="19" t="s">
        <v>5671</v>
      </c>
      <c r="D3018" s="5" t="s">
        <v>7105</v>
      </c>
      <c r="E3018" s="35">
        <v>42915</v>
      </c>
    </row>
    <row r="3019" spans="1:5" ht="14.25" hidden="1" customHeight="1">
      <c r="A3019" s="160">
        <v>27651651</v>
      </c>
      <c r="B3019" s="174" t="s">
        <v>861</v>
      </c>
      <c r="C3019" s="174" t="s">
        <v>5671</v>
      </c>
      <c r="D3019" s="173" t="s">
        <v>7105</v>
      </c>
      <c r="E3019" s="203">
        <v>42915</v>
      </c>
    </row>
    <row r="3020" spans="1:5" ht="14.25" hidden="1" customHeight="1">
      <c r="A3020" s="32">
        <v>27961528</v>
      </c>
      <c r="B3020" s="21" t="s">
        <v>2696</v>
      </c>
      <c r="C3020" s="21" t="s">
        <v>527</v>
      </c>
      <c r="D3020" s="5" t="s">
        <v>7105</v>
      </c>
      <c r="E3020" s="35">
        <v>42915</v>
      </c>
    </row>
    <row r="3021" spans="1:5" ht="14.25" hidden="1" customHeight="1">
      <c r="A3021" s="160">
        <v>27961528</v>
      </c>
      <c r="B3021" s="174" t="s">
        <v>2696</v>
      </c>
      <c r="C3021" s="174" t="s">
        <v>527</v>
      </c>
      <c r="D3021" s="173" t="s">
        <v>7105</v>
      </c>
      <c r="E3021" s="203">
        <v>42915</v>
      </c>
    </row>
    <row r="3022" spans="1:5" ht="14.25" hidden="1" customHeight="1">
      <c r="A3022" s="32">
        <v>28147332</v>
      </c>
      <c r="B3022" s="21" t="s">
        <v>7107</v>
      </c>
      <c r="C3022" s="21" t="s">
        <v>7108</v>
      </c>
      <c r="D3022" s="5" t="s">
        <v>7105</v>
      </c>
      <c r="E3022" s="35">
        <v>42915</v>
      </c>
    </row>
    <row r="3023" spans="1:5" ht="14.25" hidden="1" customHeight="1">
      <c r="A3023" s="160">
        <v>28147332</v>
      </c>
      <c r="B3023" s="174" t="s">
        <v>7107</v>
      </c>
      <c r="C3023" s="174" t="s">
        <v>7108</v>
      </c>
      <c r="D3023" s="173" t="s">
        <v>7105</v>
      </c>
      <c r="E3023" s="203">
        <v>42915</v>
      </c>
    </row>
    <row r="3024" spans="1:5" ht="14.25" hidden="1" customHeight="1">
      <c r="A3024" s="32">
        <v>28221010</v>
      </c>
      <c r="B3024" s="21" t="s">
        <v>666</v>
      </c>
      <c r="C3024" s="21" t="s">
        <v>667</v>
      </c>
      <c r="D3024" s="5" t="s">
        <v>7105</v>
      </c>
      <c r="E3024" s="35">
        <v>42915</v>
      </c>
    </row>
    <row r="3025" spans="1:5" ht="14.25" hidden="1" customHeight="1">
      <c r="A3025" s="160">
        <v>28221010</v>
      </c>
      <c r="B3025" s="174" t="s">
        <v>666</v>
      </c>
      <c r="C3025" s="174" t="s">
        <v>667</v>
      </c>
      <c r="D3025" s="173" t="s">
        <v>7105</v>
      </c>
      <c r="E3025" s="203">
        <v>42915</v>
      </c>
    </row>
    <row r="3026" spans="1:5" ht="14.25" hidden="1" customHeight="1">
      <c r="A3026" s="32">
        <v>28326318</v>
      </c>
      <c r="B3026" s="21" t="s">
        <v>5830</v>
      </c>
      <c r="C3026" s="21" t="s">
        <v>365</v>
      </c>
      <c r="D3026" s="5" t="s">
        <v>7105</v>
      </c>
      <c r="E3026" s="35">
        <v>42915</v>
      </c>
    </row>
    <row r="3027" spans="1:5" ht="14.25" hidden="1" customHeight="1">
      <c r="A3027" s="160">
        <v>28326318</v>
      </c>
      <c r="B3027" s="174" t="s">
        <v>5830</v>
      </c>
      <c r="C3027" s="174" t="s">
        <v>365</v>
      </c>
      <c r="D3027" s="173" t="s">
        <v>7105</v>
      </c>
      <c r="E3027" s="203">
        <v>42915</v>
      </c>
    </row>
    <row r="3028" spans="1:5" ht="14.25" hidden="1" customHeight="1">
      <c r="A3028" s="32">
        <v>29102855</v>
      </c>
      <c r="B3028" s="21" t="s">
        <v>650</v>
      </c>
      <c r="C3028" s="21" t="s">
        <v>5335</v>
      </c>
      <c r="D3028" s="5" t="s">
        <v>7105</v>
      </c>
      <c r="E3028" s="35">
        <v>42915</v>
      </c>
    </row>
    <row r="3029" spans="1:5" ht="14.25" hidden="1" customHeight="1">
      <c r="A3029" s="160">
        <v>29102855</v>
      </c>
      <c r="B3029" s="174" t="s">
        <v>650</v>
      </c>
      <c r="C3029" s="174" t="s">
        <v>5335</v>
      </c>
      <c r="D3029" s="173" t="s">
        <v>7105</v>
      </c>
      <c r="E3029" s="203">
        <v>42915</v>
      </c>
    </row>
    <row r="3030" spans="1:5" ht="14.25" hidden="1" customHeight="1">
      <c r="A3030" s="32">
        <v>29533058</v>
      </c>
      <c r="B3030" s="21" t="s">
        <v>146</v>
      </c>
      <c r="C3030" s="21" t="s">
        <v>147</v>
      </c>
      <c r="D3030" s="5" t="s">
        <v>7105</v>
      </c>
      <c r="E3030" s="35">
        <v>42915</v>
      </c>
    </row>
    <row r="3031" spans="1:5" ht="14.25" hidden="1" customHeight="1">
      <c r="A3031" s="160">
        <v>29533058</v>
      </c>
      <c r="B3031" s="174" t="s">
        <v>146</v>
      </c>
      <c r="C3031" s="174" t="s">
        <v>147</v>
      </c>
      <c r="D3031" s="173" t="s">
        <v>7105</v>
      </c>
      <c r="E3031" s="203">
        <v>42915</v>
      </c>
    </row>
    <row r="3032" spans="1:5" ht="14.25" hidden="1" customHeight="1">
      <c r="A3032" s="32">
        <v>30357304</v>
      </c>
      <c r="B3032" s="21" t="s">
        <v>350</v>
      </c>
      <c r="C3032" s="21" t="s">
        <v>588</v>
      </c>
      <c r="D3032" s="5" t="s">
        <v>7105</v>
      </c>
      <c r="E3032" s="35">
        <v>42915</v>
      </c>
    </row>
    <row r="3033" spans="1:5" ht="14.25" hidden="1" customHeight="1">
      <c r="A3033" s="160">
        <v>30357304</v>
      </c>
      <c r="B3033" s="174" t="s">
        <v>350</v>
      </c>
      <c r="C3033" s="174" t="s">
        <v>588</v>
      </c>
      <c r="D3033" s="173" t="s">
        <v>7105</v>
      </c>
      <c r="E3033" s="203">
        <v>42915</v>
      </c>
    </row>
    <row r="3034" spans="1:5" ht="14.25" hidden="1" customHeight="1">
      <c r="A3034" s="32">
        <v>30759476</v>
      </c>
      <c r="B3034" s="21" t="s">
        <v>1487</v>
      </c>
      <c r="C3034" s="21" t="s">
        <v>1488</v>
      </c>
      <c r="D3034" s="5" t="s">
        <v>7105</v>
      </c>
      <c r="E3034" s="35">
        <v>42915</v>
      </c>
    </row>
    <row r="3035" spans="1:5" ht="14.25" hidden="1" customHeight="1">
      <c r="A3035" s="160">
        <v>30759476</v>
      </c>
      <c r="B3035" s="174" t="s">
        <v>1487</v>
      </c>
      <c r="C3035" s="174" t="s">
        <v>1488</v>
      </c>
      <c r="D3035" s="173" t="s">
        <v>7105</v>
      </c>
      <c r="E3035" s="203">
        <v>42915</v>
      </c>
    </row>
    <row r="3036" spans="1:5" ht="14.25" hidden="1" customHeight="1">
      <c r="A3036" s="32">
        <v>30759570</v>
      </c>
      <c r="B3036" s="21" t="s">
        <v>2795</v>
      </c>
      <c r="C3036" s="21" t="s">
        <v>2796</v>
      </c>
      <c r="D3036" s="5" t="s">
        <v>7105</v>
      </c>
      <c r="E3036" s="35">
        <v>42915</v>
      </c>
    </row>
    <row r="3037" spans="1:5" ht="14.25" hidden="1" customHeight="1">
      <c r="A3037" s="160">
        <v>30759570</v>
      </c>
      <c r="B3037" s="174" t="s">
        <v>2795</v>
      </c>
      <c r="C3037" s="174" t="s">
        <v>2796</v>
      </c>
      <c r="D3037" s="173" t="s">
        <v>7105</v>
      </c>
      <c r="E3037" s="203">
        <v>42915</v>
      </c>
    </row>
    <row r="3038" spans="1:5" ht="14.25" hidden="1" customHeight="1">
      <c r="A3038" s="32">
        <v>30760509</v>
      </c>
      <c r="B3038" s="21" t="s">
        <v>130</v>
      </c>
      <c r="C3038" s="21" t="s">
        <v>131</v>
      </c>
      <c r="D3038" s="5" t="s">
        <v>7105</v>
      </c>
      <c r="E3038" s="35">
        <v>42915</v>
      </c>
    </row>
    <row r="3039" spans="1:5" ht="14.25" hidden="1" customHeight="1">
      <c r="A3039" s="160">
        <v>30760509</v>
      </c>
      <c r="B3039" s="174" t="s">
        <v>130</v>
      </c>
      <c r="C3039" s="174" t="s">
        <v>131</v>
      </c>
      <c r="D3039" s="173" t="s">
        <v>7105</v>
      </c>
      <c r="E3039" s="203">
        <v>42915</v>
      </c>
    </row>
    <row r="3040" spans="1:5" ht="14.25" hidden="1" customHeight="1">
      <c r="A3040" s="32">
        <v>31425939</v>
      </c>
      <c r="B3040" s="21" t="s">
        <v>218</v>
      </c>
      <c r="C3040" s="21" t="s">
        <v>1741</v>
      </c>
      <c r="D3040" s="5" t="s">
        <v>7105</v>
      </c>
      <c r="E3040" s="35">
        <v>42915</v>
      </c>
    </row>
    <row r="3041" spans="1:5" ht="14.25" hidden="1" customHeight="1">
      <c r="A3041" s="160">
        <v>31425939</v>
      </c>
      <c r="B3041" s="174" t="s">
        <v>218</v>
      </c>
      <c r="C3041" s="174" t="s">
        <v>1741</v>
      </c>
      <c r="D3041" s="173" t="s">
        <v>7105</v>
      </c>
      <c r="E3041" s="203">
        <v>42915</v>
      </c>
    </row>
    <row r="3042" spans="1:5" ht="14.25" hidden="1" customHeight="1">
      <c r="A3042" s="32">
        <v>31809903</v>
      </c>
      <c r="B3042" s="21" t="s">
        <v>3380</v>
      </c>
      <c r="C3042" s="21" t="s">
        <v>3381</v>
      </c>
      <c r="D3042" s="5" t="s">
        <v>7105</v>
      </c>
      <c r="E3042" s="35">
        <v>42915</v>
      </c>
    </row>
    <row r="3043" spans="1:5" ht="14.25" hidden="1" customHeight="1">
      <c r="A3043" s="160">
        <v>31809903</v>
      </c>
      <c r="B3043" s="174" t="s">
        <v>3380</v>
      </c>
      <c r="C3043" s="174" t="s">
        <v>3381</v>
      </c>
      <c r="D3043" s="173" t="s">
        <v>7105</v>
      </c>
      <c r="E3043" s="203">
        <v>42915</v>
      </c>
    </row>
    <row r="3044" spans="1:5" ht="14.25" hidden="1" customHeight="1">
      <c r="A3044" s="31">
        <v>32927760</v>
      </c>
      <c r="B3044" s="19" t="s">
        <v>1913</v>
      </c>
      <c r="C3044" s="19" t="s">
        <v>1914</v>
      </c>
      <c r="D3044" s="5" t="s">
        <v>7105</v>
      </c>
      <c r="E3044" s="35">
        <v>42915</v>
      </c>
    </row>
    <row r="3045" spans="1:5" ht="14.25" hidden="1" customHeight="1">
      <c r="A3045" s="160">
        <v>32927760</v>
      </c>
      <c r="B3045" s="174" t="s">
        <v>1913</v>
      </c>
      <c r="C3045" s="174" t="s">
        <v>1914</v>
      </c>
      <c r="D3045" s="173" t="s">
        <v>7105</v>
      </c>
      <c r="E3045" s="203">
        <v>42915</v>
      </c>
    </row>
    <row r="3046" spans="1:5" ht="14.25" hidden="1" customHeight="1">
      <c r="A3046" s="32">
        <v>33374199</v>
      </c>
      <c r="B3046" s="21" t="s">
        <v>2576</v>
      </c>
      <c r="C3046" s="21" t="s">
        <v>3813</v>
      </c>
      <c r="D3046" s="5" t="s">
        <v>7105</v>
      </c>
      <c r="E3046" s="35">
        <v>42915</v>
      </c>
    </row>
    <row r="3047" spans="1:5" ht="14.25" hidden="1" customHeight="1">
      <c r="A3047" s="160">
        <v>33374199</v>
      </c>
      <c r="B3047" s="174" t="s">
        <v>2576</v>
      </c>
      <c r="C3047" s="174" t="s">
        <v>3813</v>
      </c>
      <c r="D3047" s="173" t="s">
        <v>7105</v>
      </c>
      <c r="E3047" s="203">
        <v>42915</v>
      </c>
    </row>
    <row r="3048" spans="1:5" ht="14.25" hidden="1" customHeight="1">
      <c r="A3048" s="32">
        <v>33430036</v>
      </c>
      <c r="B3048" s="21" t="s">
        <v>2908</v>
      </c>
      <c r="C3048" s="21" t="s">
        <v>2909</v>
      </c>
      <c r="D3048" s="5" t="s">
        <v>7105</v>
      </c>
      <c r="E3048" s="35">
        <v>42915</v>
      </c>
    </row>
    <row r="3049" spans="1:5" ht="14.25" hidden="1" customHeight="1">
      <c r="A3049" s="160">
        <v>33430036</v>
      </c>
      <c r="B3049" s="174" t="s">
        <v>2908</v>
      </c>
      <c r="C3049" s="174" t="s">
        <v>2909</v>
      </c>
      <c r="D3049" s="173" t="s">
        <v>7105</v>
      </c>
      <c r="E3049" s="203">
        <v>42915</v>
      </c>
    </row>
    <row r="3050" spans="1:5" ht="14.25" hidden="1" customHeight="1">
      <c r="A3050" s="32">
        <v>33755283</v>
      </c>
      <c r="B3050" s="21" t="s">
        <v>2481</v>
      </c>
      <c r="C3050" s="21" t="s">
        <v>2482</v>
      </c>
      <c r="D3050" s="5" t="s">
        <v>7105</v>
      </c>
      <c r="E3050" s="35">
        <v>42915</v>
      </c>
    </row>
    <row r="3051" spans="1:5" ht="14.25" hidden="1" customHeight="1">
      <c r="A3051" s="160">
        <v>33755283</v>
      </c>
      <c r="B3051" s="174" t="s">
        <v>2481</v>
      </c>
      <c r="C3051" s="174" t="s">
        <v>2482</v>
      </c>
      <c r="D3051" s="173" t="s">
        <v>7105</v>
      </c>
      <c r="E3051" s="203">
        <v>42915</v>
      </c>
    </row>
    <row r="3052" spans="1:5" ht="14.25" hidden="1" customHeight="1">
      <c r="A3052" s="32">
        <v>33977912</v>
      </c>
      <c r="B3052" s="21" t="s">
        <v>2275</v>
      </c>
      <c r="C3052" s="21" t="s">
        <v>2276</v>
      </c>
      <c r="D3052" s="5" t="s">
        <v>7105</v>
      </c>
      <c r="E3052" s="35">
        <v>42915</v>
      </c>
    </row>
    <row r="3053" spans="1:5" ht="14.25" hidden="1" customHeight="1">
      <c r="A3053" s="160">
        <v>33977912</v>
      </c>
      <c r="B3053" s="174" t="s">
        <v>2275</v>
      </c>
      <c r="C3053" s="174" t="s">
        <v>2276</v>
      </c>
      <c r="D3053" s="173" t="s">
        <v>7105</v>
      </c>
      <c r="E3053" s="203">
        <v>42915</v>
      </c>
    </row>
    <row r="3054" spans="1:5" ht="14.25" hidden="1" customHeight="1">
      <c r="A3054" s="32">
        <v>34356805</v>
      </c>
      <c r="B3054" s="21" t="s">
        <v>650</v>
      </c>
      <c r="C3054" s="21" t="s">
        <v>6991</v>
      </c>
      <c r="D3054" s="5" t="s">
        <v>7105</v>
      </c>
      <c r="E3054" s="35">
        <v>42915</v>
      </c>
    </row>
    <row r="3055" spans="1:5" ht="14.25" hidden="1" customHeight="1">
      <c r="A3055" s="160">
        <v>34356805</v>
      </c>
      <c r="B3055" s="174" t="s">
        <v>650</v>
      </c>
      <c r="C3055" s="174" t="s">
        <v>6991</v>
      </c>
      <c r="D3055" s="173" t="s">
        <v>7105</v>
      </c>
      <c r="E3055" s="203">
        <v>42915</v>
      </c>
    </row>
    <row r="3056" spans="1:5" ht="14.25" hidden="1" customHeight="1">
      <c r="A3056" s="31">
        <v>35548263</v>
      </c>
      <c r="B3056" s="19" t="s">
        <v>415</v>
      </c>
      <c r="C3056" s="19" t="s">
        <v>416</v>
      </c>
      <c r="D3056" s="5" t="s">
        <v>7105</v>
      </c>
      <c r="E3056" s="35">
        <v>42915</v>
      </c>
    </row>
    <row r="3057" spans="1:5" ht="14.25" hidden="1" customHeight="1">
      <c r="A3057" s="160">
        <v>35548263</v>
      </c>
      <c r="B3057" s="174" t="s">
        <v>415</v>
      </c>
      <c r="C3057" s="174" t="s">
        <v>416</v>
      </c>
      <c r="D3057" s="173" t="s">
        <v>7105</v>
      </c>
      <c r="E3057" s="203">
        <v>42915</v>
      </c>
    </row>
    <row r="3058" spans="1:5" ht="14.25" hidden="1" customHeight="1">
      <c r="A3058" s="32">
        <v>35921443</v>
      </c>
      <c r="B3058" s="21" t="s">
        <v>680</v>
      </c>
      <c r="C3058" s="21" t="s">
        <v>2706</v>
      </c>
      <c r="D3058" s="5" t="s">
        <v>7105</v>
      </c>
      <c r="E3058" s="35">
        <v>42915</v>
      </c>
    </row>
    <row r="3059" spans="1:5" ht="14.25" hidden="1" customHeight="1">
      <c r="A3059" s="160">
        <v>35921443</v>
      </c>
      <c r="B3059" s="174" t="s">
        <v>680</v>
      </c>
      <c r="C3059" s="174" t="s">
        <v>2706</v>
      </c>
      <c r="D3059" s="173" t="s">
        <v>7105</v>
      </c>
      <c r="E3059" s="203">
        <v>42915</v>
      </c>
    </row>
    <row r="3060" spans="1:5" ht="14.25" hidden="1" customHeight="1">
      <c r="A3060" s="32">
        <v>37457738</v>
      </c>
      <c r="B3060" s="21" t="s">
        <v>1190</v>
      </c>
      <c r="C3060" s="21" t="s">
        <v>2212</v>
      </c>
      <c r="D3060" s="5" t="s">
        <v>7105</v>
      </c>
      <c r="E3060" s="35">
        <v>42915</v>
      </c>
    </row>
    <row r="3061" spans="1:5" ht="14.25" hidden="1" customHeight="1">
      <c r="A3061" s="160">
        <v>37457738</v>
      </c>
      <c r="B3061" s="174" t="s">
        <v>1190</v>
      </c>
      <c r="C3061" s="174" t="s">
        <v>2212</v>
      </c>
      <c r="D3061" s="173" t="s">
        <v>7105</v>
      </c>
      <c r="E3061" s="203">
        <v>42915</v>
      </c>
    </row>
    <row r="3062" spans="1:5" ht="14.25" hidden="1" customHeight="1">
      <c r="A3062" s="16">
        <v>13710155</v>
      </c>
      <c r="B3062" s="17" t="s">
        <v>3182</v>
      </c>
      <c r="C3062" s="17" t="s">
        <v>4988</v>
      </c>
      <c r="D3062" s="5" t="s">
        <v>7109</v>
      </c>
      <c r="E3062" s="35">
        <v>42893</v>
      </c>
    </row>
    <row r="3063" spans="1:5" ht="14.25" hidden="1" customHeight="1">
      <c r="A3063" s="155">
        <v>13710155</v>
      </c>
      <c r="B3063" s="173" t="s">
        <v>3182</v>
      </c>
      <c r="C3063" s="173" t="s">
        <v>4988</v>
      </c>
      <c r="D3063" s="173" t="s">
        <v>7109</v>
      </c>
      <c r="E3063" s="203">
        <v>42893</v>
      </c>
    </row>
    <row r="3064" spans="1:5" ht="14.25" hidden="1" customHeight="1">
      <c r="A3064" s="16">
        <v>14073492</v>
      </c>
      <c r="B3064" s="17" t="s">
        <v>2183</v>
      </c>
      <c r="C3064" s="17" t="s">
        <v>2184</v>
      </c>
      <c r="D3064" s="5" t="s">
        <v>7109</v>
      </c>
      <c r="E3064" s="35">
        <v>42893</v>
      </c>
    </row>
    <row r="3065" spans="1:5" ht="14.25" hidden="1" customHeight="1">
      <c r="A3065" s="155">
        <v>14073492</v>
      </c>
      <c r="B3065" s="173" t="s">
        <v>2183</v>
      </c>
      <c r="C3065" s="173" t="s">
        <v>2184</v>
      </c>
      <c r="D3065" s="173" t="s">
        <v>7109</v>
      </c>
      <c r="E3065" s="203">
        <v>42893</v>
      </c>
    </row>
    <row r="3066" spans="1:5" ht="14.25" hidden="1" customHeight="1">
      <c r="A3066" s="16">
        <v>14226455</v>
      </c>
      <c r="B3066" s="17" t="s">
        <v>6279</v>
      </c>
      <c r="C3066" s="17" t="s">
        <v>7110</v>
      </c>
      <c r="D3066" s="5" t="s">
        <v>7109</v>
      </c>
      <c r="E3066" s="35">
        <v>42893</v>
      </c>
    </row>
    <row r="3067" spans="1:5" ht="14.25" hidden="1" customHeight="1">
      <c r="A3067" s="155">
        <v>14226455</v>
      </c>
      <c r="B3067" s="173" t="s">
        <v>6279</v>
      </c>
      <c r="C3067" s="173" t="s">
        <v>7110</v>
      </c>
      <c r="D3067" s="173" t="s">
        <v>7109</v>
      </c>
      <c r="E3067" s="203">
        <v>42893</v>
      </c>
    </row>
    <row r="3068" spans="1:5" ht="14.25" hidden="1" customHeight="1">
      <c r="A3068" s="16">
        <v>14966482</v>
      </c>
      <c r="B3068" s="17" t="s">
        <v>2785</v>
      </c>
      <c r="C3068" s="17" t="s">
        <v>2786</v>
      </c>
      <c r="D3068" s="5" t="s">
        <v>7109</v>
      </c>
      <c r="E3068" s="35">
        <v>42893</v>
      </c>
    </row>
    <row r="3069" spans="1:5" ht="14.25" hidden="1" customHeight="1">
      <c r="A3069" s="155">
        <v>14966482</v>
      </c>
      <c r="B3069" s="173" t="s">
        <v>2785</v>
      </c>
      <c r="C3069" s="173" t="s">
        <v>2786</v>
      </c>
      <c r="D3069" s="173" t="s">
        <v>7109</v>
      </c>
      <c r="E3069" s="203">
        <v>42893</v>
      </c>
    </row>
    <row r="3070" spans="1:5" ht="14.25" hidden="1" customHeight="1">
      <c r="A3070" s="16">
        <v>14984966</v>
      </c>
      <c r="B3070" s="17" t="s">
        <v>1558</v>
      </c>
      <c r="C3070" s="17" t="s">
        <v>1061</v>
      </c>
      <c r="D3070" s="5" t="s">
        <v>7109</v>
      </c>
      <c r="E3070" s="35">
        <v>42893</v>
      </c>
    </row>
    <row r="3071" spans="1:5" ht="14.25" hidden="1" customHeight="1">
      <c r="A3071" s="155">
        <v>14984966</v>
      </c>
      <c r="B3071" s="173" t="s">
        <v>1558</v>
      </c>
      <c r="C3071" s="173" t="s">
        <v>1061</v>
      </c>
      <c r="D3071" s="173" t="s">
        <v>7109</v>
      </c>
      <c r="E3071" s="203">
        <v>42893</v>
      </c>
    </row>
    <row r="3072" spans="1:5" ht="14.25" hidden="1" customHeight="1">
      <c r="A3072" s="16">
        <v>16016486</v>
      </c>
      <c r="B3072" s="17" t="s">
        <v>1474</v>
      </c>
      <c r="C3072" s="17" t="s">
        <v>1475</v>
      </c>
      <c r="D3072" s="5" t="s">
        <v>7109</v>
      </c>
      <c r="E3072" s="35">
        <v>42893</v>
      </c>
    </row>
    <row r="3073" spans="1:5" ht="14.25" hidden="1" customHeight="1">
      <c r="A3073" s="155">
        <v>16016486</v>
      </c>
      <c r="B3073" s="173" t="s">
        <v>1474</v>
      </c>
      <c r="C3073" s="173" t="s">
        <v>1475</v>
      </c>
      <c r="D3073" s="173" t="s">
        <v>7109</v>
      </c>
      <c r="E3073" s="203">
        <v>42893</v>
      </c>
    </row>
    <row r="3074" spans="1:5" ht="14.25" hidden="1" customHeight="1">
      <c r="A3074" s="16">
        <v>16685009</v>
      </c>
      <c r="B3074" s="17" t="s">
        <v>2936</v>
      </c>
      <c r="C3074" s="17" t="s">
        <v>2937</v>
      </c>
      <c r="D3074" s="5" t="s">
        <v>7109</v>
      </c>
      <c r="E3074" s="35">
        <v>42893</v>
      </c>
    </row>
    <row r="3075" spans="1:5" ht="14.25" hidden="1" customHeight="1">
      <c r="A3075" s="155">
        <v>16685009</v>
      </c>
      <c r="B3075" s="173" t="s">
        <v>2936</v>
      </c>
      <c r="C3075" s="173" t="s">
        <v>2937</v>
      </c>
      <c r="D3075" s="173" t="s">
        <v>7109</v>
      </c>
      <c r="E3075" s="203">
        <v>42893</v>
      </c>
    </row>
    <row r="3076" spans="1:5" ht="14.25" hidden="1" customHeight="1">
      <c r="A3076" s="16">
        <v>16842434</v>
      </c>
      <c r="B3076" s="17" t="s">
        <v>863</v>
      </c>
      <c r="C3076" s="17" t="s">
        <v>4578</v>
      </c>
      <c r="D3076" s="5" t="s">
        <v>7109</v>
      </c>
      <c r="E3076" s="35">
        <v>42893</v>
      </c>
    </row>
    <row r="3077" spans="1:5" ht="14.25" hidden="1" customHeight="1">
      <c r="A3077" s="155">
        <v>16842434</v>
      </c>
      <c r="B3077" s="173" t="s">
        <v>863</v>
      </c>
      <c r="C3077" s="173" t="s">
        <v>4578</v>
      </c>
      <c r="D3077" s="173" t="s">
        <v>7109</v>
      </c>
      <c r="E3077" s="203">
        <v>42893</v>
      </c>
    </row>
    <row r="3078" spans="1:5" ht="14.25" hidden="1" customHeight="1">
      <c r="A3078" s="16">
        <v>17779601</v>
      </c>
      <c r="B3078" s="17" t="s">
        <v>364</v>
      </c>
      <c r="C3078" s="17" t="s">
        <v>2161</v>
      </c>
      <c r="D3078" s="5" t="s">
        <v>7109</v>
      </c>
      <c r="E3078" s="35">
        <v>42893</v>
      </c>
    </row>
    <row r="3079" spans="1:5" ht="14.25" hidden="1" customHeight="1">
      <c r="A3079" s="155">
        <v>17779601</v>
      </c>
      <c r="B3079" s="173" t="s">
        <v>364</v>
      </c>
      <c r="C3079" s="173" t="s">
        <v>2161</v>
      </c>
      <c r="D3079" s="173" t="s">
        <v>7109</v>
      </c>
      <c r="E3079" s="203">
        <v>42893</v>
      </c>
    </row>
    <row r="3080" spans="1:5" ht="14.25" hidden="1" customHeight="1">
      <c r="A3080" s="16">
        <v>17947736</v>
      </c>
      <c r="B3080" s="17" t="s">
        <v>806</v>
      </c>
      <c r="C3080" s="17" t="s">
        <v>807</v>
      </c>
      <c r="D3080" s="5" t="s">
        <v>7109</v>
      </c>
      <c r="E3080" s="35">
        <v>42893</v>
      </c>
    </row>
    <row r="3081" spans="1:5" ht="14.25" hidden="1" customHeight="1">
      <c r="A3081" s="155">
        <v>17947736</v>
      </c>
      <c r="B3081" s="173" t="s">
        <v>806</v>
      </c>
      <c r="C3081" s="173" t="s">
        <v>807</v>
      </c>
      <c r="D3081" s="173" t="s">
        <v>7109</v>
      </c>
      <c r="E3081" s="203">
        <v>42893</v>
      </c>
    </row>
    <row r="3082" spans="1:5" ht="14.25" hidden="1" customHeight="1">
      <c r="A3082" s="16">
        <v>17947900</v>
      </c>
      <c r="B3082" s="17" t="s">
        <v>355</v>
      </c>
      <c r="C3082" s="17" t="s">
        <v>356</v>
      </c>
      <c r="D3082" s="5" t="s">
        <v>7109</v>
      </c>
      <c r="E3082" s="35">
        <v>42893</v>
      </c>
    </row>
    <row r="3083" spans="1:5" ht="14.25" hidden="1" customHeight="1">
      <c r="A3083" s="155">
        <v>17947900</v>
      </c>
      <c r="B3083" s="173" t="s">
        <v>355</v>
      </c>
      <c r="C3083" s="173" t="s">
        <v>356</v>
      </c>
      <c r="D3083" s="173" t="s">
        <v>7109</v>
      </c>
      <c r="E3083" s="203">
        <v>42893</v>
      </c>
    </row>
    <row r="3084" spans="1:5" ht="14.25" hidden="1" customHeight="1">
      <c r="A3084" s="16">
        <v>18566394</v>
      </c>
      <c r="B3084" s="17" t="s">
        <v>144</v>
      </c>
      <c r="C3084" s="17" t="s">
        <v>283</v>
      </c>
      <c r="D3084" s="5" t="s">
        <v>7109</v>
      </c>
      <c r="E3084" s="35">
        <v>42893</v>
      </c>
    </row>
    <row r="3085" spans="1:5" ht="14.25" hidden="1" customHeight="1">
      <c r="A3085" s="155">
        <v>18566394</v>
      </c>
      <c r="B3085" s="173" t="s">
        <v>144</v>
      </c>
      <c r="C3085" s="173" t="s">
        <v>283</v>
      </c>
      <c r="D3085" s="173" t="s">
        <v>7109</v>
      </c>
      <c r="E3085" s="203">
        <v>42893</v>
      </c>
    </row>
    <row r="3086" spans="1:5" ht="14.25" hidden="1" customHeight="1">
      <c r="A3086" s="16">
        <v>18889433</v>
      </c>
      <c r="B3086" s="17" t="s">
        <v>970</v>
      </c>
      <c r="C3086" s="17" t="s">
        <v>968</v>
      </c>
      <c r="D3086" s="5" t="s">
        <v>7109</v>
      </c>
      <c r="E3086" s="35">
        <v>42893</v>
      </c>
    </row>
    <row r="3087" spans="1:5" ht="14.25" hidden="1" customHeight="1">
      <c r="A3087" s="155">
        <v>18889433</v>
      </c>
      <c r="B3087" s="173" t="s">
        <v>970</v>
      </c>
      <c r="C3087" s="173" t="s">
        <v>968</v>
      </c>
      <c r="D3087" s="173" t="s">
        <v>7109</v>
      </c>
      <c r="E3087" s="203">
        <v>42893</v>
      </c>
    </row>
    <row r="3088" spans="1:5" ht="14.25" hidden="1" customHeight="1">
      <c r="A3088" s="16">
        <v>22264316</v>
      </c>
      <c r="B3088" s="17" t="s">
        <v>2687</v>
      </c>
      <c r="C3088" s="17" t="s">
        <v>2688</v>
      </c>
      <c r="D3088" s="5" t="s">
        <v>7109</v>
      </c>
      <c r="E3088" s="35">
        <v>42893</v>
      </c>
    </row>
    <row r="3089" spans="1:5" ht="14.25" hidden="1" customHeight="1">
      <c r="A3089" s="155">
        <v>22264316</v>
      </c>
      <c r="B3089" s="173" t="s">
        <v>2687</v>
      </c>
      <c r="C3089" s="173" t="s">
        <v>2688</v>
      </c>
      <c r="D3089" s="173" t="s">
        <v>7109</v>
      </c>
      <c r="E3089" s="203">
        <v>42893</v>
      </c>
    </row>
    <row r="3090" spans="1:5" ht="14.25" hidden="1" customHeight="1">
      <c r="A3090" s="16">
        <v>22336712</v>
      </c>
      <c r="B3090" s="17" t="s">
        <v>5262</v>
      </c>
      <c r="C3090" s="17" t="s">
        <v>7103</v>
      </c>
      <c r="D3090" s="5" t="s">
        <v>7109</v>
      </c>
      <c r="E3090" s="35">
        <v>42893</v>
      </c>
    </row>
    <row r="3091" spans="1:5" ht="14.25" hidden="1" customHeight="1">
      <c r="A3091" s="155">
        <v>22336712</v>
      </c>
      <c r="B3091" s="173" t="s">
        <v>5262</v>
      </c>
      <c r="C3091" s="173" t="s">
        <v>7103</v>
      </c>
      <c r="D3091" s="173" t="s">
        <v>7109</v>
      </c>
      <c r="E3091" s="203">
        <v>42893</v>
      </c>
    </row>
    <row r="3092" spans="1:5" ht="14.25" hidden="1" customHeight="1">
      <c r="A3092" s="16">
        <v>22877708</v>
      </c>
      <c r="B3092" s="17" t="s">
        <v>2709</v>
      </c>
      <c r="C3092" s="17" t="s">
        <v>2710</v>
      </c>
      <c r="D3092" s="5" t="s">
        <v>7109</v>
      </c>
      <c r="E3092" s="35">
        <v>42893</v>
      </c>
    </row>
    <row r="3093" spans="1:5" ht="14.25" hidden="1" customHeight="1">
      <c r="A3093" s="155">
        <v>22877708</v>
      </c>
      <c r="B3093" s="173" t="s">
        <v>2709</v>
      </c>
      <c r="C3093" s="173" t="s">
        <v>2710</v>
      </c>
      <c r="D3093" s="173" t="s">
        <v>7109</v>
      </c>
      <c r="E3093" s="203">
        <v>42893</v>
      </c>
    </row>
    <row r="3094" spans="1:5" ht="14.25" hidden="1" customHeight="1">
      <c r="A3094" s="16">
        <v>23178847</v>
      </c>
      <c r="B3094" s="17" t="s">
        <v>226</v>
      </c>
      <c r="C3094" s="17" t="s">
        <v>895</v>
      </c>
      <c r="D3094" s="5" t="s">
        <v>7109</v>
      </c>
      <c r="E3094" s="35">
        <v>42893</v>
      </c>
    </row>
    <row r="3095" spans="1:5" ht="14.25" hidden="1" customHeight="1">
      <c r="A3095" s="155">
        <v>23178847</v>
      </c>
      <c r="B3095" s="173" t="s">
        <v>226</v>
      </c>
      <c r="C3095" s="173" t="s">
        <v>895</v>
      </c>
      <c r="D3095" s="173" t="s">
        <v>7109</v>
      </c>
      <c r="E3095" s="203">
        <v>42893</v>
      </c>
    </row>
    <row r="3096" spans="1:5" ht="14.25" hidden="1" customHeight="1">
      <c r="A3096" s="16">
        <v>23239528</v>
      </c>
      <c r="B3096" s="17" t="s">
        <v>4981</v>
      </c>
      <c r="C3096" s="17" t="s">
        <v>4982</v>
      </c>
      <c r="D3096" s="5" t="s">
        <v>7109</v>
      </c>
      <c r="E3096" s="35">
        <v>42893</v>
      </c>
    </row>
    <row r="3097" spans="1:5" ht="14.25" hidden="1" customHeight="1">
      <c r="A3097" s="155">
        <v>23239528</v>
      </c>
      <c r="B3097" s="173" t="s">
        <v>4981</v>
      </c>
      <c r="C3097" s="173" t="s">
        <v>4982</v>
      </c>
      <c r="D3097" s="173" t="s">
        <v>7109</v>
      </c>
      <c r="E3097" s="203">
        <v>42893</v>
      </c>
    </row>
    <row r="3098" spans="1:5" ht="14.25" hidden="1" customHeight="1">
      <c r="A3098" s="16">
        <v>23381097</v>
      </c>
      <c r="B3098" s="17" t="s">
        <v>3842</v>
      </c>
      <c r="C3098" s="17" t="s">
        <v>902</v>
      </c>
      <c r="D3098" s="5" t="s">
        <v>7109</v>
      </c>
      <c r="E3098" s="35">
        <v>42893</v>
      </c>
    </row>
    <row r="3099" spans="1:5" ht="14.25" hidden="1" customHeight="1">
      <c r="A3099" s="155">
        <v>23381097</v>
      </c>
      <c r="B3099" s="173" t="s">
        <v>3842</v>
      </c>
      <c r="C3099" s="173" t="s">
        <v>902</v>
      </c>
      <c r="D3099" s="173" t="s">
        <v>7109</v>
      </c>
      <c r="E3099" s="203">
        <v>42893</v>
      </c>
    </row>
    <row r="3100" spans="1:5" ht="14.25" hidden="1" customHeight="1">
      <c r="A3100" s="16">
        <v>23518101</v>
      </c>
      <c r="B3100" s="17" t="s">
        <v>891</v>
      </c>
      <c r="C3100" s="17" t="s">
        <v>892</v>
      </c>
      <c r="D3100" s="5" t="s">
        <v>7109</v>
      </c>
      <c r="E3100" s="35">
        <v>42893</v>
      </c>
    </row>
    <row r="3101" spans="1:5" ht="14.25" hidden="1" customHeight="1">
      <c r="A3101" s="155">
        <v>23518101</v>
      </c>
      <c r="B3101" s="173" t="s">
        <v>891</v>
      </c>
      <c r="C3101" s="173" t="s">
        <v>892</v>
      </c>
      <c r="D3101" s="173" t="s">
        <v>7109</v>
      </c>
      <c r="E3101" s="203">
        <v>42893</v>
      </c>
    </row>
    <row r="3102" spans="1:5" ht="14.25" hidden="1" customHeight="1">
      <c r="A3102" s="16">
        <v>24059021</v>
      </c>
      <c r="B3102" s="17" t="s">
        <v>3887</v>
      </c>
      <c r="C3102" s="17" t="s">
        <v>3888</v>
      </c>
      <c r="D3102" s="5" t="s">
        <v>7109</v>
      </c>
      <c r="E3102" s="35">
        <v>42893</v>
      </c>
    </row>
    <row r="3103" spans="1:5" ht="14.25" hidden="1" customHeight="1">
      <c r="A3103" s="155">
        <v>24059021</v>
      </c>
      <c r="B3103" s="173" t="s">
        <v>3887</v>
      </c>
      <c r="C3103" s="173" t="s">
        <v>3888</v>
      </c>
      <c r="D3103" s="173" t="s">
        <v>7109</v>
      </c>
      <c r="E3103" s="203">
        <v>42893</v>
      </c>
    </row>
    <row r="3104" spans="1:5" ht="14.25" hidden="1" customHeight="1">
      <c r="A3104" s="16">
        <v>24200813</v>
      </c>
      <c r="B3104" s="17" t="s">
        <v>2766</v>
      </c>
      <c r="C3104" s="17" t="s">
        <v>2767</v>
      </c>
      <c r="D3104" s="5" t="s">
        <v>7109</v>
      </c>
      <c r="E3104" s="35">
        <v>42893</v>
      </c>
    </row>
    <row r="3105" spans="1:5" ht="14.25" hidden="1" customHeight="1">
      <c r="A3105" s="155">
        <v>24200813</v>
      </c>
      <c r="B3105" s="173" t="s">
        <v>2766</v>
      </c>
      <c r="C3105" s="173" t="s">
        <v>2767</v>
      </c>
      <c r="D3105" s="173" t="s">
        <v>7109</v>
      </c>
      <c r="E3105" s="203">
        <v>42893</v>
      </c>
    </row>
    <row r="3106" spans="1:5" ht="14.25" hidden="1" customHeight="1">
      <c r="A3106" s="16">
        <v>24503602</v>
      </c>
      <c r="B3106" s="17" t="s">
        <v>394</v>
      </c>
      <c r="C3106" s="17" t="s">
        <v>5784</v>
      </c>
      <c r="D3106" s="5" t="s">
        <v>7109</v>
      </c>
      <c r="E3106" s="35">
        <v>42893</v>
      </c>
    </row>
    <row r="3107" spans="1:5" ht="14.25" hidden="1" customHeight="1">
      <c r="A3107" s="155">
        <v>24503602</v>
      </c>
      <c r="B3107" s="173" t="s">
        <v>394</v>
      </c>
      <c r="C3107" s="173" t="s">
        <v>5784</v>
      </c>
      <c r="D3107" s="173" t="s">
        <v>7109</v>
      </c>
      <c r="E3107" s="203">
        <v>42893</v>
      </c>
    </row>
    <row r="3108" spans="1:5" ht="14.25" hidden="1" customHeight="1">
      <c r="A3108" s="16">
        <v>25734543</v>
      </c>
      <c r="B3108" s="17" t="s">
        <v>5420</v>
      </c>
      <c r="C3108" s="17" t="s">
        <v>5421</v>
      </c>
      <c r="D3108" s="5" t="s">
        <v>7109</v>
      </c>
      <c r="E3108" s="35">
        <v>42893</v>
      </c>
    </row>
    <row r="3109" spans="1:5" ht="14.25" hidden="1" customHeight="1">
      <c r="A3109" s="155">
        <v>25734543</v>
      </c>
      <c r="B3109" s="173" t="s">
        <v>5420</v>
      </c>
      <c r="C3109" s="173" t="s">
        <v>5421</v>
      </c>
      <c r="D3109" s="173" t="s">
        <v>7109</v>
      </c>
      <c r="E3109" s="203">
        <v>42893</v>
      </c>
    </row>
    <row r="3110" spans="1:5" ht="14.25" hidden="1" customHeight="1">
      <c r="A3110" s="16">
        <v>25843480</v>
      </c>
      <c r="B3110" s="17" t="s">
        <v>355</v>
      </c>
      <c r="C3110" s="17" t="s">
        <v>1778</v>
      </c>
      <c r="D3110" s="5" t="s">
        <v>7109</v>
      </c>
      <c r="E3110" s="35">
        <v>42893</v>
      </c>
    </row>
    <row r="3111" spans="1:5" ht="14.25" hidden="1" customHeight="1">
      <c r="A3111" s="155">
        <v>25843480</v>
      </c>
      <c r="B3111" s="173" t="s">
        <v>355</v>
      </c>
      <c r="C3111" s="173" t="s">
        <v>1778</v>
      </c>
      <c r="D3111" s="173" t="s">
        <v>7109</v>
      </c>
      <c r="E3111" s="203">
        <v>42893</v>
      </c>
    </row>
    <row r="3112" spans="1:5" ht="14.25" hidden="1" customHeight="1">
      <c r="A3112" s="16">
        <v>26638536</v>
      </c>
      <c r="B3112" s="17" t="s">
        <v>901</v>
      </c>
      <c r="C3112" s="17" t="s">
        <v>902</v>
      </c>
      <c r="D3112" s="5" t="s">
        <v>7109</v>
      </c>
      <c r="E3112" s="35">
        <v>42893</v>
      </c>
    </row>
    <row r="3113" spans="1:5" ht="14.25" hidden="1" customHeight="1">
      <c r="A3113" s="155">
        <v>26638536</v>
      </c>
      <c r="B3113" s="173" t="s">
        <v>901</v>
      </c>
      <c r="C3113" s="173" t="s">
        <v>902</v>
      </c>
      <c r="D3113" s="173" t="s">
        <v>7109</v>
      </c>
      <c r="E3113" s="203">
        <v>42893</v>
      </c>
    </row>
    <row r="3114" spans="1:5" ht="14.25" hidden="1" customHeight="1">
      <c r="A3114" s="16">
        <v>27575100</v>
      </c>
      <c r="B3114" s="17" t="s">
        <v>3649</v>
      </c>
      <c r="C3114" s="17" t="s">
        <v>436</v>
      </c>
      <c r="D3114" s="5" t="s">
        <v>7109</v>
      </c>
      <c r="E3114" s="35">
        <v>42893</v>
      </c>
    </row>
    <row r="3115" spans="1:5" ht="14.25" hidden="1" customHeight="1">
      <c r="A3115" s="155">
        <v>27575100</v>
      </c>
      <c r="B3115" s="173" t="s">
        <v>3649</v>
      </c>
      <c r="C3115" s="173" t="s">
        <v>436</v>
      </c>
      <c r="D3115" s="173" t="s">
        <v>7109</v>
      </c>
      <c r="E3115" s="203">
        <v>42893</v>
      </c>
    </row>
    <row r="3116" spans="1:5" ht="14.25" hidden="1" customHeight="1">
      <c r="A3116" s="16">
        <v>34287762</v>
      </c>
      <c r="B3116" s="17" t="s">
        <v>1879</v>
      </c>
      <c r="C3116" s="17" t="s">
        <v>1880</v>
      </c>
      <c r="D3116" s="5" t="s">
        <v>7109</v>
      </c>
      <c r="E3116" s="35">
        <v>42893</v>
      </c>
    </row>
    <row r="3117" spans="1:5" ht="14.25" hidden="1" customHeight="1">
      <c r="A3117" s="155">
        <v>34287762</v>
      </c>
      <c r="B3117" s="173" t="s">
        <v>1879</v>
      </c>
      <c r="C3117" s="173" t="s">
        <v>1880</v>
      </c>
      <c r="D3117" s="173" t="s">
        <v>7109</v>
      </c>
      <c r="E3117" s="203">
        <v>42893</v>
      </c>
    </row>
    <row r="3118" spans="1:5" ht="14.25" hidden="1" customHeight="1">
      <c r="A3118" s="16">
        <v>40357718</v>
      </c>
      <c r="B3118" s="17" t="s">
        <v>5783</v>
      </c>
      <c r="C3118" s="17" t="s">
        <v>5784</v>
      </c>
      <c r="D3118" s="5" t="s">
        <v>7109</v>
      </c>
      <c r="E3118" s="35">
        <v>42893</v>
      </c>
    </row>
    <row r="3119" spans="1:5" ht="14.25" hidden="1" customHeight="1">
      <c r="A3119" s="155">
        <v>40357718</v>
      </c>
      <c r="B3119" s="173" t="s">
        <v>5783</v>
      </c>
      <c r="C3119" s="173" t="s">
        <v>5784</v>
      </c>
      <c r="D3119" s="173" t="s">
        <v>7109</v>
      </c>
      <c r="E3119" s="203">
        <v>42893</v>
      </c>
    </row>
    <row r="3120" spans="1:5" ht="14.25" hidden="1" customHeight="1">
      <c r="A3120" s="155">
        <v>12449228</v>
      </c>
      <c r="B3120" s="173" t="s">
        <v>5312</v>
      </c>
      <c r="C3120" s="173" t="s">
        <v>6036</v>
      </c>
      <c r="D3120" s="173" t="s">
        <v>9298</v>
      </c>
      <c r="E3120" s="203">
        <v>42888</v>
      </c>
    </row>
    <row r="3121" spans="1:5" ht="14.25" hidden="1" customHeight="1">
      <c r="A3121" s="155">
        <v>12606733</v>
      </c>
      <c r="B3121" s="173" t="s">
        <v>4286</v>
      </c>
      <c r="C3121" s="173" t="s">
        <v>6055</v>
      </c>
      <c r="D3121" s="173" t="s">
        <v>9298</v>
      </c>
      <c r="E3121" s="203">
        <v>42888</v>
      </c>
    </row>
    <row r="3122" spans="1:5" ht="14.25" hidden="1" customHeight="1">
      <c r="A3122" s="155">
        <v>16932690</v>
      </c>
      <c r="B3122" s="173" t="s">
        <v>106</v>
      </c>
      <c r="C3122" s="173" t="s">
        <v>4988</v>
      </c>
      <c r="D3122" s="173" t="s">
        <v>9298</v>
      </c>
      <c r="E3122" s="203">
        <v>42888</v>
      </c>
    </row>
    <row r="3123" spans="1:5" ht="14.25" hidden="1" customHeight="1">
      <c r="A3123" s="155">
        <v>17543711</v>
      </c>
      <c r="B3123" s="173" t="s">
        <v>195</v>
      </c>
      <c r="C3123" s="173" t="s">
        <v>296</v>
      </c>
      <c r="D3123" s="173" t="s">
        <v>9298</v>
      </c>
      <c r="E3123" s="203">
        <v>42888</v>
      </c>
    </row>
    <row r="3124" spans="1:5" ht="14.25" hidden="1" customHeight="1">
      <c r="A3124" s="155">
        <v>17940596</v>
      </c>
      <c r="B3124" s="173" t="s">
        <v>6034</v>
      </c>
      <c r="C3124" s="173" t="s">
        <v>6035</v>
      </c>
      <c r="D3124" s="173" t="s">
        <v>9298</v>
      </c>
      <c r="E3124" s="203">
        <v>42888</v>
      </c>
    </row>
    <row r="3125" spans="1:5" ht="14.25" hidden="1" customHeight="1">
      <c r="A3125" s="155">
        <v>17947467</v>
      </c>
      <c r="B3125" s="173" t="s">
        <v>601</v>
      </c>
      <c r="C3125" s="173" t="s">
        <v>1751</v>
      </c>
      <c r="D3125" s="173" t="s">
        <v>9298</v>
      </c>
      <c r="E3125" s="203">
        <v>42888</v>
      </c>
    </row>
    <row r="3126" spans="1:5" ht="14.25" hidden="1" customHeight="1">
      <c r="A3126" s="155">
        <v>18185644</v>
      </c>
      <c r="B3126" s="173" t="s">
        <v>2262</v>
      </c>
      <c r="C3126" s="173" t="s">
        <v>6382</v>
      </c>
      <c r="D3126" s="173" t="s">
        <v>9298</v>
      </c>
      <c r="E3126" s="203">
        <v>42888</v>
      </c>
    </row>
    <row r="3127" spans="1:5" ht="14.25" hidden="1" customHeight="1">
      <c r="A3127" s="155">
        <v>20889209</v>
      </c>
      <c r="B3127" s="173" t="s">
        <v>927</v>
      </c>
      <c r="C3127" s="173" t="s">
        <v>106</v>
      </c>
      <c r="D3127" s="173" t="s">
        <v>9298</v>
      </c>
      <c r="E3127" s="203">
        <v>42888</v>
      </c>
    </row>
    <row r="3128" spans="1:5" ht="14.25" hidden="1" customHeight="1">
      <c r="A3128" s="155">
        <v>22264981</v>
      </c>
      <c r="B3128" s="173" t="s">
        <v>5885</v>
      </c>
      <c r="C3128" s="173" t="s">
        <v>5886</v>
      </c>
      <c r="D3128" s="173" t="s">
        <v>9298</v>
      </c>
      <c r="E3128" s="203">
        <v>42888</v>
      </c>
    </row>
    <row r="3129" spans="1:5" ht="14.25" hidden="1" customHeight="1">
      <c r="A3129" s="155">
        <v>22704602</v>
      </c>
      <c r="B3129" s="173" t="s">
        <v>6365</v>
      </c>
      <c r="C3129" s="173" t="s">
        <v>1632</v>
      </c>
      <c r="D3129" s="173" t="s">
        <v>9298</v>
      </c>
      <c r="E3129" s="203">
        <v>42888</v>
      </c>
    </row>
    <row r="3130" spans="1:5" ht="14.25" hidden="1" customHeight="1">
      <c r="A3130" s="155">
        <v>22805647</v>
      </c>
      <c r="B3130" s="173" t="s">
        <v>927</v>
      </c>
      <c r="C3130" s="173" t="s">
        <v>153</v>
      </c>
      <c r="D3130" s="173" t="s">
        <v>9298</v>
      </c>
      <c r="E3130" s="203">
        <v>42888</v>
      </c>
    </row>
    <row r="3131" spans="1:5" ht="14.25" hidden="1" customHeight="1">
      <c r="A3131" s="155">
        <v>22877918</v>
      </c>
      <c r="B3131" s="173" t="s">
        <v>6231</v>
      </c>
      <c r="C3131" s="173" t="s">
        <v>548</v>
      </c>
      <c r="D3131" s="173" t="s">
        <v>9298</v>
      </c>
      <c r="E3131" s="203">
        <v>42888</v>
      </c>
    </row>
    <row r="3132" spans="1:5" ht="14.25" hidden="1" customHeight="1">
      <c r="A3132" s="155">
        <v>23117708</v>
      </c>
      <c r="B3132" s="173" t="s">
        <v>6018</v>
      </c>
      <c r="C3132" s="173" t="s">
        <v>6019</v>
      </c>
      <c r="D3132" s="173" t="s">
        <v>9298</v>
      </c>
      <c r="E3132" s="203">
        <v>42888</v>
      </c>
    </row>
    <row r="3133" spans="1:5" ht="14.25" hidden="1" customHeight="1">
      <c r="A3133" s="155">
        <v>23517781</v>
      </c>
      <c r="B3133" s="173" t="s">
        <v>288</v>
      </c>
      <c r="C3133" s="173" t="s">
        <v>6225</v>
      </c>
      <c r="D3133" s="173" t="s">
        <v>9298</v>
      </c>
      <c r="E3133" s="203">
        <v>42888</v>
      </c>
    </row>
    <row r="3134" spans="1:5" ht="14.25" hidden="1" customHeight="1">
      <c r="A3134" s="155">
        <v>23518386</v>
      </c>
      <c r="B3134" s="173" t="s">
        <v>260</v>
      </c>
      <c r="C3134" s="173" t="s">
        <v>6195</v>
      </c>
      <c r="D3134" s="173" t="s">
        <v>9298</v>
      </c>
      <c r="E3134" s="203">
        <v>42888</v>
      </c>
    </row>
    <row r="3135" spans="1:5" ht="14.25" hidden="1" customHeight="1">
      <c r="A3135" s="155">
        <v>24553486</v>
      </c>
      <c r="B3135" s="173" t="s">
        <v>94</v>
      </c>
      <c r="C3135" s="173" t="s">
        <v>427</v>
      </c>
      <c r="D3135" s="173" t="s">
        <v>9298</v>
      </c>
      <c r="E3135" s="203">
        <v>42888</v>
      </c>
    </row>
    <row r="3136" spans="1:5" ht="14.25" hidden="1" customHeight="1">
      <c r="A3136" s="155">
        <v>25380689</v>
      </c>
      <c r="B3136" s="173" t="s">
        <v>1660</v>
      </c>
      <c r="C3136" s="173" t="s">
        <v>1688</v>
      </c>
      <c r="D3136" s="173" t="s">
        <v>9298</v>
      </c>
      <c r="E3136" s="203">
        <v>42888</v>
      </c>
    </row>
    <row r="3137" spans="1:5" ht="14.25" hidden="1" customHeight="1">
      <c r="A3137" s="155">
        <v>26722853</v>
      </c>
      <c r="B3137" s="173" t="s">
        <v>5974</v>
      </c>
      <c r="C3137" s="173" t="s">
        <v>5975</v>
      </c>
      <c r="D3137" s="173" t="s">
        <v>9298</v>
      </c>
      <c r="E3137" s="203">
        <v>42888</v>
      </c>
    </row>
    <row r="3138" spans="1:5" ht="14.25" hidden="1" customHeight="1">
      <c r="A3138" s="155">
        <v>26783489</v>
      </c>
      <c r="B3138" s="173" t="s">
        <v>511</v>
      </c>
      <c r="C3138" s="173" t="s">
        <v>1389</v>
      </c>
      <c r="D3138" s="173" t="s">
        <v>9298</v>
      </c>
      <c r="E3138" s="203">
        <v>42888</v>
      </c>
    </row>
    <row r="3139" spans="1:5" ht="14.25" hidden="1" customHeight="1">
      <c r="A3139" s="155">
        <v>27460133</v>
      </c>
      <c r="B3139" s="173" t="s">
        <v>5998</v>
      </c>
      <c r="C3139" s="173" t="s">
        <v>876</v>
      </c>
      <c r="D3139" s="173" t="s">
        <v>9298</v>
      </c>
      <c r="E3139" s="203">
        <v>42888</v>
      </c>
    </row>
    <row r="3140" spans="1:5" ht="14.25" hidden="1" customHeight="1">
      <c r="A3140" s="155">
        <v>27595246</v>
      </c>
      <c r="B3140" s="173" t="s">
        <v>6312</v>
      </c>
      <c r="C3140" s="173" t="s">
        <v>328</v>
      </c>
      <c r="D3140" s="173" t="s">
        <v>9298</v>
      </c>
      <c r="E3140" s="203">
        <v>42888</v>
      </c>
    </row>
    <row r="3141" spans="1:5" ht="14.25" hidden="1" customHeight="1">
      <c r="A3141" s="155">
        <v>28532245</v>
      </c>
      <c r="B3141" s="173" t="s">
        <v>6415</v>
      </c>
      <c r="C3141" s="173" t="s">
        <v>6416</v>
      </c>
      <c r="D3141" s="173" t="s">
        <v>9298</v>
      </c>
      <c r="E3141" s="203">
        <v>42888</v>
      </c>
    </row>
    <row r="3142" spans="1:5" ht="14.25" hidden="1" customHeight="1">
      <c r="A3142" s="155">
        <v>29786084</v>
      </c>
      <c r="B3142" s="173" t="s">
        <v>3474</v>
      </c>
      <c r="C3142" s="173" t="s">
        <v>512</v>
      </c>
      <c r="D3142" s="173" t="s">
        <v>9298</v>
      </c>
      <c r="E3142" s="203">
        <v>42888</v>
      </c>
    </row>
    <row r="3143" spans="1:5" ht="14.25" hidden="1" customHeight="1">
      <c r="A3143" s="155">
        <v>30177792</v>
      </c>
      <c r="B3143" s="173" t="s">
        <v>304</v>
      </c>
      <c r="C3143" s="173" t="s">
        <v>129</v>
      </c>
      <c r="D3143" s="173" t="s">
        <v>9298</v>
      </c>
      <c r="E3143" s="203">
        <v>42888</v>
      </c>
    </row>
    <row r="3144" spans="1:5" ht="14.25" hidden="1" customHeight="1">
      <c r="A3144" s="155">
        <v>31127261</v>
      </c>
      <c r="B3144" s="173" t="s">
        <v>7112</v>
      </c>
      <c r="C3144" s="173" t="s">
        <v>5631</v>
      </c>
      <c r="D3144" s="173" t="s">
        <v>9298</v>
      </c>
      <c r="E3144" s="203">
        <v>42888</v>
      </c>
    </row>
    <row r="3145" spans="1:5" ht="14.25" hidden="1" customHeight="1">
      <c r="A3145" s="155">
        <v>31429138</v>
      </c>
      <c r="B3145" s="173" t="s">
        <v>1401</v>
      </c>
      <c r="C3145" s="173" t="s">
        <v>5989</v>
      </c>
      <c r="D3145" s="173" t="s">
        <v>9298</v>
      </c>
      <c r="E3145" s="203">
        <v>42888</v>
      </c>
    </row>
    <row r="3146" spans="1:5" ht="14.25" hidden="1" customHeight="1">
      <c r="A3146" s="155">
        <v>31588049</v>
      </c>
      <c r="B3146" s="173" t="s">
        <v>6386</v>
      </c>
      <c r="C3146" s="173" t="s">
        <v>1353</v>
      </c>
      <c r="D3146" s="173" t="s">
        <v>9298</v>
      </c>
      <c r="E3146" s="203">
        <v>42888</v>
      </c>
    </row>
    <row r="3147" spans="1:5" ht="14.25" hidden="1" customHeight="1">
      <c r="A3147" s="155">
        <v>31589812</v>
      </c>
      <c r="B3147" s="173" t="s">
        <v>6068</v>
      </c>
      <c r="C3147" s="173" t="s">
        <v>363</v>
      </c>
      <c r="D3147" s="173" t="s">
        <v>9298</v>
      </c>
      <c r="E3147" s="203">
        <v>42888</v>
      </c>
    </row>
    <row r="3148" spans="1:5" ht="14.25" hidden="1" customHeight="1">
      <c r="A3148" s="155">
        <v>33352021</v>
      </c>
      <c r="B3148" s="173" t="s">
        <v>3364</v>
      </c>
      <c r="C3148" s="173" t="s">
        <v>416</v>
      </c>
      <c r="D3148" s="173" t="s">
        <v>9298</v>
      </c>
      <c r="E3148" s="203">
        <v>42888</v>
      </c>
    </row>
    <row r="3149" spans="1:5" ht="14.25" hidden="1" customHeight="1">
      <c r="A3149" s="155">
        <v>33430063</v>
      </c>
      <c r="B3149" s="173" t="s">
        <v>2908</v>
      </c>
      <c r="C3149" s="173" t="s">
        <v>3152</v>
      </c>
      <c r="D3149" s="173" t="s">
        <v>9298</v>
      </c>
      <c r="E3149" s="203">
        <v>42888</v>
      </c>
    </row>
    <row r="3150" spans="1:5" ht="14.25" hidden="1" customHeight="1">
      <c r="A3150" s="16">
        <v>12449228</v>
      </c>
      <c r="B3150" s="17" t="s">
        <v>5312</v>
      </c>
      <c r="C3150" s="17" t="s">
        <v>6036</v>
      </c>
      <c r="D3150" s="5" t="s">
        <v>7111</v>
      </c>
      <c r="E3150" s="35">
        <v>42888</v>
      </c>
    </row>
    <row r="3151" spans="1:5" ht="14.25" hidden="1" customHeight="1">
      <c r="A3151" s="16">
        <v>12606733</v>
      </c>
      <c r="B3151" s="17" t="s">
        <v>4286</v>
      </c>
      <c r="C3151" s="17" t="s">
        <v>6055</v>
      </c>
      <c r="D3151" s="5" t="s">
        <v>7111</v>
      </c>
      <c r="E3151" s="35">
        <v>42888</v>
      </c>
    </row>
    <row r="3152" spans="1:5" ht="14.25" hidden="1" customHeight="1">
      <c r="A3152" s="16">
        <v>16932690</v>
      </c>
      <c r="B3152" s="17" t="s">
        <v>106</v>
      </c>
      <c r="C3152" s="17" t="s">
        <v>4988</v>
      </c>
      <c r="D3152" s="5" t="s">
        <v>7111</v>
      </c>
      <c r="E3152" s="35">
        <v>42888</v>
      </c>
    </row>
    <row r="3153" spans="1:5" ht="14.25" hidden="1" customHeight="1">
      <c r="A3153" s="16">
        <v>17543711</v>
      </c>
      <c r="B3153" s="17" t="s">
        <v>195</v>
      </c>
      <c r="C3153" s="17" t="s">
        <v>296</v>
      </c>
      <c r="D3153" s="5" t="s">
        <v>7111</v>
      </c>
      <c r="E3153" s="35">
        <v>42888</v>
      </c>
    </row>
    <row r="3154" spans="1:5" ht="14.25" hidden="1" customHeight="1">
      <c r="A3154" s="16">
        <v>17940596</v>
      </c>
      <c r="B3154" s="17" t="s">
        <v>6034</v>
      </c>
      <c r="C3154" s="17" t="s">
        <v>6035</v>
      </c>
      <c r="D3154" s="5" t="s">
        <v>7111</v>
      </c>
      <c r="E3154" s="35">
        <v>42888</v>
      </c>
    </row>
    <row r="3155" spans="1:5" ht="14.25" hidden="1" customHeight="1">
      <c r="A3155" s="16">
        <v>17947467</v>
      </c>
      <c r="B3155" s="17" t="s">
        <v>601</v>
      </c>
      <c r="C3155" s="17" t="s">
        <v>1751</v>
      </c>
      <c r="D3155" s="5" t="s">
        <v>7111</v>
      </c>
      <c r="E3155" s="35">
        <v>42888</v>
      </c>
    </row>
    <row r="3156" spans="1:5" ht="14.25" hidden="1" customHeight="1">
      <c r="A3156" s="16">
        <v>18185644</v>
      </c>
      <c r="B3156" s="17" t="s">
        <v>2262</v>
      </c>
      <c r="C3156" s="17" t="s">
        <v>6382</v>
      </c>
      <c r="D3156" s="5" t="s">
        <v>7111</v>
      </c>
      <c r="E3156" s="35">
        <v>42888</v>
      </c>
    </row>
    <row r="3157" spans="1:5" ht="14.25" hidden="1" customHeight="1">
      <c r="A3157" s="16">
        <v>20889209</v>
      </c>
      <c r="B3157" s="17" t="s">
        <v>927</v>
      </c>
      <c r="C3157" s="17" t="s">
        <v>106</v>
      </c>
      <c r="D3157" s="5" t="s">
        <v>7111</v>
      </c>
      <c r="E3157" s="35">
        <v>42888</v>
      </c>
    </row>
    <row r="3158" spans="1:5" ht="14.25" hidden="1" customHeight="1">
      <c r="A3158" s="16">
        <v>22264981</v>
      </c>
      <c r="B3158" s="17" t="s">
        <v>5885</v>
      </c>
      <c r="C3158" s="17" t="s">
        <v>5886</v>
      </c>
      <c r="D3158" s="5" t="s">
        <v>7111</v>
      </c>
      <c r="E3158" s="35">
        <v>42888</v>
      </c>
    </row>
    <row r="3159" spans="1:5" ht="14.25" hidden="1" customHeight="1">
      <c r="A3159" s="16">
        <v>22704602</v>
      </c>
      <c r="B3159" s="17" t="s">
        <v>6365</v>
      </c>
      <c r="C3159" s="17" t="s">
        <v>1632</v>
      </c>
      <c r="D3159" s="5" t="s">
        <v>7111</v>
      </c>
      <c r="E3159" s="35">
        <v>42888</v>
      </c>
    </row>
    <row r="3160" spans="1:5" ht="14.25" hidden="1" customHeight="1">
      <c r="A3160" s="16">
        <v>22805647</v>
      </c>
      <c r="B3160" s="17" t="s">
        <v>927</v>
      </c>
      <c r="C3160" s="17" t="s">
        <v>153</v>
      </c>
      <c r="D3160" s="5" t="s">
        <v>7111</v>
      </c>
      <c r="E3160" s="35">
        <v>42888</v>
      </c>
    </row>
    <row r="3161" spans="1:5" ht="14.25" hidden="1" customHeight="1">
      <c r="A3161" s="16">
        <v>22877918</v>
      </c>
      <c r="B3161" s="17" t="s">
        <v>6231</v>
      </c>
      <c r="C3161" s="17" t="s">
        <v>548</v>
      </c>
      <c r="D3161" s="5" t="s">
        <v>7111</v>
      </c>
      <c r="E3161" s="35">
        <v>42888</v>
      </c>
    </row>
    <row r="3162" spans="1:5" ht="14.25" hidden="1" customHeight="1">
      <c r="A3162" s="16">
        <v>23117708</v>
      </c>
      <c r="B3162" s="17" t="s">
        <v>6018</v>
      </c>
      <c r="C3162" s="17" t="s">
        <v>6019</v>
      </c>
      <c r="D3162" s="5" t="s">
        <v>7111</v>
      </c>
      <c r="E3162" s="35">
        <v>42888</v>
      </c>
    </row>
    <row r="3163" spans="1:5" ht="14.25" hidden="1" customHeight="1">
      <c r="A3163" s="16">
        <v>23517781</v>
      </c>
      <c r="B3163" s="17" t="s">
        <v>288</v>
      </c>
      <c r="C3163" s="17" t="s">
        <v>6225</v>
      </c>
      <c r="D3163" s="5" t="s">
        <v>7111</v>
      </c>
      <c r="E3163" s="35">
        <v>42888</v>
      </c>
    </row>
    <row r="3164" spans="1:5" ht="14.25" hidden="1" customHeight="1">
      <c r="A3164" s="16">
        <v>23518386</v>
      </c>
      <c r="B3164" s="17" t="s">
        <v>260</v>
      </c>
      <c r="C3164" s="17" t="s">
        <v>6195</v>
      </c>
      <c r="D3164" s="5" t="s">
        <v>7111</v>
      </c>
      <c r="E3164" s="35">
        <v>42888</v>
      </c>
    </row>
    <row r="3165" spans="1:5" ht="14.25" hidden="1" customHeight="1">
      <c r="A3165" s="16">
        <v>24553486</v>
      </c>
      <c r="B3165" s="17" t="s">
        <v>94</v>
      </c>
      <c r="C3165" s="17" t="s">
        <v>427</v>
      </c>
      <c r="D3165" s="5" t="s">
        <v>7111</v>
      </c>
      <c r="E3165" s="35">
        <v>42888</v>
      </c>
    </row>
    <row r="3166" spans="1:5" ht="14.25" hidden="1" customHeight="1">
      <c r="A3166" s="16">
        <v>25380689</v>
      </c>
      <c r="B3166" s="17" t="s">
        <v>1660</v>
      </c>
      <c r="C3166" s="17" t="s">
        <v>1688</v>
      </c>
      <c r="D3166" s="5" t="s">
        <v>7111</v>
      </c>
      <c r="E3166" s="35">
        <v>42888</v>
      </c>
    </row>
    <row r="3167" spans="1:5" ht="14.25" hidden="1" customHeight="1">
      <c r="A3167" s="16">
        <v>26722853</v>
      </c>
      <c r="B3167" s="17" t="s">
        <v>5974</v>
      </c>
      <c r="C3167" s="17" t="s">
        <v>5975</v>
      </c>
      <c r="D3167" s="5" t="s">
        <v>7111</v>
      </c>
      <c r="E3167" s="35">
        <v>42888</v>
      </c>
    </row>
    <row r="3168" spans="1:5" ht="14.25" hidden="1" customHeight="1">
      <c r="A3168" s="16">
        <v>26783489</v>
      </c>
      <c r="B3168" s="17" t="s">
        <v>511</v>
      </c>
      <c r="C3168" s="17" t="s">
        <v>1389</v>
      </c>
      <c r="D3168" s="5" t="s">
        <v>7111</v>
      </c>
      <c r="E3168" s="35">
        <v>42888</v>
      </c>
    </row>
    <row r="3169" spans="1:5" ht="14.25" hidden="1" customHeight="1">
      <c r="A3169" s="16">
        <v>27460133</v>
      </c>
      <c r="B3169" s="17" t="s">
        <v>5998</v>
      </c>
      <c r="C3169" s="17" t="s">
        <v>876</v>
      </c>
      <c r="D3169" s="5" t="s">
        <v>7111</v>
      </c>
      <c r="E3169" s="35">
        <v>42888</v>
      </c>
    </row>
    <row r="3170" spans="1:5" ht="14.25" hidden="1" customHeight="1">
      <c r="A3170" s="16">
        <v>27595246</v>
      </c>
      <c r="B3170" s="17" t="s">
        <v>6312</v>
      </c>
      <c r="C3170" s="17" t="s">
        <v>328</v>
      </c>
      <c r="D3170" s="5" t="s">
        <v>7111</v>
      </c>
      <c r="E3170" s="35">
        <v>42888</v>
      </c>
    </row>
    <row r="3171" spans="1:5" ht="14.25" hidden="1" customHeight="1">
      <c r="A3171" s="16">
        <v>28532245</v>
      </c>
      <c r="B3171" s="17" t="s">
        <v>6415</v>
      </c>
      <c r="C3171" s="17" t="s">
        <v>6416</v>
      </c>
      <c r="D3171" s="5" t="s">
        <v>7111</v>
      </c>
      <c r="E3171" s="35">
        <v>42888</v>
      </c>
    </row>
    <row r="3172" spans="1:5" ht="14.25" hidden="1" customHeight="1">
      <c r="A3172" s="16">
        <v>29786084</v>
      </c>
      <c r="B3172" s="17" t="s">
        <v>3474</v>
      </c>
      <c r="C3172" s="17" t="s">
        <v>512</v>
      </c>
      <c r="D3172" s="5" t="s">
        <v>7111</v>
      </c>
      <c r="E3172" s="35">
        <v>42888</v>
      </c>
    </row>
    <row r="3173" spans="1:5" ht="14.25" hidden="1" customHeight="1">
      <c r="A3173" s="16">
        <v>30177792</v>
      </c>
      <c r="B3173" s="17" t="s">
        <v>304</v>
      </c>
      <c r="C3173" s="17" t="s">
        <v>129</v>
      </c>
      <c r="D3173" s="5" t="s">
        <v>7111</v>
      </c>
      <c r="E3173" s="35">
        <v>42888</v>
      </c>
    </row>
    <row r="3174" spans="1:5" ht="14.25" hidden="1" customHeight="1">
      <c r="A3174" s="16">
        <v>31127261</v>
      </c>
      <c r="B3174" s="17" t="s">
        <v>7112</v>
      </c>
      <c r="C3174" s="17" t="s">
        <v>5631</v>
      </c>
      <c r="D3174" s="5" t="s">
        <v>7111</v>
      </c>
      <c r="E3174" s="35">
        <v>42888</v>
      </c>
    </row>
    <row r="3175" spans="1:5" ht="14.25" hidden="1" customHeight="1">
      <c r="A3175" s="16">
        <v>31429138</v>
      </c>
      <c r="B3175" s="17" t="s">
        <v>1401</v>
      </c>
      <c r="C3175" s="17" t="s">
        <v>5989</v>
      </c>
      <c r="D3175" s="5" t="s">
        <v>7111</v>
      </c>
      <c r="E3175" s="35">
        <v>42888</v>
      </c>
    </row>
    <row r="3176" spans="1:5" ht="14.25" hidden="1" customHeight="1">
      <c r="A3176" s="16">
        <v>31588049</v>
      </c>
      <c r="B3176" s="17" t="s">
        <v>6386</v>
      </c>
      <c r="C3176" s="17" t="s">
        <v>1353</v>
      </c>
      <c r="D3176" s="5" t="s">
        <v>7111</v>
      </c>
      <c r="E3176" s="35">
        <v>42888</v>
      </c>
    </row>
    <row r="3177" spans="1:5" ht="14.25" hidden="1" customHeight="1">
      <c r="A3177" s="16">
        <v>31589812</v>
      </c>
      <c r="B3177" s="17" t="s">
        <v>6068</v>
      </c>
      <c r="C3177" s="17" t="s">
        <v>363</v>
      </c>
      <c r="D3177" s="5" t="s">
        <v>7111</v>
      </c>
      <c r="E3177" s="35">
        <v>42888</v>
      </c>
    </row>
    <row r="3178" spans="1:5" ht="14.25" hidden="1" customHeight="1">
      <c r="A3178" s="16">
        <v>33352021</v>
      </c>
      <c r="B3178" s="17" t="s">
        <v>3364</v>
      </c>
      <c r="C3178" s="17" t="s">
        <v>416</v>
      </c>
      <c r="D3178" s="5" t="s">
        <v>7111</v>
      </c>
      <c r="E3178" s="35">
        <v>42888</v>
      </c>
    </row>
    <row r="3179" spans="1:5" ht="14.25" hidden="1" customHeight="1">
      <c r="A3179" s="16">
        <v>33430063</v>
      </c>
      <c r="B3179" s="17" t="s">
        <v>2908</v>
      </c>
      <c r="C3179" s="17" t="s">
        <v>3152</v>
      </c>
      <c r="D3179" s="5" t="s">
        <v>7111</v>
      </c>
      <c r="E3179" s="35">
        <v>42888</v>
      </c>
    </row>
    <row r="3180" spans="1:5" ht="14.25" hidden="1" customHeight="1">
      <c r="A3180" s="16">
        <v>13474822</v>
      </c>
      <c r="B3180" s="17" t="s">
        <v>3133</v>
      </c>
      <c r="C3180" s="17" t="s">
        <v>1965</v>
      </c>
      <c r="D3180" s="5" t="s">
        <v>7043</v>
      </c>
      <c r="E3180" s="35">
        <v>42873</v>
      </c>
    </row>
    <row r="3181" spans="1:5" ht="14.25" hidden="1" customHeight="1">
      <c r="A3181" s="155">
        <v>13474822</v>
      </c>
      <c r="B3181" s="173" t="s">
        <v>3133</v>
      </c>
      <c r="C3181" s="173" t="s">
        <v>1965</v>
      </c>
      <c r="D3181" s="173" t="s">
        <v>7043</v>
      </c>
      <c r="E3181" s="203">
        <v>42873</v>
      </c>
    </row>
    <row r="3182" spans="1:5" ht="14.25" hidden="1" customHeight="1">
      <c r="A3182" s="16">
        <v>14023748</v>
      </c>
      <c r="B3182" s="17" t="s">
        <v>774</v>
      </c>
      <c r="C3182" s="17" t="s">
        <v>468</v>
      </c>
      <c r="D3182" s="5" t="s">
        <v>7043</v>
      </c>
      <c r="E3182" s="35">
        <v>42873</v>
      </c>
    </row>
    <row r="3183" spans="1:5" ht="14.25" hidden="1" customHeight="1">
      <c r="A3183" s="155">
        <v>14023748</v>
      </c>
      <c r="B3183" s="173" t="s">
        <v>774</v>
      </c>
      <c r="C3183" s="173" t="s">
        <v>468</v>
      </c>
      <c r="D3183" s="173" t="s">
        <v>7043</v>
      </c>
      <c r="E3183" s="203">
        <v>42873</v>
      </c>
    </row>
    <row r="3184" spans="1:5" ht="14.25" hidden="1" customHeight="1">
      <c r="A3184" s="16">
        <v>14351475</v>
      </c>
      <c r="B3184" s="17" t="s">
        <v>2231</v>
      </c>
      <c r="C3184" s="17" t="s">
        <v>3152</v>
      </c>
      <c r="D3184" s="5" t="s">
        <v>7043</v>
      </c>
      <c r="E3184" s="35">
        <v>42873</v>
      </c>
    </row>
    <row r="3185" spans="1:5" ht="14.25" hidden="1" customHeight="1">
      <c r="A3185" s="155">
        <v>14351475</v>
      </c>
      <c r="B3185" s="173" t="s">
        <v>2231</v>
      </c>
      <c r="C3185" s="173" t="s">
        <v>3152</v>
      </c>
      <c r="D3185" s="173" t="s">
        <v>7043</v>
      </c>
      <c r="E3185" s="203">
        <v>42873</v>
      </c>
    </row>
    <row r="3186" spans="1:5" ht="14.25" hidden="1" customHeight="1">
      <c r="A3186" s="16">
        <v>20159202</v>
      </c>
      <c r="B3186" s="17" t="s">
        <v>3129</v>
      </c>
      <c r="C3186" s="17" t="s">
        <v>3130</v>
      </c>
      <c r="D3186" s="5" t="s">
        <v>7043</v>
      </c>
      <c r="E3186" s="35">
        <v>42873</v>
      </c>
    </row>
    <row r="3187" spans="1:5" ht="14.25" hidden="1" customHeight="1">
      <c r="A3187" s="155">
        <v>20159202</v>
      </c>
      <c r="B3187" s="173" t="s">
        <v>3129</v>
      </c>
      <c r="C3187" s="173" t="s">
        <v>3130</v>
      </c>
      <c r="D3187" s="173" t="s">
        <v>7043</v>
      </c>
      <c r="E3187" s="203">
        <v>42873</v>
      </c>
    </row>
    <row r="3188" spans="1:5" ht="14.25" hidden="1" customHeight="1">
      <c r="A3188" s="16">
        <v>20498164</v>
      </c>
      <c r="B3188" s="17" t="s">
        <v>3149</v>
      </c>
      <c r="C3188" s="17" t="s">
        <v>135</v>
      </c>
      <c r="D3188" s="5" t="s">
        <v>7043</v>
      </c>
      <c r="E3188" s="35">
        <v>42873</v>
      </c>
    </row>
    <row r="3189" spans="1:5" ht="14.25" hidden="1" customHeight="1">
      <c r="A3189" s="155">
        <v>20498164</v>
      </c>
      <c r="B3189" s="173" t="s">
        <v>3149</v>
      </c>
      <c r="C3189" s="173" t="s">
        <v>135</v>
      </c>
      <c r="D3189" s="173" t="s">
        <v>7043</v>
      </c>
      <c r="E3189" s="203">
        <v>42873</v>
      </c>
    </row>
    <row r="3190" spans="1:5" ht="14.25" hidden="1" customHeight="1">
      <c r="A3190" s="16">
        <v>23319971</v>
      </c>
      <c r="B3190" s="17" t="s">
        <v>2294</v>
      </c>
      <c r="C3190" s="17" t="s">
        <v>3163</v>
      </c>
      <c r="D3190" s="5" t="s">
        <v>7043</v>
      </c>
      <c r="E3190" s="35">
        <v>42873</v>
      </c>
    </row>
    <row r="3191" spans="1:5" ht="14.25" hidden="1" customHeight="1">
      <c r="A3191" s="155">
        <v>23319971</v>
      </c>
      <c r="B3191" s="173" t="s">
        <v>2294</v>
      </c>
      <c r="C3191" s="173" t="s">
        <v>3163</v>
      </c>
      <c r="D3191" s="173" t="s">
        <v>7043</v>
      </c>
      <c r="E3191" s="203">
        <v>42873</v>
      </c>
    </row>
    <row r="3192" spans="1:5" ht="14.25" hidden="1" customHeight="1">
      <c r="A3192" s="16">
        <v>23931682</v>
      </c>
      <c r="B3192" s="17" t="s">
        <v>3160</v>
      </c>
      <c r="C3192" s="17" t="s">
        <v>1149</v>
      </c>
      <c r="D3192" s="5" t="s">
        <v>7043</v>
      </c>
      <c r="E3192" s="35">
        <v>42873</v>
      </c>
    </row>
    <row r="3193" spans="1:5" ht="14.25" hidden="1" customHeight="1">
      <c r="A3193" s="155">
        <v>23931682</v>
      </c>
      <c r="B3193" s="173" t="s">
        <v>3160</v>
      </c>
      <c r="C3193" s="173" t="s">
        <v>1149</v>
      </c>
      <c r="D3193" s="173" t="s">
        <v>7043</v>
      </c>
      <c r="E3193" s="203">
        <v>42873</v>
      </c>
    </row>
    <row r="3194" spans="1:5" ht="14.25" hidden="1" customHeight="1">
      <c r="A3194" s="16">
        <v>24553185</v>
      </c>
      <c r="B3194" s="17" t="s">
        <v>1613</v>
      </c>
      <c r="C3194" s="17" t="s">
        <v>3156</v>
      </c>
      <c r="D3194" s="5" t="s">
        <v>7043</v>
      </c>
      <c r="E3194" s="35">
        <v>42873</v>
      </c>
    </row>
    <row r="3195" spans="1:5" ht="14.25" hidden="1" customHeight="1">
      <c r="A3195" s="155">
        <v>24553185</v>
      </c>
      <c r="B3195" s="173" t="s">
        <v>1613</v>
      </c>
      <c r="C3195" s="173" t="s">
        <v>3156</v>
      </c>
      <c r="D3195" s="173" t="s">
        <v>7043</v>
      </c>
      <c r="E3195" s="203">
        <v>42873</v>
      </c>
    </row>
    <row r="3196" spans="1:5" ht="14.25" hidden="1" customHeight="1">
      <c r="A3196" s="16">
        <v>24641950</v>
      </c>
      <c r="B3196" s="17" t="s">
        <v>1787</v>
      </c>
      <c r="C3196" s="17" t="s">
        <v>3146</v>
      </c>
      <c r="D3196" s="5" t="s">
        <v>7043</v>
      </c>
      <c r="E3196" s="35">
        <v>42873</v>
      </c>
    </row>
    <row r="3197" spans="1:5" ht="14.25" hidden="1" customHeight="1">
      <c r="A3197" s="155">
        <v>24641950</v>
      </c>
      <c r="B3197" s="173" t="s">
        <v>1787</v>
      </c>
      <c r="C3197" s="173" t="s">
        <v>3146</v>
      </c>
      <c r="D3197" s="173" t="s">
        <v>7043</v>
      </c>
      <c r="E3197" s="203">
        <v>42873</v>
      </c>
    </row>
    <row r="3198" spans="1:5" ht="14.25" hidden="1" customHeight="1">
      <c r="A3198" s="16">
        <v>25843849</v>
      </c>
      <c r="B3198" s="17" t="s">
        <v>3126</v>
      </c>
      <c r="C3198" s="17" t="s">
        <v>427</v>
      </c>
      <c r="D3198" s="5" t="s">
        <v>7043</v>
      </c>
      <c r="E3198" s="35">
        <v>42873</v>
      </c>
    </row>
    <row r="3199" spans="1:5" ht="14.25" hidden="1" customHeight="1">
      <c r="A3199" s="155">
        <v>25843849</v>
      </c>
      <c r="B3199" s="173" t="s">
        <v>3126</v>
      </c>
      <c r="C3199" s="173" t="s">
        <v>427</v>
      </c>
      <c r="D3199" s="173" t="s">
        <v>7043</v>
      </c>
      <c r="E3199" s="203">
        <v>42873</v>
      </c>
    </row>
    <row r="3200" spans="1:5" ht="14.25" hidden="1" customHeight="1">
      <c r="A3200" s="16">
        <v>27400154</v>
      </c>
      <c r="B3200" s="17" t="s">
        <v>428</v>
      </c>
      <c r="C3200" s="17" t="s">
        <v>3154</v>
      </c>
      <c r="D3200" s="5" t="s">
        <v>7043</v>
      </c>
      <c r="E3200" s="35">
        <v>42873</v>
      </c>
    </row>
    <row r="3201" spans="1:5" ht="14.25" hidden="1" customHeight="1">
      <c r="A3201" s="155">
        <v>27400154</v>
      </c>
      <c r="B3201" s="173" t="s">
        <v>428</v>
      </c>
      <c r="C3201" s="173" t="s">
        <v>3154</v>
      </c>
      <c r="D3201" s="173" t="s">
        <v>7043</v>
      </c>
      <c r="E3201" s="203">
        <v>42873</v>
      </c>
    </row>
    <row r="3202" spans="1:5" ht="14.25" hidden="1" customHeight="1">
      <c r="A3202" s="16">
        <v>32828709</v>
      </c>
      <c r="B3202" s="17" t="s">
        <v>2087</v>
      </c>
      <c r="C3202" s="17" t="s">
        <v>3140</v>
      </c>
      <c r="D3202" s="5" t="s">
        <v>7043</v>
      </c>
      <c r="E3202" s="35">
        <v>42873</v>
      </c>
    </row>
    <row r="3203" spans="1:5" ht="14.25" hidden="1" customHeight="1">
      <c r="A3203" s="155">
        <v>32828709</v>
      </c>
      <c r="B3203" s="173" t="s">
        <v>2087</v>
      </c>
      <c r="C3203" s="173" t="s">
        <v>3140</v>
      </c>
      <c r="D3203" s="173" t="s">
        <v>7043</v>
      </c>
      <c r="E3203" s="203">
        <v>42873</v>
      </c>
    </row>
    <row r="3204" spans="1:5" ht="14.25" hidden="1" customHeight="1">
      <c r="A3204" s="16">
        <v>33050519</v>
      </c>
      <c r="B3204" s="17" t="s">
        <v>377</v>
      </c>
      <c r="C3204" s="17" t="s">
        <v>876</v>
      </c>
      <c r="D3204" s="5" t="s">
        <v>7043</v>
      </c>
      <c r="E3204" s="35">
        <v>42873</v>
      </c>
    </row>
    <row r="3205" spans="1:5" ht="14.25" hidden="1" customHeight="1">
      <c r="A3205" s="155">
        <v>33050519</v>
      </c>
      <c r="B3205" s="173" t="s">
        <v>377</v>
      </c>
      <c r="C3205" s="173" t="s">
        <v>876</v>
      </c>
      <c r="D3205" s="173" t="s">
        <v>7043</v>
      </c>
      <c r="E3205" s="203">
        <v>42873</v>
      </c>
    </row>
    <row r="3206" spans="1:5" ht="14.25" hidden="1" customHeight="1">
      <c r="A3206" s="16">
        <v>34185492</v>
      </c>
      <c r="B3206" s="17" t="s">
        <v>774</v>
      </c>
      <c r="C3206" s="17" t="s">
        <v>97</v>
      </c>
      <c r="D3206" s="5" t="s">
        <v>7043</v>
      </c>
      <c r="E3206" s="35">
        <v>42873</v>
      </c>
    </row>
    <row r="3207" spans="1:5" ht="14.25" hidden="1" customHeight="1">
      <c r="A3207" s="155">
        <v>34185492</v>
      </c>
      <c r="B3207" s="173" t="s">
        <v>774</v>
      </c>
      <c r="C3207" s="173" t="s">
        <v>97</v>
      </c>
      <c r="D3207" s="173" t="s">
        <v>7043</v>
      </c>
      <c r="E3207" s="203">
        <v>42873</v>
      </c>
    </row>
    <row r="3208" spans="1:5" ht="14.25" hidden="1" customHeight="1">
      <c r="A3208" s="16">
        <v>38347811</v>
      </c>
      <c r="B3208" s="17" t="s">
        <v>3142</v>
      </c>
      <c r="C3208" s="17" t="s">
        <v>3143</v>
      </c>
      <c r="D3208" s="5" t="s">
        <v>7043</v>
      </c>
      <c r="E3208" s="35">
        <v>42873</v>
      </c>
    </row>
    <row r="3209" spans="1:5" ht="14.25" hidden="1" customHeight="1">
      <c r="A3209" s="155">
        <v>38347811</v>
      </c>
      <c r="B3209" s="173" t="s">
        <v>3142</v>
      </c>
      <c r="C3209" s="173" t="s">
        <v>3143</v>
      </c>
      <c r="D3209" s="173" t="s">
        <v>7043</v>
      </c>
      <c r="E3209" s="203">
        <v>42873</v>
      </c>
    </row>
    <row r="3210" spans="1:5" ht="14.25" hidden="1" customHeight="1">
      <c r="A3210" s="16">
        <v>11708670</v>
      </c>
      <c r="B3210" s="17" t="s">
        <v>7115</v>
      </c>
      <c r="C3210" s="17" t="s">
        <v>7116</v>
      </c>
      <c r="D3210" s="5" t="s">
        <v>7114</v>
      </c>
      <c r="E3210" s="35">
        <v>42871</v>
      </c>
    </row>
    <row r="3211" spans="1:5" ht="14.25" hidden="1" customHeight="1">
      <c r="A3211" s="155">
        <v>11708670</v>
      </c>
      <c r="B3211" s="173" t="s">
        <v>7115</v>
      </c>
      <c r="C3211" s="173" t="s">
        <v>7116</v>
      </c>
      <c r="D3211" s="173" t="s">
        <v>7114</v>
      </c>
      <c r="E3211" s="203">
        <v>42871</v>
      </c>
    </row>
    <row r="3212" spans="1:5" ht="14.25" hidden="1" customHeight="1">
      <c r="A3212" s="16">
        <v>14324672</v>
      </c>
      <c r="B3212" s="17" t="s">
        <v>5496</v>
      </c>
      <c r="C3212" s="17" t="s">
        <v>7113</v>
      </c>
      <c r="D3212" s="5" t="s">
        <v>7114</v>
      </c>
      <c r="E3212" s="35">
        <v>42871</v>
      </c>
    </row>
    <row r="3213" spans="1:5" ht="14.25" hidden="1" customHeight="1">
      <c r="A3213" s="155">
        <v>14324672</v>
      </c>
      <c r="B3213" s="173" t="s">
        <v>5496</v>
      </c>
      <c r="C3213" s="173" t="s">
        <v>7113</v>
      </c>
      <c r="D3213" s="173" t="s">
        <v>7114</v>
      </c>
      <c r="E3213" s="203">
        <v>42871</v>
      </c>
    </row>
    <row r="3214" spans="1:5" ht="14.25" hidden="1" customHeight="1">
      <c r="A3214" s="16">
        <v>14480478</v>
      </c>
      <c r="B3214" s="17" t="s">
        <v>4603</v>
      </c>
      <c r="C3214" s="17" t="s">
        <v>7117</v>
      </c>
      <c r="D3214" s="5" t="s">
        <v>7114</v>
      </c>
      <c r="E3214" s="35">
        <v>42871</v>
      </c>
    </row>
    <row r="3215" spans="1:5" ht="14.25" hidden="1" customHeight="1">
      <c r="A3215" s="155">
        <v>14480478</v>
      </c>
      <c r="B3215" s="173" t="s">
        <v>4603</v>
      </c>
      <c r="C3215" s="173" t="s">
        <v>7117</v>
      </c>
      <c r="D3215" s="173" t="s">
        <v>7114</v>
      </c>
      <c r="E3215" s="203">
        <v>42871</v>
      </c>
    </row>
    <row r="3216" spans="1:5" ht="14.25" hidden="1" customHeight="1">
      <c r="A3216" s="16">
        <v>20880016</v>
      </c>
      <c r="B3216" s="17" t="s">
        <v>685</v>
      </c>
      <c r="C3216" s="17" t="s">
        <v>687</v>
      </c>
      <c r="D3216" s="5" t="s">
        <v>7114</v>
      </c>
      <c r="E3216" s="35">
        <v>42871</v>
      </c>
    </row>
    <row r="3217" spans="1:5" ht="14.25" hidden="1" customHeight="1">
      <c r="A3217" s="155">
        <v>20880016</v>
      </c>
      <c r="B3217" s="173" t="s">
        <v>685</v>
      </c>
      <c r="C3217" s="173" t="s">
        <v>687</v>
      </c>
      <c r="D3217" s="173" t="s">
        <v>7114</v>
      </c>
      <c r="E3217" s="203">
        <v>42871</v>
      </c>
    </row>
    <row r="3218" spans="1:5" ht="14.25" hidden="1" customHeight="1">
      <c r="A3218" s="16">
        <v>22211664</v>
      </c>
      <c r="B3218" s="17" t="s">
        <v>5551</v>
      </c>
      <c r="C3218" s="17" t="s">
        <v>1172</v>
      </c>
      <c r="D3218" s="5" t="s">
        <v>7114</v>
      </c>
      <c r="E3218" s="35">
        <v>42871</v>
      </c>
    </row>
    <row r="3219" spans="1:5" ht="14.25" hidden="1" customHeight="1">
      <c r="A3219" s="155">
        <v>22211664</v>
      </c>
      <c r="B3219" s="173" t="s">
        <v>5551</v>
      </c>
      <c r="C3219" s="173" t="s">
        <v>1172</v>
      </c>
      <c r="D3219" s="173" t="s">
        <v>7114</v>
      </c>
      <c r="E3219" s="203">
        <v>42871</v>
      </c>
    </row>
    <row r="3220" spans="1:5" ht="14.25" hidden="1" customHeight="1">
      <c r="A3220" s="16">
        <v>22263439</v>
      </c>
      <c r="B3220" s="17" t="s">
        <v>774</v>
      </c>
      <c r="C3220" s="17" t="s">
        <v>2684</v>
      </c>
      <c r="D3220" s="5" t="s">
        <v>7114</v>
      </c>
      <c r="E3220" s="35">
        <v>42871</v>
      </c>
    </row>
    <row r="3221" spans="1:5" ht="14.25" hidden="1" customHeight="1">
      <c r="A3221" s="155">
        <v>22263439</v>
      </c>
      <c r="B3221" s="173" t="s">
        <v>774</v>
      </c>
      <c r="C3221" s="173" t="s">
        <v>2684</v>
      </c>
      <c r="D3221" s="173" t="s">
        <v>7114</v>
      </c>
      <c r="E3221" s="203">
        <v>42871</v>
      </c>
    </row>
    <row r="3222" spans="1:5" ht="14.25" hidden="1" customHeight="1">
      <c r="A3222" s="16">
        <v>22805288</v>
      </c>
      <c r="B3222" s="17" t="s">
        <v>68</v>
      </c>
      <c r="C3222" s="17" t="s">
        <v>69</v>
      </c>
      <c r="D3222" s="5" t="s">
        <v>7114</v>
      </c>
      <c r="E3222" s="35">
        <v>42871</v>
      </c>
    </row>
    <row r="3223" spans="1:5" ht="14.25" hidden="1" customHeight="1">
      <c r="A3223" s="155">
        <v>22805288</v>
      </c>
      <c r="B3223" s="173" t="s">
        <v>68</v>
      </c>
      <c r="C3223" s="173" t="s">
        <v>69</v>
      </c>
      <c r="D3223" s="173" t="s">
        <v>7114</v>
      </c>
      <c r="E3223" s="203">
        <v>42871</v>
      </c>
    </row>
    <row r="3224" spans="1:5" ht="14.25" hidden="1" customHeight="1">
      <c r="A3224" s="16">
        <v>25510655</v>
      </c>
      <c r="B3224" s="17" t="s">
        <v>5589</v>
      </c>
      <c r="C3224" s="17" t="s">
        <v>1103</v>
      </c>
      <c r="D3224" s="5" t="s">
        <v>7114</v>
      </c>
      <c r="E3224" s="35">
        <v>42871</v>
      </c>
    </row>
    <row r="3225" spans="1:5" ht="14.25" hidden="1" customHeight="1">
      <c r="A3225" s="155">
        <v>25510655</v>
      </c>
      <c r="B3225" s="173" t="s">
        <v>5589</v>
      </c>
      <c r="C3225" s="173" t="s">
        <v>1103</v>
      </c>
      <c r="D3225" s="173" t="s">
        <v>7114</v>
      </c>
      <c r="E3225" s="203">
        <v>42871</v>
      </c>
    </row>
    <row r="3226" spans="1:5" ht="14.25" hidden="1" customHeight="1">
      <c r="A3226" s="16">
        <v>25734593</v>
      </c>
      <c r="B3226" s="17" t="s">
        <v>5433</v>
      </c>
      <c r="C3226" s="17" t="s">
        <v>5434</v>
      </c>
      <c r="D3226" s="5" t="s">
        <v>7114</v>
      </c>
      <c r="E3226" s="35">
        <v>42871</v>
      </c>
    </row>
    <row r="3227" spans="1:5" ht="14.25" hidden="1" customHeight="1">
      <c r="A3227" s="155">
        <v>25734593</v>
      </c>
      <c r="B3227" s="173" t="s">
        <v>5433</v>
      </c>
      <c r="C3227" s="173" t="s">
        <v>5434</v>
      </c>
      <c r="D3227" s="173" t="s">
        <v>7114</v>
      </c>
      <c r="E3227" s="203">
        <v>42871</v>
      </c>
    </row>
    <row r="3228" spans="1:5" ht="14.25" hidden="1" customHeight="1">
      <c r="A3228" s="16">
        <v>28721630</v>
      </c>
      <c r="B3228" s="17" t="s">
        <v>203</v>
      </c>
      <c r="C3228" s="17" t="s">
        <v>204</v>
      </c>
      <c r="D3228" s="5" t="s">
        <v>7114</v>
      </c>
      <c r="E3228" s="35">
        <v>42871</v>
      </c>
    </row>
    <row r="3229" spans="1:5" ht="14.25" hidden="1" customHeight="1">
      <c r="A3229" s="155">
        <v>28721630</v>
      </c>
      <c r="B3229" s="173" t="s">
        <v>203</v>
      </c>
      <c r="C3229" s="173" t="s">
        <v>204</v>
      </c>
      <c r="D3229" s="173" t="s">
        <v>7114</v>
      </c>
      <c r="E3229" s="203">
        <v>42871</v>
      </c>
    </row>
    <row r="3230" spans="1:5" ht="14.25" hidden="1" customHeight="1">
      <c r="A3230" s="16">
        <v>29743945</v>
      </c>
      <c r="B3230" s="17" t="s">
        <v>5843</v>
      </c>
      <c r="C3230" s="17" t="s">
        <v>2179</v>
      </c>
      <c r="D3230" s="5" t="s">
        <v>7114</v>
      </c>
      <c r="E3230" s="35">
        <v>42871</v>
      </c>
    </row>
    <row r="3231" spans="1:5" ht="14.25" hidden="1" customHeight="1">
      <c r="A3231" s="155">
        <v>29743945</v>
      </c>
      <c r="B3231" s="173" t="s">
        <v>5843</v>
      </c>
      <c r="C3231" s="173" t="s">
        <v>2179</v>
      </c>
      <c r="D3231" s="173" t="s">
        <v>7114</v>
      </c>
      <c r="E3231" s="203">
        <v>42871</v>
      </c>
    </row>
    <row r="3232" spans="1:5" ht="14.25" hidden="1" customHeight="1">
      <c r="A3232" s="16">
        <v>31644419</v>
      </c>
      <c r="B3232" s="17" t="s">
        <v>4504</v>
      </c>
      <c r="C3232" s="17" t="s">
        <v>2613</v>
      </c>
      <c r="D3232" s="5" t="s">
        <v>7114</v>
      </c>
      <c r="E3232" s="35">
        <v>42871</v>
      </c>
    </row>
    <row r="3233" spans="1:5" ht="14.25" hidden="1" customHeight="1">
      <c r="A3233" s="155">
        <v>31644419</v>
      </c>
      <c r="B3233" s="173" t="s">
        <v>4504</v>
      </c>
      <c r="C3233" s="173" t="s">
        <v>2613</v>
      </c>
      <c r="D3233" s="173" t="s">
        <v>7114</v>
      </c>
      <c r="E3233" s="203">
        <v>42871</v>
      </c>
    </row>
    <row r="3234" spans="1:5" ht="14.25" hidden="1" customHeight="1">
      <c r="A3234" s="16">
        <v>31842029</v>
      </c>
      <c r="B3234" s="17" t="s">
        <v>7118</v>
      </c>
      <c r="C3234" s="17" t="s">
        <v>7119</v>
      </c>
      <c r="D3234" s="5" t="s">
        <v>7114</v>
      </c>
      <c r="E3234" s="35">
        <v>42871</v>
      </c>
    </row>
    <row r="3235" spans="1:5" ht="14.25" hidden="1" customHeight="1">
      <c r="A3235" s="155">
        <v>31842029</v>
      </c>
      <c r="B3235" s="173" t="s">
        <v>7118</v>
      </c>
      <c r="C3235" s="173" t="s">
        <v>7119</v>
      </c>
      <c r="D3235" s="173" t="s">
        <v>7114</v>
      </c>
      <c r="E3235" s="203">
        <v>42871</v>
      </c>
    </row>
    <row r="3236" spans="1:5" ht="14.25" hidden="1" customHeight="1">
      <c r="A3236" s="31">
        <v>11239557</v>
      </c>
      <c r="B3236" s="19" t="s">
        <v>1385</v>
      </c>
      <c r="C3236" s="19" t="s">
        <v>3655</v>
      </c>
      <c r="D3236" s="5" t="s">
        <v>7114</v>
      </c>
      <c r="E3236" s="35">
        <v>42866</v>
      </c>
    </row>
    <row r="3237" spans="1:5" ht="14.25" hidden="1" customHeight="1">
      <c r="A3237" s="160">
        <v>11239557</v>
      </c>
      <c r="B3237" s="174" t="s">
        <v>1385</v>
      </c>
      <c r="C3237" s="174" t="s">
        <v>3655</v>
      </c>
      <c r="D3237" s="173" t="s">
        <v>7114</v>
      </c>
      <c r="E3237" s="203">
        <v>42866</v>
      </c>
    </row>
    <row r="3238" spans="1:5" ht="14.25" hidden="1" customHeight="1">
      <c r="A3238" s="31">
        <v>12149611</v>
      </c>
      <c r="B3238" s="19" t="s">
        <v>428</v>
      </c>
      <c r="C3238" s="19" t="s">
        <v>1813</v>
      </c>
      <c r="D3238" s="5" t="s">
        <v>7114</v>
      </c>
      <c r="E3238" s="35">
        <v>42866</v>
      </c>
    </row>
    <row r="3239" spans="1:5" ht="14.25" hidden="1" customHeight="1">
      <c r="A3239" s="160">
        <v>12149611</v>
      </c>
      <c r="B3239" s="174" t="s">
        <v>428</v>
      </c>
      <c r="C3239" s="174" t="s">
        <v>1813</v>
      </c>
      <c r="D3239" s="173" t="s">
        <v>7114</v>
      </c>
      <c r="E3239" s="203">
        <v>42866</v>
      </c>
    </row>
    <row r="3240" spans="1:5" ht="14.25" hidden="1" customHeight="1">
      <c r="A3240" s="31">
        <v>12734180</v>
      </c>
      <c r="B3240" s="19" t="s">
        <v>252</v>
      </c>
      <c r="C3240" s="19" t="s">
        <v>7122</v>
      </c>
      <c r="D3240" s="5" t="s">
        <v>7114</v>
      </c>
      <c r="E3240" s="35">
        <v>42866</v>
      </c>
    </row>
    <row r="3241" spans="1:5" ht="14.25" hidden="1" customHeight="1">
      <c r="A3241" s="160">
        <v>12734180</v>
      </c>
      <c r="B3241" s="174" t="s">
        <v>252</v>
      </c>
      <c r="C3241" s="174" t="s">
        <v>7122</v>
      </c>
      <c r="D3241" s="173" t="s">
        <v>7114</v>
      </c>
      <c r="E3241" s="203">
        <v>42866</v>
      </c>
    </row>
    <row r="3242" spans="1:5" ht="14.25" hidden="1" customHeight="1">
      <c r="A3242" s="31">
        <v>13339907</v>
      </c>
      <c r="B3242" s="19" t="s">
        <v>350</v>
      </c>
      <c r="C3242" s="19" t="s">
        <v>351</v>
      </c>
      <c r="D3242" s="5" t="s">
        <v>7114</v>
      </c>
      <c r="E3242" s="35">
        <v>42866</v>
      </c>
    </row>
    <row r="3243" spans="1:5" ht="14.25" hidden="1" customHeight="1">
      <c r="A3243" s="160">
        <v>13339907</v>
      </c>
      <c r="B3243" s="174" t="s">
        <v>350</v>
      </c>
      <c r="C3243" s="174" t="s">
        <v>351</v>
      </c>
      <c r="D3243" s="173" t="s">
        <v>7114</v>
      </c>
      <c r="E3243" s="203">
        <v>42866</v>
      </c>
    </row>
    <row r="3244" spans="1:5" ht="14.25" hidden="1" customHeight="1">
      <c r="A3244" s="31">
        <v>13710155</v>
      </c>
      <c r="B3244" s="19" t="s">
        <v>3182</v>
      </c>
      <c r="C3244" s="19" t="s">
        <v>7120</v>
      </c>
      <c r="D3244" s="5" t="s">
        <v>7114</v>
      </c>
      <c r="E3244" s="35">
        <v>42866</v>
      </c>
    </row>
    <row r="3245" spans="1:5" ht="14.25" hidden="1" customHeight="1">
      <c r="A3245" s="160">
        <v>13710155</v>
      </c>
      <c r="B3245" s="174" t="s">
        <v>3182</v>
      </c>
      <c r="C3245" s="174" t="s">
        <v>7120</v>
      </c>
      <c r="D3245" s="173" t="s">
        <v>7114</v>
      </c>
      <c r="E3245" s="203">
        <v>42866</v>
      </c>
    </row>
    <row r="3246" spans="1:5" ht="14.25" hidden="1" customHeight="1">
      <c r="A3246" s="31">
        <v>14358186</v>
      </c>
      <c r="B3246" s="19" t="s">
        <v>1011</v>
      </c>
      <c r="C3246" s="19" t="s">
        <v>1012</v>
      </c>
      <c r="D3246" s="5" t="s">
        <v>7114</v>
      </c>
      <c r="E3246" s="35">
        <v>42866</v>
      </c>
    </row>
    <row r="3247" spans="1:5" ht="14.25" hidden="1" customHeight="1">
      <c r="A3247" s="160">
        <v>14358186</v>
      </c>
      <c r="B3247" s="174" t="s">
        <v>1011</v>
      </c>
      <c r="C3247" s="174" t="s">
        <v>1012</v>
      </c>
      <c r="D3247" s="173" t="s">
        <v>7114</v>
      </c>
      <c r="E3247" s="203">
        <v>42866</v>
      </c>
    </row>
    <row r="3248" spans="1:5" ht="14.25" hidden="1" customHeight="1">
      <c r="A3248" s="31">
        <v>14358676</v>
      </c>
      <c r="B3248" s="19" t="s">
        <v>2966</v>
      </c>
      <c r="C3248" s="19" t="s">
        <v>2967</v>
      </c>
      <c r="D3248" s="5" t="s">
        <v>7114</v>
      </c>
      <c r="E3248" s="35">
        <v>42866</v>
      </c>
    </row>
    <row r="3249" spans="1:5" ht="14.25" hidden="1" customHeight="1">
      <c r="A3249" s="160">
        <v>14358676</v>
      </c>
      <c r="B3249" s="174" t="s">
        <v>2966</v>
      </c>
      <c r="C3249" s="174" t="s">
        <v>2967</v>
      </c>
      <c r="D3249" s="173" t="s">
        <v>7114</v>
      </c>
      <c r="E3249" s="203">
        <v>42866</v>
      </c>
    </row>
    <row r="3250" spans="1:5" ht="14.25" hidden="1" customHeight="1">
      <c r="A3250" s="31">
        <v>14480554</v>
      </c>
      <c r="B3250" s="19" t="s">
        <v>1671</v>
      </c>
      <c r="C3250" s="19" t="s">
        <v>1672</v>
      </c>
      <c r="D3250" s="5" t="s">
        <v>7114</v>
      </c>
      <c r="E3250" s="35">
        <v>42866</v>
      </c>
    </row>
    <row r="3251" spans="1:5" ht="14.25" hidden="1" customHeight="1">
      <c r="A3251" s="160">
        <v>14480554</v>
      </c>
      <c r="B3251" s="174" t="s">
        <v>1671</v>
      </c>
      <c r="C3251" s="174" t="s">
        <v>1672</v>
      </c>
      <c r="D3251" s="173" t="s">
        <v>7114</v>
      </c>
      <c r="E3251" s="203">
        <v>42866</v>
      </c>
    </row>
    <row r="3252" spans="1:5" ht="14.25" hidden="1" customHeight="1">
      <c r="A3252" s="31">
        <v>14660159</v>
      </c>
      <c r="B3252" s="19" t="s">
        <v>3023</v>
      </c>
      <c r="C3252" s="19" t="s">
        <v>584</v>
      </c>
      <c r="D3252" s="5" t="s">
        <v>7114</v>
      </c>
      <c r="E3252" s="35">
        <v>42866</v>
      </c>
    </row>
    <row r="3253" spans="1:5" ht="14.25" hidden="1" customHeight="1">
      <c r="A3253" s="160">
        <v>14660159</v>
      </c>
      <c r="B3253" s="174" t="s">
        <v>3023</v>
      </c>
      <c r="C3253" s="174" t="s">
        <v>584</v>
      </c>
      <c r="D3253" s="173" t="s">
        <v>7114</v>
      </c>
      <c r="E3253" s="203">
        <v>42866</v>
      </c>
    </row>
    <row r="3254" spans="1:5" ht="14.25" hidden="1" customHeight="1">
      <c r="A3254" s="31">
        <v>20760236</v>
      </c>
      <c r="B3254" s="19" t="s">
        <v>144</v>
      </c>
      <c r="C3254" s="19" t="s">
        <v>1507</v>
      </c>
      <c r="D3254" s="5" t="s">
        <v>7114</v>
      </c>
      <c r="E3254" s="35">
        <v>42866</v>
      </c>
    </row>
    <row r="3255" spans="1:5" ht="14.25" hidden="1" customHeight="1">
      <c r="A3255" s="160">
        <v>20760236</v>
      </c>
      <c r="B3255" s="174" t="s">
        <v>144</v>
      </c>
      <c r="C3255" s="174" t="s">
        <v>1507</v>
      </c>
      <c r="D3255" s="173" t="s">
        <v>7114</v>
      </c>
      <c r="E3255" s="203">
        <v>42866</v>
      </c>
    </row>
    <row r="3256" spans="1:5" ht="14.25" hidden="1" customHeight="1">
      <c r="A3256" s="31">
        <v>28151197</v>
      </c>
      <c r="B3256" s="19" t="s">
        <v>1032</v>
      </c>
      <c r="C3256" s="19" t="s">
        <v>1523</v>
      </c>
      <c r="D3256" s="5" t="s">
        <v>7114</v>
      </c>
      <c r="E3256" s="35">
        <v>42866</v>
      </c>
    </row>
    <row r="3257" spans="1:5" ht="14.25" hidden="1" customHeight="1">
      <c r="A3257" s="160">
        <v>28151197</v>
      </c>
      <c r="B3257" s="174" t="s">
        <v>1032</v>
      </c>
      <c r="C3257" s="174" t="s">
        <v>1523</v>
      </c>
      <c r="D3257" s="173" t="s">
        <v>7114</v>
      </c>
      <c r="E3257" s="203">
        <v>42866</v>
      </c>
    </row>
    <row r="3258" spans="1:5" ht="14.25" hidden="1" customHeight="1">
      <c r="A3258" s="31">
        <v>30760509</v>
      </c>
      <c r="B3258" s="19" t="s">
        <v>130</v>
      </c>
      <c r="C3258" s="19" t="s">
        <v>7121</v>
      </c>
      <c r="D3258" s="5" t="s">
        <v>7114</v>
      </c>
      <c r="E3258" s="35">
        <v>42866</v>
      </c>
    </row>
    <row r="3259" spans="1:5" ht="14.25" hidden="1" customHeight="1">
      <c r="A3259" s="160">
        <v>30760509</v>
      </c>
      <c r="B3259" s="174" t="s">
        <v>130</v>
      </c>
      <c r="C3259" s="174" t="s">
        <v>7121</v>
      </c>
      <c r="D3259" s="173" t="s">
        <v>7114</v>
      </c>
      <c r="E3259" s="203">
        <v>42866</v>
      </c>
    </row>
    <row r="3260" spans="1:5" ht="14.25" hidden="1" customHeight="1">
      <c r="A3260" s="16">
        <v>18034548</v>
      </c>
      <c r="B3260" s="17" t="s">
        <v>4623</v>
      </c>
      <c r="C3260" s="17" t="s">
        <v>4624</v>
      </c>
      <c r="D3260" s="5" t="s">
        <v>7123</v>
      </c>
      <c r="E3260" s="35">
        <v>42831</v>
      </c>
    </row>
    <row r="3261" spans="1:5" ht="14.25" hidden="1" customHeight="1">
      <c r="A3261" s="155">
        <v>18034548</v>
      </c>
      <c r="B3261" s="173" t="s">
        <v>4623</v>
      </c>
      <c r="C3261" s="173" t="s">
        <v>4624</v>
      </c>
      <c r="D3261" s="173" t="s">
        <v>7123</v>
      </c>
      <c r="E3261" s="203">
        <v>42831</v>
      </c>
    </row>
    <row r="3262" spans="1:5" ht="14.25" hidden="1" customHeight="1">
      <c r="A3262" s="16">
        <v>22854008</v>
      </c>
      <c r="B3262" s="17" t="s">
        <v>4370</v>
      </c>
      <c r="C3262" s="17" t="s">
        <v>4371</v>
      </c>
      <c r="D3262" s="5" t="s">
        <v>7123</v>
      </c>
      <c r="E3262" s="35">
        <v>42831</v>
      </c>
    </row>
    <row r="3263" spans="1:5" ht="14.25" hidden="1" customHeight="1">
      <c r="A3263" s="155">
        <v>22854008</v>
      </c>
      <c r="B3263" s="173" t="s">
        <v>4370</v>
      </c>
      <c r="C3263" s="173" t="s">
        <v>4371</v>
      </c>
      <c r="D3263" s="173" t="s">
        <v>7123</v>
      </c>
      <c r="E3263" s="203">
        <v>42831</v>
      </c>
    </row>
    <row r="3264" spans="1:5" ht="14.25" hidden="1" customHeight="1">
      <c r="A3264" s="16">
        <v>24098848</v>
      </c>
      <c r="B3264" s="17" t="s">
        <v>4830</v>
      </c>
      <c r="C3264" s="17" t="s">
        <v>4831</v>
      </c>
      <c r="D3264" s="5" t="s">
        <v>7123</v>
      </c>
      <c r="E3264" s="35">
        <v>42831</v>
      </c>
    </row>
    <row r="3265" spans="1:5" ht="14.25" hidden="1" customHeight="1">
      <c r="A3265" s="155">
        <v>24098848</v>
      </c>
      <c r="B3265" s="173" t="s">
        <v>4830</v>
      </c>
      <c r="C3265" s="173" t="s">
        <v>4831</v>
      </c>
      <c r="D3265" s="173" t="s">
        <v>7123</v>
      </c>
      <c r="E3265" s="203">
        <v>42831</v>
      </c>
    </row>
    <row r="3266" spans="1:5" ht="14.25" hidden="1" customHeight="1">
      <c r="A3266" s="16">
        <v>25255910</v>
      </c>
      <c r="B3266" s="17" t="s">
        <v>377</v>
      </c>
      <c r="C3266" s="17" t="s">
        <v>4373</v>
      </c>
      <c r="D3266" s="5" t="s">
        <v>7123</v>
      </c>
      <c r="E3266" s="35">
        <v>42831</v>
      </c>
    </row>
    <row r="3267" spans="1:5" ht="14.25" hidden="1" customHeight="1">
      <c r="A3267" s="155">
        <v>25255910</v>
      </c>
      <c r="B3267" s="173" t="s">
        <v>377</v>
      </c>
      <c r="C3267" s="173" t="s">
        <v>4373</v>
      </c>
      <c r="D3267" s="173" t="s">
        <v>7123</v>
      </c>
      <c r="E3267" s="203">
        <v>42831</v>
      </c>
    </row>
    <row r="3268" spans="1:5" ht="14.25" hidden="1" customHeight="1">
      <c r="A3268" s="16">
        <v>25735971</v>
      </c>
      <c r="B3268" s="17" t="s">
        <v>1482</v>
      </c>
      <c r="C3268" s="17" t="s">
        <v>1483</v>
      </c>
      <c r="D3268" s="5" t="s">
        <v>7123</v>
      </c>
      <c r="E3268" s="35">
        <v>42831</v>
      </c>
    </row>
    <row r="3269" spans="1:5" ht="14.25" hidden="1" customHeight="1">
      <c r="A3269" s="155">
        <v>25735971</v>
      </c>
      <c r="B3269" s="173" t="s">
        <v>1482</v>
      </c>
      <c r="C3269" s="173" t="s">
        <v>1483</v>
      </c>
      <c r="D3269" s="173" t="s">
        <v>7123</v>
      </c>
      <c r="E3269" s="203">
        <v>42831</v>
      </c>
    </row>
    <row r="3270" spans="1:5" ht="14.25" hidden="1" customHeight="1">
      <c r="A3270" s="16">
        <v>31052533</v>
      </c>
      <c r="B3270" s="17" t="s">
        <v>676</v>
      </c>
      <c r="C3270" s="17" t="s">
        <v>1087</v>
      </c>
      <c r="D3270" s="5" t="s">
        <v>7123</v>
      </c>
      <c r="E3270" s="35">
        <v>42831</v>
      </c>
    </row>
    <row r="3271" spans="1:5" ht="14.25" hidden="1" customHeight="1">
      <c r="A3271" s="155">
        <v>31052533</v>
      </c>
      <c r="B3271" s="173" t="s">
        <v>676</v>
      </c>
      <c r="C3271" s="173" t="s">
        <v>1087</v>
      </c>
      <c r="D3271" s="173" t="s">
        <v>7123</v>
      </c>
      <c r="E3271" s="203">
        <v>42831</v>
      </c>
    </row>
    <row r="3272" spans="1:5" ht="14.25" hidden="1" customHeight="1">
      <c r="A3272" s="16">
        <v>34994170</v>
      </c>
      <c r="B3272" s="17" t="s">
        <v>304</v>
      </c>
      <c r="C3272" s="17" t="s">
        <v>2623</v>
      </c>
      <c r="D3272" s="5" t="s">
        <v>7123</v>
      </c>
      <c r="E3272" s="35">
        <v>42831</v>
      </c>
    </row>
    <row r="3273" spans="1:5" ht="14.25" hidden="1" customHeight="1">
      <c r="A3273" s="155">
        <v>34994170</v>
      </c>
      <c r="B3273" s="173" t="s">
        <v>304</v>
      </c>
      <c r="C3273" s="173" t="s">
        <v>2623</v>
      </c>
      <c r="D3273" s="173" t="s">
        <v>7123</v>
      </c>
      <c r="E3273" s="203">
        <v>42831</v>
      </c>
    </row>
    <row r="3274" spans="1:5" ht="14.25" hidden="1" customHeight="1">
      <c r="A3274" s="16">
        <v>11054779</v>
      </c>
      <c r="B3274" s="17" t="s">
        <v>3745</v>
      </c>
      <c r="C3274" s="17" t="s">
        <v>1185</v>
      </c>
      <c r="D3274" s="1" t="s">
        <v>7124</v>
      </c>
      <c r="E3274" s="35">
        <v>42831</v>
      </c>
    </row>
    <row r="3275" spans="1:5" ht="14.25" hidden="1" customHeight="1">
      <c r="A3275" s="155">
        <v>11054779</v>
      </c>
      <c r="B3275" s="173" t="s">
        <v>3745</v>
      </c>
      <c r="C3275" s="173" t="s">
        <v>1185</v>
      </c>
      <c r="D3275" s="173" t="s">
        <v>7124</v>
      </c>
      <c r="E3275" s="203">
        <v>42831</v>
      </c>
    </row>
    <row r="3276" spans="1:5" ht="14.25" hidden="1" customHeight="1">
      <c r="A3276" s="16">
        <v>17505908</v>
      </c>
      <c r="B3276" s="17" t="s">
        <v>350</v>
      </c>
      <c r="C3276" s="17" t="s">
        <v>2684</v>
      </c>
      <c r="D3276" s="1" t="s">
        <v>7124</v>
      </c>
      <c r="E3276" s="35">
        <v>42831</v>
      </c>
    </row>
    <row r="3277" spans="1:5" ht="14.25" hidden="1" customHeight="1">
      <c r="A3277" s="155">
        <v>17505908</v>
      </c>
      <c r="B3277" s="173" t="s">
        <v>350</v>
      </c>
      <c r="C3277" s="173" t="s">
        <v>2684</v>
      </c>
      <c r="D3277" s="173" t="s">
        <v>7124</v>
      </c>
      <c r="E3277" s="203">
        <v>42831</v>
      </c>
    </row>
    <row r="3278" spans="1:5" ht="14.25" hidden="1" customHeight="1">
      <c r="A3278" s="16">
        <v>25758684</v>
      </c>
      <c r="B3278" s="17" t="s">
        <v>428</v>
      </c>
      <c r="C3278" s="17" t="s">
        <v>1208</v>
      </c>
      <c r="D3278" s="1" t="s">
        <v>7124</v>
      </c>
      <c r="E3278" s="35">
        <v>42831</v>
      </c>
    </row>
    <row r="3279" spans="1:5" ht="14.25" hidden="1" customHeight="1">
      <c r="A3279" s="155">
        <v>25758684</v>
      </c>
      <c r="B3279" s="173" t="s">
        <v>428</v>
      </c>
      <c r="C3279" s="173" t="s">
        <v>1208</v>
      </c>
      <c r="D3279" s="173" t="s">
        <v>7124</v>
      </c>
      <c r="E3279" s="203">
        <v>42831</v>
      </c>
    </row>
    <row r="3280" spans="1:5" ht="14.25" hidden="1" customHeight="1">
      <c r="A3280" s="16">
        <v>27016270</v>
      </c>
      <c r="B3280" s="17" t="s">
        <v>2291</v>
      </c>
      <c r="C3280" s="17" t="s">
        <v>579</v>
      </c>
      <c r="D3280" s="1" t="s">
        <v>7124</v>
      </c>
      <c r="E3280" s="35">
        <v>42831</v>
      </c>
    </row>
    <row r="3281" spans="1:5" ht="14.25" hidden="1" customHeight="1">
      <c r="A3281" s="155">
        <v>27016270</v>
      </c>
      <c r="B3281" s="173" t="s">
        <v>2291</v>
      </c>
      <c r="C3281" s="173" t="s">
        <v>579</v>
      </c>
      <c r="D3281" s="173" t="s">
        <v>7124</v>
      </c>
      <c r="E3281" s="203">
        <v>42831</v>
      </c>
    </row>
    <row r="3282" spans="1:5" ht="14.25" hidden="1" customHeight="1">
      <c r="A3282" s="16">
        <v>30357304</v>
      </c>
      <c r="B3282" s="17" t="s">
        <v>350</v>
      </c>
      <c r="C3282" s="17" t="s">
        <v>588</v>
      </c>
      <c r="D3282" s="1" t="s">
        <v>7124</v>
      </c>
      <c r="E3282" s="35">
        <v>42831</v>
      </c>
    </row>
    <row r="3283" spans="1:5" ht="14.25" hidden="1" customHeight="1">
      <c r="A3283" s="155">
        <v>30357304</v>
      </c>
      <c r="B3283" s="173" t="s">
        <v>350</v>
      </c>
      <c r="C3283" s="173" t="s">
        <v>588</v>
      </c>
      <c r="D3283" s="173" t="s">
        <v>7124</v>
      </c>
      <c r="E3283" s="203">
        <v>42831</v>
      </c>
    </row>
    <row r="3284" spans="1:5" ht="14.25" hidden="1" customHeight="1">
      <c r="A3284" s="16">
        <v>30539453</v>
      </c>
      <c r="B3284" s="17" t="s">
        <v>2919</v>
      </c>
      <c r="C3284" s="17" t="s">
        <v>3712</v>
      </c>
      <c r="D3284" s="1" t="s">
        <v>7124</v>
      </c>
      <c r="E3284" s="35">
        <v>42831</v>
      </c>
    </row>
    <row r="3285" spans="1:5" ht="14.25" hidden="1" customHeight="1">
      <c r="A3285" s="155">
        <v>30539453</v>
      </c>
      <c r="B3285" s="173" t="s">
        <v>2919</v>
      </c>
      <c r="C3285" s="173" t="s">
        <v>3712</v>
      </c>
      <c r="D3285" s="173" t="s">
        <v>7124</v>
      </c>
      <c r="E3285" s="203">
        <v>42831</v>
      </c>
    </row>
    <row r="3286" spans="1:5" ht="14.25" hidden="1" customHeight="1">
      <c r="A3286" s="16">
        <v>40357718</v>
      </c>
      <c r="B3286" s="17" t="s">
        <v>5783</v>
      </c>
      <c r="C3286" s="17" t="s">
        <v>2873</v>
      </c>
      <c r="D3286" s="1" t="s">
        <v>7124</v>
      </c>
      <c r="E3286" s="35">
        <v>42831</v>
      </c>
    </row>
    <row r="3287" spans="1:5" ht="14.25" hidden="1" customHeight="1">
      <c r="A3287" s="155">
        <v>40357718</v>
      </c>
      <c r="B3287" s="173" t="s">
        <v>5783</v>
      </c>
      <c r="C3287" s="173" t="s">
        <v>2873</v>
      </c>
      <c r="D3287" s="173" t="s">
        <v>7124</v>
      </c>
      <c r="E3287" s="203">
        <v>42831</v>
      </c>
    </row>
    <row r="3288" spans="1:5" ht="14.25" hidden="1" customHeight="1">
      <c r="A3288" s="16">
        <v>12597724</v>
      </c>
      <c r="B3288" s="17" t="s">
        <v>760</v>
      </c>
      <c r="C3288" s="17" t="s">
        <v>4424</v>
      </c>
      <c r="D3288" s="5" t="s">
        <v>7126</v>
      </c>
      <c r="E3288" s="35">
        <v>42823</v>
      </c>
    </row>
    <row r="3289" spans="1:5" ht="14.25" hidden="1" customHeight="1">
      <c r="A3289" s="155">
        <v>12597724</v>
      </c>
      <c r="B3289" s="173" t="s">
        <v>760</v>
      </c>
      <c r="C3289" s="173" t="s">
        <v>4424</v>
      </c>
      <c r="D3289" s="173" t="s">
        <v>7126</v>
      </c>
      <c r="E3289" s="203">
        <v>42823</v>
      </c>
    </row>
    <row r="3290" spans="1:5" ht="14.25" hidden="1" customHeight="1">
      <c r="A3290" s="16">
        <v>12918721</v>
      </c>
      <c r="B3290" s="17" t="s">
        <v>279</v>
      </c>
      <c r="C3290" s="17" t="s">
        <v>280</v>
      </c>
      <c r="D3290" s="5" t="s">
        <v>7126</v>
      </c>
      <c r="E3290" s="35">
        <v>42823</v>
      </c>
    </row>
    <row r="3291" spans="1:5" ht="14.25" hidden="1" customHeight="1">
      <c r="A3291" s="155">
        <v>12918721</v>
      </c>
      <c r="B3291" s="173" t="s">
        <v>279</v>
      </c>
      <c r="C3291" s="173" t="s">
        <v>280</v>
      </c>
      <c r="D3291" s="173" t="s">
        <v>7126</v>
      </c>
      <c r="E3291" s="203">
        <v>42823</v>
      </c>
    </row>
    <row r="3292" spans="1:5" ht="14.25" hidden="1" customHeight="1">
      <c r="A3292" s="16">
        <v>14225922</v>
      </c>
      <c r="B3292" s="17" t="s">
        <v>207</v>
      </c>
      <c r="C3292" s="17" t="s">
        <v>27</v>
      </c>
      <c r="D3292" s="5" t="s">
        <v>7126</v>
      </c>
      <c r="E3292" s="35">
        <v>42823</v>
      </c>
    </row>
    <row r="3293" spans="1:5" ht="14.25" hidden="1" customHeight="1">
      <c r="A3293" s="155">
        <v>14225922</v>
      </c>
      <c r="B3293" s="173" t="s">
        <v>207</v>
      </c>
      <c r="C3293" s="173" t="s">
        <v>27</v>
      </c>
      <c r="D3293" s="173" t="s">
        <v>7126</v>
      </c>
      <c r="E3293" s="203">
        <v>42823</v>
      </c>
    </row>
    <row r="3294" spans="1:5" ht="14.25" hidden="1" customHeight="1">
      <c r="A3294" s="16">
        <v>14966482</v>
      </c>
      <c r="B3294" s="17" t="s">
        <v>2785</v>
      </c>
      <c r="C3294" s="17" t="s">
        <v>2786</v>
      </c>
      <c r="D3294" s="5" t="s">
        <v>7126</v>
      </c>
      <c r="E3294" s="35">
        <v>42823</v>
      </c>
    </row>
    <row r="3295" spans="1:5" ht="14.25" hidden="1" customHeight="1">
      <c r="A3295" s="155">
        <v>14966482</v>
      </c>
      <c r="B3295" s="173" t="s">
        <v>2785</v>
      </c>
      <c r="C3295" s="173" t="s">
        <v>2786</v>
      </c>
      <c r="D3295" s="173" t="s">
        <v>7126</v>
      </c>
      <c r="E3295" s="203">
        <v>42823</v>
      </c>
    </row>
    <row r="3296" spans="1:5" ht="14.25" hidden="1" customHeight="1">
      <c r="A3296" s="16">
        <v>16016486</v>
      </c>
      <c r="B3296" s="17" t="s">
        <v>1474</v>
      </c>
      <c r="C3296" s="17" t="s">
        <v>7127</v>
      </c>
      <c r="D3296" s="5" t="s">
        <v>7126</v>
      </c>
      <c r="E3296" s="35">
        <v>42823</v>
      </c>
    </row>
    <row r="3297" spans="1:5" ht="14.25" hidden="1" customHeight="1">
      <c r="A3297" s="155">
        <v>16016486</v>
      </c>
      <c r="B3297" s="173" t="s">
        <v>1474</v>
      </c>
      <c r="C3297" s="173" t="s">
        <v>7127</v>
      </c>
      <c r="D3297" s="173" t="s">
        <v>7126</v>
      </c>
      <c r="E3297" s="203">
        <v>42823</v>
      </c>
    </row>
    <row r="3298" spans="1:5" ht="14.25" hidden="1" customHeight="1">
      <c r="A3298" s="16">
        <v>17268021</v>
      </c>
      <c r="B3298" s="17" t="s">
        <v>4649</v>
      </c>
      <c r="C3298" s="17" t="s">
        <v>2184</v>
      </c>
      <c r="D3298" s="5" t="s">
        <v>7126</v>
      </c>
      <c r="E3298" s="35">
        <v>42823</v>
      </c>
    </row>
    <row r="3299" spans="1:5" ht="14.25" hidden="1" customHeight="1">
      <c r="A3299" s="155">
        <v>17268021</v>
      </c>
      <c r="B3299" s="173" t="s">
        <v>4649</v>
      </c>
      <c r="C3299" s="173" t="s">
        <v>2184</v>
      </c>
      <c r="D3299" s="173" t="s">
        <v>7126</v>
      </c>
      <c r="E3299" s="203">
        <v>42823</v>
      </c>
    </row>
    <row r="3300" spans="1:5" ht="14.25" hidden="1" customHeight="1">
      <c r="A3300" s="16">
        <v>17377987</v>
      </c>
      <c r="B3300" s="17" t="s">
        <v>659</v>
      </c>
      <c r="C3300" s="17" t="s">
        <v>1082</v>
      </c>
      <c r="D3300" s="5" t="s">
        <v>7126</v>
      </c>
      <c r="E3300" s="35">
        <v>42823</v>
      </c>
    </row>
    <row r="3301" spans="1:5" ht="14.25" hidden="1" customHeight="1">
      <c r="A3301" s="155">
        <v>17377987</v>
      </c>
      <c r="B3301" s="173" t="s">
        <v>659</v>
      </c>
      <c r="C3301" s="173" t="s">
        <v>1082</v>
      </c>
      <c r="D3301" s="173" t="s">
        <v>7126</v>
      </c>
      <c r="E3301" s="203">
        <v>42823</v>
      </c>
    </row>
    <row r="3302" spans="1:5" ht="14.25" hidden="1" customHeight="1">
      <c r="A3302" s="16">
        <v>17494803</v>
      </c>
      <c r="B3302" s="17" t="s">
        <v>734</v>
      </c>
      <c r="C3302" s="17" t="s">
        <v>735</v>
      </c>
      <c r="D3302" s="5" t="s">
        <v>7126</v>
      </c>
      <c r="E3302" s="35">
        <v>42823</v>
      </c>
    </row>
    <row r="3303" spans="1:5" ht="14.25" hidden="1" customHeight="1">
      <c r="A3303" s="155">
        <v>17494803</v>
      </c>
      <c r="B3303" s="173" t="s">
        <v>734</v>
      </c>
      <c r="C3303" s="173" t="s">
        <v>735</v>
      </c>
      <c r="D3303" s="173" t="s">
        <v>7126</v>
      </c>
      <c r="E3303" s="203">
        <v>42823</v>
      </c>
    </row>
    <row r="3304" spans="1:5" ht="14.25" hidden="1" customHeight="1">
      <c r="A3304" s="16">
        <v>17860924</v>
      </c>
      <c r="B3304" s="17" t="s">
        <v>252</v>
      </c>
      <c r="C3304" s="17" t="s">
        <v>2975</v>
      </c>
      <c r="D3304" s="5" t="s">
        <v>7126</v>
      </c>
      <c r="E3304" s="35">
        <v>42823</v>
      </c>
    </row>
    <row r="3305" spans="1:5" ht="14.25" hidden="1" customHeight="1">
      <c r="A3305" s="155">
        <v>17860924</v>
      </c>
      <c r="B3305" s="173" t="s">
        <v>252</v>
      </c>
      <c r="C3305" s="173" t="s">
        <v>2975</v>
      </c>
      <c r="D3305" s="173" t="s">
        <v>7126</v>
      </c>
      <c r="E3305" s="203">
        <v>42823</v>
      </c>
    </row>
    <row r="3306" spans="1:5" ht="14.25" hidden="1" customHeight="1">
      <c r="A3306" s="16">
        <v>17947492</v>
      </c>
      <c r="B3306" s="17" t="s">
        <v>5914</v>
      </c>
      <c r="C3306" s="17" t="s">
        <v>365</v>
      </c>
      <c r="D3306" s="5" t="s">
        <v>7126</v>
      </c>
      <c r="E3306" s="35">
        <v>42823</v>
      </c>
    </row>
    <row r="3307" spans="1:5" ht="14.25" hidden="1" customHeight="1">
      <c r="A3307" s="155">
        <v>17947492</v>
      </c>
      <c r="B3307" s="173" t="s">
        <v>5914</v>
      </c>
      <c r="C3307" s="173" t="s">
        <v>365</v>
      </c>
      <c r="D3307" s="173" t="s">
        <v>7126</v>
      </c>
      <c r="E3307" s="203">
        <v>42823</v>
      </c>
    </row>
    <row r="3308" spans="1:5" ht="14.25" hidden="1" customHeight="1">
      <c r="A3308" s="16">
        <v>17947736</v>
      </c>
      <c r="B3308" s="17" t="s">
        <v>806</v>
      </c>
      <c r="C3308" s="17" t="s">
        <v>807</v>
      </c>
      <c r="D3308" s="5" t="s">
        <v>7126</v>
      </c>
      <c r="E3308" s="35">
        <v>42823</v>
      </c>
    </row>
    <row r="3309" spans="1:5" ht="14.25" hidden="1" customHeight="1">
      <c r="A3309" s="155">
        <v>17947736</v>
      </c>
      <c r="B3309" s="173" t="s">
        <v>806</v>
      </c>
      <c r="C3309" s="173" t="s">
        <v>807</v>
      </c>
      <c r="D3309" s="173" t="s">
        <v>7126</v>
      </c>
      <c r="E3309" s="203">
        <v>42823</v>
      </c>
    </row>
    <row r="3310" spans="1:5" ht="14.25" hidden="1" customHeight="1">
      <c r="A3310" s="16">
        <v>18592248</v>
      </c>
      <c r="B3310" s="17" t="s">
        <v>350</v>
      </c>
      <c r="C3310" s="17" t="s">
        <v>4612</v>
      </c>
      <c r="D3310" s="5" t="s">
        <v>7126</v>
      </c>
      <c r="E3310" s="35">
        <v>42823</v>
      </c>
    </row>
    <row r="3311" spans="1:5" ht="14.25" hidden="1" customHeight="1">
      <c r="A3311" s="155">
        <v>18592248</v>
      </c>
      <c r="B3311" s="173" t="s">
        <v>350</v>
      </c>
      <c r="C3311" s="173" t="s">
        <v>4612</v>
      </c>
      <c r="D3311" s="173" t="s">
        <v>7126</v>
      </c>
      <c r="E3311" s="203">
        <v>42823</v>
      </c>
    </row>
    <row r="3312" spans="1:5" ht="14.25" hidden="1" customHeight="1">
      <c r="A3312" s="16">
        <v>22263937</v>
      </c>
      <c r="B3312" s="17" t="s">
        <v>419</v>
      </c>
      <c r="C3312" s="17" t="s">
        <v>420</v>
      </c>
      <c r="D3312" s="5" t="s">
        <v>7126</v>
      </c>
      <c r="E3312" s="35">
        <v>42823</v>
      </c>
    </row>
    <row r="3313" spans="1:5" ht="14.25" hidden="1" customHeight="1">
      <c r="A3313" s="155">
        <v>22263937</v>
      </c>
      <c r="B3313" s="173" t="s">
        <v>419</v>
      </c>
      <c r="C3313" s="173" t="s">
        <v>420</v>
      </c>
      <c r="D3313" s="173" t="s">
        <v>7126</v>
      </c>
      <c r="E3313" s="203">
        <v>42823</v>
      </c>
    </row>
    <row r="3314" spans="1:5" ht="14.25" hidden="1" customHeight="1">
      <c r="A3314" s="16">
        <v>22280512</v>
      </c>
      <c r="B3314" s="17" t="s">
        <v>4585</v>
      </c>
      <c r="C3314" s="17" t="s">
        <v>902</v>
      </c>
      <c r="D3314" s="5" t="s">
        <v>7126</v>
      </c>
      <c r="E3314" s="35">
        <v>42823</v>
      </c>
    </row>
    <row r="3315" spans="1:5" ht="14.25" hidden="1" customHeight="1">
      <c r="A3315" s="155">
        <v>22280512</v>
      </c>
      <c r="B3315" s="173" t="s">
        <v>4585</v>
      </c>
      <c r="C3315" s="173" t="s">
        <v>902</v>
      </c>
      <c r="D3315" s="173" t="s">
        <v>7126</v>
      </c>
      <c r="E3315" s="203">
        <v>42823</v>
      </c>
    </row>
    <row r="3316" spans="1:5" ht="14.25" hidden="1" customHeight="1">
      <c r="A3316" s="16">
        <v>23387097</v>
      </c>
      <c r="B3316" s="17" t="s">
        <v>3842</v>
      </c>
      <c r="C3316" s="17" t="s">
        <v>902</v>
      </c>
      <c r="D3316" s="5" t="s">
        <v>7126</v>
      </c>
      <c r="E3316" s="35">
        <v>42823</v>
      </c>
    </row>
    <row r="3317" spans="1:5" ht="14.25" hidden="1" customHeight="1">
      <c r="A3317" s="155">
        <v>23387097</v>
      </c>
      <c r="B3317" s="173" t="s">
        <v>3842</v>
      </c>
      <c r="C3317" s="173" t="s">
        <v>902</v>
      </c>
      <c r="D3317" s="173" t="s">
        <v>7126</v>
      </c>
      <c r="E3317" s="203">
        <v>42823</v>
      </c>
    </row>
    <row r="3318" spans="1:5" ht="14.25" hidden="1" customHeight="1">
      <c r="A3318" s="16">
        <v>24059021</v>
      </c>
      <c r="B3318" s="17" t="s">
        <v>3887</v>
      </c>
      <c r="C3318" s="17" t="s">
        <v>3888</v>
      </c>
      <c r="D3318" s="5" t="s">
        <v>7126</v>
      </c>
      <c r="E3318" s="35">
        <v>42823</v>
      </c>
    </row>
    <row r="3319" spans="1:5" ht="14.25" hidden="1" customHeight="1">
      <c r="A3319" s="155">
        <v>24059021</v>
      </c>
      <c r="B3319" s="173" t="s">
        <v>3887</v>
      </c>
      <c r="C3319" s="173" t="s">
        <v>3888</v>
      </c>
      <c r="D3319" s="173" t="s">
        <v>7126</v>
      </c>
      <c r="E3319" s="203">
        <v>42823</v>
      </c>
    </row>
    <row r="3320" spans="1:5" ht="14.25" hidden="1" customHeight="1">
      <c r="A3320" s="16">
        <v>24200313</v>
      </c>
      <c r="B3320" s="17" t="s">
        <v>207</v>
      </c>
      <c r="C3320" s="17" t="s">
        <v>655</v>
      </c>
      <c r="D3320" s="5" t="s">
        <v>7126</v>
      </c>
      <c r="E3320" s="35">
        <v>42823</v>
      </c>
    </row>
    <row r="3321" spans="1:5" ht="14.25" hidden="1" customHeight="1">
      <c r="A3321" s="155">
        <v>24200313</v>
      </c>
      <c r="B3321" s="173" t="s">
        <v>207</v>
      </c>
      <c r="C3321" s="173" t="s">
        <v>655</v>
      </c>
      <c r="D3321" s="173" t="s">
        <v>7126</v>
      </c>
      <c r="E3321" s="203">
        <v>42823</v>
      </c>
    </row>
    <row r="3322" spans="1:5" ht="14.25" hidden="1" customHeight="1">
      <c r="A3322" s="16">
        <v>24200813</v>
      </c>
      <c r="B3322" s="17" t="s">
        <v>2766</v>
      </c>
      <c r="C3322" s="17" t="s">
        <v>2767</v>
      </c>
      <c r="D3322" s="5" t="s">
        <v>7126</v>
      </c>
      <c r="E3322" s="35">
        <v>42823</v>
      </c>
    </row>
    <row r="3323" spans="1:5" ht="14.25" hidden="1" customHeight="1">
      <c r="A3323" s="155">
        <v>24200813</v>
      </c>
      <c r="B3323" s="173" t="s">
        <v>2766</v>
      </c>
      <c r="C3323" s="173" t="s">
        <v>2767</v>
      </c>
      <c r="D3323" s="173" t="s">
        <v>7126</v>
      </c>
      <c r="E3323" s="203">
        <v>42823</v>
      </c>
    </row>
    <row r="3324" spans="1:5" ht="14.25" hidden="1" customHeight="1">
      <c r="A3324" s="16">
        <v>24503602</v>
      </c>
      <c r="B3324" s="17" t="s">
        <v>394</v>
      </c>
      <c r="C3324" s="17" t="s">
        <v>2873</v>
      </c>
      <c r="D3324" s="5" t="s">
        <v>7126</v>
      </c>
      <c r="E3324" s="35">
        <v>42823</v>
      </c>
    </row>
    <row r="3325" spans="1:5" ht="14.25" hidden="1" customHeight="1">
      <c r="A3325" s="155">
        <v>24503602</v>
      </c>
      <c r="B3325" s="173" t="s">
        <v>394</v>
      </c>
      <c r="C3325" s="173" t="s">
        <v>2873</v>
      </c>
      <c r="D3325" s="173" t="s">
        <v>7126</v>
      </c>
      <c r="E3325" s="203">
        <v>42823</v>
      </c>
    </row>
    <row r="3326" spans="1:5" ht="14.25" hidden="1" customHeight="1">
      <c r="A3326" s="16">
        <v>27575100</v>
      </c>
      <c r="B3326" s="17" t="s">
        <v>3649</v>
      </c>
      <c r="C3326" s="17" t="s">
        <v>7125</v>
      </c>
      <c r="D3326" s="5" t="s">
        <v>7126</v>
      </c>
      <c r="E3326" s="35">
        <v>42823</v>
      </c>
    </row>
    <row r="3327" spans="1:5" ht="14.25" hidden="1" customHeight="1">
      <c r="A3327" s="155">
        <v>27575100</v>
      </c>
      <c r="B3327" s="173" t="s">
        <v>3649</v>
      </c>
      <c r="C3327" s="173" t="s">
        <v>7125</v>
      </c>
      <c r="D3327" s="173" t="s">
        <v>7126</v>
      </c>
      <c r="E3327" s="203">
        <v>42823</v>
      </c>
    </row>
    <row r="3328" spans="1:5" ht="14.25" hidden="1" customHeight="1">
      <c r="A3328" s="16">
        <v>32775540</v>
      </c>
      <c r="B3328" s="17" t="s">
        <v>1798</v>
      </c>
      <c r="C3328" s="17" t="s">
        <v>1801</v>
      </c>
      <c r="D3328" s="5" t="s">
        <v>7126</v>
      </c>
      <c r="E3328" s="35">
        <v>42823</v>
      </c>
    </row>
    <row r="3329" spans="1:5" ht="14.25" hidden="1" customHeight="1">
      <c r="A3329" s="155">
        <v>32775540</v>
      </c>
      <c r="B3329" s="173" t="s">
        <v>1798</v>
      </c>
      <c r="C3329" s="173" t="s">
        <v>1801</v>
      </c>
      <c r="D3329" s="173" t="s">
        <v>7126</v>
      </c>
      <c r="E3329" s="203">
        <v>42823</v>
      </c>
    </row>
    <row r="3330" spans="1:5" ht="14.25" hidden="1" customHeight="1">
      <c r="A3330" s="16">
        <v>35257502</v>
      </c>
      <c r="B3330" s="17" t="s">
        <v>2848</v>
      </c>
      <c r="C3330" s="17" t="s">
        <v>2849</v>
      </c>
      <c r="D3330" s="5" t="s">
        <v>7126</v>
      </c>
      <c r="E3330" s="35">
        <v>42823</v>
      </c>
    </row>
    <row r="3331" spans="1:5" ht="14.25" hidden="1" customHeight="1">
      <c r="A3331" s="155">
        <v>35257502</v>
      </c>
      <c r="B3331" s="173" t="s">
        <v>2848</v>
      </c>
      <c r="C3331" s="173" t="s">
        <v>2849</v>
      </c>
      <c r="D3331" s="173" t="s">
        <v>7126</v>
      </c>
      <c r="E3331" s="203">
        <v>42823</v>
      </c>
    </row>
    <row r="3332" spans="1:5" ht="14.25" hidden="1" customHeight="1">
      <c r="A3332" s="16">
        <v>36420915</v>
      </c>
      <c r="B3332" s="17" t="s">
        <v>4213</v>
      </c>
      <c r="C3332" s="17" t="s">
        <v>2418</v>
      </c>
      <c r="D3332" s="5" t="s">
        <v>7126</v>
      </c>
      <c r="E3332" s="35">
        <v>42823</v>
      </c>
    </row>
    <row r="3333" spans="1:5" ht="14.25" hidden="1" customHeight="1">
      <c r="A3333" s="155">
        <v>36420915</v>
      </c>
      <c r="B3333" s="173" t="s">
        <v>4213</v>
      </c>
      <c r="C3333" s="173" t="s">
        <v>2418</v>
      </c>
      <c r="D3333" s="173" t="s">
        <v>7126</v>
      </c>
      <c r="E3333" s="203">
        <v>42823</v>
      </c>
    </row>
    <row r="3334" spans="1:5" ht="14.25" hidden="1" customHeight="1">
      <c r="A3334" s="16">
        <v>40357718</v>
      </c>
      <c r="B3334" s="17" t="s">
        <v>5783</v>
      </c>
      <c r="C3334" s="17" t="s">
        <v>5784</v>
      </c>
      <c r="D3334" s="5" t="s">
        <v>7126</v>
      </c>
      <c r="E3334" s="35">
        <v>42823</v>
      </c>
    </row>
    <row r="3335" spans="1:5" ht="14.25" hidden="1" customHeight="1">
      <c r="A3335" s="155">
        <v>40357718</v>
      </c>
      <c r="B3335" s="173" t="s">
        <v>5783</v>
      </c>
      <c r="C3335" s="173" t="s">
        <v>5784</v>
      </c>
      <c r="D3335" s="173" t="s">
        <v>7126</v>
      </c>
      <c r="E3335" s="203">
        <v>42823</v>
      </c>
    </row>
    <row r="3336" spans="1:5" ht="14.25" hidden="1" customHeight="1">
      <c r="A3336" s="16">
        <v>10728835</v>
      </c>
      <c r="B3336" s="17" t="s">
        <v>3394</v>
      </c>
      <c r="C3336" s="17" t="s">
        <v>3395</v>
      </c>
      <c r="D3336" s="5" t="s">
        <v>7128</v>
      </c>
      <c r="E3336" s="35">
        <v>42695</v>
      </c>
    </row>
    <row r="3337" spans="1:5" ht="14.25" hidden="1" customHeight="1">
      <c r="A3337" s="16">
        <v>11064926</v>
      </c>
      <c r="B3337" s="17" t="s">
        <v>3418</v>
      </c>
      <c r="C3337" s="17" t="s">
        <v>3419</v>
      </c>
      <c r="D3337" s="5" t="s">
        <v>7128</v>
      </c>
      <c r="E3337" s="35">
        <v>42695</v>
      </c>
    </row>
    <row r="3338" spans="1:5" ht="14.25" hidden="1" customHeight="1">
      <c r="A3338" s="16">
        <v>11116518</v>
      </c>
      <c r="B3338" s="17" t="s">
        <v>3029</v>
      </c>
      <c r="C3338" s="17" t="s">
        <v>3388</v>
      </c>
      <c r="D3338" s="5" t="s">
        <v>7128</v>
      </c>
      <c r="E3338" s="35">
        <v>42695</v>
      </c>
    </row>
    <row r="3339" spans="1:5" ht="14.25" hidden="1" customHeight="1">
      <c r="A3339" s="16">
        <v>12414876</v>
      </c>
      <c r="B3339" s="17" t="s">
        <v>311</v>
      </c>
      <c r="C3339" s="17" t="s">
        <v>3383</v>
      </c>
      <c r="D3339" s="5" t="s">
        <v>7128</v>
      </c>
      <c r="E3339" s="35">
        <v>42695</v>
      </c>
    </row>
    <row r="3340" spans="1:5" ht="14.25" hidden="1" customHeight="1">
      <c r="A3340" s="16">
        <v>13475213</v>
      </c>
      <c r="B3340" s="17" t="s">
        <v>3385</v>
      </c>
      <c r="C3340" s="17" t="s">
        <v>3386</v>
      </c>
      <c r="D3340" s="5" t="s">
        <v>7128</v>
      </c>
      <c r="E3340" s="35">
        <v>42695</v>
      </c>
    </row>
    <row r="3341" spans="1:5" ht="14.25" hidden="1" customHeight="1">
      <c r="A3341" s="16">
        <v>13848539</v>
      </c>
      <c r="B3341" s="17" t="s">
        <v>3357</v>
      </c>
      <c r="C3341" s="17" t="s">
        <v>2595</v>
      </c>
      <c r="D3341" s="5" t="s">
        <v>7128</v>
      </c>
      <c r="E3341" s="35">
        <v>42695</v>
      </c>
    </row>
    <row r="3342" spans="1:5" ht="14.25" hidden="1" customHeight="1">
      <c r="A3342" s="16">
        <v>14984962</v>
      </c>
      <c r="B3342" s="17" t="s">
        <v>3340</v>
      </c>
      <c r="C3342" s="17" t="s">
        <v>3341</v>
      </c>
      <c r="D3342" s="5" t="s">
        <v>7128</v>
      </c>
      <c r="E3342" s="35">
        <v>42695</v>
      </c>
    </row>
    <row r="3343" spans="1:5" ht="14.25" hidden="1" customHeight="1">
      <c r="A3343" s="16">
        <v>16132794</v>
      </c>
      <c r="B3343" s="17" t="s">
        <v>3343</v>
      </c>
      <c r="C3343" s="17" t="s">
        <v>3344</v>
      </c>
      <c r="D3343" s="5" t="s">
        <v>7128</v>
      </c>
      <c r="E3343" s="35">
        <v>42695</v>
      </c>
    </row>
    <row r="3344" spans="1:5" ht="14.25" hidden="1" customHeight="1">
      <c r="A3344" s="16">
        <v>17376396</v>
      </c>
      <c r="B3344" s="17" t="s">
        <v>1257</v>
      </c>
      <c r="C3344" s="17" t="s">
        <v>3405</v>
      </c>
      <c r="D3344" s="5" t="s">
        <v>7128</v>
      </c>
      <c r="E3344" s="35">
        <v>42695</v>
      </c>
    </row>
    <row r="3345" spans="1:5" ht="14.25" hidden="1" customHeight="1">
      <c r="A3345" s="16">
        <v>17990596</v>
      </c>
      <c r="B3345" s="17" t="s">
        <v>3330</v>
      </c>
      <c r="C3345" s="17" t="s">
        <v>3331</v>
      </c>
      <c r="D3345" s="5" t="s">
        <v>7128</v>
      </c>
      <c r="E3345" s="35">
        <v>42695</v>
      </c>
    </row>
    <row r="3346" spans="1:5" ht="14.25" hidden="1" customHeight="1">
      <c r="A3346" s="16">
        <v>19027765</v>
      </c>
      <c r="B3346" s="17" t="s">
        <v>3374</v>
      </c>
      <c r="C3346" s="17" t="s">
        <v>7131</v>
      </c>
      <c r="D3346" s="5" t="s">
        <v>7128</v>
      </c>
      <c r="E3346" s="35">
        <v>42695</v>
      </c>
    </row>
    <row r="3347" spans="1:5" ht="14.25" hidden="1" customHeight="1">
      <c r="A3347" s="16">
        <v>20284369</v>
      </c>
      <c r="B3347" s="17" t="s">
        <v>138</v>
      </c>
      <c r="C3347" s="17" t="s">
        <v>3333</v>
      </c>
      <c r="D3347" s="5" t="s">
        <v>7128</v>
      </c>
      <c r="E3347" s="35">
        <v>42695</v>
      </c>
    </row>
    <row r="3348" spans="1:5" ht="14.25" hidden="1" customHeight="1">
      <c r="A3348" s="16">
        <v>21328113</v>
      </c>
      <c r="B3348" s="17" t="s">
        <v>3414</v>
      </c>
      <c r="C3348" s="17" t="s">
        <v>3415</v>
      </c>
      <c r="D3348" s="5" t="s">
        <v>7128</v>
      </c>
      <c r="E3348" s="35">
        <v>42695</v>
      </c>
    </row>
    <row r="3349" spans="1:5" ht="14.25" hidden="1" customHeight="1">
      <c r="A3349" s="16">
        <v>21744260</v>
      </c>
      <c r="B3349" s="17" t="s">
        <v>3368</v>
      </c>
      <c r="C3349" s="17" t="s">
        <v>7130</v>
      </c>
      <c r="D3349" s="5" t="s">
        <v>7128</v>
      </c>
      <c r="E3349" s="35">
        <v>42695</v>
      </c>
    </row>
    <row r="3350" spans="1:5" ht="14.25" hidden="1" customHeight="1">
      <c r="A3350" s="16">
        <v>22073108</v>
      </c>
      <c r="B3350" s="17" t="s">
        <v>3176</v>
      </c>
      <c r="C3350" s="17" t="s">
        <v>671</v>
      </c>
      <c r="D3350" s="5" t="s">
        <v>7128</v>
      </c>
      <c r="E3350" s="35">
        <v>42695</v>
      </c>
    </row>
    <row r="3351" spans="1:5" ht="14.25" hidden="1" customHeight="1">
      <c r="A3351" s="16">
        <v>23519123</v>
      </c>
      <c r="B3351" s="17" t="s">
        <v>3371</v>
      </c>
      <c r="C3351" s="17" t="s">
        <v>1103</v>
      </c>
      <c r="D3351" s="5" t="s">
        <v>7128</v>
      </c>
      <c r="E3351" s="35">
        <v>42695</v>
      </c>
    </row>
    <row r="3352" spans="1:5" ht="14.25" hidden="1" customHeight="1">
      <c r="A3352" s="16">
        <v>23854639</v>
      </c>
      <c r="B3352" s="17" t="s">
        <v>311</v>
      </c>
      <c r="C3352" s="17" t="s">
        <v>6249</v>
      </c>
      <c r="D3352" s="5" t="s">
        <v>7128</v>
      </c>
      <c r="E3352" s="35">
        <v>42695</v>
      </c>
    </row>
    <row r="3353" spans="1:5" ht="14.25" hidden="1" customHeight="1">
      <c r="A3353" s="16">
        <v>25318542</v>
      </c>
      <c r="B3353" s="17" t="s">
        <v>3416</v>
      </c>
      <c r="C3353" s="17" t="s">
        <v>27</v>
      </c>
      <c r="D3353" s="5" t="s">
        <v>7128</v>
      </c>
      <c r="E3353" s="35">
        <v>42695</v>
      </c>
    </row>
    <row r="3354" spans="1:5" ht="14.25" hidden="1" customHeight="1">
      <c r="A3354" s="16">
        <v>25542562</v>
      </c>
      <c r="B3354" s="17" t="s">
        <v>3237</v>
      </c>
      <c r="C3354" s="17" t="s">
        <v>1353</v>
      </c>
      <c r="D3354" s="5" t="s">
        <v>7128</v>
      </c>
      <c r="E3354" s="35">
        <v>42695</v>
      </c>
    </row>
    <row r="3355" spans="1:5" ht="14.25" hidden="1" customHeight="1">
      <c r="A3355" s="16">
        <v>25736369</v>
      </c>
      <c r="B3355" s="17" t="s">
        <v>3389</v>
      </c>
      <c r="C3355" s="17" t="s">
        <v>3390</v>
      </c>
      <c r="D3355" s="5" t="s">
        <v>7128</v>
      </c>
      <c r="E3355" s="35">
        <v>42695</v>
      </c>
    </row>
    <row r="3356" spans="1:5" ht="14.25" hidden="1" customHeight="1">
      <c r="A3356" s="16">
        <v>25922131</v>
      </c>
      <c r="B3356" s="17" t="s">
        <v>3346</v>
      </c>
      <c r="C3356" s="17" t="s">
        <v>2139</v>
      </c>
      <c r="D3356" s="5" t="s">
        <v>7128</v>
      </c>
      <c r="E3356" s="35">
        <v>42695</v>
      </c>
    </row>
    <row r="3357" spans="1:5" ht="14.25" hidden="1" customHeight="1">
      <c r="A3357" s="16">
        <v>26684064</v>
      </c>
      <c r="B3357" s="17" t="s">
        <v>3360</v>
      </c>
      <c r="C3357" s="17" t="s">
        <v>3361</v>
      </c>
      <c r="D3357" s="5" t="s">
        <v>7128</v>
      </c>
      <c r="E3357" s="35">
        <v>42695</v>
      </c>
    </row>
    <row r="3358" spans="1:5" ht="14.25" hidden="1" customHeight="1">
      <c r="A3358" s="16">
        <v>26783278</v>
      </c>
      <c r="B3358" s="17" t="s">
        <v>3420</v>
      </c>
      <c r="C3358" s="17" t="s">
        <v>3421</v>
      </c>
      <c r="D3358" s="5" t="s">
        <v>7128</v>
      </c>
      <c r="E3358" s="35">
        <v>42695</v>
      </c>
    </row>
    <row r="3359" spans="1:5" ht="14.25" hidden="1" customHeight="1">
      <c r="A3359" s="16">
        <v>27634054</v>
      </c>
      <c r="B3359" s="17" t="s">
        <v>3398</v>
      </c>
      <c r="C3359" s="17" t="s">
        <v>3399</v>
      </c>
      <c r="D3359" s="5" t="s">
        <v>7128</v>
      </c>
      <c r="E3359" s="35">
        <v>42695</v>
      </c>
    </row>
    <row r="3360" spans="1:5" ht="14.25" hidden="1" customHeight="1">
      <c r="A3360" s="16">
        <v>27962453</v>
      </c>
      <c r="B3360" s="17" t="s">
        <v>3335</v>
      </c>
      <c r="C3360" s="17" t="s">
        <v>7129</v>
      </c>
      <c r="D3360" s="5" t="s">
        <v>7128</v>
      </c>
      <c r="E3360" s="35">
        <v>42695</v>
      </c>
    </row>
    <row r="3361" spans="1:5" ht="14.25" hidden="1" customHeight="1">
      <c r="A3361" s="16">
        <v>31809903</v>
      </c>
      <c r="B3361" s="17" t="s">
        <v>3380</v>
      </c>
      <c r="C3361" s="17" t="s">
        <v>7132</v>
      </c>
      <c r="D3361" s="5" t="s">
        <v>7128</v>
      </c>
      <c r="E3361" s="35">
        <v>42695</v>
      </c>
    </row>
    <row r="3362" spans="1:5" ht="14.25" hidden="1" customHeight="1">
      <c r="A3362" s="16">
        <v>33163754</v>
      </c>
      <c r="B3362" s="17" t="s">
        <v>3348</v>
      </c>
      <c r="C3362" s="17" t="s">
        <v>3349</v>
      </c>
      <c r="D3362" s="5" t="s">
        <v>7128</v>
      </c>
      <c r="E3362" s="35">
        <v>42695</v>
      </c>
    </row>
    <row r="3363" spans="1:5" ht="14.25" hidden="1" customHeight="1">
      <c r="A3363" s="16">
        <v>36838188</v>
      </c>
      <c r="B3363" s="17" t="s">
        <v>875</v>
      </c>
      <c r="C3363" s="17" t="s">
        <v>3409</v>
      </c>
      <c r="D3363" s="5" t="s">
        <v>7128</v>
      </c>
      <c r="E3363" s="35">
        <v>42695</v>
      </c>
    </row>
    <row r="3364" spans="1:5" ht="14.25" hidden="1" customHeight="1">
      <c r="A3364" s="16">
        <v>37096427</v>
      </c>
      <c r="B3364" s="17" t="s">
        <v>670</v>
      </c>
      <c r="C3364" s="17" t="s">
        <v>3352</v>
      </c>
      <c r="D3364" s="5" t="s">
        <v>7128</v>
      </c>
      <c r="E3364" s="35">
        <v>42695</v>
      </c>
    </row>
    <row r="3365" spans="1:5" ht="14.25" hidden="1" customHeight="1">
      <c r="A3365" s="16">
        <v>10728835</v>
      </c>
      <c r="B3365" s="17" t="s">
        <v>3394</v>
      </c>
      <c r="C3365" s="17" t="s">
        <v>3395</v>
      </c>
      <c r="D3365" s="5" t="s">
        <v>7043</v>
      </c>
      <c r="E3365" s="35">
        <v>42695</v>
      </c>
    </row>
    <row r="3366" spans="1:5" ht="14.25" hidden="1" customHeight="1">
      <c r="A3366" s="16">
        <v>11064926</v>
      </c>
      <c r="B3366" s="17" t="s">
        <v>3418</v>
      </c>
      <c r="C3366" s="17" t="s">
        <v>3419</v>
      </c>
      <c r="D3366" s="5" t="s">
        <v>7043</v>
      </c>
      <c r="E3366" s="35">
        <v>42695</v>
      </c>
    </row>
    <row r="3367" spans="1:5" ht="14.25" hidden="1" customHeight="1">
      <c r="A3367" s="16">
        <v>11116518</v>
      </c>
      <c r="B3367" s="17" t="s">
        <v>3029</v>
      </c>
      <c r="C3367" s="17" t="s">
        <v>3388</v>
      </c>
      <c r="D3367" s="5" t="s">
        <v>7043</v>
      </c>
      <c r="E3367" s="35">
        <v>42695</v>
      </c>
    </row>
    <row r="3368" spans="1:5" ht="14.25" hidden="1" customHeight="1">
      <c r="A3368" s="16">
        <v>12414876</v>
      </c>
      <c r="B3368" s="17" t="s">
        <v>311</v>
      </c>
      <c r="C3368" s="17" t="s">
        <v>3383</v>
      </c>
      <c r="D3368" s="5" t="s">
        <v>7043</v>
      </c>
      <c r="E3368" s="35">
        <v>42695</v>
      </c>
    </row>
    <row r="3369" spans="1:5" ht="14.25" hidden="1" customHeight="1">
      <c r="A3369" s="16">
        <v>13475213</v>
      </c>
      <c r="B3369" s="17" t="s">
        <v>3385</v>
      </c>
      <c r="C3369" s="17" t="s">
        <v>3386</v>
      </c>
      <c r="D3369" s="5" t="s">
        <v>7043</v>
      </c>
      <c r="E3369" s="35">
        <v>42695</v>
      </c>
    </row>
    <row r="3370" spans="1:5" ht="14.25" hidden="1" customHeight="1">
      <c r="A3370" s="16">
        <v>13848539</v>
      </c>
      <c r="B3370" s="17" t="s">
        <v>3357</v>
      </c>
      <c r="C3370" s="17" t="s">
        <v>2595</v>
      </c>
      <c r="D3370" s="5" t="s">
        <v>7043</v>
      </c>
      <c r="E3370" s="35">
        <v>42695</v>
      </c>
    </row>
    <row r="3371" spans="1:5" ht="14.25" hidden="1" customHeight="1">
      <c r="A3371" s="16">
        <v>14984962</v>
      </c>
      <c r="B3371" s="17" t="s">
        <v>3340</v>
      </c>
      <c r="C3371" s="17" t="s">
        <v>3341</v>
      </c>
      <c r="D3371" s="5" t="s">
        <v>7043</v>
      </c>
      <c r="E3371" s="35">
        <v>42695</v>
      </c>
    </row>
    <row r="3372" spans="1:5" ht="14.25" hidden="1" customHeight="1">
      <c r="A3372" s="16">
        <v>16132794</v>
      </c>
      <c r="B3372" s="17" t="s">
        <v>3343</v>
      </c>
      <c r="C3372" s="17" t="s">
        <v>3344</v>
      </c>
      <c r="D3372" s="5" t="s">
        <v>7043</v>
      </c>
      <c r="E3372" s="35">
        <v>42695</v>
      </c>
    </row>
    <row r="3373" spans="1:5" ht="14.25" hidden="1" customHeight="1">
      <c r="A3373" s="16">
        <v>17376396</v>
      </c>
      <c r="B3373" s="17" t="s">
        <v>1257</v>
      </c>
      <c r="C3373" s="17" t="s">
        <v>3405</v>
      </c>
      <c r="D3373" s="5" t="s">
        <v>7043</v>
      </c>
      <c r="E3373" s="35">
        <v>42695</v>
      </c>
    </row>
    <row r="3374" spans="1:5" ht="14.25" hidden="1" customHeight="1">
      <c r="A3374" s="16">
        <v>17990596</v>
      </c>
      <c r="B3374" s="17" t="s">
        <v>3330</v>
      </c>
      <c r="C3374" s="17" t="s">
        <v>3331</v>
      </c>
      <c r="D3374" s="5" t="s">
        <v>7043</v>
      </c>
      <c r="E3374" s="35">
        <v>42695</v>
      </c>
    </row>
    <row r="3375" spans="1:5" ht="14.25" hidden="1" customHeight="1">
      <c r="A3375" s="16">
        <v>19027765</v>
      </c>
      <c r="B3375" s="17" t="s">
        <v>3374</v>
      </c>
      <c r="C3375" s="17" t="s">
        <v>7131</v>
      </c>
      <c r="D3375" s="5" t="s">
        <v>7043</v>
      </c>
      <c r="E3375" s="35">
        <v>42695</v>
      </c>
    </row>
    <row r="3376" spans="1:5" ht="14.25" hidden="1" customHeight="1">
      <c r="A3376" s="16">
        <v>20284369</v>
      </c>
      <c r="B3376" s="17" t="s">
        <v>138</v>
      </c>
      <c r="C3376" s="17" t="s">
        <v>3333</v>
      </c>
      <c r="D3376" s="5" t="s">
        <v>7043</v>
      </c>
      <c r="E3376" s="35">
        <v>42695</v>
      </c>
    </row>
    <row r="3377" spans="1:5" ht="14.25" hidden="1" customHeight="1">
      <c r="A3377" s="16">
        <v>21328113</v>
      </c>
      <c r="B3377" s="17" t="s">
        <v>3414</v>
      </c>
      <c r="C3377" s="17" t="s">
        <v>3415</v>
      </c>
      <c r="D3377" s="5" t="s">
        <v>7043</v>
      </c>
      <c r="E3377" s="35">
        <v>42695</v>
      </c>
    </row>
    <row r="3378" spans="1:5" ht="14.25" hidden="1" customHeight="1">
      <c r="A3378" s="16">
        <v>21744260</v>
      </c>
      <c r="B3378" s="17" t="s">
        <v>3368</v>
      </c>
      <c r="C3378" s="17" t="s">
        <v>7130</v>
      </c>
      <c r="D3378" s="5" t="s">
        <v>7043</v>
      </c>
      <c r="E3378" s="35">
        <v>42695</v>
      </c>
    </row>
    <row r="3379" spans="1:5" ht="14.25" hidden="1" customHeight="1">
      <c r="A3379" s="16">
        <v>22073108</v>
      </c>
      <c r="B3379" s="17" t="s">
        <v>3176</v>
      </c>
      <c r="C3379" s="17" t="s">
        <v>671</v>
      </c>
      <c r="D3379" s="5" t="s">
        <v>7043</v>
      </c>
      <c r="E3379" s="35">
        <v>42695</v>
      </c>
    </row>
    <row r="3380" spans="1:5" ht="14.25" hidden="1" customHeight="1">
      <c r="A3380" s="16">
        <v>23519123</v>
      </c>
      <c r="B3380" s="17" t="s">
        <v>3371</v>
      </c>
      <c r="C3380" s="17" t="s">
        <v>1103</v>
      </c>
      <c r="D3380" s="5" t="s">
        <v>7043</v>
      </c>
      <c r="E3380" s="35">
        <v>42695</v>
      </c>
    </row>
    <row r="3381" spans="1:5" ht="14.25" hidden="1" customHeight="1">
      <c r="A3381" s="16">
        <v>23854639</v>
      </c>
      <c r="B3381" s="17" t="s">
        <v>311</v>
      </c>
      <c r="C3381" s="17" t="s">
        <v>6249</v>
      </c>
      <c r="D3381" s="5" t="s">
        <v>7043</v>
      </c>
      <c r="E3381" s="35">
        <v>42695</v>
      </c>
    </row>
    <row r="3382" spans="1:5" ht="14.25" hidden="1" customHeight="1">
      <c r="A3382" s="16">
        <v>25318542</v>
      </c>
      <c r="B3382" s="17" t="s">
        <v>3416</v>
      </c>
      <c r="C3382" s="17" t="s">
        <v>27</v>
      </c>
      <c r="D3382" s="5" t="s">
        <v>7043</v>
      </c>
      <c r="E3382" s="35">
        <v>42695</v>
      </c>
    </row>
    <row r="3383" spans="1:5" ht="14.25" hidden="1" customHeight="1">
      <c r="A3383" s="16">
        <v>25542562</v>
      </c>
      <c r="B3383" s="17" t="s">
        <v>3237</v>
      </c>
      <c r="C3383" s="17" t="s">
        <v>7133</v>
      </c>
      <c r="D3383" s="5" t="s">
        <v>7043</v>
      </c>
      <c r="E3383" s="35">
        <v>42695</v>
      </c>
    </row>
    <row r="3384" spans="1:5" ht="14.25" hidden="1" customHeight="1">
      <c r="A3384" s="16">
        <v>25736369</v>
      </c>
      <c r="B3384" s="17" t="s">
        <v>3389</v>
      </c>
      <c r="C3384" s="17" t="s">
        <v>3390</v>
      </c>
      <c r="D3384" s="5" t="s">
        <v>7043</v>
      </c>
      <c r="E3384" s="35">
        <v>42695</v>
      </c>
    </row>
    <row r="3385" spans="1:5" ht="14.25" hidden="1" customHeight="1">
      <c r="A3385" s="16">
        <v>25922131</v>
      </c>
      <c r="B3385" s="17" t="s">
        <v>3346</v>
      </c>
      <c r="C3385" s="17" t="s">
        <v>2139</v>
      </c>
      <c r="D3385" s="5" t="s">
        <v>7043</v>
      </c>
      <c r="E3385" s="35">
        <v>42695</v>
      </c>
    </row>
    <row r="3386" spans="1:5" ht="14.25" hidden="1" customHeight="1">
      <c r="A3386" s="16">
        <v>26684064</v>
      </c>
      <c r="B3386" s="17" t="s">
        <v>3360</v>
      </c>
      <c r="C3386" s="17" t="s">
        <v>3361</v>
      </c>
      <c r="D3386" s="5" t="s">
        <v>7043</v>
      </c>
      <c r="E3386" s="35">
        <v>42695</v>
      </c>
    </row>
    <row r="3387" spans="1:5" ht="14.25" hidden="1" customHeight="1">
      <c r="A3387" s="16">
        <v>26783278</v>
      </c>
      <c r="B3387" s="17" t="s">
        <v>3420</v>
      </c>
      <c r="C3387" s="17" t="s">
        <v>3421</v>
      </c>
      <c r="D3387" s="5" t="s">
        <v>7043</v>
      </c>
      <c r="E3387" s="35">
        <v>42695</v>
      </c>
    </row>
    <row r="3388" spans="1:5" ht="14.25" hidden="1" customHeight="1">
      <c r="A3388" s="16">
        <v>27634054</v>
      </c>
      <c r="B3388" s="17" t="s">
        <v>3398</v>
      </c>
      <c r="C3388" s="17" t="s">
        <v>3399</v>
      </c>
      <c r="D3388" s="5" t="s">
        <v>7043</v>
      </c>
      <c r="E3388" s="35">
        <v>42695</v>
      </c>
    </row>
    <row r="3389" spans="1:5" ht="14.25" hidden="1" customHeight="1">
      <c r="A3389" s="16">
        <v>27962453</v>
      </c>
      <c r="B3389" s="17" t="s">
        <v>3335</v>
      </c>
      <c r="C3389" s="17" t="s">
        <v>7129</v>
      </c>
      <c r="D3389" s="5" t="s">
        <v>7043</v>
      </c>
      <c r="E3389" s="35">
        <v>42695</v>
      </c>
    </row>
    <row r="3390" spans="1:5" ht="14.25" hidden="1" customHeight="1">
      <c r="A3390" s="16">
        <v>31809903</v>
      </c>
      <c r="B3390" s="17" t="s">
        <v>3380</v>
      </c>
      <c r="C3390" s="17" t="s">
        <v>7132</v>
      </c>
      <c r="D3390" s="5" t="s">
        <v>7043</v>
      </c>
      <c r="E3390" s="35">
        <v>42695</v>
      </c>
    </row>
    <row r="3391" spans="1:5" ht="14.25" hidden="1" customHeight="1">
      <c r="A3391" s="16">
        <v>33163754</v>
      </c>
      <c r="B3391" s="17" t="s">
        <v>3348</v>
      </c>
      <c r="C3391" s="17" t="s">
        <v>3349</v>
      </c>
      <c r="D3391" s="5" t="s">
        <v>7043</v>
      </c>
      <c r="E3391" s="35">
        <v>42695</v>
      </c>
    </row>
    <row r="3392" spans="1:5" ht="14.25" hidden="1" customHeight="1">
      <c r="A3392" s="16">
        <v>36838188</v>
      </c>
      <c r="B3392" s="17" t="s">
        <v>875</v>
      </c>
      <c r="C3392" s="17" t="s">
        <v>3409</v>
      </c>
      <c r="D3392" s="5" t="s">
        <v>7043</v>
      </c>
      <c r="E3392" s="35">
        <v>42695</v>
      </c>
    </row>
    <row r="3393" spans="1:5" ht="14.25" hidden="1" customHeight="1">
      <c r="A3393" s="16">
        <v>37096427</v>
      </c>
      <c r="B3393" s="17" t="s">
        <v>670</v>
      </c>
      <c r="C3393" s="17" t="s">
        <v>3352</v>
      </c>
      <c r="D3393" s="5" t="s">
        <v>7043</v>
      </c>
      <c r="E3393" s="35">
        <v>42695</v>
      </c>
    </row>
    <row r="3394" spans="1:5" ht="14.25" hidden="1" customHeight="1">
      <c r="A3394" s="16">
        <v>12607655</v>
      </c>
      <c r="B3394" s="17" t="s">
        <v>1793</v>
      </c>
      <c r="C3394" s="17" t="s">
        <v>2761</v>
      </c>
      <c r="D3394" s="5" t="s">
        <v>7135</v>
      </c>
      <c r="E3394" s="35">
        <v>42678</v>
      </c>
    </row>
    <row r="3395" spans="1:5" ht="14.25" hidden="1" customHeight="1">
      <c r="A3395" s="16">
        <v>12733217</v>
      </c>
      <c r="B3395" s="17" t="s">
        <v>7143</v>
      </c>
      <c r="C3395" s="17" t="s">
        <v>5041</v>
      </c>
      <c r="D3395" s="5" t="s">
        <v>7135</v>
      </c>
      <c r="E3395" s="35">
        <v>42678</v>
      </c>
    </row>
    <row r="3396" spans="1:5" ht="14.25" hidden="1" customHeight="1">
      <c r="A3396" s="16">
        <v>12733603</v>
      </c>
      <c r="B3396" s="17" t="s">
        <v>7148</v>
      </c>
      <c r="C3396" s="17" t="s">
        <v>5238</v>
      </c>
      <c r="D3396" s="5" t="s">
        <v>7135</v>
      </c>
      <c r="E3396" s="35">
        <v>42678</v>
      </c>
    </row>
    <row r="3397" spans="1:5" ht="14.25" hidden="1" customHeight="1">
      <c r="A3397" s="16">
        <v>14084487</v>
      </c>
      <c r="B3397" s="17" t="s">
        <v>7139</v>
      </c>
      <c r="C3397" s="17" t="s">
        <v>7140</v>
      </c>
      <c r="D3397" s="5" t="s">
        <v>7135</v>
      </c>
      <c r="E3397" s="35">
        <v>42678</v>
      </c>
    </row>
    <row r="3398" spans="1:5" ht="14.25" hidden="1" customHeight="1">
      <c r="A3398" s="16">
        <v>14296958</v>
      </c>
      <c r="B3398" s="17" t="s">
        <v>5838</v>
      </c>
      <c r="C3398" s="17" t="s">
        <v>5839</v>
      </c>
      <c r="D3398" s="5" t="s">
        <v>7135</v>
      </c>
      <c r="E3398" s="35">
        <v>42678</v>
      </c>
    </row>
    <row r="3399" spans="1:5" ht="14.25" hidden="1" customHeight="1">
      <c r="A3399" s="16">
        <v>17613465</v>
      </c>
      <c r="B3399" s="17" t="s">
        <v>2840</v>
      </c>
      <c r="C3399" s="17" t="s">
        <v>687</v>
      </c>
      <c r="D3399" s="5" t="s">
        <v>7135</v>
      </c>
      <c r="E3399" s="35">
        <v>42678</v>
      </c>
    </row>
    <row r="3400" spans="1:5" ht="14.25" hidden="1" customHeight="1">
      <c r="A3400" s="16">
        <v>17866738</v>
      </c>
      <c r="B3400" s="17" t="s">
        <v>4994</v>
      </c>
      <c r="C3400" s="17" t="s">
        <v>427</v>
      </c>
      <c r="D3400" s="5" t="s">
        <v>7135</v>
      </c>
      <c r="E3400" s="35">
        <v>42678</v>
      </c>
    </row>
    <row r="3401" spans="1:5" ht="14.25" hidden="1" customHeight="1">
      <c r="A3401" s="16">
        <v>18577667</v>
      </c>
      <c r="B3401" s="17" t="s">
        <v>5769</v>
      </c>
      <c r="C3401" s="17" t="s">
        <v>5770</v>
      </c>
      <c r="D3401" s="5" t="s">
        <v>7135</v>
      </c>
      <c r="E3401" s="35">
        <v>42678</v>
      </c>
    </row>
    <row r="3402" spans="1:5" ht="14.25" hidden="1" customHeight="1">
      <c r="A3402" s="16">
        <v>18577669</v>
      </c>
      <c r="B3402" s="17" t="s">
        <v>730</v>
      </c>
      <c r="C3402" s="17" t="s">
        <v>731</v>
      </c>
      <c r="D3402" s="5" t="s">
        <v>7135</v>
      </c>
      <c r="E3402" s="35">
        <v>42678</v>
      </c>
    </row>
    <row r="3403" spans="1:5" ht="14.25" hidden="1" customHeight="1">
      <c r="A3403" s="16">
        <v>20612701</v>
      </c>
      <c r="B3403" s="17" t="s">
        <v>2799</v>
      </c>
      <c r="C3403" s="17" t="s">
        <v>4375</v>
      </c>
      <c r="D3403" s="5" t="s">
        <v>7135</v>
      </c>
      <c r="E3403" s="35">
        <v>42678</v>
      </c>
    </row>
    <row r="3404" spans="1:5" ht="14.25" hidden="1" customHeight="1">
      <c r="A3404" s="16">
        <v>20857513</v>
      </c>
      <c r="B3404" s="17" t="s">
        <v>7141</v>
      </c>
      <c r="C3404" s="17" t="s">
        <v>7142</v>
      </c>
      <c r="D3404" s="5" t="s">
        <v>7135</v>
      </c>
      <c r="E3404" s="35">
        <v>42678</v>
      </c>
    </row>
    <row r="3405" spans="1:5" ht="14.25" hidden="1" customHeight="1">
      <c r="A3405" s="16">
        <v>21745166</v>
      </c>
      <c r="B3405" s="17" t="s">
        <v>541</v>
      </c>
      <c r="C3405" s="17" t="s">
        <v>7144</v>
      </c>
      <c r="D3405" s="5" t="s">
        <v>7135</v>
      </c>
      <c r="E3405" s="35">
        <v>42678</v>
      </c>
    </row>
    <row r="3406" spans="1:5" ht="14.25" hidden="1" customHeight="1">
      <c r="A3406" s="16">
        <v>22181132</v>
      </c>
      <c r="B3406" s="17" t="s">
        <v>6433</v>
      </c>
      <c r="C3406" s="17" t="s">
        <v>7147</v>
      </c>
      <c r="D3406" s="5" t="s">
        <v>7135</v>
      </c>
      <c r="E3406" s="35">
        <v>42678</v>
      </c>
    </row>
    <row r="3407" spans="1:5" ht="14.25" hidden="1" customHeight="1">
      <c r="A3407" s="16">
        <v>22664232</v>
      </c>
      <c r="B3407" s="17" t="s">
        <v>7134</v>
      </c>
      <c r="C3407" s="17" t="s">
        <v>2684</v>
      </c>
      <c r="D3407" s="5" t="s">
        <v>7135</v>
      </c>
      <c r="E3407" s="35">
        <v>42678</v>
      </c>
    </row>
    <row r="3408" spans="1:5" ht="14.25" hidden="1" customHeight="1">
      <c r="A3408" s="16">
        <v>24098848</v>
      </c>
      <c r="B3408" s="17" t="s">
        <v>4830</v>
      </c>
      <c r="C3408" s="17" t="s">
        <v>278</v>
      </c>
      <c r="D3408" s="5" t="s">
        <v>7135</v>
      </c>
      <c r="E3408" s="35">
        <v>42678</v>
      </c>
    </row>
    <row r="3409" spans="1:5" ht="14.25" hidden="1" customHeight="1">
      <c r="A3409" s="16">
        <v>24147391</v>
      </c>
      <c r="B3409" s="17" t="s">
        <v>1565</v>
      </c>
      <c r="C3409" s="17" t="s">
        <v>215</v>
      </c>
      <c r="D3409" s="5" t="s">
        <v>7135</v>
      </c>
      <c r="E3409" s="35">
        <v>42678</v>
      </c>
    </row>
    <row r="3410" spans="1:5" ht="14.25" hidden="1" customHeight="1">
      <c r="A3410" s="16">
        <v>24340614</v>
      </c>
      <c r="B3410" s="17" t="s">
        <v>364</v>
      </c>
      <c r="C3410" s="17" t="s">
        <v>365</v>
      </c>
      <c r="D3410" s="5" t="s">
        <v>7135</v>
      </c>
      <c r="E3410" s="35">
        <v>42678</v>
      </c>
    </row>
    <row r="3411" spans="1:5" ht="14.25" hidden="1" customHeight="1">
      <c r="A3411" s="16">
        <v>26029215</v>
      </c>
      <c r="B3411" s="17" t="s">
        <v>5918</v>
      </c>
      <c r="C3411" s="17" t="s">
        <v>274</v>
      </c>
      <c r="D3411" s="5" t="s">
        <v>7135</v>
      </c>
      <c r="E3411" s="35">
        <v>42678</v>
      </c>
    </row>
    <row r="3412" spans="1:5" ht="14.25" hidden="1" customHeight="1">
      <c r="A3412" s="16">
        <v>26722198</v>
      </c>
      <c r="B3412" s="17" t="s">
        <v>226</v>
      </c>
      <c r="C3412" s="17" t="s">
        <v>7138</v>
      </c>
      <c r="D3412" s="5" t="s">
        <v>7135</v>
      </c>
      <c r="E3412" s="35">
        <v>42678</v>
      </c>
    </row>
    <row r="3413" spans="1:5" ht="14.25" hidden="1" customHeight="1">
      <c r="A3413" s="16">
        <v>26740740</v>
      </c>
      <c r="B3413" s="17" t="s">
        <v>794</v>
      </c>
      <c r="C3413" s="17" t="s">
        <v>2371</v>
      </c>
      <c r="D3413" s="5" t="s">
        <v>7135</v>
      </c>
      <c r="E3413" s="35">
        <v>42678</v>
      </c>
    </row>
    <row r="3414" spans="1:5" ht="14.25" hidden="1" customHeight="1">
      <c r="A3414" s="16">
        <v>27962453</v>
      </c>
      <c r="B3414" s="17" t="s">
        <v>3335</v>
      </c>
      <c r="C3414" s="17" t="s">
        <v>3336</v>
      </c>
      <c r="D3414" s="5" t="s">
        <v>7135</v>
      </c>
      <c r="E3414" s="35">
        <v>42678</v>
      </c>
    </row>
    <row r="3415" spans="1:5" ht="14.25" hidden="1" customHeight="1">
      <c r="A3415" s="16">
        <v>28221502</v>
      </c>
      <c r="B3415" s="17" t="s">
        <v>315</v>
      </c>
      <c r="C3415" s="17" t="s">
        <v>1545</v>
      </c>
      <c r="D3415" s="5" t="s">
        <v>7135</v>
      </c>
      <c r="E3415" s="35">
        <v>42678</v>
      </c>
    </row>
    <row r="3416" spans="1:5" ht="14.25" hidden="1" customHeight="1">
      <c r="A3416" s="16">
        <v>29026236</v>
      </c>
      <c r="B3416" s="17" t="s">
        <v>315</v>
      </c>
      <c r="C3416" s="17" t="s">
        <v>902</v>
      </c>
      <c r="D3416" s="5" t="s">
        <v>7135</v>
      </c>
      <c r="E3416" s="35">
        <v>42678</v>
      </c>
    </row>
    <row r="3417" spans="1:5" ht="14.25" hidden="1" customHeight="1">
      <c r="A3417" s="16">
        <v>29310568</v>
      </c>
      <c r="B3417" s="17" t="s">
        <v>1286</v>
      </c>
      <c r="C3417" s="17" t="s">
        <v>473</v>
      </c>
      <c r="D3417" s="5" t="s">
        <v>7135</v>
      </c>
      <c r="E3417" s="35">
        <v>42678</v>
      </c>
    </row>
    <row r="3418" spans="1:5" ht="14.25" hidden="1" customHeight="1">
      <c r="A3418" s="16">
        <v>30069252</v>
      </c>
      <c r="B3418" s="17" t="s">
        <v>1793</v>
      </c>
      <c r="C3418" s="17" t="s">
        <v>1068</v>
      </c>
      <c r="D3418" s="5" t="s">
        <v>7135</v>
      </c>
      <c r="E3418" s="35">
        <v>42678</v>
      </c>
    </row>
    <row r="3419" spans="1:5" ht="14.25" hidden="1" customHeight="1">
      <c r="A3419" s="16">
        <v>30069858</v>
      </c>
      <c r="B3419" s="17" t="s">
        <v>883</v>
      </c>
      <c r="C3419" s="17" t="s">
        <v>4676</v>
      </c>
      <c r="D3419" s="5" t="s">
        <v>7135</v>
      </c>
      <c r="E3419" s="35">
        <v>42678</v>
      </c>
    </row>
    <row r="3420" spans="1:5" ht="14.25" hidden="1" customHeight="1">
      <c r="A3420" s="16">
        <v>31842821</v>
      </c>
      <c r="B3420" s="17" t="s">
        <v>7136</v>
      </c>
      <c r="C3420" s="17" t="s">
        <v>7137</v>
      </c>
      <c r="D3420" s="5" t="s">
        <v>7135</v>
      </c>
      <c r="E3420" s="35">
        <v>42678</v>
      </c>
    </row>
    <row r="3421" spans="1:5" ht="14.25" hidden="1" customHeight="1">
      <c r="A3421" s="16">
        <v>32412589</v>
      </c>
      <c r="B3421" s="17" t="s">
        <v>6166</v>
      </c>
      <c r="C3421" s="17" t="s">
        <v>6167</v>
      </c>
      <c r="D3421" s="5" t="s">
        <v>7135</v>
      </c>
      <c r="E3421" s="35">
        <v>42678</v>
      </c>
    </row>
    <row r="3422" spans="1:5" ht="14.25" hidden="1" customHeight="1">
      <c r="A3422" s="16">
        <v>32459652</v>
      </c>
      <c r="B3422" s="17" t="s">
        <v>3854</v>
      </c>
      <c r="C3422" s="17" t="s">
        <v>3855</v>
      </c>
      <c r="D3422" s="5" t="s">
        <v>7135</v>
      </c>
      <c r="E3422" s="35">
        <v>42678</v>
      </c>
    </row>
    <row r="3423" spans="1:5" ht="14.25" hidden="1" customHeight="1">
      <c r="A3423" s="16">
        <v>32927192</v>
      </c>
      <c r="B3423" s="17" t="s">
        <v>428</v>
      </c>
      <c r="C3423" s="17" t="s">
        <v>1211</v>
      </c>
      <c r="D3423" s="5" t="s">
        <v>7135</v>
      </c>
      <c r="E3423" s="35">
        <v>42678</v>
      </c>
    </row>
    <row r="3424" spans="1:5" ht="14.25" hidden="1" customHeight="1">
      <c r="A3424" s="16">
        <v>33139281</v>
      </c>
      <c r="B3424" s="17" t="s">
        <v>1549</v>
      </c>
      <c r="C3424" s="17" t="s">
        <v>5079</v>
      </c>
      <c r="D3424" s="5" t="s">
        <v>7135</v>
      </c>
      <c r="E3424" s="35">
        <v>42678</v>
      </c>
    </row>
    <row r="3425" spans="1:5" ht="14.25" hidden="1" customHeight="1">
      <c r="A3425" s="16">
        <v>35185416</v>
      </c>
      <c r="B3425" s="17" t="s">
        <v>458</v>
      </c>
      <c r="C3425" s="17" t="s">
        <v>3466</v>
      </c>
      <c r="D3425" s="5" t="s">
        <v>7135</v>
      </c>
      <c r="E3425" s="35">
        <v>42678</v>
      </c>
    </row>
    <row r="3426" spans="1:5" ht="14.25" hidden="1" customHeight="1">
      <c r="A3426" s="16">
        <v>36049422</v>
      </c>
      <c r="B3426" s="17" t="s">
        <v>2683</v>
      </c>
      <c r="C3426" s="17" t="s">
        <v>5546</v>
      </c>
      <c r="D3426" s="5" t="s">
        <v>7135</v>
      </c>
      <c r="E3426" s="35">
        <v>42678</v>
      </c>
    </row>
    <row r="3427" spans="1:5" ht="14.25" hidden="1" customHeight="1">
      <c r="A3427" s="16">
        <v>36420915</v>
      </c>
      <c r="B3427" s="17" t="s">
        <v>7145</v>
      </c>
      <c r="C3427" s="17" t="s">
        <v>455</v>
      </c>
      <c r="D3427" s="5" t="s">
        <v>7135</v>
      </c>
      <c r="E3427" s="35">
        <v>42678</v>
      </c>
    </row>
    <row r="3428" spans="1:5" ht="14.25" hidden="1" customHeight="1">
      <c r="A3428" s="16">
        <v>37657472</v>
      </c>
      <c r="B3428" s="17" t="s">
        <v>2661</v>
      </c>
      <c r="C3428" s="17" t="s">
        <v>7146</v>
      </c>
      <c r="D3428" s="5" t="s">
        <v>7135</v>
      </c>
      <c r="E3428" s="35">
        <v>42678</v>
      </c>
    </row>
    <row r="3429" spans="1:5" ht="14.25" hidden="1" customHeight="1">
      <c r="A3429" s="16">
        <v>178599997</v>
      </c>
      <c r="B3429" s="17" t="s">
        <v>3220</v>
      </c>
      <c r="C3429" s="17" t="s">
        <v>3221</v>
      </c>
      <c r="D3429" s="5" t="s">
        <v>7135</v>
      </c>
      <c r="E3429" s="35">
        <v>42678</v>
      </c>
    </row>
    <row r="3430" spans="1:5" ht="14.25" hidden="1" customHeight="1">
      <c r="A3430" s="16">
        <v>11475984</v>
      </c>
      <c r="B3430" s="17" t="s">
        <v>3041</v>
      </c>
      <c r="C3430" s="17" t="s">
        <v>783</v>
      </c>
      <c r="D3430" s="1" t="s">
        <v>7020</v>
      </c>
      <c r="E3430" s="35">
        <v>42675</v>
      </c>
    </row>
    <row r="3431" spans="1:5" ht="14.25" hidden="1" customHeight="1">
      <c r="A3431" s="16">
        <v>12318006</v>
      </c>
      <c r="B3431" s="17" t="s">
        <v>574</v>
      </c>
      <c r="C3431" s="17" t="s">
        <v>5798</v>
      </c>
      <c r="D3431" s="1" t="s">
        <v>7020</v>
      </c>
      <c r="E3431" s="35">
        <v>42675</v>
      </c>
    </row>
    <row r="3432" spans="1:5" ht="14.25" hidden="1" customHeight="1">
      <c r="A3432" s="16">
        <v>14084778</v>
      </c>
      <c r="B3432" s="17" t="s">
        <v>5051</v>
      </c>
      <c r="C3432" s="17" t="s">
        <v>5052</v>
      </c>
      <c r="D3432" s="1" t="s">
        <v>7020</v>
      </c>
      <c r="E3432" s="35">
        <v>42675</v>
      </c>
    </row>
    <row r="3433" spans="1:5" ht="14.25" hidden="1" customHeight="1">
      <c r="A3433" s="16">
        <v>17779601</v>
      </c>
      <c r="B3433" s="17" t="s">
        <v>364</v>
      </c>
      <c r="C3433" s="17" t="s">
        <v>2161</v>
      </c>
      <c r="D3433" s="1" t="s">
        <v>7020</v>
      </c>
      <c r="E3433" s="35">
        <v>42675</v>
      </c>
    </row>
    <row r="3434" spans="1:5" ht="14.25" hidden="1" customHeight="1">
      <c r="A3434" s="16">
        <v>22332403</v>
      </c>
      <c r="B3434" s="17" t="s">
        <v>4279</v>
      </c>
      <c r="C3434" s="17" t="s">
        <v>6045</v>
      </c>
      <c r="D3434" s="1" t="s">
        <v>7020</v>
      </c>
      <c r="E3434" s="35">
        <v>42675</v>
      </c>
    </row>
    <row r="3435" spans="1:5" ht="14.25" hidden="1" customHeight="1">
      <c r="A3435" s="16">
        <v>24200921</v>
      </c>
      <c r="B3435" s="17" t="s">
        <v>4784</v>
      </c>
      <c r="C3435" s="17" t="s">
        <v>1085</v>
      </c>
      <c r="D3435" s="1" t="s">
        <v>7020</v>
      </c>
      <c r="E3435" s="35">
        <v>42675</v>
      </c>
    </row>
    <row r="3436" spans="1:5" ht="14.25" hidden="1" customHeight="1">
      <c r="A3436" s="16">
        <v>29290647</v>
      </c>
      <c r="B3436" s="17" t="s">
        <v>467</v>
      </c>
      <c r="C3436" s="17" t="s">
        <v>469</v>
      </c>
      <c r="D3436" s="1" t="s">
        <v>7020</v>
      </c>
      <c r="E3436" s="35">
        <v>42675</v>
      </c>
    </row>
    <row r="3437" spans="1:5" ht="14.25" hidden="1" customHeight="1">
      <c r="A3437" s="16">
        <v>29666790</v>
      </c>
      <c r="B3437" s="17" t="s">
        <v>789</v>
      </c>
      <c r="C3437" s="17" t="s">
        <v>5112</v>
      </c>
      <c r="D3437" s="1" t="s">
        <v>7020</v>
      </c>
      <c r="E3437" s="35">
        <v>42675</v>
      </c>
    </row>
    <row r="3438" spans="1:5" ht="14.25" hidden="1" customHeight="1">
      <c r="A3438" s="16">
        <v>32134246</v>
      </c>
      <c r="B3438" s="17" t="s">
        <v>1571</v>
      </c>
      <c r="C3438" s="17" t="s">
        <v>4368</v>
      </c>
      <c r="D3438" s="1" t="s">
        <v>7020</v>
      </c>
      <c r="E3438" s="35">
        <v>42675</v>
      </c>
    </row>
    <row r="3439" spans="1:5" ht="14.25" hidden="1" customHeight="1">
      <c r="A3439" s="16">
        <v>33091069</v>
      </c>
      <c r="B3439" s="17" t="s">
        <v>267</v>
      </c>
      <c r="C3439" s="17" t="s">
        <v>1756</v>
      </c>
      <c r="D3439" s="1" t="s">
        <v>7020</v>
      </c>
      <c r="E3439" s="35">
        <v>42675</v>
      </c>
    </row>
    <row r="3440" spans="1:5" ht="14.25" hidden="1" customHeight="1">
      <c r="A3440" s="16">
        <v>11915821</v>
      </c>
      <c r="B3440" s="17" t="s">
        <v>1168</v>
      </c>
      <c r="C3440" s="17" t="s">
        <v>5088</v>
      </c>
      <c r="D3440" s="5" t="s">
        <v>7102</v>
      </c>
      <c r="E3440" s="35">
        <v>42655</v>
      </c>
    </row>
    <row r="3441" spans="1:5" ht="14.25" hidden="1" customHeight="1">
      <c r="A3441" s="16">
        <v>13848539</v>
      </c>
      <c r="B3441" s="17" t="s">
        <v>3357</v>
      </c>
      <c r="C3441" s="17" t="s">
        <v>2595</v>
      </c>
      <c r="D3441" s="5" t="s">
        <v>7102</v>
      </c>
      <c r="E3441" s="35">
        <v>42655</v>
      </c>
    </row>
    <row r="3442" spans="1:5" ht="14.25" hidden="1" customHeight="1">
      <c r="A3442" s="16">
        <v>16617561</v>
      </c>
      <c r="B3442" s="17" t="s">
        <v>4445</v>
      </c>
      <c r="C3442" s="17" t="s">
        <v>4446</v>
      </c>
      <c r="D3442" s="5" t="s">
        <v>7102</v>
      </c>
      <c r="E3442" s="35">
        <v>42655</v>
      </c>
    </row>
    <row r="3443" spans="1:5" ht="14.25" hidden="1" customHeight="1">
      <c r="A3443" s="16">
        <v>17293872</v>
      </c>
      <c r="B3443" s="17" t="s">
        <v>47</v>
      </c>
      <c r="C3443" s="17" t="s">
        <v>4259</v>
      </c>
      <c r="D3443" s="5" t="s">
        <v>7102</v>
      </c>
      <c r="E3443" s="35">
        <v>42655</v>
      </c>
    </row>
    <row r="3444" spans="1:5" ht="14.25" hidden="1" customHeight="1">
      <c r="A3444" s="16">
        <v>17779601</v>
      </c>
      <c r="B3444" s="17" t="s">
        <v>364</v>
      </c>
      <c r="C3444" s="17" t="s">
        <v>2161</v>
      </c>
      <c r="D3444" s="5" t="s">
        <v>7102</v>
      </c>
      <c r="E3444" s="35">
        <v>42655</v>
      </c>
    </row>
    <row r="3445" spans="1:5" ht="14.25" hidden="1" customHeight="1">
      <c r="A3445" s="16">
        <v>20171458</v>
      </c>
      <c r="B3445" s="17" t="s">
        <v>2813</v>
      </c>
      <c r="C3445" s="17" t="s">
        <v>494</v>
      </c>
      <c r="D3445" s="5" t="s">
        <v>7102</v>
      </c>
      <c r="E3445" s="35">
        <v>42655</v>
      </c>
    </row>
    <row r="3446" spans="1:5" ht="14.25" hidden="1" customHeight="1">
      <c r="A3446" s="16">
        <v>21026697</v>
      </c>
      <c r="B3446" s="17" t="s">
        <v>927</v>
      </c>
      <c r="C3446" s="17" t="s">
        <v>930</v>
      </c>
      <c r="D3446" s="5" t="s">
        <v>7102</v>
      </c>
      <c r="E3446" s="35">
        <v>42655</v>
      </c>
    </row>
    <row r="3447" spans="1:5" ht="14.25" hidden="1" customHeight="1">
      <c r="A3447" s="16">
        <v>21805042</v>
      </c>
      <c r="B3447" s="17" t="s">
        <v>4106</v>
      </c>
      <c r="C3447" s="17" t="s">
        <v>4107</v>
      </c>
      <c r="D3447" s="5" t="s">
        <v>7102</v>
      </c>
      <c r="E3447" s="35">
        <v>42655</v>
      </c>
    </row>
    <row r="3448" spans="1:5" ht="14.25" hidden="1" customHeight="1">
      <c r="A3448" s="16">
        <v>22264316</v>
      </c>
      <c r="B3448" s="17" t="s">
        <v>2687</v>
      </c>
      <c r="C3448" s="17" t="s">
        <v>2688</v>
      </c>
      <c r="D3448" s="5" t="s">
        <v>7102</v>
      </c>
      <c r="E3448" s="35">
        <v>42655</v>
      </c>
    </row>
    <row r="3449" spans="1:5" ht="14.25" hidden="1" customHeight="1">
      <c r="A3449" s="16">
        <v>22806525</v>
      </c>
      <c r="B3449" s="17" t="s">
        <v>774</v>
      </c>
      <c r="C3449" s="17" t="s">
        <v>2218</v>
      </c>
      <c r="D3449" s="5" t="s">
        <v>7102</v>
      </c>
      <c r="E3449" s="35">
        <v>42655</v>
      </c>
    </row>
    <row r="3450" spans="1:5" ht="14.25" hidden="1" customHeight="1">
      <c r="A3450" s="16">
        <v>23015469</v>
      </c>
      <c r="B3450" s="17" t="s">
        <v>714</v>
      </c>
      <c r="C3450" s="17" t="s">
        <v>7149</v>
      </c>
      <c r="D3450" s="5" t="s">
        <v>7102</v>
      </c>
      <c r="E3450" s="35">
        <v>42655</v>
      </c>
    </row>
    <row r="3451" spans="1:5" ht="14.25" hidden="1" customHeight="1">
      <c r="A3451" s="16">
        <v>23518746</v>
      </c>
      <c r="B3451" s="17" t="s">
        <v>734</v>
      </c>
      <c r="C3451" s="17" t="s">
        <v>1187</v>
      </c>
      <c r="D3451" s="5" t="s">
        <v>7102</v>
      </c>
      <c r="E3451" s="35">
        <v>42655</v>
      </c>
    </row>
    <row r="3452" spans="1:5" ht="14.25" hidden="1" customHeight="1">
      <c r="A3452" s="16">
        <v>25318542</v>
      </c>
      <c r="B3452" s="17" t="s">
        <v>3416</v>
      </c>
      <c r="C3452" s="17" t="s">
        <v>27</v>
      </c>
      <c r="D3452" s="5" t="s">
        <v>7102</v>
      </c>
      <c r="E3452" s="35">
        <v>42655</v>
      </c>
    </row>
    <row r="3453" spans="1:5" ht="14.25" hidden="1" customHeight="1">
      <c r="A3453" s="16">
        <v>25372495</v>
      </c>
      <c r="B3453" s="17" t="s">
        <v>40</v>
      </c>
      <c r="C3453" s="17" t="s">
        <v>3924</v>
      </c>
      <c r="D3453" s="5" t="s">
        <v>7102</v>
      </c>
      <c r="E3453" s="35">
        <v>42655</v>
      </c>
    </row>
    <row r="3454" spans="1:5" ht="14.25" hidden="1" customHeight="1">
      <c r="A3454" s="16">
        <v>25653571</v>
      </c>
      <c r="B3454" s="17" t="s">
        <v>1160</v>
      </c>
      <c r="C3454" s="17" t="s">
        <v>1161</v>
      </c>
      <c r="D3454" s="5" t="s">
        <v>7102</v>
      </c>
      <c r="E3454" s="35">
        <v>42655</v>
      </c>
    </row>
    <row r="3455" spans="1:5" ht="14.25" hidden="1" customHeight="1">
      <c r="A3455" s="16">
        <v>25734593</v>
      </c>
      <c r="B3455" s="17" t="s">
        <v>5433</v>
      </c>
      <c r="C3455" s="17" t="s">
        <v>5434</v>
      </c>
      <c r="D3455" s="5" t="s">
        <v>7102</v>
      </c>
      <c r="E3455" s="35">
        <v>42655</v>
      </c>
    </row>
    <row r="3456" spans="1:5" ht="14.25" hidden="1" customHeight="1">
      <c r="A3456" s="16">
        <v>26013921</v>
      </c>
      <c r="B3456" s="17" t="s">
        <v>789</v>
      </c>
      <c r="C3456" s="17" t="s">
        <v>1353</v>
      </c>
      <c r="D3456" s="5" t="s">
        <v>7102</v>
      </c>
      <c r="E3456" s="35">
        <v>42655</v>
      </c>
    </row>
    <row r="3457" spans="1:5" ht="14.25" hidden="1" customHeight="1">
      <c r="A3457" s="16">
        <v>26029215</v>
      </c>
      <c r="B3457" s="17" t="s">
        <v>5918</v>
      </c>
      <c r="C3457" s="17" t="s">
        <v>274</v>
      </c>
      <c r="D3457" s="5" t="s">
        <v>7102</v>
      </c>
      <c r="E3457" s="35">
        <v>42655</v>
      </c>
    </row>
    <row r="3458" spans="1:5" ht="14.25" hidden="1" customHeight="1">
      <c r="A3458" s="16">
        <v>26675972</v>
      </c>
      <c r="B3458" s="17" t="s">
        <v>5126</v>
      </c>
      <c r="C3458" s="17" t="s">
        <v>2753</v>
      </c>
      <c r="D3458" s="5" t="s">
        <v>7102</v>
      </c>
      <c r="E3458" s="35">
        <v>42655</v>
      </c>
    </row>
    <row r="3459" spans="1:5" ht="14.25" hidden="1" customHeight="1">
      <c r="A3459" s="16">
        <v>27575100</v>
      </c>
      <c r="B3459" s="17" t="s">
        <v>3649</v>
      </c>
      <c r="C3459" s="17" t="s">
        <v>7125</v>
      </c>
      <c r="D3459" s="5" t="s">
        <v>7102</v>
      </c>
      <c r="E3459" s="35">
        <v>42655</v>
      </c>
    </row>
    <row r="3460" spans="1:5" ht="14.25" hidden="1" customHeight="1">
      <c r="A3460" s="16">
        <v>27732969</v>
      </c>
      <c r="B3460" s="17" t="s">
        <v>226</v>
      </c>
      <c r="C3460" s="17" t="s">
        <v>5899</v>
      </c>
      <c r="D3460" s="5" t="s">
        <v>7102</v>
      </c>
      <c r="E3460" s="35">
        <v>42655</v>
      </c>
    </row>
    <row r="3461" spans="1:5" ht="14.25" hidden="1" customHeight="1">
      <c r="A3461" s="16">
        <v>29024358</v>
      </c>
      <c r="B3461" s="17" t="s">
        <v>1574</v>
      </c>
      <c r="C3461" s="17" t="s">
        <v>1575</v>
      </c>
      <c r="D3461" s="5" t="s">
        <v>7102</v>
      </c>
      <c r="E3461" s="35">
        <v>42655</v>
      </c>
    </row>
    <row r="3462" spans="1:5" ht="14.25" hidden="1" customHeight="1">
      <c r="A3462" s="16">
        <v>29242462</v>
      </c>
      <c r="B3462" s="17" t="s">
        <v>846</v>
      </c>
      <c r="C3462" s="17" t="s">
        <v>2712</v>
      </c>
      <c r="D3462" s="5" t="s">
        <v>7102</v>
      </c>
      <c r="E3462" s="35">
        <v>42655</v>
      </c>
    </row>
    <row r="3463" spans="1:5" ht="14.25" hidden="1" customHeight="1">
      <c r="A3463" s="16">
        <v>29666790</v>
      </c>
      <c r="B3463" s="17" t="s">
        <v>789</v>
      </c>
      <c r="C3463" s="17" t="s">
        <v>5112</v>
      </c>
      <c r="D3463" s="5" t="s">
        <v>7102</v>
      </c>
      <c r="E3463" s="35">
        <v>42655</v>
      </c>
    </row>
    <row r="3464" spans="1:5" ht="14.25" hidden="1" customHeight="1">
      <c r="A3464" s="16">
        <v>31425208</v>
      </c>
      <c r="B3464" s="17" t="s">
        <v>2785</v>
      </c>
      <c r="C3464" s="17" t="s">
        <v>6119</v>
      </c>
      <c r="D3464" s="5" t="s">
        <v>7102</v>
      </c>
      <c r="E3464" s="35">
        <v>42655</v>
      </c>
    </row>
    <row r="3465" spans="1:5" ht="14.25" hidden="1" customHeight="1">
      <c r="A3465" s="16">
        <v>33971596</v>
      </c>
      <c r="B3465" s="17" t="s">
        <v>102</v>
      </c>
      <c r="C3465" s="17" t="s">
        <v>103</v>
      </c>
      <c r="D3465" s="5" t="s">
        <v>7102</v>
      </c>
      <c r="E3465" s="35">
        <v>42655</v>
      </c>
    </row>
    <row r="3466" spans="1:5" ht="14.25" hidden="1" customHeight="1">
      <c r="A3466" s="16">
        <v>10742572</v>
      </c>
      <c r="B3466" s="17" t="s">
        <v>760</v>
      </c>
      <c r="C3466" s="17" t="s">
        <v>4222</v>
      </c>
      <c r="D3466" s="5" t="s">
        <v>7150</v>
      </c>
      <c r="E3466" s="35">
        <v>42654</v>
      </c>
    </row>
    <row r="3467" spans="1:5" ht="14.25" hidden="1" customHeight="1">
      <c r="A3467" s="16">
        <v>11283845</v>
      </c>
      <c r="B3467" s="17" t="s">
        <v>6267</v>
      </c>
      <c r="C3467" s="17" t="s">
        <v>6268</v>
      </c>
      <c r="D3467" s="5" t="s">
        <v>7150</v>
      </c>
      <c r="E3467" s="35">
        <v>42654</v>
      </c>
    </row>
    <row r="3468" spans="1:5" ht="14.25" hidden="1" customHeight="1">
      <c r="A3468" s="16">
        <v>11475984</v>
      </c>
      <c r="B3468" s="17" t="s">
        <v>3041</v>
      </c>
      <c r="C3468" s="17" t="s">
        <v>783</v>
      </c>
      <c r="D3468" s="5" t="s">
        <v>7150</v>
      </c>
      <c r="E3468" s="35">
        <v>42654</v>
      </c>
    </row>
    <row r="3469" spans="1:5" ht="14.25" hidden="1" customHeight="1">
      <c r="A3469" s="16">
        <v>12413488</v>
      </c>
      <c r="B3469" s="17" t="s">
        <v>1697</v>
      </c>
      <c r="C3469" s="17" t="s">
        <v>1698</v>
      </c>
      <c r="D3469" s="5" t="s">
        <v>7150</v>
      </c>
      <c r="E3469" s="35">
        <v>42654</v>
      </c>
    </row>
    <row r="3470" spans="1:5" ht="14.25" hidden="1" customHeight="1">
      <c r="A3470" s="16">
        <v>13279093</v>
      </c>
      <c r="B3470" s="17" t="s">
        <v>7155</v>
      </c>
      <c r="C3470" s="17" t="s">
        <v>7156</v>
      </c>
      <c r="D3470" s="5" t="s">
        <v>7150</v>
      </c>
      <c r="E3470" s="35">
        <v>42654</v>
      </c>
    </row>
    <row r="3471" spans="1:5" ht="14.25" hidden="1" customHeight="1">
      <c r="A3471" s="16">
        <v>13338251</v>
      </c>
      <c r="B3471" s="17" t="s">
        <v>252</v>
      </c>
      <c r="C3471" s="17" t="s">
        <v>2069</v>
      </c>
      <c r="D3471" s="5" t="s">
        <v>7150</v>
      </c>
      <c r="E3471" s="35">
        <v>42654</v>
      </c>
    </row>
    <row r="3472" spans="1:5" ht="14.25" hidden="1" customHeight="1">
      <c r="A3472" s="16">
        <v>14073888</v>
      </c>
      <c r="B3472" s="17" t="s">
        <v>2496</v>
      </c>
      <c r="C3472" s="17" t="s">
        <v>2497</v>
      </c>
      <c r="D3472" s="5" t="s">
        <v>7150</v>
      </c>
      <c r="E3472" s="35">
        <v>42654</v>
      </c>
    </row>
    <row r="3473" spans="1:5" ht="14.25" hidden="1" customHeight="1">
      <c r="A3473" s="16">
        <v>14084589</v>
      </c>
      <c r="B3473" s="17" t="s">
        <v>875</v>
      </c>
      <c r="C3473" s="17" t="s">
        <v>1829</v>
      </c>
      <c r="D3473" s="5" t="s">
        <v>7150</v>
      </c>
      <c r="E3473" s="35">
        <v>42654</v>
      </c>
    </row>
    <row r="3474" spans="1:5" ht="14.25" hidden="1" customHeight="1">
      <c r="A3474" s="16">
        <v>14272258</v>
      </c>
      <c r="B3474" s="17" t="s">
        <v>1273</v>
      </c>
      <c r="C3474" s="17" t="s">
        <v>2618</v>
      </c>
      <c r="D3474" s="5" t="s">
        <v>7150</v>
      </c>
      <c r="E3474" s="35">
        <v>42654</v>
      </c>
    </row>
    <row r="3475" spans="1:5" ht="14.25" hidden="1" customHeight="1">
      <c r="A3475" s="16">
        <v>14352896</v>
      </c>
      <c r="B3475" s="17" t="s">
        <v>3428</v>
      </c>
      <c r="C3475" s="17" t="s">
        <v>3429</v>
      </c>
      <c r="D3475" s="5" t="s">
        <v>7150</v>
      </c>
      <c r="E3475" s="35">
        <v>42654</v>
      </c>
    </row>
    <row r="3476" spans="1:5" ht="14.25" hidden="1" customHeight="1">
      <c r="A3476" s="16">
        <v>14353240</v>
      </c>
      <c r="B3476" s="17" t="s">
        <v>3749</v>
      </c>
      <c r="C3476" s="17" t="s">
        <v>414</v>
      </c>
      <c r="D3476" s="5" t="s">
        <v>7150</v>
      </c>
      <c r="E3476" s="35">
        <v>42654</v>
      </c>
    </row>
    <row r="3477" spans="1:5" ht="14.25" hidden="1" customHeight="1">
      <c r="A3477" s="16">
        <v>16175799</v>
      </c>
      <c r="B3477" s="17" t="s">
        <v>3537</v>
      </c>
      <c r="C3477" s="17" t="s">
        <v>3538</v>
      </c>
      <c r="D3477" s="5" t="s">
        <v>7150</v>
      </c>
      <c r="E3477" s="35">
        <v>42654</v>
      </c>
    </row>
    <row r="3478" spans="1:5" ht="14.25" hidden="1" customHeight="1">
      <c r="A3478" s="16">
        <v>16308116</v>
      </c>
      <c r="B3478" s="17" t="s">
        <v>4972</v>
      </c>
      <c r="C3478" s="17" t="s">
        <v>639</v>
      </c>
      <c r="D3478" s="5" t="s">
        <v>7150</v>
      </c>
      <c r="E3478" s="35">
        <v>42654</v>
      </c>
    </row>
    <row r="3479" spans="1:5" ht="14.25" hidden="1" customHeight="1">
      <c r="A3479" s="16">
        <v>17042486</v>
      </c>
      <c r="B3479" s="17" t="s">
        <v>2607</v>
      </c>
      <c r="C3479" s="17" t="s">
        <v>2608</v>
      </c>
      <c r="D3479" s="5" t="s">
        <v>7150</v>
      </c>
      <c r="E3479" s="35">
        <v>42654</v>
      </c>
    </row>
    <row r="3480" spans="1:5" ht="14.25" hidden="1" customHeight="1">
      <c r="A3480" s="16">
        <v>17613465</v>
      </c>
      <c r="B3480" s="17" t="s">
        <v>2840</v>
      </c>
      <c r="C3480" s="17" t="s">
        <v>687</v>
      </c>
      <c r="D3480" s="5" t="s">
        <v>7150</v>
      </c>
      <c r="E3480" s="35">
        <v>42654</v>
      </c>
    </row>
    <row r="3481" spans="1:5" ht="14.25" hidden="1" customHeight="1">
      <c r="A3481" s="16">
        <v>17696330</v>
      </c>
      <c r="B3481" s="17" t="s">
        <v>2299</v>
      </c>
      <c r="C3481" s="17" t="s">
        <v>747</v>
      </c>
      <c r="D3481" s="5" t="s">
        <v>7150</v>
      </c>
      <c r="E3481" s="35">
        <v>42654</v>
      </c>
    </row>
    <row r="3482" spans="1:5" ht="14.25" hidden="1" customHeight="1">
      <c r="A3482" s="16">
        <v>17859592</v>
      </c>
      <c r="B3482" s="17" t="s">
        <v>124</v>
      </c>
      <c r="C3482" s="17" t="s">
        <v>125</v>
      </c>
      <c r="D3482" s="5" t="s">
        <v>7150</v>
      </c>
      <c r="E3482" s="35">
        <v>42654</v>
      </c>
    </row>
    <row r="3483" spans="1:5" ht="14.25" hidden="1" customHeight="1">
      <c r="A3483" s="16">
        <v>17860924</v>
      </c>
      <c r="B3483" s="17" t="s">
        <v>252</v>
      </c>
      <c r="C3483" s="17" t="s">
        <v>2975</v>
      </c>
      <c r="D3483" s="5" t="s">
        <v>7150</v>
      </c>
      <c r="E3483" s="35">
        <v>42654</v>
      </c>
    </row>
    <row r="3484" spans="1:5" ht="14.25" hidden="1" customHeight="1">
      <c r="A3484" s="16">
        <v>17866738</v>
      </c>
      <c r="B3484" s="17" t="s">
        <v>4994</v>
      </c>
      <c r="C3484" s="17" t="s">
        <v>427</v>
      </c>
      <c r="D3484" s="5" t="s">
        <v>7150</v>
      </c>
      <c r="E3484" s="35">
        <v>42654</v>
      </c>
    </row>
    <row r="3485" spans="1:5" ht="14.25" hidden="1" customHeight="1">
      <c r="A3485" s="16">
        <v>20178395</v>
      </c>
      <c r="B3485" s="17" t="s">
        <v>2358</v>
      </c>
      <c r="C3485" s="17" t="s">
        <v>902</v>
      </c>
      <c r="D3485" s="5" t="s">
        <v>7150</v>
      </c>
      <c r="E3485" s="35">
        <v>42654</v>
      </c>
    </row>
    <row r="3486" spans="1:5" ht="14.25" hidden="1" customHeight="1">
      <c r="A3486" s="16">
        <v>20219100</v>
      </c>
      <c r="B3486" s="17" t="s">
        <v>875</v>
      </c>
      <c r="C3486" s="17" t="s">
        <v>5137</v>
      </c>
      <c r="D3486" s="5" t="s">
        <v>7150</v>
      </c>
      <c r="E3486" s="35">
        <v>42654</v>
      </c>
    </row>
    <row r="3487" spans="1:5" ht="14.25" hidden="1" customHeight="1">
      <c r="A3487" s="16">
        <v>20219773</v>
      </c>
      <c r="B3487" s="17" t="s">
        <v>1283</v>
      </c>
      <c r="C3487" s="17" t="s">
        <v>3492</v>
      </c>
      <c r="D3487" s="5" t="s">
        <v>7150</v>
      </c>
      <c r="E3487" s="35">
        <v>42654</v>
      </c>
    </row>
    <row r="3488" spans="1:5" ht="14.25" hidden="1" customHeight="1">
      <c r="A3488" s="16">
        <v>20612701</v>
      </c>
      <c r="B3488" s="17" t="s">
        <v>2799</v>
      </c>
      <c r="C3488" s="17" t="s">
        <v>4375</v>
      </c>
      <c r="D3488" s="5" t="s">
        <v>7150</v>
      </c>
      <c r="E3488" s="35">
        <v>42654</v>
      </c>
    </row>
    <row r="3489" spans="1:5" ht="14.25" hidden="1" customHeight="1">
      <c r="A3489" s="16">
        <v>20759580</v>
      </c>
      <c r="B3489" s="17" t="s">
        <v>118</v>
      </c>
      <c r="C3489" s="17" t="s">
        <v>119</v>
      </c>
      <c r="D3489" s="5" t="s">
        <v>7150</v>
      </c>
      <c r="E3489" s="35">
        <v>42654</v>
      </c>
    </row>
    <row r="3490" spans="1:5" ht="14.25" hidden="1" customHeight="1">
      <c r="A3490" s="16">
        <v>21329323</v>
      </c>
      <c r="B3490" s="17" t="s">
        <v>4646</v>
      </c>
      <c r="C3490" s="17" t="s">
        <v>2447</v>
      </c>
      <c r="D3490" s="5" t="s">
        <v>7150</v>
      </c>
      <c r="E3490" s="35">
        <v>42654</v>
      </c>
    </row>
    <row r="3491" spans="1:5" ht="14.25" hidden="1" customHeight="1">
      <c r="A3491" s="16">
        <v>21745791</v>
      </c>
      <c r="B3491" s="17" t="s">
        <v>3264</v>
      </c>
      <c r="C3491" s="17" t="s">
        <v>223</v>
      </c>
      <c r="D3491" s="5" t="s">
        <v>7150</v>
      </c>
      <c r="E3491" s="35">
        <v>42654</v>
      </c>
    </row>
    <row r="3492" spans="1:5" ht="14.25" hidden="1" customHeight="1">
      <c r="A3492" s="16">
        <v>22211664</v>
      </c>
      <c r="B3492" s="17" t="s">
        <v>5551</v>
      </c>
      <c r="C3492" s="17" t="s">
        <v>1172</v>
      </c>
      <c r="D3492" s="5" t="s">
        <v>7150</v>
      </c>
      <c r="E3492" s="35">
        <v>42654</v>
      </c>
    </row>
    <row r="3493" spans="1:5" ht="14.25" hidden="1" customHeight="1">
      <c r="A3493" s="16">
        <v>22264981</v>
      </c>
      <c r="B3493" s="17" t="s">
        <v>5885</v>
      </c>
      <c r="C3493" s="17" t="s">
        <v>5886</v>
      </c>
      <c r="D3493" s="5" t="s">
        <v>7150</v>
      </c>
      <c r="E3493" s="35">
        <v>42654</v>
      </c>
    </row>
    <row r="3494" spans="1:5" ht="14.25" hidden="1" customHeight="1">
      <c r="A3494" s="16">
        <v>22336110</v>
      </c>
      <c r="B3494" s="17" t="s">
        <v>690</v>
      </c>
      <c r="C3494" s="17" t="s">
        <v>691</v>
      </c>
      <c r="D3494" s="5" t="s">
        <v>7150</v>
      </c>
      <c r="E3494" s="35">
        <v>42654</v>
      </c>
    </row>
    <row r="3495" spans="1:5" ht="14.25" hidden="1" customHeight="1">
      <c r="A3495" s="16">
        <v>22397327</v>
      </c>
      <c r="B3495" s="17" t="s">
        <v>734</v>
      </c>
      <c r="C3495" s="17" t="s">
        <v>3541</v>
      </c>
      <c r="D3495" s="5" t="s">
        <v>7150</v>
      </c>
      <c r="E3495" s="35">
        <v>42654</v>
      </c>
    </row>
    <row r="3496" spans="1:5" ht="14.25" hidden="1" customHeight="1">
      <c r="A3496" s="16">
        <v>22877863</v>
      </c>
      <c r="B3496" s="17" t="s">
        <v>2053</v>
      </c>
      <c r="C3496" s="17" t="s">
        <v>97</v>
      </c>
      <c r="D3496" s="5" t="s">
        <v>7150</v>
      </c>
      <c r="E3496" s="35">
        <v>42654</v>
      </c>
    </row>
    <row r="3497" spans="1:5" ht="14.25" hidden="1" customHeight="1">
      <c r="A3497" s="16">
        <v>23015882</v>
      </c>
      <c r="B3497" s="17" t="s">
        <v>364</v>
      </c>
      <c r="C3497" s="17" t="s">
        <v>3255</v>
      </c>
      <c r="D3497" s="5" t="s">
        <v>7150</v>
      </c>
      <c r="E3497" s="35">
        <v>42654</v>
      </c>
    </row>
    <row r="3498" spans="1:5" ht="14.25" hidden="1" customHeight="1">
      <c r="A3498" s="16">
        <v>24200474</v>
      </c>
      <c r="B3498" s="17" t="s">
        <v>218</v>
      </c>
      <c r="C3498" s="17" t="s">
        <v>5349</v>
      </c>
      <c r="D3498" s="5" t="s">
        <v>7150</v>
      </c>
      <c r="E3498" s="35">
        <v>42654</v>
      </c>
    </row>
    <row r="3499" spans="1:5" ht="14.25" hidden="1" customHeight="1">
      <c r="A3499" s="16">
        <v>25543368</v>
      </c>
      <c r="B3499" s="17" t="s">
        <v>2622</v>
      </c>
      <c r="C3499" s="17" t="s">
        <v>4220</v>
      </c>
      <c r="D3499" s="5" t="s">
        <v>7150</v>
      </c>
      <c r="E3499" s="35">
        <v>42654</v>
      </c>
    </row>
    <row r="3500" spans="1:5" ht="14.25" hidden="1" customHeight="1">
      <c r="A3500" s="16">
        <v>26013921</v>
      </c>
      <c r="B3500" s="17" t="s">
        <v>789</v>
      </c>
      <c r="C3500" s="17" t="s">
        <v>1353</v>
      </c>
      <c r="D3500" s="5" t="s">
        <v>7150</v>
      </c>
      <c r="E3500" s="35">
        <v>42654</v>
      </c>
    </row>
    <row r="3501" spans="1:5" ht="14.25" hidden="1" customHeight="1">
      <c r="A3501" s="16">
        <v>26675972</v>
      </c>
      <c r="B3501" s="17" t="s">
        <v>5126</v>
      </c>
      <c r="C3501" s="17" t="s">
        <v>2753</v>
      </c>
      <c r="D3501" s="5" t="s">
        <v>7150</v>
      </c>
      <c r="E3501" s="35">
        <v>42654</v>
      </c>
    </row>
    <row r="3502" spans="1:5" ht="14.25" hidden="1" customHeight="1">
      <c r="A3502" s="16">
        <v>26722130</v>
      </c>
      <c r="B3502" s="17" t="s">
        <v>863</v>
      </c>
      <c r="C3502" s="17" t="s">
        <v>7154</v>
      </c>
      <c r="D3502" s="5" t="s">
        <v>7150</v>
      </c>
      <c r="E3502" s="35">
        <v>42654</v>
      </c>
    </row>
    <row r="3503" spans="1:5" ht="14.25" hidden="1" customHeight="1">
      <c r="A3503" s="16">
        <v>27364316</v>
      </c>
      <c r="B3503" s="17" t="s">
        <v>2170</v>
      </c>
      <c r="C3503" s="17" t="s">
        <v>2171</v>
      </c>
      <c r="D3503" s="5" t="s">
        <v>7150</v>
      </c>
      <c r="E3503" s="35">
        <v>42654</v>
      </c>
    </row>
    <row r="3504" spans="1:5" ht="14.25" hidden="1" customHeight="1">
      <c r="A3504" s="16">
        <v>27579882</v>
      </c>
      <c r="B3504" s="17" t="s">
        <v>2569</v>
      </c>
      <c r="C3504" s="17" t="s">
        <v>832</v>
      </c>
      <c r="D3504" s="5" t="s">
        <v>7150</v>
      </c>
      <c r="E3504" s="35">
        <v>42654</v>
      </c>
    </row>
    <row r="3505" spans="1:5" ht="14.25" hidden="1" customHeight="1">
      <c r="A3505" s="16">
        <v>27651542</v>
      </c>
      <c r="B3505" s="17" t="s">
        <v>1839</v>
      </c>
      <c r="C3505" s="17" t="s">
        <v>1634</v>
      </c>
      <c r="D3505" s="5" t="s">
        <v>7150</v>
      </c>
      <c r="E3505" s="35">
        <v>42654</v>
      </c>
    </row>
    <row r="3506" spans="1:5" ht="14.25" hidden="1" customHeight="1">
      <c r="A3506" s="16">
        <v>28147332</v>
      </c>
      <c r="B3506" s="17" t="s">
        <v>7107</v>
      </c>
      <c r="C3506" s="17" t="s">
        <v>7108</v>
      </c>
      <c r="D3506" s="5" t="s">
        <v>7150</v>
      </c>
      <c r="E3506" s="35">
        <v>42654</v>
      </c>
    </row>
    <row r="3507" spans="1:5" ht="14.25" hidden="1" customHeight="1">
      <c r="A3507" s="16">
        <v>29024358</v>
      </c>
      <c r="B3507" s="17" t="s">
        <v>1574</v>
      </c>
      <c r="C3507" s="17" t="s">
        <v>1575</v>
      </c>
      <c r="D3507" s="5" t="s">
        <v>7150</v>
      </c>
      <c r="E3507" s="35">
        <v>42654</v>
      </c>
    </row>
    <row r="3508" spans="1:5" ht="14.25" hidden="1" customHeight="1">
      <c r="A3508" s="16">
        <v>29102855</v>
      </c>
      <c r="B3508" s="17" t="s">
        <v>7152</v>
      </c>
      <c r="C3508" s="17" t="s">
        <v>5335</v>
      </c>
      <c r="D3508" s="5" t="s">
        <v>7150</v>
      </c>
      <c r="E3508" s="35">
        <v>42654</v>
      </c>
    </row>
    <row r="3509" spans="1:5" ht="14.25" hidden="1" customHeight="1">
      <c r="A3509" s="16">
        <v>29666713</v>
      </c>
      <c r="B3509" s="17" t="s">
        <v>3487</v>
      </c>
      <c r="C3509" s="17" t="s">
        <v>27</v>
      </c>
      <c r="D3509" s="5" t="s">
        <v>7150</v>
      </c>
      <c r="E3509" s="35">
        <v>42654</v>
      </c>
    </row>
    <row r="3510" spans="1:5" ht="14.25" hidden="1" customHeight="1">
      <c r="A3510" s="16">
        <v>30069252</v>
      </c>
      <c r="B3510" s="17" t="s">
        <v>1793</v>
      </c>
      <c r="C3510" s="17" t="s">
        <v>1161</v>
      </c>
      <c r="D3510" s="5" t="s">
        <v>7150</v>
      </c>
      <c r="E3510" s="35">
        <v>42654</v>
      </c>
    </row>
    <row r="3511" spans="1:5" ht="14.25" hidden="1" customHeight="1">
      <c r="A3511" s="16">
        <v>30357522</v>
      </c>
      <c r="B3511" s="17" t="s">
        <v>1885</v>
      </c>
      <c r="C3511" s="17" t="s">
        <v>571</v>
      </c>
      <c r="D3511" s="5" t="s">
        <v>7150</v>
      </c>
      <c r="E3511" s="35">
        <v>42654</v>
      </c>
    </row>
    <row r="3512" spans="1:5" ht="14.25" hidden="1" customHeight="1">
      <c r="A3512" s="16">
        <v>31322920</v>
      </c>
      <c r="B3512" s="17" t="s">
        <v>2026</v>
      </c>
      <c r="C3512" s="17" t="s">
        <v>5441</v>
      </c>
      <c r="D3512" s="5" t="s">
        <v>7150</v>
      </c>
      <c r="E3512" s="35">
        <v>42654</v>
      </c>
    </row>
    <row r="3513" spans="1:5" ht="14.25" hidden="1" customHeight="1">
      <c r="A3513" s="16">
        <v>32077522</v>
      </c>
      <c r="B3513" s="17" t="s">
        <v>3456</v>
      </c>
      <c r="C3513" s="17" t="s">
        <v>3457</v>
      </c>
      <c r="D3513" s="5" t="s">
        <v>7150</v>
      </c>
      <c r="E3513" s="35">
        <v>42654</v>
      </c>
    </row>
    <row r="3514" spans="1:5" ht="14.25" hidden="1" customHeight="1">
      <c r="A3514" s="16">
        <v>32158209</v>
      </c>
      <c r="B3514" s="17" t="s">
        <v>1900</v>
      </c>
      <c r="C3514" s="17" t="s">
        <v>1901</v>
      </c>
      <c r="D3514" s="5" t="s">
        <v>7150</v>
      </c>
      <c r="E3514" s="35">
        <v>42654</v>
      </c>
    </row>
    <row r="3515" spans="1:5" ht="14.25" hidden="1" customHeight="1">
      <c r="A3515" s="16">
        <v>32927909</v>
      </c>
      <c r="B3515" s="17" t="s">
        <v>4400</v>
      </c>
      <c r="C3515" s="17" t="s">
        <v>1871</v>
      </c>
      <c r="D3515" s="5" t="s">
        <v>7150</v>
      </c>
      <c r="E3515" s="35">
        <v>42654</v>
      </c>
    </row>
    <row r="3516" spans="1:5" ht="14.25" hidden="1" customHeight="1">
      <c r="A3516" s="16">
        <v>33139225</v>
      </c>
      <c r="B3516" s="17" t="s">
        <v>267</v>
      </c>
      <c r="C3516" s="17" t="s">
        <v>7153</v>
      </c>
      <c r="D3516" s="5" t="s">
        <v>7150</v>
      </c>
      <c r="E3516" s="35">
        <v>42654</v>
      </c>
    </row>
    <row r="3517" spans="1:5" ht="14.25" hidden="1" customHeight="1">
      <c r="A3517" s="16">
        <v>33703823</v>
      </c>
      <c r="B3517" s="17" t="s">
        <v>7085</v>
      </c>
      <c r="C3517" s="17" t="s">
        <v>902</v>
      </c>
      <c r="D3517" s="5" t="s">
        <v>7150</v>
      </c>
      <c r="E3517" s="35">
        <v>42654</v>
      </c>
    </row>
    <row r="3518" spans="1:5" ht="14.25" hidden="1" customHeight="1">
      <c r="A3518" s="16">
        <v>33755283</v>
      </c>
      <c r="B3518" s="17" t="s">
        <v>2481</v>
      </c>
      <c r="C3518" s="17" t="s">
        <v>2482</v>
      </c>
      <c r="D3518" s="5" t="s">
        <v>7150</v>
      </c>
      <c r="E3518" s="35">
        <v>42654</v>
      </c>
    </row>
    <row r="3519" spans="1:5" ht="14.25" hidden="1" customHeight="1">
      <c r="A3519" s="16">
        <v>33755766</v>
      </c>
      <c r="B3519" s="17" t="s">
        <v>1660</v>
      </c>
      <c r="C3519" s="17" t="s">
        <v>558</v>
      </c>
      <c r="D3519" s="5" t="s">
        <v>7150</v>
      </c>
      <c r="E3519" s="35">
        <v>42654</v>
      </c>
    </row>
    <row r="3520" spans="1:5" ht="14.25" hidden="1" customHeight="1">
      <c r="A3520" s="16">
        <v>34285035</v>
      </c>
      <c r="B3520" s="17" t="s">
        <v>2592</v>
      </c>
      <c r="C3520" s="17" t="s">
        <v>2593</v>
      </c>
      <c r="D3520" s="5" t="s">
        <v>7150</v>
      </c>
      <c r="E3520" s="35">
        <v>42654</v>
      </c>
    </row>
    <row r="3521" spans="1:5" ht="14.25" hidden="1" customHeight="1">
      <c r="A3521" s="16">
        <v>34285844</v>
      </c>
      <c r="B3521" s="17" t="s">
        <v>2081</v>
      </c>
      <c r="C3521" s="17" t="s">
        <v>2082</v>
      </c>
      <c r="D3521" s="5" t="s">
        <v>7150</v>
      </c>
      <c r="E3521" s="35">
        <v>42654</v>
      </c>
    </row>
    <row r="3522" spans="1:5" ht="14.25" hidden="1" customHeight="1">
      <c r="A3522" s="16">
        <v>34356805</v>
      </c>
      <c r="B3522" s="17" t="s">
        <v>7152</v>
      </c>
      <c r="C3522" s="17" t="s">
        <v>4021</v>
      </c>
      <c r="D3522" s="5" t="s">
        <v>7150</v>
      </c>
      <c r="E3522" s="35">
        <v>42654</v>
      </c>
    </row>
    <row r="3523" spans="1:5" ht="14.25" hidden="1" customHeight="1">
      <c r="A3523" s="16">
        <v>35195397</v>
      </c>
      <c r="B3523" s="17" t="s">
        <v>5963</v>
      </c>
      <c r="C3523" s="17" t="s">
        <v>5964</v>
      </c>
      <c r="D3523" s="5" t="s">
        <v>7150</v>
      </c>
      <c r="E3523" s="35">
        <v>42654</v>
      </c>
    </row>
    <row r="3524" spans="1:5" ht="14.25" hidden="1" customHeight="1">
      <c r="A3524" s="16">
        <v>35199870</v>
      </c>
      <c r="B3524" s="17" t="s">
        <v>2059</v>
      </c>
      <c r="C3524" s="17" t="s">
        <v>2060</v>
      </c>
      <c r="D3524" s="5" t="s">
        <v>7150</v>
      </c>
      <c r="E3524" s="35">
        <v>42654</v>
      </c>
    </row>
    <row r="3525" spans="1:5" ht="14.25" hidden="1" customHeight="1">
      <c r="A3525" s="16">
        <v>36584270</v>
      </c>
      <c r="B3525" s="17" t="s">
        <v>7151</v>
      </c>
      <c r="C3525" s="17" t="s">
        <v>5879</v>
      </c>
      <c r="D3525" s="5" t="s">
        <v>7150</v>
      </c>
      <c r="E3525" s="35">
        <v>42654</v>
      </c>
    </row>
    <row r="3526" spans="1:5" ht="14.25" hidden="1" customHeight="1">
      <c r="B3526" s="17" t="s">
        <v>622</v>
      </c>
      <c r="C3526" s="17" t="s">
        <v>623</v>
      </c>
      <c r="D3526" s="5" t="s">
        <v>7150</v>
      </c>
      <c r="E3526" s="35">
        <v>42654</v>
      </c>
    </row>
    <row r="3527" spans="1:5" ht="14.25" hidden="1" customHeight="1">
      <c r="A3527" s="16">
        <v>17859768</v>
      </c>
      <c r="B3527" s="17" t="s">
        <v>1808</v>
      </c>
      <c r="C3527" s="17" t="s">
        <v>1809</v>
      </c>
      <c r="D3527" s="5" t="s">
        <v>7157</v>
      </c>
      <c r="E3527" s="35">
        <v>42653</v>
      </c>
    </row>
    <row r="3528" spans="1:5" ht="14.25" hidden="1" customHeight="1">
      <c r="A3528" s="16">
        <v>22264675</v>
      </c>
      <c r="B3528" s="17" t="s">
        <v>399</v>
      </c>
      <c r="C3528" s="17" t="s">
        <v>400</v>
      </c>
      <c r="D3528" s="5" t="s">
        <v>7157</v>
      </c>
      <c r="E3528" s="35">
        <v>42652</v>
      </c>
    </row>
    <row r="3529" spans="1:5" ht="14.25" hidden="1" customHeight="1">
      <c r="A3529" s="16">
        <v>22854008</v>
      </c>
      <c r="B3529" s="17" t="s">
        <v>4370</v>
      </c>
      <c r="C3529" s="17" t="s">
        <v>473</v>
      </c>
      <c r="D3529" s="5" t="s">
        <v>7157</v>
      </c>
      <c r="E3529" s="35">
        <v>42651</v>
      </c>
    </row>
    <row r="3530" spans="1:5" ht="14.25" hidden="1" customHeight="1">
      <c r="A3530" s="16">
        <v>12951555</v>
      </c>
      <c r="B3530" s="17" t="s">
        <v>288</v>
      </c>
      <c r="C3530" s="17" t="s">
        <v>922</v>
      </c>
      <c r="D3530" s="5" t="s">
        <v>7157</v>
      </c>
      <c r="E3530" s="35">
        <v>42650</v>
      </c>
    </row>
    <row r="3531" spans="1:5" ht="14.25" hidden="1" customHeight="1">
      <c r="A3531" s="16">
        <v>12951555</v>
      </c>
      <c r="B3531" s="17" t="s">
        <v>288</v>
      </c>
      <c r="C3531" s="17" t="s">
        <v>922</v>
      </c>
      <c r="D3531" s="5" t="s">
        <v>7157</v>
      </c>
      <c r="E3531" s="35">
        <v>42650</v>
      </c>
    </row>
    <row r="3532" spans="1:5" ht="14.25" hidden="1" customHeight="1">
      <c r="A3532" s="16">
        <v>14351534</v>
      </c>
      <c r="B3532" s="17" t="s">
        <v>2785</v>
      </c>
      <c r="C3532" s="17" t="s">
        <v>2161</v>
      </c>
      <c r="D3532" s="5" t="s">
        <v>7157</v>
      </c>
      <c r="E3532" s="35">
        <v>42650</v>
      </c>
    </row>
    <row r="3533" spans="1:5" ht="14.25" hidden="1" customHeight="1">
      <c r="A3533" s="16">
        <v>14351534</v>
      </c>
      <c r="B3533" s="17" t="s">
        <v>2785</v>
      </c>
      <c r="C3533" s="17" t="s">
        <v>2161</v>
      </c>
      <c r="D3533" s="5" t="s">
        <v>7157</v>
      </c>
      <c r="E3533" s="35">
        <v>42650</v>
      </c>
    </row>
    <row r="3534" spans="1:5" ht="14.25" hidden="1" customHeight="1">
      <c r="A3534" s="16">
        <v>17614867</v>
      </c>
      <c r="B3534" s="17" t="s">
        <v>1735</v>
      </c>
      <c r="C3534" s="17" t="s">
        <v>1736</v>
      </c>
      <c r="D3534" s="5" t="s">
        <v>7157</v>
      </c>
      <c r="E3534" s="35">
        <v>42650</v>
      </c>
    </row>
    <row r="3535" spans="1:5" ht="14.25" hidden="1" customHeight="1">
      <c r="A3535" s="16">
        <v>17614867</v>
      </c>
      <c r="B3535" s="17" t="s">
        <v>1735</v>
      </c>
      <c r="C3535" s="17" t="s">
        <v>1736</v>
      </c>
      <c r="D3535" s="5" t="s">
        <v>7157</v>
      </c>
      <c r="E3535" s="35">
        <v>42650</v>
      </c>
    </row>
    <row r="3536" spans="1:5" ht="14.25" hidden="1" customHeight="1">
      <c r="A3536" s="16">
        <v>17858395</v>
      </c>
      <c r="B3536" s="17" t="s">
        <v>1774</v>
      </c>
      <c r="C3536" s="17" t="s">
        <v>2139</v>
      </c>
      <c r="D3536" s="5" t="s">
        <v>7157</v>
      </c>
      <c r="E3536" s="35">
        <v>42650</v>
      </c>
    </row>
    <row r="3537" spans="1:5" ht="14.25" hidden="1" customHeight="1">
      <c r="A3537" s="16">
        <v>17859409</v>
      </c>
      <c r="B3537" s="17" t="s">
        <v>1213</v>
      </c>
      <c r="C3537" s="17" t="s">
        <v>1214</v>
      </c>
      <c r="D3537" s="5" t="s">
        <v>7157</v>
      </c>
      <c r="E3537" s="35">
        <v>42650</v>
      </c>
    </row>
    <row r="3538" spans="1:5" ht="14.25" hidden="1" customHeight="1">
      <c r="A3538" s="16">
        <v>18473585</v>
      </c>
      <c r="B3538" s="17" t="s">
        <v>680</v>
      </c>
      <c r="C3538" s="17" t="s">
        <v>681</v>
      </c>
      <c r="D3538" s="5" t="s">
        <v>7157</v>
      </c>
      <c r="E3538" s="35">
        <v>42650</v>
      </c>
    </row>
    <row r="3539" spans="1:5" ht="14.25" hidden="1" customHeight="1">
      <c r="A3539" s="16">
        <v>18473585</v>
      </c>
      <c r="B3539" s="17" t="s">
        <v>680</v>
      </c>
      <c r="C3539" s="17" t="s">
        <v>681</v>
      </c>
      <c r="D3539" s="5" t="s">
        <v>7157</v>
      </c>
      <c r="E3539" s="35">
        <v>42650</v>
      </c>
    </row>
    <row r="3540" spans="1:5" ht="14.25" hidden="1" customHeight="1">
      <c r="A3540" s="16">
        <v>18545210</v>
      </c>
      <c r="B3540" s="17" t="s">
        <v>1720</v>
      </c>
      <c r="C3540" s="17" t="s">
        <v>1721</v>
      </c>
      <c r="D3540" s="5" t="s">
        <v>7157</v>
      </c>
      <c r="E3540" s="35">
        <v>42650</v>
      </c>
    </row>
    <row r="3541" spans="1:5" ht="14.25" hidden="1" customHeight="1">
      <c r="A3541" s="16">
        <v>18545210</v>
      </c>
      <c r="B3541" s="17" t="s">
        <v>1720</v>
      </c>
      <c r="C3541" s="17" t="s">
        <v>1721</v>
      </c>
      <c r="D3541" s="5" t="s">
        <v>7157</v>
      </c>
      <c r="E3541" s="35">
        <v>42650</v>
      </c>
    </row>
    <row r="3542" spans="1:5" ht="14.25" hidden="1" customHeight="1">
      <c r="A3542" s="16">
        <v>18592248</v>
      </c>
      <c r="B3542" s="17" t="s">
        <v>350</v>
      </c>
      <c r="C3542" s="17" t="s">
        <v>4612</v>
      </c>
      <c r="D3542" s="5" t="s">
        <v>7157</v>
      </c>
      <c r="E3542" s="35">
        <v>42650</v>
      </c>
    </row>
    <row r="3543" spans="1:5" ht="14.25" hidden="1" customHeight="1">
      <c r="A3543" s="16">
        <v>18617591</v>
      </c>
      <c r="B3543" s="17" t="s">
        <v>7159</v>
      </c>
      <c r="C3543" s="17" t="s">
        <v>7160</v>
      </c>
      <c r="D3543" s="5" t="s">
        <v>7157</v>
      </c>
      <c r="E3543" s="35">
        <v>42650</v>
      </c>
    </row>
    <row r="3544" spans="1:5" ht="14.25" hidden="1" customHeight="1">
      <c r="A3544" s="16">
        <v>18617591</v>
      </c>
      <c r="B3544" s="17" t="s">
        <v>7159</v>
      </c>
      <c r="C3544" s="17" t="s">
        <v>7160</v>
      </c>
      <c r="D3544" s="5" t="s">
        <v>7157</v>
      </c>
      <c r="E3544" s="35">
        <v>42650</v>
      </c>
    </row>
    <row r="3545" spans="1:5" ht="14.25" hidden="1" customHeight="1">
      <c r="A3545" s="16">
        <v>21328291</v>
      </c>
      <c r="B3545" s="17" t="s">
        <v>5500</v>
      </c>
      <c r="C3545" s="17" t="s">
        <v>7158</v>
      </c>
      <c r="D3545" s="5" t="s">
        <v>7157</v>
      </c>
      <c r="E3545" s="35">
        <v>42650</v>
      </c>
    </row>
    <row r="3546" spans="1:5" ht="14.25" hidden="1" customHeight="1">
      <c r="A3546" s="16">
        <v>21328291</v>
      </c>
      <c r="B3546" s="17" t="s">
        <v>5500</v>
      </c>
      <c r="C3546" s="17" t="s">
        <v>7158</v>
      </c>
      <c r="D3546" s="5" t="s">
        <v>7157</v>
      </c>
      <c r="E3546" s="35">
        <v>42650</v>
      </c>
    </row>
    <row r="3547" spans="1:5" ht="14.25" hidden="1" customHeight="1">
      <c r="A3547" s="16">
        <v>23020958</v>
      </c>
      <c r="B3547" s="17" t="s">
        <v>252</v>
      </c>
      <c r="C3547" s="17" t="s">
        <v>5593</v>
      </c>
      <c r="D3547" s="5" t="s">
        <v>7157</v>
      </c>
      <c r="E3547" s="35">
        <v>42650</v>
      </c>
    </row>
    <row r="3548" spans="1:5" ht="14.25" hidden="1" customHeight="1">
      <c r="A3548" s="16">
        <v>23020958</v>
      </c>
      <c r="B3548" s="17" t="s">
        <v>252</v>
      </c>
      <c r="C3548" s="17" t="s">
        <v>5593</v>
      </c>
      <c r="D3548" s="5" t="s">
        <v>7157</v>
      </c>
      <c r="E3548" s="35">
        <v>42650</v>
      </c>
    </row>
    <row r="3549" spans="1:5" ht="14.25" hidden="1" customHeight="1">
      <c r="A3549" s="16">
        <v>24982288</v>
      </c>
      <c r="B3549" s="17" t="s">
        <v>293</v>
      </c>
      <c r="C3549" s="17" t="s">
        <v>294</v>
      </c>
      <c r="D3549" s="5" t="s">
        <v>7157</v>
      </c>
      <c r="E3549" s="35">
        <v>42650</v>
      </c>
    </row>
    <row r="3550" spans="1:5" ht="14.25" hidden="1" customHeight="1">
      <c r="A3550" s="16">
        <v>24982288</v>
      </c>
      <c r="B3550" s="17" t="s">
        <v>293</v>
      </c>
      <c r="C3550" s="17" t="s">
        <v>294</v>
      </c>
      <c r="D3550" s="5" t="s">
        <v>7157</v>
      </c>
      <c r="E3550" s="35">
        <v>42650</v>
      </c>
    </row>
    <row r="3551" spans="1:5" ht="14.25" hidden="1" customHeight="1">
      <c r="A3551" s="16">
        <v>24982872</v>
      </c>
      <c r="B3551" s="17" t="s">
        <v>5604</v>
      </c>
      <c r="C3551" s="17" t="s">
        <v>5605</v>
      </c>
      <c r="D3551" s="5" t="s">
        <v>7157</v>
      </c>
      <c r="E3551" s="35">
        <v>42650</v>
      </c>
    </row>
    <row r="3552" spans="1:5" ht="14.25" hidden="1" customHeight="1">
      <c r="A3552" s="16">
        <v>24982872</v>
      </c>
      <c r="B3552" s="17" t="s">
        <v>5604</v>
      </c>
      <c r="C3552" s="17" t="s">
        <v>5605</v>
      </c>
      <c r="D3552" s="5" t="s">
        <v>7157</v>
      </c>
      <c r="E3552" s="35">
        <v>42650</v>
      </c>
    </row>
    <row r="3553" spans="1:5" ht="14.25" hidden="1" customHeight="1">
      <c r="A3553" s="16">
        <v>25922131</v>
      </c>
      <c r="B3553" s="17" t="s">
        <v>1572</v>
      </c>
      <c r="C3553" s="17" t="s">
        <v>2139</v>
      </c>
      <c r="D3553" s="5" t="s">
        <v>7157</v>
      </c>
      <c r="E3553" s="35">
        <v>42650</v>
      </c>
    </row>
    <row r="3554" spans="1:5" ht="14.25" hidden="1" customHeight="1">
      <c r="A3554" s="16">
        <v>25922131</v>
      </c>
      <c r="B3554" s="17" t="s">
        <v>1572</v>
      </c>
      <c r="C3554" s="17" t="s">
        <v>2139</v>
      </c>
      <c r="D3554" s="5" t="s">
        <v>7157</v>
      </c>
      <c r="E3554" s="35">
        <v>42650</v>
      </c>
    </row>
    <row r="3555" spans="1:5" ht="14.25" hidden="1" customHeight="1">
      <c r="A3555" s="16">
        <v>32412796</v>
      </c>
      <c r="B3555" s="17" t="s">
        <v>222</v>
      </c>
      <c r="C3555" s="17" t="s">
        <v>223</v>
      </c>
      <c r="D3555" s="5" t="s">
        <v>7157</v>
      </c>
      <c r="E3555" s="35">
        <v>42650</v>
      </c>
    </row>
    <row r="3556" spans="1:5" ht="14.25" hidden="1" customHeight="1">
      <c r="A3556" s="16">
        <v>32412796</v>
      </c>
      <c r="B3556" s="17" t="s">
        <v>222</v>
      </c>
      <c r="C3556" s="17" t="s">
        <v>223</v>
      </c>
      <c r="D3556" s="5" t="s">
        <v>7157</v>
      </c>
      <c r="E3556" s="35">
        <v>42650</v>
      </c>
    </row>
    <row r="3557" spans="1:5" ht="14.25" hidden="1" customHeight="1">
      <c r="A3557" s="16">
        <v>35031978</v>
      </c>
      <c r="B3557" s="17" t="s">
        <v>3338</v>
      </c>
      <c r="C3557" s="17" t="s">
        <v>548</v>
      </c>
      <c r="D3557" s="5" t="s">
        <v>7157</v>
      </c>
      <c r="E3557" s="35">
        <v>42650</v>
      </c>
    </row>
    <row r="3558" spans="1:5" ht="14.25" hidden="1" customHeight="1">
      <c r="A3558" s="16">
        <v>35031978</v>
      </c>
      <c r="B3558" s="17" t="s">
        <v>3338</v>
      </c>
      <c r="C3558" s="17" t="s">
        <v>548</v>
      </c>
      <c r="D3558" s="5" t="s">
        <v>7157</v>
      </c>
      <c r="E3558" s="35">
        <v>42650</v>
      </c>
    </row>
    <row r="3559" spans="1:5" ht="14.25" hidden="1" customHeight="1">
      <c r="A3559" s="16">
        <v>10556181</v>
      </c>
      <c r="B3559" s="17" t="s">
        <v>1795</v>
      </c>
      <c r="C3559" s="17" t="s">
        <v>1796</v>
      </c>
      <c r="D3559" s="5" t="s">
        <v>7161</v>
      </c>
      <c r="E3559" s="35">
        <v>42625</v>
      </c>
    </row>
    <row r="3560" spans="1:5" ht="14.25" hidden="1" customHeight="1">
      <c r="A3560" s="20">
        <v>12951555</v>
      </c>
      <c r="B3560" s="17" t="s">
        <v>3679</v>
      </c>
      <c r="C3560" s="17" t="s">
        <v>6030</v>
      </c>
      <c r="D3560" s="5" t="s">
        <v>7161</v>
      </c>
      <c r="E3560" s="35">
        <v>42625</v>
      </c>
    </row>
    <row r="3561" spans="1:5" ht="14.25" hidden="1" customHeight="1">
      <c r="A3561" s="16">
        <v>13853436</v>
      </c>
      <c r="B3561" s="17" t="s">
        <v>723</v>
      </c>
      <c r="C3561" s="17" t="s">
        <v>724</v>
      </c>
      <c r="D3561" s="5" t="s">
        <v>7161</v>
      </c>
      <c r="E3561" s="35">
        <v>42625</v>
      </c>
    </row>
    <row r="3562" spans="1:5" ht="14.25" hidden="1" customHeight="1">
      <c r="A3562" s="16">
        <v>14073031</v>
      </c>
      <c r="B3562" s="17" t="s">
        <v>541</v>
      </c>
      <c r="C3562" s="17" t="s">
        <v>2382</v>
      </c>
      <c r="D3562" s="5" t="s">
        <v>7161</v>
      </c>
      <c r="E3562" s="35">
        <v>42625</v>
      </c>
    </row>
    <row r="3563" spans="1:5" ht="14.25" hidden="1" customHeight="1">
      <c r="A3563" s="16">
        <v>14312881</v>
      </c>
      <c r="B3563" s="17" t="s">
        <v>694</v>
      </c>
      <c r="C3563" s="17" t="s">
        <v>695</v>
      </c>
      <c r="D3563" s="5" t="s">
        <v>7161</v>
      </c>
      <c r="E3563" s="35">
        <v>42625</v>
      </c>
    </row>
    <row r="3564" spans="1:5" ht="14.25" hidden="1" customHeight="1">
      <c r="A3564" s="16">
        <v>17040749</v>
      </c>
      <c r="B3564" s="17" t="s">
        <v>2132</v>
      </c>
      <c r="C3564" s="17" t="s">
        <v>7106</v>
      </c>
      <c r="D3564" s="5" t="s">
        <v>7161</v>
      </c>
      <c r="E3564" s="35">
        <v>42625</v>
      </c>
    </row>
    <row r="3565" spans="1:5" ht="14.25" hidden="1" customHeight="1">
      <c r="A3565" s="16">
        <v>17041309</v>
      </c>
      <c r="B3565" s="17" t="s">
        <v>425</v>
      </c>
      <c r="C3565" s="17" t="s">
        <v>584</v>
      </c>
      <c r="D3565" s="5" t="s">
        <v>7161</v>
      </c>
      <c r="E3565" s="35">
        <v>42625</v>
      </c>
    </row>
    <row r="3566" spans="1:5" ht="14.25" hidden="1" customHeight="1">
      <c r="A3566" s="16">
        <v>17269443</v>
      </c>
      <c r="B3566" s="17" t="s">
        <v>497</v>
      </c>
      <c r="C3566" s="17" t="s">
        <v>4439</v>
      </c>
      <c r="D3566" s="5" t="s">
        <v>7161</v>
      </c>
      <c r="E3566" s="35">
        <v>42625</v>
      </c>
    </row>
    <row r="3567" spans="1:5" ht="14.25" hidden="1" customHeight="1">
      <c r="A3567" s="16">
        <v>17269462</v>
      </c>
      <c r="B3567" s="17" t="s">
        <v>3474</v>
      </c>
      <c r="C3567" s="17" t="s">
        <v>135</v>
      </c>
      <c r="D3567" s="5" t="s">
        <v>7161</v>
      </c>
      <c r="E3567" s="35">
        <v>42625</v>
      </c>
    </row>
    <row r="3568" spans="1:5" ht="14.25" hidden="1" customHeight="1">
      <c r="A3568" s="16">
        <v>17662739</v>
      </c>
      <c r="B3568" s="17" t="s">
        <v>6233</v>
      </c>
      <c r="C3568" s="17" t="s">
        <v>1173</v>
      </c>
      <c r="D3568" s="5" t="s">
        <v>7161</v>
      </c>
      <c r="E3568" s="35">
        <v>42625</v>
      </c>
    </row>
    <row r="3569" spans="1:5" ht="14.25" hidden="1" customHeight="1">
      <c r="A3569" s="20">
        <v>17858395</v>
      </c>
      <c r="B3569" s="17" t="s">
        <v>633</v>
      </c>
      <c r="C3569" s="17" t="s">
        <v>634</v>
      </c>
      <c r="D3569" s="5" t="s">
        <v>7161</v>
      </c>
      <c r="E3569" s="35">
        <v>42625</v>
      </c>
    </row>
    <row r="3570" spans="1:5" ht="14.25" hidden="1" customHeight="1">
      <c r="A3570" s="20">
        <v>17859409</v>
      </c>
      <c r="B3570" s="17" t="s">
        <v>3364</v>
      </c>
      <c r="C3570" s="17" t="s">
        <v>3365</v>
      </c>
      <c r="D3570" s="5" t="s">
        <v>7161</v>
      </c>
      <c r="E3570" s="35">
        <v>42625</v>
      </c>
    </row>
    <row r="3571" spans="1:5" ht="14.25" hidden="1" customHeight="1">
      <c r="A3571" s="20">
        <v>17859768</v>
      </c>
      <c r="B3571" s="17" t="s">
        <v>2048</v>
      </c>
      <c r="C3571" s="17" t="s">
        <v>2049</v>
      </c>
      <c r="D3571" s="5" t="s">
        <v>7161</v>
      </c>
      <c r="E3571" s="35">
        <v>42625</v>
      </c>
    </row>
    <row r="3572" spans="1:5" ht="14.25" hidden="1" customHeight="1">
      <c r="A3572" s="20">
        <v>18473585</v>
      </c>
      <c r="B3572" s="17" t="s">
        <v>1482</v>
      </c>
      <c r="C3572" s="17" t="s">
        <v>7032</v>
      </c>
      <c r="D3572" s="5" t="s">
        <v>7161</v>
      </c>
      <c r="E3572" s="35">
        <v>42625</v>
      </c>
    </row>
    <row r="3573" spans="1:5" ht="14.25" hidden="1" customHeight="1">
      <c r="A3573" s="20">
        <v>18592248</v>
      </c>
      <c r="B3573" s="17" t="s">
        <v>1983</v>
      </c>
      <c r="C3573" s="17" t="s">
        <v>1984</v>
      </c>
      <c r="D3573" s="5" t="s">
        <v>7161</v>
      </c>
      <c r="E3573" s="35">
        <v>42625</v>
      </c>
    </row>
    <row r="3574" spans="1:5" ht="14.25" hidden="1" customHeight="1">
      <c r="A3574" s="20">
        <v>18617591</v>
      </c>
      <c r="B3574" s="17" t="s">
        <v>156</v>
      </c>
      <c r="C3574" s="17" t="s">
        <v>7162</v>
      </c>
      <c r="D3574" s="5" t="s">
        <v>7161</v>
      </c>
      <c r="E3574" s="35">
        <v>42625</v>
      </c>
    </row>
    <row r="3575" spans="1:5" ht="14.25" hidden="1" customHeight="1">
      <c r="A3575" s="16">
        <v>21338575</v>
      </c>
      <c r="B3575" s="17" t="s">
        <v>394</v>
      </c>
      <c r="C3575" s="17" t="s">
        <v>2574</v>
      </c>
      <c r="D3575" s="5" t="s">
        <v>7161</v>
      </c>
      <c r="E3575" s="35">
        <v>42625</v>
      </c>
    </row>
    <row r="3576" spans="1:5" ht="14.25" hidden="1" customHeight="1">
      <c r="A3576" s="16">
        <v>21744992</v>
      </c>
      <c r="B3576" s="17" t="s">
        <v>1823</v>
      </c>
      <c r="C3576" s="17" t="s">
        <v>1318</v>
      </c>
      <c r="D3576" s="5" t="s">
        <v>7161</v>
      </c>
      <c r="E3576" s="35">
        <v>42625</v>
      </c>
    </row>
    <row r="3577" spans="1:5" ht="14.25" hidden="1" customHeight="1">
      <c r="A3577" s="16">
        <v>21812664</v>
      </c>
      <c r="B3577" s="17" t="s">
        <v>4053</v>
      </c>
      <c r="C3577" s="17" t="s">
        <v>274</v>
      </c>
      <c r="D3577" s="5" t="s">
        <v>7161</v>
      </c>
      <c r="E3577" s="35">
        <v>42625</v>
      </c>
    </row>
    <row r="3578" spans="1:5" ht="14.25" hidden="1" customHeight="1">
      <c r="A3578" s="20">
        <v>22264675</v>
      </c>
      <c r="B3578" s="17" t="s">
        <v>7163</v>
      </c>
      <c r="C3578" s="17" t="s">
        <v>7164</v>
      </c>
      <c r="D3578" s="5" t="s">
        <v>7161</v>
      </c>
      <c r="E3578" s="35">
        <v>42625</v>
      </c>
    </row>
    <row r="3579" spans="1:5" ht="14.25" hidden="1" customHeight="1">
      <c r="A3579" s="16">
        <v>22665452</v>
      </c>
      <c r="B3579" s="17" t="s">
        <v>3315</v>
      </c>
      <c r="C3579" s="17" t="s">
        <v>97</v>
      </c>
      <c r="D3579" s="5" t="s">
        <v>7161</v>
      </c>
      <c r="E3579" s="35">
        <v>42625</v>
      </c>
    </row>
    <row r="3580" spans="1:5" ht="14.25" hidden="1" customHeight="1">
      <c r="A3580" s="20">
        <v>22854008</v>
      </c>
      <c r="B3580" s="17" t="s">
        <v>2495</v>
      </c>
      <c r="C3580" s="17" t="s">
        <v>1202</v>
      </c>
      <c r="D3580" s="5" t="s">
        <v>7161</v>
      </c>
      <c r="E3580" s="35">
        <v>42625</v>
      </c>
    </row>
    <row r="3581" spans="1:5" ht="14.25" hidden="1" customHeight="1">
      <c r="A3581" s="20">
        <v>23020958</v>
      </c>
      <c r="B3581" s="17" t="s">
        <v>3176</v>
      </c>
      <c r="C3581" s="17" t="s">
        <v>6025</v>
      </c>
      <c r="D3581" s="5" t="s">
        <v>7161</v>
      </c>
      <c r="E3581" s="35">
        <v>42625</v>
      </c>
    </row>
    <row r="3582" spans="1:5" ht="14.25" hidden="1" customHeight="1">
      <c r="A3582" s="18">
        <v>24982288</v>
      </c>
      <c r="B3582" s="17" t="s">
        <v>3679</v>
      </c>
      <c r="C3582" s="17" t="s">
        <v>2430</v>
      </c>
      <c r="D3582" s="5" t="s">
        <v>7161</v>
      </c>
      <c r="E3582" s="35">
        <v>42625</v>
      </c>
    </row>
    <row r="3583" spans="1:5" ht="14.25" hidden="1" customHeight="1">
      <c r="A3583" s="16">
        <v>24982570</v>
      </c>
      <c r="B3583" s="17" t="s">
        <v>766</v>
      </c>
      <c r="C3583" s="17" t="s">
        <v>767</v>
      </c>
      <c r="D3583" s="5" t="s">
        <v>7161</v>
      </c>
      <c r="E3583" s="35">
        <v>42625</v>
      </c>
    </row>
    <row r="3584" spans="1:5" ht="14.25" hidden="1" customHeight="1">
      <c r="A3584" s="20">
        <v>24982872</v>
      </c>
      <c r="B3584" s="17" t="s">
        <v>128</v>
      </c>
      <c r="C3584" s="17" t="s">
        <v>3187</v>
      </c>
      <c r="D3584" s="5" t="s">
        <v>7161</v>
      </c>
      <c r="E3584" s="35">
        <v>42625</v>
      </c>
    </row>
    <row r="3585" spans="1:5" ht="14.25" hidden="1" customHeight="1">
      <c r="A3585" s="16">
        <v>25255652</v>
      </c>
      <c r="B3585" s="17" t="s">
        <v>315</v>
      </c>
      <c r="C3585" s="17" t="s">
        <v>1542</v>
      </c>
      <c r="D3585" s="5" t="s">
        <v>7161</v>
      </c>
      <c r="E3585" s="35">
        <v>42625</v>
      </c>
    </row>
    <row r="3586" spans="1:5" ht="14.25" hidden="1" customHeight="1">
      <c r="A3586" s="16">
        <v>25844910</v>
      </c>
      <c r="B3586" s="17" t="s">
        <v>3250</v>
      </c>
      <c r="C3586" s="17" t="s">
        <v>3251</v>
      </c>
      <c r="D3586" s="5" t="s">
        <v>7161</v>
      </c>
      <c r="E3586" s="35">
        <v>42625</v>
      </c>
    </row>
    <row r="3587" spans="1:5" ht="14.25" hidden="1" customHeight="1">
      <c r="A3587" s="16">
        <v>27960534</v>
      </c>
      <c r="B3587" s="17" t="s">
        <v>342</v>
      </c>
      <c r="C3587" s="17" t="s">
        <v>345</v>
      </c>
      <c r="D3587" s="5" t="s">
        <v>7161</v>
      </c>
      <c r="E3587" s="35">
        <v>42625</v>
      </c>
    </row>
    <row r="3588" spans="1:5" ht="14.25" hidden="1" customHeight="1">
      <c r="A3588" s="16">
        <v>29290647</v>
      </c>
      <c r="B3588" s="17" t="s">
        <v>467</v>
      </c>
      <c r="C3588" s="17" t="s">
        <v>469</v>
      </c>
      <c r="D3588" s="5" t="s">
        <v>7161</v>
      </c>
      <c r="E3588" s="35">
        <v>42625</v>
      </c>
    </row>
    <row r="3589" spans="1:5" ht="14.25" hidden="1" customHeight="1">
      <c r="A3589" s="16">
        <v>29541006</v>
      </c>
      <c r="B3589" s="17" t="s">
        <v>1552</v>
      </c>
      <c r="C3589" s="17" t="s">
        <v>27</v>
      </c>
      <c r="D3589" s="5" t="s">
        <v>7161</v>
      </c>
      <c r="E3589" s="35">
        <v>42625</v>
      </c>
    </row>
    <row r="3590" spans="1:5" ht="14.25" hidden="1" customHeight="1">
      <c r="A3590" s="20">
        <v>32412796</v>
      </c>
      <c r="B3590" s="17" t="s">
        <v>944</v>
      </c>
      <c r="C3590" s="17" t="s">
        <v>1085</v>
      </c>
      <c r="D3590" s="5" t="s">
        <v>7161</v>
      </c>
      <c r="E3590" s="35">
        <v>42625</v>
      </c>
    </row>
    <row r="3591" spans="1:5" ht="14.25" hidden="1" customHeight="1">
      <c r="A3591" s="16">
        <v>11065353</v>
      </c>
      <c r="B3591" s="17" t="s">
        <v>6247</v>
      </c>
      <c r="C3591" s="17" t="s">
        <v>7167</v>
      </c>
      <c r="D3591" s="5" t="s">
        <v>7150</v>
      </c>
      <c r="E3591" s="35">
        <v>42622</v>
      </c>
    </row>
    <row r="3592" spans="1:5" ht="14.25" hidden="1" customHeight="1">
      <c r="A3592" s="16">
        <v>12733603</v>
      </c>
      <c r="B3592" s="17" t="s">
        <v>497</v>
      </c>
      <c r="C3592" s="17" t="s">
        <v>5238</v>
      </c>
      <c r="D3592" s="5" t="s">
        <v>7150</v>
      </c>
      <c r="E3592" s="35">
        <v>42622</v>
      </c>
    </row>
    <row r="3593" spans="1:5" ht="14.25" hidden="1" customHeight="1">
      <c r="A3593" s="16">
        <v>12918409</v>
      </c>
      <c r="B3593" s="17" t="s">
        <v>3762</v>
      </c>
      <c r="C3593" s="17" t="s">
        <v>3763</v>
      </c>
      <c r="D3593" s="5" t="s">
        <v>7150</v>
      </c>
      <c r="E3593" s="35">
        <v>42622</v>
      </c>
    </row>
    <row r="3594" spans="1:5" ht="14.25" hidden="1" customHeight="1">
      <c r="A3594" s="16">
        <v>13203535</v>
      </c>
      <c r="B3594" s="17" t="s">
        <v>7152</v>
      </c>
      <c r="C3594" s="17" t="s">
        <v>7166</v>
      </c>
      <c r="D3594" s="5" t="s">
        <v>7150</v>
      </c>
      <c r="E3594" s="35">
        <v>42622</v>
      </c>
    </row>
    <row r="3595" spans="1:5" ht="14.25" hidden="1" customHeight="1">
      <c r="A3595" s="16">
        <v>13278971</v>
      </c>
      <c r="B3595" s="17" t="s">
        <v>1625</v>
      </c>
      <c r="C3595" s="17" t="s">
        <v>1626</v>
      </c>
      <c r="D3595" s="5" t="s">
        <v>7150</v>
      </c>
      <c r="E3595" s="35">
        <v>42622</v>
      </c>
    </row>
    <row r="3596" spans="1:5" ht="14.25" hidden="1" customHeight="1">
      <c r="A3596" s="16">
        <v>14073446</v>
      </c>
      <c r="B3596" s="17" t="s">
        <v>1416</v>
      </c>
      <c r="C3596" s="17" t="s">
        <v>3757</v>
      </c>
      <c r="D3596" s="5" t="s">
        <v>7150</v>
      </c>
      <c r="E3596" s="35">
        <v>42622</v>
      </c>
    </row>
    <row r="3597" spans="1:5" ht="14.25" hidden="1" customHeight="1">
      <c r="A3597" s="16">
        <v>14084778</v>
      </c>
      <c r="B3597" s="17" t="s">
        <v>5051</v>
      </c>
      <c r="C3597" s="17" t="s">
        <v>5052</v>
      </c>
      <c r="D3597" s="5" t="s">
        <v>7150</v>
      </c>
      <c r="E3597" s="35">
        <v>42622</v>
      </c>
    </row>
    <row r="3598" spans="1:5" ht="14.25" hidden="1" customHeight="1">
      <c r="A3598" s="16">
        <v>14410492</v>
      </c>
      <c r="B3598" s="17" t="s">
        <v>5147</v>
      </c>
      <c r="C3598" s="17" t="s">
        <v>5148</v>
      </c>
      <c r="D3598" s="5" t="s">
        <v>7150</v>
      </c>
      <c r="E3598" s="35">
        <v>42622</v>
      </c>
    </row>
    <row r="3599" spans="1:5" ht="14.25" hidden="1" customHeight="1">
      <c r="A3599" s="16">
        <v>16122254</v>
      </c>
      <c r="B3599" s="17" t="s">
        <v>914</v>
      </c>
      <c r="C3599" s="17" t="s">
        <v>915</v>
      </c>
      <c r="D3599" s="5" t="s">
        <v>7150</v>
      </c>
      <c r="E3599" s="35">
        <v>42622</v>
      </c>
    </row>
    <row r="3600" spans="1:5" ht="14.25" hidden="1" customHeight="1">
      <c r="A3600" s="16">
        <v>16132794</v>
      </c>
      <c r="B3600" s="17" t="s">
        <v>3343</v>
      </c>
      <c r="C3600" s="17" t="s">
        <v>3344</v>
      </c>
      <c r="D3600" s="5" t="s">
        <v>7150</v>
      </c>
      <c r="E3600" s="35">
        <v>42622</v>
      </c>
    </row>
    <row r="3601" spans="1:5" ht="14.25" hidden="1" customHeight="1">
      <c r="A3601" s="16">
        <v>16541630</v>
      </c>
      <c r="B3601" s="17" t="s">
        <v>3101</v>
      </c>
      <c r="C3601" s="17" t="s">
        <v>3765</v>
      </c>
      <c r="D3601" s="5" t="s">
        <v>7150</v>
      </c>
      <c r="E3601" s="35">
        <v>42622</v>
      </c>
    </row>
    <row r="3602" spans="1:5" ht="14.25" hidden="1" customHeight="1">
      <c r="A3602" s="16">
        <v>16617295</v>
      </c>
      <c r="B3602" s="17" t="s">
        <v>7169</v>
      </c>
      <c r="C3602" s="17" t="s">
        <v>455</v>
      </c>
      <c r="D3602" s="5" t="s">
        <v>7150</v>
      </c>
      <c r="E3602" s="35">
        <v>42622</v>
      </c>
    </row>
    <row r="3603" spans="1:5" ht="14.25" hidden="1" customHeight="1">
      <c r="A3603" s="16">
        <v>16617295</v>
      </c>
      <c r="B3603" s="17" t="s">
        <v>574</v>
      </c>
      <c r="C3603" s="17" t="s">
        <v>455</v>
      </c>
      <c r="D3603" s="5" t="s">
        <v>7150</v>
      </c>
      <c r="E3603" s="35">
        <v>42622</v>
      </c>
    </row>
    <row r="3604" spans="1:5" ht="14.25" hidden="1" customHeight="1">
      <c r="A3604" s="16">
        <v>17376464</v>
      </c>
      <c r="B3604" s="17" t="s">
        <v>1823</v>
      </c>
      <c r="C3604" s="17" t="s">
        <v>2102</v>
      </c>
      <c r="D3604" s="5" t="s">
        <v>7150</v>
      </c>
      <c r="E3604" s="35">
        <v>42622</v>
      </c>
    </row>
    <row r="3605" spans="1:5" ht="14.25" hidden="1" customHeight="1">
      <c r="A3605" s="16">
        <v>17613698</v>
      </c>
      <c r="B3605" s="17" t="s">
        <v>983</v>
      </c>
      <c r="C3605" s="17" t="s">
        <v>984</v>
      </c>
      <c r="D3605" s="5" t="s">
        <v>7150</v>
      </c>
      <c r="E3605" s="35">
        <v>42622</v>
      </c>
    </row>
    <row r="3606" spans="1:5" ht="14.25" hidden="1" customHeight="1">
      <c r="A3606" s="16">
        <v>18463764</v>
      </c>
      <c r="B3606" s="17" t="s">
        <v>927</v>
      </c>
      <c r="C3606" s="17" t="s">
        <v>928</v>
      </c>
      <c r="D3606" s="5" t="s">
        <v>7150</v>
      </c>
      <c r="E3606" s="35">
        <v>42622</v>
      </c>
    </row>
    <row r="3607" spans="1:5" ht="14.25" hidden="1" customHeight="1">
      <c r="A3607" s="16">
        <v>19027765</v>
      </c>
      <c r="B3607" s="17" t="s">
        <v>3374</v>
      </c>
      <c r="C3607" s="17" t="s">
        <v>3375</v>
      </c>
      <c r="D3607" s="5" t="s">
        <v>7150</v>
      </c>
      <c r="E3607" s="35">
        <v>42622</v>
      </c>
    </row>
    <row r="3608" spans="1:5" ht="14.25" hidden="1" customHeight="1">
      <c r="A3608" s="16">
        <v>20178701</v>
      </c>
      <c r="B3608" s="17" t="s">
        <v>2598</v>
      </c>
      <c r="C3608" s="17" t="s">
        <v>4302</v>
      </c>
      <c r="D3608" s="5" t="s">
        <v>7150</v>
      </c>
      <c r="E3608" s="35">
        <v>42622</v>
      </c>
    </row>
    <row r="3609" spans="1:5" ht="14.25" hidden="1" customHeight="1">
      <c r="A3609" s="16">
        <v>20219100</v>
      </c>
      <c r="B3609" s="17" t="s">
        <v>875</v>
      </c>
      <c r="C3609" s="17" t="s">
        <v>5137</v>
      </c>
      <c r="D3609" s="5" t="s">
        <v>7150</v>
      </c>
      <c r="E3609" s="35">
        <v>42622</v>
      </c>
    </row>
    <row r="3610" spans="1:5" ht="14.25" hidden="1" customHeight="1">
      <c r="A3610" s="16">
        <v>20219209</v>
      </c>
      <c r="B3610" s="17" t="s">
        <v>4191</v>
      </c>
      <c r="C3610" s="17" t="s">
        <v>1672</v>
      </c>
      <c r="D3610" s="5" t="s">
        <v>7150</v>
      </c>
      <c r="E3610" s="35">
        <v>42622</v>
      </c>
    </row>
    <row r="3611" spans="1:5" ht="14.25" hidden="1" customHeight="1">
      <c r="A3611" s="16">
        <v>20222823</v>
      </c>
      <c r="B3611" s="17" t="s">
        <v>1571</v>
      </c>
      <c r="C3611" s="17" t="s">
        <v>5785</v>
      </c>
      <c r="D3611" s="5" t="s">
        <v>7150</v>
      </c>
      <c r="E3611" s="35">
        <v>42622</v>
      </c>
    </row>
    <row r="3612" spans="1:5" ht="14.25" hidden="1" customHeight="1">
      <c r="A3612" s="16">
        <v>20284448</v>
      </c>
      <c r="B3612" s="17" t="s">
        <v>5213</v>
      </c>
      <c r="C3612" s="17" t="s">
        <v>165</v>
      </c>
      <c r="D3612" s="5" t="s">
        <v>7150</v>
      </c>
      <c r="E3612" s="35">
        <v>42622</v>
      </c>
    </row>
    <row r="3613" spans="1:5" ht="14.25" hidden="1" customHeight="1">
      <c r="A3613" s="16">
        <v>21744260</v>
      </c>
      <c r="B3613" s="17" t="s">
        <v>3368</v>
      </c>
      <c r="C3613" s="17" t="s">
        <v>3369</v>
      </c>
      <c r="D3613" s="5" t="s">
        <v>7150</v>
      </c>
      <c r="E3613" s="35">
        <v>42622</v>
      </c>
    </row>
    <row r="3614" spans="1:5" ht="14.25" hidden="1" customHeight="1">
      <c r="A3614" s="16">
        <v>21823138</v>
      </c>
      <c r="B3614" s="17" t="s">
        <v>2840</v>
      </c>
      <c r="C3614" s="17" t="s">
        <v>7165</v>
      </c>
      <c r="D3614" s="5" t="s">
        <v>7150</v>
      </c>
      <c r="E3614" s="35">
        <v>42622</v>
      </c>
    </row>
    <row r="3615" spans="1:5" ht="14.25" hidden="1" customHeight="1">
      <c r="A3615" s="16">
        <v>21893835</v>
      </c>
      <c r="B3615" s="17" t="s">
        <v>7168</v>
      </c>
      <c r="C3615" s="17" t="s">
        <v>322</v>
      </c>
      <c r="D3615" s="5" t="s">
        <v>7150</v>
      </c>
      <c r="E3615" s="35">
        <v>42622</v>
      </c>
    </row>
    <row r="3616" spans="1:5" ht="14.25" hidden="1" customHeight="1">
      <c r="A3616" s="16">
        <v>22264769</v>
      </c>
      <c r="B3616" s="17" t="s">
        <v>218</v>
      </c>
      <c r="C3616" s="17" t="s">
        <v>2499</v>
      </c>
      <c r="D3616" s="5" t="s">
        <v>7150</v>
      </c>
      <c r="E3616" s="35">
        <v>42622</v>
      </c>
    </row>
    <row r="3617" spans="1:5" ht="14.25" hidden="1" customHeight="1">
      <c r="A3617" s="16">
        <v>22805647</v>
      </c>
      <c r="B3617" s="17" t="s">
        <v>927</v>
      </c>
      <c r="C3617" s="17" t="s">
        <v>147</v>
      </c>
      <c r="D3617" s="5" t="s">
        <v>7150</v>
      </c>
      <c r="E3617" s="35">
        <v>42622</v>
      </c>
    </row>
    <row r="3618" spans="1:5" ht="14.25" hidden="1" customHeight="1">
      <c r="A3618" s="16">
        <v>23015469</v>
      </c>
      <c r="B3618" s="17" t="s">
        <v>714</v>
      </c>
      <c r="C3618" s="17" t="s">
        <v>7149</v>
      </c>
      <c r="D3618" s="5" t="s">
        <v>7150</v>
      </c>
      <c r="E3618" s="35">
        <v>42622</v>
      </c>
    </row>
    <row r="3619" spans="1:5" ht="14.25" hidden="1" customHeight="1">
      <c r="A3619" s="16">
        <v>23019235</v>
      </c>
      <c r="B3619" s="17" t="s">
        <v>2856</v>
      </c>
      <c r="C3619" s="17" t="s">
        <v>2857</v>
      </c>
      <c r="D3619" s="5" t="s">
        <v>7150</v>
      </c>
      <c r="E3619" s="35">
        <v>42622</v>
      </c>
    </row>
    <row r="3620" spans="1:5" ht="14.25" hidden="1" customHeight="1">
      <c r="A3620" s="16">
        <v>23387097</v>
      </c>
      <c r="B3620" s="17" t="s">
        <v>3842</v>
      </c>
      <c r="C3620" s="17" t="s">
        <v>902</v>
      </c>
      <c r="D3620" s="5" t="s">
        <v>7150</v>
      </c>
      <c r="E3620" s="35">
        <v>42622</v>
      </c>
    </row>
    <row r="3621" spans="1:5" ht="14.25" hidden="1" customHeight="1">
      <c r="A3621" s="16">
        <v>23984466</v>
      </c>
      <c r="B3621" s="17" t="s">
        <v>5611</v>
      </c>
      <c r="C3621" s="17" t="s">
        <v>215</v>
      </c>
      <c r="D3621" s="5" t="s">
        <v>7150</v>
      </c>
      <c r="E3621" s="35">
        <v>42622</v>
      </c>
    </row>
    <row r="3622" spans="1:5" ht="14.25" hidden="1" customHeight="1">
      <c r="A3622" s="16">
        <v>24059021</v>
      </c>
      <c r="B3622" s="17" t="s">
        <v>3887</v>
      </c>
      <c r="C3622" s="17" t="s">
        <v>3888</v>
      </c>
      <c r="D3622" s="5" t="s">
        <v>7150</v>
      </c>
      <c r="E3622" s="35">
        <v>42622</v>
      </c>
    </row>
    <row r="3623" spans="1:5" ht="14.25" hidden="1" customHeight="1">
      <c r="A3623" s="16">
        <v>24294033</v>
      </c>
      <c r="B3623" s="17" t="s">
        <v>3572</v>
      </c>
      <c r="C3623" s="17" t="s">
        <v>3573</v>
      </c>
      <c r="D3623" s="5" t="s">
        <v>7150</v>
      </c>
      <c r="E3623" s="35">
        <v>42622</v>
      </c>
    </row>
    <row r="3624" spans="1:5" ht="14.25" hidden="1" customHeight="1">
      <c r="A3624" s="16">
        <v>24802894</v>
      </c>
      <c r="B3624" s="17" t="s">
        <v>4067</v>
      </c>
      <c r="C3624" s="17" t="s">
        <v>7171</v>
      </c>
      <c r="D3624" s="5" t="s">
        <v>7150</v>
      </c>
      <c r="E3624" s="35">
        <v>42622</v>
      </c>
    </row>
    <row r="3625" spans="1:5" ht="14.25" hidden="1" customHeight="1">
      <c r="A3625" s="16">
        <v>24944524</v>
      </c>
      <c r="B3625" s="17" t="s">
        <v>6495</v>
      </c>
      <c r="C3625" s="17" t="s">
        <v>7172</v>
      </c>
      <c r="D3625" s="5" t="s">
        <v>7150</v>
      </c>
      <c r="E3625" s="35">
        <v>42622</v>
      </c>
    </row>
    <row r="3626" spans="1:5" ht="14.25" hidden="1" customHeight="1">
      <c r="A3626" s="16">
        <v>25114173</v>
      </c>
      <c r="B3626" s="17" t="s">
        <v>3877</v>
      </c>
      <c r="C3626" s="17" t="s">
        <v>223</v>
      </c>
      <c r="D3626" s="5" t="s">
        <v>7150</v>
      </c>
      <c r="E3626" s="35">
        <v>42622</v>
      </c>
    </row>
    <row r="3627" spans="1:5" ht="14.25" hidden="1" customHeight="1">
      <c r="A3627" s="16">
        <v>25156424</v>
      </c>
      <c r="B3627" s="17" t="s">
        <v>3708</v>
      </c>
      <c r="C3627" s="17" t="s">
        <v>3709</v>
      </c>
      <c r="D3627" s="5" t="s">
        <v>7150</v>
      </c>
      <c r="E3627" s="35">
        <v>42622</v>
      </c>
    </row>
    <row r="3628" spans="1:5" ht="14.25" hidden="1" customHeight="1">
      <c r="A3628" s="16">
        <v>25444258</v>
      </c>
      <c r="B3628" s="17" t="s">
        <v>4847</v>
      </c>
      <c r="C3628" s="17" t="s">
        <v>4848</v>
      </c>
      <c r="D3628" s="5" t="s">
        <v>7150</v>
      </c>
      <c r="E3628" s="35">
        <v>42622</v>
      </c>
    </row>
    <row r="3629" spans="1:5" ht="14.25" hidden="1" customHeight="1">
      <c r="A3629" s="16">
        <v>25444260</v>
      </c>
      <c r="B3629" s="17" t="s">
        <v>1655</v>
      </c>
      <c r="C3629" s="17" t="s">
        <v>3627</v>
      </c>
      <c r="D3629" s="5" t="s">
        <v>7150</v>
      </c>
      <c r="E3629" s="35">
        <v>42622</v>
      </c>
    </row>
    <row r="3630" spans="1:5" ht="14.25" hidden="1" customHeight="1">
      <c r="A3630" s="16">
        <v>25510655</v>
      </c>
      <c r="B3630" s="17" t="s">
        <v>5589</v>
      </c>
      <c r="C3630" s="17" t="s">
        <v>1103</v>
      </c>
      <c r="D3630" s="5" t="s">
        <v>7150</v>
      </c>
      <c r="E3630" s="35">
        <v>42622</v>
      </c>
    </row>
    <row r="3631" spans="1:5" ht="14.25" hidden="1" customHeight="1">
      <c r="A3631" s="16">
        <v>25542562</v>
      </c>
      <c r="B3631" s="17" t="s">
        <v>3237</v>
      </c>
      <c r="C3631" s="17" t="s">
        <v>7133</v>
      </c>
      <c r="D3631" s="5" t="s">
        <v>7150</v>
      </c>
      <c r="E3631" s="35">
        <v>42622</v>
      </c>
    </row>
    <row r="3632" spans="1:5" ht="14.25" hidden="1" customHeight="1">
      <c r="A3632" s="16">
        <v>26029815</v>
      </c>
      <c r="B3632" s="17" t="s">
        <v>5918</v>
      </c>
      <c r="C3632" s="17" t="s">
        <v>274</v>
      </c>
      <c r="D3632" s="5" t="s">
        <v>7150</v>
      </c>
      <c r="E3632" s="35">
        <v>42622</v>
      </c>
    </row>
    <row r="3633" spans="1:5" ht="14.25" hidden="1" customHeight="1">
      <c r="A3633" s="16">
        <v>26029937</v>
      </c>
      <c r="B3633" s="17" t="s">
        <v>327</v>
      </c>
      <c r="C3633" s="17" t="s">
        <v>1785</v>
      </c>
      <c r="D3633" s="5" t="s">
        <v>7150</v>
      </c>
      <c r="E3633" s="35">
        <v>42622</v>
      </c>
    </row>
    <row r="3634" spans="1:5" ht="14.25" hidden="1" customHeight="1">
      <c r="A3634" s="16">
        <v>26446877</v>
      </c>
      <c r="B3634" s="17" t="s">
        <v>2248</v>
      </c>
      <c r="C3634" s="17" t="s">
        <v>5128</v>
      </c>
      <c r="D3634" s="5" t="s">
        <v>7150</v>
      </c>
      <c r="E3634" s="35">
        <v>42622</v>
      </c>
    </row>
    <row r="3635" spans="1:5" ht="14.25" hidden="1" customHeight="1">
      <c r="A3635" s="16">
        <v>26984193</v>
      </c>
      <c r="B3635" s="17" t="s">
        <v>4210</v>
      </c>
      <c r="C3635" s="17" t="s">
        <v>4211</v>
      </c>
      <c r="D3635" s="5" t="s">
        <v>7150</v>
      </c>
      <c r="E3635" s="35">
        <v>42622</v>
      </c>
    </row>
    <row r="3636" spans="1:5" ht="14.25" hidden="1" customHeight="1">
      <c r="A3636" s="16">
        <v>27364281</v>
      </c>
      <c r="B3636" s="17" t="s">
        <v>3602</v>
      </c>
      <c r="C3636" s="17" t="s">
        <v>2069</v>
      </c>
      <c r="D3636" s="5" t="s">
        <v>7150</v>
      </c>
      <c r="E3636" s="35">
        <v>42622</v>
      </c>
    </row>
    <row r="3637" spans="1:5" ht="14.25" hidden="1" customHeight="1">
      <c r="A3637" s="16">
        <v>27575100</v>
      </c>
      <c r="B3637" s="17" t="s">
        <v>3649</v>
      </c>
      <c r="C3637" s="17" t="s">
        <v>7125</v>
      </c>
      <c r="D3637" s="5" t="s">
        <v>7150</v>
      </c>
      <c r="E3637" s="35">
        <v>42622</v>
      </c>
    </row>
    <row r="3638" spans="1:5" ht="14.25" hidden="1" customHeight="1">
      <c r="A3638" s="16">
        <v>27732969</v>
      </c>
      <c r="B3638" s="17" t="s">
        <v>226</v>
      </c>
      <c r="C3638" s="17" t="s">
        <v>5899</v>
      </c>
      <c r="D3638" s="5" t="s">
        <v>7150</v>
      </c>
      <c r="E3638" s="35">
        <v>42622</v>
      </c>
    </row>
    <row r="3639" spans="1:5" ht="14.25" hidden="1" customHeight="1">
      <c r="A3639" s="16">
        <v>27751242</v>
      </c>
      <c r="B3639" s="17" t="s">
        <v>3182</v>
      </c>
      <c r="C3639" s="17" t="s">
        <v>4002</v>
      </c>
      <c r="D3639" s="5" t="s">
        <v>7150</v>
      </c>
      <c r="E3639" s="35">
        <v>42622</v>
      </c>
    </row>
    <row r="3640" spans="1:5" ht="14.25" hidden="1" customHeight="1">
      <c r="A3640" s="16">
        <v>27960685</v>
      </c>
      <c r="B3640" s="17" t="s">
        <v>5010</v>
      </c>
      <c r="C3640" s="17" t="s">
        <v>4880</v>
      </c>
      <c r="D3640" s="5" t="s">
        <v>7150</v>
      </c>
      <c r="E3640" s="35">
        <v>42622</v>
      </c>
    </row>
    <row r="3641" spans="1:5" ht="14.25" hidden="1" customHeight="1">
      <c r="A3641" s="16">
        <v>29026280</v>
      </c>
      <c r="B3641" s="17" t="s">
        <v>2294</v>
      </c>
      <c r="C3641" s="17" t="s">
        <v>129</v>
      </c>
      <c r="D3641" s="5" t="s">
        <v>7150</v>
      </c>
      <c r="E3641" s="35">
        <v>42622</v>
      </c>
    </row>
    <row r="3642" spans="1:5" ht="14.25" hidden="1" customHeight="1">
      <c r="A3642" s="16">
        <v>29242462</v>
      </c>
      <c r="B3642" s="17" t="s">
        <v>846</v>
      </c>
      <c r="C3642" s="17" t="s">
        <v>2712</v>
      </c>
      <c r="D3642" s="5" t="s">
        <v>7150</v>
      </c>
      <c r="E3642" s="35">
        <v>42622</v>
      </c>
    </row>
    <row r="3643" spans="1:5" ht="14.25" hidden="1" customHeight="1">
      <c r="A3643" s="16">
        <v>29430434</v>
      </c>
      <c r="B3643" s="17" t="s">
        <v>547</v>
      </c>
      <c r="C3643" s="17" t="s">
        <v>4060</v>
      </c>
      <c r="D3643" s="5" t="s">
        <v>7150</v>
      </c>
      <c r="E3643" s="35">
        <v>42622</v>
      </c>
    </row>
    <row r="3644" spans="1:5" ht="14.25" hidden="1" customHeight="1">
      <c r="A3644" s="16">
        <v>29666790</v>
      </c>
      <c r="B3644" s="17" t="s">
        <v>789</v>
      </c>
      <c r="C3644" s="17" t="s">
        <v>5112</v>
      </c>
      <c r="D3644" s="5" t="s">
        <v>7150</v>
      </c>
      <c r="E3644" s="35">
        <v>42622</v>
      </c>
    </row>
    <row r="3645" spans="1:5" ht="14.25" hidden="1" customHeight="1">
      <c r="A3645" s="16">
        <v>29878052</v>
      </c>
      <c r="B3645" s="17" t="s">
        <v>3567</v>
      </c>
      <c r="C3645" s="17" t="s">
        <v>33</v>
      </c>
      <c r="D3645" s="5" t="s">
        <v>7150</v>
      </c>
      <c r="E3645" s="35">
        <v>42622</v>
      </c>
    </row>
    <row r="3646" spans="1:5" ht="14.25" hidden="1" customHeight="1">
      <c r="A3646" s="16">
        <v>29997979</v>
      </c>
      <c r="B3646" s="17" t="s">
        <v>4512</v>
      </c>
      <c r="C3646" s="17" t="s">
        <v>527</v>
      </c>
      <c r="D3646" s="5" t="s">
        <v>7150</v>
      </c>
      <c r="E3646" s="35">
        <v>42622</v>
      </c>
    </row>
    <row r="3647" spans="1:5" ht="14.25" hidden="1" customHeight="1">
      <c r="A3647" s="16">
        <v>30069677</v>
      </c>
      <c r="B3647" s="17" t="s">
        <v>2612</v>
      </c>
      <c r="C3647" s="17" t="s">
        <v>2613</v>
      </c>
      <c r="D3647" s="5" t="s">
        <v>7150</v>
      </c>
      <c r="E3647" s="35">
        <v>42622</v>
      </c>
    </row>
    <row r="3648" spans="1:5" ht="14.25" hidden="1" customHeight="1">
      <c r="A3648" s="16">
        <v>30090802</v>
      </c>
      <c r="B3648" s="17" t="s">
        <v>5012</v>
      </c>
      <c r="C3648" s="17" t="s">
        <v>5013</v>
      </c>
      <c r="D3648" s="5" t="s">
        <v>7150</v>
      </c>
      <c r="E3648" s="35">
        <v>42622</v>
      </c>
    </row>
    <row r="3649" spans="1:5" ht="14.25" hidden="1" customHeight="1">
      <c r="A3649" s="16">
        <v>30357266</v>
      </c>
      <c r="B3649" s="17" t="s">
        <v>3578</v>
      </c>
      <c r="C3649" s="17" t="s">
        <v>165</v>
      </c>
      <c r="D3649" s="5" t="s">
        <v>7150</v>
      </c>
      <c r="E3649" s="35">
        <v>42622</v>
      </c>
    </row>
    <row r="3650" spans="1:5" ht="14.25" hidden="1" customHeight="1">
      <c r="A3650" s="16">
        <v>30759570</v>
      </c>
      <c r="B3650" s="17" t="s">
        <v>2795</v>
      </c>
      <c r="C3650" s="17" t="s">
        <v>2447</v>
      </c>
      <c r="D3650" s="5" t="s">
        <v>7150</v>
      </c>
      <c r="E3650" s="35">
        <v>42622</v>
      </c>
    </row>
    <row r="3651" spans="1:5" ht="14.25" hidden="1" customHeight="1">
      <c r="A3651" s="16">
        <v>31127367</v>
      </c>
      <c r="B3651" s="17" t="s">
        <v>690</v>
      </c>
      <c r="C3651" s="17" t="s">
        <v>1085</v>
      </c>
      <c r="D3651" s="5" t="s">
        <v>7150</v>
      </c>
      <c r="E3651" s="35">
        <v>42622</v>
      </c>
    </row>
    <row r="3652" spans="1:5" ht="14.25" hidden="1" customHeight="1">
      <c r="A3652" s="16">
        <v>31253897</v>
      </c>
      <c r="B3652" s="17" t="s">
        <v>5415</v>
      </c>
      <c r="C3652" s="17" t="s">
        <v>30</v>
      </c>
      <c r="D3652" s="5" t="s">
        <v>7150</v>
      </c>
      <c r="E3652" s="35">
        <v>42622</v>
      </c>
    </row>
    <row r="3653" spans="1:5" ht="14.25" hidden="1" customHeight="1">
      <c r="A3653" s="16">
        <v>32201633</v>
      </c>
      <c r="B3653" s="17" t="s">
        <v>327</v>
      </c>
      <c r="C3653" s="17" t="s">
        <v>3793</v>
      </c>
      <c r="D3653" s="5" t="s">
        <v>7150</v>
      </c>
      <c r="E3653" s="35">
        <v>42622</v>
      </c>
    </row>
    <row r="3654" spans="1:5" ht="14.25" hidden="1" customHeight="1">
      <c r="A3654" s="16">
        <v>32459652</v>
      </c>
      <c r="B3654" s="17" t="s">
        <v>3854</v>
      </c>
      <c r="C3654" s="17" t="s">
        <v>3855</v>
      </c>
      <c r="D3654" s="5" t="s">
        <v>7150</v>
      </c>
      <c r="E3654" s="35">
        <v>42622</v>
      </c>
    </row>
    <row r="3655" spans="1:5" ht="14.25" hidden="1" customHeight="1">
      <c r="A3655" s="16">
        <v>32775072</v>
      </c>
      <c r="B3655" s="17" t="s">
        <v>458</v>
      </c>
      <c r="C3655" s="17" t="s">
        <v>97</v>
      </c>
      <c r="D3655" s="5" t="s">
        <v>7150</v>
      </c>
      <c r="E3655" s="35">
        <v>42622</v>
      </c>
    </row>
    <row r="3656" spans="1:5" ht="14.25" hidden="1" customHeight="1">
      <c r="A3656" s="16">
        <v>32927909</v>
      </c>
      <c r="B3656" s="17" t="s">
        <v>4400</v>
      </c>
      <c r="C3656" s="17" t="s">
        <v>1871</v>
      </c>
      <c r="D3656" s="5" t="s">
        <v>7150</v>
      </c>
      <c r="E3656" s="35">
        <v>42622</v>
      </c>
    </row>
    <row r="3657" spans="1:5" ht="14.25" hidden="1" customHeight="1">
      <c r="A3657" s="16">
        <v>33091683</v>
      </c>
      <c r="B3657" s="17" t="s">
        <v>4991</v>
      </c>
      <c r="C3657" s="17" t="s">
        <v>4992</v>
      </c>
      <c r="D3657" s="5" t="s">
        <v>7150</v>
      </c>
      <c r="E3657" s="35">
        <v>42622</v>
      </c>
    </row>
    <row r="3658" spans="1:5" ht="14.25" hidden="1" customHeight="1">
      <c r="A3658" s="16">
        <v>33163552</v>
      </c>
      <c r="B3658" s="17" t="s">
        <v>190</v>
      </c>
      <c r="C3658" s="17" t="s">
        <v>743</v>
      </c>
      <c r="D3658" s="5" t="s">
        <v>7150</v>
      </c>
      <c r="E3658" s="35">
        <v>42622</v>
      </c>
    </row>
    <row r="3659" spans="1:5" ht="14.25" hidden="1" customHeight="1">
      <c r="A3659" s="16">
        <v>33541698</v>
      </c>
      <c r="B3659" s="17" t="s">
        <v>3958</v>
      </c>
      <c r="C3659" s="17" t="s">
        <v>1585</v>
      </c>
      <c r="D3659" s="5" t="s">
        <v>7150</v>
      </c>
      <c r="E3659" s="35">
        <v>42622</v>
      </c>
    </row>
    <row r="3660" spans="1:5" ht="14.25" hidden="1" customHeight="1">
      <c r="A3660" s="16">
        <v>33756026</v>
      </c>
      <c r="B3660" s="17" t="s">
        <v>7169</v>
      </c>
      <c r="C3660" s="17" t="s">
        <v>7170</v>
      </c>
      <c r="D3660" s="5" t="s">
        <v>7150</v>
      </c>
      <c r="E3660" s="35">
        <v>42622</v>
      </c>
    </row>
    <row r="3661" spans="1:5" ht="14.25" hidden="1" customHeight="1">
      <c r="A3661" s="16">
        <v>34910331</v>
      </c>
      <c r="B3661" s="17" t="s">
        <v>4040</v>
      </c>
      <c r="C3661" s="17" t="s">
        <v>4041</v>
      </c>
      <c r="D3661" s="5" t="s">
        <v>7150</v>
      </c>
      <c r="E3661" s="35">
        <v>42622</v>
      </c>
    </row>
    <row r="3662" spans="1:5" ht="14.25" hidden="1" customHeight="1">
      <c r="A3662" s="16">
        <v>35199990</v>
      </c>
      <c r="B3662" s="17" t="s">
        <v>1571</v>
      </c>
      <c r="C3662" s="17" t="s">
        <v>1572</v>
      </c>
      <c r="D3662" s="5" t="s">
        <v>7150</v>
      </c>
      <c r="E3662" s="35">
        <v>42622</v>
      </c>
    </row>
    <row r="3663" spans="1:5" ht="14.25" hidden="1" customHeight="1">
      <c r="A3663" s="16">
        <v>36224754</v>
      </c>
      <c r="B3663" s="17" t="s">
        <v>3196</v>
      </c>
      <c r="C3663" s="17" t="s">
        <v>3197</v>
      </c>
      <c r="D3663" s="5" t="s">
        <v>7150</v>
      </c>
      <c r="E3663" s="35">
        <v>42622</v>
      </c>
    </row>
    <row r="3664" spans="1:5" ht="14.25" hidden="1" customHeight="1">
      <c r="A3664" s="16">
        <v>37096427</v>
      </c>
      <c r="B3664" s="17" t="s">
        <v>670</v>
      </c>
      <c r="C3664" s="17" t="s">
        <v>3352</v>
      </c>
      <c r="D3664" s="5" t="s">
        <v>7150</v>
      </c>
      <c r="E3664" s="35">
        <v>42622</v>
      </c>
    </row>
    <row r="3665" spans="1:5" ht="14.25" hidden="1" customHeight="1">
      <c r="A3665" s="16">
        <v>37097251</v>
      </c>
      <c r="B3665" s="17" t="s">
        <v>608</v>
      </c>
      <c r="C3665" s="17" t="s">
        <v>609</v>
      </c>
      <c r="D3665" s="5" t="s">
        <v>7150</v>
      </c>
      <c r="E3665" s="35">
        <v>42622</v>
      </c>
    </row>
    <row r="3666" spans="1:5" ht="14.25" hidden="1" customHeight="1">
      <c r="A3666" s="16">
        <v>39146062</v>
      </c>
      <c r="B3666" s="17" t="s">
        <v>1523</v>
      </c>
      <c r="C3666" s="17" t="s">
        <v>1389</v>
      </c>
      <c r="D3666" s="5" t="s">
        <v>7150</v>
      </c>
      <c r="E3666" s="35">
        <v>42622</v>
      </c>
    </row>
    <row r="3667" spans="1:5" ht="14.25" hidden="1" customHeight="1">
      <c r="A3667" s="16">
        <v>10556377</v>
      </c>
      <c r="B3667" s="17" t="s">
        <v>3622</v>
      </c>
      <c r="C3667" s="17" t="s">
        <v>6006</v>
      </c>
      <c r="D3667" s="5" t="s">
        <v>7126</v>
      </c>
      <c r="E3667" s="35">
        <v>42606</v>
      </c>
    </row>
    <row r="3668" spans="1:5" ht="14.25" hidden="1" customHeight="1">
      <c r="A3668" s="16">
        <v>10910913</v>
      </c>
      <c r="B3668" s="17" t="s">
        <v>1106</v>
      </c>
      <c r="C3668" s="17" t="s">
        <v>1107</v>
      </c>
      <c r="D3668" s="5" t="s">
        <v>7126</v>
      </c>
      <c r="E3668" s="35">
        <v>42606</v>
      </c>
    </row>
    <row r="3669" spans="1:5" ht="14.25" hidden="1" customHeight="1">
      <c r="A3669" s="16">
        <v>11915821</v>
      </c>
      <c r="B3669" s="17" t="s">
        <v>1168</v>
      </c>
      <c r="C3669" s="17" t="s">
        <v>5088</v>
      </c>
      <c r="D3669" s="5" t="s">
        <v>7126</v>
      </c>
      <c r="E3669" s="35">
        <v>42606</v>
      </c>
    </row>
    <row r="3670" spans="1:5" ht="14.25" hidden="1" customHeight="1">
      <c r="A3670" s="16">
        <v>12733603</v>
      </c>
      <c r="B3670" s="17" t="s">
        <v>497</v>
      </c>
      <c r="C3670" s="17" t="s">
        <v>5238</v>
      </c>
      <c r="D3670" s="5" t="s">
        <v>7126</v>
      </c>
      <c r="E3670" s="35">
        <v>42606</v>
      </c>
    </row>
    <row r="3671" spans="1:5" ht="14.25" hidden="1" customHeight="1">
      <c r="A3671" s="16">
        <v>13848539</v>
      </c>
      <c r="B3671" s="17" t="s">
        <v>3357</v>
      </c>
      <c r="C3671" s="17" t="s">
        <v>2595</v>
      </c>
      <c r="D3671" s="5" t="s">
        <v>7126</v>
      </c>
      <c r="E3671" s="35">
        <v>42606</v>
      </c>
    </row>
    <row r="3672" spans="1:5" ht="14.25" hidden="1" customHeight="1">
      <c r="A3672" s="16">
        <v>14226015</v>
      </c>
      <c r="B3672" s="17" t="s">
        <v>4418</v>
      </c>
      <c r="C3672" s="17" t="s">
        <v>97</v>
      </c>
      <c r="D3672" s="5" t="s">
        <v>7126</v>
      </c>
      <c r="E3672" s="35">
        <v>42606</v>
      </c>
    </row>
    <row r="3673" spans="1:5" ht="14.25" hidden="1" customHeight="1">
      <c r="A3673" s="16">
        <v>14709050</v>
      </c>
      <c r="B3673" s="17" t="s">
        <v>6050</v>
      </c>
      <c r="C3673" s="17" t="s">
        <v>215</v>
      </c>
      <c r="D3673" s="5" t="s">
        <v>7126</v>
      </c>
      <c r="E3673" s="35">
        <v>42606</v>
      </c>
    </row>
    <row r="3674" spans="1:5" ht="14.25" hidden="1" customHeight="1">
      <c r="A3674" s="16">
        <v>16132794</v>
      </c>
      <c r="B3674" s="17" t="s">
        <v>3343</v>
      </c>
      <c r="C3674" s="17" t="s">
        <v>3344</v>
      </c>
      <c r="D3674" s="5" t="s">
        <v>7126</v>
      </c>
      <c r="E3674" s="35">
        <v>42606</v>
      </c>
    </row>
    <row r="3675" spans="1:5" ht="14.25" hidden="1" customHeight="1">
      <c r="A3675" s="16">
        <v>16685797</v>
      </c>
      <c r="B3675" s="17" t="s">
        <v>3029</v>
      </c>
      <c r="C3675" s="17" t="s">
        <v>3030</v>
      </c>
      <c r="D3675" s="5" t="s">
        <v>7126</v>
      </c>
      <c r="E3675" s="35">
        <v>42606</v>
      </c>
    </row>
    <row r="3676" spans="1:5" ht="14.25" hidden="1" customHeight="1">
      <c r="A3676" s="16">
        <v>17269491</v>
      </c>
      <c r="B3676" s="17" t="s">
        <v>156</v>
      </c>
      <c r="C3676" s="17" t="s">
        <v>1924</v>
      </c>
      <c r="D3676" s="5" t="s">
        <v>7126</v>
      </c>
      <c r="E3676" s="35">
        <v>42606</v>
      </c>
    </row>
    <row r="3677" spans="1:5" ht="14.25" hidden="1" customHeight="1">
      <c r="A3677" s="16">
        <v>17376464</v>
      </c>
      <c r="B3677" s="17" t="s">
        <v>1823</v>
      </c>
      <c r="C3677" s="17" t="s">
        <v>7177</v>
      </c>
      <c r="D3677" s="5" t="s">
        <v>7126</v>
      </c>
      <c r="E3677" s="35">
        <v>42606</v>
      </c>
    </row>
    <row r="3678" spans="1:5" ht="14.25" hidden="1" customHeight="1">
      <c r="A3678" s="16">
        <v>17779601</v>
      </c>
      <c r="B3678" s="17" t="s">
        <v>7175</v>
      </c>
      <c r="C3678" s="17" t="s">
        <v>2161</v>
      </c>
      <c r="D3678" s="5" t="s">
        <v>7126</v>
      </c>
      <c r="E3678" s="35">
        <v>42606</v>
      </c>
    </row>
    <row r="3679" spans="1:5" ht="14.25" hidden="1" customHeight="1">
      <c r="A3679" s="16">
        <v>18034548</v>
      </c>
      <c r="B3679" s="17" t="s">
        <v>4623</v>
      </c>
      <c r="C3679" s="17" t="s">
        <v>4624</v>
      </c>
      <c r="D3679" s="5" t="s">
        <v>7126</v>
      </c>
      <c r="E3679" s="35">
        <v>42606</v>
      </c>
    </row>
    <row r="3680" spans="1:5" ht="14.25" hidden="1" customHeight="1">
      <c r="A3680" s="16">
        <v>18465306</v>
      </c>
      <c r="B3680" s="17" t="s">
        <v>4267</v>
      </c>
      <c r="C3680" s="17" t="s">
        <v>2123</v>
      </c>
      <c r="D3680" s="5" t="s">
        <v>7126</v>
      </c>
      <c r="E3680" s="35">
        <v>42606</v>
      </c>
    </row>
    <row r="3681" spans="1:5" ht="14.25" hidden="1" customHeight="1">
      <c r="A3681" s="16">
        <v>18756576</v>
      </c>
      <c r="B3681" s="17" t="s">
        <v>5268</v>
      </c>
      <c r="C3681" s="17" t="s">
        <v>1769</v>
      </c>
      <c r="D3681" s="5" t="s">
        <v>7126</v>
      </c>
      <c r="E3681" s="35">
        <v>42606</v>
      </c>
    </row>
    <row r="3682" spans="1:5" ht="14.25" hidden="1" customHeight="1">
      <c r="A3682" s="16">
        <v>20178395</v>
      </c>
      <c r="B3682" s="17" t="s">
        <v>2358</v>
      </c>
      <c r="C3682" s="17" t="s">
        <v>902</v>
      </c>
      <c r="D3682" s="5" t="s">
        <v>7126</v>
      </c>
      <c r="E3682" s="35">
        <v>42606</v>
      </c>
    </row>
    <row r="3683" spans="1:5" ht="14.25" hidden="1" customHeight="1">
      <c r="A3683" s="16">
        <v>20284201</v>
      </c>
      <c r="B3683" s="17" t="s">
        <v>355</v>
      </c>
      <c r="C3683" s="17" t="s">
        <v>2715</v>
      </c>
      <c r="D3683" s="5" t="s">
        <v>7126</v>
      </c>
      <c r="E3683" s="35">
        <v>42606</v>
      </c>
    </row>
    <row r="3684" spans="1:5" ht="14.25" hidden="1" customHeight="1">
      <c r="A3684" s="16">
        <v>20759580</v>
      </c>
      <c r="B3684" s="17" t="s">
        <v>118</v>
      </c>
      <c r="C3684" s="17" t="s">
        <v>119</v>
      </c>
      <c r="D3684" s="5" t="s">
        <v>7126</v>
      </c>
      <c r="E3684" s="35">
        <v>42606</v>
      </c>
    </row>
    <row r="3685" spans="1:5" ht="14.25" hidden="1" customHeight="1">
      <c r="A3685" s="16">
        <v>21329323</v>
      </c>
      <c r="B3685" s="17" t="s">
        <v>4646</v>
      </c>
      <c r="C3685" s="17" t="s">
        <v>2447</v>
      </c>
      <c r="D3685" s="5" t="s">
        <v>7126</v>
      </c>
      <c r="E3685" s="35">
        <v>42606</v>
      </c>
    </row>
    <row r="3686" spans="1:5" ht="14.25" hidden="1" customHeight="1">
      <c r="A3686" s="16">
        <v>21805042</v>
      </c>
      <c r="B3686" s="17" t="s">
        <v>4106</v>
      </c>
      <c r="C3686" s="17" t="s">
        <v>4107</v>
      </c>
      <c r="D3686" s="5" t="s">
        <v>7126</v>
      </c>
      <c r="E3686" s="35">
        <v>42606</v>
      </c>
    </row>
    <row r="3687" spans="1:5" ht="14.25" hidden="1" customHeight="1">
      <c r="A3687" s="16">
        <v>21893835</v>
      </c>
      <c r="B3687" s="17" t="s">
        <v>321</v>
      </c>
      <c r="C3687" s="17" t="s">
        <v>783</v>
      </c>
      <c r="D3687" s="5" t="s">
        <v>7126</v>
      </c>
      <c r="E3687" s="35">
        <v>42606</v>
      </c>
    </row>
    <row r="3688" spans="1:5" ht="14.25" hidden="1" customHeight="1">
      <c r="A3688" s="16">
        <v>22264316</v>
      </c>
      <c r="B3688" s="17" t="s">
        <v>2687</v>
      </c>
      <c r="C3688" s="17" t="s">
        <v>2688</v>
      </c>
      <c r="D3688" s="5" t="s">
        <v>7126</v>
      </c>
      <c r="E3688" s="35">
        <v>42606</v>
      </c>
    </row>
    <row r="3689" spans="1:5" ht="14.25" hidden="1" customHeight="1">
      <c r="A3689" s="16">
        <v>22945322</v>
      </c>
      <c r="B3689" s="17" t="s">
        <v>5229</v>
      </c>
      <c r="C3689" s="17" t="s">
        <v>5230</v>
      </c>
      <c r="D3689" s="5" t="s">
        <v>7126</v>
      </c>
      <c r="E3689" s="35">
        <v>42606</v>
      </c>
    </row>
    <row r="3690" spans="1:5" ht="14.25" hidden="1" customHeight="1">
      <c r="A3690" s="23">
        <v>23015469</v>
      </c>
      <c r="B3690" s="24" t="s">
        <v>714</v>
      </c>
      <c r="C3690" s="24" t="s">
        <v>7149</v>
      </c>
      <c r="D3690" s="5" t="s">
        <v>7126</v>
      </c>
      <c r="E3690" s="35">
        <v>42606</v>
      </c>
    </row>
    <row r="3691" spans="1:5" ht="14.25" hidden="1" customHeight="1">
      <c r="A3691" s="23">
        <v>23141145</v>
      </c>
      <c r="B3691" s="24" t="s">
        <v>226</v>
      </c>
      <c r="C3691" s="24" t="s">
        <v>7173</v>
      </c>
      <c r="D3691" s="5" t="s">
        <v>7126</v>
      </c>
      <c r="E3691" s="35">
        <v>42606</v>
      </c>
    </row>
    <row r="3692" spans="1:5" ht="14.25" hidden="1" customHeight="1">
      <c r="A3692" s="23">
        <v>25735347</v>
      </c>
      <c r="B3692" s="24" t="s">
        <v>6509</v>
      </c>
      <c r="C3692" s="24" t="s">
        <v>6510</v>
      </c>
      <c r="D3692" s="5" t="s">
        <v>7126</v>
      </c>
      <c r="E3692" s="35">
        <v>42606</v>
      </c>
    </row>
    <row r="3693" spans="1:5" ht="14.25" hidden="1" customHeight="1">
      <c r="A3693" s="23">
        <v>26013921</v>
      </c>
      <c r="B3693" s="24" t="s">
        <v>789</v>
      </c>
      <c r="C3693" s="24" t="s">
        <v>7176</v>
      </c>
      <c r="D3693" s="5" t="s">
        <v>7126</v>
      </c>
      <c r="E3693" s="35">
        <v>42606</v>
      </c>
    </row>
    <row r="3694" spans="1:5" ht="14.25" hidden="1" customHeight="1">
      <c r="A3694" s="16">
        <v>26029215</v>
      </c>
      <c r="B3694" s="17" t="s">
        <v>5918</v>
      </c>
      <c r="C3694" s="17" t="s">
        <v>274</v>
      </c>
      <c r="D3694" s="5" t="s">
        <v>7126</v>
      </c>
      <c r="E3694" s="35">
        <v>42606</v>
      </c>
    </row>
    <row r="3695" spans="1:5" ht="14.25" hidden="1" customHeight="1">
      <c r="A3695" s="16">
        <v>26445563</v>
      </c>
      <c r="B3695" s="17" t="s">
        <v>6091</v>
      </c>
      <c r="C3695" s="17" t="s">
        <v>215</v>
      </c>
      <c r="D3695" s="5" t="s">
        <v>7126</v>
      </c>
      <c r="E3695" s="35">
        <v>42606</v>
      </c>
    </row>
    <row r="3696" spans="1:5" ht="14.25" hidden="1" customHeight="1">
      <c r="A3696" s="16">
        <v>26675972</v>
      </c>
      <c r="B3696" s="17" t="s">
        <v>5126</v>
      </c>
      <c r="C3696" s="17" t="s">
        <v>2753</v>
      </c>
      <c r="D3696" s="5" t="s">
        <v>7126</v>
      </c>
      <c r="E3696" s="35">
        <v>42606</v>
      </c>
    </row>
    <row r="3697" spans="1:5" ht="14.25" hidden="1" customHeight="1">
      <c r="A3697" s="16">
        <v>27792969</v>
      </c>
      <c r="B3697" s="17" t="s">
        <v>226</v>
      </c>
      <c r="C3697" s="17" t="s">
        <v>5899</v>
      </c>
      <c r="D3697" s="5" t="s">
        <v>7126</v>
      </c>
      <c r="E3697" s="35">
        <v>42606</v>
      </c>
    </row>
    <row r="3698" spans="1:5" ht="14.25" hidden="1" customHeight="1">
      <c r="A3698" s="16">
        <v>28966239</v>
      </c>
      <c r="B3698" s="17" t="s">
        <v>6109</v>
      </c>
      <c r="C3698" s="17" t="s">
        <v>6110</v>
      </c>
      <c r="D3698" s="5" t="s">
        <v>7126</v>
      </c>
      <c r="E3698" s="35">
        <v>42606</v>
      </c>
    </row>
    <row r="3699" spans="1:5" ht="14.25" hidden="1" customHeight="1">
      <c r="A3699" s="23">
        <v>29242462</v>
      </c>
      <c r="B3699" s="24" t="s">
        <v>846</v>
      </c>
      <c r="C3699" s="24" t="s">
        <v>2712</v>
      </c>
      <c r="D3699" s="5" t="s">
        <v>7126</v>
      </c>
      <c r="E3699" s="35">
        <v>42606</v>
      </c>
    </row>
    <row r="3700" spans="1:5" ht="14.25" hidden="1" customHeight="1">
      <c r="A3700" s="23">
        <v>31127261</v>
      </c>
      <c r="B3700" s="24" t="s">
        <v>7174</v>
      </c>
      <c r="C3700" s="24" t="s">
        <v>5631</v>
      </c>
      <c r="D3700" s="5" t="s">
        <v>7126</v>
      </c>
      <c r="E3700" s="35">
        <v>42606</v>
      </c>
    </row>
    <row r="3701" spans="1:5" ht="14.25" hidden="1" customHeight="1">
      <c r="A3701" s="23">
        <v>33050770</v>
      </c>
      <c r="B3701" s="24" t="s">
        <v>2714</v>
      </c>
      <c r="C3701" s="24" t="s">
        <v>178</v>
      </c>
      <c r="D3701" s="5" t="s">
        <v>7126</v>
      </c>
      <c r="E3701" s="35">
        <v>42606</v>
      </c>
    </row>
    <row r="3702" spans="1:5" ht="14.25" hidden="1" customHeight="1">
      <c r="A3702" s="23">
        <v>33971596</v>
      </c>
      <c r="B3702" s="24" t="s">
        <v>102</v>
      </c>
      <c r="C3702" s="24" t="s">
        <v>103</v>
      </c>
      <c r="D3702" s="5" t="s">
        <v>7126</v>
      </c>
      <c r="E3702" s="35">
        <v>42606</v>
      </c>
    </row>
    <row r="3703" spans="1:5" ht="14.25" hidden="1" customHeight="1">
      <c r="A3703" s="23">
        <v>39575373</v>
      </c>
      <c r="B3703" s="24" t="s">
        <v>1831</v>
      </c>
      <c r="C3703" s="24" t="s">
        <v>95</v>
      </c>
      <c r="D3703" s="5" t="s">
        <v>7126</v>
      </c>
      <c r="E3703" s="35">
        <v>42606</v>
      </c>
    </row>
    <row r="3704" spans="1:5" ht="14.25" hidden="1" customHeight="1">
      <c r="A3704" s="23">
        <v>12179221</v>
      </c>
      <c r="B3704" s="24" t="s">
        <v>1248</v>
      </c>
      <c r="C3704" s="24" t="s">
        <v>2763</v>
      </c>
      <c r="D3704" s="5" t="s">
        <v>7086</v>
      </c>
      <c r="E3704" s="35">
        <v>42599</v>
      </c>
    </row>
    <row r="3705" spans="1:5" ht="14.25" hidden="1" customHeight="1">
      <c r="A3705" s="23">
        <v>12919768</v>
      </c>
      <c r="B3705" s="24" t="s">
        <v>1549</v>
      </c>
      <c r="C3705" s="24" t="s">
        <v>2761</v>
      </c>
      <c r="D3705" s="5" t="s">
        <v>7086</v>
      </c>
      <c r="E3705" s="35">
        <v>42599</v>
      </c>
    </row>
    <row r="3706" spans="1:5" ht="14.25" hidden="1" customHeight="1">
      <c r="A3706" s="23">
        <v>13848349</v>
      </c>
      <c r="B3706" s="24" t="s">
        <v>652</v>
      </c>
      <c r="C3706" s="24" t="s">
        <v>1895</v>
      </c>
      <c r="D3706" s="5" t="s">
        <v>7086</v>
      </c>
      <c r="E3706" s="35">
        <v>42599</v>
      </c>
    </row>
    <row r="3707" spans="1:5" ht="14.25" hidden="1" customHeight="1">
      <c r="A3707" s="23">
        <v>14296958</v>
      </c>
      <c r="B3707" s="24" t="s">
        <v>5838</v>
      </c>
      <c r="C3707" s="24" t="s">
        <v>5839</v>
      </c>
      <c r="D3707" s="5" t="s">
        <v>7086</v>
      </c>
      <c r="E3707" s="35">
        <v>42599</v>
      </c>
    </row>
    <row r="3708" spans="1:5" ht="14.25" hidden="1" customHeight="1">
      <c r="A3708" s="23">
        <v>14480427</v>
      </c>
      <c r="B3708" s="24" t="s">
        <v>6245</v>
      </c>
      <c r="C3708" s="24" t="s">
        <v>215</v>
      </c>
      <c r="D3708" s="5" t="s">
        <v>7086</v>
      </c>
      <c r="E3708" s="35">
        <v>42599</v>
      </c>
    </row>
    <row r="3709" spans="1:5" ht="14.25" hidden="1" customHeight="1">
      <c r="A3709" s="23">
        <v>14481830</v>
      </c>
      <c r="B3709" s="24" t="s">
        <v>7179</v>
      </c>
      <c r="C3709" s="24" t="s">
        <v>2665</v>
      </c>
      <c r="D3709" s="5" t="s">
        <v>7086</v>
      </c>
      <c r="E3709" s="35">
        <v>42599</v>
      </c>
    </row>
    <row r="3710" spans="1:5" ht="14.25" hidden="1" customHeight="1">
      <c r="A3710" s="23">
        <v>16883976</v>
      </c>
      <c r="B3710" s="24" t="s">
        <v>2121</v>
      </c>
      <c r="C3710" s="24" t="s">
        <v>2810</v>
      </c>
      <c r="D3710" s="5" t="s">
        <v>7086</v>
      </c>
      <c r="E3710" s="35">
        <v>42599</v>
      </c>
    </row>
    <row r="3711" spans="1:5" ht="14.25" hidden="1" customHeight="1">
      <c r="A3711" s="23">
        <v>17614178</v>
      </c>
      <c r="B3711" s="24" t="s">
        <v>1787</v>
      </c>
      <c r="C3711" s="24" t="s">
        <v>5179</v>
      </c>
      <c r="D3711" s="5" t="s">
        <v>7086</v>
      </c>
      <c r="E3711" s="35">
        <v>42599</v>
      </c>
    </row>
    <row r="3712" spans="1:5" ht="14.25" hidden="1" customHeight="1">
      <c r="A3712" s="23">
        <v>17947847</v>
      </c>
      <c r="B3712" s="24" t="s">
        <v>2758</v>
      </c>
      <c r="C3712" s="24" t="s">
        <v>2759</v>
      </c>
      <c r="D3712" s="5" t="s">
        <v>7086</v>
      </c>
      <c r="E3712" s="35">
        <v>42599</v>
      </c>
    </row>
    <row r="3713" spans="1:5" ht="14.25" hidden="1" customHeight="1">
      <c r="A3713" s="23">
        <v>25444258</v>
      </c>
      <c r="B3713" s="24" t="s">
        <v>4847</v>
      </c>
      <c r="C3713" s="24" t="s">
        <v>4848</v>
      </c>
      <c r="D3713" s="5" t="s">
        <v>7086</v>
      </c>
      <c r="E3713" s="35">
        <v>42599</v>
      </c>
    </row>
    <row r="3714" spans="1:5" ht="14.25" hidden="1" customHeight="1">
      <c r="A3714" s="23">
        <v>30090802</v>
      </c>
      <c r="B3714" s="24" t="s">
        <v>5012</v>
      </c>
      <c r="C3714" s="24" t="s">
        <v>5013</v>
      </c>
      <c r="D3714" s="5" t="s">
        <v>7086</v>
      </c>
      <c r="E3714" s="35">
        <v>42599</v>
      </c>
    </row>
    <row r="3715" spans="1:5" ht="14.25" hidden="1" customHeight="1">
      <c r="A3715" s="23">
        <v>31127261</v>
      </c>
      <c r="B3715" s="24" t="s">
        <v>7178</v>
      </c>
      <c r="C3715" s="24" t="s">
        <v>5631</v>
      </c>
      <c r="D3715" s="5" t="s">
        <v>7086</v>
      </c>
      <c r="E3715" s="35">
        <v>42599</v>
      </c>
    </row>
    <row r="3716" spans="1:5" ht="14.25" hidden="1" customHeight="1">
      <c r="A3716" s="23">
        <v>33050608</v>
      </c>
      <c r="B3716" s="24" t="s">
        <v>760</v>
      </c>
      <c r="C3716" s="24" t="s">
        <v>6430</v>
      </c>
      <c r="D3716" s="5" t="s">
        <v>7086</v>
      </c>
      <c r="E3716" s="35">
        <v>42599</v>
      </c>
    </row>
    <row r="3717" spans="1:5" ht="14.25" hidden="1" customHeight="1">
      <c r="A3717" s="23">
        <v>33332352</v>
      </c>
      <c r="B3717" s="24" t="s">
        <v>6077</v>
      </c>
      <c r="C3717" s="24" t="s">
        <v>178</v>
      </c>
      <c r="D3717" s="5" t="s">
        <v>7086</v>
      </c>
      <c r="E3717" s="35">
        <v>42599</v>
      </c>
    </row>
    <row r="3718" spans="1:5" ht="14.25" hidden="1" customHeight="1">
      <c r="A3718" s="23">
        <v>33540639</v>
      </c>
      <c r="B3718" s="24" t="s">
        <v>2121</v>
      </c>
      <c r="C3718" s="24" t="s">
        <v>5070</v>
      </c>
      <c r="D3718" s="5" t="s">
        <v>7086</v>
      </c>
      <c r="E3718" s="35">
        <v>42599</v>
      </c>
    </row>
    <row r="3719" spans="1:5" ht="14.25" hidden="1" customHeight="1">
      <c r="A3719" s="23">
        <v>33755715</v>
      </c>
      <c r="B3719" s="24" t="s">
        <v>4999</v>
      </c>
      <c r="C3719" s="24" t="s">
        <v>5000</v>
      </c>
      <c r="D3719" s="5" t="s">
        <v>7086</v>
      </c>
      <c r="E3719" s="35">
        <v>42599</v>
      </c>
    </row>
    <row r="3720" spans="1:5" ht="14.25" hidden="1" customHeight="1">
      <c r="A3720" s="23">
        <v>36420278</v>
      </c>
      <c r="B3720" s="24" t="s">
        <v>218</v>
      </c>
      <c r="C3720" s="24" t="s">
        <v>6158</v>
      </c>
      <c r="D3720" s="5" t="s">
        <v>7086</v>
      </c>
      <c r="E3720" s="35">
        <v>42599</v>
      </c>
    </row>
    <row r="3721" spans="1:5" ht="14.25" hidden="1" customHeight="1">
      <c r="A3721" s="23">
        <v>228778820</v>
      </c>
      <c r="B3721" s="24" t="s">
        <v>774</v>
      </c>
      <c r="C3721" s="24" t="s">
        <v>283</v>
      </c>
      <c r="D3721" s="5" t="s">
        <v>7086</v>
      </c>
      <c r="E3721" s="35">
        <v>42599</v>
      </c>
    </row>
    <row r="3722" spans="1:5" ht="14.25" hidden="1" customHeight="1">
      <c r="A3722" s="23">
        <v>11475984</v>
      </c>
      <c r="B3722" s="24" t="s">
        <v>3041</v>
      </c>
      <c r="C3722" s="24" t="s">
        <v>783</v>
      </c>
      <c r="D3722" s="5" t="s">
        <v>7009</v>
      </c>
      <c r="E3722" s="35">
        <v>42591</v>
      </c>
    </row>
    <row r="3723" spans="1:5" ht="14.25" hidden="1" customHeight="1">
      <c r="A3723" s="23">
        <v>17182042</v>
      </c>
      <c r="B3723" s="24" t="s">
        <v>218</v>
      </c>
      <c r="C3723" s="24" t="s">
        <v>4318</v>
      </c>
      <c r="D3723" s="5" t="s">
        <v>7009</v>
      </c>
      <c r="E3723" s="35">
        <v>42591</v>
      </c>
    </row>
    <row r="3724" spans="1:5" ht="14.25" hidden="1" customHeight="1">
      <c r="A3724" s="23">
        <v>21745921</v>
      </c>
      <c r="B3724" s="24" t="s">
        <v>1112</v>
      </c>
      <c r="C3724" s="24" t="s">
        <v>7181</v>
      </c>
      <c r="D3724" s="5" t="s">
        <v>7009</v>
      </c>
      <c r="E3724" s="35">
        <v>42591</v>
      </c>
    </row>
    <row r="3725" spans="1:5" ht="14.25" hidden="1" customHeight="1">
      <c r="A3725" s="23">
        <v>24069816</v>
      </c>
      <c r="B3725" s="24" t="s">
        <v>7180</v>
      </c>
      <c r="C3725" s="24" t="s">
        <v>3955</v>
      </c>
      <c r="D3725" s="5" t="s">
        <v>7009</v>
      </c>
      <c r="E3725" s="35">
        <v>42591</v>
      </c>
    </row>
    <row r="3726" spans="1:5" ht="14.25" hidden="1" customHeight="1">
      <c r="A3726" s="23">
        <v>24399062</v>
      </c>
      <c r="B3726" s="24" t="s">
        <v>2121</v>
      </c>
      <c r="C3726" s="24" t="s">
        <v>2122</v>
      </c>
      <c r="D3726" s="5" t="s">
        <v>7009</v>
      </c>
      <c r="E3726" s="35">
        <v>42591</v>
      </c>
    </row>
    <row r="3727" spans="1:5" ht="14.25" hidden="1" customHeight="1">
      <c r="A3727" s="23">
        <v>29310568</v>
      </c>
      <c r="B3727" s="24" t="s">
        <v>1286</v>
      </c>
      <c r="C3727" s="24" t="s">
        <v>473</v>
      </c>
      <c r="D3727" s="5" t="s">
        <v>7009</v>
      </c>
      <c r="E3727" s="35">
        <v>42591</v>
      </c>
    </row>
    <row r="3728" spans="1:5" ht="14.25" hidden="1" customHeight="1">
      <c r="A3728" s="23">
        <v>29999714</v>
      </c>
      <c r="B3728" s="24" t="s">
        <v>2576</v>
      </c>
      <c r="C3728" s="24" t="s">
        <v>3811</v>
      </c>
      <c r="D3728" s="5" t="s">
        <v>7009</v>
      </c>
      <c r="E3728" s="35">
        <v>42591</v>
      </c>
    </row>
    <row r="3729" spans="1:5" ht="14.25" hidden="1" customHeight="1">
      <c r="A3729" s="23">
        <v>32134246</v>
      </c>
      <c r="B3729" s="24" t="s">
        <v>1571</v>
      </c>
      <c r="C3729" s="24" t="s">
        <v>4368</v>
      </c>
      <c r="D3729" s="5" t="s">
        <v>7009</v>
      </c>
      <c r="E3729" s="35">
        <v>42591</v>
      </c>
    </row>
    <row r="3730" spans="1:5" ht="14.25" hidden="1" customHeight="1">
      <c r="A3730" s="23">
        <v>34719301</v>
      </c>
      <c r="B3730" s="24" t="s">
        <v>68</v>
      </c>
      <c r="C3730" s="24" t="s">
        <v>27</v>
      </c>
      <c r="D3730" s="5" t="s">
        <v>7009</v>
      </c>
      <c r="E3730" s="35">
        <v>42591</v>
      </c>
    </row>
    <row r="3731" spans="1:5" ht="14.25" hidden="1" customHeight="1">
      <c r="A3731" s="23">
        <v>35921443</v>
      </c>
      <c r="B3731" s="24" t="s">
        <v>680</v>
      </c>
      <c r="C3731" s="24" t="s">
        <v>7037</v>
      </c>
      <c r="D3731" s="5" t="s">
        <v>7009</v>
      </c>
      <c r="E3731" s="35">
        <v>42591</v>
      </c>
    </row>
    <row r="3732" spans="1:5" ht="14.25" hidden="1" customHeight="1">
      <c r="A3732" s="23">
        <v>5486653</v>
      </c>
      <c r="B3732" s="24" t="s">
        <v>7183</v>
      </c>
      <c r="C3732" s="24" t="s">
        <v>1310</v>
      </c>
      <c r="D3732" s="5" t="s">
        <v>7182</v>
      </c>
      <c r="E3732" s="35">
        <v>42522</v>
      </c>
    </row>
    <row r="3733" spans="1:5" ht="14.25" hidden="1" customHeight="1">
      <c r="A3733" s="23">
        <v>11910769</v>
      </c>
      <c r="B3733" s="24" t="s">
        <v>3826</v>
      </c>
      <c r="C3733" s="24" t="s">
        <v>3827</v>
      </c>
      <c r="D3733" s="5" t="s">
        <v>7182</v>
      </c>
      <c r="E3733" s="35">
        <v>42522</v>
      </c>
    </row>
    <row r="3734" spans="1:5" ht="14.25" hidden="1" customHeight="1">
      <c r="A3734" s="23">
        <v>16199818</v>
      </c>
      <c r="B3734" s="24" t="s">
        <v>4315</v>
      </c>
      <c r="C3734" s="24" t="s">
        <v>4316</v>
      </c>
      <c r="D3734" s="5" t="s">
        <v>7182</v>
      </c>
      <c r="E3734" s="35">
        <v>42522</v>
      </c>
    </row>
    <row r="3735" spans="1:5" ht="14.25" hidden="1" customHeight="1">
      <c r="A3735" s="23">
        <v>16383750</v>
      </c>
      <c r="B3735" s="24" t="s">
        <v>21</v>
      </c>
      <c r="C3735" s="24" t="s">
        <v>1649</v>
      </c>
      <c r="D3735" s="5" t="s">
        <v>7182</v>
      </c>
      <c r="E3735" s="35">
        <v>42522</v>
      </c>
    </row>
    <row r="3736" spans="1:5" ht="14.25" hidden="1" customHeight="1">
      <c r="A3736" s="23">
        <v>20178395</v>
      </c>
      <c r="B3736" s="24" t="s">
        <v>2358</v>
      </c>
      <c r="C3736" s="24" t="s">
        <v>902</v>
      </c>
      <c r="D3736" s="5" t="s">
        <v>7182</v>
      </c>
      <c r="E3736" s="35">
        <v>42522</v>
      </c>
    </row>
    <row r="3737" spans="1:5" ht="14.25" hidden="1" customHeight="1">
      <c r="A3737" s="23">
        <v>20692036</v>
      </c>
      <c r="B3737" s="24" t="s">
        <v>727</v>
      </c>
      <c r="C3737" s="24" t="s">
        <v>728</v>
      </c>
      <c r="D3737" s="5" t="s">
        <v>7182</v>
      </c>
      <c r="E3737" s="35">
        <v>42522</v>
      </c>
    </row>
    <row r="3738" spans="1:5" ht="14.25" hidden="1" customHeight="1">
      <c r="A3738" s="23">
        <v>21805042</v>
      </c>
      <c r="B3738" s="24" t="s">
        <v>4106</v>
      </c>
      <c r="C3738" s="24" t="s">
        <v>4107</v>
      </c>
      <c r="D3738" s="5" t="s">
        <v>7182</v>
      </c>
      <c r="E3738" s="35">
        <v>42522</v>
      </c>
    </row>
    <row r="3739" spans="1:5" ht="14.25" hidden="1" customHeight="1">
      <c r="A3739" s="23">
        <v>25800534</v>
      </c>
      <c r="B3739" s="24" t="s">
        <v>4868</v>
      </c>
      <c r="C3739" s="24" t="s">
        <v>4869</v>
      </c>
      <c r="D3739" s="5" t="s">
        <v>7182</v>
      </c>
      <c r="E3739" s="35">
        <v>42522</v>
      </c>
    </row>
    <row r="3740" spans="1:5" ht="14.25" hidden="1" customHeight="1">
      <c r="A3740" s="16">
        <v>26783120</v>
      </c>
      <c r="B3740" s="17" t="s">
        <v>620</v>
      </c>
      <c r="C3740" s="17" t="s">
        <v>135</v>
      </c>
      <c r="D3740" s="5" t="s">
        <v>7182</v>
      </c>
      <c r="E3740" s="35">
        <v>42522</v>
      </c>
    </row>
    <row r="3741" spans="1:5" ht="14.25" hidden="1" customHeight="1">
      <c r="A3741" s="16">
        <v>34287160</v>
      </c>
      <c r="B3741" s="17" t="s">
        <v>595</v>
      </c>
      <c r="C3741" s="17" t="s">
        <v>596</v>
      </c>
      <c r="D3741" s="5" t="s">
        <v>7182</v>
      </c>
      <c r="E3741" s="35">
        <v>42522</v>
      </c>
    </row>
    <row r="3742" spans="1:5" ht="14.25" hidden="1" customHeight="1">
      <c r="A3742" s="16">
        <v>17655489</v>
      </c>
      <c r="B3742" s="17" t="s">
        <v>1973</v>
      </c>
      <c r="C3742" s="17" t="s">
        <v>106</v>
      </c>
      <c r="D3742" s="5" t="s">
        <v>7018</v>
      </c>
      <c r="E3742" s="35">
        <v>42521</v>
      </c>
    </row>
    <row r="3743" spans="1:5" ht="14.25" hidden="1" customHeight="1">
      <c r="A3743" s="16">
        <v>21744365</v>
      </c>
      <c r="B3743" s="17" t="s">
        <v>7184</v>
      </c>
      <c r="C3743" s="17" t="s">
        <v>1172</v>
      </c>
      <c r="D3743" s="5" t="s">
        <v>7018</v>
      </c>
      <c r="E3743" s="35">
        <v>42521</v>
      </c>
    </row>
    <row r="3744" spans="1:5" ht="14.25" hidden="1" customHeight="1">
      <c r="A3744" s="16">
        <v>21745921</v>
      </c>
      <c r="B3744" s="17" t="s">
        <v>1112</v>
      </c>
      <c r="C3744" s="17" t="s">
        <v>1113</v>
      </c>
      <c r="D3744" s="5" t="s">
        <v>7018</v>
      </c>
      <c r="E3744" s="35">
        <v>42521</v>
      </c>
    </row>
    <row r="3745" spans="1:5" ht="14.25" hidden="1" customHeight="1">
      <c r="A3745" s="16">
        <v>24069816</v>
      </c>
      <c r="B3745" s="17" t="s">
        <v>26</v>
      </c>
      <c r="C3745" s="17" t="s">
        <v>3955</v>
      </c>
      <c r="D3745" s="5" t="s">
        <v>7018</v>
      </c>
      <c r="E3745" s="35">
        <v>42521</v>
      </c>
    </row>
    <row r="3746" spans="1:5" ht="14.25" hidden="1" customHeight="1">
      <c r="A3746" s="16">
        <v>24200921</v>
      </c>
      <c r="B3746" s="17" t="s">
        <v>4784</v>
      </c>
      <c r="C3746" s="17" t="s">
        <v>1085</v>
      </c>
      <c r="D3746" s="5" t="s">
        <v>7018</v>
      </c>
      <c r="E3746" s="35">
        <v>42521</v>
      </c>
    </row>
    <row r="3747" spans="1:5" ht="14.25" hidden="1" customHeight="1">
      <c r="A3747" s="16">
        <v>26722044</v>
      </c>
      <c r="B3747" s="17" t="s">
        <v>2116</v>
      </c>
      <c r="C3747" s="17" t="s">
        <v>2117</v>
      </c>
      <c r="D3747" s="5" t="s">
        <v>7018</v>
      </c>
      <c r="E3747" s="35">
        <v>42521</v>
      </c>
    </row>
    <row r="3748" spans="1:5" ht="14.25" hidden="1" customHeight="1">
      <c r="A3748" s="16">
        <v>27652555</v>
      </c>
      <c r="B3748" s="17" t="s">
        <v>47</v>
      </c>
      <c r="C3748" s="17" t="s">
        <v>5175</v>
      </c>
      <c r="D3748" s="5" t="s">
        <v>7018</v>
      </c>
      <c r="E3748" s="35">
        <v>42521</v>
      </c>
    </row>
    <row r="3749" spans="1:5" ht="14.25" hidden="1" customHeight="1">
      <c r="A3749" s="16">
        <v>29310568</v>
      </c>
      <c r="B3749" s="17" t="s">
        <v>1286</v>
      </c>
      <c r="C3749" s="17" t="s">
        <v>3317</v>
      </c>
      <c r="D3749" s="5" t="s">
        <v>7018</v>
      </c>
      <c r="E3749" s="35">
        <v>42521</v>
      </c>
    </row>
    <row r="3750" spans="1:5" ht="14.25" hidden="1" customHeight="1">
      <c r="A3750" s="16">
        <v>32134246</v>
      </c>
      <c r="B3750" s="17" t="s">
        <v>1571</v>
      </c>
      <c r="C3750" s="17" t="s">
        <v>4368</v>
      </c>
      <c r="D3750" s="5" t="s">
        <v>7018</v>
      </c>
      <c r="E3750" s="35">
        <v>42521</v>
      </c>
    </row>
    <row r="3751" spans="1:5" ht="14.25" hidden="1" customHeight="1">
      <c r="A3751" s="16">
        <v>33817813</v>
      </c>
      <c r="B3751" s="17" t="s">
        <v>1248</v>
      </c>
      <c r="C3751" s="17" t="s">
        <v>1252</v>
      </c>
      <c r="D3751" s="5" t="s">
        <v>7018</v>
      </c>
      <c r="E3751" s="35">
        <v>42521</v>
      </c>
    </row>
    <row r="3752" spans="1:5" ht="14.25" hidden="1" customHeight="1">
      <c r="A3752" s="16">
        <v>35811700</v>
      </c>
      <c r="B3752" s="17" t="s">
        <v>100</v>
      </c>
      <c r="C3752" s="17" t="s">
        <v>101</v>
      </c>
      <c r="D3752" s="5" t="s">
        <v>7018</v>
      </c>
      <c r="E3752" s="35">
        <v>42521</v>
      </c>
    </row>
    <row r="3753" spans="1:5" ht="14.25" hidden="1" customHeight="1">
      <c r="A3753" s="16">
        <v>35921443</v>
      </c>
      <c r="B3753" s="17" t="s">
        <v>680</v>
      </c>
      <c r="C3753" s="17" t="s">
        <v>2706</v>
      </c>
      <c r="D3753" s="5" t="s">
        <v>7018</v>
      </c>
      <c r="E3753" s="35">
        <v>42521</v>
      </c>
    </row>
    <row r="3754" spans="1:5" ht="14.25" hidden="1" customHeight="1">
      <c r="A3754" s="16">
        <v>11707732</v>
      </c>
      <c r="B3754" s="17" t="s">
        <v>4506</v>
      </c>
      <c r="C3754" s="17" t="s">
        <v>468</v>
      </c>
      <c r="D3754" s="5" t="s">
        <v>7185</v>
      </c>
      <c r="E3754" s="35">
        <v>42516</v>
      </c>
    </row>
    <row r="3755" spans="1:5" ht="14.25" hidden="1" customHeight="1">
      <c r="A3755" s="16">
        <v>12387324</v>
      </c>
      <c r="B3755" s="17" t="s">
        <v>2059</v>
      </c>
      <c r="C3755" s="17" t="s">
        <v>4859</v>
      </c>
      <c r="D3755" s="5" t="s">
        <v>7185</v>
      </c>
      <c r="E3755" s="35">
        <v>42516</v>
      </c>
    </row>
    <row r="3756" spans="1:5" ht="14.25" hidden="1" customHeight="1">
      <c r="A3756" s="16">
        <v>12413488</v>
      </c>
      <c r="B3756" s="17" t="s">
        <v>1697</v>
      </c>
      <c r="C3756" s="17" t="s">
        <v>1698</v>
      </c>
      <c r="D3756" s="5" t="s">
        <v>7185</v>
      </c>
      <c r="E3756" s="35">
        <v>42516</v>
      </c>
    </row>
    <row r="3757" spans="1:5" ht="14.25" hidden="1" customHeight="1">
      <c r="A3757" s="16">
        <v>12414408</v>
      </c>
      <c r="B3757" s="17" t="s">
        <v>2087</v>
      </c>
      <c r="C3757" s="17" t="s">
        <v>2510</v>
      </c>
      <c r="D3757" s="5" t="s">
        <v>7185</v>
      </c>
      <c r="E3757" s="35">
        <v>42516</v>
      </c>
    </row>
    <row r="3758" spans="1:5" ht="14.25" hidden="1" customHeight="1">
      <c r="A3758" s="16">
        <v>12597912</v>
      </c>
      <c r="B3758" s="17" t="s">
        <v>3834</v>
      </c>
      <c r="C3758" s="17" t="s">
        <v>3835</v>
      </c>
      <c r="D3758" s="5" t="s">
        <v>7185</v>
      </c>
      <c r="E3758" s="35">
        <v>42516</v>
      </c>
    </row>
    <row r="3759" spans="1:5" ht="14.25" hidden="1" customHeight="1">
      <c r="A3759" s="16">
        <v>12918409</v>
      </c>
      <c r="B3759" s="17" t="s">
        <v>3762</v>
      </c>
      <c r="C3759" s="17" t="s">
        <v>3763</v>
      </c>
      <c r="D3759" s="5" t="s">
        <v>7185</v>
      </c>
      <c r="E3759" s="35">
        <v>42516</v>
      </c>
    </row>
    <row r="3760" spans="1:5" ht="14.25" hidden="1" customHeight="1">
      <c r="A3760" s="16">
        <v>13278971</v>
      </c>
      <c r="B3760" s="17" t="s">
        <v>1625</v>
      </c>
      <c r="C3760" s="17" t="s">
        <v>1626</v>
      </c>
      <c r="D3760" s="5" t="s">
        <v>7185</v>
      </c>
      <c r="E3760" s="35">
        <v>42516</v>
      </c>
    </row>
    <row r="3761" spans="1:5" ht="14.25" hidden="1" customHeight="1">
      <c r="A3761" s="16">
        <v>13710024</v>
      </c>
      <c r="B3761" s="17" t="s">
        <v>2296</v>
      </c>
      <c r="C3761" s="17" t="s">
        <v>427</v>
      </c>
      <c r="D3761" s="5" t="s">
        <v>7185</v>
      </c>
      <c r="E3761" s="35">
        <v>42516</v>
      </c>
    </row>
    <row r="3762" spans="1:5" ht="14.25" hidden="1" customHeight="1">
      <c r="A3762" s="16">
        <v>14073446</v>
      </c>
      <c r="B3762" s="17" t="s">
        <v>288</v>
      </c>
      <c r="C3762" s="17" t="s">
        <v>3757</v>
      </c>
      <c r="D3762" s="5" t="s">
        <v>7185</v>
      </c>
      <c r="E3762" s="35">
        <v>42516</v>
      </c>
    </row>
    <row r="3763" spans="1:5" ht="14.25" hidden="1" customHeight="1">
      <c r="A3763" s="16">
        <v>14352896</v>
      </c>
      <c r="B3763" s="17" t="s">
        <v>3428</v>
      </c>
      <c r="C3763" s="17" t="s">
        <v>3429</v>
      </c>
      <c r="D3763" s="5" t="s">
        <v>7185</v>
      </c>
      <c r="E3763" s="35">
        <v>42516</v>
      </c>
    </row>
    <row r="3764" spans="1:5" ht="14.25" hidden="1" customHeight="1">
      <c r="A3764" s="16">
        <v>14966562</v>
      </c>
      <c r="B3764" s="17" t="s">
        <v>1493</v>
      </c>
      <c r="C3764" s="17" t="s">
        <v>4889</v>
      </c>
      <c r="D3764" s="5" t="s">
        <v>7185</v>
      </c>
      <c r="E3764" s="35">
        <v>42516</v>
      </c>
    </row>
    <row r="3765" spans="1:5" ht="14.25" hidden="1" customHeight="1">
      <c r="A3765" s="16">
        <v>14984007</v>
      </c>
      <c r="B3765" s="17" t="s">
        <v>3742</v>
      </c>
      <c r="C3765" s="17" t="s">
        <v>3743</v>
      </c>
      <c r="D3765" s="5" t="s">
        <v>7185</v>
      </c>
      <c r="E3765" s="35">
        <v>42516</v>
      </c>
    </row>
    <row r="3766" spans="1:5" ht="14.25" hidden="1" customHeight="1">
      <c r="A3766" s="16">
        <v>16175799</v>
      </c>
      <c r="B3766" s="17" t="s">
        <v>3537</v>
      </c>
      <c r="C3766" s="17" t="s">
        <v>3538</v>
      </c>
      <c r="D3766" s="5" t="s">
        <v>7185</v>
      </c>
      <c r="E3766" s="35">
        <v>42516</v>
      </c>
    </row>
    <row r="3767" spans="1:5" ht="14.25" hidden="1" customHeight="1">
      <c r="A3767" s="16">
        <v>16617561</v>
      </c>
      <c r="B3767" s="17" t="s">
        <v>4445</v>
      </c>
      <c r="C3767" s="17" t="s">
        <v>4446</v>
      </c>
      <c r="D3767" s="5" t="s">
        <v>7185</v>
      </c>
      <c r="E3767" s="35">
        <v>42516</v>
      </c>
    </row>
    <row r="3768" spans="1:5" ht="14.25" hidden="1" customHeight="1">
      <c r="A3768" s="16">
        <v>16933288</v>
      </c>
      <c r="B3768" s="17" t="s">
        <v>226</v>
      </c>
      <c r="C3768" s="17" t="s">
        <v>6161</v>
      </c>
      <c r="D3768" s="5" t="s">
        <v>7185</v>
      </c>
      <c r="E3768" s="35">
        <v>42516</v>
      </c>
    </row>
    <row r="3769" spans="1:5" ht="14.25" hidden="1" customHeight="1">
      <c r="A3769" s="16">
        <v>17040868</v>
      </c>
      <c r="B3769" s="17" t="s">
        <v>592</v>
      </c>
      <c r="C3769" s="17" t="s">
        <v>593</v>
      </c>
      <c r="D3769" s="5" t="s">
        <v>7185</v>
      </c>
      <c r="E3769" s="35">
        <v>42516</v>
      </c>
    </row>
    <row r="3770" spans="1:5" ht="14.25" hidden="1" customHeight="1">
      <c r="A3770" s="16">
        <v>17293872</v>
      </c>
      <c r="B3770" s="17" t="s">
        <v>47</v>
      </c>
      <c r="C3770" s="17" t="s">
        <v>4259</v>
      </c>
      <c r="D3770" s="5" t="s">
        <v>7185</v>
      </c>
      <c r="E3770" s="35">
        <v>42516</v>
      </c>
    </row>
    <row r="3771" spans="1:5" ht="14.25" hidden="1" customHeight="1">
      <c r="A3771" s="16">
        <v>17562419</v>
      </c>
      <c r="B3771" s="17" t="s">
        <v>4779</v>
      </c>
      <c r="C3771" s="17" t="s">
        <v>1061</v>
      </c>
      <c r="D3771" s="5" t="s">
        <v>7185</v>
      </c>
      <c r="E3771" s="35">
        <v>42516</v>
      </c>
    </row>
    <row r="3772" spans="1:5" ht="14.25" hidden="1" customHeight="1">
      <c r="A3772" s="16">
        <v>17613698</v>
      </c>
      <c r="B3772" s="17" t="s">
        <v>983</v>
      </c>
      <c r="C3772" s="17" t="s">
        <v>984</v>
      </c>
      <c r="D3772" s="5" t="s">
        <v>7185</v>
      </c>
      <c r="E3772" s="35">
        <v>42516</v>
      </c>
    </row>
    <row r="3773" spans="1:5" ht="14.25" hidden="1" customHeight="1">
      <c r="A3773" s="16">
        <v>17696330</v>
      </c>
      <c r="B3773" s="17" t="s">
        <v>7193</v>
      </c>
      <c r="C3773" s="17" t="s">
        <v>747</v>
      </c>
      <c r="D3773" s="5" t="s">
        <v>7185</v>
      </c>
      <c r="E3773" s="35">
        <v>42516</v>
      </c>
    </row>
    <row r="3774" spans="1:5" ht="14.25" hidden="1" customHeight="1">
      <c r="A3774" s="16">
        <v>17859807</v>
      </c>
      <c r="B3774" s="17" t="s">
        <v>413</v>
      </c>
      <c r="C3774" s="17" t="s">
        <v>414</v>
      </c>
      <c r="D3774" s="5" t="s">
        <v>7185</v>
      </c>
      <c r="E3774" s="35">
        <v>42516</v>
      </c>
    </row>
    <row r="3775" spans="1:5" ht="14.25" hidden="1" customHeight="1">
      <c r="A3775" s="16">
        <v>18102826</v>
      </c>
      <c r="B3775" s="17" t="s">
        <v>3176</v>
      </c>
      <c r="C3775" s="17" t="s">
        <v>3998</v>
      </c>
      <c r="D3775" s="5" t="s">
        <v>7185</v>
      </c>
      <c r="E3775" s="35">
        <v>42516</v>
      </c>
    </row>
    <row r="3776" spans="1:5" ht="14.25" hidden="1" customHeight="1">
      <c r="A3776" s="16">
        <v>18463764</v>
      </c>
      <c r="B3776" s="17" t="s">
        <v>927</v>
      </c>
      <c r="C3776" s="17" t="s">
        <v>928</v>
      </c>
      <c r="D3776" s="5" t="s">
        <v>7185</v>
      </c>
      <c r="E3776" s="35">
        <v>42516</v>
      </c>
    </row>
    <row r="3777" spans="1:5" ht="14.25" hidden="1" customHeight="1">
      <c r="A3777" s="16">
        <v>20418132</v>
      </c>
      <c r="B3777" s="17" t="s">
        <v>374</v>
      </c>
      <c r="C3777" s="17" t="s">
        <v>722</v>
      </c>
      <c r="D3777" s="5" t="s">
        <v>7185</v>
      </c>
      <c r="E3777" s="35">
        <v>42516</v>
      </c>
    </row>
    <row r="3778" spans="1:5" ht="14.25" hidden="1" customHeight="1">
      <c r="A3778" s="16">
        <v>20759580</v>
      </c>
      <c r="B3778" s="17" t="s">
        <v>118</v>
      </c>
      <c r="C3778" s="17" t="s">
        <v>119</v>
      </c>
      <c r="D3778" s="5" t="s">
        <v>7185</v>
      </c>
      <c r="E3778" s="35">
        <v>42516</v>
      </c>
    </row>
    <row r="3779" spans="1:5" ht="14.25" hidden="1" customHeight="1">
      <c r="A3779" s="16">
        <v>21329323</v>
      </c>
      <c r="B3779" s="17" t="s">
        <v>4646</v>
      </c>
      <c r="C3779" s="17" t="s">
        <v>2447</v>
      </c>
      <c r="D3779" s="5" t="s">
        <v>7185</v>
      </c>
      <c r="E3779" s="35">
        <v>42516</v>
      </c>
    </row>
    <row r="3780" spans="1:5" ht="14.25" hidden="1" customHeight="1">
      <c r="A3780" s="16">
        <v>21745791</v>
      </c>
      <c r="B3780" s="17" t="s">
        <v>3264</v>
      </c>
      <c r="C3780" s="17" t="s">
        <v>223</v>
      </c>
      <c r="D3780" s="5" t="s">
        <v>7185</v>
      </c>
      <c r="E3780" s="35">
        <v>42516</v>
      </c>
    </row>
    <row r="3781" spans="1:5" ht="14.25" hidden="1" customHeight="1">
      <c r="A3781" s="16">
        <v>21829290</v>
      </c>
      <c r="B3781" s="17" t="s">
        <v>2521</v>
      </c>
      <c r="C3781" s="17" t="s">
        <v>2522</v>
      </c>
      <c r="D3781" s="5" t="s">
        <v>7185</v>
      </c>
      <c r="E3781" s="35">
        <v>42516</v>
      </c>
    </row>
    <row r="3782" spans="1:5" ht="14.25" hidden="1" customHeight="1">
      <c r="A3782" s="16">
        <v>21893835</v>
      </c>
      <c r="B3782" s="17" t="s">
        <v>321</v>
      </c>
      <c r="C3782" s="17" t="s">
        <v>322</v>
      </c>
      <c r="D3782" s="5" t="s">
        <v>7185</v>
      </c>
      <c r="E3782" s="35">
        <v>42516</v>
      </c>
    </row>
    <row r="3783" spans="1:5" ht="14.25" hidden="1" customHeight="1">
      <c r="A3783" s="16">
        <v>22030518</v>
      </c>
      <c r="B3783" s="17" t="s">
        <v>599</v>
      </c>
      <c r="C3783" s="17" t="s">
        <v>600</v>
      </c>
      <c r="D3783" s="5" t="s">
        <v>7185</v>
      </c>
      <c r="E3783" s="35">
        <v>42516</v>
      </c>
    </row>
    <row r="3784" spans="1:5" ht="14.25" hidden="1" customHeight="1">
      <c r="A3784" s="16">
        <v>22031835</v>
      </c>
      <c r="B3784" s="17" t="s">
        <v>273</v>
      </c>
      <c r="C3784" s="17" t="s">
        <v>274</v>
      </c>
      <c r="D3784" s="5" t="s">
        <v>7185</v>
      </c>
      <c r="E3784" s="35">
        <v>42516</v>
      </c>
    </row>
    <row r="3785" spans="1:5" ht="14.25" hidden="1" customHeight="1">
      <c r="A3785" s="16">
        <v>22073287</v>
      </c>
      <c r="B3785" s="17" t="s">
        <v>4752</v>
      </c>
      <c r="C3785" s="17" t="s">
        <v>3202</v>
      </c>
      <c r="D3785" s="5" t="s">
        <v>7185</v>
      </c>
      <c r="E3785" s="35">
        <v>42516</v>
      </c>
    </row>
    <row r="3786" spans="1:5" ht="14.25" hidden="1" customHeight="1">
      <c r="A3786" s="16">
        <v>22877621</v>
      </c>
      <c r="B3786" s="17" t="s">
        <v>2454</v>
      </c>
      <c r="C3786" s="17" t="s">
        <v>106</v>
      </c>
      <c r="D3786" s="5" t="s">
        <v>7185</v>
      </c>
      <c r="E3786" s="35">
        <v>42516</v>
      </c>
    </row>
    <row r="3787" spans="1:5" ht="14.25" hidden="1" customHeight="1">
      <c r="A3787" s="16">
        <v>22877863</v>
      </c>
      <c r="B3787" s="17" t="s">
        <v>2053</v>
      </c>
      <c r="C3787" s="17" t="s">
        <v>7189</v>
      </c>
      <c r="D3787" s="5" t="s">
        <v>7185</v>
      </c>
      <c r="E3787" s="35">
        <v>42516</v>
      </c>
    </row>
    <row r="3788" spans="1:5" ht="14.25" hidden="1" customHeight="1">
      <c r="A3788" s="16">
        <v>23015469</v>
      </c>
      <c r="B3788" s="17" t="s">
        <v>714</v>
      </c>
      <c r="C3788" s="17" t="s">
        <v>7149</v>
      </c>
      <c r="D3788" s="5" t="s">
        <v>7185</v>
      </c>
      <c r="E3788" s="35">
        <v>42516</v>
      </c>
    </row>
    <row r="3789" spans="1:5" ht="14.25" hidden="1" customHeight="1">
      <c r="A3789" s="16">
        <v>23015882</v>
      </c>
      <c r="B3789" s="17" t="s">
        <v>364</v>
      </c>
      <c r="C3789" s="17" t="s">
        <v>3255</v>
      </c>
      <c r="D3789" s="5" t="s">
        <v>7185</v>
      </c>
      <c r="E3789" s="35">
        <v>42516</v>
      </c>
    </row>
    <row r="3790" spans="1:5" ht="14.25" hidden="1" customHeight="1">
      <c r="A3790" s="16">
        <v>23116947</v>
      </c>
      <c r="B3790" s="17" t="s">
        <v>2492</v>
      </c>
      <c r="C3790" s="17" t="s">
        <v>2493</v>
      </c>
      <c r="D3790" s="5" t="s">
        <v>7185</v>
      </c>
      <c r="E3790" s="35">
        <v>42516</v>
      </c>
    </row>
    <row r="3791" spans="1:5" ht="14.25" hidden="1" customHeight="1">
      <c r="A3791" s="16">
        <v>23387097</v>
      </c>
      <c r="B3791" s="17" t="s">
        <v>3842</v>
      </c>
      <c r="C3791" s="17" t="s">
        <v>902</v>
      </c>
      <c r="D3791" s="5" t="s">
        <v>7185</v>
      </c>
      <c r="E3791" s="35">
        <v>42516</v>
      </c>
    </row>
    <row r="3792" spans="1:5" ht="14.25" hidden="1" customHeight="1">
      <c r="A3792" s="16">
        <v>23518746</v>
      </c>
      <c r="B3792" s="17" t="s">
        <v>734</v>
      </c>
      <c r="C3792" s="17" t="s">
        <v>1187</v>
      </c>
      <c r="D3792" s="5" t="s">
        <v>7185</v>
      </c>
      <c r="E3792" s="35">
        <v>42516</v>
      </c>
    </row>
    <row r="3793" spans="1:5" ht="14.25" hidden="1" customHeight="1">
      <c r="A3793" s="16">
        <v>23519543</v>
      </c>
      <c r="B3793" s="17" t="s">
        <v>1401</v>
      </c>
      <c r="C3793" s="17" t="s">
        <v>2447</v>
      </c>
      <c r="D3793" s="5" t="s">
        <v>7185</v>
      </c>
      <c r="E3793" s="35">
        <v>42516</v>
      </c>
    </row>
    <row r="3794" spans="1:5" ht="14.25" hidden="1" customHeight="1">
      <c r="A3794" s="16">
        <v>23826272</v>
      </c>
      <c r="B3794" s="17" t="s">
        <v>359</v>
      </c>
      <c r="C3794" s="17" t="s">
        <v>361</v>
      </c>
      <c r="D3794" s="5" t="s">
        <v>7185</v>
      </c>
      <c r="E3794" s="35">
        <v>42516</v>
      </c>
    </row>
    <row r="3795" spans="1:5" ht="14.25" hidden="1" customHeight="1">
      <c r="A3795" s="16">
        <v>24059021</v>
      </c>
      <c r="B3795" s="17" t="s">
        <v>7194</v>
      </c>
      <c r="C3795" s="17" t="s">
        <v>1072</v>
      </c>
      <c r="D3795" s="5" t="s">
        <v>7185</v>
      </c>
      <c r="E3795" s="35">
        <v>42516</v>
      </c>
    </row>
    <row r="3796" spans="1:5" ht="14.25" hidden="1" customHeight="1">
      <c r="A3796" s="16">
        <v>24098848</v>
      </c>
      <c r="B3796" s="17" t="s">
        <v>4830</v>
      </c>
      <c r="C3796" s="17" t="s">
        <v>4831</v>
      </c>
      <c r="D3796" s="5" t="s">
        <v>7185</v>
      </c>
      <c r="E3796" s="35">
        <v>42516</v>
      </c>
    </row>
    <row r="3797" spans="1:5" ht="14.25" hidden="1" customHeight="1">
      <c r="A3797" s="16">
        <v>24803211</v>
      </c>
      <c r="B3797" s="17" t="s">
        <v>2579</v>
      </c>
      <c r="C3797" s="17" t="s">
        <v>2580</v>
      </c>
      <c r="D3797" s="5" t="s">
        <v>7185</v>
      </c>
      <c r="E3797" s="35">
        <v>42516</v>
      </c>
    </row>
    <row r="3798" spans="1:5" ht="14.25" hidden="1" customHeight="1">
      <c r="A3798" s="16">
        <v>25082588</v>
      </c>
      <c r="B3798" s="17" t="s">
        <v>2488</v>
      </c>
      <c r="C3798" s="17" t="s">
        <v>1585</v>
      </c>
      <c r="D3798" s="5" t="s">
        <v>7185</v>
      </c>
      <c r="E3798" s="35">
        <v>42516</v>
      </c>
    </row>
    <row r="3799" spans="1:5" ht="14.25" hidden="1" customHeight="1">
      <c r="A3799" s="16">
        <v>25734593</v>
      </c>
      <c r="B3799" s="17" t="s">
        <v>5433</v>
      </c>
      <c r="C3799" s="17" t="s">
        <v>5434</v>
      </c>
      <c r="D3799" s="5" t="s">
        <v>7185</v>
      </c>
      <c r="E3799" s="35">
        <v>42516</v>
      </c>
    </row>
    <row r="3800" spans="1:5" ht="14.25" hidden="1" customHeight="1">
      <c r="A3800" s="16">
        <v>25734719</v>
      </c>
      <c r="B3800" s="17" t="s">
        <v>2026</v>
      </c>
      <c r="C3800" s="17" t="s">
        <v>7188</v>
      </c>
      <c r="D3800" s="5" t="s">
        <v>7185</v>
      </c>
      <c r="E3800" s="35">
        <v>42516</v>
      </c>
    </row>
    <row r="3801" spans="1:5" ht="14.25" hidden="1" customHeight="1">
      <c r="A3801" s="16">
        <v>25843050</v>
      </c>
      <c r="B3801" s="17" t="s">
        <v>4033</v>
      </c>
      <c r="C3801" s="17" t="s">
        <v>4034</v>
      </c>
      <c r="D3801" s="5" t="s">
        <v>7185</v>
      </c>
      <c r="E3801" s="35">
        <v>42516</v>
      </c>
    </row>
    <row r="3802" spans="1:5" ht="14.25" hidden="1" customHeight="1">
      <c r="A3802" s="16">
        <v>25844148</v>
      </c>
      <c r="B3802" s="17" t="s">
        <v>7187</v>
      </c>
      <c r="C3802" s="17" t="s">
        <v>2005</v>
      </c>
      <c r="D3802" s="5" t="s">
        <v>7185</v>
      </c>
      <c r="E3802" s="35">
        <v>42516</v>
      </c>
    </row>
    <row r="3803" spans="1:5" ht="14.25" hidden="1" customHeight="1">
      <c r="A3803" s="16">
        <v>25923733</v>
      </c>
      <c r="B3803" s="17" t="s">
        <v>875</v>
      </c>
      <c r="C3803" s="17" t="s">
        <v>3600</v>
      </c>
      <c r="D3803" s="5" t="s">
        <v>7185</v>
      </c>
      <c r="E3803" s="35">
        <v>42516</v>
      </c>
    </row>
    <row r="3804" spans="1:5" ht="14.25" hidden="1" customHeight="1">
      <c r="A3804" s="16">
        <v>27016610</v>
      </c>
      <c r="B3804" s="17" t="s">
        <v>288</v>
      </c>
      <c r="C3804" s="17" t="s">
        <v>33</v>
      </c>
      <c r="D3804" s="5" t="s">
        <v>7185</v>
      </c>
      <c r="E3804" s="35">
        <v>42516</v>
      </c>
    </row>
    <row r="3805" spans="1:5" ht="14.25" hidden="1" customHeight="1">
      <c r="A3805" s="16">
        <v>27210885</v>
      </c>
      <c r="B3805" s="17" t="s">
        <v>1842</v>
      </c>
      <c r="C3805" s="17" t="s">
        <v>1931</v>
      </c>
      <c r="D3805" s="5" t="s">
        <v>7185</v>
      </c>
      <c r="E3805" s="35">
        <v>42516</v>
      </c>
    </row>
    <row r="3806" spans="1:5" ht="14.25" hidden="1" customHeight="1">
      <c r="A3806" s="16">
        <v>27575100</v>
      </c>
      <c r="B3806" s="17" t="s">
        <v>3649</v>
      </c>
      <c r="C3806" s="17" t="s">
        <v>7125</v>
      </c>
      <c r="D3806" s="5" t="s">
        <v>7185</v>
      </c>
      <c r="E3806" s="35">
        <v>42516</v>
      </c>
    </row>
    <row r="3807" spans="1:5" ht="14.25" hidden="1" customHeight="1">
      <c r="A3807" s="16">
        <v>28221010</v>
      </c>
      <c r="B3807" s="17" t="s">
        <v>2966</v>
      </c>
      <c r="C3807" s="17" t="s">
        <v>667</v>
      </c>
      <c r="D3807" s="5" t="s">
        <v>7185</v>
      </c>
      <c r="E3807" s="35">
        <v>42516</v>
      </c>
    </row>
    <row r="3808" spans="1:5" ht="14.25" hidden="1" customHeight="1">
      <c r="A3808" s="16">
        <v>28418227</v>
      </c>
      <c r="B3808" s="17" t="s">
        <v>2121</v>
      </c>
      <c r="C3808" s="17" t="s">
        <v>7191</v>
      </c>
      <c r="D3808" s="5" t="s">
        <v>7185</v>
      </c>
      <c r="E3808" s="35">
        <v>42516</v>
      </c>
    </row>
    <row r="3809" spans="1:5" ht="14.25" hidden="1" customHeight="1">
      <c r="A3809" s="16">
        <v>29024358</v>
      </c>
      <c r="B3809" s="17" t="s">
        <v>1574</v>
      </c>
      <c r="C3809" s="17" t="s">
        <v>1575</v>
      </c>
      <c r="D3809" s="5" t="s">
        <v>7185</v>
      </c>
      <c r="E3809" s="35">
        <v>42516</v>
      </c>
    </row>
    <row r="3810" spans="1:5" ht="14.25" hidden="1" customHeight="1">
      <c r="A3810" s="16">
        <v>29183945</v>
      </c>
      <c r="B3810" s="17" t="s">
        <v>2731</v>
      </c>
      <c r="C3810" s="17" t="s">
        <v>7190</v>
      </c>
      <c r="D3810" s="5" t="s">
        <v>7185</v>
      </c>
      <c r="E3810" s="35">
        <v>42516</v>
      </c>
    </row>
    <row r="3811" spans="1:5" ht="14.25" hidden="1" customHeight="1">
      <c r="A3811" s="16">
        <v>30759508</v>
      </c>
      <c r="B3811" s="17" t="s">
        <v>1229</v>
      </c>
      <c r="C3811" s="17" t="s">
        <v>876</v>
      </c>
      <c r="D3811" s="5" t="s">
        <v>7185</v>
      </c>
      <c r="E3811" s="35">
        <v>42516</v>
      </c>
    </row>
    <row r="3812" spans="1:5" ht="14.25" hidden="1" customHeight="1">
      <c r="A3812" s="16">
        <v>32115802</v>
      </c>
      <c r="B3812" s="17" t="s">
        <v>2718</v>
      </c>
      <c r="C3812" s="17" t="s">
        <v>1523</v>
      </c>
      <c r="D3812" s="5" t="s">
        <v>7185</v>
      </c>
      <c r="E3812" s="35">
        <v>42516</v>
      </c>
    </row>
    <row r="3813" spans="1:5" ht="14.25" hidden="1" customHeight="1">
      <c r="A3813" s="16">
        <v>32201492</v>
      </c>
      <c r="B3813" s="17" t="s">
        <v>1512</v>
      </c>
      <c r="C3813" s="17" t="s">
        <v>7186</v>
      </c>
      <c r="D3813" s="5" t="s">
        <v>7185</v>
      </c>
      <c r="E3813" s="35">
        <v>42516</v>
      </c>
    </row>
    <row r="3814" spans="1:5" ht="14.25" hidden="1" customHeight="1">
      <c r="A3814" s="16">
        <v>32460389</v>
      </c>
      <c r="B3814" s="17" t="s">
        <v>1762</v>
      </c>
      <c r="C3814" s="17" t="s">
        <v>571</v>
      </c>
      <c r="D3814" s="5" t="s">
        <v>7185</v>
      </c>
      <c r="E3814" s="35">
        <v>42516</v>
      </c>
    </row>
    <row r="3815" spans="1:5" ht="14.25" hidden="1" customHeight="1">
      <c r="A3815" s="16">
        <v>32775540</v>
      </c>
      <c r="B3815" s="17" t="s">
        <v>1798</v>
      </c>
      <c r="C3815" s="17" t="s">
        <v>1801</v>
      </c>
      <c r="D3815" s="5" t="s">
        <v>7185</v>
      </c>
      <c r="E3815" s="35">
        <v>42516</v>
      </c>
    </row>
    <row r="3816" spans="1:5" ht="14.25" hidden="1" customHeight="1">
      <c r="A3816" s="16">
        <v>32927909</v>
      </c>
      <c r="B3816" s="17" t="s">
        <v>4400</v>
      </c>
      <c r="C3816" s="17" t="s">
        <v>7192</v>
      </c>
      <c r="D3816" s="5" t="s">
        <v>7185</v>
      </c>
      <c r="E3816" s="35">
        <v>42516</v>
      </c>
    </row>
    <row r="3817" spans="1:5" ht="14.25" hidden="1" customHeight="1">
      <c r="A3817" s="16">
        <v>33703823</v>
      </c>
      <c r="B3817" s="17" t="s">
        <v>7085</v>
      </c>
      <c r="C3817" s="17" t="s">
        <v>902</v>
      </c>
      <c r="D3817" s="5" t="s">
        <v>7185</v>
      </c>
      <c r="E3817" s="35">
        <v>42516</v>
      </c>
    </row>
    <row r="3818" spans="1:5" ht="14.25" hidden="1" customHeight="1">
      <c r="A3818" s="16">
        <v>33756026</v>
      </c>
      <c r="B3818" s="17" t="s">
        <v>3588</v>
      </c>
      <c r="C3818" s="17" t="s">
        <v>3589</v>
      </c>
      <c r="D3818" s="5" t="s">
        <v>7185</v>
      </c>
      <c r="E3818" s="35">
        <v>42516</v>
      </c>
    </row>
    <row r="3819" spans="1:5" ht="14.25" hidden="1" customHeight="1">
      <c r="A3819" s="16">
        <v>33818840</v>
      </c>
      <c r="B3819" s="17" t="s">
        <v>377</v>
      </c>
      <c r="C3819" s="17" t="s">
        <v>1490</v>
      </c>
      <c r="D3819" s="5" t="s">
        <v>7185</v>
      </c>
      <c r="E3819" s="35">
        <v>42516</v>
      </c>
    </row>
    <row r="3820" spans="1:5" ht="14.25" hidden="1" customHeight="1">
      <c r="A3820" s="16">
        <v>33977407</v>
      </c>
      <c r="B3820" s="17" t="s">
        <v>4706</v>
      </c>
      <c r="C3820" s="17" t="s">
        <v>5997</v>
      </c>
      <c r="D3820" s="5" t="s">
        <v>7185</v>
      </c>
      <c r="E3820" s="35">
        <v>42516</v>
      </c>
    </row>
    <row r="3821" spans="1:5" ht="14.25" hidden="1" customHeight="1">
      <c r="A3821" s="16">
        <v>34285844</v>
      </c>
      <c r="B3821" s="17" t="s">
        <v>2081</v>
      </c>
      <c r="C3821" s="17" t="s">
        <v>6482</v>
      </c>
      <c r="D3821" s="5" t="s">
        <v>7185</v>
      </c>
      <c r="E3821" s="35">
        <v>42516</v>
      </c>
    </row>
    <row r="3822" spans="1:5" ht="14.25" hidden="1" customHeight="1">
      <c r="A3822" s="16">
        <v>36224368</v>
      </c>
      <c r="B3822" s="17" t="s">
        <v>1257</v>
      </c>
      <c r="C3822" s="17" t="s">
        <v>1258</v>
      </c>
      <c r="D3822" s="5" t="s">
        <v>7185</v>
      </c>
      <c r="E3822" s="35">
        <v>42516</v>
      </c>
    </row>
    <row r="3823" spans="1:5" ht="14.25" hidden="1" customHeight="1">
      <c r="B3823" s="17" t="s">
        <v>2438</v>
      </c>
      <c r="C3823" s="17" t="s">
        <v>2184</v>
      </c>
      <c r="D3823" s="5" t="s">
        <v>7185</v>
      </c>
      <c r="E3823" s="35">
        <v>42516</v>
      </c>
    </row>
    <row r="3824" spans="1:5" ht="14.25" hidden="1" customHeight="1">
      <c r="B3824" s="17" t="s">
        <v>1565</v>
      </c>
      <c r="C3824" s="17" t="s">
        <v>758</v>
      </c>
      <c r="D3824" s="5" t="s">
        <v>7185</v>
      </c>
      <c r="E3824" s="35">
        <v>42516</v>
      </c>
    </row>
    <row r="3825" spans="1:5" ht="14.25" hidden="1" customHeight="1">
      <c r="B3825" s="17" t="s">
        <v>4643</v>
      </c>
      <c r="C3825" s="17" t="s">
        <v>5003</v>
      </c>
      <c r="D3825" s="5" t="s">
        <v>7185</v>
      </c>
      <c r="E3825" s="35">
        <v>42516</v>
      </c>
    </row>
    <row r="3826" spans="1:5" ht="14.25" hidden="1" customHeight="1">
      <c r="A3826" s="16">
        <v>10910913</v>
      </c>
      <c r="B3826" s="17" t="s">
        <v>1106</v>
      </c>
      <c r="C3826" s="17" t="s">
        <v>1107</v>
      </c>
      <c r="D3826" s="5" t="s">
        <v>7196</v>
      </c>
      <c r="E3826" s="35">
        <v>42506</v>
      </c>
    </row>
    <row r="3827" spans="1:5" ht="14.25" hidden="1" customHeight="1">
      <c r="A3827" s="16">
        <v>13338251</v>
      </c>
      <c r="B3827" s="17" t="s">
        <v>252</v>
      </c>
      <c r="C3827" s="17" t="s">
        <v>2069</v>
      </c>
      <c r="D3827" s="5" t="s">
        <v>7196</v>
      </c>
      <c r="E3827" s="35">
        <v>42506</v>
      </c>
    </row>
    <row r="3828" spans="1:5" ht="14.25" hidden="1" customHeight="1">
      <c r="A3828" s="16">
        <v>14353184</v>
      </c>
      <c r="B3828" s="17" t="s">
        <v>4657</v>
      </c>
      <c r="C3828" s="17" t="s">
        <v>4658</v>
      </c>
      <c r="D3828" s="5" t="s">
        <v>7196</v>
      </c>
      <c r="E3828" s="35">
        <v>42506</v>
      </c>
    </row>
    <row r="3829" spans="1:5" ht="14.25" hidden="1" customHeight="1">
      <c r="A3829" s="16">
        <v>14966770</v>
      </c>
      <c r="B3829" s="17" t="s">
        <v>1787</v>
      </c>
      <c r="C3829" s="17" t="s">
        <v>1788</v>
      </c>
      <c r="D3829" s="5" t="s">
        <v>7196</v>
      </c>
      <c r="E3829" s="35">
        <v>42506</v>
      </c>
    </row>
    <row r="3830" spans="1:5" ht="14.25" hidden="1" customHeight="1">
      <c r="A3830" s="16">
        <v>16685790</v>
      </c>
      <c r="B3830" s="17" t="s">
        <v>3016</v>
      </c>
      <c r="C3830" s="17" t="s">
        <v>3017</v>
      </c>
      <c r="D3830" s="5" t="s">
        <v>7196</v>
      </c>
      <c r="E3830" s="35">
        <v>42506</v>
      </c>
    </row>
    <row r="3831" spans="1:5" ht="14.25" hidden="1" customHeight="1">
      <c r="A3831" s="16">
        <v>17040680</v>
      </c>
      <c r="B3831" s="17" t="s">
        <v>6355</v>
      </c>
      <c r="C3831" s="17" t="s">
        <v>6356</v>
      </c>
      <c r="D3831" s="5" t="s">
        <v>7196</v>
      </c>
      <c r="E3831" s="35">
        <v>42506</v>
      </c>
    </row>
    <row r="3832" spans="1:5" ht="14.25" hidden="1" customHeight="1">
      <c r="A3832" s="16">
        <v>18433432</v>
      </c>
      <c r="B3832" s="17" t="s">
        <v>7195</v>
      </c>
      <c r="C3832" s="17" t="s">
        <v>223</v>
      </c>
      <c r="D3832" s="1" t="s">
        <v>7196</v>
      </c>
      <c r="E3832" s="35">
        <v>42506</v>
      </c>
    </row>
    <row r="3833" spans="1:5" ht="14.25" hidden="1" customHeight="1">
      <c r="A3833" s="16">
        <v>21665779</v>
      </c>
      <c r="B3833" s="17" t="s">
        <v>47</v>
      </c>
      <c r="C3833" s="17" t="s">
        <v>1663</v>
      </c>
      <c r="D3833" s="5" t="s">
        <v>7196</v>
      </c>
      <c r="E3833" s="35">
        <v>42506</v>
      </c>
    </row>
    <row r="3834" spans="1:5" ht="14.25" hidden="1" customHeight="1">
      <c r="A3834" s="16">
        <v>21712647</v>
      </c>
      <c r="B3834" s="17" t="s">
        <v>4525</v>
      </c>
      <c r="C3834" s="17" t="s">
        <v>4526</v>
      </c>
      <c r="D3834" s="5" t="s">
        <v>7196</v>
      </c>
      <c r="E3834" s="35">
        <v>42506</v>
      </c>
    </row>
    <row r="3835" spans="1:5" ht="14.25" hidden="1" customHeight="1">
      <c r="A3835" s="16">
        <v>22280512</v>
      </c>
      <c r="B3835" s="17" t="s">
        <v>4585</v>
      </c>
      <c r="C3835" s="17" t="s">
        <v>902</v>
      </c>
      <c r="D3835" s="5" t="s">
        <v>7196</v>
      </c>
      <c r="E3835" s="35">
        <v>42506</v>
      </c>
    </row>
    <row r="3836" spans="1:5" ht="14.25" hidden="1" customHeight="1">
      <c r="A3836" s="16">
        <v>22336462</v>
      </c>
      <c r="B3836" s="17" t="s">
        <v>1310</v>
      </c>
      <c r="C3836" s="17" t="s">
        <v>1608</v>
      </c>
      <c r="D3836" s="5" t="s">
        <v>7196</v>
      </c>
      <c r="E3836" s="35">
        <v>42506</v>
      </c>
    </row>
    <row r="3837" spans="1:5" ht="14.25" hidden="1" customHeight="1">
      <c r="A3837" s="16">
        <v>22558017</v>
      </c>
      <c r="B3837" s="17" t="s">
        <v>3786</v>
      </c>
      <c r="C3837" s="17" t="s">
        <v>3787</v>
      </c>
      <c r="D3837" s="5" t="s">
        <v>7196</v>
      </c>
      <c r="E3837" s="35">
        <v>42506</v>
      </c>
    </row>
    <row r="3838" spans="1:5" ht="14.25" hidden="1" customHeight="1">
      <c r="A3838" s="16">
        <v>23894351</v>
      </c>
      <c r="B3838" s="17" t="s">
        <v>927</v>
      </c>
      <c r="C3838" s="17" t="s">
        <v>3639</v>
      </c>
      <c r="D3838" s="5" t="s">
        <v>7196</v>
      </c>
      <c r="E3838" s="35">
        <v>42506</v>
      </c>
    </row>
    <row r="3839" spans="1:5" ht="14.25" hidden="1" customHeight="1">
      <c r="A3839" s="16">
        <v>23984883</v>
      </c>
      <c r="B3839" s="17" t="s">
        <v>1385</v>
      </c>
      <c r="C3839" s="17" t="s">
        <v>4522</v>
      </c>
      <c r="D3839" s="5" t="s">
        <v>7196</v>
      </c>
      <c r="E3839" s="35">
        <v>42506</v>
      </c>
    </row>
    <row r="3840" spans="1:5" ht="14.25" hidden="1" customHeight="1">
      <c r="A3840" s="16">
        <v>24622574</v>
      </c>
      <c r="B3840" s="17" t="s">
        <v>47</v>
      </c>
      <c r="C3840" s="17" t="s">
        <v>4961</v>
      </c>
      <c r="D3840" s="5" t="s">
        <v>7196</v>
      </c>
      <c r="E3840" s="35">
        <v>42506</v>
      </c>
    </row>
    <row r="3841" spans="1:5" ht="14.25" hidden="1" customHeight="1">
      <c r="A3841" s="16">
        <v>25735665</v>
      </c>
      <c r="B3841" s="17" t="s">
        <v>734</v>
      </c>
      <c r="C3841" s="17" t="s">
        <v>737</v>
      </c>
      <c r="D3841" s="5" t="s">
        <v>7196</v>
      </c>
      <c r="E3841" s="35">
        <v>42506</v>
      </c>
    </row>
    <row r="3842" spans="1:5" ht="14.25" hidden="1" customHeight="1">
      <c r="A3842" s="16">
        <v>26984193</v>
      </c>
      <c r="B3842" s="17" t="s">
        <v>2228</v>
      </c>
      <c r="C3842" s="17" t="s">
        <v>4211</v>
      </c>
      <c r="D3842" s="5" t="s">
        <v>7196</v>
      </c>
      <c r="E3842" s="35">
        <v>42506</v>
      </c>
    </row>
    <row r="3843" spans="1:5" ht="14.25" hidden="1" customHeight="1">
      <c r="A3843" s="16">
        <v>31001609</v>
      </c>
      <c r="B3843" s="17" t="s">
        <v>2879</v>
      </c>
      <c r="C3843" s="17" t="s">
        <v>2880</v>
      </c>
      <c r="D3843" s="5" t="s">
        <v>7196</v>
      </c>
      <c r="E3843" s="35">
        <v>42506</v>
      </c>
    </row>
    <row r="3844" spans="1:5" ht="14.25" hidden="1" customHeight="1">
      <c r="A3844" s="16">
        <v>32412091</v>
      </c>
      <c r="B3844" s="17" t="s">
        <v>311</v>
      </c>
      <c r="C3844" s="17" t="s">
        <v>1772</v>
      </c>
      <c r="D3844" s="5" t="s">
        <v>7196</v>
      </c>
      <c r="E3844" s="35">
        <v>42506</v>
      </c>
    </row>
    <row r="3845" spans="1:5" ht="14.25" hidden="1" customHeight="1">
      <c r="A3845" s="16">
        <v>33351566</v>
      </c>
      <c r="B3845" s="17" t="s">
        <v>195</v>
      </c>
      <c r="C3845" s="17" t="s">
        <v>4295</v>
      </c>
      <c r="D3845" s="5" t="s">
        <v>7196</v>
      </c>
      <c r="E3845" s="35">
        <v>42506</v>
      </c>
    </row>
    <row r="3846" spans="1:5" ht="14.25" hidden="1" customHeight="1">
      <c r="A3846" s="16">
        <v>11762457</v>
      </c>
      <c r="B3846" s="17" t="s">
        <v>1762</v>
      </c>
      <c r="C3846" s="17" t="s">
        <v>2092</v>
      </c>
      <c r="D3846" s="5" t="s">
        <v>7197</v>
      </c>
      <c r="E3846" s="35">
        <v>42502</v>
      </c>
    </row>
    <row r="3847" spans="1:5" ht="14.25" hidden="1" customHeight="1">
      <c r="A3847" s="16">
        <v>12606335</v>
      </c>
      <c r="B3847" s="17" t="s">
        <v>3776</v>
      </c>
      <c r="C3847" s="17" t="s">
        <v>3777</v>
      </c>
      <c r="D3847" s="5" t="s">
        <v>7197</v>
      </c>
      <c r="E3847" s="35">
        <v>42502</v>
      </c>
    </row>
    <row r="3848" spans="1:5" ht="14.25" hidden="1" customHeight="1">
      <c r="A3848" s="16">
        <v>13203668</v>
      </c>
      <c r="B3848" s="17" t="s">
        <v>927</v>
      </c>
      <c r="C3848" s="17" t="s">
        <v>1895</v>
      </c>
      <c r="D3848" s="5" t="s">
        <v>7197</v>
      </c>
      <c r="E3848" s="35">
        <v>42502</v>
      </c>
    </row>
    <row r="3849" spans="1:5" ht="14.25" hidden="1" customHeight="1">
      <c r="A3849" s="16">
        <v>13848349</v>
      </c>
      <c r="B3849" s="17" t="s">
        <v>652</v>
      </c>
      <c r="C3849" s="17" t="s">
        <v>1895</v>
      </c>
      <c r="D3849" s="5" t="s">
        <v>7197</v>
      </c>
      <c r="E3849" s="35">
        <v>42502</v>
      </c>
    </row>
    <row r="3850" spans="1:5" ht="14.25" hidden="1" customHeight="1">
      <c r="A3850" s="16">
        <v>13848916</v>
      </c>
      <c r="B3850" s="17" t="s">
        <v>774</v>
      </c>
      <c r="C3850" s="17" t="s">
        <v>1528</v>
      </c>
      <c r="D3850" s="5" t="s">
        <v>7197</v>
      </c>
      <c r="E3850" s="35">
        <v>42502</v>
      </c>
    </row>
    <row r="3851" spans="1:5" ht="14.25" hidden="1" customHeight="1">
      <c r="A3851" s="16">
        <v>16314577</v>
      </c>
      <c r="B3851" s="17" t="s">
        <v>377</v>
      </c>
      <c r="C3851" s="17" t="s">
        <v>378</v>
      </c>
      <c r="D3851" s="5" t="s">
        <v>7197</v>
      </c>
      <c r="E3851" s="35">
        <v>42502</v>
      </c>
    </row>
    <row r="3852" spans="1:5" ht="14.25" hidden="1" customHeight="1">
      <c r="A3852" s="16">
        <v>16685740</v>
      </c>
      <c r="B3852" s="17" t="s">
        <v>1839</v>
      </c>
      <c r="C3852" s="17" t="s">
        <v>4667</v>
      </c>
      <c r="D3852" s="5" t="s">
        <v>7197</v>
      </c>
      <c r="E3852" s="35">
        <v>42502</v>
      </c>
    </row>
    <row r="3853" spans="1:5" ht="14.25" hidden="1" customHeight="1">
      <c r="A3853" s="16">
        <v>17268021</v>
      </c>
      <c r="B3853" s="17" t="s">
        <v>4649</v>
      </c>
      <c r="C3853" s="17" t="s">
        <v>2184</v>
      </c>
      <c r="D3853" s="5" t="s">
        <v>7197</v>
      </c>
      <c r="E3853" s="35">
        <v>42502</v>
      </c>
    </row>
    <row r="3854" spans="1:5" ht="14.25" hidden="1" customHeight="1">
      <c r="A3854" s="16">
        <v>17377961</v>
      </c>
      <c r="B3854" s="17" t="s">
        <v>6436</v>
      </c>
      <c r="C3854" s="17" t="s">
        <v>6437</v>
      </c>
      <c r="D3854" s="5" t="s">
        <v>7197</v>
      </c>
      <c r="E3854" s="35">
        <v>42502</v>
      </c>
    </row>
    <row r="3855" spans="1:5" ht="14.25" hidden="1" customHeight="1">
      <c r="A3855" s="16">
        <v>17947952</v>
      </c>
      <c r="B3855" s="17" t="s">
        <v>115</v>
      </c>
      <c r="C3855" s="17" t="s">
        <v>1931</v>
      </c>
      <c r="D3855" s="5" t="s">
        <v>7197</v>
      </c>
      <c r="E3855" s="35">
        <v>42502</v>
      </c>
    </row>
    <row r="3856" spans="1:5" ht="14.25" hidden="1" customHeight="1">
      <c r="A3856" s="16">
        <v>18245474</v>
      </c>
      <c r="B3856" s="17" t="s">
        <v>415</v>
      </c>
      <c r="C3856" s="17" t="s">
        <v>6426</v>
      </c>
      <c r="D3856" s="5" t="s">
        <v>7197</v>
      </c>
      <c r="E3856" s="35">
        <v>42502</v>
      </c>
    </row>
    <row r="3857" spans="1:5" ht="14.25" hidden="1" customHeight="1">
      <c r="A3857" s="16">
        <v>20181458</v>
      </c>
      <c r="B3857" s="17" t="s">
        <v>2813</v>
      </c>
      <c r="C3857" s="17" t="s">
        <v>494</v>
      </c>
      <c r="D3857" s="5" t="s">
        <v>7197</v>
      </c>
      <c r="E3857" s="35">
        <v>42502</v>
      </c>
    </row>
    <row r="3858" spans="1:5" ht="14.25" hidden="1" customHeight="1">
      <c r="A3858" s="16">
        <v>20692036</v>
      </c>
      <c r="B3858" s="17" t="s">
        <v>727</v>
      </c>
      <c r="C3858" s="17" t="s">
        <v>7198</v>
      </c>
      <c r="D3858" s="5" t="s">
        <v>7197</v>
      </c>
      <c r="E3858" s="35">
        <v>42502</v>
      </c>
    </row>
    <row r="3859" spans="1:5" ht="14.25" hidden="1" customHeight="1">
      <c r="A3859" s="16">
        <v>20803370</v>
      </c>
      <c r="B3859" s="17" t="s">
        <v>1631</v>
      </c>
      <c r="C3859" s="17" t="s">
        <v>1632</v>
      </c>
      <c r="D3859" s="5" t="s">
        <v>7197</v>
      </c>
      <c r="E3859" s="35">
        <v>42502</v>
      </c>
    </row>
    <row r="3860" spans="1:5" ht="14.25" hidden="1" customHeight="1">
      <c r="A3860" s="16">
        <v>21026950</v>
      </c>
      <c r="B3860" s="17" t="s">
        <v>415</v>
      </c>
      <c r="C3860" s="17" t="s">
        <v>7199</v>
      </c>
      <c r="D3860" s="5" t="s">
        <v>7197</v>
      </c>
      <c r="E3860" s="35">
        <v>42502</v>
      </c>
    </row>
    <row r="3861" spans="1:5" ht="14.25" hidden="1" customHeight="1">
      <c r="A3861" s="16">
        <v>22302167</v>
      </c>
      <c r="B3861" s="17" t="s">
        <v>704</v>
      </c>
      <c r="C3861" s="17" t="s">
        <v>705</v>
      </c>
      <c r="D3861" s="5" t="s">
        <v>7197</v>
      </c>
      <c r="E3861" s="35">
        <v>42502</v>
      </c>
    </row>
    <row r="3862" spans="1:5" ht="14.25" hidden="1" customHeight="1">
      <c r="A3862" s="16">
        <v>23137432</v>
      </c>
      <c r="B3862" s="17" t="s">
        <v>285</v>
      </c>
      <c r="C3862" s="17" t="s">
        <v>3801</v>
      </c>
      <c r="D3862" s="5" t="s">
        <v>7197</v>
      </c>
      <c r="E3862" s="35">
        <v>42502</v>
      </c>
    </row>
    <row r="3863" spans="1:5" ht="14.25" hidden="1" customHeight="1">
      <c r="A3863" s="16">
        <v>23383293</v>
      </c>
      <c r="B3863" s="17" t="s">
        <v>3725</v>
      </c>
      <c r="C3863" s="17" t="s">
        <v>3726</v>
      </c>
      <c r="D3863" s="5" t="s">
        <v>7197</v>
      </c>
      <c r="E3863" s="35">
        <v>42502</v>
      </c>
    </row>
    <row r="3864" spans="1:5" ht="14.25" hidden="1" customHeight="1">
      <c r="A3864" s="16">
        <v>25255910</v>
      </c>
      <c r="B3864" s="17" t="s">
        <v>377</v>
      </c>
      <c r="C3864" s="17" t="s">
        <v>4373</v>
      </c>
      <c r="D3864" s="5" t="s">
        <v>7197</v>
      </c>
      <c r="E3864" s="35">
        <v>42502</v>
      </c>
    </row>
    <row r="3865" spans="1:5" ht="14.25" hidden="1" customHeight="1">
      <c r="A3865" s="16">
        <v>26722044</v>
      </c>
      <c r="B3865" s="17" t="s">
        <v>2116</v>
      </c>
      <c r="C3865" s="17" t="s">
        <v>2117</v>
      </c>
      <c r="D3865" s="5" t="s">
        <v>7197</v>
      </c>
      <c r="E3865" s="35">
        <v>42502</v>
      </c>
    </row>
    <row r="3866" spans="1:5" ht="14.25" hidden="1" customHeight="1">
      <c r="A3866" s="16">
        <v>27944887</v>
      </c>
      <c r="B3866" s="17" t="s">
        <v>1839</v>
      </c>
      <c r="C3866" s="17" t="s">
        <v>4495</v>
      </c>
      <c r="D3866" s="5" t="s">
        <v>7197</v>
      </c>
      <c r="E3866" s="35">
        <v>42502</v>
      </c>
    </row>
    <row r="3867" spans="1:5" ht="14.25" hidden="1" customHeight="1">
      <c r="A3867" s="16">
        <v>27945323</v>
      </c>
      <c r="B3867" s="17" t="s">
        <v>4286</v>
      </c>
      <c r="C3867" s="17" t="s">
        <v>4287</v>
      </c>
      <c r="D3867" s="5" t="s">
        <v>7197</v>
      </c>
      <c r="E3867" s="35">
        <v>42502</v>
      </c>
    </row>
    <row r="3868" spans="1:5" ht="14.25" hidden="1" customHeight="1">
      <c r="A3868" s="16">
        <v>27961901</v>
      </c>
      <c r="B3868" s="17" t="s">
        <v>1660</v>
      </c>
      <c r="C3868" s="17" t="s">
        <v>4498</v>
      </c>
      <c r="D3868" s="5" t="s">
        <v>7197</v>
      </c>
      <c r="E3868" s="35">
        <v>42502</v>
      </c>
    </row>
    <row r="3869" spans="1:5" ht="14.25" hidden="1" customHeight="1">
      <c r="A3869" s="16">
        <v>29997979</v>
      </c>
      <c r="B3869" s="17" t="s">
        <v>4512</v>
      </c>
      <c r="C3869" s="17" t="s">
        <v>527</v>
      </c>
      <c r="D3869" s="5" t="s">
        <v>7197</v>
      </c>
      <c r="E3869" s="35">
        <v>42502</v>
      </c>
    </row>
    <row r="3870" spans="1:5" ht="14.25" hidden="1" customHeight="1">
      <c r="A3870" s="16">
        <v>30760509</v>
      </c>
      <c r="B3870" s="17" t="s">
        <v>130</v>
      </c>
      <c r="C3870" s="17" t="s">
        <v>7121</v>
      </c>
      <c r="D3870" s="5" t="s">
        <v>7197</v>
      </c>
      <c r="E3870" s="35">
        <v>42502</v>
      </c>
    </row>
    <row r="3871" spans="1:5" ht="14.25" hidden="1" customHeight="1">
      <c r="A3871" s="16">
        <v>31052533</v>
      </c>
      <c r="B3871" s="17" t="s">
        <v>218</v>
      </c>
      <c r="C3871" s="17" t="s">
        <v>1087</v>
      </c>
      <c r="D3871" s="5" t="s">
        <v>7197</v>
      </c>
      <c r="E3871" s="35">
        <v>42502</v>
      </c>
    </row>
    <row r="3872" spans="1:5" ht="14.25" hidden="1" customHeight="1">
      <c r="A3872" s="16">
        <v>31425208</v>
      </c>
      <c r="B3872" s="17" t="s">
        <v>2785</v>
      </c>
      <c r="C3872" s="17" t="s">
        <v>6119</v>
      </c>
      <c r="D3872" s="5" t="s">
        <v>7197</v>
      </c>
      <c r="E3872" s="35">
        <v>42502</v>
      </c>
    </row>
    <row r="3873" spans="1:5" ht="14.25" hidden="1" customHeight="1">
      <c r="A3873" s="16">
        <v>32134246</v>
      </c>
      <c r="B3873" s="17" t="s">
        <v>1571</v>
      </c>
      <c r="C3873" s="17" t="s">
        <v>4368</v>
      </c>
      <c r="D3873" s="5" t="s">
        <v>7197</v>
      </c>
      <c r="E3873" s="35">
        <v>42502</v>
      </c>
    </row>
    <row r="3874" spans="1:5" ht="14.25" hidden="1" customHeight="1">
      <c r="A3874" s="16">
        <v>32927760</v>
      </c>
      <c r="B3874" s="17" t="s">
        <v>1913</v>
      </c>
      <c r="C3874" s="17" t="s">
        <v>1914</v>
      </c>
      <c r="D3874" s="5" t="s">
        <v>7197</v>
      </c>
      <c r="E3874" s="35">
        <v>42502</v>
      </c>
    </row>
    <row r="3875" spans="1:5" ht="14.25" hidden="1" customHeight="1">
      <c r="A3875" s="16">
        <v>33432151</v>
      </c>
      <c r="B3875" s="17" t="s">
        <v>226</v>
      </c>
      <c r="C3875" s="17" t="s">
        <v>5582</v>
      </c>
      <c r="D3875" s="5" t="s">
        <v>7197</v>
      </c>
      <c r="E3875" s="35">
        <v>42502</v>
      </c>
    </row>
    <row r="3876" spans="1:5" ht="14.25" hidden="1" customHeight="1">
      <c r="A3876" s="16">
        <v>6048992</v>
      </c>
      <c r="B3876" s="17" t="s">
        <v>347</v>
      </c>
      <c r="C3876" s="17" t="s">
        <v>348</v>
      </c>
      <c r="D3876" s="5" t="s">
        <v>7200</v>
      </c>
      <c r="E3876" s="35">
        <v>42502</v>
      </c>
    </row>
    <row r="3877" spans="1:5" ht="14.25" hidden="1" customHeight="1">
      <c r="A3877" s="16">
        <v>10219547</v>
      </c>
      <c r="B3877" s="17" t="s">
        <v>1194</v>
      </c>
      <c r="C3877" s="17" t="s">
        <v>1191</v>
      </c>
      <c r="D3877" s="5" t="s">
        <v>7200</v>
      </c>
      <c r="E3877" s="35">
        <v>42502</v>
      </c>
    </row>
    <row r="3878" spans="1:5" ht="14.25" hidden="1" customHeight="1">
      <c r="A3878" s="16">
        <v>11054779</v>
      </c>
      <c r="B3878" s="17" t="s">
        <v>3745</v>
      </c>
      <c r="C3878" s="17" t="s">
        <v>1185</v>
      </c>
      <c r="D3878" s="5" t="s">
        <v>7200</v>
      </c>
      <c r="E3878" s="35">
        <v>42502</v>
      </c>
    </row>
    <row r="3879" spans="1:5" ht="14.25" hidden="1" customHeight="1">
      <c r="A3879" s="16">
        <v>13278971</v>
      </c>
      <c r="B3879" s="17" t="s">
        <v>1625</v>
      </c>
      <c r="C3879" s="17" t="s">
        <v>3202</v>
      </c>
      <c r="D3879" s="5" t="s">
        <v>7200</v>
      </c>
      <c r="E3879" s="35">
        <v>42502</v>
      </c>
    </row>
    <row r="3880" spans="1:5" ht="14.25" hidden="1" customHeight="1">
      <c r="A3880" s="16">
        <v>14073303</v>
      </c>
      <c r="B3880" s="17" t="s">
        <v>1708</v>
      </c>
      <c r="C3880" s="17" t="s">
        <v>1709</v>
      </c>
      <c r="D3880" s="5" t="s">
        <v>7200</v>
      </c>
      <c r="E3880" s="35">
        <v>42502</v>
      </c>
    </row>
    <row r="3881" spans="1:5" ht="14.25" hidden="1" customHeight="1">
      <c r="A3881" s="16">
        <v>14225505</v>
      </c>
      <c r="B3881" s="17" t="s">
        <v>260</v>
      </c>
      <c r="C3881" s="17" t="s">
        <v>7204</v>
      </c>
      <c r="D3881" s="5" t="s">
        <v>7200</v>
      </c>
      <c r="E3881" s="35">
        <v>42502</v>
      </c>
    </row>
    <row r="3882" spans="1:5" ht="14.25" hidden="1" customHeight="1">
      <c r="A3882" s="16">
        <v>14296958</v>
      </c>
      <c r="B3882" s="17" t="s">
        <v>5838</v>
      </c>
      <c r="C3882" s="17" t="s">
        <v>7202</v>
      </c>
      <c r="D3882" s="5" t="s">
        <v>7200</v>
      </c>
      <c r="E3882" s="35">
        <v>42502</v>
      </c>
    </row>
    <row r="3883" spans="1:5" ht="14.25" hidden="1" customHeight="1">
      <c r="A3883" s="16">
        <v>14352478</v>
      </c>
      <c r="B3883" s="17" t="s">
        <v>4018</v>
      </c>
      <c r="C3883" s="17" t="s">
        <v>4019</v>
      </c>
      <c r="D3883" s="5" t="s">
        <v>7200</v>
      </c>
      <c r="E3883" s="35">
        <v>42502</v>
      </c>
    </row>
    <row r="3884" spans="1:5" ht="14.25" hidden="1" customHeight="1">
      <c r="A3884" s="16">
        <v>14716849</v>
      </c>
      <c r="B3884" s="17" t="s">
        <v>256</v>
      </c>
      <c r="C3884" s="17" t="s">
        <v>257</v>
      </c>
      <c r="D3884" s="5" t="s">
        <v>7200</v>
      </c>
      <c r="E3884" s="35">
        <v>42502</v>
      </c>
    </row>
    <row r="3885" spans="1:5" ht="14.25" hidden="1" customHeight="1">
      <c r="A3885" s="16">
        <v>14966482</v>
      </c>
      <c r="B3885" s="17" t="s">
        <v>2785</v>
      </c>
      <c r="C3885" s="17" t="s">
        <v>2786</v>
      </c>
      <c r="D3885" s="5" t="s">
        <v>7200</v>
      </c>
      <c r="E3885" s="35">
        <v>42502</v>
      </c>
    </row>
    <row r="3886" spans="1:5" ht="14.25" hidden="1" customHeight="1">
      <c r="A3886" s="16">
        <v>17269028</v>
      </c>
      <c r="B3886" s="17" t="s">
        <v>6097</v>
      </c>
      <c r="C3886" s="17" t="s">
        <v>6098</v>
      </c>
      <c r="D3886" s="5" t="s">
        <v>7200</v>
      </c>
      <c r="E3886" s="35">
        <v>42502</v>
      </c>
    </row>
    <row r="3887" spans="1:5" ht="14.25" hidden="1" customHeight="1">
      <c r="A3887" s="16">
        <v>18566394</v>
      </c>
      <c r="B3887" s="17" t="s">
        <v>144</v>
      </c>
      <c r="C3887" s="17" t="s">
        <v>283</v>
      </c>
      <c r="D3887" s="5" t="s">
        <v>7200</v>
      </c>
      <c r="E3887" s="35">
        <v>42502</v>
      </c>
    </row>
    <row r="3888" spans="1:5" ht="14.25" hidden="1" customHeight="1">
      <c r="A3888" s="16">
        <v>20222681</v>
      </c>
      <c r="B3888" s="17" t="s">
        <v>662</v>
      </c>
      <c r="C3888" s="17" t="s">
        <v>663</v>
      </c>
      <c r="D3888" s="5" t="s">
        <v>7200</v>
      </c>
      <c r="E3888" s="35">
        <v>42502</v>
      </c>
    </row>
    <row r="3889" spans="1:5" ht="14.25" hidden="1" customHeight="1">
      <c r="A3889" s="16">
        <v>20580067</v>
      </c>
      <c r="B3889" s="17" t="s">
        <v>394</v>
      </c>
      <c r="C3889" s="17" t="s">
        <v>7206</v>
      </c>
      <c r="D3889" s="5" t="s">
        <v>7200</v>
      </c>
      <c r="E3889" s="35">
        <v>42502</v>
      </c>
    </row>
    <row r="3890" spans="1:5" ht="14.25" hidden="1" customHeight="1">
      <c r="A3890" s="16">
        <v>22414783</v>
      </c>
      <c r="B3890" s="17" t="s">
        <v>342</v>
      </c>
      <c r="C3890" s="17" t="s">
        <v>1173</v>
      </c>
      <c r="D3890" s="5" t="s">
        <v>7200</v>
      </c>
      <c r="E3890" s="35">
        <v>42502</v>
      </c>
    </row>
    <row r="3891" spans="1:5" ht="14.25" hidden="1" customHeight="1">
      <c r="A3891" s="16">
        <v>23117670</v>
      </c>
      <c r="B3891" s="17" t="s">
        <v>4994</v>
      </c>
      <c r="C3891" s="17" t="s">
        <v>5734</v>
      </c>
      <c r="D3891" s="5" t="s">
        <v>7200</v>
      </c>
      <c r="E3891" s="35">
        <v>42502</v>
      </c>
    </row>
    <row r="3892" spans="1:5" ht="14.25" hidden="1" customHeight="1">
      <c r="A3892" s="16">
        <v>23498695</v>
      </c>
      <c r="B3892" s="17" t="s">
        <v>2862</v>
      </c>
      <c r="C3892" s="17" t="s">
        <v>7203</v>
      </c>
      <c r="D3892" s="5" t="s">
        <v>7200</v>
      </c>
      <c r="E3892" s="35">
        <v>42502</v>
      </c>
    </row>
    <row r="3893" spans="1:5" ht="14.25" hidden="1" customHeight="1">
      <c r="A3893" s="16">
        <v>24200813</v>
      </c>
      <c r="B3893" s="17" t="s">
        <v>2766</v>
      </c>
      <c r="C3893" s="17" t="s">
        <v>2767</v>
      </c>
      <c r="D3893" s="5" t="s">
        <v>7200</v>
      </c>
      <c r="E3893" s="35">
        <v>42502</v>
      </c>
    </row>
    <row r="3894" spans="1:5" ht="14.25" hidden="1" customHeight="1">
      <c r="A3894" s="16">
        <v>24982487</v>
      </c>
      <c r="B3894" s="17" t="s">
        <v>4188</v>
      </c>
      <c r="C3894" s="17" t="s">
        <v>4189</v>
      </c>
      <c r="D3894" s="5" t="s">
        <v>7200</v>
      </c>
      <c r="E3894" s="35">
        <v>42502</v>
      </c>
    </row>
    <row r="3895" spans="1:5" ht="14.25" hidden="1" customHeight="1">
      <c r="A3895" s="16">
        <v>24982570</v>
      </c>
      <c r="B3895" s="17" t="s">
        <v>766</v>
      </c>
      <c r="C3895" s="17" t="s">
        <v>767</v>
      </c>
      <c r="D3895" s="5" t="s">
        <v>7200</v>
      </c>
      <c r="E3895" s="35">
        <v>42502</v>
      </c>
    </row>
    <row r="3896" spans="1:5" ht="14.25" hidden="1" customHeight="1">
      <c r="A3896" s="16">
        <v>25498806</v>
      </c>
      <c r="B3896" s="17" t="s">
        <v>6141</v>
      </c>
      <c r="C3896" s="17" t="s">
        <v>6142</v>
      </c>
      <c r="D3896" s="5" t="s">
        <v>7200</v>
      </c>
      <c r="E3896" s="35">
        <v>42502</v>
      </c>
    </row>
    <row r="3897" spans="1:5" ht="14.25" hidden="1" customHeight="1">
      <c r="A3897" s="16">
        <v>25758684</v>
      </c>
      <c r="B3897" s="17" t="s">
        <v>428</v>
      </c>
      <c r="C3897" s="17" t="s">
        <v>1208</v>
      </c>
      <c r="D3897" s="5" t="s">
        <v>7200</v>
      </c>
      <c r="E3897" s="35">
        <v>42502</v>
      </c>
    </row>
    <row r="3898" spans="1:5" ht="14.25" hidden="1" customHeight="1">
      <c r="A3898" s="16">
        <v>25800534</v>
      </c>
      <c r="B3898" s="17" t="s">
        <v>4868</v>
      </c>
      <c r="C3898" s="17" t="s">
        <v>1173</v>
      </c>
      <c r="D3898" s="5" t="s">
        <v>7200</v>
      </c>
      <c r="E3898" s="35">
        <v>42502</v>
      </c>
    </row>
    <row r="3899" spans="1:5" ht="14.25" hidden="1" customHeight="1">
      <c r="A3899" s="16">
        <v>26454967</v>
      </c>
      <c r="B3899" s="17" t="s">
        <v>971</v>
      </c>
      <c r="C3899" s="17" t="s">
        <v>972</v>
      </c>
      <c r="D3899" s="5" t="s">
        <v>7200</v>
      </c>
      <c r="E3899" s="35">
        <v>42502</v>
      </c>
    </row>
    <row r="3900" spans="1:5" ht="14.25" hidden="1" customHeight="1">
      <c r="A3900" s="16">
        <v>28147379</v>
      </c>
      <c r="B3900" s="17" t="s">
        <v>971</v>
      </c>
      <c r="C3900" s="17" t="s">
        <v>974</v>
      </c>
      <c r="D3900" s="5" t="s">
        <v>7200</v>
      </c>
      <c r="E3900" s="35">
        <v>42502</v>
      </c>
    </row>
    <row r="3901" spans="1:5" ht="14.25" hidden="1" customHeight="1">
      <c r="A3901" s="16">
        <v>29532183</v>
      </c>
      <c r="B3901" s="17" t="s">
        <v>1401</v>
      </c>
      <c r="C3901" s="17" t="s">
        <v>2450</v>
      </c>
      <c r="D3901" s="5" t="s">
        <v>7200</v>
      </c>
      <c r="E3901" s="35">
        <v>42502</v>
      </c>
    </row>
    <row r="3902" spans="1:5" ht="14.25" hidden="1" customHeight="1">
      <c r="A3902" s="16">
        <v>30357304</v>
      </c>
      <c r="B3902" s="17" t="s">
        <v>7205</v>
      </c>
      <c r="C3902" s="17" t="s">
        <v>588</v>
      </c>
      <c r="D3902" s="5" t="s">
        <v>7200</v>
      </c>
      <c r="E3902" s="35">
        <v>42502</v>
      </c>
    </row>
    <row r="3903" spans="1:5" ht="14.25" hidden="1" customHeight="1">
      <c r="A3903" s="16">
        <v>33817813</v>
      </c>
      <c r="B3903" s="17" t="s">
        <v>1248</v>
      </c>
      <c r="C3903" s="17" t="s">
        <v>1252</v>
      </c>
      <c r="D3903" s="5" t="s">
        <v>7200</v>
      </c>
      <c r="E3903" s="35">
        <v>42502</v>
      </c>
    </row>
    <row r="3904" spans="1:5" ht="14.25" hidden="1" customHeight="1">
      <c r="A3904" s="16">
        <v>33884314</v>
      </c>
      <c r="B3904" s="17" t="s">
        <v>1565</v>
      </c>
      <c r="C3904" s="17" t="s">
        <v>5660</v>
      </c>
      <c r="D3904" s="5" t="s">
        <v>7200</v>
      </c>
      <c r="E3904" s="35">
        <v>42502</v>
      </c>
    </row>
    <row r="3905" spans="1:5" ht="14.25" hidden="1" customHeight="1">
      <c r="A3905" s="16">
        <v>34287096</v>
      </c>
      <c r="B3905" s="17" t="s">
        <v>1219</v>
      </c>
      <c r="C3905" s="17" t="s">
        <v>1220</v>
      </c>
      <c r="D3905" s="5" t="s">
        <v>7200</v>
      </c>
      <c r="E3905" s="35">
        <v>42502</v>
      </c>
    </row>
    <row r="3906" spans="1:5" ht="14.25" hidden="1" customHeight="1">
      <c r="B3906" s="17" t="s">
        <v>7201</v>
      </c>
      <c r="C3906" s="17" t="s">
        <v>1901</v>
      </c>
      <c r="D3906" s="5" t="s">
        <v>7200</v>
      </c>
      <c r="E3906" s="35">
        <v>42502</v>
      </c>
    </row>
    <row r="3907" spans="1:5" ht="14.25" hidden="1" customHeight="1">
      <c r="B3907" s="17" t="s">
        <v>3237</v>
      </c>
      <c r="C3907" s="17" t="s">
        <v>7133</v>
      </c>
      <c r="D3907" s="5" t="s">
        <v>7200</v>
      </c>
      <c r="E3907" s="35">
        <v>42502</v>
      </c>
    </row>
    <row r="3908" spans="1:5" ht="14.25" hidden="1" customHeight="1">
      <c r="A3908" s="16">
        <v>5486653</v>
      </c>
      <c r="B3908" s="17" t="s">
        <v>7183</v>
      </c>
      <c r="C3908" s="17" t="s">
        <v>1310</v>
      </c>
      <c r="D3908" s="5" t="s">
        <v>7109</v>
      </c>
      <c r="E3908" s="35">
        <v>42452</v>
      </c>
    </row>
    <row r="3909" spans="1:5" ht="14.25" hidden="1" customHeight="1">
      <c r="A3909" s="16">
        <v>10556377</v>
      </c>
      <c r="B3909" s="17" t="s">
        <v>3622</v>
      </c>
      <c r="C3909" s="17" t="s">
        <v>6006</v>
      </c>
      <c r="D3909" s="5" t="s">
        <v>7109</v>
      </c>
      <c r="E3909" s="35">
        <v>42452</v>
      </c>
    </row>
    <row r="3910" spans="1:5" ht="14.25" hidden="1" customHeight="1">
      <c r="A3910" s="16">
        <v>10910913</v>
      </c>
      <c r="B3910" s="17" t="s">
        <v>1106</v>
      </c>
      <c r="C3910" s="17" t="s">
        <v>1107</v>
      </c>
      <c r="D3910" s="5" t="s">
        <v>7109</v>
      </c>
      <c r="E3910" s="35">
        <v>42452</v>
      </c>
    </row>
    <row r="3911" spans="1:5" ht="14.25" hidden="1" customHeight="1">
      <c r="A3911" s="16">
        <v>12597724</v>
      </c>
      <c r="B3911" s="17" t="s">
        <v>760</v>
      </c>
      <c r="C3911" s="17" t="s">
        <v>7208</v>
      </c>
      <c r="D3911" s="5" t="s">
        <v>7109</v>
      </c>
      <c r="E3911" s="35">
        <v>42452</v>
      </c>
    </row>
    <row r="3912" spans="1:5" ht="14.25" hidden="1" customHeight="1">
      <c r="A3912" s="16">
        <v>17163465</v>
      </c>
      <c r="B3912" s="17" t="s">
        <v>2840</v>
      </c>
      <c r="C3912" s="17" t="s">
        <v>687</v>
      </c>
      <c r="D3912" s="5" t="s">
        <v>7109</v>
      </c>
      <c r="E3912" s="35">
        <v>42452</v>
      </c>
    </row>
    <row r="3913" spans="1:5" ht="14.25" hidden="1" customHeight="1">
      <c r="A3913" s="16">
        <v>17268021</v>
      </c>
      <c r="B3913" s="17" t="s">
        <v>4649</v>
      </c>
      <c r="C3913" s="17" t="s">
        <v>2184</v>
      </c>
      <c r="D3913" s="5" t="s">
        <v>7109</v>
      </c>
      <c r="E3913" s="35">
        <v>42452</v>
      </c>
    </row>
    <row r="3914" spans="1:5" ht="14.25" hidden="1" customHeight="1">
      <c r="A3914" s="16">
        <v>20178395</v>
      </c>
      <c r="B3914" s="17" t="s">
        <v>2358</v>
      </c>
      <c r="C3914" s="17" t="s">
        <v>902</v>
      </c>
      <c r="D3914" s="5" t="s">
        <v>7109</v>
      </c>
      <c r="E3914" s="35">
        <v>42452</v>
      </c>
    </row>
    <row r="3915" spans="1:5" ht="14.25" hidden="1" customHeight="1">
      <c r="A3915" s="16">
        <v>20803370</v>
      </c>
      <c r="B3915" s="17" t="s">
        <v>1631</v>
      </c>
      <c r="C3915" s="17" t="s">
        <v>1632</v>
      </c>
      <c r="D3915" s="5" t="s">
        <v>7109</v>
      </c>
      <c r="E3915" s="35">
        <v>42452</v>
      </c>
    </row>
    <row r="3916" spans="1:5" ht="14.25" hidden="1" customHeight="1">
      <c r="A3916" s="16">
        <v>21805042</v>
      </c>
      <c r="B3916" s="17" t="s">
        <v>4106</v>
      </c>
      <c r="C3916" s="17" t="s">
        <v>4107</v>
      </c>
      <c r="D3916" s="5" t="s">
        <v>7109</v>
      </c>
      <c r="E3916" s="35">
        <v>42452</v>
      </c>
    </row>
    <row r="3917" spans="1:5" ht="14.25" hidden="1" customHeight="1">
      <c r="A3917" s="16">
        <v>23116052</v>
      </c>
      <c r="B3917" s="17" t="s">
        <v>226</v>
      </c>
      <c r="C3917" s="17" t="s">
        <v>1200</v>
      </c>
      <c r="D3917" s="5" t="s">
        <v>7109</v>
      </c>
      <c r="E3917" s="35">
        <v>42452</v>
      </c>
    </row>
    <row r="3918" spans="1:5" ht="14.25" hidden="1" customHeight="1">
      <c r="A3918" s="16">
        <v>24253315</v>
      </c>
      <c r="B3918" s="17" t="s">
        <v>7207</v>
      </c>
      <c r="C3918" s="17" t="s">
        <v>363</v>
      </c>
      <c r="D3918" s="5" t="s">
        <v>7109</v>
      </c>
      <c r="E3918" s="35">
        <v>42452</v>
      </c>
    </row>
    <row r="3919" spans="1:5" ht="14.25" hidden="1" customHeight="1">
      <c r="A3919" s="16">
        <v>25800534</v>
      </c>
      <c r="B3919" s="17" t="s">
        <v>4868</v>
      </c>
      <c r="C3919" s="17" t="s">
        <v>4869</v>
      </c>
      <c r="D3919" s="5" t="s">
        <v>7109</v>
      </c>
      <c r="E3919" s="35">
        <v>42452</v>
      </c>
    </row>
    <row r="3920" spans="1:5" ht="14.25" hidden="1" customHeight="1">
      <c r="A3920" s="16">
        <v>26783120</v>
      </c>
      <c r="B3920" s="17" t="s">
        <v>620</v>
      </c>
      <c r="C3920" s="17" t="s">
        <v>1006</v>
      </c>
      <c r="D3920" s="5" t="s">
        <v>7109</v>
      </c>
      <c r="E3920" s="35">
        <v>42452</v>
      </c>
    </row>
    <row r="3921" spans="1:5" ht="14.25" hidden="1" customHeight="1">
      <c r="A3921" s="16">
        <v>12607777</v>
      </c>
      <c r="B3921" s="17" t="s">
        <v>2514</v>
      </c>
      <c r="C3921" s="17" t="s">
        <v>363</v>
      </c>
      <c r="D3921" s="5" t="s">
        <v>7210</v>
      </c>
      <c r="E3921" s="35">
        <v>42347</v>
      </c>
    </row>
    <row r="3922" spans="1:5" ht="14.25" hidden="1" customHeight="1">
      <c r="A3922" s="16">
        <v>12654235</v>
      </c>
      <c r="B3922" s="17" t="s">
        <v>863</v>
      </c>
      <c r="C3922" s="17" t="s">
        <v>4576</v>
      </c>
      <c r="D3922" s="5" t="s">
        <v>7210</v>
      </c>
      <c r="E3922" s="35">
        <v>42347</v>
      </c>
    </row>
    <row r="3923" spans="1:5" ht="14.25" hidden="1" customHeight="1">
      <c r="A3923" s="16">
        <v>13715942</v>
      </c>
      <c r="B3923" s="17" t="s">
        <v>4660</v>
      </c>
      <c r="C3923" s="17" t="s">
        <v>4661</v>
      </c>
      <c r="D3923" s="5" t="s">
        <v>7210</v>
      </c>
      <c r="E3923" s="35">
        <v>42347</v>
      </c>
    </row>
    <row r="3924" spans="1:5" ht="14.25" hidden="1" customHeight="1">
      <c r="A3924" s="16">
        <v>14660417</v>
      </c>
      <c r="B3924" s="17" t="s">
        <v>1093</v>
      </c>
      <c r="C3924" s="17" t="s">
        <v>1094</v>
      </c>
      <c r="D3924" s="5" t="s">
        <v>7210</v>
      </c>
      <c r="E3924" s="35">
        <v>42347</v>
      </c>
    </row>
    <row r="3925" spans="1:5" ht="14.25" hidden="1" customHeight="1">
      <c r="A3925" s="16">
        <v>17613733</v>
      </c>
      <c r="B3925" s="17" t="s">
        <v>883</v>
      </c>
      <c r="C3925" s="17" t="s">
        <v>6019</v>
      </c>
      <c r="D3925" s="5" t="s">
        <v>7210</v>
      </c>
      <c r="E3925" s="35">
        <v>42347</v>
      </c>
    </row>
    <row r="3926" spans="1:5" ht="14.25" hidden="1" customHeight="1">
      <c r="A3926" s="16">
        <v>18185663</v>
      </c>
      <c r="B3926" s="17" t="s">
        <v>26</v>
      </c>
      <c r="C3926" s="17" t="s">
        <v>7209</v>
      </c>
      <c r="D3926" s="5" t="s">
        <v>7210</v>
      </c>
      <c r="E3926" s="35">
        <v>42347</v>
      </c>
    </row>
    <row r="3927" spans="1:5" ht="14.25" hidden="1" customHeight="1">
      <c r="A3927" s="16">
        <v>18433635</v>
      </c>
      <c r="B3927" s="17" t="s">
        <v>1849</v>
      </c>
      <c r="C3927" s="17" t="s">
        <v>1850</v>
      </c>
      <c r="D3927" s="5" t="s">
        <v>7210</v>
      </c>
      <c r="E3927" s="35">
        <v>42347</v>
      </c>
    </row>
    <row r="3928" spans="1:5" ht="14.25" hidden="1" customHeight="1">
      <c r="A3928" s="16">
        <v>20222813</v>
      </c>
      <c r="B3928" s="17" t="s">
        <v>7211</v>
      </c>
      <c r="C3928" s="17" t="s">
        <v>4318</v>
      </c>
      <c r="D3928" s="5" t="s">
        <v>7210</v>
      </c>
      <c r="E3928" s="35">
        <v>42347</v>
      </c>
    </row>
    <row r="3929" spans="1:5" ht="14.25" hidden="1" customHeight="1">
      <c r="A3929" s="16">
        <v>20433199</v>
      </c>
      <c r="B3929" s="17" t="s">
        <v>247</v>
      </c>
      <c r="C3929" s="17" t="s">
        <v>683</v>
      </c>
      <c r="D3929" s="5" t="s">
        <v>7210</v>
      </c>
      <c r="E3929" s="35">
        <v>42347</v>
      </c>
    </row>
    <row r="3930" spans="1:5" ht="14.25" hidden="1" customHeight="1">
      <c r="A3930" s="16">
        <v>22073287</v>
      </c>
      <c r="B3930" s="17" t="s">
        <v>4752</v>
      </c>
      <c r="C3930" s="17" t="s">
        <v>3202</v>
      </c>
      <c r="D3930" s="5" t="s">
        <v>7210</v>
      </c>
      <c r="E3930" s="35">
        <v>42347</v>
      </c>
    </row>
    <row r="3931" spans="1:5" ht="14.25" hidden="1" customHeight="1">
      <c r="A3931" s="16">
        <v>22263816</v>
      </c>
      <c r="B3931" s="17" t="s">
        <v>1613</v>
      </c>
      <c r="C3931" s="17" t="s">
        <v>363</v>
      </c>
      <c r="D3931" s="5" t="s">
        <v>7210</v>
      </c>
      <c r="E3931" s="35">
        <v>42347</v>
      </c>
    </row>
    <row r="3932" spans="1:5" ht="14.25" hidden="1" customHeight="1">
      <c r="A3932" s="16">
        <v>22336110</v>
      </c>
      <c r="B3932" s="17" t="s">
        <v>690</v>
      </c>
      <c r="C3932" s="17" t="s">
        <v>691</v>
      </c>
      <c r="D3932" s="5" t="s">
        <v>7210</v>
      </c>
      <c r="E3932" s="35">
        <v>42347</v>
      </c>
    </row>
    <row r="3933" spans="1:5" ht="14.25" hidden="1" customHeight="1">
      <c r="A3933" s="16">
        <v>22664180</v>
      </c>
      <c r="B3933" s="17" t="s">
        <v>252</v>
      </c>
      <c r="C3933" s="17" t="s">
        <v>2979</v>
      </c>
      <c r="D3933" s="5" t="s">
        <v>7210</v>
      </c>
      <c r="E3933" s="35">
        <v>42347</v>
      </c>
    </row>
    <row r="3934" spans="1:5" ht="14.25" hidden="1" customHeight="1">
      <c r="A3934" s="16">
        <v>22877414</v>
      </c>
      <c r="B3934" s="17" t="s">
        <v>252</v>
      </c>
      <c r="C3934" s="17" t="s">
        <v>2826</v>
      </c>
      <c r="D3934" s="5" t="s">
        <v>7210</v>
      </c>
      <c r="E3934" s="35">
        <v>42347</v>
      </c>
    </row>
    <row r="3935" spans="1:5" ht="14.25" hidden="1" customHeight="1">
      <c r="A3935" s="16">
        <v>24803211</v>
      </c>
      <c r="B3935" s="17" t="s">
        <v>2579</v>
      </c>
      <c r="C3935" s="17" t="s">
        <v>2580</v>
      </c>
      <c r="D3935" s="5" t="s">
        <v>7210</v>
      </c>
      <c r="E3935" s="35">
        <v>42347</v>
      </c>
    </row>
    <row r="3936" spans="1:5" ht="14.25" hidden="1" customHeight="1">
      <c r="A3936" s="16">
        <v>25542562</v>
      </c>
      <c r="B3936" s="17" t="s">
        <v>3237</v>
      </c>
      <c r="C3936" s="17" t="s">
        <v>7133</v>
      </c>
      <c r="D3936" s="5" t="s">
        <v>7210</v>
      </c>
      <c r="E3936" s="35">
        <v>42347</v>
      </c>
    </row>
    <row r="3937" spans="1:5" ht="14.25" hidden="1" customHeight="1">
      <c r="A3937" s="16">
        <v>25719517</v>
      </c>
      <c r="B3937" s="17" t="s">
        <v>134</v>
      </c>
      <c r="C3937" s="17" t="s">
        <v>135</v>
      </c>
      <c r="D3937" s="5" t="s">
        <v>7210</v>
      </c>
      <c r="E3937" s="35">
        <v>42347</v>
      </c>
    </row>
    <row r="3938" spans="1:5" ht="14.25" hidden="1" customHeight="1">
      <c r="A3938" s="16">
        <v>27400634</v>
      </c>
      <c r="B3938" s="17" t="s">
        <v>2248</v>
      </c>
      <c r="C3938" s="17" t="s">
        <v>2810</v>
      </c>
      <c r="D3938" s="5" t="s">
        <v>7210</v>
      </c>
      <c r="E3938" s="35">
        <v>42347</v>
      </c>
    </row>
    <row r="3939" spans="1:5" ht="14.25" hidden="1" customHeight="1">
      <c r="A3939" s="16">
        <v>27575187</v>
      </c>
      <c r="B3939" s="17" t="s">
        <v>3939</v>
      </c>
      <c r="C3939" s="17" t="s">
        <v>3940</v>
      </c>
      <c r="D3939" s="5" t="s">
        <v>7210</v>
      </c>
      <c r="E3939" s="35">
        <v>42347</v>
      </c>
    </row>
    <row r="3940" spans="1:5" ht="14.25" hidden="1" customHeight="1">
      <c r="A3940" s="16">
        <v>30760509</v>
      </c>
      <c r="B3940" s="17" t="s">
        <v>130</v>
      </c>
      <c r="C3940" s="17" t="s">
        <v>7121</v>
      </c>
      <c r="D3940" s="5" t="s">
        <v>7210</v>
      </c>
      <c r="E3940" s="35">
        <v>42347</v>
      </c>
    </row>
    <row r="3941" spans="1:5" ht="14.25" hidden="1" customHeight="1">
      <c r="A3941" s="16">
        <v>31842029</v>
      </c>
      <c r="B3941" s="17" t="s">
        <v>7118</v>
      </c>
      <c r="C3941" s="17" t="s">
        <v>7119</v>
      </c>
      <c r="D3941" s="5" t="s">
        <v>7210</v>
      </c>
      <c r="E3941" s="35">
        <v>42347</v>
      </c>
    </row>
    <row r="3942" spans="1:5" ht="14.25" hidden="1" customHeight="1">
      <c r="A3942" s="16">
        <v>33399449</v>
      </c>
      <c r="B3942" s="17" t="s">
        <v>1823</v>
      </c>
      <c r="C3942" s="17" t="s">
        <v>1785</v>
      </c>
      <c r="D3942" s="5" t="s">
        <v>7210</v>
      </c>
      <c r="E3942" s="35">
        <v>42347</v>
      </c>
    </row>
    <row r="3943" spans="1:5" ht="14.25" hidden="1" customHeight="1">
      <c r="A3943" s="16">
        <v>36838188</v>
      </c>
      <c r="B3943" s="17" t="s">
        <v>875</v>
      </c>
      <c r="C3943" s="17" t="s">
        <v>3409</v>
      </c>
      <c r="D3943" s="5" t="s">
        <v>7210</v>
      </c>
      <c r="E3943" s="35">
        <v>42347</v>
      </c>
    </row>
    <row r="3944" spans="1:5" ht="14.25" hidden="1" customHeight="1">
      <c r="A3944" s="16">
        <v>37096427</v>
      </c>
      <c r="B3944" s="17" t="s">
        <v>670</v>
      </c>
      <c r="C3944" s="17" t="s">
        <v>3352</v>
      </c>
      <c r="D3944" s="5" t="s">
        <v>7210</v>
      </c>
      <c r="E3944" s="35">
        <v>42347</v>
      </c>
    </row>
    <row r="3945" spans="1:5" ht="14.25" hidden="1" customHeight="1">
      <c r="A3945" s="16">
        <v>39698095</v>
      </c>
      <c r="B3945" s="17" t="s">
        <v>670</v>
      </c>
      <c r="C3945" s="17" t="s">
        <v>671</v>
      </c>
      <c r="D3945" s="5" t="s">
        <v>7210</v>
      </c>
      <c r="E3945" s="35">
        <v>42347</v>
      </c>
    </row>
    <row r="3946" spans="1:5" ht="14.25" hidden="1" customHeight="1">
      <c r="A3946" s="16">
        <v>6147633</v>
      </c>
      <c r="B3946" s="17" t="s">
        <v>300</v>
      </c>
      <c r="C3946" s="17" t="s">
        <v>1649</v>
      </c>
      <c r="D3946" s="5" t="s">
        <v>7212</v>
      </c>
      <c r="E3946" s="35">
        <v>42312</v>
      </c>
    </row>
    <row r="3947" spans="1:5" ht="14.25" hidden="1" customHeight="1">
      <c r="A3947" s="16">
        <v>10910913</v>
      </c>
      <c r="B3947" s="17" t="s">
        <v>1106</v>
      </c>
      <c r="C3947" s="17" t="s">
        <v>1107</v>
      </c>
      <c r="D3947" s="5" t="s">
        <v>7212</v>
      </c>
      <c r="E3947" s="35">
        <v>42312</v>
      </c>
    </row>
    <row r="3948" spans="1:5" ht="14.25" hidden="1" customHeight="1">
      <c r="A3948" s="16">
        <v>14660614</v>
      </c>
      <c r="B3948" s="17" t="s">
        <v>2355</v>
      </c>
      <c r="C3948" s="17" t="s">
        <v>2356</v>
      </c>
      <c r="D3948" s="5" t="s">
        <v>7212</v>
      </c>
      <c r="E3948" s="35">
        <v>42312</v>
      </c>
    </row>
    <row r="3949" spans="1:5" ht="14.25" hidden="1" customHeight="1">
      <c r="A3949" s="16">
        <v>17494803</v>
      </c>
      <c r="B3949" s="17" t="s">
        <v>734</v>
      </c>
      <c r="C3949" s="17" t="s">
        <v>735</v>
      </c>
      <c r="D3949" s="5" t="s">
        <v>7212</v>
      </c>
      <c r="E3949" s="35">
        <v>42312</v>
      </c>
    </row>
    <row r="3950" spans="1:5" ht="14.25" hidden="1" customHeight="1">
      <c r="A3950" s="16">
        <v>18230663</v>
      </c>
      <c r="B3950" s="17" t="s">
        <v>2375</v>
      </c>
      <c r="C3950" s="17" t="s">
        <v>1585</v>
      </c>
      <c r="D3950" s="5" t="s">
        <v>7212</v>
      </c>
      <c r="E3950" s="35">
        <v>42312</v>
      </c>
    </row>
    <row r="3951" spans="1:5" ht="14.25" hidden="1" customHeight="1">
      <c r="A3951" s="16">
        <v>20178395</v>
      </c>
      <c r="B3951" s="17" t="s">
        <v>2358</v>
      </c>
      <c r="C3951" s="17" t="s">
        <v>7213</v>
      </c>
      <c r="D3951" s="5" t="s">
        <v>7212</v>
      </c>
      <c r="E3951" s="35">
        <v>42312</v>
      </c>
    </row>
    <row r="3952" spans="1:5" ht="14.25" hidden="1" customHeight="1">
      <c r="A3952" s="16">
        <v>20692036</v>
      </c>
      <c r="B3952" s="17" t="s">
        <v>727</v>
      </c>
      <c r="C3952" s="17" t="s">
        <v>7214</v>
      </c>
      <c r="D3952" s="5" t="s">
        <v>7212</v>
      </c>
      <c r="E3952" s="35">
        <v>42312</v>
      </c>
    </row>
    <row r="3953" spans="1:5" ht="14.25" hidden="1" customHeight="1">
      <c r="A3953" s="16">
        <v>22336462</v>
      </c>
      <c r="B3953" s="17" t="s">
        <v>1310</v>
      </c>
      <c r="C3953" s="17" t="s">
        <v>1608</v>
      </c>
      <c r="D3953" s="5" t="s">
        <v>7212</v>
      </c>
      <c r="E3953" s="35">
        <v>42312</v>
      </c>
    </row>
    <row r="3954" spans="1:5" ht="14.25" hidden="1" customHeight="1">
      <c r="A3954" s="16">
        <v>22428668</v>
      </c>
      <c r="B3954" s="17" t="s">
        <v>4979</v>
      </c>
      <c r="C3954" s="17" t="s">
        <v>2102</v>
      </c>
      <c r="D3954" s="5" t="s">
        <v>7212</v>
      </c>
      <c r="E3954" s="35">
        <v>42312</v>
      </c>
    </row>
    <row r="3955" spans="1:5" ht="14.25" hidden="1" customHeight="1">
      <c r="A3955" s="16">
        <v>24553770</v>
      </c>
      <c r="B3955" s="17" t="s">
        <v>2923</v>
      </c>
      <c r="C3955" s="17" t="s">
        <v>2924</v>
      </c>
      <c r="D3955" s="5" t="s">
        <v>7212</v>
      </c>
      <c r="E3955" s="35">
        <v>42312</v>
      </c>
    </row>
    <row r="3956" spans="1:5" ht="14.25" hidden="1" customHeight="1">
      <c r="A3956" s="16">
        <v>27016351</v>
      </c>
      <c r="B3956" s="17" t="s">
        <v>2026</v>
      </c>
      <c r="C3956" s="17" t="s">
        <v>3662</v>
      </c>
      <c r="D3956" s="5" t="s">
        <v>7212</v>
      </c>
      <c r="E3956" s="35">
        <v>42312</v>
      </c>
    </row>
    <row r="3957" spans="1:5" ht="14.25" hidden="1" customHeight="1">
      <c r="A3957" s="16">
        <v>27944383</v>
      </c>
      <c r="B3957" s="17" t="s">
        <v>863</v>
      </c>
      <c r="C3957" s="17" t="s">
        <v>3294</v>
      </c>
      <c r="D3957" s="5" t="s">
        <v>7212</v>
      </c>
      <c r="E3957" s="35">
        <v>42312</v>
      </c>
    </row>
    <row r="3958" spans="1:5" ht="14.25" hidden="1" customHeight="1">
      <c r="A3958" s="16">
        <v>10581640</v>
      </c>
      <c r="B3958" s="17" t="s">
        <v>659</v>
      </c>
      <c r="C3958" s="17" t="s">
        <v>922</v>
      </c>
      <c r="D3958" s="1" t="s">
        <v>7215</v>
      </c>
      <c r="E3958" s="35">
        <v>42286</v>
      </c>
    </row>
    <row r="3959" spans="1:5" ht="14.25" hidden="1" customHeight="1">
      <c r="A3959" s="16">
        <v>11960881</v>
      </c>
      <c r="B3959" s="17" t="s">
        <v>753</v>
      </c>
      <c r="C3959" s="17" t="s">
        <v>754</v>
      </c>
      <c r="D3959" s="1" t="s">
        <v>7215</v>
      </c>
      <c r="E3959" s="35">
        <v>42286</v>
      </c>
    </row>
    <row r="3960" spans="1:5" ht="14.25" hidden="1" customHeight="1">
      <c r="A3960" s="16">
        <v>12352791</v>
      </c>
      <c r="B3960" s="17" t="s">
        <v>327</v>
      </c>
      <c r="C3960" s="17" t="s">
        <v>328</v>
      </c>
      <c r="D3960" s="1" t="s">
        <v>7215</v>
      </c>
      <c r="E3960" s="35">
        <v>42286</v>
      </c>
    </row>
    <row r="3961" spans="1:5" ht="14.25" hidden="1" customHeight="1">
      <c r="A3961" s="16">
        <v>12449905</v>
      </c>
      <c r="B3961" s="17" t="s">
        <v>2947</v>
      </c>
      <c r="C3961" s="17" t="s">
        <v>2948</v>
      </c>
      <c r="D3961" s="1" t="s">
        <v>7215</v>
      </c>
      <c r="E3961" s="35">
        <v>42286</v>
      </c>
    </row>
    <row r="3962" spans="1:5" ht="14.25" hidden="1" customHeight="1">
      <c r="A3962" s="16">
        <v>12721505</v>
      </c>
      <c r="B3962" s="17" t="s">
        <v>1040</v>
      </c>
      <c r="C3962" s="17" t="s">
        <v>1041</v>
      </c>
      <c r="D3962" s="1" t="s">
        <v>7215</v>
      </c>
      <c r="E3962" s="35">
        <v>42286</v>
      </c>
    </row>
    <row r="3963" spans="1:5" ht="14.25" hidden="1" customHeight="1">
      <c r="A3963" s="16">
        <v>12869128</v>
      </c>
      <c r="B3963" s="17" t="s">
        <v>6362</v>
      </c>
      <c r="C3963" s="17" t="s">
        <v>6019</v>
      </c>
      <c r="D3963" s="1" t="s">
        <v>7215</v>
      </c>
      <c r="E3963" s="35">
        <v>42286</v>
      </c>
    </row>
    <row r="3964" spans="1:5" ht="14.25" hidden="1" customHeight="1">
      <c r="A3964" s="16">
        <v>12870523</v>
      </c>
      <c r="B3964" s="17" t="s">
        <v>476</v>
      </c>
      <c r="C3964" s="17" t="s">
        <v>477</v>
      </c>
      <c r="D3964" s="1" t="s">
        <v>7215</v>
      </c>
      <c r="E3964" s="35">
        <v>42286</v>
      </c>
    </row>
    <row r="3965" spans="1:5" ht="14.25" hidden="1" customHeight="1">
      <c r="A3965" s="16">
        <v>12918721</v>
      </c>
      <c r="B3965" s="17" t="s">
        <v>279</v>
      </c>
      <c r="C3965" s="17" t="s">
        <v>4594</v>
      </c>
      <c r="D3965" s="1" t="s">
        <v>7215</v>
      </c>
      <c r="E3965" s="35">
        <v>42286</v>
      </c>
    </row>
    <row r="3966" spans="1:5" ht="14.25" hidden="1" customHeight="1">
      <c r="A3966" s="16">
        <v>12951555</v>
      </c>
      <c r="B3966" s="17" t="s">
        <v>1416</v>
      </c>
      <c r="C3966" s="17" t="s">
        <v>922</v>
      </c>
      <c r="D3966" s="1" t="s">
        <v>7215</v>
      </c>
      <c r="E3966" s="35">
        <v>42286</v>
      </c>
    </row>
    <row r="3967" spans="1:5" ht="14.25" hidden="1" customHeight="1">
      <c r="A3967" s="16">
        <v>13279577</v>
      </c>
      <c r="B3967" s="17" t="s">
        <v>948</v>
      </c>
      <c r="C3967" s="17" t="s">
        <v>949</v>
      </c>
      <c r="D3967" s="1" t="s">
        <v>7215</v>
      </c>
      <c r="E3967" s="35">
        <v>42286</v>
      </c>
    </row>
    <row r="3968" spans="1:5" ht="14.25" hidden="1" customHeight="1">
      <c r="A3968" s="16">
        <v>13474636</v>
      </c>
      <c r="B3968" s="17" t="s">
        <v>4559</v>
      </c>
      <c r="C3968" s="17" t="s">
        <v>4560</v>
      </c>
      <c r="D3968" s="1" t="s">
        <v>7215</v>
      </c>
      <c r="E3968" s="35">
        <v>42286</v>
      </c>
    </row>
    <row r="3969" spans="1:5" ht="14.25" hidden="1" customHeight="1">
      <c r="A3969" s="16">
        <v>13475999</v>
      </c>
      <c r="B3969" s="17" t="s">
        <v>1269</v>
      </c>
      <c r="C3969" s="17" t="s">
        <v>1270</v>
      </c>
      <c r="D3969" s="1" t="s">
        <v>7215</v>
      </c>
      <c r="E3969" s="35">
        <v>42286</v>
      </c>
    </row>
    <row r="3970" spans="1:5" ht="14.25" hidden="1" customHeight="1">
      <c r="A3970" s="16">
        <v>13710018</v>
      </c>
      <c r="B3970" s="17" t="s">
        <v>2992</v>
      </c>
      <c r="C3970" s="17" t="s">
        <v>2993</v>
      </c>
      <c r="D3970" s="1" t="s">
        <v>7215</v>
      </c>
      <c r="E3970" s="35">
        <v>42286</v>
      </c>
    </row>
    <row r="3971" spans="1:5" ht="14.25" hidden="1" customHeight="1">
      <c r="A3971" s="16">
        <v>14073844</v>
      </c>
      <c r="B3971" s="17" t="s">
        <v>428</v>
      </c>
      <c r="C3971" s="17" t="s">
        <v>1200</v>
      </c>
      <c r="D3971" s="1" t="s">
        <v>7215</v>
      </c>
      <c r="E3971" s="35">
        <v>42286</v>
      </c>
    </row>
    <row r="3972" spans="1:5" ht="14.25" hidden="1" customHeight="1">
      <c r="A3972" s="16">
        <v>14226015</v>
      </c>
      <c r="B3972" s="17" t="s">
        <v>4418</v>
      </c>
      <c r="C3972" s="17" t="s">
        <v>97</v>
      </c>
      <c r="D3972" s="1" t="s">
        <v>7215</v>
      </c>
      <c r="E3972" s="35">
        <v>42286</v>
      </c>
    </row>
    <row r="3973" spans="1:5" ht="14.25" hidden="1" customHeight="1">
      <c r="A3973" s="16">
        <v>14351534</v>
      </c>
      <c r="B3973" s="17" t="s">
        <v>2785</v>
      </c>
      <c r="C3973" s="17" t="s">
        <v>2161</v>
      </c>
      <c r="D3973" s="1" t="s">
        <v>7215</v>
      </c>
      <c r="E3973" s="35">
        <v>42286</v>
      </c>
    </row>
    <row r="3974" spans="1:5" ht="14.25" hidden="1" customHeight="1">
      <c r="A3974" s="16">
        <v>14352423</v>
      </c>
      <c r="B3974" s="17" t="s">
        <v>3497</v>
      </c>
      <c r="C3974" s="17" t="s">
        <v>3498</v>
      </c>
      <c r="D3974" s="1" t="s">
        <v>7215</v>
      </c>
      <c r="E3974" s="35">
        <v>42286</v>
      </c>
    </row>
    <row r="3975" spans="1:5" ht="14.25" hidden="1" customHeight="1">
      <c r="A3975" s="16">
        <v>16540820</v>
      </c>
      <c r="B3975" s="17" t="s">
        <v>1554</v>
      </c>
      <c r="C3975" s="17" t="s">
        <v>1420</v>
      </c>
      <c r="D3975" s="1" t="s">
        <v>7215</v>
      </c>
      <c r="E3975" s="35">
        <v>42286</v>
      </c>
    </row>
    <row r="3976" spans="1:5" ht="14.25" hidden="1" customHeight="1">
      <c r="A3976" s="16">
        <v>16685588</v>
      </c>
      <c r="B3976" s="17" t="s">
        <v>659</v>
      </c>
      <c r="C3976" s="17" t="s">
        <v>660</v>
      </c>
      <c r="D3976" s="1" t="s">
        <v>7215</v>
      </c>
      <c r="E3976" s="35">
        <v>42286</v>
      </c>
    </row>
    <row r="3977" spans="1:5" ht="14.25" hidden="1" customHeight="1">
      <c r="A3977" s="16">
        <v>16685844</v>
      </c>
      <c r="B3977" s="17" t="s">
        <v>1926</v>
      </c>
      <c r="C3977" s="17" t="s">
        <v>1974</v>
      </c>
      <c r="D3977" s="1" t="s">
        <v>7215</v>
      </c>
      <c r="E3977" s="35">
        <v>42286</v>
      </c>
    </row>
    <row r="3978" spans="1:5" ht="14.25" hidden="1" customHeight="1">
      <c r="A3978" s="16">
        <v>17268021</v>
      </c>
      <c r="B3978" s="17" t="s">
        <v>4649</v>
      </c>
      <c r="C3978" s="17" t="s">
        <v>2184</v>
      </c>
      <c r="D3978" s="1" t="s">
        <v>7215</v>
      </c>
      <c r="E3978" s="35">
        <v>42286</v>
      </c>
    </row>
    <row r="3979" spans="1:5" ht="14.25" hidden="1" customHeight="1">
      <c r="A3979" s="16">
        <v>17269119</v>
      </c>
      <c r="B3979" s="17" t="s">
        <v>3849</v>
      </c>
      <c r="C3979" s="17" t="s">
        <v>3850</v>
      </c>
      <c r="D3979" s="1" t="s">
        <v>7215</v>
      </c>
      <c r="E3979" s="35">
        <v>42286</v>
      </c>
    </row>
    <row r="3980" spans="1:5" ht="14.25" hidden="1" customHeight="1">
      <c r="A3980" s="16">
        <v>17494773</v>
      </c>
      <c r="B3980" s="17" t="s">
        <v>2795</v>
      </c>
      <c r="C3980" s="17" t="s">
        <v>504</v>
      </c>
      <c r="D3980" s="1" t="s">
        <v>7215</v>
      </c>
      <c r="E3980" s="35">
        <v>42286</v>
      </c>
    </row>
    <row r="3981" spans="1:5" ht="14.25" hidden="1" customHeight="1">
      <c r="A3981" s="16">
        <v>17835795</v>
      </c>
      <c r="B3981" s="17" t="s">
        <v>315</v>
      </c>
      <c r="C3981" s="17" t="s">
        <v>278</v>
      </c>
      <c r="D3981" s="1" t="s">
        <v>7215</v>
      </c>
      <c r="E3981" s="35">
        <v>42286</v>
      </c>
    </row>
    <row r="3982" spans="1:5" ht="14.25" hidden="1" customHeight="1">
      <c r="A3982" s="16">
        <v>17859409</v>
      </c>
      <c r="B3982" s="17" t="s">
        <v>1213</v>
      </c>
      <c r="C3982" s="17" t="s">
        <v>1214</v>
      </c>
      <c r="D3982" s="1" t="s">
        <v>7215</v>
      </c>
      <c r="E3982" s="35">
        <v>42286</v>
      </c>
    </row>
    <row r="3983" spans="1:5" ht="14.25" hidden="1" customHeight="1">
      <c r="A3983" s="16">
        <v>17859768</v>
      </c>
      <c r="B3983" s="17" t="s">
        <v>1808</v>
      </c>
      <c r="C3983" s="17" t="s">
        <v>1809</v>
      </c>
      <c r="D3983" s="1" t="s">
        <v>7215</v>
      </c>
      <c r="E3983" s="35">
        <v>42286</v>
      </c>
    </row>
    <row r="3984" spans="1:5" ht="14.25" hidden="1" customHeight="1">
      <c r="A3984" s="16">
        <v>17859807</v>
      </c>
      <c r="B3984" s="17" t="s">
        <v>413</v>
      </c>
      <c r="C3984" s="17" t="s">
        <v>414</v>
      </c>
      <c r="D3984" s="1" t="s">
        <v>7215</v>
      </c>
      <c r="E3984" s="35">
        <v>42286</v>
      </c>
    </row>
    <row r="3985" spans="1:5" ht="14.25" hidden="1" customHeight="1">
      <c r="A3985" s="16">
        <v>17859967</v>
      </c>
      <c r="B3985" s="17" t="s">
        <v>3315</v>
      </c>
      <c r="C3985" s="17" t="s">
        <v>1353</v>
      </c>
      <c r="D3985" s="1" t="s">
        <v>7215</v>
      </c>
      <c r="E3985" s="35">
        <v>42286</v>
      </c>
    </row>
    <row r="3986" spans="1:5" ht="14.25" hidden="1" customHeight="1">
      <c r="A3986" s="16">
        <v>17860016</v>
      </c>
      <c r="B3986" s="17" t="s">
        <v>1175</v>
      </c>
      <c r="C3986" s="17" t="s">
        <v>1176</v>
      </c>
      <c r="D3986" s="1" t="s">
        <v>7215</v>
      </c>
      <c r="E3986" s="35">
        <v>42286</v>
      </c>
    </row>
    <row r="3987" spans="1:5" ht="14.25" hidden="1" customHeight="1">
      <c r="A3987" s="16">
        <v>18187693</v>
      </c>
      <c r="B3987" s="17" t="s">
        <v>4766</v>
      </c>
      <c r="C3987" s="17" t="s">
        <v>783</v>
      </c>
      <c r="D3987" s="1" t="s">
        <v>7215</v>
      </c>
      <c r="E3987" s="35">
        <v>42286</v>
      </c>
    </row>
    <row r="3988" spans="1:5" ht="14.25" hidden="1" customHeight="1">
      <c r="A3988" s="16">
        <v>18450400</v>
      </c>
      <c r="B3988" s="17" t="s">
        <v>311</v>
      </c>
      <c r="C3988" s="17" t="s">
        <v>5614</v>
      </c>
      <c r="D3988" s="1" t="s">
        <v>7215</v>
      </c>
      <c r="E3988" s="35">
        <v>42286</v>
      </c>
    </row>
    <row r="3989" spans="1:5" ht="14.25" hidden="1" customHeight="1">
      <c r="A3989" s="16">
        <v>18473585</v>
      </c>
      <c r="B3989" s="17" t="s">
        <v>680</v>
      </c>
      <c r="C3989" s="17" t="s">
        <v>215</v>
      </c>
      <c r="D3989" s="1" t="s">
        <v>7215</v>
      </c>
      <c r="E3989" s="35">
        <v>42286</v>
      </c>
    </row>
    <row r="3990" spans="1:5" ht="14.25" hidden="1" customHeight="1">
      <c r="A3990" s="16">
        <v>18474448</v>
      </c>
      <c r="B3990" s="17" t="s">
        <v>4755</v>
      </c>
      <c r="C3990" s="17" t="s">
        <v>4756</v>
      </c>
      <c r="D3990" s="1" t="s">
        <v>7215</v>
      </c>
      <c r="E3990" s="35">
        <v>42286</v>
      </c>
    </row>
    <row r="3991" spans="1:5" ht="14.25" hidden="1" customHeight="1">
      <c r="A3991" s="16">
        <v>18545210</v>
      </c>
      <c r="B3991" s="17" t="s">
        <v>1720</v>
      </c>
      <c r="C3991" s="17" t="s">
        <v>1721</v>
      </c>
      <c r="D3991" s="1" t="s">
        <v>7215</v>
      </c>
      <c r="E3991" s="35">
        <v>42286</v>
      </c>
    </row>
    <row r="3992" spans="1:5" ht="14.25" hidden="1" customHeight="1">
      <c r="A3992" s="16">
        <v>18592248</v>
      </c>
      <c r="B3992" s="17" t="s">
        <v>350</v>
      </c>
      <c r="C3992" s="17" t="s">
        <v>1672</v>
      </c>
      <c r="D3992" s="1" t="s">
        <v>7215</v>
      </c>
      <c r="E3992" s="35">
        <v>42286</v>
      </c>
    </row>
    <row r="3993" spans="1:5" ht="14.25" hidden="1" customHeight="1">
      <c r="A3993" s="16">
        <v>18617591</v>
      </c>
      <c r="B3993" s="17" t="s">
        <v>1008</v>
      </c>
      <c r="C3993" s="17" t="s">
        <v>761</v>
      </c>
      <c r="D3993" s="1" t="s">
        <v>7215</v>
      </c>
      <c r="E3993" s="35">
        <v>42286</v>
      </c>
    </row>
    <row r="3994" spans="1:5" ht="14.25" hidden="1" customHeight="1">
      <c r="A3994" s="16">
        <v>20284811</v>
      </c>
      <c r="B3994" s="17" t="s">
        <v>3264</v>
      </c>
      <c r="C3994" s="17" t="s">
        <v>5682</v>
      </c>
      <c r="D3994" s="1" t="s">
        <v>7215</v>
      </c>
      <c r="E3994" s="35">
        <v>42286</v>
      </c>
    </row>
    <row r="3995" spans="1:5" ht="14.25" hidden="1" customHeight="1">
      <c r="A3995" s="16">
        <v>20630868</v>
      </c>
      <c r="B3995" s="17" t="s">
        <v>3425</v>
      </c>
      <c r="C3995" s="17" t="s">
        <v>3426</v>
      </c>
      <c r="D3995" s="1" t="s">
        <v>7215</v>
      </c>
      <c r="E3995" s="35">
        <v>42286</v>
      </c>
    </row>
    <row r="3996" spans="1:5" ht="14.25" hidden="1" customHeight="1">
      <c r="A3996" s="16">
        <v>20803370</v>
      </c>
      <c r="B3996" s="17" t="s">
        <v>1631</v>
      </c>
      <c r="C3996" s="17" t="s">
        <v>1632</v>
      </c>
      <c r="D3996" s="1" t="s">
        <v>7215</v>
      </c>
      <c r="E3996" s="35">
        <v>42286</v>
      </c>
    </row>
    <row r="3997" spans="1:5" ht="14.25" hidden="1" customHeight="1">
      <c r="A3997" s="16">
        <v>21328291</v>
      </c>
      <c r="B3997" s="17" t="s">
        <v>5500</v>
      </c>
      <c r="C3997" s="17" t="s">
        <v>5501</v>
      </c>
      <c r="D3997" s="1" t="s">
        <v>7215</v>
      </c>
      <c r="E3997" s="35">
        <v>42286</v>
      </c>
    </row>
    <row r="3998" spans="1:5" ht="14.25" hidden="1" customHeight="1">
      <c r="A3998" s="16">
        <v>21328390</v>
      </c>
      <c r="B3998" s="17" t="s">
        <v>1195</v>
      </c>
      <c r="C3998" s="17" t="s">
        <v>1085</v>
      </c>
      <c r="D3998" s="1" t="s">
        <v>7215</v>
      </c>
      <c r="E3998" s="35">
        <v>42286</v>
      </c>
    </row>
    <row r="3999" spans="1:5" ht="14.25" hidden="1" customHeight="1">
      <c r="A3999" s="16">
        <v>21745570</v>
      </c>
      <c r="B3999" s="17" t="s">
        <v>428</v>
      </c>
      <c r="C3999" s="17" t="s">
        <v>747</v>
      </c>
      <c r="D3999" s="1" t="s">
        <v>7215</v>
      </c>
      <c r="E3999" s="35">
        <v>42286</v>
      </c>
    </row>
    <row r="4000" spans="1:5" ht="14.25" hidden="1" customHeight="1">
      <c r="A4000" s="16">
        <v>22031835</v>
      </c>
      <c r="B4000" s="17" t="s">
        <v>273</v>
      </c>
      <c r="C4000" s="17" t="s">
        <v>274</v>
      </c>
      <c r="D4000" s="1" t="s">
        <v>7215</v>
      </c>
      <c r="E4000" s="35">
        <v>42286</v>
      </c>
    </row>
    <row r="4001" spans="1:5" ht="14.25" hidden="1" customHeight="1">
      <c r="A4001" s="16">
        <v>22073496</v>
      </c>
      <c r="B4001" s="17" t="s">
        <v>1558</v>
      </c>
      <c r="C4001" s="17" t="s">
        <v>1559</v>
      </c>
      <c r="D4001" s="1" t="s">
        <v>7215</v>
      </c>
      <c r="E4001" s="35">
        <v>42286</v>
      </c>
    </row>
    <row r="4002" spans="1:5" ht="14.25" hidden="1" customHeight="1">
      <c r="A4002" s="16">
        <v>22264831</v>
      </c>
      <c r="B4002" s="17" t="s">
        <v>5621</v>
      </c>
      <c r="C4002" s="17" t="s">
        <v>5622</v>
      </c>
      <c r="D4002" s="1" t="s">
        <v>7215</v>
      </c>
      <c r="E4002" s="35">
        <v>42286</v>
      </c>
    </row>
    <row r="4003" spans="1:5" ht="14.25" hidden="1" customHeight="1">
      <c r="A4003" s="16">
        <v>23015463</v>
      </c>
      <c r="B4003" s="17" t="s">
        <v>2451</v>
      </c>
      <c r="C4003" s="17" t="s">
        <v>2452</v>
      </c>
      <c r="D4003" s="1" t="s">
        <v>7215</v>
      </c>
      <c r="E4003" s="35">
        <v>42286</v>
      </c>
    </row>
    <row r="4004" spans="1:5" ht="14.25" hidden="1" customHeight="1">
      <c r="A4004" s="16">
        <v>23518216</v>
      </c>
      <c r="B4004" s="17" t="s">
        <v>3704</v>
      </c>
      <c r="C4004" s="17" t="s">
        <v>1459</v>
      </c>
      <c r="D4004" s="1" t="s">
        <v>7215</v>
      </c>
      <c r="E4004" s="35">
        <v>42286</v>
      </c>
    </row>
    <row r="4005" spans="1:5" ht="14.25" hidden="1" customHeight="1">
      <c r="A4005" s="16">
        <v>24409278</v>
      </c>
      <c r="B4005" s="17" t="s">
        <v>3335</v>
      </c>
      <c r="C4005" s="17" t="s">
        <v>1068</v>
      </c>
      <c r="D4005" s="1" t="s">
        <v>7215</v>
      </c>
      <c r="E4005" s="35">
        <v>42286</v>
      </c>
    </row>
    <row r="4006" spans="1:5" ht="14.25" hidden="1" customHeight="1">
      <c r="A4006" s="16">
        <v>24553770</v>
      </c>
      <c r="B4006" s="17" t="s">
        <v>2923</v>
      </c>
      <c r="C4006" s="17" t="s">
        <v>2924</v>
      </c>
      <c r="D4006" s="1" t="s">
        <v>7215</v>
      </c>
      <c r="E4006" s="35">
        <v>42286</v>
      </c>
    </row>
    <row r="4007" spans="1:5" ht="14.25" hidden="1" customHeight="1">
      <c r="A4007" s="16">
        <v>24982269</v>
      </c>
      <c r="B4007" s="17" t="s">
        <v>4024</v>
      </c>
      <c r="C4007" s="17" t="s">
        <v>3466</v>
      </c>
      <c r="D4007" s="1" t="s">
        <v>7215</v>
      </c>
      <c r="E4007" s="35">
        <v>42286</v>
      </c>
    </row>
    <row r="4008" spans="1:5" ht="14.25" hidden="1" customHeight="1">
      <c r="A4008" s="16">
        <v>24982872</v>
      </c>
      <c r="B4008" s="17" t="s">
        <v>304</v>
      </c>
      <c r="C4008" s="17" t="s">
        <v>4736</v>
      </c>
      <c r="D4008" s="1" t="s">
        <v>7215</v>
      </c>
      <c r="E4008" s="35">
        <v>42286</v>
      </c>
    </row>
    <row r="4009" spans="1:5" ht="14.25" hidden="1" customHeight="1">
      <c r="A4009" s="16">
        <v>25003911</v>
      </c>
      <c r="B4009" s="17" t="s">
        <v>4900</v>
      </c>
      <c r="C4009" s="17" t="s">
        <v>4875</v>
      </c>
      <c r="D4009" s="1" t="s">
        <v>7215</v>
      </c>
      <c r="E4009" s="35">
        <v>42286</v>
      </c>
    </row>
    <row r="4010" spans="1:5" ht="14.25" hidden="1" customHeight="1">
      <c r="A4010" s="16">
        <v>25559253</v>
      </c>
      <c r="B4010" s="17" t="s">
        <v>435</v>
      </c>
      <c r="C4010" s="17" t="s">
        <v>436</v>
      </c>
      <c r="D4010" s="1" t="s">
        <v>7215</v>
      </c>
      <c r="E4010" s="35">
        <v>42286</v>
      </c>
    </row>
    <row r="4011" spans="1:5" ht="14.25" hidden="1" customHeight="1">
      <c r="A4011" s="16">
        <v>25709455</v>
      </c>
      <c r="B4011" s="17" t="s">
        <v>7216</v>
      </c>
      <c r="C4011" s="17" t="s">
        <v>2924</v>
      </c>
      <c r="D4011" s="1" t="s">
        <v>7215</v>
      </c>
      <c r="E4011" s="35">
        <v>42286</v>
      </c>
    </row>
    <row r="4012" spans="1:5" ht="14.25" hidden="1" customHeight="1">
      <c r="A4012" s="16">
        <v>25922131</v>
      </c>
      <c r="B4012" s="17" t="s">
        <v>1572</v>
      </c>
      <c r="C4012" s="17" t="s">
        <v>2139</v>
      </c>
      <c r="D4012" s="1" t="s">
        <v>7215</v>
      </c>
      <c r="E4012" s="35">
        <v>42286</v>
      </c>
    </row>
    <row r="4013" spans="1:5" ht="14.25" hidden="1" customHeight="1">
      <c r="A4013" s="16">
        <v>26722084</v>
      </c>
      <c r="B4013" s="17" t="s">
        <v>1677</v>
      </c>
      <c r="C4013" s="17" t="s">
        <v>1521</v>
      </c>
      <c r="D4013" s="1" t="s">
        <v>7215</v>
      </c>
      <c r="E4013" s="35">
        <v>42286</v>
      </c>
    </row>
    <row r="4014" spans="1:5" ht="14.25" hidden="1" customHeight="1">
      <c r="A4014" s="16">
        <v>26722346</v>
      </c>
      <c r="B4014" s="17" t="s">
        <v>2451</v>
      </c>
      <c r="C4014" s="17" t="s">
        <v>5991</v>
      </c>
      <c r="D4014" s="1" t="s">
        <v>7215</v>
      </c>
      <c r="E4014" s="35">
        <v>42286</v>
      </c>
    </row>
    <row r="4015" spans="1:5" ht="14.25" hidden="1" customHeight="1">
      <c r="A4015" s="16">
        <v>27962209</v>
      </c>
      <c r="B4015" s="17" t="s">
        <v>1693</v>
      </c>
      <c r="C4015" s="17" t="s">
        <v>1694</v>
      </c>
      <c r="D4015" s="1" t="s">
        <v>7215</v>
      </c>
      <c r="E4015" s="35">
        <v>42286</v>
      </c>
    </row>
    <row r="4016" spans="1:5" ht="14.25" hidden="1" customHeight="1">
      <c r="A4016" s="16">
        <v>29878564</v>
      </c>
      <c r="B4016" s="17" t="s">
        <v>4735</v>
      </c>
      <c r="C4016" s="17" t="s">
        <v>4736</v>
      </c>
      <c r="D4016" s="1" t="s">
        <v>7215</v>
      </c>
      <c r="E4016" s="35">
        <v>42286</v>
      </c>
    </row>
    <row r="4017" spans="1:5" ht="14.25" hidden="1" customHeight="1">
      <c r="A4017" s="16">
        <v>29997386</v>
      </c>
      <c r="B4017" s="17" t="s">
        <v>3400</v>
      </c>
      <c r="C4017" s="17" t="s">
        <v>3401</v>
      </c>
      <c r="D4017" s="1" t="s">
        <v>7215</v>
      </c>
      <c r="E4017" s="35">
        <v>42286</v>
      </c>
    </row>
    <row r="4018" spans="1:5" ht="14.25" hidden="1" customHeight="1">
      <c r="A4018" s="16">
        <v>32936633</v>
      </c>
      <c r="B4018" s="17" t="s">
        <v>1823</v>
      </c>
      <c r="C4018" s="17" t="s">
        <v>4048</v>
      </c>
      <c r="D4018" s="1" t="s">
        <v>7215</v>
      </c>
      <c r="E4018" s="35">
        <v>42286</v>
      </c>
    </row>
    <row r="4019" spans="1:5" ht="14.25" hidden="1" customHeight="1">
      <c r="A4019" s="16">
        <v>33099488</v>
      </c>
      <c r="B4019" s="17" t="s">
        <v>1554</v>
      </c>
      <c r="C4019" s="17" t="s">
        <v>5640</v>
      </c>
      <c r="D4019" s="1" t="s">
        <v>7215</v>
      </c>
      <c r="E4019" s="35">
        <v>42286</v>
      </c>
    </row>
    <row r="4020" spans="1:5" ht="14.25" hidden="1" customHeight="1">
      <c r="A4020" s="16">
        <v>33431855</v>
      </c>
      <c r="B4020" s="17" t="s">
        <v>1310</v>
      </c>
      <c r="C4020" s="17" t="s">
        <v>5703</v>
      </c>
      <c r="D4020" s="1" t="s">
        <v>7215</v>
      </c>
      <c r="E4020" s="35">
        <v>42286</v>
      </c>
    </row>
    <row r="4021" spans="1:5" ht="14.25" hidden="1" customHeight="1">
      <c r="A4021" s="16">
        <v>34185736</v>
      </c>
      <c r="B4021" s="17" t="s">
        <v>652</v>
      </c>
      <c r="C4021" s="17" t="s">
        <v>6107</v>
      </c>
      <c r="D4021" s="1" t="s">
        <v>7215</v>
      </c>
      <c r="E4021" s="35">
        <v>42286</v>
      </c>
    </row>
    <row r="4022" spans="1:5" ht="14.25" hidden="1" customHeight="1">
      <c r="A4022" s="16">
        <v>37500109</v>
      </c>
      <c r="B4022" s="17" t="s">
        <v>1565</v>
      </c>
      <c r="C4022" s="17" t="s">
        <v>139</v>
      </c>
      <c r="D4022" s="1" t="s">
        <v>7215</v>
      </c>
      <c r="E4022" s="35">
        <v>42286</v>
      </c>
    </row>
    <row r="4023" spans="1:5" ht="14.25" hidden="1" customHeight="1">
      <c r="A4023" s="16">
        <v>37500885</v>
      </c>
      <c r="B4023" s="17" t="s">
        <v>1216</v>
      </c>
      <c r="C4023" s="17" t="s">
        <v>4373</v>
      </c>
      <c r="D4023" s="1" t="s">
        <v>7215</v>
      </c>
      <c r="E4023" s="35">
        <v>42286</v>
      </c>
    </row>
    <row r="4024" spans="1:5" ht="14.25" hidden="1" customHeight="1">
      <c r="A4024" s="16">
        <v>6147633</v>
      </c>
      <c r="B4024" s="17" t="s">
        <v>300</v>
      </c>
      <c r="C4024" s="17" t="s">
        <v>301</v>
      </c>
      <c r="D4024" s="5" t="s">
        <v>7217</v>
      </c>
      <c r="E4024" s="35">
        <v>42228</v>
      </c>
    </row>
    <row r="4025" spans="1:5" ht="14.25" hidden="1" customHeight="1">
      <c r="A4025" s="16">
        <v>10910913</v>
      </c>
      <c r="B4025" s="17" t="s">
        <v>1106</v>
      </c>
      <c r="C4025" s="17" t="s">
        <v>1107</v>
      </c>
      <c r="D4025" s="5" t="s">
        <v>7217</v>
      </c>
      <c r="E4025" s="35">
        <v>42228</v>
      </c>
    </row>
    <row r="4026" spans="1:5" ht="14.25" hidden="1" customHeight="1">
      <c r="A4026" s="16">
        <v>10925973</v>
      </c>
      <c r="B4026" s="17" t="s">
        <v>595</v>
      </c>
      <c r="C4026" s="17" t="s">
        <v>5984</v>
      </c>
      <c r="D4026" s="5" t="s">
        <v>7217</v>
      </c>
      <c r="E4026" s="35">
        <v>42228</v>
      </c>
    </row>
    <row r="4027" spans="1:5" ht="14.25" hidden="1" customHeight="1">
      <c r="A4027" s="16">
        <v>11910796</v>
      </c>
      <c r="B4027" s="17" t="s">
        <v>3826</v>
      </c>
      <c r="C4027" s="17" t="s">
        <v>3829</v>
      </c>
      <c r="D4027" s="5" t="s">
        <v>7217</v>
      </c>
      <c r="E4027" s="35">
        <v>42228</v>
      </c>
    </row>
    <row r="4028" spans="1:5" ht="14.25" hidden="1" customHeight="1">
      <c r="A4028" s="16">
        <v>14226926</v>
      </c>
      <c r="B4028" s="17" t="s">
        <v>6276</v>
      </c>
      <c r="C4028" s="17" t="s">
        <v>6277</v>
      </c>
      <c r="D4028" s="5" t="s">
        <v>7217</v>
      </c>
      <c r="E4028" s="35">
        <v>42228</v>
      </c>
    </row>
    <row r="4029" spans="1:5" ht="14.25" hidden="1" customHeight="1">
      <c r="A4029" s="16">
        <v>14660614</v>
      </c>
      <c r="B4029" s="17" t="s">
        <v>2355</v>
      </c>
      <c r="C4029" s="17" t="s">
        <v>1146</v>
      </c>
      <c r="D4029" s="5" t="s">
        <v>7217</v>
      </c>
      <c r="E4029" s="35">
        <v>42228</v>
      </c>
    </row>
    <row r="4030" spans="1:5" ht="14.25" hidden="1" customHeight="1">
      <c r="A4030" s="16">
        <v>16383750</v>
      </c>
      <c r="B4030" s="17" t="s">
        <v>21</v>
      </c>
      <c r="C4030" s="17" t="s">
        <v>7218</v>
      </c>
      <c r="D4030" s="5" t="s">
        <v>7217</v>
      </c>
      <c r="E4030" s="35">
        <v>42228</v>
      </c>
    </row>
    <row r="4031" spans="1:5" ht="14.25" hidden="1" customHeight="1">
      <c r="A4031" s="16">
        <v>16617561</v>
      </c>
      <c r="B4031" s="17" t="s">
        <v>4445</v>
      </c>
      <c r="C4031" s="17" t="s">
        <v>4446</v>
      </c>
      <c r="D4031" s="5" t="s">
        <v>7217</v>
      </c>
      <c r="E4031" s="35">
        <v>42228</v>
      </c>
    </row>
    <row r="4032" spans="1:5" ht="14.25" hidden="1" customHeight="1">
      <c r="A4032" s="16">
        <v>16685437</v>
      </c>
      <c r="B4032" s="17" t="s">
        <v>6502</v>
      </c>
      <c r="C4032" s="17" t="s">
        <v>6503</v>
      </c>
      <c r="D4032" s="5" t="s">
        <v>7217</v>
      </c>
      <c r="E4032" s="35">
        <v>42228</v>
      </c>
    </row>
    <row r="4033" spans="1:5" ht="14.25" hidden="1" customHeight="1">
      <c r="A4033" s="16">
        <v>17494803</v>
      </c>
      <c r="B4033" s="17" t="s">
        <v>734</v>
      </c>
      <c r="C4033" s="17" t="s">
        <v>548</v>
      </c>
      <c r="D4033" s="5" t="s">
        <v>7217</v>
      </c>
      <c r="E4033" s="35">
        <v>42228</v>
      </c>
    </row>
    <row r="4034" spans="1:5" ht="14.25" hidden="1" customHeight="1">
      <c r="A4034" s="16">
        <v>18230668</v>
      </c>
      <c r="B4034" s="17" t="s">
        <v>2375</v>
      </c>
      <c r="C4034" s="17" t="s">
        <v>1585</v>
      </c>
      <c r="D4034" s="5" t="s">
        <v>7217</v>
      </c>
      <c r="E4034" s="35">
        <v>42228</v>
      </c>
    </row>
    <row r="4035" spans="1:5" ht="14.25" hidden="1" customHeight="1">
      <c r="A4035" s="16">
        <v>20159580</v>
      </c>
      <c r="B4035" s="17" t="s">
        <v>118</v>
      </c>
      <c r="C4035" s="17" t="s">
        <v>119</v>
      </c>
      <c r="D4035" s="5" t="s">
        <v>7217</v>
      </c>
      <c r="E4035" s="35">
        <v>42228</v>
      </c>
    </row>
    <row r="4036" spans="1:5" ht="14.25" hidden="1" customHeight="1">
      <c r="A4036" s="16">
        <v>20171458</v>
      </c>
      <c r="B4036" s="17" t="s">
        <v>2813</v>
      </c>
      <c r="C4036" s="17" t="s">
        <v>494</v>
      </c>
      <c r="D4036" s="5" t="s">
        <v>7217</v>
      </c>
      <c r="E4036" s="35">
        <v>42228</v>
      </c>
    </row>
    <row r="4037" spans="1:5" ht="14.25" hidden="1" customHeight="1">
      <c r="A4037" s="16">
        <v>20178395</v>
      </c>
      <c r="B4037" s="17" t="s">
        <v>2358</v>
      </c>
      <c r="C4037" s="17" t="s">
        <v>902</v>
      </c>
      <c r="D4037" s="5" t="s">
        <v>7217</v>
      </c>
      <c r="E4037" s="35">
        <v>42228</v>
      </c>
    </row>
    <row r="4038" spans="1:5" ht="14.25" hidden="1" customHeight="1">
      <c r="A4038" s="16">
        <v>20692036</v>
      </c>
      <c r="B4038" s="17" t="s">
        <v>727</v>
      </c>
      <c r="C4038" s="17" t="s">
        <v>7219</v>
      </c>
      <c r="D4038" s="5" t="s">
        <v>7217</v>
      </c>
      <c r="E4038" s="35">
        <v>42228</v>
      </c>
    </row>
    <row r="4039" spans="1:5" ht="14.25" hidden="1" customHeight="1">
      <c r="A4039" s="16">
        <v>21331557</v>
      </c>
      <c r="B4039" s="17" t="s">
        <v>3193</v>
      </c>
      <c r="C4039" s="17" t="s">
        <v>1871</v>
      </c>
      <c r="D4039" s="5" t="s">
        <v>7217</v>
      </c>
      <c r="E4039" s="35">
        <v>42228</v>
      </c>
    </row>
    <row r="4040" spans="1:5" ht="14.25" hidden="1" customHeight="1">
      <c r="A4040" s="16">
        <v>22263937</v>
      </c>
      <c r="B4040" s="17" t="s">
        <v>7220</v>
      </c>
      <c r="C4040" s="17" t="s">
        <v>1061</v>
      </c>
      <c r="D4040" s="5" t="s">
        <v>7217</v>
      </c>
      <c r="E4040" s="35">
        <v>42228</v>
      </c>
    </row>
    <row r="4041" spans="1:5" ht="14.25" hidden="1" customHeight="1">
      <c r="A4041" s="16">
        <v>22914679</v>
      </c>
      <c r="B4041" s="17" t="s">
        <v>3274</v>
      </c>
      <c r="C4041" s="17" t="s">
        <v>3275</v>
      </c>
      <c r="D4041" s="5" t="s">
        <v>7217</v>
      </c>
      <c r="E4041" s="35">
        <v>42228</v>
      </c>
    </row>
    <row r="4042" spans="1:5" ht="14.25" hidden="1" customHeight="1">
      <c r="A4042" s="16">
        <v>26783381</v>
      </c>
      <c r="B4042" s="17" t="s">
        <v>2789</v>
      </c>
      <c r="C4042" s="17" t="s">
        <v>2790</v>
      </c>
      <c r="D4042" s="5" t="s">
        <v>7217</v>
      </c>
      <c r="E4042" s="35">
        <v>42228</v>
      </c>
    </row>
    <row r="4043" spans="1:5" ht="14.25" hidden="1" customHeight="1">
      <c r="A4043" s="16">
        <v>26833237</v>
      </c>
      <c r="B4043" s="17" t="s">
        <v>6408</v>
      </c>
      <c r="C4043" s="17" t="s">
        <v>2796</v>
      </c>
      <c r="D4043" s="5" t="s">
        <v>7217</v>
      </c>
      <c r="E4043" s="35">
        <v>42228</v>
      </c>
    </row>
    <row r="4044" spans="1:5" ht="14.25" hidden="1" customHeight="1">
      <c r="A4044" s="16">
        <v>27210209</v>
      </c>
      <c r="B4044" s="17" t="s">
        <v>3216</v>
      </c>
      <c r="C4044" s="17" t="s">
        <v>3217</v>
      </c>
      <c r="D4044" s="5" t="s">
        <v>7217</v>
      </c>
      <c r="E4044" s="35">
        <v>42228</v>
      </c>
    </row>
    <row r="4045" spans="1:5" ht="14.25" hidden="1" customHeight="1">
      <c r="A4045" s="16">
        <v>27732948</v>
      </c>
      <c r="B4045" s="17" t="s">
        <v>2576</v>
      </c>
      <c r="C4045" s="17" t="s">
        <v>6330</v>
      </c>
      <c r="D4045" s="5" t="s">
        <v>7217</v>
      </c>
      <c r="E4045" s="35">
        <v>42228</v>
      </c>
    </row>
    <row r="4046" spans="1:5" ht="14.25" hidden="1" customHeight="1">
      <c r="A4046" s="16">
        <v>35822766</v>
      </c>
      <c r="B4046" s="17" t="s">
        <v>6339</v>
      </c>
      <c r="C4046" s="17" t="s">
        <v>4341</v>
      </c>
      <c r="D4046" s="5" t="s">
        <v>7217</v>
      </c>
      <c r="E4046" s="35">
        <v>42228</v>
      </c>
    </row>
    <row r="4047" spans="1:5" ht="14.25" hidden="1" customHeight="1">
      <c r="A4047" s="16">
        <v>37500109</v>
      </c>
      <c r="B4047" s="17" t="s">
        <v>1565</v>
      </c>
      <c r="C4047" s="17" t="s">
        <v>139</v>
      </c>
      <c r="D4047" s="5" t="s">
        <v>7217</v>
      </c>
      <c r="E4047" s="35">
        <v>42228</v>
      </c>
    </row>
    <row r="4048" spans="1:5" ht="14.25" hidden="1" customHeight="1">
      <c r="A4048" s="16">
        <v>10013189</v>
      </c>
      <c r="B4048" s="17" t="s">
        <v>595</v>
      </c>
      <c r="C4048" s="17" t="s">
        <v>3644</v>
      </c>
      <c r="D4048" s="5" t="s">
        <v>7221</v>
      </c>
      <c r="E4048" s="35">
        <v>42157</v>
      </c>
    </row>
    <row r="4049" spans="1:5" ht="14.25" hidden="1" customHeight="1">
      <c r="A4049" s="16">
        <v>10925302</v>
      </c>
      <c r="B4049" s="17" t="s">
        <v>426</v>
      </c>
      <c r="C4049" s="17" t="s">
        <v>427</v>
      </c>
      <c r="D4049" s="5" t="s">
        <v>7221</v>
      </c>
      <c r="E4049" s="35">
        <v>42157</v>
      </c>
    </row>
    <row r="4050" spans="1:5" ht="14.25" hidden="1" customHeight="1">
      <c r="A4050" s="16">
        <v>12414462</v>
      </c>
      <c r="B4050" s="17" t="s">
        <v>7224</v>
      </c>
      <c r="C4050" s="17" t="s">
        <v>7225</v>
      </c>
      <c r="D4050" s="5" t="s">
        <v>7221</v>
      </c>
      <c r="E4050" s="35">
        <v>42157</v>
      </c>
    </row>
    <row r="4051" spans="1:5" ht="14.25" hidden="1" customHeight="1">
      <c r="A4051" s="16">
        <v>13627572</v>
      </c>
      <c r="B4051" s="17" t="s">
        <v>428</v>
      </c>
      <c r="C4051" s="17" t="s">
        <v>584</v>
      </c>
      <c r="D4051" s="5" t="s">
        <v>7221</v>
      </c>
      <c r="E4051" s="35">
        <v>42157</v>
      </c>
    </row>
    <row r="4052" spans="1:5" ht="14.25" hidden="1" customHeight="1">
      <c r="A4052" s="16">
        <v>13628734</v>
      </c>
      <c r="B4052" s="17" t="s">
        <v>1194</v>
      </c>
      <c r="C4052" s="17" t="s">
        <v>2218</v>
      </c>
      <c r="D4052" s="5" t="s">
        <v>7221</v>
      </c>
      <c r="E4052" s="35">
        <v>42157</v>
      </c>
    </row>
    <row r="4053" spans="1:5" ht="14.25" hidden="1" customHeight="1">
      <c r="A4053" s="16">
        <v>14358737</v>
      </c>
      <c r="B4053" s="17" t="s">
        <v>3456</v>
      </c>
      <c r="C4053" s="17" t="s">
        <v>1191</v>
      </c>
      <c r="D4053" s="5" t="s">
        <v>7221</v>
      </c>
      <c r="E4053" s="35">
        <v>42157</v>
      </c>
    </row>
    <row r="4054" spans="1:5" ht="14.25" hidden="1" customHeight="1">
      <c r="A4054" s="16">
        <v>14358928</v>
      </c>
      <c r="B4054" s="17" t="s">
        <v>2442</v>
      </c>
      <c r="C4054" s="17" t="s">
        <v>2443</v>
      </c>
      <c r="D4054" s="5" t="s">
        <v>7221</v>
      </c>
      <c r="E4054" s="35">
        <v>42157</v>
      </c>
    </row>
    <row r="4055" spans="1:5" ht="14.25" hidden="1" customHeight="1">
      <c r="A4055" s="16">
        <v>14660398</v>
      </c>
      <c r="B4055" s="17" t="s">
        <v>1823</v>
      </c>
      <c r="C4055" s="17" t="s">
        <v>4409</v>
      </c>
      <c r="D4055" s="5" t="s">
        <v>7221</v>
      </c>
      <c r="E4055" s="35">
        <v>42157</v>
      </c>
    </row>
    <row r="4056" spans="1:5" ht="14.25" hidden="1" customHeight="1">
      <c r="A4056" s="16">
        <v>16685009</v>
      </c>
      <c r="B4056" s="17" t="s">
        <v>2936</v>
      </c>
      <c r="C4056" s="17" t="s">
        <v>7222</v>
      </c>
      <c r="D4056" s="5" t="s">
        <v>7221</v>
      </c>
      <c r="E4056" s="35">
        <v>42157</v>
      </c>
    </row>
    <row r="4057" spans="1:5" ht="14.25" hidden="1" customHeight="1">
      <c r="A4057" s="16">
        <v>17859592</v>
      </c>
      <c r="B4057" s="17" t="s">
        <v>124</v>
      </c>
      <c r="C4057" s="17" t="s">
        <v>125</v>
      </c>
      <c r="D4057" s="5" t="s">
        <v>7221</v>
      </c>
      <c r="E4057" s="35">
        <v>42157</v>
      </c>
    </row>
    <row r="4058" spans="1:5" ht="14.25" hidden="1" customHeight="1">
      <c r="A4058" s="16">
        <v>17860367</v>
      </c>
      <c r="B4058" s="17" t="s">
        <v>3561</v>
      </c>
      <c r="C4058" s="17" t="s">
        <v>906</v>
      </c>
      <c r="D4058" s="5" t="s">
        <v>7221</v>
      </c>
      <c r="E4058" s="35">
        <v>42157</v>
      </c>
    </row>
    <row r="4059" spans="1:5" ht="14.25" hidden="1" customHeight="1">
      <c r="A4059" s="16">
        <v>18652829</v>
      </c>
      <c r="B4059" s="17" t="s">
        <v>2629</v>
      </c>
      <c r="C4059" s="17" t="s">
        <v>2630</v>
      </c>
      <c r="D4059" s="5" t="s">
        <v>7221</v>
      </c>
      <c r="E4059" s="35">
        <v>42157</v>
      </c>
    </row>
    <row r="4060" spans="1:5" ht="14.25" hidden="1" customHeight="1">
      <c r="A4060" s="16">
        <v>20171458</v>
      </c>
      <c r="B4060" s="17" t="s">
        <v>2813</v>
      </c>
      <c r="C4060" s="17" t="s">
        <v>5808</v>
      </c>
      <c r="D4060" s="5" t="s">
        <v>7221</v>
      </c>
      <c r="E4060" s="35">
        <v>42157</v>
      </c>
    </row>
    <row r="4061" spans="1:5" ht="14.25" hidden="1" customHeight="1">
      <c r="A4061" s="16">
        <v>20178395</v>
      </c>
      <c r="B4061" s="17" t="s">
        <v>2358</v>
      </c>
      <c r="C4061" s="17" t="s">
        <v>902</v>
      </c>
      <c r="D4061" s="5" t="s">
        <v>7221</v>
      </c>
      <c r="E4061" s="35">
        <v>42157</v>
      </c>
    </row>
    <row r="4062" spans="1:5" ht="14.25" hidden="1" customHeight="1">
      <c r="A4062" s="16">
        <v>20519328</v>
      </c>
      <c r="B4062" s="17" t="s">
        <v>647</v>
      </c>
      <c r="C4062" s="17" t="s">
        <v>648</v>
      </c>
      <c r="D4062" s="5" t="s">
        <v>7221</v>
      </c>
      <c r="E4062" s="35">
        <v>42157</v>
      </c>
    </row>
    <row r="4063" spans="1:5" ht="14.25" hidden="1" customHeight="1">
      <c r="A4063" s="16">
        <v>21327548</v>
      </c>
      <c r="B4063" s="17" t="s">
        <v>711</v>
      </c>
      <c r="C4063" s="17" t="s">
        <v>322</v>
      </c>
      <c r="D4063" s="5" t="s">
        <v>7221</v>
      </c>
      <c r="E4063" s="35">
        <v>42157</v>
      </c>
    </row>
    <row r="4064" spans="1:5" ht="14.25" hidden="1" customHeight="1">
      <c r="A4064" s="16">
        <v>21329323</v>
      </c>
      <c r="B4064" s="17" t="s">
        <v>4646</v>
      </c>
      <c r="C4064" s="17" t="s">
        <v>2447</v>
      </c>
      <c r="D4064" s="5" t="s">
        <v>7221</v>
      </c>
      <c r="E4064" s="35">
        <v>42157</v>
      </c>
    </row>
    <row r="4065" spans="1:5" ht="14.25" hidden="1" customHeight="1">
      <c r="A4065" s="16">
        <v>22073026</v>
      </c>
      <c r="B4065" s="17" t="s">
        <v>2195</v>
      </c>
      <c r="C4065" s="17" t="s">
        <v>2196</v>
      </c>
      <c r="D4065" s="5" t="s">
        <v>7221</v>
      </c>
      <c r="E4065" s="35">
        <v>42157</v>
      </c>
    </row>
    <row r="4066" spans="1:5" ht="14.25" hidden="1" customHeight="1">
      <c r="A4066" s="16">
        <v>22181023</v>
      </c>
      <c r="B4066" s="17" t="s">
        <v>497</v>
      </c>
      <c r="C4066" s="17" t="s">
        <v>3884</v>
      </c>
      <c r="D4066" s="5" t="s">
        <v>7221</v>
      </c>
      <c r="E4066" s="35">
        <v>42157</v>
      </c>
    </row>
    <row r="4067" spans="1:5" ht="14.25" hidden="1" customHeight="1">
      <c r="A4067" s="16">
        <v>23518353</v>
      </c>
      <c r="B4067" s="17" t="s">
        <v>2026</v>
      </c>
      <c r="C4067" s="17" t="s">
        <v>3576</v>
      </c>
      <c r="D4067" s="5" t="s">
        <v>7221</v>
      </c>
      <c r="E4067" s="35">
        <v>42157</v>
      </c>
    </row>
    <row r="4068" spans="1:5" ht="14.25" hidden="1" customHeight="1">
      <c r="A4068" s="16">
        <v>23519447</v>
      </c>
      <c r="B4068" s="17" t="s">
        <v>2195</v>
      </c>
      <c r="C4068" s="17" t="s">
        <v>2198</v>
      </c>
      <c r="D4068" s="5" t="s">
        <v>7221</v>
      </c>
      <c r="E4068" s="35">
        <v>42157</v>
      </c>
    </row>
    <row r="4069" spans="1:5" ht="14.25" hidden="1" customHeight="1">
      <c r="A4069" s="16">
        <v>24355070</v>
      </c>
      <c r="B4069" s="17" t="s">
        <v>2956</v>
      </c>
      <c r="C4069" s="17" t="s">
        <v>5543</v>
      </c>
      <c r="D4069" s="5" t="s">
        <v>7221</v>
      </c>
      <c r="E4069" s="35">
        <v>42157</v>
      </c>
    </row>
    <row r="4070" spans="1:5" ht="14.25" hidden="1" customHeight="1">
      <c r="A4070" s="16">
        <v>24553486</v>
      </c>
      <c r="B4070" s="17" t="s">
        <v>94</v>
      </c>
      <c r="C4070" s="17" t="s">
        <v>427</v>
      </c>
      <c r="D4070" s="5" t="s">
        <v>7221</v>
      </c>
      <c r="E4070" s="35">
        <v>42157</v>
      </c>
    </row>
    <row r="4071" spans="1:5" ht="14.25" hidden="1" customHeight="1">
      <c r="A4071" s="16">
        <v>24553510</v>
      </c>
      <c r="B4071" s="17" t="s">
        <v>734</v>
      </c>
      <c r="C4071" s="17" t="s">
        <v>736</v>
      </c>
      <c r="D4071" s="5" t="s">
        <v>7221</v>
      </c>
      <c r="E4071" s="35">
        <v>42157</v>
      </c>
    </row>
    <row r="4072" spans="1:5" ht="14.25" hidden="1" customHeight="1">
      <c r="A4072" s="16">
        <v>24803209</v>
      </c>
      <c r="B4072" s="17" t="s">
        <v>2602</v>
      </c>
      <c r="C4072" s="17" t="s">
        <v>7227</v>
      </c>
      <c r="D4072" s="5" t="s">
        <v>7221</v>
      </c>
      <c r="E4072" s="35">
        <v>42157</v>
      </c>
    </row>
    <row r="4073" spans="1:5" ht="14.25" hidden="1" customHeight="1">
      <c r="A4073" s="16">
        <v>24982877</v>
      </c>
      <c r="B4073" s="17" t="s">
        <v>4775</v>
      </c>
      <c r="C4073" s="17" t="s">
        <v>139</v>
      </c>
      <c r="D4073" s="5" t="s">
        <v>7221</v>
      </c>
      <c r="E4073" s="35">
        <v>42157</v>
      </c>
    </row>
    <row r="4074" spans="1:5" ht="14.25" hidden="1" customHeight="1">
      <c r="A4074" s="16">
        <v>25211601</v>
      </c>
      <c r="B4074" s="17" t="s">
        <v>1957</v>
      </c>
      <c r="C4074" s="17" t="s">
        <v>1958</v>
      </c>
      <c r="D4074" s="5" t="s">
        <v>7221</v>
      </c>
      <c r="E4074" s="35">
        <v>42157</v>
      </c>
    </row>
    <row r="4075" spans="1:5" ht="14.25" hidden="1" customHeight="1">
      <c r="A4075" s="16">
        <v>25380616</v>
      </c>
      <c r="B4075" s="17" t="s">
        <v>288</v>
      </c>
      <c r="C4075" s="17" t="s">
        <v>3581</v>
      </c>
      <c r="D4075" s="5" t="s">
        <v>7221</v>
      </c>
      <c r="E4075" s="35">
        <v>42157</v>
      </c>
    </row>
    <row r="4076" spans="1:5" ht="14.25" hidden="1" customHeight="1">
      <c r="A4076" s="16">
        <v>25498735</v>
      </c>
      <c r="B4076" s="17" t="s">
        <v>4067</v>
      </c>
      <c r="C4076" s="17" t="s">
        <v>6493</v>
      </c>
      <c r="D4076" s="5" t="s">
        <v>7221</v>
      </c>
      <c r="E4076" s="35">
        <v>42157</v>
      </c>
    </row>
    <row r="4077" spans="1:5" ht="14.25" hidden="1" customHeight="1">
      <c r="A4077" s="16">
        <v>25992830</v>
      </c>
      <c r="B4077" s="17" t="s">
        <v>195</v>
      </c>
      <c r="C4077" s="17" t="s">
        <v>2003</v>
      </c>
      <c r="D4077" s="5" t="s">
        <v>7221</v>
      </c>
      <c r="E4077" s="35">
        <v>42157</v>
      </c>
    </row>
    <row r="4078" spans="1:5" ht="14.25" hidden="1" customHeight="1">
      <c r="A4078" s="16">
        <v>27575169</v>
      </c>
      <c r="B4078" s="17" t="s">
        <v>601</v>
      </c>
      <c r="C4078" s="17" t="s">
        <v>602</v>
      </c>
      <c r="D4078" s="5" t="s">
        <v>7221</v>
      </c>
      <c r="E4078" s="35">
        <v>42157</v>
      </c>
    </row>
    <row r="4079" spans="1:5" ht="14.25" hidden="1" customHeight="1">
      <c r="A4079" s="16">
        <v>28038489</v>
      </c>
      <c r="B4079" s="17" t="s">
        <v>811</v>
      </c>
      <c r="C4079" s="17" t="s">
        <v>1585</v>
      </c>
      <c r="D4079" s="5" t="s">
        <v>7221</v>
      </c>
      <c r="E4079" s="35">
        <v>42157</v>
      </c>
    </row>
    <row r="4080" spans="1:5" ht="14.25" hidden="1" customHeight="1">
      <c r="A4080" s="16">
        <v>28221604</v>
      </c>
      <c r="B4080" s="17" t="s">
        <v>288</v>
      </c>
      <c r="C4080" s="17" t="s">
        <v>4343</v>
      </c>
      <c r="D4080" s="5" t="s">
        <v>7221</v>
      </c>
      <c r="E4080" s="35">
        <v>42157</v>
      </c>
    </row>
    <row r="4081" spans="1:5" ht="14.25" hidden="1" customHeight="1">
      <c r="A4081" s="16">
        <v>28476107</v>
      </c>
      <c r="B4081" s="17" t="s">
        <v>4519</v>
      </c>
      <c r="C4081" s="17" t="s">
        <v>4520</v>
      </c>
      <c r="D4081" s="5" t="s">
        <v>7221</v>
      </c>
      <c r="E4081" s="35">
        <v>42157</v>
      </c>
    </row>
    <row r="4082" spans="1:5" ht="14.25" hidden="1" customHeight="1">
      <c r="A4082" s="16">
        <v>28680958</v>
      </c>
      <c r="B4082" s="17" t="s">
        <v>794</v>
      </c>
      <c r="C4082" s="17" t="s">
        <v>2146</v>
      </c>
      <c r="D4082" s="5" t="s">
        <v>7221</v>
      </c>
      <c r="E4082" s="35">
        <v>42157</v>
      </c>
    </row>
    <row r="4083" spans="1:5" ht="14.25" hidden="1" customHeight="1">
      <c r="A4083" s="16">
        <v>28681110</v>
      </c>
      <c r="B4083" s="17" t="s">
        <v>218</v>
      </c>
      <c r="C4083" s="17" t="s">
        <v>4200</v>
      </c>
      <c r="D4083" s="5" t="s">
        <v>7221</v>
      </c>
      <c r="E4083" s="35">
        <v>42157</v>
      </c>
    </row>
    <row r="4084" spans="1:5" ht="14.25" hidden="1" customHeight="1">
      <c r="A4084" s="16">
        <v>29060415</v>
      </c>
      <c r="B4084" s="17" t="s">
        <v>94</v>
      </c>
      <c r="C4084" s="17" t="s">
        <v>455</v>
      </c>
      <c r="D4084" s="5" t="s">
        <v>7221</v>
      </c>
      <c r="E4084" s="35">
        <v>42157</v>
      </c>
    </row>
    <row r="4085" spans="1:5" ht="14.25" hidden="1" customHeight="1">
      <c r="A4085" s="16">
        <v>29175472</v>
      </c>
      <c r="B4085" s="17" t="s">
        <v>138</v>
      </c>
      <c r="C4085" s="17" t="s">
        <v>139</v>
      </c>
      <c r="D4085" s="5" t="s">
        <v>7221</v>
      </c>
      <c r="E4085" s="35">
        <v>42157</v>
      </c>
    </row>
    <row r="4086" spans="1:5" ht="14.25" hidden="1" customHeight="1">
      <c r="A4086" s="16">
        <v>29997715</v>
      </c>
      <c r="B4086" s="17" t="s">
        <v>2270</v>
      </c>
      <c r="C4086" s="17" t="s">
        <v>363</v>
      </c>
      <c r="D4086" s="5" t="s">
        <v>7221</v>
      </c>
      <c r="E4086" s="35">
        <v>42157</v>
      </c>
    </row>
    <row r="4087" spans="1:5" ht="14.25" hidden="1" customHeight="1">
      <c r="A4087" s="16">
        <v>30357266</v>
      </c>
      <c r="B4087" s="17" t="s">
        <v>7223</v>
      </c>
      <c r="C4087" s="17" t="s">
        <v>165</v>
      </c>
      <c r="D4087" s="5" t="s">
        <v>7221</v>
      </c>
      <c r="E4087" s="35">
        <v>42157</v>
      </c>
    </row>
    <row r="4088" spans="1:5" ht="14.25" hidden="1" customHeight="1">
      <c r="A4088" s="16">
        <v>30357310</v>
      </c>
      <c r="B4088" s="17" t="s">
        <v>3574</v>
      </c>
      <c r="C4088" s="17" t="s">
        <v>1496</v>
      </c>
      <c r="D4088" s="5" t="s">
        <v>7221</v>
      </c>
      <c r="E4088" s="35">
        <v>42157</v>
      </c>
    </row>
    <row r="4089" spans="1:5" ht="14.25" hidden="1" customHeight="1">
      <c r="A4089" s="16">
        <v>31030239</v>
      </c>
      <c r="B4089" s="17" t="s">
        <v>1216</v>
      </c>
      <c r="C4089" s="17" t="s">
        <v>7226</v>
      </c>
      <c r="D4089" s="5" t="s">
        <v>7221</v>
      </c>
      <c r="E4089" s="35">
        <v>42157</v>
      </c>
    </row>
    <row r="4090" spans="1:5" ht="14.25" hidden="1" customHeight="1">
      <c r="A4090" s="16">
        <v>31425395</v>
      </c>
      <c r="B4090" s="17" t="s">
        <v>958</v>
      </c>
      <c r="C4090" s="17" t="s">
        <v>959</v>
      </c>
      <c r="D4090" s="5" t="s">
        <v>7221</v>
      </c>
      <c r="E4090" s="35">
        <v>42157</v>
      </c>
    </row>
    <row r="4091" spans="1:5" ht="14.25" hidden="1" customHeight="1">
      <c r="A4091" s="16">
        <v>33147683</v>
      </c>
      <c r="B4091" s="17" t="s">
        <v>1660</v>
      </c>
      <c r="C4091" s="17" t="s">
        <v>1661</v>
      </c>
      <c r="D4091" s="5" t="s">
        <v>7221</v>
      </c>
      <c r="E4091" s="35">
        <v>42157</v>
      </c>
    </row>
    <row r="4092" spans="1:5" ht="14.25" hidden="1" customHeight="1">
      <c r="A4092" s="16">
        <v>33541638</v>
      </c>
      <c r="B4092" s="17" t="s">
        <v>2310</v>
      </c>
      <c r="C4092" s="17" t="s">
        <v>30</v>
      </c>
      <c r="D4092" s="5" t="s">
        <v>7221</v>
      </c>
      <c r="E4092" s="35">
        <v>42157</v>
      </c>
    </row>
    <row r="4093" spans="1:5" ht="14.25" hidden="1" customHeight="1">
      <c r="A4093" s="16">
        <v>33848067</v>
      </c>
      <c r="B4093" s="17" t="s">
        <v>6022</v>
      </c>
      <c r="C4093" s="17" t="s">
        <v>6023</v>
      </c>
      <c r="D4093" s="5" t="s">
        <v>7221</v>
      </c>
      <c r="E4093" s="35">
        <v>42157</v>
      </c>
    </row>
    <row r="4094" spans="1:5" ht="14.25" hidden="1" customHeight="1">
      <c r="A4094" s="16">
        <v>34287491</v>
      </c>
      <c r="B4094" s="17" t="s">
        <v>288</v>
      </c>
      <c r="C4094" s="17" t="s">
        <v>2112</v>
      </c>
      <c r="D4094" s="5" t="s">
        <v>7221</v>
      </c>
      <c r="E4094" s="35">
        <v>42157</v>
      </c>
    </row>
    <row r="4095" spans="1:5" ht="14.25" hidden="1" customHeight="1">
      <c r="A4095" s="16">
        <v>34356805</v>
      </c>
      <c r="B4095" s="17" t="s">
        <v>7152</v>
      </c>
      <c r="C4095" s="17" t="s">
        <v>4021</v>
      </c>
      <c r="D4095" s="5" t="s">
        <v>7221</v>
      </c>
      <c r="E4095" s="35">
        <v>42157</v>
      </c>
    </row>
    <row r="4096" spans="1:5" ht="14.25" hidden="1" customHeight="1">
      <c r="A4096" s="16">
        <v>36420915</v>
      </c>
      <c r="B4096" s="17" t="s">
        <v>7145</v>
      </c>
      <c r="C4096" s="17" t="s">
        <v>1029</v>
      </c>
      <c r="D4096" s="5" t="s">
        <v>7221</v>
      </c>
      <c r="E4096" s="35">
        <v>42157</v>
      </c>
    </row>
    <row r="4097" spans="1:5" ht="14.25" hidden="1" customHeight="1">
      <c r="A4097" s="16">
        <v>37096982</v>
      </c>
      <c r="B4097" s="17" t="s">
        <v>6183</v>
      </c>
      <c r="C4097" s="17" t="s">
        <v>902</v>
      </c>
      <c r="D4097" s="5" t="s">
        <v>7221</v>
      </c>
      <c r="E4097" s="35">
        <v>42157</v>
      </c>
    </row>
    <row r="4098" spans="1:5" ht="14.25" hidden="1" customHeight="1">
      <c r="A4098" s="16">
        <v>37657472</v>
      </c>
      <c r="B4098" s="17" t="s">
        <v>2661</v>
      </c>
      <c r="C4098" s="17" t="s">
        <v>2662</v>
      </c>
      <c r="D4098" s="5" t="s">
        <v>7221</v>
      </c>
      <c r="E4098" s="35">
        <v>42157</v>
      </c>
    </row>
    <row r="4099" spans="1:5" ht="14.25" hidden="1" customHeight="1">
      <c r="B4099" s="17" t="s">
        <v>2492</v>
      </c>
      <c r="C4099" s="17" t="s">
        <v>843</v>
      </c>
      <c r="D4099" s="5" t="s">
        <v>7221</v>
      </c>
      <c r="E4099" s="35">
        <v>42157</v>
      </c>
    </row>
    <row r="4100" spans="1:5" ht="14.25" hidden="1" customHeight="1">
      <c r="A4100" s="16">
        <v>10791104</v>
      </c>
      <c r="B4100" s="17" t="s">
        <v>739</v>
      </c>
      <c r="C4100" s="17" t="s">
        <v>165</v>
      </c>
      <c r="D4100" s="5" t="s">
        <v>7228</v>
      </c>
      <c r="E4100" s="35">
        <v>42153</v>
      </c>
    </row>
    <row r="4101" spans="1:5" ht="14.25" hidden="1" customHeight="1">
      <c r="A4101" s="16">
        <v>12413509</v>
      </c>
      <c r="B4101" s="17" t="s">
        <v>1637</v>
      </c>
      <c r="C4101" s="17" t="s">
        <v>2625</v>
      </c>
      <c r="D4101" s="5" t="s">
        <v>7228</v>
      </c>
      <c r="E4101" s="35">
        <v>42153</v>
      </c>
    </row>
    <row r="4102" spans="1:5" ht="14.25" hidden="1" customHeight="1">
      <c r="A4102" s="16">
        <v>12449228</v>
      </c>
      <c r="B4102" s="17" t="s">
        <v>5312</v>
      </c>
      <c r="C4102" s="17" t="s">
        <v>7232</v>
      </c>
      <c r="D4102" s="5" t="s">
        <v>7228</v>
      </c>
      <c r="E4102" s="35">
        <v>42153</v>
      </c>
    </row>
    <row r="4103" spans="1:5" ht="14.25" hidden="1" customHeight="1">
      <c r="A4103" s="16">
        <v>13784307</v>
      </c>
      <c r="B4103" s="17" t="s">
        <v>5516</v>
      </c>
      <c r="C4103" s="17" t="s">
        <v>758</v>
      </c>
      <c r="D4103" s="5" t="s">
        <v>7228</v>
      </c>
      <c r="E4103" s="35">
        <v>42153</v>
      </c>
    </row>
    <row r="4104" spans="1:5" ht="14.25" hidden="1" customHeight="1">
      <c r="A4104" s="16">
        <v>14660514</v>
      </c>
      <c r="B4104" s="17" t="s">
        <v>288</v>
      </c>
      <c r="C4104" s="17" t="s">
        <v>2678</v>
      </c>
      <c r="D4104" s="5" t="s">
        <v>7228</v>
      </c>
      <c r="E4104" s="35">
        <v>42153</v>
      </c>
    </row>
    <row r="4105" spans="1:5" ht="14.25" hidden="1" customHeight="1">
      <c r="A4105" s="16">
        <v>14660614</v>
      </c>
      <c r="B4105" s="17" t="s">
        <v>2355</v>
      </c>
      <c r="C4105" s="17" t="s">
        <v>1146</v>
      </c>
      <c r="D4105" s="5" t="s">
        <v>7228</v>
      </c>
      <c r="E4105" s="35">
        <v>42153</v>
      </c>
    </row>
    <row r="4106" spans="1:5" ht="14.25" hidden="1" customHeight="1">
      <c r="A4106" s="16">
        <v>16954394</v>
      </c>
      <c r="B4106" s="17" t="s">
        <v>6498</v>
      </c>
      <c r="C4106" s="17" t="s">
        <v>6499</v>
      </c>
      <c r="D4106" s="5" t="s">
        <v>7228</v>
      </c>
      <c r="E4106" s="35">
        <v>42153</v>
      </c>
    </row>
    <row r="4107" spans="1:5" ht="14.25" hidden="1" customHeight="1">
      <c r="A4107" s="16">
        <v>18230668</v>
      </c>
      <c r="B4107" s="17" t="s">
        <v>2375</v>
      </c>
      <c r="C4107" s="17" t="s">
        <v>1585</v>
      </c>
      <c r="D4107" s="5" t="s">
        <v>7228</v>
      </c>
      <c r="E4107" s="35">
        <v>42153</v>
      </c>
    </row>
    <row r="4108" spans="1:5" ht="14.25" hidden="1" customHeight="1">
      <c r="A4108" s="16">
        <v>18473585</v>
      </c>
      <c r="B4108" s="17" t="s">
        <v>680</v>
      </c>
      <c r="C4108" s="17" t="s">
        <v>4436</v>
      </c>
      <c r="D4108" s="5" t="s">
        <v>7228</v>
      </c>
      <c r="E4108" s="35">
        <v>42153</v>
      </c>
    </row>
    <row r="4109" spans="1:5" ht="14.25" hidden="1" customHeight="1">
      <c r="A4109" s="16">
        <v>18523328</v>
      </c>
      <c r="B4109" s="17" t="s">
        <v>432</v>
      </c>
      <c r="C4109" s="17" t="s">
        <v>433</v>
      </c>
      <c r="D4109" s="5" t="s">
        <v>7228</v>
      </c>
      <c r="E4109" s="35">
        <v>42153</v>
      </c>
    </row>
    <row r="4110" spans="1:5" ht="14.25" hidden="1" customHeight="1">
      <c r="A4110" s="16">
        <v>20178389</v>
      </c>
      <c r="B4110" s="17" t="s">
        <v>3176</v>
      </c>
      <c r="C4110" s="17" t="s">
        <v>97</v>
      </c>
      <c r="D4110" s="5" t="s">
        <v>7228</v>
      </c>
      <c r="E4110" s="35">
        <v>42153</v>
      </c>
    </row>
    <row r="4111" spans="1:5" ht="14.25" hidden="1" customHeight="1">
      <c r="A4111" s="16">
        <v>20258235</v>
      </c>
      <c r="B4111" s="17" t="s">
        <v>4407</v>
      </c>
      <c r="C4111" s="17" t="s">
        <v>1634</v>
      </c>
      <c r="D4111" s="5" t="s">
        <v>7228</v>
      </c>
      <c r="E4111" s="35">
        <v>42153</v>
      </c>
    </row>
    <row r="4112" spans="1:5" ht="14.25" hidden="1" customHeight="1">
      <c r="A4112" s="16">
        <v>20310540</v>
      </c>
      <c r="B4112" s="17" t="s">
        <v>5075</v>
      </c>
      <c r="C4112" s="17" t="s">
        <v>5076</v>
      </c>
      <c r="D4112" s="5" t="s">
        <v>7228</v>
      </c>
      <c r="E4112" s="35">
        <v>42153</v>
      </c>
    </row>
    <row r="4113" spans="1:5" ht="14.25" hidden="1" customHeight="1">
      <c r="A4113" s="16">
        <v>20759438</v>
      </c>
      <c r="B4113" s="17" t="s">
        <v>7234</v>
      </c>
      <c r="C4113" s="17" t="s">
        <v>5656</v>
      </c>
      <c r="D4113" s="5" t="s">
        <v>7228</v>
      </c>
      <c r="E4113" s="35">
        <v>42153</v>
      </c>
    </row>
    <row r="4114" spans="1:5" ht="14.25" hidden="1" customHeight="1">
      <c r="A4114" s="16">
        <v>20803370</v>
      </c>
      <c r="B4114" s="17" t="s">
        <v>1631</v>
      </c>
      <c r="C4114" s="17" t="s">
        <v>1632</v>
      </c>
      <c r="D4114" s="5" t="s">
        <v>7228</v>
      </c>
      <c r="E4114" s="35">
        <v>42153</v>
      </c>
    </row>
    <row r="4115" spans="1:5" ht="14.25" hidden="1" customHeight="1">
      <c r="A4115" s="16">
        <v>21328426</v>
      </c>
      <c r="B4115" s="17" t="s">
        <v>3444</v>
      </c>
      <c r="C4115" s="17" t="s">
        <v>571</v>
      </c>
      <c r="D4115" s="5" t="s">
        <v>7228</v>
      </c>
      <c r="E4115" s="35">
        <v>42153</v>
      </c>
    </row>
    <row r="4116" spans="1:5" ht="14.25" hidden="1" customHeight="1">
      <c r="A4116" s="16">
        <v>21662069</v>
      </c>
      <c r="B4116" s="17" t="s">
        <v>3459</v>
      </c>
      <c r="C4116" s="17" t="s">
        <v>3460</v>
      </c>
      <c r="D4116" s="5" t="s">
        <v>7228</v>
      </c>
      <c r="E4116" s="35">
        <v>42153</v>
      </c>
    </row>
    <row r="4117" spans="1:5" ht="14.25" hidden="1" customHeight="1">
      <c r="A4117" s="16">
        <v>22264981</v>
      </c>
      <c r="B4117" s="17" t="s">
        <v>5885</v>
      </c>
      <c r="C4117" s="17" t="s">
        <v>7229</v>
      </c>
      <c r="D4117" s="5" t="s">
        <v>7228</v>
      </c>
      <c r="E4117" s="35">
        <v>42153</v>
      </c>
    </row>
    <row r="4118" spans="1:5" ht="14.25" hidden="1" customHeight="1">
      <c r="A4118" s="16">
        <v>22799070</v>
      </c>
      <c r="B4118" s="17" t="s">
        <v>3684</v>
      </c>
      <c r="C4118" s="17" t="s">
        <v>97</v>
      </c>
      <c r="D4118" s="5" t="s">
        <v>7228</v>
      </c>
      <c r="E4118" s="35">
        <v>42153</v>
      </c>
    </row>
    <row r="4119" spans="1:5" ht="14.25" hidden="1" customHeight="1">
      <c r="A4119" s="16">
        <v>24355070</v>
      </c>
      <c r="B4119" s="17" t="s">
        <v>2956</v>
      </c>
      <c r="C4119" s="17" t="s">
        <v>7233</v>
      </c>
      <c r="D4119" s="5" t="s">
        <v>7228</v>
      </c>
      <c r="E4119" s="35">
        <v>42153</v>
      </c>
    </row>
    <row r="4120" spans="1:5" ht="14.25" hidden="1" customHeight="1">
      <c r="A4120" s="16">
        <v>25498735</v>
      </c>
      <c r="B4120" s="17" t="s">
        <v>4407</v>
      </c>
      <c r="C4120" s="17" t="s">
        <v>7173</v>
      </c>
      <c r="D4120" s="5" t="s">
        <v>7228</v>
      </c>
      <c r="E4120" s="35">
        <v>42153</v>
      </c>
    </row>
    <row r="4121" spans="1:5" ht="14.25" hidden="1" customHeight="1">
      <c r="A4121" s="16">
        <v>26028746</v>
      </c>
      <c r="B4121" s="17" t="s">
        <v>4289</v>
      </c>
      <c r="C4121" s="17" t="s">
        <v>6060</v>
      </c>
      <c r="D4121" s="5" t="s">
        <v>7228</v>
      </c>
      <c r="E4121" s="35">
        <v>42153</v>
      </c>
    </row>
    <row r="4122" spans="1:5" ht="14.25" hidden="1" customHeight="1">
      <c r="A4122" s="16">
        <v>26028943</v>
      </c>
      <c r="B4122" s="17" t="s">
        <v>547</v>
      </c>
      <c r="C4122" s="17" t="s">
        <v>5290</v>
      </c>
      <c r="D4122" s="5" t="s">
        <v>7228</v>
      </c>
      <c r="E4122" s="35">
        <v>42153</v>
      </c>
    </row>
    <row r="4123" spans="1:5" ht="14.25" hidden="1" customHeight="1">
      <c r="A4123" s="16">
        <v>26474429</v>
      </c>
      <c r="B4123" s="17" t="s">
        <v>1071</v>
      </c>
      <c r="C4123" s="17" t="s">
        <v>1072</v>
      </c>
      <c r="D4123" s="5" t="s">
        <v>7228</v>
      </c>
      <c r="E4123" s="35">
        <v>42153</v>
      </c>
    </row>
    <row r="4124" spans="1:5" ht="14.25" hidden="1" customHeight="1">
      <c r="A4124" s="16">
        <v>27210451</v>
      </c>
      <c r="B4124" s="17" t="s">
        <v>4562</v>
      </c>
      <c r="C4124" s="17" t="s">
        <v>4563</v>
      </c>
      <c r="D4124" s="5" t="s">
        <v>7228</v>
      </c>
      <c r="E4124" s="35">
        <v>42153</v>
      </c>
    </row>
    <row r="4125" spans="1:5" ht="14.25" hidden="1" customHeight="1">
      <c r="A4125" s="16">
        <v>30339120</v>
      </c>
      <c r="B4125" s="17" t="s">
        <v>4553</v>
      </c>
      <c r="C4125" s="17" t="s">
        <v>4554</v>
      </c>
      <c r="D4125" s="5" t="s">
        <v>7228</v>
      </c>
      <c r="E4125" s="35">
        <v>42153</v>
      </c>
    </row>
    <row r="4126" spans="1:5" ht="14.25" hidden="1" customHeight="1">
      <c r="A4126" s="16">
        <v>31008633</v>
      </c>
      <c r="B4126" s="17" t="s">
        <v>620</v>
      </c>
      <c r="C4126" s="17" t="s">
        <v>436</v>
      </c>
      <c r="D4126" s="5" t="s">
        <v>7228</v>
      </c>
      <c r="E4126" s="35">
        <v>42153</v>
      </c>
    </row>
    <row r="4127" spans="1:5" ht="14.25" hidden="1" customHeight="1">
      <c r="A4127" s="16">
        <v>31809569</v>
      </c>
      <c r="B4127" s="17" t="s">
        <v>5876</v>
      </c>
      <c r="C4127" s="17" t="s">
        <v>5877</v>
      </c>
      <c r="D4127" s="5" t="s">
        <v>7228</v>
      </c>
      <c r="E4127" s="35">
        <v>42153</v>
      </c>
    </row>
    <row r="4128" spans="1:5" ht="14.25" hidden="1" customHeight="1">
      <c r="A4128" s="16">
        <v>32144069</v>
      </c>
      <c r="B4128" s="17" t="s">
        <v>5186</v>
      </c>
      <c r="C4128" s="17" t="s">
        <v>5187</v>
      </c>
      <c r="D4128" s="5" t="s">
        <v>7228</v>
      </c>
      <c r="E4128" s="35">
        <v>42153</v>
      </c>
    </row>
    <row r="4129" spans="1:5" ht="14.25" hidden="1" customHeight="1">
      <c r="A4129" s="16">
        <v>33050608</v>
      </c>
      <c r="B4129" s="17" t="s">
        <v>760</v>
      </c>
      <c r="C4129" s="17" t="s">
        <v>6430</v>
      </c>
      <c r="D4129" s="5" t="s">
        <v>7228</v>
      </c>
      <c r="E4129" s="35">
        <v>42153</v>
      </c>
    </row>
    <row r="4130" spans="1:5" ht="14.25" hidden="1" customHeight="1">
      <c r="A4130" s="16">
        <v>33147683</v>
      </c>
      <c r="B4130" s="17" t="s">
        <v>1660</v>
      </c>
      <c r="C4130" s="17" t="s">
        <v>7230</v>
      </c>
      <c r="D4130" s="5" t="s">
        <v>7228</v>
      </c>
      <c r="E4130" s="35">
        <v>42153</v>
      </c>
    </row>
    <row r="4131" spans="1:5" ht="14.25" hidden="1" customHeight="1">
      <c r="A4131" s="16">
        <v>33332235</v>
      </c>
      <c r="B4131" s="17" t="s">
        <v>144</v>
      </c>
      <c r="C4131" s="17" t="s">
        <v>5860</v>
      </c>
      <c r="D4131" s="5" t="s">
        <v>7228</v>
      </c>
      <c r="E4131" s="35">
        <v>42153</v>
      </c>
    </row>
    <row r="4132" spans="1:5" ht="14.25" hidden="1" customHeight="1">
      <c r="A4132" s="16">
        <v>33430063</v>
      </c>
      <c r="B4132" s="17" t="s">
        <v>2908</v>
      </c>
      <c r="C4132" s="17" t="s">
        <v>2909</v>
      </c>
      <c r="D4132" s="5" t="s">
        <v>7228</v>
      </c>
      <c r="E4132" s="35">
        <v>42153</v>
      </c>
    </row>
    <row r="4133" spans="1:5" ht="14.25" hidden="1" customHeight="1">
      <c r="A4133" s="16">
        <v>33703744</v>
      </c>
      <c r="B4133" s="17" t="s">
        <v>4894</v>
      </c>
      <c r="C4133" s="17" t="s">
        <v>4895</v>
      </c>
      <c r="D4133" s="5" t="s">
        <v>7228</v>
      </c>
      <c r="E4133" s="35">
        <v>42153</v>
      </c>
    </row>
    <row r="4134" spans="1:5" ht="14.25" hidden="1" customHeight="1">
      <c r="A4134" s="16">
        <v>33818840</v>
      </c>
      <c r="B4134" s="17" t="s">
        <v>377</v>
      </c>
      <c r="C4134" s="17" t="s">
        <v>7235</v>
      </c>
      <c r="D4134" s="5" t="s">
        <v>7228</v>
      </c>
      <c r="E4134" s="35">
        <v>42153</v>
      </c>
    </row>
    <row r="4135" spans="1:5" ht="14.25" hidden="1" customHeight="1">
      <c r="A4135" s="16">
        <v>33848067</v>
      </c>
      <c r="B4135" s="17" t="s">
        <v>6022</v>
      </c>
      <c r="C4135" s="17" t="s">
        <v>783</v>
      </c>
      <c r="D4135" s="5" t="s">
        <v>7228</v>
      </c>
      <c r="E4135" s="35">
        <v>42153</v>
      </c>
    </row>
    <row r="4136" spans="1:5" ht="14.25" hidden="1" customHeight="1">
      <c r="A4136" s="16">
        <v>34126908</v>
      </c>
      <c r="B4136" s="17" t="s">
        <v>1236</v>
      </c>
      <c r="C4136" s="17" t="s">
        <v>5279</v>
      </c>
      <c r="D4136" s="5" t="s">
        <v>7228</v>
      </c>
      <c r="E4136" s="35">
        <v>42153</v>
      </c>
    </row>
    <row r="4137" spans="1:5" ht="14.25" hidden="1" customHeight="1">
      <c r="A4137" s="16">
        <v>34719449</v>
      </c>
      <c r="B4137" s="17" t="s">
        <v>359</v>
      </c>
      <c r="C4137" s="17" t="s">
        <v>5275</v>
      </c>
      <c r="D4137" s="5" t="s">
        <v>7228</v>
      </c>
      <c r="E4137" s="35">
        <v>42153</v>
      </c>
    </row>
    <row r="4138" spans="1:5" ht="14.25" hidden="1" customHeight="1">
      <c r="A4138" s="16">
        <v>35195853</v>
      </c>
      <c r="B4138" s="17" t="s">
        <v>1522</v>
      </c>
      <c r="C4138" s="17" t="s">
        <v>1523</v>
      </c>
      <c r="D4138" s="5" t="s">
        <v>7228</v>
      </c>
      <c r="E4138" s="35">
        <v>42153</v>
      </c>
    </row>
    <row r="4139" spans="1:5" ht="14.25" hidden="1" customHeight="1">
      <c r="A4139" s="16">
        <v>178589219</v>
      </c>
      <c r="B4139" s="17" t="s">
        <v>1826</v>
      </c>
      <c r="C4139" s="17" t="s">
        <v>1827</v>
      </c>
      <c r="D4139" s="5" t="s">
        <v>7228</v>
      </c>
      <c r="E4139" s="35">
        <v>42153</v>
      </c>
    </row>
    <row r="4140" spans="1:5" ht="14.25" hidden="1" customHeight="1">
      <c r="B4140" s="17" t="s">
        <v>2358</v>
      </c>
      <c r="C4140" s="17" t="s">
        <v>902</v>
      </c>
      <c r="D4140" s="5" t="s">
        <v>7228</v>
      </c>
      <c r="E4140" s="35">
        <v>42153</v>
      </c>
    </row>
    <row r="4141" spans="1:5" ht="14.25" hidden="1" customHeight="1">
      <c r="B4141" s="17" t="s">
        <v>961</v>
      </c>
      <c r="C4141" s="17" t="s">
        <v>7231</v>
      </c>
      <c r="D4141" s="5" t="s">
        <v>7228</v>
      </c>
      <c r="E4141" s="35">
        <v>42153</v>
      </c>
    </row>
    <row r="4142" spans="1:5" ht="14.25" hidden="1" customHeight="1">
      <c r="B4142" s="17" t="s">
        <v>1823</v>
      </c>
      <c r="C4142" s="17" t="s">
        <v>4410</v>
      </c>
      <c r="D4142" s="5" t="s">
        <v>7228</v>
      </c>
      <c r="E4142" s="35">
        <v>42153</v>
      </c>
    </row>
    <row r="4143" spans="1:5" ht="14.25" hidden="1" customHeight="1">
      <c r="A4143" s="16">
        <v>11084288</v>
      </c>
      <c r="B4143" s="17" t="s">
        <v>6009</v>
      </c>
      <c r="C4143" s="17" t="s">
        <v>1672</v>
      </c>
      <c r="D4143" s="5" t="s">
        <v>7236</v>
      </c>
      <c r="E4143" s="35">
        <v>42151</v>
      </c>
    </row>
    <row r="4144" spans="1:5" ht="14.25" hidden="1" customHeight="1">
      <c r="A4144" s="16">
        <v>11463299</v>
      </c>
      <c r="B4144" s="17" t="s">
        <v>1842</v>
      </c>
      <c r="C4144" s="17" t="s">
        <v>1843</v>
      </c>
      <c r="D4144" s="5" t="s">
        <v>7236</v>
      </c>
      <c r="E4144" s="35">
        <v>42151</v>
      </c>
    </row>
    <row r="4145" spans="1:5" ht="14.25" hidden="1" customHeight="1">
      <c r="A4145" s="16">
        <v>12019441</v>
      </c>
      <c r="B4145" s="25" t="s">
        <v>4014</v>
      </c>
      <c r="C4145" s="25" t="s">
        <v>5282</v>
      </c>
      <c r="D4145" s="5" t="s">
        <v>7236</v>
      </c>
      <c r="E4145" s="35">
        <v>42151</v>
      </c>
    </row>
    <row r="4146" spans="1:5" ht="14.25" hidden="1" customHeight="1">
      <c r="A4146" s="16">
        <v>12810287</v>
      </c>
      <c r="B4146" s="25" t="s">
        <v>3101</v>
      </c>
      <c r="C4146" s="25" t="s">
        <v>7238</v>
      </c>
      <c r="D4146" s="5" t="s">
        <v>7236</v>
      </c>
      <c r="E4146" s="35">
        <v>42151</v>
      </c>
    </row>
    <row r="4147" spans="1:5" ht="14.25" hidden="1" customHeight="1">
      <c r="A4147" s="16">
        <v>12918323</v>
      </c>
      <c r="B4147" s="17" t="s">
        <v>497</v>
      </c>
      <c r="C4147" s="17" t="s">
        <v>498</v>
      </c>
      <c r="D4147" s="5" t="s">
        <v>7236</v>
      </c>
      <c r="E4147" s="35">
        <v>42151</v>
      </c>
    </row>
    <row r="4148" spans="1:5" ht="14.25" hidden="1" customHeight="1">
      <c r="A4148" s="16">
        <v>13559484</v>
      </c>
      <c r="B4148" s="17" t="s">
        <v>359</v>
      </c>
      <c r="C4148" s="17" t="s">
        <v>360</v>
      </c>
      <c r="D4148" s="5" t="s">
        <v>7236</v>
      </c>
      <c r="E4148" s="35">
        <v>42151</v>
      </c>
    </row>
    <row r="4149" spans="1:5" ht="14.25" hidden="1" customHeight="1">
      <c r="A4149" s="16">
        <v>13627070</v>
      </c>
      <c r="B4149" s="17" t="s">
        <v>1619</v>
      </c>
      <c r="C4149" s="17" t="s">
        <v>1620</v>
      </c>
      <c r="D4149" s="5" t="s">
        <v>7236</v>
      </c>
      <c r="E4149" s="35">
        <v>42151</v>
      </c>
    </row>
    <row r="4150" spans="1:5" ht="14.25" hidden="1" customHeight="1">
      <c r="A4150" s="16">
        <v>14661346</v>
      </c>
      <c r="B4150" s="25" t="s">
        <v>47</v>
      </c>
      <c r="C4150" s="25" t="s">
        <v>4958</v>
      </c>
      <c r="D4150" s="5" t="s">
        <v>7236</v>
      </c>
      <c r="E4150" s="35">
        <v>42151</v>
      </c>
    </row>
    <row r="4151" spans="1:5" ht="14.25" hidden="1" customHeight="1">
      <c r="A4151" s="16">
        <v>16216479</v>
      </c>
      <c r="B4151" s="17" t="s">
        <v>5034</v>
      </c>
      <c r="C4151" s="17" t="s">
        <v>5035</v>
      </c>
      <c r="D4151" s="5" t="s">
        <v>7236</v>
      </c>
      <c r="E4151" s="35">
        <v>42151</v>
      </c>
    </row>
    <row r="4152" spans="1:5" ht="14.25" hidden="1" customHeight="1">
      <c r="A4152" s="16">
        <v>18185007</v>
      </c>
      <c r="B4152" s="17" t="s">
        <v>7237</v>
      </c>
      <c r="C4152" s="17" t="s">
        <v>153</v>
      </c>
      <c r="D4152" s="5" t="s">
        <v>7236</v>
      </c>
      <c r="E4152" s="35">
        <v>42151</v>
      </c>
    </row>
    <row r="4153" spans="1:5" ht="14.25" hidden="1" customHeight="1">
      <c r="A4153" s="16">
        <v>20284192</v>
      </c>
      <c r="B4153" s="17" t="s">
        <v>2677</v>
      </c>
      <c r="C4153" s="17" t="s">
        <v>2678</v>
      </c>
      <c r="D4153" s="5" t="s">
        <v>7236</v>
      </c>
      <c r="E4153" s="35">
        <v>42151</v>
      </c>
    </row>
    <row r="4154" spans="1:5" ht="14.25" hidden="1" customHeight="1">
      <c r="A4154" s="16">
        <v>20285497</v>
      </c>
      <c r="B4154" s="17" t="s">
        <v>2773</v>
      </c>
      <c r="C4154" s="17" t="s">
        <v>27</v>
      </c>
      <c r="D4154" s="5" t="s">
        <v>7236</v>
      </c>
      <c r="E4154" s="35">
        <v>42151</v>
      </c>
    </row>
    <row r="4155" spans="1:5" ht="14.25" hidden="1" customHeight="1">
      <c r="A4155" s="16">
        <v>21829048</v>
      </c>
      <c r="B4155" s="17" t="s">
        <v>1687</v>
      </c>
      <c r="C4155" s="17" t="s">
        <v>1688</v>
      </c>
      <c r="D4155" s="5" t="s">
        <v>7236</v>
      </c>
      <c r="E4155" s="35">
        <v>42151</v>
      </c>
    </row>
    <row r="4156" spans="1:5" ht="14.25" hidden="1" customHeight="1">
      <c r="A4156" s="16">
        <v>22428875</v>
      </c>
      <c r="B4156" s="17" t="s">
        <v>2674</v>
      </c>
      <c r="C4156" s="17" t="s">
        <v>2675</v>
      </c>
      <c r="D4156" s="5" t="s">
        <v>7236</v>
      </c>
      <c r="E4156" s="35">
        <v>42151</v>
      </c>
    </row>
    <row r="4157" spans="1:5" ht="14.25" hidden="1" customHeight="1">
      <c r="A4157" s="16">
        <v>22450023</v>
      </c>
      <c r="B4157" s="17" t="s">
        <v>26</v>
      </c>
      <c r="C4157" s="17" t="s">
        <v>33</v>
      </c>
      <c r="D4157" s="5" t="s">
        <v>7236</v>
      </c>
      <c r="E4157" s="35">
        <v>42151</v>
      </c>
    </row>
    <row r="4158" spans="1:5" ht="14.25" hidden="1" customHeight="1">
      <c r="A4158" s="16">
        <v>23826784</v>
      </c>
      <c r="B4158" s="17" t="s">
        <v>1040</v>
      </c>
      <c r="C4158" s="17" t="s">
        <v>1521</v>
      </c>
      <c r="D4158" s="5" t="s">
        <v>7236</v>
      </c>
      <c r="E4158" s="35">
        <v>42151</v>
      </c>
    </row>
    <row r="4159" spans="1:5" ht="14.25" hidden="1" customHeight="1">
      <c r="A4159" s="16">
        <v>24802089</v>
      </c>
      <c r="B4159" s="17" t="s">
        <v>875</v>
      </c>
      <c r="C4159" s="17" t="s">
        <v>4707</v>
      </c>
      <c r="D4159" s="5" t="s">
        <v>7236</v>
      </c>
      <c r="E4159" s="35">
        <v>42151</v>
      </c>
    </row>
    <row r="4160" spans="1:5" ht="14.25" hidden="1" customHeight="1">
      <c r="A4160" s="16">
        <v>25215951</v>
      </c>
      <c r="B4160" s="17" t="s">
        <v>2087</v>
      </c>
      <c r="C4160" s="17" t="s">
        <v>2772</v>
      </c>
      <c r="D4160" s="5" t="s">
        <v>7236</v>
      </c>
      <c r="E4160" s="35">
        <v>42151</v>
      </c>
    </row>
    <row r="4161" spans="1:5" ht="14.25" hidden="1" customHeight="1">
      <c r="A4161" s="16">
        <v>28150822</v>
      </c>
      <c r="B4161" s="17" t="s">
        <v>1926</v>
      </c>
      <c r="C4161" s="17" t="s">
        <v>153</v>
      </c>
      <c r="D4161" s="5" t="s">
        <v>7236</v>
      </c>
      <c r="E4161" s="35">
        <v>42151</v>
      </c>
    </row>
    <row r="4162" spans="1:5" ht="14.25" hidden="1" customHeight="1">
      <c r="A4162" s="16">
        <v>29061202</v>
      </c>
      <c r="B4162" s="25" t="s">
        <v>7241</v>
      </c>
      <c r="C4162" s="25" t="s">
        <v>7242</v>
      </c>
      <c r="D4162" s="5" t="s">
        <v>7236</v>
      </c>
      <c r="E4162" s="35">
        <v>42151</v>
      </c>
    </row>
    <row r="4163" spans="1:5" ht="14.25" hidden="1" customHeight="1">
      <c r="A4163" s="16">
        <v>30442283</v>
      </c>
      <c r="B4163" s="17" t="s">
        <v>4551</v>
      </c>
      <c r="C4163" s="17" t="s">
        <v>4552</v>
      </c>
      <c r="D4163" s="5" t="s">
        <v>7236</v>
      </c>
      <c r="E4163" s="35">
        <v>42151</v>
      </c>
    </row>
    <row r="4164" spans="1:5" ht="14.25" hidden="1" customHeight="1">
      <c r="A4164" s="16">
        <v>30598579</v>
      </c>
      <c r="B4164" s="25" t="s">
        <v>4938</v>
      </c>
      <c r="C4164" s="25" t="s">
        <v>1620</v>
      </c>
      <c r="D4164" s="5" t="s">
        <v>7236</v>
      </c>
      <c r="E4164" s="35">
        <v>42151</v>
      </c>
    </row>
    <row r="4165" spans="1:5" ht="14.25" hidden="1" customHeight="1">
      <c r="A4165" s="16">
        <v>32601881</v>
      </c>
      <c r="B4165" s="17" t="s">
        <v>7239</v>
      </c>
      <c r="C4165" s="17" t="s">
        <v>7240</v>
      </c>
      <c r="D4165" s="5" t="s">
        <v>7236</v>
      </c>
      <c r="E4165" s="35">
        <v>42151</v>
      </c>
    </row>
    <row r="4166" spans="1:5" ht="14.25" hidden="1" customHeight="1">
      <c r="A4166" s="16">
        <v>12318780</v>
      </c>
      <c r="B4166" s="17" t="s">
        <v>2586</v>
      </c>
      <c r="C4166" s="17" t="s">
        <v>2587</v>
      </c>
      <c r="D4166" s="5" t="s">
        <v>7243</v>
      </c>
      <c r="E4166" s="35">
        <v>42146</v>
      </c>
    </row>
    <row r="4167" spans="1:5" ht="14.25" hidden="1" customHeight="1">
      <c r="A4167" s="16">
        <v>12609312</v>
      </c>
      <c r="B4167" s="17" t="s">
        <v>156</v>
      </c>
      <c r="C4167" s="17" t="s">
        <v>162</v>
      </c>
      <c r="D4167" s="5" t="s">
        <v>7243</v>
      </c>
      <c r="E4167" s="35">
        <v>42146</v>
      </c>
    </row>
    <row r="4168" spans="1:5" ht="14.25" hidden="1" customHeight="1">
      <c r="A4168" s="16">
        <v>12919979</v>
      </c>
      <c r="B4168" s="17" t="s">
        <v>3182</v>
      </c>
      <c r="C4168" s="17" t="s">
        <v>724</v>
      </c>
      <c r="D4168" s="5" t="s">
        <v>7243</v>
      </c>
      <c r="E4168" s="35">
        <v>42146</v>
      </c>
    </row>
    <row r="4169" spans="1:5" ht="14.25" hidden="1" customHeight="1">
      <c r="A4169" s="16">
        <v>13628946</v>
      </c>
      <c r="B4169" s="17" t="s">
        <v>652</v>
      </c>
      <c r="C4169" s="17" t="s">
        <v>4305</v>
      </c>
      <c r="D4169" s="5" t="s">
        <v>7243</v>
      </c>
      <c r="E4169" s="35">
        <v>42146</v>
      </c>
    </row>
    <row r="4170" spans="1:5" ht="14.25" hidden="1" customHeight="1">
      <c r="A4170" s="16">
        <v>13847302</v>
      </c>
      <c r="B4170" s="17" t="s">
        <v>629</v>
      </c>
      <c r="C4170" s="17" t="s">
        <v>630</v>
      </c>
      <c r="D4170" s="5" t="s">
        <v>7243</v>
      </c>
      <c r="E4170" s="35">
        <v>42146</v>
      </c>
    </row>
    <row r="4171" spans="1:5" ht="14.25" hidden="1" customHeight="1">
      <c r="A4171" s="16">
        <v>14073031</v>
      </c>
      <c r="B4171" s="17" t="s">
        <v>541</v>
      </c>
      <c r="C4171" s="17" t="s">
        <v>2382</v>
      </c>
      <c r="D4171" s="5" t="s">
        <v>7243</v>
      </c>
      <c r="E4171" s="35">
        <v>42146</v>
      </c>
    </row>
    <row r="4172" spans="1:5" ht="14.25" hidden="1" customHeight="1">
      <c r="A4172" s="16">
        <v>14225505</v>
      </c>
      <c r="B4172" s="17" t="s">
        <v>260</v>
      </c>
      <c r="C4172" s="17" t="s">
        <v>7204</v>
      </c>
      <c r="D4172" s="5" t="s">
        <v>7243</v>
      </c>
      <c r="E4172" s="35">
        <v>42146</v>
      </c>
    </row>
    <row r="4173" spans="1:5" ht="14.25" hidden="1" customHeight="1">
      <c r="A4173" s="16">
        <v>14226968</v>
      </c>
      <c r="B4173" s="17" t="s">
        <v>2460</v>
      </c>
      <c r="C4173" s="17" t="s">
        <v>351</v>
      </c>
      <c r="D4173" s="5" t="s">
        <v>7243</v>
      </c>
      <c r="E4173" s="35">
        <v>42146</v>
      </c>
    </row>
    <row r="4174" spans="1:5" ht="14.25" hidden="1" customHeight="1">
      <c r="A4174" s="16">
        <v>14359872</v>
      </c>
      <c r="B4174" s="17" t="s">
        <v>4282</v>
      </c>
      <c r="C4174" s="17" t="s">
        <v>4827</v>
      </c>
      <c r="D4174" s="5" t="s">
        <v>7243</v>
      </c>
      <c r="E4174" s="35">
        <v>42146</v>
      </c>
    </row>
    <row r="4175" spans="1:5" ht="14.25" hidden="1" customHeight="1">
      <c r="A4175" s="16">
        <v>14359977</v>
      </c>
      <c r="B4175" s="17" t="s">
        <v>335</v>
      </c>
      <c r="C4175" s="17" t="s">
        <v>336</v>
      </c>
      <c r="D4175" s="5" t="s">
        <v>7243</v>
      </c>
      <c r="E4175" s="35">
        <v>42146</v>
      </c>
    </row>
    <row r="4176" spans="1:5" ht="14.25" hidden="1" customHeight="1">
      <c r="A4176" s="16">
        <v>16541821</v>
      </c>
      <c r="B4176" s="17" t="s">
        <v>311</v>
      </c>
      <c r="C4176" s="17" t="s">
        <v>1974</v>
      </c>
      <c r="D4176" s="5" t="s">
        <v>7243</v>
      </c>
      <c r="E4176" s="35">
        <v>42146</v>
      </c>
    </row>
    <row r="4177" spans="1:5" ht="14.25" hidden="1" customHeight="1">
      <c r="A4177" s="16">
        <v>16933303</v>
      </c>
      <c r="B4177" s="17" t="s">
        <v>47</v>
      </c>
      <c r="C4177" s="17" t="s">
        <v>2441</v>
      </c>
      <c r="D4177" s="5" t="s">
        <v>7243</v>
      </c>
      <c r="E4177" s="35">
        <v>42146</v>
      </c>
    </row>
    <row r="4178" spans="1:5" ht="14.25" hidden="1" customHeight="1">
      <c r="A4178" s="16">
        <v>17269443</v>
      </c>
      <c r="B4178" s="17" t="s">
        <v>497</v>
      </c>
      <c r="C4178" s="17" t="s">
        <v>4439</v>
      </c>
      <c r="D4178" s="5" t="s">
        <v>7243</v>
      </c>
      <c r="E4178" s="35">
        <v>42146</v>
      </c>
    </row>
    <row r="4179" spans="1:5" ht="14.25" hidden="1" customHeight="1">
      <c r="A4179" s="16">
        <v>17376396</v>
      </c>
      <c r="B4179" s="17" t="s">
        <v>1257</v>
      </c>
      <c r="C4179" s="17" t="s">
        <v>1085</v>
      </c>
      <c r="D4179" s="5" t="s">
        <v>7243</v>
      </c>
      <c r="E4179" s="35">
        <v>42146</v>
      </c>
    </row>
    <row r="4180" spans="1:5" ht="14.25" hidden="1" customHeight="1">
      <c r="A4180" s="16">
        <v>18523250</v>
      </c>
      <c r="B4180" s="17" t="s">
        <v>680</v>
      </c>
      <c r="C4180" s="17" t="s">
        <v>1748</v>
      </c>
      <c r="D4180" s="5" t="s">
        <v>7243</v>
      </c>
      <c r="E4180" s="35">
        <v>42146</v>
      </c>
    </row>
    <row r="4181" spans="1:5" ht="14.25" hidden="1" customHeight="1">
      <c r="A4181" s="16">
        <v>21331893</v>
      </c>
      <c r="B4181" s="17" t="s">
        <v>405</v>
      </c>
      <c r="C4181" s="17" t="s">
        <v>406</v>
      </c>
      <c r="D4181" s="5" t="s">
        <v>7243</v>
      </c>
      <c r="E4181" s="35">
        <v>42146</v>
      </c>
    </row>
    <row r="4182" spans="1:5" ht="14.25" hidden="1" customHeight="1">
      <c r="A4182" s="16">
        <v>21334875</v>
      </c>
      <c r="B4182" s="17" t="s">
        <v>1443</v>
      </c>
      <c r="C4182" s="17" t="s">
        <v>876</v>
      </c>
      <c r="D4182" s="5" t="s">
        <v>7243</v>
      </c>
      <c r="E4182" s="35">
        <v>42146</v>
      </c>
    </row>
    <row r="4183" spans="1:5" ht="14.25" hidden="1" customHeight="1">
      <c r="A4183" s="16">
        <v>21812664</v>
      </c>
      <c r="B4183" s="17" t="s">
        <v>4053</v>
      </c>
      <c r="C4183" s="17" t="s">
        <v>274</v>
      </c>
      <c r="D4183" s="5" t="s">
        <v>7243</v>
      </c>
      <c r="E4183" s="35">
        <v>42146</v>
      </c>
    </row>
    <row r="4184" spans="1:5" ht="14.25" hidden="1" customHeight="1">
      <c r="A4184" s="16">
        <v>22264234</v>
      </c>
      <c r="B4184" s="17" t="s">
        <v>2484</v>
      </c>
      <c r="C4184" s="17" t="s">
        <v>427</v>
      </c>
      <c r="D4184" s="5" t="s">
        <v>7243</v>
      </c>
      <c r="E4184" s="35">
        <v>42146</v>
      </c>
    </row>
    <row r="4185" spans="1:5" ht="14.25" hidden="1" customHeight="1">
      <c r="A4185" s="16">
        <v>23117708</v>
      </c>
      <c r="B4185" s="17" t="s">
        <v>6018</v>
      </c>
      <c r="C4185" s="17" t="s">
        <v>7244</v>
      </c>
      <c r="D4185" s="5" t="s">
        <v>7243</v>
      </c>
      <c r="E4185" s="35">
        <v>42146</v>
      </c>
    </row>
    <row r="4186" spans="1:5" ht="14.25" hidden="1" customHeight="1">
      <c r="A4186" s="16">
        <v>25498313</v>
      </c>
      <c r="B4186" s="17" t="s">
        <v>652</v>
      </c>
      <c r="C4186" s="17" t="s">
        <v>1727</v>
      </c>
      <c r="D4186" s="5" t="s">
        <v>7243</v>
      </c>
      <c r="E4186" s="35">
        <v>42146</v>
      </c>
    </row>
    <row r="4187" spans="1:5" ht="14.25" hidden="1" customHeight="1">
      <c r="A4187" s="16">
        <v>26722359</v>
      </c>
      <c r="B4187" s="17" t="s">
        <v>1660</v>
      </c>
      <c r="C4187" s="17" t="s">
        <v>3921</v>
      </c>
      <c r="D4187" s="5" t="s">
        <v>7243</v>
      </c>
      <c r="E4187" s="35">
        <v>42146</v>
      </c>
    </row>
    <row r="4188" spans="1:5" ht="14.25" hidden="1" customHeight="1">
      <c r="A4188" s="16">
        <v>27960534</v>
      </c>
      <c r="B4188" s="17" t="s">
        <v>342</v>
      </c>
      <c r="C4188" s="17" t="s">
        <v>345</v>
      </c>
      <c r="D4188" s="5" t="s">
        <v>7243</v>
      </c>
      <c r="E4188" s="35">
        <v>42146</v>
      </c>
    </row>
    <row r="4189" spans="1:5" ht="14.25" hidden="1" customHeight="1">
      <c r="A4189" s="16">
        <v>29310871</v>
      </c>
      <c r="B4189" s="17" t="s">
        <v>1964</v>
      </c>
      <c r="C4189" s="17" t="s">
        <v>4721</v>
      </c>
      <c r="D4189" s="5" t="s">
        <v>7243</v>
      </c>
      <c r="E4189" s="35">
        <v>42146</v>
      </c>
    </row>
    <row r="4190" spans="1:5" ht="14.25" hidden="1" customHeight="1">
      <c r="A4190" s="16">
        <v>30759508</v>
      </c>
      <c r="B4190" s="17" t="s">
        <v>1229</v>
      </c>
      <c r="C4190" s="17" t="s">
        <v>876</v>
      </c>
      <c r="D4190" s="5" t="s">
        <v>7243</v>
      </c>
      <c r="E4190" s="35">
        <v>42146</v>
      </c>
    </row>
    <row r="4191" spans="1:5" ht="14.25" hidden="1" customHeight="1">
      <c r="A4191" s="16">
        <v>31254271</v>
      </c>
      <c r="B4191" s="17" t="s">
        <v>6074</v>
      </c>
      <c r="C4191" s="17" t="s">
        <v>2924</v>
      </c>
      <c r="D4191" s="5" t="s">
        <v>7243</v>
      </c>
      <c r="E4191" s="35">
        <v>42146</v>
      </c>
    </row>
    <row r="4192" spans="1:5" ht="14.25" hidden="1" customHeight="1">
      <c r="A4192" s="16">
        <v>32371793</v>
      </c>
      <c r="B4192" s="17" t="s">
        <v>3364</v>
      </c>
      <c r="C4192" s="17" t="s">
        <v>3365</v>
      </c>
      <c r="D4192" s="5" t="s">
        <v>7243</v>
      </c>
      <c r="E4192" s="35">
        <v>42146</v>
      </c>
    </row>
    <row r="4193" spans="1:5" ht="14.25" hidden="1" customHeight="1">
      <c r="A4193" s="16">
        <v>37456295</v>
      </c>
      <c r="B4193" s="17" t="s">
        <v>1689</v>
      </c>
      <c r="C4193" s="17" t="s">
        <v>1690</v>
      </c>
      <c r="D4193" s="5" t="s">
        <v>7243</v>
      </c>
      <c r="E4193" s="35">
        <v>42146</v>
      </c>
    </row>
    <row r="4194" spans="1:5" ht="14.25" hidden="1" customHeight="1">
      <c r="A4194" s="16">
        <v>231677760</v>
      </c>
      <c r="B4194" s="17" t="s">
        <v>1644</v>
      </c>
      <c r="C4194" s="17" t="s">
        <v>106</v>
      </c>
      <c r="D4194" s="5" t="s">
        <v>7243</v>
      </c>
      <c r="E4194" s="35">
        <v>42146</v>
      </c>
    </row>
    <row r="4195" spans="1:5" ht="14.25" hidden="1" customHeight="1">
      <c r="A4195" s="16">
        <v>10219959</v>
      </c>
      <c r="B4195" s="17" t="s">
        <v>1291</v>
      </c>
      <c r="C4195" s="17" t="s">
        <v>1292</v>
      </c>
      <c r="D4195" s="5" t="s">
        <v>7245</v>
      </c>
      <c r="E4195" s="35">
        <v>42137</v>
      </c>
    </row>
    <row r="4196" spans="1:5" ht="14.25" hidden="1" customHeight="1">
      <c r="A4196" s="16">
        <v>10910913</v>
      </c>
      <c r="B4196" s="17" t="s">
        <v>1106</v>
      </c>
      <c r="C4196" s="17" t="s">
        <v>1107</v>
      </c>
      <c r="D4196" s="5" t="s">
        <v>7245</v>
      </c>
      <c r="E4196" s="35">
        <v>42137</v>
      </c>
    </row>
    <row r="4197" spans="1:5" ht="14.25" hidden="1" customHeight="1">
      <c r="A4197" s="16">
        <v>12414512</v>
      </c>
      <c r="B4197" s="17" t="s">
        <v>640</v>
      </c>
      <c r="C4197" s="17" t="s">
        <v>641</v>
      </c>
      <c r="D4197" s="5" t="s">
        <v>7245</v>
      </c>
      <c r="E4197" s="35">
        <v>42137</v>
      </c>
    </row>
    <row r="4198" spans="1:5" ht="14.25" hidden="1" customHeight="1">
      <c r="A4198" s="16">
        <v>13784371</v>
      </c>
      <c r="B4198" s="17" t="s">
        <v>6219</v>
      </c>
      <c r="C4198" s="17" t="s">
        <v>6220</v>
      </c>
      <c r="D4198" s="5" t="s">
        <v>7245</v>
      </c>
      <c r="E4198" s="35">
        <v>42137</v>
      </c>
    </row>
    <row r="4199" spans="1:5" ht="14.25" hidden="1" customHeight="1">
      <c r="A4199" s="16">
        <v>14054878</v>
      </c>
      <c r="B4199" s="17" t="s">
        <v>3169</v>
      </c>
      <c r="C4199" s="17" t="s">
        <v>3170</v>
      </c>
      <c r="D4199" s="5" t="s">
        <v>7245</v>
      </c>
      <c r="E4199" s="35">
        <v>42137</v>
      </c>
    </row>
    <row r="4200" spans="1:5" ht="14.25" hidden="1" customHeight="1">
      <c r="A4200" s="16">
        <v>14351534</v>
      </c>
      <c r="B4200" s="17" t="s">
        <v>2785</v>
      </c>
      <c r="C4200" s="17" t="s">
        <v>2161</v>
      </c>
      <c r="D4200" s="5" t="s">
        <v>7245</v>
      </c>
      <c r="E4200" s="35">
        <v>42137</v>
      </c>
    </row>
    <row r="4201" spans="1:5" ht="14.25" hidden="1" customHeight="1">
      <c r="A4201" s="16">
        <v>14709050</v>
      </c>
      <c r="B4201" s="17" t="s">
        <v>6050</v>
      </c>
      <c r="C4201" s="17" t="s">
        <v>215</v>
      </c>
      <c r="D4201" s="5" t="s">
        <v>7245</v>
      </c>
      <c r="E4201" s="35">
        <v>42137</v>
      </c>
    </row>
    <row r="4202" spans="1:5" ht="14.25" hidden="1" customHeight="1">
      <c r="A4202" s="16">
        <v>16314577</v>
      </c>
      <c r="B4202" s="17" t="s">
        <v>377</v>
      </c>
      <c r="C4202" s="17" t="s">
        <v>378</v>
      </c>
      <c r="D4202" s="5" t="s">
        <v>7245</v>
      </c>
      <c r="E4202" s="35">
        <v>42137</v>
      </c>
    </row>
    <row r="4203" spans="1:5" ht="14.25" hidden="1" customHeight="1">
      <c r="A4203" s="16">
        <v>16617561</v>
      </c>
      <c r="B4203" s="17" t="s">
        <v>4445</v>
      </c>
      <c r="C4203" s="17" t="s">
        <v>4446</v>
      </c>
      <c r="D4203" s="5" t="s">
        <v>7245</v>
      </c>
      <c r="E4203" s="35">
        <v>42137</v>
      </c>
    </row>
    <row r="4204" spans="1:5" ht="14.25" hidden="1" customHeight="1">
      <c r="A4204" s="16">
        <v>16685047</v>
      </c>
      <c r="B4204" s="17" t="s">
        <v>1116</v>
      </c>
      <c r="C4204" s="17" t="s">
        <v>1117</v>
      </c>
      <c r="D4204" s="5" t="s">
        <v>7245</v>
      </c>
      <c r="E4204" s="35">
        <v>42137</v>
      </c>
    </row>
    <row r="4205" spans="1:5" ht="14.25" hidden="1" customHeight="1">
      <c r="A4205" s="16">
        <v>17270116</v>
      </c>
      <c r="B4205" s="17" t="s">
        <v>315</v>
      </c>
      <c r="C4205" s="17" t="s">
        <v>257</v>
      </c>
      <c r="D4205" s="5" t="s">
        <v>7245</v>
      </c>
      <c r="E4205" s="35">
        <v>42137</v>
      </c>
    </row>
    <row r="4206" spans="1:5" ht="14.25" hidden="1" customHeight="1">
      <c r="A4206" s="16">
        <v>17613317</v>
      </c>
      <c r="B4206" s="17" t="s">
        <v>3895</v>
      </c>
      <c r="C4206" s="17" t="s">
        <v>3896</v>
      </c>
      <c r="D4206" s="5" t="s">
        <v>7245</v>
      </c>
      <c r="E4206" s="35">
        <v>42137</v>
      </c>
    </row>
    <row r="4207" spans="1:5" ht="14.25" hidden="1" customHeight="1">
      <c r="A4207" s="16">
        <v>17859700</v>
      </c>
      <c r="B4207" s="17" t="s">
        <v>6424</v>
      </c>
      <c r="C4207" s="17" t="s">
        <v>5808</v>
      </c>
      <c r="D4207" s="5" t="s">
        <v>7245</v>
      </c>
      <c r="E4207" s="35">
        <v>42137</v>
      </c>
    </row>
    <row r="4208" spans="1:5" ht="14.25" hidden="1" customHeight="1">
      <c r="A4208" s="16">
        <v>17866738</v>
      </c>
      <c r="B4208" s="17" t="s">
        <v>4994</v>
      </c>
      <c r="C4208" s="17" t="s">
        <v>427</v>
      </c>
      <c r="D4208" s="5" t="s">
        <v>7245</v>
      </c>
      <c r="E4208" s="35">
        <v>42137</v>
      </c>
    </row>
    <row r="4209" spans="1:5" ht="14.25" hidden="1" customHeight="1">
      <c r="A4209" s="16">
        <v>18276217</v>
      </c>
      <c r="B4209" s="17" t="s">
        <v>6168</v>
      </c>
      <c r="C4209" s="17" t="s">
        <v>2139</v>
      </c>
      <c r="D4209" s="5" t="s">
        <v>7245</v>
      </c>
      <c r="E4209" s="35">
        <v>42137</v>
      </c>
    </row>
    <row r="4210" spans="1:5" ht="14.25" hidden="1" customHeight="1">
      <c r="A4210" s="16">
        <v>21893835</v>
      </c>
      <c r="B4210" s="17" t="s">
        <v>321</v>
      </c>
      <c r="C4210" s="17" t="s">
        <v>322</v>
      </c>
      <c r="D4210" s="5" t="s">
        <v>7245</v>
      </c>
      <c r="E4210" s="35">
        <v>42137</v>
      </c>
    </row>
    <row r="4211" spans="1:5" ht="14.25" hidden="1" customHeight="1">
      <c r="A4211" s="16">
        <v>22877621</v>
      </c>
      <c r="B4211" s="17" t="s">
        <v>2454</v>
      </c>
      <c r="C4211" s="17" t="s">
        <v>106</v>
      </c>
      <c r="D4211" s="5" t="s">
        <v>7245</v>
      </c>
      <c r="E4211" s="35">
        <v>42137</v>
      </c>
    </row>
    <row r="4212" spans="1:5" ht="14.25" hidden="1" customHeight="1">
      <c r="A4212" s="16">
        <v>23015651</v>
      </c>
      <c r="B4212" s="17" t="s">
        <v>3182</v>
      </c>
      <c r="C4212" s="17" t="s">
        <v>902</v>
      </c>
      <c r="D4212" s="5" t="s">
        <v>7245</v>
      </c>
      <c r="E4212" s="35">
        <v>42137</v>
      </c>
    </row>
    <row r="4213" spans="1:5" ht="14.25" hidden="1" customHeight="1">
      <c r="A4213" s="16">
        <v>24209921</v>
      </c>
      <c r="B4213" s="17" t="s">
        <v>4784</v>
      </c>
      <c r="C4213" s="17" t="s">
        <v>7246</v>
      </c>
      <c r="D4213" s="5" t="s">
        <v>7245</v>
      </c>
      <c r="E4213" s="35">
        <v>42137</v>
      </c>
    </row>
    <row r="4214" spans="1:5" ht="14.25" hidden="1" customHeight="1">
      <c r="A4214" s="16">
        <v>25510655</v>
      </c>
      <c r="B4214" s="17" t="s">
        <v>5589</v>
      </c>
      <c r="C4214" s="17" t="s">
        <v>1103</v>
      </c>
      <c r="D4214" s="5" t="s">
        <v>7245</v>
      </c>
      <c r="E4214" s="35">
        <v>42137</v>
      </c>
    </row>
    <row r="4215" spans="1:5" ht="14.25" hidden="1" customHeight="1">
      <c r="A4215" s="16">
        <v>27731179</v>
      </c>
      <c r="B4215" s="17" t="s">
        <v>4991</v>
      </c>
      <c r="C4215" s="17" t="s">
        <v>5546</v>
      </c>
      <c r="D4215" s="5" t="s">
        <v>7245</v>
      </c>
      <c r="E4215" s="35">
        <v>42137</v>
      </c>
    </row>
    <row r="4216" spans="1:5" ht="14.25" hidden="1" customHeight="1">
      <c r="A4216" s="16">
        <v>28680744</v>
      </c>
      <c r="B4216" s="17" t="s">
        <v>547</v>
      </c>
      <c r="C4216" s="17" t="s">
        <v>6418</v>
      </c>
      <c r="D4216" s="5" t="s">
        <v>7245</v>
      </c>
      <c r="E4216" s="35">
        <v>42137</v>
      </c>
    </row>
    <row r="4217" spans="1:5" ht="14.25" hidden="1" customHeight="1">
      <c r="A4217" s="16">
        <v>31030930</v>
      </c>
      <c r="B4217" s="17" t="s">
        <v>5988</v>
      </c>
      <c r="C4217" s="17" t="s">
        <v>1208</v>
      </c>
      <c r="D4217" s="5" t="s">
        <v>7245</v>
      </c>
      <c r="E4217" s="35">
        <v>42137</v>
      </c>
    </row>
    <row r="4218" spans="1:5" ht="14.25" hidden="1" customHeight="1">
      <c r="A4218" s="16">
        <v>32501804</v>
      </c>
      <c r="B4218" s="17" t="s">
        <v>2248</v>
      </c>
      <c r="C4218" s="17" t="s">
        <v>4405</v>
      </c>
      <c r="D4218" s="5" t="s">
        <v>7245</v>
      </c>
      <c r="E4218" s="35">
        <v>42137</v>
      </c>
    </row>
    <row r="4219" spans="1:5" ht="14.25" hidden="1" customHeight="1">
      <c r="A4219" s="16">
        <v>32927862</v>
      </c>
      <c r="B4219" s="17" t="s">
        <v>4269</v>
      </c>
      <c r="C4219" s="17" t="s">
        <v>4270</v>
      </c>
      <c r="D4219" s="5" t="s">
        <v>7245</v>
      </c>
      <c r="E4219" s="35">
        <v>42137</v>
      </c>
    </row>
    <row r="4220" spans="1:5" ht="14.25" hidden="1" customHeight="1">
      <c r="A4220" s="16">
        <v>33351566</v>
      </c>
      <c r="B4220" s="17" t="s">
        <v>195</v>
      </c>
      <c r="C4220" s="17" t="s">
        <v>4295</v>
      </c>
      <c r="D4220" s="5" t="s">
        <v>7245</v>
      </c>
      <c r="E4220" s="35">
        <v>42137</v>
      </c>
    </row>
    <row r="4221" spans="1:5" ht="14.25" hidden="1" customHeight="1">
      <c r="A4221" s="16">
        <v>33432151</v>
      </c>
      <c r="B4221" s="17" t="s">
        <v>226</v>
      </c>
      <c r="C4221" s="17" t="s">
        <v>5582</v>
      </c>
      <c r="D4221" s="5" t="s">
        <v>7245</v>
      </c>
      <c r="E4221" s="35">
        <v>42137</v>
      </c>
    </row>
    <row r="4222" spans="1:5" ht="14.25" hidden="1" customHeight="1">
      <c r="A4222" s="16">
        <v>34356805</v>
      </c>
      <c r="B4222" s="17" t="s">
        <v>7152</v>
      </c>
      <c r="C4222" s="17" t="s">
        <v>4021</v>
      </c>
      <c r="D4222" s="5" t="s">
        <v>7245</v>
      </c>
      <c r="E4222" s="35">
        <v>42137</v>
      </c>
    </row>
    <row r="4223" spans="1:5" ht="14.25" hidden="1" customHeight="1">
      <c r="A4223" s="20">
        <v>8099810</v>
      </c>
      <c r="B4223" s="21" t="s">
        <v>5034</v>
      </c>
      <c r="C4223" s="21" t="s">
        <v>3095</v>
      </c>
      <c r="D4223" s="5" t="s">
        <v>7247</v>
      </c>
      <c r="E4223" s="35">
        <v>42116</v>
      </c>
    </row>
    <row r="4224" spans="1:5" ht="14.25" hidden="1" customHeight="1">
      <c r="A4224" s="20">
        <v>11238099</v>
      </c>
      <c r="B4224" s="21" t="s">
        <v>4750</v>
      </c>
      <c r="C4224" s="21" t="s">
        <v>4751</v>
      </c>
      <c r="D4224" s="5" t="s">
        <v>7247</v>
      </c>
      <c r="E4224" s="35">
        <v>42116</v>
      </c>
    </row>
    <row r="4225" spans="1:5" ht="14.25" hidden="1" customHeight="1">
      <c r="A4225" s="20">
        <v>12161590</v>
      </c>
      <c r="B4225" s="21" t="s">
        <v>4286</v>
      </c>
      <c r="C4225" s="21" t="s">
        <v>4719</v>
      </c>
      <c r="D4225" s="5" t="s">
        <v>7247</v>
      </c>
      <c r="E4225" s="35">
        <v>42116</v>
      </c>
    </row>
    <row r="4226" spans="1:5" ht="14.25" hidden="1" customHeight="1">
      <c r="A4226" s="20">
        <v>14481504</v>
      </c>
      <c r="B4226" s="21" t="s">
        <v>1032</v>
      </c>
      <c r="C4226" s="21" t="s">
        <v>4723</v>
      </c>
      <c r="D4226" s="5" t="s">
        <v>7247</v>
      </c>
      <c r="E4226" s="35">
        <v>42116</v>
      </c>
    </row>
    <row r="4227" spans="1:5" ht="14.25" hidden="1" customHeight="1">
      <c r="A4227" s="20">
        <v>17562419</v>
      </c>
      <c r="B4227" s="21" t="s">
        <v>4779</v>
      </c>
      <c r="C4227" s="21" t="s">
        <v>1061</v>
      </c>
      <c r="D4227" s="5" t="s">
        <v>7247</v>
      </c>
      <c r="E4227" s="35">
        <v>42116</v>
      </c>
    </row>
    <row r="4228" spans="1:5" ht="14.25" hidden="1" customHeight="1">
      <c r="A4228" s="20">
        <v>20219088</v>
      </c>
      <c r="B4228" s="21" t="s">
        <v>4728</v>
      </c>
      <c r="C4228" s="21" t="s">
        <v>4729</v>
      </c>
      <c r="D4228" s="5" t="s">
        <v>7247</v>
      </c>
      <c r="E4228" s="35">
        <v>42116</v>
      </c>
    </row>
    <row r="4229" spans="1:5" ht="14.25" hidden="1" customHeight="1">
      <c r="A4229" s="20">
        <v>21799132</v>
      </c>
      <c r="B4229" s="21" t="s">
        <v>4716</v>
      </c>
      <c r="C4229" s="21" t="s">
        <v>1153</v>
      </c>
      <c r="D4229" s="5" t="s">
        <v>7247</v>
      </c>
      <c r="E4229" s="35">
        <v>42116</v>
      </c>
    </row>
    <row r="4230" spans="1:5" ht="14.25" hidden="1" customHeight="1">
      <c r="A4230" s="20">
        <v>22073198</v>
      </c>
      <c r="B4230" s="21" t="s">
        <v>6008</v>
      </c>
      <c r="C4230" s="21" t="s">
        <v>2057</v>
      </c>
      <c r="D4230" s="5" t="s">
        <v>7247</v>
      </c>
      <c r="E4230" s="35">
        <v>42116</v>
      </c>
    </row>
    <row r="4231" spans="1:5" ht="14.25" hidden="1" customHeight="1">
      <c r="A4231" s="20">
        <v>8285972</v>
      </c>
      <c r="B4231" s="21" t="s">
        <v>2039</v>
      </c>
      <c r="C4231" s="21" t="s">
        <v>2040</v>
      </c>
      <c r="D4231" s="5" t="s">
        <v>7248</v>
      </c>
      <c r="E4231" s="35">
        <v>42115</v>
      </c>
    </row>
    <row r="4232" spans="1:5" ht="14.25" hidden="1" customHeight="1">
      <c r="A4232" s="20">
        <v>12149633</v>
      </c>
      <c r="B4232" s="21" t="s">
        <v>308</v>
      </c>
      <c r="C4232" s="21" t="s">
        <v>2123</v>
      </c>
      <c r="D4232" s="5" t="s">
        <v>7248</v>
      </c>
      <c r="E4232" s="35">
        <v>42115</v>
      </c>
    </row>
    <row r="4233" spans="1:5" ht="14.25" hidden="1" customHeight="1">
      <c r="A4233" s="20">
        <v>12597805</v>
      </c>
      <c r="B4233" s="21" t="s">
        <v>7259</v>
      </c>
      <c r="C4233" s="21" t="s">
        <v>7260</v>
      </c>
      <c r="D4233" s="5" t="s">
        <v>7248</v>
      </c>
      <c r="E4233" s="35">
        <v>42115</v>
      </c>
    </row>
    <row r="4234" spans="1:5" ht="14.25" hidden="1" customHeight="1">
      <c r="A4234" s="20">
        <v>12869490</v>
      </c>
      <c r="B4234" s="21" t="s">
        <v>7262</v>
      </c>
      <c r="C4234" s="21" t="s">
        <v>761</v>
      </c>
      <c r="D4234" s="5" t="s">
        <v>7248</v>
      </c>
      <c r="E4234" s="35">
        <v>42115</v>
      </c>
    </row>
    <row r="4235" spans="1:5" ht="14.25" hidden="1" customHeight="1">
      <c r="A4235" s="20">
        <v>13051717</v>
      </c>
      <c r="B4235" s="21" t="s">
        <v>252</v>
      </c>
      <c r="C4235" s="21" t="s">
        <v>747</v>
      </c>
      <c r="D4235" s="5" t="s">
        <v>7248</v>
      </c>
      <c r="E4235" s="35">
        <v>42115</v>
      </c>
    </row>
    <row r="4236" spans="1:5" ht="14.25" hidden="1" customHeight="1">
      <c r="A4236" s="20">
        <v>13338251</v>
      </c>
      <c r="B4236" s="21" t="s">
        <v>252</v>
      </c>
      <c r="C4236" s="21" t="s">
        <v>3850</v>
      </c>
      <c r="D4236" s="5" t="s">
        <v>7248</v>
      </c>
      <c r="E4236" s="35">
        <v>42115</v>
      </c>
    </row>
    <row r="4237" spans="1:5" ht="14.25" hidden="1" customHeight="1">
      <c r="A4237" s="20">
        <v>13378600</v>
      </c>
      <c r="B4237" s="21" t="s">
        <v>2056</v>
      </c>
      <c r="C4237" s="21" t="s">
        <v>2057</v>
      </c>
      <c r="D4237" s="5" t="s">
        <v>7248</v>
      </c>
      <c r="E4237" s="35">
        <v>42115</v>
      </c>
    </row>
    <row r="4238" spans="1:5" ht="14.25" hidden="1" customHeight="1">
      <c r="A4238" s="20">
        <v>13475071</v>
      </c>
      <c r="B4238" s="21" t="s">
        <v>288</v>
      </c>
      <c r="C4238" s="21" t="s">
        <v>7271</v>
      </c>
      <c r="D4238" s="5" t="s">
        <v>7248</v>
      </c>
      <c r="E4238" s="35">
        <v>42115</v>
      </c>
    </row>
    <row r="4239" spans="1:5" ht="14.25" hidden="1" customHeight="1">
      <c r="A4239" s="20">
        <v>13475945</v>
      </c>
      <c r="B4239" s="21" t="s">
        <v>2129</v>
      </c>
      <c r="C4239" s="21" t="s">
        <v>1061</v>
      </c>
      <c r="D4239" s="5" t="s">
        <v>7248</v>
      </c>
      <c r="E4239" s="35">
        <v>42115</v>
      </c>
    </row>
    <row r="4240" spans="1:5" ht="14.25" hidden="1" customHeight="1">
      <c r="A4240" s="20">
        <v>13513466</v>
      </c>
      <c r="B4240" s="21" t="s">
        <v>652</v>
      </c>
      <c r="C4240" s="21" t="s">
        <v>1146</v>
      </c>
      <c r="D4240" s="5" t="s">
        <v>7248</v>
      </c>
      <c r="E4240" s="35">
        <v>42115</v>
      </c>
    </row>
    <row r="4241" spans="1:5" ht="14.25" hidden="1" customHeight="1">
      <c r="A4241" s="20">
        <v>13627572</v>
      </c>
      <c r="B4241" s="21" t="s">
        <v>428</v>
      </c>
      <c r="C4241" s="21" t="s">
        <v>363</v>
      </c>
      <c r="D4241" s="5" t="s">
        <v>7248</v>
      </c>
      <c r="E4241" s="35">
        <v>42115</v>
      </c>
    </row>
    <row r="4242" spans="1:5" ht="14.25" hidden="1" customHeight="1">
      <c r="A4242" s="16">
        <v>13710024</v>
      </c>
      <c r="B4242" s="17" t="s">
        <v>2296</v>
      </c>
      <c r="C4242" s="17" t="s">
        <v>427</v>
      </c>
      <c r="D4242" s="5" t="s">
        <v>7248</v>
      </c>
      <c r="E4242" s="35">
        <v>42115</v>
      </c>
    </row>
    <row r="4243" spans="1:5" ht="14.25" hidden="1" customHeight="1">
      <c r="A4243" s="20">
        <v>14073492</v>
      </c>
      <c r="B4243" s="21" t="s">
        <v>7280</v>
      </c>
      <c r="C4243" s="21" t="s">
        <v>2184</v>
      </c>
      <c r="D4243" s="5" t="s">
        <v>7248</v>
      </c>
      <c r="E4243" s="35">
        <v>42115</v>
      </c>
    </row>
    <row r="4244" spans="1:5" ht="14.25" hidden="1" customHeight="1">
      <c r="A4244" s="20">
        <v>14480885</v>
      </c>
      <c r="B4244" s="21" t="s">
        <v>2243</v>
      </c>
      <c r="C4244" s="21" t="s">
        <v>129</v>
      </c>
      <c r="D4244" s="5" t="s">
        <v>7248</v>
      </c>
      <c r="E4244" s="35">
        <v>42115</v>
      </c>
    </row>
    <row r="4245" spans="1:5" ht="14.25" hidden="1" customHeight="1">
      <c r="A4245" s="20">
        <v>14601680</v>
      </c>
      <c r="B4245" s="21" t="s">
        <v>2154</v>
      </c>
      <c r="C4245" s="21" t="s">
        <v>7276</v>
      </c>
      <c r="D4245" s="5" t="s">
        <v>7248</v>
      </c>
      <c r="E4245" s="35">
        <v>42115</v>
      </c>
    </row>
    <row r="4246" spans="1:5" ht="14.25" hidden="1" customHeight="1">
      <c r="A4246" s="20">
        <v>16099854</v>
      </c>
      <c r="B4246" s="21" t="s">
        <v>4223</v>
      </c>
      <c r="C4246" s="21" t="s">
        <v>7249</v>
      </c>
      <c r="D4246" s="5" t="s">
        <v>7248</v>
      </c>
      <c r="E4246" s="35">
        <v>42115</v>
      </c>
    </row>
    <row r="4247" spans="1:5" ht="14.25" hidden="1" customHeight="1">
      <c r="A4247" s="20">
        <v>16685892</v>
      </c>
      <c r="B4247" s="21" t="s">
        <v>1976</v>
      </c>
      <c r="C4247" s="21" t="s">
        <v>1977</v>
      </c>
      <c r="D4247" s="5" t="s">
        <v>7248</v>
      </c>
      <c r="E4247" s="35">
        <v>42115</v>
      </c>
    </row>
    <row r="4248" spans="1:5" ht="14.25" hidden="1" customHeight="1">
      <c r="A4248" s="20">
        <v>16811506</v>
      </c>
      <c r="B4248" s="21" t="s">
        <v>26</v>
      </c>
      <c r="C4248" s="21" t="s">
        <v>2123</v>
      </c>
      <c r="D4248" s="5" t="s">
        <v>7248</v>
      </c>
      <c r="E4248" s="35">
        <v>42115</v>
      </c>
    </row>
    <row r="4249" spans="1:5" ht="14.25" hidden="1" customHeight="1">
      <c r="A4249" s="20">
        <v>17040680</v>
      </c>
      <c r="B4249" s="21" t="s">
        <v>6355</v>
      </c>
      <c r="C4249" s="21" t="s">
        <v>3152</v>
      </c>
      <c r="D4249" s="5" t="s">
        <v>7248</v>
      </c>
      <c r="E4249" s="35">
        <v>42115</v>
      </c>
    </row>
    <row r="4250" spans="1:5" ht="14.25" hidden="1" customHeight="1">
      <c r="A4250" s="20">
        <v>17040749</v>
      </c>
      <c r="B4250" s="21" t="s">
        <v>2132</v>
      </c>
      <c r="C4250" s="21" t="s">
        <v>215</v>
      </c>
      <c r="D4250" s="5" t="s">
        <v>7248</v>
      </c>
      <c r="E4250" s="35">
        <v>42115</v>
      </c>
    </row>
    <row r="4251" spans="1:5" ht="14.25" hidden="1" customHeight="1">
      <c r="A4251" s="16">
        <v>17696330</v>
      </c>
      <c r="B4251" s="17" t="s">
        <v>2299</v>
      </c>
      <c r="C4251" s="17" t="s">
        <v>747</v>
      </c>
      <c r="D4251" s="5" t="s">
        <v>7248</v>
      </c>
      <c r="E4251" s="35">
        <v>42115</v>
      </c>
    </row>
    <row r="4252" spans="1:5" ht="14.25" hidden="1" customHeight="1">
      <c r="A4252" s="20">
        <v>17869268</v>
      </c>
      <c r="B4252" s="21" t="s">
        <v>2350</v>
      </c>
      <c r="C4252" s="21" t="s">
        <v>165</v>
      </c>
      <c r="D4252" s="5" t="s">
        <v>7248</v>
      </c>
      <c r="E4252" s="35">
        <v>42115</v>
      </c>
    </row>
    <row r="4253" spans="1:5" ht="14.25" hidden="1" customHeight="1">
      <c r="A4253" s="20">
        <v>20178465</v>
      </c>
      <c r="B4253" s="21" t="s">
        <v>1897</v>
      </c>
      <c r="C4253" s="21" t="s">
        <v>1898</v>
      </c>
      <c r="D4253" s="5" t="s">
        <v>7248</v>
      </c>
      <c r="E4253" s="35">
        <v>42115</v>
      </c>
    </row>
    <row r="4254" spans="1:5" ht="14.25" hidden="1" customHeight="1">
      <c r="A4254" s="20">
        <v>22877690</v>
      </c>
      <c r="B4254" s="21" t="s">
        <v>240</v>
      </c>
      <c r="C4254" s="21" t="s">
        <v>2065</v>
      </c>
      <c r="D4254" s="5" t="s">
        <v>7248</v>
      </c>
      <c r="E4254" s="35">
        <v>42115</v>
      </c>
    </row>
    <row r="4255" spans="1:5" ht="14.25" hidden="1" customHeight="1">
      <c r="A4255" s="20">
        <v>29997715</v>
      </c>
      <c r="B4255" s="21" t="s">
        <v>2270</v>
      </c>
      <c r="C4255" s="21" t="s">
        <v>363</v>
      </c>
      <c r="D4255" s="5" t="s">
        <v>7248</v>
      </c>
      <c r="E4255" s="35">
        <v>42115</v>
      </c>
    </row>
    <row r="4256" spans="1:5" ht="14.25" hidden="1" customHeight="1">
      <c r="A4256" s="20">
        <v>30357522</v>
      </c>
      <c r="B4256" s="21" t="s">
        <v>1885</v>
      </c>
      <c r="C4256" s="21" t="s">
        <v>571</v>
      </c>
      <c r="D4256" s="5" t="s">
        <v>7248</v>
      </c>
      <c r="E4256" s="35">
        <v>42115</v>
      </c>
    </row>
    <row r="4257" spans="1:5" ht="14.25" hidden="1" customHeight="1">
      <c r="A4257" s="20">
        <v>30598449</v>
      </c>
      <c r="B4257" s="21" t="s">
        <v>7283</v>
      </c>
      <c r="C4257" s="21" t="s">
        <v>363</v>
      </c>
      <c r="D4257" s="5" t="s">
        <v>7248</v>
      </c>
      <c r="E4257" s="35">
        <v>42115</v>
      </c>
    </row>
    <row r="4258" spans="1:5" ht="14.25" hidden="1" customHeight="1">
      <c r="A4258" s="20">
        <v>31588343</v>
      </c>
      <c r="B4258" s="21" t="s">
        <v>7250</v>
      </c>
      <c r="C4258" s="21" t="s">
        <v>7251</v>
      </c>
      <c r="D4258" s="5" t="s">
        <v>7248</v>
      </c>
      <c r="E4258" s="35">
        <v>42115</v>
      </c>
    </row>
    <row r="4259" spans="1:5" ht="14.25" hidden="1" customHeight="1">
      <c r="B4259" s="21" t="s">
        <v>7252</v>
      </c>
      <c r="C4259" s="21" t="s">
        <v>1172</v>
      </c>
      <c r="D4259" s="5" t="s">
        <v>7248</v>
      </c>
      <c r="E4259" s="35">
        <v>42115</v>
      </c>
    </row>
    <row r="4260" spans="1:5" ht="14.25" hidden="1" customHeight="1">
      <c r="B4260" s="21" t="s">
        <v>1482</v>
      </c>
      <c r="C4260" s="21" t="s">
        <v>1938</v>
      </c>
      <c r="D4260" s="5" t="s">
        <v>7248</v>
      </c>
      <c r="E4260" s="35">
        <v>42115</v>
      </c>
    </row>
    <row r="4261" spans="1:5" ht="14.25" hidden="1" customHeight="1">
      <c r="B4261" s="21" t="s">
        <v>3176</v>
      </c>
      <c r="C4261" s="21" t="s">
        <v>1146</v>
      </c>
      <c r="D4261" s="5" t="s">
        <v>7248</v>
      </c>
      <c r="E4261" s="35">
        <v>42115</v>
      </c>
    </row>
    <row r="4262" spans="1:5" ht="14.25" hidden="1" customHeight="1">
      <c r="B4262" s="21" t="s">
        <v>7253</v>
      </c>
      <c r="C4262" s="21" t="s">
        <v>7254</v>
      </c>
      <c r="D4262" s="5" t="s">
        <v>7248</v>
      </c>
      <c r="E4262" s="35">
        <v>42115</v>
      </c>
    </row>
    <row r="4263" spans="1:5" ht="14.25" hidden="1" customHeight="1">
      <c r="B4263" s="21" t="s">
        <v>1032</v>
      </c>
      <c r="C4263" s="21" t="s">
        <v>7255</v>
      </c>
      <c r="D4263" s="5" t="s">
        <v>7248</v>
      </c>
      <c r="E4263" s="35">
        <v>42115</v>
      </c>
    </row>
    <row r="4264" spans="1:5" ht="14.25" hidden="1" customHeight="1">
      <c r="B4264" s="21" t="s">
        <v>7256</v>
      </c>
      <c r="C4264" s="21" t="s">
        <v>6328</v>
      </c>
      <c r="D4264" s="5" t="s">
        <v>7248</v>
      </c>
      <c r="E4264" s="35">
        <v>42115</v>
      </c>
    </row>
    <row r="4265" spans="1:5" ht="14.25" hidden="1" customHeight="1">
      <c r="B4265" s="21" t="s">
        <v>6796</v>
      </c>
      <c r="C4265" s="21" t="s">
        <v>1632</v>
      </c>
      <c r="D4265" s="5" t="s">
        <v>7248</v>
      </c>
      <c r="E4265" s="35">
        <v>42115</v>
      </c>
    </row>
    <row r="4266" spans="1:5" ht="14.25" hidden="1" customHeight="1">
      <c r="B4266" s="21" t="s">
        <v>1443</v>
      </c>
      <c r="C4266" s="21" t="s">
        <v>7257</v>
      </c>
      <c r="D4266" s="5" t="s">
        <v>7248</v>
      </c>
      <c r="E4266" s="35">
        <v>42115</v>
      </c>
    </row>
    <row r="4267" spans="1:5" ht="14.25" hidden="1" customHeight="1">
      <c r="B4267" s="21" t="s">
        <v>2009</v>
      </c>
      <c r="C4267" s="21" t="s">
        <v>7258</v>
      </c>
      <c r="D4267" s="5" t="s">
        <v>7248</v>
      </c>
      <c r="E4267" s="35">
        <v>42115</v>
      </c>
    </row>
    <row r="4268" spans="1:5" ht="14.25" hidden="1" customHeight="1">
      <c r="B4268" s="21" t="s">
        <v>240</v>
      </c>
      <c r="C4268" s="21" t="s">
        <v>1281</v>
      </c>
      <c r="D4268" s="5" t="s">
        <v>7248</v>
      </c>
      <c r="E4268" s="35">
        <v>42115</v>
      </c>
    </row>
    <row r="4269" spans="1:5" ht="14.25" hidden="1" customHeight="1">
      <c r="B4269" s="21" t="s">
        <v>4328</v>
      </c>
      <c r="C4269" s="21" t="s">
        <v>7261</v>
      </c>
      <c r="D4269" s="5" t="s">
        <v>7248</v>
      </c>
      <c r="E4269" s="35">
        <v>42115</v>
      </c>
    </row>
    <row r="4270" spans="1:5" ht="14.25" hidden="1" customHeight="1">
      <c r="B4270" s="21" t="s">
        <v>7263</v>
      </c>
      <c r="C4270" s="21" t="s">
        <v>7264</v>
      </c>
      <c r="D4270" s="5" t="s">
        <v>7248</v>
      </c>
      <c r="E4270" s="35">
        <v>42115</v>
      </c>
    </row>
    <row r="4271" spans="1:5" ht="14.25" hidden="1" customHeight="1">
      <c r="B4271" s="21" t="s">
        <v>7265</v>
      </c>
      <c r="C4271" s="21" t="s">
        <v>7266</v>
      </c>
      <c r="D4271" s="5" t="s">
        <v>7248</v>
      </c>
      <c r="E4271" s="35">
        <v>42115</v>
      </c>
    </row>
    <row r="4272" spans="1:5" ht="14.25" hidden="1" customHeight="1">
      <c r="B4272" s="21" t="s">
        <v>7267</v>
      </c>
      <c r="C4272" s="21" t="s">
        <v>7268</v>
      </c>
      <c r="D4272" s="5" t="s">
        <v>7248</v>
      </c>
      <c r="E4272" s="35">
        <v>42115</v>
      </c>
    </row>
    <row r="4273" spans="1:5" ht="14.25" hidden="1" customHeight="1">
      <c r="B4273" s="21" t="s">
        <v>7269</v>
      </c>
      <c r="C4273" s="21" t="s">
        <v>7270</v>
      </c>
      <c r="D4273" s="5" t="s">
        <v>7248</v>
      </c>
      <c r="E4273" s="35">
        <v>42115</v>
      </c>
    </row>
    <row r="4274" spans="1:5" ht="14.25" hidden="1" customHeight="1">
      <c r="B4274" s="21" t="s">
        <v>7272</v>
      </c>
      <c r="C4274" s="21" t="s">
        <v>7273</v>
      </c>
      <c r="D4274" s="5" t="s">
        <v>7248</v>
      </c>
      <c r="E4274" s="35">
        <v>42115</v>
      </c>
    </row>
    <row r="4275" spans="1:5" ht="14.25" hidden="1" customHeight="1">
      <c r="B4275" s="21" t="s">
        <v>7274</v>
      </c>
      <c r="C4275" s="21" t="s">
        <v>7275</v>
      </c>
      <c r="D4275" s="5" t="s">
        <v>7248</v>
      </c>
      <c r="E4275" s="35">
        <v>42115</v>
      </c>
    </row>
    <row r="4276" spans="1:5" ht="14.25" hidden="1" customHeight="1">
      <c r="B4276" s="21" t="s">
        <v>5388</v>
      </c>
      <c r="C4276" s="21" t="s">
        <v>1924</v>
      </c>
      <c r="D4276" s="5" t="s">
        <v>7248</v>
      </c>
      <c r="E4276" s="35">
        <v>42115</v>
      </c>
    </row>
    <row r="4277" spans="1:5" ht="14.25" hidden="1" customHeight="1">
      <c r="B4277" s="21" t="s">
        <v>374</v>
      </c>
      <c r="C4277" s="21" t="s">
        <v>7277</v>
      </c>
      <c r="D4277" s="5" t="s">
        <v>7248</v>
      </c>
      <c r="E4277" s="35">
        <v>42115</v>
      </c>
    </row>
    <row r="4278" spans="1:5" ht="14.25" hidden="1" customHeight="1">
      <c r="B4278" s="21" t="s">
        <v>7278</v>
      </c>
      <c r="C4278" s="21" t="s">
        <v>131</v>
      </c>
      <c r="D4278" s="5" t="s">
        <v>7248</v>
      </c>
      <c r="E4278" s="35">
        <v>42115</v>
      </c>
    </row>
    <row r="4279" spans="1:5" ht="14.25" hidden="1" customHeight="1">
      <c r="B4279" s="21" t="s">
        <v>7279</v>
      </c>
      <c r="C4279" s="21" t="s">
        <v>296</v>
      </c>
      <c r="D4279" s="5" t="s">
        <v>7248</v>
      </c>
      <c r="E4279" s="35">
        <v>42115</v>
      </c>
    </row>
    <row r="4280" spans="1:5" ht="14.25" hidden="1" customHeight="1">
      <c r="B4280" s="21" t="s">
        <v>1190</v>
      </c>
      <c r="C4280" s="21" t="s">
        <v>1003</v>
      </c>
      <c r="D4280" s="5" t="s">
        <v>7248</v>
      </c>
      <c r="E4280" s="35">
        <v>42115</v>
      </c>
    </row>
    <row r="4281" spans="1:5" ht="14.25" hidden="1" customHeight="1">
      <c r="B4281" s="21" t="s">
        <v>2243</v>
      </c>
      <c r="C4281" s="21" t="s">
        <v>7271</v>
      </c>
      <c r="D4281" s="5" t="s">
        <v>7248</v>
      </c>
      <c r="E4281" s="35">
        <v>42115</v>
      </c>
    </row>
    <row r="4282" spans="1:5" ht="14.25" hidden="1" customHeight="1">
      <c r="B4282" s="21" t="s">
        <v>2243</v>
      </c>
      <c r="C4282" s="21" t="s">
        <v>7281</v>
      </c>
      <c r="D4282" s="5" t="s">
        <v>7248</v>
      </c>
      <c r="E4282" s="35">
        <v>42115</v>
      </c>
    </row>
    <row r="4283" spans="1:5" ht="14.25" hidden="1" customHeight="1">
      <c r="B4283" s="21" t="s">
        <v>7282</v>
      </c>
      <c r="C4283" s="21" t="s">
        <v>131</v>
      </c>
      <c r="D4283" s="5" t="s">
        <v>7248</v>
      </c>
      <c r="E4283" s="35">
        <v>42115</v>
      </c>
    </row>
    <row r="4284" spans="1:5" ht="14.25" hidden="1" customHeight="1">
      <c r="B4284" s="17" t="s">
        <v>7077</v>
      </c>
      <c r="C4284" s="17" t="s">
        <v>7284</v>
      </c>
      <c r="D4284" s="5" t="s">
        <v>7248</v>
      </c>
      <c r="E4284" s="35">
        <v>42115</v>
      </c>
    </row>
    <row r="4285" spans="1:5" ht="14.25" hidden="1" customHeight="1">
      <c r="B4285" s="17" t="s">
        <v>7285</v>
      </c>
      <c r="C4285" s="17" t="s">
        <v>7286</v>
      </c>
      <c r="D4285" s="5" t="s">
        <v>7248</v>
      </c>
      <c r="E4285" s="35">
        <v>42115</v>
      </c>
    </row>
    <row r="4286" spans="1:5" ht="14.25" hidden="1" customHeight="1">
      <c r="A4286" s="16">
        <v>26722184</v>
      </c>
      <c r="B4286" s="17" t="s">
        <v>3979</v>
      </c>
      <c r="C4286" s="17" t="s">
        <v>3980</v>
      </c>
      <c r="D4286" s="5" t="s">
        <v>7018</v>
      </c>
      <c r="E4286" s="35">
        <v>42115</v>
      </c>
    </row>
    <row r="4287" spans="1:5" ht="14.25" hidden="1" customHeight="1">
      <c r="A4287" s="16">
        <v>27364252</v>
      </c>
      <c r="B4287" s="17" t="s">
        <v>428</v>
      </c>
      <c r="C4287" s="17" t="s">
        <v>3970</v>
      </c>
      <c r="D4287" s="5" t="s">
        <v>7018</v>
      </c>
      <c r="E4287" s="35">
        <v>42115</v>
      </c>
    </row>
    <row r="4288" spans="1:5" ht="14.25" hidden="1" customHeight="1">
      <c r="A4288" s="16">
        <v>30442895</v>
      </c>
      <c r="B4288" s="17" t="s">
        <v>6450</v>
      </c>
      <c r="C4288" s="17" t="s">
        <v>6451</v>
      </c>
      <c r="D4288" s="5" t="s">
        <v>7018</v>
      </c>
      <c r="E4288" s="35">
        <v>42115</v>
      </c>
    </row>
    <row r="4289" spans="1:5" ht="14.25" hidden="1" customHeight="1">
      <c r="A4289" s="16">
        <v>13848349</v>
      </c>
      <c r="B4289" s="17" t="s">
        <v>652</v>
      </c>
      <c r="C4289" s="17" t="s">
        <v>465</v>
      </c>
      <c r="D4289" s="5" t="s">
        <v>7009</v>
      </c>
      <c r="E4289" s="35">
        <v>42114</v>
      </c>
    </row>
    <row r="4290" spans="1:5" ht="14.25" hidden="1" customHeight="1">
      <c r="A4290" s="16">
        <v>17655489</v>
      </c>
      <c r="B4290" s="17" t="s">
        <v>1973</v>
      </c>
      <c r="C4290" s="17" t="s">
        <v>106</v>
      </c>
      <c r="D4290" s="5" t="s">
        <v>7009</v>
      </c>
      <c r="E4290" s="35">
        <v>42114</v>
      </c>
    </row>
    <row r="4291" spans="1:5" ht="14.25" hidden="1" customHeight="1">
      <c r="A4291" s="16">
        <v>24253315</v>
      </c>
      <c r="B4291" s="17" t="s">
        <v>3597</v>
      </c>
      <c r="C4291" s="17" t="s">
        <v>3598</v>
      </c>
      <c r="D4291" s="5" t="s">
        <v>7009</v>
      </c>
      <c r="E4291" s="35">
        <v>42114</v>
      </c>
    </row>
    <row r="4292" spans="1:5" ht="14.25" hidden="1" customHeight="1">
      <c r="A4292" s="16">
        <v>25255325</v>
      </c>
      <c r="B4292" s="17" t="s">
        <v>626</v>
      </c>
      <c r="C4292" s="17" t="s">
        <v>627</v>
      </c>
      <c r="D4292" s="5" t="s">
        <v>7009</v>
      </c>
      <c r="E4292" s="35">
        <v>42114</v>
      </c>
    </row>
    <row r="4293" spans="1:5" ht="14.25" hidden="1" customHeight="1">
      <c r="A4293" s="16">
        <v>25735232</v>
      </c>
      <c r="B4293" s="17" t="s">
        <v>875</v>
      </c>
      <c r="C4293" s="17" t="s">
        <v>5286</v>
      </c>
      <c r="D4293" s="5" t="s">
        <v>7009</v>
      </c>
      <c r="E4293" s="35">
        <v>42114</v>
      </c>
    </row>
    <row r="4294" spans="1:5" ht="14.25" hidden="1" customHeight="1">
      <c r="A4294" s="16">
        <v>29060073</v>
      </c>
      <c r="B4294" s="17" t="s">
        <v>4836</v>
      </c>
      <c r="C4294" s="17" t="s">
        <v>1061</v>
      </c>
      <c r="D4294" s="5" t="s">
        <v>7009</v>
      </c>
      <c r="E4294" s="35">
        <v>42114</v>
      </c>
    </row>
    <row r="4295" spans="1:5" ht="14.25" hidden="1" customHeight="1">
      <c r="A4295" s="16">
        <v>30597790</v>
      </c>
      <c r="B4295" s="17" t="s">
        <v>3039</v>
      </c>
      <c r="C4295" s="17" t="s">
        <v>3040</v>
      </c>
      <c r="D4295" s="5" t="s">
        <v>7009</v>
      </c>
      <c r="E4295" s="35">
        <v>42114</v>
      </c>
    </row>
    <row r="4296" spans="1:5" ht="14.25" hidden="1" customHeight="1">
      <c r="A4296" s="16">
        <v>31171753</v>
      </c>
      <c r="B4296" s="17" t="s">
        <v>6404</v>
      </c>
      <c r="C4296" s="17" t="s">
        <v>6405</v>
      </c>
      <c r="D4296" s="5" t="s">
        <v>7009</v>
      </c>
      <c r="E4296" s="35">
        <v>42114</v>
      </c>
    </row>
    <row r="4297" spans="1:5" ht="14.25" hidden="1" customHeight="1">
      <c r="A4297" s="16">
        <v>32501411</v>
      </c>
      <c r="B4297" s="17" t="s">
        <v>6296</v>
      </c>
      <c r="C4297" s="17" t="s">
        <v>584</v>
      </c>
      <c r="D4297" s="5" t="s">
        <v>7009</v>
      </c>
      <c r="E4297" s="35">
        <v>42114</v>
      </c>
    </row>
    <row r="4298" spans="1:5" ht="14.25" hidden="1" customHeight="1">
      <c r="A4298" s="16">
        <v>33884314</v>
      </c>
      <c r="B4298" s="17" t="s">
        <v>1565</v>
      </c>
      <c r="C4298" s="17" t="s">
        <v>5660</v>
      </c>
      <c r="D4298" s="5" t="s">
        <v>7009</v>
      </c>
      <c r="E4298" s="35">
        <v>42114</v>
      </c>
    </row>
    <row r="4299" spans="1:5" ht="14.25" hidden="1" customHeight="1">
      <c r="A4299" s="16">
        <v>13475282</v>
      </c>
      <c r="B4299" s="17" t="s">
        <v>2799</v>
      </c>
      <c r="C4299" s="17" t="s">
        <v>6328</v>
      </c>
      <c r="D4299" s="5" t="s">
        <v>7018</v>
      </c>
      <c r="E4299" s="35">
        <v>42114</v>
      </c>
    </row>
    <row r="4300" spans="1:5" ht="14.25" hidden="1" customHeight="1">
      <c r="A4300" s="16">
        <v>16038438</v>
      </c>
      <c r="B4300" s="25" t="s">
        <v>595</v>
      </c>
      <c r="C4300" s="25" t="s">
        <v>5987</v>
      </c>
      <c r="D4300" s="5" t="s">
        <v>7018</v>
      </c>
      <c r="E4300" s="35">
        <v>42114</v>
      </c>
    </row>
    <row r="4301" spans="1:5" ht="14.25" hidden="1" customHeight="1">
      <c r="A4301" s="16">
        <v>16685797</v>
      </c>
      <c r="B4301" s="25" t="s">
        <v>3029</v>
      </c>
      <c r="C4301" s="25" t="s">
        <v>3030</v>
      </c>
      <c r="D4301" s="5" t="s">
        <v>7018</v>
      </c>
      <c r="E4301" s="35">
        <v>42114</v>
      </c>
    </row>
    <row r="4302" spans="1:5" ht="14.25" hidden="1" customHeight="1">
      <c r="A4302" s="16">
        <v>22451756</v>
      </c>
      <c r="B4302" s="17" t="s">
        <v>983</v>
      </c>
      <c r="C4302" s="17" t="s">
        <v>2669</v>
      </c>
      <c r="D4302" s="5" t="s">
        <v>7018</v>
      </c>
      <c r="E4302" s="35">
        <v>42114</v>
      </c>
    </row>
    <row r="4303" spans="1:5" ht="14.25" hidden="1" customHeight="1">
      <c r="B4303" s="17" t="s">
        <v>7287</v>
      </c>
      <c r="C4303" s="17" t="s">
        <v>274</v>
      </c>
      <c r="D4303" s="5" t="s">
        <v>7018</v>
      </c>
      <c r="E4303" s="35">
        <v>42114</v>
      </c>
    </row>
    <row r="4304" spans="1:5" ht="14.25" hidden="1" customHeight="1">
      <c r="A4304" s="16">
        <v>16685979</v>
      </c>
      <c r="B4304" s="25" t="s">
        <v>3029</v>
      </c>
      <c r="C4304" s="25" t="s">
        <v>3030</v>
      </c>
      <c r="D4304" s="5" t="s">
        <v>7288</v>
      </c>
      <c r="E4304" s="35">
        <v>42114</v>
      </c>
    </row>
    <row r="4305" spans="1:5" ht="14.25" hidden="1" customHeight="1">
      <c r="A4305" s="16">
        <v>17040749</v>
      </c>
      <c r="B4305" s="17" t="s">
        <v>2132</v>
      </c>
      <c r="C4305" s="17" t="s">
        <v>215</v>
      </c>
      <c r="D4305" s="5" t="s">
        <v>7288</v>
      </c>
      <c r="E4305" s="35">
        <v>42114</v>
      </c>
    </row>
    <row r="4306" spans="1:5" ht="14.25" hidden="1" customHeight="1">
      <c r="A4306" s="16">
        <v>18186436</v>
      </c>
      <c r="B4306" s="17" t="s">
        <v>2503</v>
      </c>
      <c r="C4306" s="17" t="s">
        <v>2504</v>
      </c>
      <c r="D4306" s="5" t="s">
        <v>7288</v>
      </c>
      <c r="E4306" s="35">
        <v>42114</v>
      </c>
    </row>
    <row r="4307" spans="1:5" ht="14.25" hidden="1" customHeight="1">
      <c r="A4307" s="16">
        <v>22303060</v>
      </c>
      <c r="B4307" s="17" t="s">
        <v>6270</v>
      </c>
      <c r="C4307" s="17" t="s">
        <v>233</v>
      </c>
      <c r="D4307" s="5" t="s">
        <v>7288</v>
      </c>
      <c r="E4307" s="35">
        <v>42114</v>
      </c>
    </row>
    <row r="4308" spans="1:5" ht="14.25" hidden="1" customHeight="1">
      <c r="A4308" s="16">
        <v>22451756</v>
      </c>
      <c r="B4308" s="17" t="s">
        <v>983</v>
      </c>
      <c r="C4308" s="17" t="s">
        <v>2669</v>
      </c>
      <c r="D4308" s="5" t="s">
        <v>7288</v>
      </c>
      <c r="E4308" s="35">
        <v>42114</v>
      </c>
    </row>
    <row r="4309" spans="1:5" ht="14.25" hidden="1" customHeight="1">
      <c r="A4309" s="16">
        <v>22482899</v>
      </c>
      <c r="B4309" s="17" t="s">
        <v>4633</v>
      </c>
      <c r="C4309" s="17" t="s">
        <v>4634</v>
      </c>
      <c r="D4309" s="5" t="s">
        <v>7288</v>
      </c>
      <c r="E4309" s="35">
        <v>42114</v>
      </c>
    </row>
    <row r="4310" spans="1:5" ht="14.25" hidden="1" customHeight="1">
      <c r="A4310" s="16">
        <v>22805623</v>
      </c>
      <c r="B4310" s="25" t="s">
        <v>2094</v>
      </c>
      <c r="C4310" s="25" t="s">
        <v>747</v>
      </c>
      <c r="D4310" s="5" t="s">
        <v>7288</v>
      </c>
      <c r="E4310" s="35">
        <v>42114</v>
      </c>
    </row>
    <row r="4311" spans="1:5" ht="14.25" hidden="1" customHeight="1">
      <c r="A4311" s="16">
        <v>25498735</v>
      </c>
      <c r="B4311" s="17" t="s">
        <v>4067</v>
      </c>
      <c r="C4311" s="17" t="s">
        <v>6493</v>
      </c>
      <c r="D4311" s="5" t="s">
        <v>7288</v>
      </c>
      <c r="E4311" s="35">
        <v>42114</v>
      </c>
    </row>
    <row r="4312" spans="1:5" ht="14.25" hidden="1" customHeight="1">
      <c r="A4312" s="16">
        <v>32134246</v>
      </c>
      <c r="B4312" s="17" t="s">
        <v>1571</v>
      </c>
      <c r="C4312" s="17" t="s">
        <v>4368</v>
      </c>
      <c r="D4312" s="5" t="s">
        <v>7288</v>
      </c>
      <c r="E4312" s="35">
        <v>42114</v>
      </c>
    </row>
    <row r="4313" spans="1:5" ht="14.25" hidden="1" customHeight="1">
      <c r="A4313" s="16">
        <v>33884314</v>
      </c>
      <c r="B4313" s="17" t="s">
        <v>1565</v>
      </c>
      <c r="C4313" s="17" t="s">
        <v>5660</v>
      </c>
      <c r="D4313" s="5" t="s">
        <v>7288</v>
      </c>
      <c r="E4313" s="35">
        <v>42114</v>
      </c>
    </row>
    <row r="4314" spans="1:5" ht="14.25" hidden="1" customHeight="1">
      <c r="A4314" s="16">
        <v>10221705</v>
      </c>
      <c r="B4314" s="17" t="s">
        <v>226</v>
      </c>
      <c r="C4314" s="17" t="s">
        <v>2052</v>
      </c>
      <c r="D4314" s="5" t="s">
        <v>7289</v>
      </c>
      <c r="E4314" s="35">
        <v>42075</v>
      </c>
    </row>
    <row r="4315" spans="1:5" ht="14.25" hidden="1" customHeight="1">
      <c r="A4315" s="16">
        <v>11064779</v>
      </c>
      <c r="B4315" s="17" t="s">
        <v>3745</v>
      </c>
      <c r="C4315" s="17" t="s">
        <v>1185</v>
      </c>
      <c r="D4315" s="5" t="s">
        <v>7289</v>
      </c>
      <c r="E4315" s="35">
        <v>42075</v>
      </c>
    </row>
    <row r="4316" spans="1:5" ht="14.25" hidden="1" customHeight="1">
      <c r="A4316" s="16">
        <v>12597724</v>
      </c>
      <c r="B4316" s="17" t="s">
        <v>760</v>
      </c>
      <c r="C4316" s="17" t="s">
        <v>4424</v>
      </c>
      <c r="D4316" s="5" t="s">
        <v>7289</v>
      </c>
      <c r="E4316" s="35">
        <v>42075</v>
      </c>
    </row>
    <row r="4317" spans="1:5" ht="14.25" hidden="1" customHeight="1">
      <c r="A4317" s="16">
        <v>13278971</v>
      </c>
      <c r="B4317" s="17" t="s">
        <v>1625</v>
      </c>
      <c r="C4317" s="17" t="s">
        <v>1626</v>
      </c>
      <c r="D4317" s="5" t="s">
        <v>7289</v>
      </c>
      <c r="E4317" s="35">
        <v>42075</v>
      </c>
    </row>
    <row r="4318" spans="1:5" ht="14.25" hidden="1" customHeight="1">
      <c r="A4318" s="16">
        <v>13338251</v>
      </c>
      <c r="B4318" s="17" t="s">
        <v>252</v>
      </c>
      <c r="C4318" s="17" t="s">
        <v>2069</v>
      </c>
      <c r="D4318" s="5" t="s">
        <v>7289</v>
      </c>
      <c r="E4318" s="35">
        <v>42075</v>
      </c>
    </row>
    <row r="4319" spans="1:5" ht="14.25" hidden="1" customHeight="1">
      <c r="A4319" s="16">
        <v>13628939</v>
      </c>
      <c r="B4319" s="17" t="s">
        <v>195</v>
      </c>
      <c r="C4319" s="17" t="s">
        <v>196</v>
      </c>
      <c r="D4319" s="5" t="s">
        <v>7289</v>
      </c>
      <c r="E4319" s="35">
        <v>42075</v>
      </c>
    </row>
    <row r="4320" spans="1:5" ht="14.25" hidden="1" customHeight="1">
      <c r="A4320" s="16">
        <v>14023907</v>
      </c>
      <c r="B4320" s="17" t="s">
        <v>1534</v>
      </c>
      <c r="C4320" s="17" t="s">
        <v>3209</v>
      </c>
      <c r="D4320" s="5" t="s">
        <v>7289</v>
      </c>
      <c r="E4320" s="35">
        <v>42075</v>
      </c>
    </row>
    <row r="4321" spans="1:5" ht="14.25" hidden="1" customHeight="1">
      <c r="A4321" s="16">
        <v>14296958</v>
      </c>
      <c r="B4321" s="17" t="s">
        <v>5838</v>
      </c>
      <c r="C4321" s="17" t="s">
        <v>5839</v>
      </c>
      <c r="D4321" s="5" t="s">
        <v>7289</v>
      </c>
      <c r="E4321" s="35">
        <v>42075</v>
      </c>
    </row>
    <row r="4322" spans="1:5" ht="14.25" hidden="1" customHeight="1">
      <c r="A4322" s="16">
        <v>14660759</v>
      </c>
      <c r="B4322" s="17" t="s">
        <v>3023</v>
      </c>
      <c r="C4322" s="17" t="s">
        <v>584</v>
      </c>
      <c r="D4322" s="5" t="s">
        <v>7289</v>
      </c>
      <c r="E4322" s="35">
        <v>42075</v>
      </c>
    </row>
    <row r="4323" spans="1:5" ht="14.25" hidden="1" customHeight="1">
      <c r="A4323" s="16">
        <v>14716849</v>
      </c>
      <c r="B4323" s="17" t="s">
        <v>7299</v>
      </c>
      <c r="C4323" s="17" t="s">
        <v>7300</v>
      </c>
      <c r="D4323" s="5" t="s">
        <v>7289</v>
      </c>
      <c r="E4323" s="35">
        <v>42075</v>
      </c>
    </row>
    <row r="4324" spans="1:5" ht="14.25" hidden="1" customHeight="1">
      <c r="A4324" s="16">
        <v>16540918</v>
      </c>
      <c r="B4324" s="17" t="s">
        <v>595</v>
      </c>
      <c r="C4324" s="17" t="s">
        <v>7290</v>
      </c>
      <c r="D4324" s="5" t="s">
        <v>7289</v>
      </c>
      <c r="E4324" s="35">
        <v>42075</v>
      </c>
    </row>
    <row r="4325" spans="1:5" ht="14.25" hidden="1" customHeight="1">
      <c r="A4325" s="16">
        <v>17269028</v>
      </c>
      <c r="B4325" s="17" t="s">
        <v>3216</v>
      </c>
      <c r="C4325" s="17" t="s">
        <v>6098</v>
      </c>
      <c r="D4325" s="5" t="s">
        <v>7289</v>
      </c>
      <c r="E4325" s="35">
        <v>42075</v>
      </c>
    </row>
    <row r="4326" spans="1:5" ht="14.25" hidden="1" customHeight="1">
      <c r="A4326" s="16">
        <v>17600492</v>
      </c>
      <c r="B4326" s="17" t="s">
        <v>207</v>
      </c>
      <c r="C4326" s="17" t="s">
        <v>209</v>
      </c>
      <c r="D4326" s="5" t="s">
        <v>7289</v>
      </c>
      <c r="E4326" s="35">
        <v>42075</v>
      </c>
    </row>
    <row r="4327" spans="1:5" ht="14.25" hidden="1" customHeight="1">
      <c r="A4327" s="16">
        <v>17696330</v>
      </c>
      <c r="B4327" s="17" t="s">
        <v>2299</v>
      </c>
      <c r="C4327" s="17" t="s">
        <v>747</v>
      </c>
      <c r="D4327" s="5" t="s">
        <v>7289</v>
      </c>
      <c r="E4327" s="35">
        <v>42075</v>
      </c>
    </row>
    <row r="4328" spans="1:5" ht="14.25" hidden="1" customHeight="1">
      <c r="A4328" s="16">
        <v>18182322</v>
      </c>
      <c r="B4328" s="17" t="s">
        <v>6333</v>
      </c>
      <c r="C4328" s="17" t="s">
        <v>6334</v>
      </c>
      <c r="D4328" s="5" t="s">
        <v>7289</v>
      </c>
      <c r="E4328" s="35">
        <v>42075</v>
      </c>
    </row>
    <row r="4329" spans="1:5" ht="14.25" hidden="1" customHeight="1">
      <c r="A4329" s="16">
        <v>18465917</v>
      </c>
      <c r="B4329" s="17" t="s">
        <v>652</v>
      </c>
      <c r="C4329" s="17" t="s">
        <v>3933</v>
      </c>
      <c r="D4329" s="5" t="s">
        <v>7289</v>
      </c>
      <c r="E4329" s="35">
        <v>42075</v>
      </c>
    </row>
    <row r="4330" spans="1:5" ht="14.25" hidden="1" customHeight="1">
      <c r="A4330" s="16">
        <v>18566394</v>
      </c>
      <c r="B4330" s="17" t="s">
        <v>7291</v>
      </c>
      <c r="C4330" s="17" t="s">
        <v>7292</v>
      </c>
      <c r="D4330" s="5" t="s">
        <v>7289</v>
      </c>
      <c r="E4330" s="35">
        <v>42075</v>
      </c>
    </row>
    <row r="4331" spans="1:5" ht="14.25" hidden="1" customHeight="1">
      <c r="A4331" s="16">
        <v>20044644</v>
      </c>
      <c r="B4331" s="17" t="s">
        <v>3570</v>
      </c>
      <c r="C4331" s="17" t="s">
        <v>1523</v>
      </c>
      <c r="D4331" s="5" t="s">
        <v>7289</v>
      </c>
      <c r="E4331" s="35">
        <v>42075</v>
      </c>
    </row>
    <row r="4332" spans="1:5" ht="14.25" hidden="1" customHeight="1">
      <c r="A4332" s="16">
        <v>20284560</v>
      </c>
      <c r="B4332" s="17" t="s">
        <v>6459</v>
      </c>
      <c r="C4332" s="17" t="s">
        <v>6460</v>
      </c>
      <c r="D4332" s="5" t="s">
        <v>7289</v>
      </c>
      <c r="E4332" s="35">
        <v>42075</v>
      </c>
    </row>
    <row r="4333" spans="1:5" ht="14.25" hidden="1" customHeight="1">
      <c r="A4333" s="16">
        <v>20433790</v>
      </c>
      <c r="B4333" s="17" t="s">
        <v>425</v>
      </c>
      <c r="C4333" s="17" t="s">
        <v>1299</v>
      </c>
      <c r="D4333" s="5" t="s">
        <v>7289</v>
      </c>
      <c r="E4333" s="35">
        <v>42075</v>
      </c>
    </row>
    <row r="4334" spans="1:5" ht="14.25" hidden="1" customHeight="1">
      <c r="A4334" s="16">
        <v>20571549</v>
      </c>
      <c r="B4334" s="17" t="s">
        <v>2586</v>
      </c>
      <c r="C4334" s="17" t="s">
        <v>888</v>
      </c>
      <c r="D4334" s="5" t="s">
        <v>7289</v>
      </c>
      <c r="E4334" s="35">
        <v>42075</v>
      </c>
    </row>
    <row r="4335" spans="1:5" ht="14.25" hidden="1" customHeight="1">
      <c r="A4335" s="16">
        <v>20580067</v>
      </c>
      <c r="B4335" s="17" t="s">
        <v>7305</v>
      </c>
      <c r="C4335" s="17" t="s">
        <v>7306</v>
      </c>
      <c r="D4335" s="5" t="s">
        <v>7289</v>
      </c>
      <c r="E4335" s="35">
        <v>42075</v>
      </c>
    </row>
    <row r="4336" spans="1:5" ht="14.25" hidden="1" customHeight="1">
      <c r="A4336" s="16">
        <v>20692036</v>
      </c>
      <c r="B4336" s="17" t="s">
        <v>727</v>
      </c>
      <c r="C4336" s="17" t="s">
        <v>7214</v>
      </c>
      <c r="D4336" s="5" t="s">
        <v>7289</v>
      </c>
      <c r="E4336" s="35">
        <v>42075</v>
      </c>
    </row>
    <row r="4337" spans="1:5" ht="14.25" hidden="1" customHeight="1">
      <c r="A4337" s="16">
        <v>21328297</v>
      </c>
      <c r="B4337" s="17" t="s">
        <v>5014</v>
      </c>
      <c r="C4337" s="17" t="s">
        <v>6093</v>
      </c>
      <c r="D4337" s="5" t="s">
        <v>7289</v>
      </c>
      <c r="E4337" s="35">
        <v>42075</v>
      </c>
    </row>
    <row r="4338" spans="1:5" ht="14.25" hidden="1" customHeight="1">
      <c r="A4338" s="16">
        <v>22263363</v>
      </c>
      <c r="B4338" s="17" t="s">
        <v>472</v>
      </c>
      <c r="C4338" s="17" t="s">
        <v>473</v>
      </c>
      <c r="D4338" s="5" t="s">
        <v>7289</v>
      </c>
      <c r="E4338" s="35">
        <v>42075</v>
      </c>
    </row>
    <row r="4339" spans="1:5" ht="14.25" hidden="1" customHeight="1">
      <c r="A4339" s="16">
        <v>22414783</v>
      </c>
      <c r="B4339" s="17" t="s">
        <v>342</v>
      </c>
      <c r="C4339" s="17" t="s">
        <v>1173</v>
      </c>
      <c r="D4339" s="5" t="s">
        <v>7289</v>
      </c>
      <c r="E4339" s="35">
        <v>42075</v>
      </c>
    </row>
    <row r="4340" spans="1:5" ht="14.25" hidden="1" customHeight="1">
      <c r="A4340" s="16">
        <v>22429208</v>
      </c>
      <c r="B4340" s="17" t="s">
        <v>5245</v>
      </c>
      <c r="C4340" s="17" t="s">
        <v>5246</v>
      </c>
      <c r="D4340" s="5" t="s">
        <v>7289</v>
      </c>
      <c r="E4340" s="35">
        <v>42075</v>
      </c>
    </row>
    <row r="4341" spans="1:5" ht="14.25" hidden="1" customHeight="1">
      <c r="A4341" s="16">
        <v>23383293</v>
      </c>
      <c r="B4341" s="17" t="s">
        <v>3725</v>
      </c>
      <c r="C4341" s="17" t="s">
        <v>3726</v>
      </c>
      <c r="D4341" s="5" t="s">
        <v>7289</v>
      </c>
      <c r="E4341" s="35">
        <v>42075</v>
      </c>
    </row>
    <row r="4342" spans="1:5" ht="14.25" hidden="1" customHeight="1">
      <c r="A4342" s="16">
        <v>23498695</v>
      </c>
      <c r="B4342" s="17" t="s">
        <v>2862</v>
      </c>
      <c r="C4342" s="17" t="s">
        <v>2863</v>
      </c>
      <c r="D4342" s="5" t="s">
        <v>7289</v>
      </c>
      <c r="E4342" s="35">
        <v>42075</v>
      </c>
    </row>
    <row r="4343" spans="1:5" ht="14.25" hidden="1" customHeight="1">
      <c r="A4343" s="16">
        <v>24059897</v>
      </c>
      <c r="B4343" s="17" t="s">
        <v>138</v>
      </c>
      <c r="C4343" s="17" t="s">
        <v>2479</v>
      </c>
      <c r="D4343" s="5" t="s">
        <v>7289</v>
      </c>
      <c r="E4343" s="35">
        <v>42075</v>
      </c>
    </row>
    <row r="4344" spans="1:5" ht="14.25" hidden="1" customHeight="1">
      <c r="A4344" s="16">
        <v>24200813</v>
      </c>
      <c r="B4344" s="17" t="s">
        <v>2766</v>
      </c>
      <c r="C4344" s="17" t="s">
        <v>2767</v>
      </c>
      <c r="D4344" s="5" t="s">
        <v>7289</v>
      </c>
      <c r="E4344" s="35">
        <v>42075</v>
      </c>
    </row>
    <row r="4345" spans="1:5" ht="14.25" hidden="1" customHeight="1">
      <c r="A4345" s="16">
        <v>24253315</v>
      </c>
      <c r="B4345" s="17" t="s">
        <v>3597</v>
      </c>
      <c r="C4345" s="17" t="s">
        <v>3598</v>
      </c>
      <c r="D4345" s="5" t="s">
        <v>7289</v>
      </c>
      <c r="E4345" s="35">
        <v>42075</v>
      </c>
    </row>
    <row r="4346" spans="1:5" ht="14.25" hidden="1" customHeight="1">
      <c r="A4346" s="16">
        <v>24316864</v>
      </c>
      <c r="B4346" s="17" t="s">
        <v>7295</v>
      </c>
      <c r="C4346" s="17" t="s">
        <v>7296</v>
      </c>
      <c r="D4346" s="5" t="s">
        <v>7289</v>
      </c>
      <c r="E4346" s="35">
        <v>42075</v>
      </c>
    </row>
    <row r="4347" spans="1:5" ht="14.25" hidden="1" customHeight="1">
      <c r="A4347" s="16">
        <v>25211213</v>
      </c>
      <c r="B4347" s="17" t="s">
        <v>428</v>
      </c>
      <c r="C4347" s="17" t="s">
        <v>3945</v>
      </c>
      <c r="D4347" s="5" t="s">
        <v>7289</v>
      </c>
      <c r="E4347" s="35">
        <v>42075</v>
      </c>
    </row>
    <row r="4348" spans="1:5" ht="14.25" hidden="1" customHeight="1">
      <c r="A4348" s="16">
        <v>25212359</v>
      </c>
      <c r="B4348" s="17" t="s">
        <v>1231</v>
      </c>
      <c r="C4348" s="17" t="s">
        <v>1232</v>
      </c>
      <c r="D4348" s="5" t="s">
        <v>7289</v>
      </c>
      <c r="E4348" s="35">
        <v>42075</v>
      </c>
    </row>
    <row r="4349" spans="1:5" ht="14.25" hidden="1" customHeight="1">
      <c r="A4349" s="16">
        <v>25542562</v>
      </c>
      <c r="B4349" s="17" t="s">
        <v>3237</v>
      </c>
      <c r="C4349" s="17" t="s">
        <v>7133</v>
      </c>
      <c r="D4349" s="5" t="s">
        <v>7289</v>
      </c>
      <c r="E4349" s="35">
        <v>42075</v>
      </c>
    </row>
    <row r="4350" spans="1:5" ht="14.25" hidden="1" customHeight="1">
      <c r="A4350" s="16">
        <v>25844020</v>
      </c>
      <c r="B4350" s="17" t="s">
        <v>7293</v>
      </c>
      <c r="C4350" s="17" t="s">
        <v>7294</v>
      </c>
      <c r="D4350" s="5" t="s">
        <v>7289</v>
      </c>
      <c r="E4350" s="35">
        <v>42075</v>
      </c>
    </row>
    <row r="4351" spans="1:5" ht="14.25" hidden="1" customHeight="1">
      <c r="A4351" s="16">
        <v>26454967</v>
      </c>
      <c r="B4351" s="17" t="s">
        <v>971</v>
      </c>
      <c r="C4351" s="17" t="s">
        <v>972</v>
      </c>
      <c r="D4351" s="5" t="s">
        <v>7289</v>
      </c>
      <c r="E4351" s="35">
        <v>42075</v>
      </c>
    </row>
    <row r="4352" spans="1:5" ht="14.25" hidden="1" customHeight="1">
      <c r="A4352" s="16">
        <v>27945323</v>
      </c>
      <c r="B4352" s="17" t="s">
        <v>4286</v>
      </c>
      <c r="C4352" s="17" t="s">
        <v>4287</v>
      </c>
      <c r="D4352" s="5" t="s">
        <v>7289</v>
      </c>
      <c r="E4352" s="35">
        <v>42075</v>
      </c>
    </row>
    <row r="4353" spans="1:5" ht="14.25" hidden="1" customHeight="1">
      <c r="A4353" s="16">
        <v>28147379</v>
      </c>
      <c r="B4353" s="17" t="s">
        <v>971</v>
      </c>
      <c r="C4353" s="17" t="s">
        <v>974</v>
      </c>
      <c r="D4353" s="5" t="s">
        <v>7289</v>
      </c>
      <c r="E4353" s="35">
        <v>42075</v>
      </c>
    </row>
    <row r="4354" spans="1:5" ht="14.25" hidden="1" customHeight="1">
      <c r="A4354" s="16">
        <v>29532183</v>
      </c>
      <c r="B4354" s="17" t="s">
        <v>1401</v>
      </c>
      <c r="C4354" s="17" t="s">
        <v>2450</v>
      </c>
      <c r="D4354" s="5" t="s">
        <v>7289</v>
      </c>
      <c r="E4354" s="35">
        <v>42075</v>
      </c>
    </row>
    <row r="4355" spans="1:5" ht="14.25" hidden="1" customHeight="1">
      <c r="A4355" s="16">
        <v>29532614</v>
      </c>
      <c r="B4355" s="17" t="s">
        <v>4621</v>
      </c>
      <c r="C4355" s="17" t="s">
        <v>1146</v>
      </c>
      <c r="D4355" s="5" t="s">
        <v>7289</v>
      </c>
      <c r="E4355" s="35">
        <v>42075</v>
      </c>
    </row>
    <row r="4356" spans="1:5" ht="14.25" hidden="1" customHeight="1">
      <c r="A4356" s="16">
        <v>30357304</v>
      </c>
      <c r="B4356" s="17" t="s">
        <v>7301</v>
      </c>
      <c r="C4356" s="17" t="s">
        <v>7302</v>
      </c>
      <c r="D4356" s="5" t="s">
        <v>7289</v>
      </c>
      <c r="E4356" s="35">
        <v>42075</v>
      </c>
    </row>
    <row r="4357" spans="1:5" ht="14.25" hidden="1" customHeight="1">
      <c r="A4357" s="16">
        <v>30759570</v>
      </c>
      <c r="B4357" s="17" t="s">
        <v>7303</v>
      </c>
      <c r="C4357" s="17" t="s">
        <v>7304</v>
      </c>
      <c r="D4357" s="5" t="s">
        <v>7289</v>
      </c>
      <c r="E4357" s="35">
        <v>42075</v>
      </c>
    </row>
    <row r="4358" spans="1:5" ht="14.25" hidden="1" customHeight="1">
      <c r="A4358" s="16">
        <v>31030478</v>
      </c>
      <c r="B4358" s="17" t="s">
        <v>1707</v>
      </c>
      <c r="C4358" s="17" t="s">
        <v>6242</v>
      </c>
      <c r="D4358" s="5" t="s">
        <v>7289</v>
      </c>
      <c r="E4358" s="35">
        <v>42075</v>
      </c>
    </row>
    <row r="4359" spans="1:5" ht="14.25" hidden="1" customHeight="1">
      <c r="A4359" s="16">
        <v>31589222</v>
      </c>
      <c r="B4359" s="17" t="s">
        <v>734</v>
      </c>
      <c r="C4359" s="17" t="s">
        <v>3593</v>
      </c>
      <c r="D4359" s="5" t="s">
        <v>7289</v>
      </c>
      <c r="E4359" s="35">
        <v>42075</v>
      </c>
    </row>
    <row r="4360" spans="1:5" ht="14.25" hidden="1" customHeight="1">
      <c r="A4360" s="16">
        <v>31857397</v>
      </c>
      <c r="B4360" s="17" t="s">
        <v>1549</v>
      </c>
      <c r="C4360" s="17" t="s">
        <v>1550</v>
      </c>
      <c r="D4360" s="5" t="s">
        <v>7289</v>
      </c>
      <c r="E4360" s="35">
        <v>42075</v>
      </c>
    </row>
    <row r="4361" spans="1:5" ht="14.25" hidden="1" customHeight="1">
      <c r="A4361" s="16">
        <v>34327341</v>
      </c>
      <c r="B4361" s="17" t="s">
        <v>252</v>
      </c>
      <c r="C4361" s="17" t="s">
        <v>253</v>
      </c>
      <c r="D4361" s="5" t="s">
        <v>7289</v>
      </c>
      <c r="E4361" s="35">
        <v>42075</v>
      </c>
    </row>
    <row r="4362" spans="1:5" ht="14.25" hidden="1" customHeight="1">
      <c r="A4362" s="16">
        <v>34887773</v>
      </c>
      <c r="B4362" s="17" t="s">
        <v>1887</v>
      </c>
      <c r="C4362" s="17" t="s">
        <v>1888</v>
      </c>
      <c r="D4362" s="5" t="s">
        <v>7289</v>
      </c>
      <c r="E4362" s="35">
        <v>42075</v>
      </c>
    </row>
    <row r="4363" spans="1:5" ht="14.25" hidden="1" customHeight="1">
      <c r="A4363" s="16">
        <v>35199870</v>
      </c>
      <c r="B4363" s="17" t="s">
        <v>7297</v>
      </c>
      <c r="C4363" s="17" t="s">
        <v>7298</v>
      </c>
      <c r="D4363" s="5" t="s">
        <v>7289</v>
      </c>
      <c r="E4363" s="35">
        <v>42075</v>
      </c>
    </row>
    <row r="4364" spans="1:5" ht="14.25" hidden="1" customHeight="1">
      <c r="A4364" s="16">
        <v>35548263</v>
      </c>
      <c r="B4364" s="17" t="s">
        <v>7307</v>
      </c>
      <c r="C4364" s="17" t="s">
        <v>7308</v>
      </c>
      <c r="D4364" s="5" t="s">
        <v>7289</v>
      </c>
      <c r="E4364" s="35">
        <v>42075</v>
      </c>
    </row>
    <row r="4365" spans="1:5" ht="14.25" hidden="1" customHeight="1">
      <c r="A4365" s="16">
        <v>10221705</v>
      </c>
      <c r="B4365" s="17" t="s">
        <v>226</v>
      </c>
      <c r="C4365" s="17" t="s">
        <v>2052</v>
      </c>
      <c r="D4365" s="1" t="s">
        <v>7020</v>
      </c>
      <c r="E4365" s="35">
        <v>42073</v>
      </c>
    </row>
    <row r="4366" spans="1:5" ht="14.25" hidden="1" customHeight="1">
      <c r="A4366" s="16">
        <v>12318006</v>
      </c>
      <c r="B4366" s="17" t="s">
        <v>574</v>
      </c>
      <c r="C4366" s="17" t="s">
        <v>5798</v>
      </c>
      <c r="D4366" s="1" t="s">
        <v>7020</v>
      </c>
      <c r="E4366" s="35">
        <v>42073</v>
      </c>
    </row>
    <row r="4367" spans="1:5" ht="14.25" hidden="1" customHeight="1">
      <c r="A4367" s="16">
        <v>13203635</v>
      </c>
      <c r="B4367" s="17" t="s">
        <v>7152</v>
      </c>
      <c r="C4367" s="17" t="s">
        <v>2016</v>
      </c>
      <c r="D4367" s="1" t="s">
        <v>7020</v>
      </c>
      <c r="E4367" s="35">
        <v>42073</v>
      </c>
    </row>
    <row r="4368" spans="1:5" ht="14.25" hidden="1" customHeight="1">
      <c r="A4368" s="16">
        <v>21026950</v>
      </c>
      <c r="B4368" s="17" t="s">
        <v>415</v>
      </c>
      <c r="C4368" s="17" t="s">
        <v>2224</v>
      </c>
      <c r="D4368" s="1" t="s">
        <v>7020</v>
      </c>
      <c r="E4368" s="35">
        <v>42073</v>
      </c>
    </row>
    <row r="4369" spans="1:5" ht="14.25" hidden="1" customHeight="1">
      <c r="A4369" s="16">
        <v>21328297</v>
      </c>
      <c r="B4369" s="17" t="s">
        <v>5014</v>
      </c>
      <c r="C4369" s="17" t="s">
        <v>6093</v>
      </c>
      <c r="D4369" s="1" t="s">
        <v>7020</v>
      </c>
      <c r="E4369" s="35">
        <v>42073</v>
      </c>
    </row>
    <row r="4370" spans="1:5" ht="14.25" hidden="1" customHeight="1">
      <c r="A4370" s="16">
        <v>25320789</v>
      </c>
      <c r="B4370" s="17" t="s">
        <v>428</v>
      </c>
      <c r="C4370" s="17" t="s">
        <v>3595</v>
      </c>
      <c r="D4370" s="1" t="s">
        <v>7020</v>
      </c>
      <c r="E4370" s="35">
        <v>42073</v>
      </c>
    </row>
    <row r="4371" spans="1:5" ht="14.25" hidden="1" customHeight="1">
      <c r="A4371" s="16">
        <v>31253722</v>
      </c>
      <c r="B4371" s="17" t="s">
        <v>2867</v>
      </c>
      <c r="C4371" s="17" t="s">
        <v>2868</v>
      </c>
      <c r="D4371" s="1" t="s">
        <v>7020</v>
      </c>
      <c r="E4371" s="35">
        <v>42073</v>
      </c>
    </row>
    <row r="4372" spans="1:5" ht="14.25" hidden="1" customHeight="1">
      <c r="A4372" s="16">
        <v>31842821</v>
      </c>
      <c r="B4372" s="25" t="s">
        <v>7136</v>
      </c>
      <c r="C4372" s="25" t="s">
        <v>7226</v>
      </c>
      <c r="D4372" s="1" t="s">
        <v>7020</v>
      </c>
      <c r="E4372" s="35">
        <v>42073</v>
      </c>
    </row>
    <row r="4373" spans="1:5" ht="14.25" hidden="1" customHeight="1">
      <c r="A4373" s="16">
        <v>31842821</v>
      </c>
      <c r="B4373" s="17" t="s">
        <v>5994</v>
      </c>
      <c r="C4373" s="17" t="s">
        <v>5995</v>
      </c>
      <c r="D4373" s="1" t="s">
        <v>7020</v>
      </c>
      <c r="E4373" s="35">
        <v>42073</v>
      </c>
    </row>
    <row r="4374" spans="1:5" ht="14.25" hidden="1" customHeight="1">
      <c r="A4374" s="16">
        <v>34764502</v>
      </c>
      <c r="B4374" s="17" t="s">
        <v>3583</v>
      </c>
      <c r="C4374" s="17" t="s">
        <v>3584</v>
      </c>
      <c r="D4374" s="1" t="s">
        <v>7020</v>
      </c>
      <c r="E4374" s="35">
        <v>42073</v>
      </c>
    </row>
    <row r="4375" spans="1:5" ht="14.25" hidden="1" customHeight="1">
      <c r="A4375" s="16">
        <v>12318006</v>
      </c>
      <c r="B4375" s="25" t="s">
        <v>574</v>
      </c>
      <c r="C4375" s="25" t="s">
        <v>7312</v>
      </c>
      <c r="D4375" s="5" t="s">
        <v>7309</v>
      </c>
      <c r="E4375" s="35">
        <v>42072</v>
      </c>
    </row>
    <row r="4376" spans="1:5" ht="14.25" hidden="1" customHeight="1">
      <c r="A4376" s="16">
        <v>17040749</v>
      </c>
      <c r="B4376" s="17" t="s">
        <v>2132</v>
      </c>
      <c r="C4376" s="17" t="s">
        <v>465</v>
      </c>
      <c r="D4376" s="5" t="s">
        <v>7309</v>
      </c>
      <c r="E4376" s="35">
        <v>42072</v>
      </c>
    </row>
    <row r="4377" spans="1:5" ht="14.25" hidden="1" customHeight="1">
      <c r="A4377" s="16">
        <v>20219081</v>
      </c>
      <c r="B4377" s="17" t="s">
        <v>4014</v>
      </c>
      <c r="C4377" s="17" t="s">
        <v>4015</v>
      </c>
      <c r="D4377" s="5" t="s">
        <v>7309</v>
      </c>
      <c r="E4377" s="35">
        <v>42072</v>
      </c>
    </row>
    <row r="4378" spans="1:5" ht="14.25" hidden="1" customHeight="1">
      <c r="A4378" s="16">
        <v>20370028</v>
      </c>
      <c r="B4378" s="17" t="s">
        <v>789</v>
      </c>
      <c r="C4378" s="17" t="s">
        <v>1809</v>
      </c>
      <c r="D4378" s="5" t="s">
        <v>7309</v>
      </c>
      <c r="E4378" s="35">
        <v>42072</v>
      </c>
    </row>
    <row r="4379" spans="1:5" ht="14.25" hidden="1" customHeight="1">
      <c r="A4379" s="16">
        <v>20418286</v>
      </c>
      <c r="B4379" s="17" t="s">
        <v>4357</v>
      </c>
      <c r="C4379" s="17" t="s">
        <v>4358</v>
      </c>
      <c r="D4379" s="5" t="s">
        <v>7309</v>
      </c>
      <c r="E4379" s="35">
        <v>42072</v>
      </c>
    </row>
    <row r="4380" spans="1:5" ht="14.25" hidden="1" customHeight="1">
      <c r="A4380" s="16">
        <v>20692036</v>
      </c>
      <c r="B4380" s="17" t="s">
        <v>727</v>
      </c>
      <c r="C4380" s="17" t="s">
        <v>7311</v>
      </c>
      <c r="D4380" s="5" t="s">
        <v>7309</v>
      </c>
      <c r="E4380" s="35">
        <v>42072</v>
      </c>
    </row>
    <row r="4381" spans="1:5" ht="14.25" hidden="1" customHeight="1">
      <c r="A4381" s="16">
        <v>22181097</v>
      </c>
      <c r="B4381" s="17" t="s">
        <v>4043</v>
      </c>
      <c r="C4381" s="17" t="s">
        <v>4044</v>
      </c>
      <c r="D4381" s="5" t="s">
        <v>7309</v>
      </c>
      <c r="E4381" s="35">
        <v>42072</v>
      </c>
    </row>
    <row r="4382" spans="1:5" ht="14.25" hidden="1" customHeight="1">
      <c r="A4382" s="16">
        <v>24294033</v>
      </c>
      <c r="B4382" s="17" t="s">
        <v>3572</v>
      </c>
      <c r="C4382" s="17" t="s">
        <v>3573</v>
      </c>
      <c r="D4382" s="5" t="s">
        <v>7309</v>
      </c>
      <c r="E4382" s="35">
        <v>42072</v>
      </c>
    </row>
    <row r="4383" spans="1:5" ht="14.25" hidden="1" customHeight="1">
      <c r="A4383" s="16">
        <v>27210672</v>
      </c>
      <c r="B4383" s="17" t="s">
        <v>342</v>
      </c>
      <c r="C4383" s="17" t="s">
        <v>3299</v>
      </c>
      <c r="D4383" s="5" t="s">
        <v>7309</v>
      </c>
      <c r="E4383" s="35">
        <v>42072</v>
      </c>
    </row>
    <row r="4384" spans="1:5" ht="14.25" hidden="1" customHeight="1">
      <c r="A4384" s="16">
        <v>31644266</v>
      </c>
      <c r="B4384" s="17" t="s">
        <v>3149</v>
      </c>
      <c r="C4384" s="17" t="s">
        <v>3307</v>
      </c>
      <c r="D4384" s="5" t="s">
        <v>7309</v>
      </c>
      <c r="E4384" s="35">
        <v>42072</v>
      </c>
    </row>
    <row r="4385" spans="1:5" ht="14.25" hidden="1" customHeight="1">
      <c r="A4385" s="16">
        <v>33632177</v>
      </c>
      <c r="B4385" s="17" t="s">
        <v>1922</v>
      </c>
      <c r="C4385" s="17" t="s">
        <v>363</v>
      </c>
      <c r="D4385" s="5" t="s">
        <v>7309</v>
      </c>
      <c r="E4385" s="35">
        <v>42072</v>
      </c>
    </row>
    <row r="4386" spans="1:5" ht="14.25" hidden="1" customHeight="1">
      <c r="A4386" s="16">
        <v>43162475</v>
      </c>
      <c r="B4386" s="25" t="s">
        <v>774</v>
      </c>
      <c r="C4386" s="25" t="s">
        <v>7310</v>
      </c>
      <c r="D4386" s="5" t="s">
        <v>7309</v>
      </c>
      <c r="E4386" s="35">
        <v>42072</v>
      </c>
    </row>
    <row r="4387" spans="1:5" ht="14.25" hidden="1" customHeight="1">
      <c r="A4387" s="16">
        <v>13203535</v>
      </c>
      <c r="B4387" s="17" t="s">
        <v>7152</v>
      </c>
      <c r="C4387" s="17" t="s">
        <v>2016</v>
      </c>
      <c r="D4387" s="5" t="s">
        <v>7018</v>
      </c>
      <c r="E4387" s="35">
        <v>42072</v>
      </c>
    </row>
    <row r="4388" spans="1:5" ht="14.25" hidden="1" customHeight="1">
      <c r="A4388" s="16">
        <v>13628928</v>
      </c>
      <c r="B4388" s="17" t="s">
        <v>5178</v>
      </c>
      <c r="C4388" s="17" t="s">
        <v>5179</v>
      </c>
      <c r="D4388" s="5" t="s">
        <v>7018</v>
      </c>
      <c r="E4388" s="35">
        <v>42072</v>
      </c>
    </row>
    <row r="4389" spans="1:5" ht="14.25" hidden="1" customHeight="1">
      <c r="A4389" s="16">
        <v>13848349</v>
      </c>
      <c r="B4389" s="17" t="s">
        <v>652</v>
      </c>
      <c r="C4389" s="17" t="s">
        <v>465</v>
      </c>
      <c r="D4389" s="5" t="s">
        <v>7018</v>
      </c>
      <c r="E4389" s="35">
        <v>42072</v>
      </c>
    </row>
    <row r="4390" spans="1:5" ht="14.25" hidden="1" customHeight="1">
      <c r="A4390" s="16">
        <v>14225645</v>
      </c>
      <c r="B4390" s="17" t="s">
        <v>3311</v>
      </c>
      <c r="C4390" s="17" t="s">
        <v>3312</v>
      </c>
      <c r="D4390" s="5" t="s">
        <v>7018</v>
      </c>
      <c r="E4390" s="35">
        <v>42072</v>
      </c>
    </row>
    <row r="4391" spans="1:5" ht="14.25" hidden="1" customHeight="1">
      <c r="A4391" s="16">
        <v>17655489</v>
      </c>
      <c r="B4391" s="17" t="s">
        <v>1973</v>
      </c>
      <c r="C4391" s="17" t="s">
        <v>7313</v>
      </c>
      <c r="D4391" s="5" t="s">
        <v>7018</v>
      </c>
      <c r="E4391" s="35">
        <v>42072</v>
      </c>
    </row>
    <row r="4392" spans="1:5" ht="14.25" hidden="1" customHeight="1">
      <c r="A4392" s="16">
        <v>24253315</v>
      </c>
      <c r="B4392" s="17" t="s">
        <v>3597</v>
      </c>
      <c r="C4392" s="17" t="s">
        <v>3598</v>
      </c>
      <c r="D4392" s="5" t="s">
        <v>7018</v>
      </c>
      <c r="E4392" s="35">
        <v>42072</v>
      </c>
    </row>
    <row r="4393" spans="1:5" ht="14.25" hidden="1" customHeight="1">
      <c r="A4393" s="16">
        <v>25735232</v>
      </c>
      <c r="B4393" s="17" t="s">
        <v>875</v>
      </c>
      <c r="C4393" s="17" t="s">
        <v>5286</v>
      </c>
      <c r="D4393" s="5" t="s">
        <v>7018</v>
      </c>
      <c r="E4393" s="35">
        <v>42072</v>
      </c>
    </row>
    <row r="4394" spans="1:5" ht="14.25" hidden="1" customHeight="1">
      <c r="A4394" s="16">
        <v>29060073</v>
      </c>
      <c r="B4394" s="17" t="s">
        <v>4836</v>
      </c>
      <c r="C4394" s="17" t="s">
        <v>1061</v>
      </c>
      <c r="D4394" s="5" t="s">
        <v>7018</v>
      </c>
      <c r="E4394" s="35">
        <v>42072</v>
      </c>
    </row>
    <row r="4395" spans="1:5" ht="14.25" hidden="1" customHeight="1">
      <c r="A4395" s="16">
        <v>30597790</v>
      </c>
      <c r="B4395" s="17" t="s">
        <v>3039</v>
      </c>
      <c r="C4395" s="17" t="s">
        <v>3040</v>
      </c>
      <c r="D4395" s="5" t="s">
        <v>7018</v>
      </c>
      <c r="E4395" s="35">
        <v>42072</v>
      </c>
    </row>
    <row r="4396" spans="1:5" ht="14.25" hidden="1" customHeight="1">
      <c r="A4396" s="16">
        <v>11551761</v>
      </c>
      <c r="B4396" s="17" t="s">
        <v>4085</v>
      </c>
      <c r="C4396" s="17" t="s">
        <v>962</v>
      </c>
      <c r="D4396" s="5" t="s">
        <v>7314</v>
      </c>
      <c r="E4396" s="35">
        <v>42062</v>
      </c>
    </row>
    <row r="4397" spans="1:5" ht="14.25" hidden="1" customHeight="1">
      <c r="A4397" s="16">
        <v>13513536</v>
      </c>
      <c r="B4397" s="17" t="s">
        <v>6010</v>
      </c>
      <c r="C4397" s="17" t="s">
        <v>6011</v>
      </c>
      <c r="D4397" s="5" t="s">
        <v>7314</v>
      </c>
      <c r="E4397" s="35">
        <v>42062</v>
      </c>
    </row>
    <row r="4398" spans="1:5" ht="14.25" hidden="1" customHeight="1">
      <c r="A4398" s="16">
        <v>13513673</v>
      </c>
      <c r="B4398" s="17" t="s">
        <v>226</v>
      </c>
      <c r="C4398" s="17" t="s">
        <v>4114</v>
      </c>
      <c r="D4398" s="5" t="s">
        <v>7314</v>
      </c>
      <c r="E4398" s="35">
        <v>42062</v>
      </c>
    </row>
    <row r="4399" spans="1:5" ht="14.25" hidden="1" customHeight="1">
      <c r="A4399" s="16">
        <v>13513722</v>
      </c>
      <c r="B4399" s="17" t="s">
        <v>315</v>
      </c>
      <c r="C4399" s="17" t="s">
        <v>4133</v>
      </c>
      <c r="D4399" s="5" t="s">
        <v>7314</v>
      </c>
      <c r="E4399" s="35">
        <v>42062</v>
      </c>
    </row>
    <row r="4400" spans="1:5" ht="14.25" hidden="1" customHeight="1">
      <c r="A4400" s="16">
        <v>14296712</v>
      </c>
      <c r="B4400" s="17" t="s">
        <v>2544</v>
      </c>
      <c r="C4400" s="17" t="s">
        <v>4136</v>
      </c>
      <c r="D4400" s="5" t="s">
        <v>7314</v>
      </c>
      <c r="E4400" s="35">
        <v>42062</v>
      </c>
    </row>
    <row r="4401" spans="1:5" ht="14.25" hidden="1" customHeight="1">
      <c r="A4401" s="16">
        <v>14368715</v>
      </c>
      <c r="B4401" s="17" t="s">
        <v>4126</v>
      </c>
      <c r="C4401" s="17" t="s">
        <v>4127</v>
      </c>
      <c r="D4401" s="5" t="s">
        <v>7314</v>
      </c>
      <c r="E4401" s="35">
        <v>42062</v>
      </c>
    </row>
    <row r="4402" spans="1:5" ht="14.25" hidden="1" customHeight="1">
      <c r="A4402" s="16">
        <v>14427866</v>
      </c>
      <c r="B4402" s="17" t="s">
        <v>4150</v>
      </c>
      <c r="C4402" s="17" t="s">
        <v>3106</v>
      </c>
      <c r="D4402" s="5" t="s">
        <v>7314</v>
      </c>
      <c r="E4402" s="35">
        <v>42062</v>
      </c>
    </row>
    <row r="4403" spans="1:5" ht="14.25" hidden="1" customHeight="1">
      <c r="A4403" s="16">
        <v>14465846</v>
      </c>
      <c r="B4403" s="17" t="s">
        <v>1890</v>
      </c>
      <c r="C4403" s="17" t="s">
        <v>4076</v>
      </c>
      <c r="D4403" s="5" t="s">
        <v>7314</v>
      </c>
      <c r="E4403" s="35">
        <v>42062</v>
      </c>
    </row>
    <row r="4404" spans="1:5" ht="14.25" hidden="1" customHeight="1">
      <c r="A4404" s="16">
        <v>14466103</v>
      </c>
      <c r="B4404" s="17" t="s">
        <v>4161</v>
      </c>
      <c r="C4404" s="17" t="s">
        <v>4162</v>
      </c>
      <c r="D4404" s="5" t="s">
        <v>7314</v>
      </c>
      <c r="E4404" s="35">
        <v>42062</v>
      </c>
    </row>
    <row r="4405" spans="1:5" ht="14.25" hidden="1" customHeight="1">
      <c r="A4405" s="16">
        <v>16383516</v>
      </c>
      <c r="B4405" s="17" t="s">
        <v>6072</v>
      </c>
      <c r="C4405" s="17" t="s">
        <v>6073</v>
      </c>
      <c r="D4405" s="5" t="s">
        <v>7314</v>
      </c>
      <c r="E4405" s="35">
        <v>42062</v>
      </c>
    </row>
    <row r="4406" spans="1:5" ht="14.25" hidden="1" customHeight="1">
      <c r="A4406" s="16">
        <v>17432475</v>
      </c>
      <c r="B4406" s="17" t="s">
        <v>685</v>
      </c>
      <c r="C4406" s="17" t="s">
        <v>2284</v>
      </c>
      <c r="D4406" s="5" t="s">
        <v>7314</v>
      </c>
      <c r="E4406" s="35">
        <v>42062</v>
      </c>
    </row>
    <row r="4407" spans="1:5" ht="14.25" hidden="1" customHeight="1">
      <c r="A4407" s="16">
        <v>17866143</v>
      </c>
      <c r="B4407" s="17" t="s">
        <v>4122</v>
      </c>
      <c r="C4407" s="17" t="s">
        <v>4123</v>
      </c>
      <c r="D4407" s="5" t="s">
        <v>7314</v>
      </c>
      <c r="E4407" s="35">
        <v>42062</v>
      </c>
    </row>
    <row r="4408" spans="1:5" ht="14.25" hidden="1" customHeight="1">
      <c r="A4408" s="16">
        <v>17927508</v>
      </c>
      <c r="B4408" s="17" t="s">
        <v>4088</v>
      </c>
      <c r="C4408" s="17" t="s">
        <v>4089</v>
      </c>
      <c r="D4408" s="5" t="s">
        <v>7314</v>
      </c>
      <c r="E4408" s="35">
        <v>42062</v>
      </c>
    </row>
    <row r="4409" spans="1:5" ht="14.25" hidden="1" customHeight="1">
      <c r="A4409" s="16">
        <v>18536980</v>
      </c>
      <c r="B4409" s="17" t="s">
        <v>608</v>
      </c>
      <c r="C4409" s="17" t="s">
        <v>634</v>
      </c>
      <c r="D4409" s="5" t="s">
        <v>7314</v>
      </c>
      <c r="E4409" s="35">
        <v>42062</v>
      </c>
    </row>
    <row r="4410" spans="1:5" ht="14.25" hidden="1" customHeight="1">
      <c r="A4410" s="16">
        <v>20161293</v>
      </c>
      <c r="B4410" s="17" t="s">
        <v>2243</v>
      </c>
      <c r="C4410" s="17" t="s">
        <v>325</v>
      </c>
      <c r="D4410" s="5" t="s">
        <v>7314</v>
      </c>
      <c r="E4410" s="35">
        <v>42062</v>
      </c>
    </row>
    <row r="4411" spans="1:5" ht="14.25" hidden="1" customHeight="1">
      <c r="A4411" s="16">
        <v>20422917</v>
      </c>
      <c r="B4411" s="17" t="s">
        <v>4117</v>
      </c>
      <c r="C4411" s="17" t="s">
        <v>4118</v>
      </c>
      <c r="D4411" s="5" t="s">
        <v>7314</v>
      </c>
      <c r="E4411" s="35">
        <v>42062</v>
      </c>
    </row>
    <row r="4412" spans="1:5" ht="14.25" hidden="1" customHeight="1">
      <c r="A4412" s="16">
        <v>21336944</v>
      </c>
      <c r="B4412" s="17" t="s">
        <v>3330</v>
      </c>
      <c r="C4412" s="17" t="s">
        <v>2873</v>
      </c>
      <c r="D4412" s="5" t="s">
        <v>7314</v>
      </c>
      <c r="E4412" s="35">
        <v>42062</v>
      </c>
    </row>
    <row r="4413" spans="1:5" ht="14.25" hidden="1" customHeight="1">
      <c r="A4413" s="16">
        <v>21745459</v>
      </c>
      <c r="B4413" s="17" t="s">
        <v>4139</v>
      </c>
      <c r="C4413" s="17" t="s">
        <v>4140</v>
      </c>
      <c r="D4413" s="5" t="s">
        <v>7314</v>
      </c>
      <c r="E4413" s="35">
        <v>42062</v>
      </c>
    </row>
    <row r="4414" spans="1:5" ht="14.25" hidden="1" customHeight="1">
      <c r="A4414" s="16">
        <v>21747784</v>
      </c>
      <c r="B4414" s="17" t="s">
        <v>4159</v>
      </c>
      <c r="C4414" s="17" t="s">
        <v>2783</v>
      </c>
      <c r="D4414" s="5" t="s">
        <v>7314</v>
      </c>
      <c r="E4414" s="35">
        <v>42062</v>
      </c>
    </row>
    <row r="4415" spans="1:5" ht="14.25" hidden="1" customHeight="1">
      <c r="A4415" s="16">
        <v>21805042</v>
      </c>
      <c r="B4415" s="17" t="s">
        <v>4106</v>
      </c>
      <c r="C4415" s="17" t="s">
        <v>4107</v>
      </c>
      <c r="D4415" s="5" t="s">
        <v>7314</v>
      </c>
      <c r="E4415" s="35">
        <v>42062</v>
      </c>
    </row>
    <row r="4416" spans="1:5" ht="14.25" hidden="1" customHeight="1">
      <c r="A4416" s="16">
        <v>21805333</v>
      </c>
      <c r="B4416" s="17" t="s">
        <v>6392</v>
      </c>
      <c r="C4416" s="17" t="s">
        <v>6393</v>
      </c>
      <c r="D4416" s="5" t="s">
        <v>7314</v>
      </c>
      <c r="E4416" s="35">
        <v>42062</v>
      </c>
    </row>
    <row r="4417" spans="1:5" ht="14.25" hidden="1" customHeight="1">
      <c r="A4417" s="16">
        <v>22397156</v>
      </c>
      <c r="B4417" s="17" t="s">
        <v>3418</v>
      </c>
      <c r="C4417" s="17" t="s">
        <v>3212</v>
      </c>
      <c r="D4417" s="5" t="s">
        <v>7314</v>
      </c>
      <c r="E4417" s="35">
        <v>42062</v>
      </c>
    </row>
    <row r="4418" spans="1:5" ht="14.25" hidden="1" customHeight="1">
      <c r="A4418" s="16">
        <v>22740729</v>
      </c>
      <c r="B4418" s="17" t="s">
        <v>4170</v>
      </c>
      <c r="C4418" s="17" t="s">
        <v>4171</v>
      </c>
      <c r="D4418" s="5" t="s">
        <v>7314</v>
      </c>
      <c r="E4418" s="35">
        <v>42062</v>
      </c>
    </row>
    <row r="4419" spans="1:5" ht="14.25" hidden="1" customHeight="1">
      <c r="A4419" s="16">
        <v>23055590</v>
      </c>
      <c r="B4419" s="17" t="s">
        <v>4129</v>
      </c>
      <c r="C4419" s="17" t="s">
        <v>4130</v>
      </c>
      <c r="D4419" s="5" t="s">
        <v>7314</v>
      </c>
      <c r="E4419" s="35">
        <v>42062</v>
      </c>
    </row>
    <row r="4420" spans="1:5" ht="14.25" hidden="1" customHeight="1">
      <c r="A4420" s="16">
        <v>23117002</v>
      </c>
      <c r="B4420" s="17" t="s">
        <v>6082</v>
      </c>
      <c r="C4420" s="17" t="s">
        <v>3787</v>
      </c>
      <c r="D4420" s="5" t="s">
        <v>7314</v>
      </c>
      <c r="E4420" s="35">
        <v>42062</v>
      </c>
    </row>
    <row r="4421" spans="1:5" ht="14.25" hidden="1" customHeight="1">
      <c r="A4421" s="16">
        <v>23141217</v>
      </c>
      <c r="B4421" s="17" t="s">
        <v>5968</v>
      </c>
      <c r="C4421" s="17" t="s">
        <v>2613</v>
      </c>
      <c r="D4421" s="5" t="s">
        <v>7314</v>
      </c>
      <c r="E4421" s="35">
        <v>42062</v>
      </c>
    </row>
    <row r="4422" spans="1:5" ht="14.25" hidden="1" customHeight="1">
      <c r="A4422" s="16">
        <v>23994310</v>
      </c>
      <c r="B4422" s="17" t="s">
        <v>4092</v>
      </c>
      <c r="C4422" s="17" t="s">
        <v>4093</v>
      </c>
      <c r="D4422" s="5" t="s">
        <v>7314</v>
      </c>
      <c r="E4422" s="35">
        <v>42062</v>
      </c>
    </row>
    <row r="4423" spans="1:5" ht="14.25" hidden="1" customHeight="1">
      <c r="A4423" s="16">
        <v>24147391</v>
      </c>
      <c r="B4423" s="17" t="s">
        <v>1565</v>
      </c>
      <c r="C4423" s="17" t="s">
        <v>215</v>
      </c>
      <c r="D4423" s="5" t="s">
        <v>7314</v>
      </c>
      <c r="E4423" s="35">
        <v>42062</v>
      </c>
    </row>
    <row r="4424" spans="1:5" ht="14.25" hidden="1" customHeight="1">
      <c r="A4424" s="16">
        <v>24279216</v>
      </c>
      <c r="B4424" s="17" t="s">
        <v>1910</v>
      </c>
      <c r="C4424" s="17" t="s">
        <v>2873</v>
      </c>
      <c r="D4424" s="5" t="s">
        <v>7314</v>
      </c>
      <c r="E4424" s="35">
        <v>42062</v>
      </c>
    </row>
    <row r="4425" spans="1:5" ht="14.25" hidden="1" customHeight="1">
      <c r="A4425" s="16">
        <v>24504911</v>
      </c>
      <c r="B4425" s="17" t="s">
        <v>5971</v>
      </c>
      <c r="C4425" s="17" t="s">
        <v>5972</v>
      </c>
      <c r="D4425" s="5" t="s">
        <v>7314</v>
      </c>
      <c r="E4425" s="35">
        <v>42062</v>
      </c>
    </row>
    <row r="4426" spans="1:5" ht="14.25" hidden="1" customHeight="1">
      <c r="A4426" s="16">
        <v>24953750</v>
      </c>
      <c r="B4426" s="17" t="s">
        <v>1660</v>
      </c>
      <c r="C4426" s="17" t="s">
        <v>4302</v>
      </c>
      <c r="D4426" s="5" t="s">
        <v>7314</v>
      </c>
      <c r="E4426" s="35">
        <v>42062</v>
      </c>
    </row>
    <row r="4427" spans="1:5" ht="14.25" hidden="1" customHeight="1">
      <c r="A4427" s="16">
        <v>25047805</v>
      </c>
      <c r="B4427" s="17" t="s">
        <v>4167</v>
      </c>
      <c r="C4427" s="17" t="s">
        <v>4168</v>
      </c>
      <c r="D4427" s="5" t="s">
        <v>7314</v>
      </c>
      <c r="E4427" s="35">
        <v>42062</v>
      </c>
    </row>
    <row r="4428" spans="1:5" ht="14.25" hidden="1" customHeight="1">
      <c r="A4428" s="16">
        <v>25320092</v>
      </c>
      <c r="B4428" s="17" t="s">
        <v>4164</v>
      </c>
      <c r="C4428" s="17" t="s">
        <v>360</v>
      </c>
      <c r="D4428" s="5" t="s">
        <v>7314</v>
      </c>
      <c r="E4428" s="35">
        <v>42062</v>
      </c>
    </row>
    <row r="4429" spans="1:5" ht="14.25" hidden="1" customHeight="1">
      <c r="A4429" s="16">
        <v>25331326</v>
      </c>
      <c r="B4429" s="17" t="s">
        <v>4096</v>
      </c>
      <c r="C4429" s="17" t="s">
        <v>4097</v>
      </c>
      <c r="D4429" s="5" t="s">
        <v>7314</v>
      </c>
      <c r="E4429" s="35">
        <v>42062</v>
      </c>
    </row>
    <row r="4430" spans="1:5" ht="14.25" hidden="1" customHeight="1">
      <c r="A4430" s="16">
        <v>25368498</v>
      </c>
      <c r="B4430" s="17" t="s">
        <v>252</v>
      </c>
      <c r="C4430" s="17" t="s">
        <v>6189</v>
      </c>
      <c r="D4430" s="5" t="s">
        <v>7314</v>
      </c>
      <c r="E4430" s="35">
        <v>42062</v>
      </c>
    </row>
    <row r="4431" spans="1:5" ht="14.25" hidden="1" customHeight="1">
      <c r="A4431" s="16">
        <v>26246391</v>
      </c>
      <c r="B4431" s="17" t="s">
        <v>2304</v>
      </c>
      <c r="C4431" s="17" t="s">
        <v>2684</v>
      </c>
      <c r="D4431" s="5" t="s">
        <v>7314</v>
      </c>
      <c r="E4431" s="35">
        <v>42062</v>
      </c>
    </row>
    <row r="4432" spans="1:5" ht="14.25" hidden="1" customHeight="1">
      <c r="A4432" s="16">
        <v>26506617</v>
      </c>
      <c r="B4432" s="17" t="s">
        <v>1890</v>
      </c>
      <c r="C4432" s="17" t="s">
        <v>4081</v>
      </c>
      <c r="D4432" s="5" t="s">
        <v>7314</v>
      </c>
      <c r="E4432" s="35">
        <v>42062</v>
      </c>
    </row>
    <row r="4433" spans="1:5" ht="14.25" hidden="1" customHeight="1">
      <c r="A4433" s="16">
        <v>26579620</v>
      </c>
      <c r="B4433" s="17" t="s">
        <v>2304</v>
      </c>
      <c r="C4433" s="17" t="s">
        <v>2010</v>
      </c>
      <c r="D4433" s="5" t="s">
        <v>7314</v>
      </c>
      <c r="E4433" s="35">
        <v>42062</v>
      </c>
    </row>
    <row r="4434" spans="1:5" ht="14.25" hidden="1" customHeight="1">
      <c r="A4434" s="16">
        <v>27141607</v>
      </c>
      <c r="B4434" s="17" t="s">
        <v>190</v>
      </c>
      <c r="C4434" s="17" t="s">
        <v>4103</v>
      </c>
      <c r="D4434" s="5" t="s">
        <v>7314</v>
      </c>
      <c r="E4434" s="35">
        <v>42062</v>
      </c>
    </row>
    <row r="4435" spans="1:5" ht="14.25" hidden="1" customHeight="1">
      <c r="A4435" s="16">
        <v>27496935</v>
      </c>
      <c r="B4435" s="17" t="s">
        <v>4153</v>
      </c>
      <c r="C4435" s="17" t="s">
        <v>4154</v>
      </c>
      <c r="D4435" s="5" t="s">
        <v>7314</v>
      </c>
      <c r="E4435" s="35">
        <v>42062</v>
      </c>
    </row>
    <row r="4436" spans="1:5" ht="14.25" hidden="1" customHeight="1">
      <c r="A4436" s="16">
        <v>27735821</v>
      </c>
      <c r="B4436" s="17" t="s">
        <v>734</v>
      </c>
      <c r="C4436" s="17" t="s">
        <v>4147</v>
      </c>
      <c r="D4436" s="5" t="s">
        <v>7314</v>
      </c>
      <c r="E4436" s="35">
        <v>42062</v>
      </c>
    </row>
    <row r="4437" spans="1:5" ht="14.25" hidden="1" customHeight="1">
      <c r="A4437" s="16">
        <v>27735892</v>
      </c>
      <c r="B4437" s="17" t="s">
        <v>195</v>
      </c>
      <c r="C4437" s="17" t="s">
        <v>6087</v>
      </c>
      <c r="D4437" s="5" t="s">
        <v>7314</v>
      </c>
      <c r="E4437" s="35">
        <v>42062</v>
      </c>
    </row>
    <row r="4438" spans="1:5" ht="14.25" hidden="1" customHeight="1">
      <c r="A4438" s="16">
        <v>28893663</v>
      </c>
      <c r="B4438" s="17" t="s">
        <v>4143</v>
      </c>
      <c r="C4438" s="17" t="s">
        <v>4144</v>
      </c>
      <c r="D4438" s="5" t="s">
        <v>7314</v>
      </c>
      <c r="E4438" s="35">
        <v>42062</v>
      </c>
    </row>
    <row r="4439" spans="1:5" ht="14.25" hidden="1" customHeight="1">
      <c r="A4439" s="16">
        <v>29085118</v>
      </c>
      <c r="B4439" s="17" t="s">
        <v>6020</v>
      </c>
      <c r="C4439" s="17" t="s">
        <v>6021</v>
      </c>
      <c r="D4439" s="5" t="s">
        <v>7314</v>
      </c>
      <c r="E4439" s="35">
        <v>42062</v>
      </c>
    </row>
    <row r="4440" spans="1:5" ht="14.25" hidden="1" customHeight="1">
      <c r="A4440" s="16">
        <v>31128239</v>
      </c>
      <c r="B4440" s="17" t="s">
        <v>4112</v>
      </c>
      <c r="C4440" s="17" t="s">
        <v>3888</v>
      </c>
      <c r="D4440" s="5" t="s">
        <v>7314</v>
      </c>
      <c r="E4440" s="35">
        <v>42062</v>
      </c>
    </row>
    <row r="4441" spans="1:5" ht="14.25" hidden="1" customHeight="1">
      <c r="A4441" s="16">
        <v>31543232</v>
      </c>
      <c r="B4441" s="17" t="s">
        <v>6229</v>
      </c>
      <c r="C4441" s="17" t="s">
        <v>6230</v>
      </c>
      <c r="D4441" s="5" t="s">
        <v>7314</v>
      </c>
      <c r="E4441" s="35">
        <v>42062</v>
      </c>
    </row>
    <row r="4442" spans="1:5" ht="14.25" hidden="1" customHeight="1">
      <c r="A4442" s="16">
        <v>11463393</v>
      </c>
      <c r="B4442" s="17" t="s">
        <v>7318</v>
      </c>
      <c r="C4442" s="17" t="s">
        <v>427</v>
      </c>
      <c r="D4442" s="5" t="s">
        <v>7315</v>
      </c>
      <c r="E4442" s="35">
        <v>41949</v>
      </c>
    </row>
    <row r="4443" spans="1:5" ht="14.25" hidden="1" customHeight="1">
      <c r="A4443" s="16">
        <v>14226130</v>
      </c>
      <c r="B4443" s="17" t="s">
        <v>190</v>
      </c>
      <c r="C4443" s="17" t="s">
        <v>884</v>
      </c>
      <c r="D4443" s="5" t="s">
        <v>7315</v>
      </c>
      <c r="E4443" s="35">
        <v>41949</v>
      </c>
    </row>
    <row r="4444" spans="1:5" ht="14.25" hidden="1" customHeight="1">
      <c r="A4444" s="16">
        <v>14966562</v>
      </c>
      <c r="B4444" s="17" t="s">
        <v>7321</v>
      </c>
      <c r="C4444" s="17" t="s">
        <v>7322</v>
      </c>
      <c r="D4444" s="5" t="s">
        <v>7315</v>
      </c>
      <c r="E4444" s="35">
        <v>41949</v>
      </c>
    </row>
    <row r="4445" spans="1:5" ht="14.25" hidden="1" customHeight="1">
      <c r="A4445" s="16">
        <v>16122276</v>
      </c>
      <c r="B4445" s="17" t="s">
        <v>4643</v>
      </c>
      <c r="C4445" s="17" t="s">
        <v>600</v>
      </c>
      <c r="D4445" s="5" t="s">
        <v>7315</v>
      </c>
      <c r="E4445" s="35">
        <v>41949</v>
      </c>
    </row>
    <row r="4446" spans="1:5" ht="14.25" hidden="1" customHeight="1">
      <c r="A4446" s="16">
        <v>16425202</v>
      </c>
      <c r="B4446" s="17" t="s">
        <v>760</v>
      </c>
      <c r="C4446" s="17" t="s">
        <v>783</v>
      </c>
      <c r="D4446" s="5" t="s">
        <v>7315</v>
      </c>
      <c r="E4446" s="35">
        <v>41949</v>
      </c>
    </row>
    <row r="4447" spans="1:5" ht="14.25" hidden="1" customHeight="1">
      <c r="A4447" s="16">
        <v>16859302</v>
      </c>
      <c r="B4447" s="17" t="s">
        <v>1774</v>
      </c>
      <c r="C4447" s="17" t="s">
        <v>7317</v>
      </c>
      <c r="D4447" s="5" t="s">
        <v>7315</v>
      </c>
      <c r="E4447" s="35">
        <v>41949</v>
      </c>
    </row>
    <row r="4448" spans="1:5" ht="14.25" hidden="1" customHeight="1">
      <c r="A4448" s="16">
        <v>17779601</v>
      </c>
      <c r="B4448" s="17" t="s">
        <v>7175</v>
      </c>
      <c r="C4448" s="17" t="s">
        <v>1459</v>
      </c>
      <c r="D4448" s="5" t="s">
        <v>7315</v>
      </c>
      <c r="E4448" s="35">
        <v>41949</v>
      </c>
    </row>
    <row r="4449" spans="1:5" ht="14.25" hidden="1" customHeight="1">
      <c r="A4449" s="16">
        <v>17866143</v>
      </c>
      <c r="B4449" s="17" t="s">
        <v>4122</v>
      </c>
      <c r="C4449" s="17" t="s">
        <v>4123</v>
      </c>
      <c r="D4449" s="5" t="s">
        <v>7315</v>
      </c>
      <c r="E4449" s="35">
        <v>41949</v>
      </c>
    </row>
    <row r="4450" spans="1:5" ht="14.25" hidden="1" customHeight="1">
      <c r="A4450" s="16">
        <v>18102826</v>
      </c>
      <c r="B4450" s="17" t="s">
        <v>3176</v>
      </c>
      <c r="C4450" s="17" t="s">
        <v>3998</v>
      </c>
      <c r="D4450" s="5" t="s">
        <v>7315</v>
      </c>
      <c r="E4450" s="35">
        <v>41949</v>
      </c>
    </row>
    <row r="4451" spans="1:5" ht="14.25" hidden="1" customHeight="1">
      <c r="A4451" s="16">
        <v>22283701</v>
      </c>
      <c r="B4451" s="17" t="s">
        <v>7316</v>
      </c>
      <c r="C4451" s="17" t="s">
        <v>610</v>
      </c>
      <c r="D4451" s="5" t="s">
        <v>7315</v>
      </c>
      <c r="E4451" s="35">
        <v>41949</v>
      </c>
    </row>
    <row r="4452" spans="1:5" ht="14.25" hidden="1" customHeight="1">
      <c r="A4452" s="16">
        <v>22428522</v>
      </c>
      <c r="B4452" s="17" t="s">
        <v>4879</v>
      </c>
      <c r="C4452" s="17" t="s">
        <v>4880</v>
      </c>
      <c r="D4452" s="5" t="s">
        <v>7315</v>
      </c>
      <c r="E4452" s="35">
        <v>41949</v>
      </c>
    </row>
    <row r="4453" spans="1:5" ht="14.25" hidden="1" customHeight="1">
      <c r="A4453" s="16">
        <v>25923733</v>
      </c>
      <c r="B4453" s="17" t="s">
        <v>7320</v>
      </c>
      <c r="C4453" s="17" t="s">
        <v>108</v>
      </c>
      <c r="D4453" s="5" t="s">
        <v>7315</v>
      </c>
      <c r="E4453" s="35">
        <v>41949</v>
      </c>
    </row>
    <row r="4454" spans="1:5" ht="14.25" hidden="1" customHeight="1">
      <c r="A4454" s="16">
        <v>27016649</v>
      </c>
      <c r="B4454" s="17" t="s">
        <v>3172</v>
      </c>
      <c r="C4454" s="17" t="s">
        <v>50</v>
      </c>
      <c r="D4454" s="5" t="s">
        <v>7315</v>
      </c>
      <c r="E4454" s="35">
        <v>41949</v>
      </c>
    </row>
    <row r="4455" spans="1:5" ht="14.25" hidden="1" customHeight="1">
      <c r="A4455" s="16">
        <v>31644266</v>
      </c>
      <c r="B4455" s="17" t="s">
        <v>7319</v>
      </c>
      <c r="C4455" s="17" t="s">
        <v>7190</v>
      </c>
      <c r="D4455" s="5" t="s">
        <v>7315</v>
      </c>
      <c r="E4455" s="35">
        <v>41949</v>
      </c>
    </row>
    <row r="4456" spans="1:5" ht="14.25" hidden="1" customHeight="1">
      <c r="A4456" s="16">
        <v>33818840</v>
      </c>
      <c r="B4456" s="17" t="s">
        <v>377</v>
      </c>
      <c r="C4456" s="17" t="s">
        <v>7235</v>
      </c>
      <c r="D4456" s="5" t="s">
        <v>7315</v>
      </c>
      <c r="E4456" s="35">
        <v>41949</v>
      </c>
    </row>
    <row r="4457" spans="1:5" ht="14.25" hidden="1" customHeight="1">
      <c r="A4457" s="16">
        <v>34089577</v>
      </c>
      <c r="B4457" s="17" t="s">
        <v>285</v>
      </c>
      <c r="C4457" s="17" t="s">
        <v>1389</v>
      </c>
      <c r="D4457" s="5" t="s">
        <v>7315</v>
      </c>
      <c r="E4457" s="35">
        <v>41949</v>
      </c>
    </row>
    <row r="4458" spans="1:5" ht="14.25" hidden="1" customHeight="1">
      <c r="A4458" s="16">
        <v>12512063</v>
      </c>
      <c r="B4458" s="17" t="s">
        <v>6062</v>
      </c>
      <c r="C4458" s="17" t="s">
        <v>6063</v>
      </c>
      <c r="D4458" s="5" t="s">
        <v>7009</v>
      </c>
      <c r="E4458" s="35">
        <v>41947</v>
      </c>
    </row>
    <row r="4459" spans="1:5" ht="14.25" hidden="1" customHeight="1">
      <c r="A4459" s="16">
        <v>20131452</v>
      </c>
      <c r="B4459" s="17" t="s">
        <v>2813</v>
      </c>
      <c r="C4459" s="17" t="s">
        <v>7325</v>
      </c>
      <c r="D4459" s="5" t="s">
        <v>7009</v>
      </c>
      <c r="E4459" s="35">
        <v>41947</v>
      </c>
    </row>
    <row r="4460" spans="1:5" ht="14.25" hidden="1" customHeight="1">
      <c r="A4460" s="16">
        <v>20222823</v>
      </c>
      <c r="B4460" s="17" t="s">
        <v>1571</v>
      </c>
      <c r="C4460" s="17" t="s">
        <v>5785</v>
      </c>
      <c r="D4460" s="5" t="s">
        <v>7009</v>
      </c>
      <c r="E4460" s="35">
        <v>41947</v>
      </c>
    </row>
    <row r="4461" spans="1:5" ht="14.25" hidden="1" customHeight="1">
      <c r="A4461" s="16">
        <v>20418132</v>
      </c>
      <c r="B4461" s="17" t="s">
        <v>374</v>
      </c>
      <c r="C4461" s="17" t="s">
        <v>722</v>
      </c>
      <c r="D4461" s="5" t="s">
        <v>7009</v>
      </c>
      <c r="E4461" s="35">
        <v>41947</v>
      </c>
    </row>
    <row r="4462" spans="1:5" ht="14.25" hidden="1" customHeight="1">
      <c r="A4462" s="16">
        <v>20571549</v>
      </c>
      <c r="B4462" s="17" t="s">
        <v>2586</v>
      </c>
      <c r="C4462" s="17" t="s">
        <v>888</v>
      </c>
      <c r="D4462" s="5" t="s">
        <v>7009</v>
      </c>
      <c r="E4462" s="35">
        <v>41947</v>
      </c>
    </row>
    <row r="4463" spans="1:5" ht="14.25" hidden="1" customHeight="1">
      <c r="A4463" s="16">
        <v>20692487</v>
      </c>
      <c r="B4463" s="17" t="s">
        <v>377</v>
      </c>
      <c r="C4463" s="17" t="s">
        <v>5674</v>
      </c>
      <c r="D4463" s="5" t="s">
        <v>7009</v>
      </c>
      <c r="E4463" s="35">
        <v>41947</v>
      </c>
    </row>
    <row r="4464" spans="1:5" ht="14.25" hidden="1" customHeight="1">
      <c r="A4464" s="16">
        <v>20857513</v>
      </c>
      <c r="B4464" s="17" t="s">
        <v>7141</v>
      </c>
      <c r="C4464" s="17" t="s">
        <v>7324</v>
      </c>
      <c r="D4464" s="5" t="s">
        <v>7009</v>
      </c>
      <c r="E4464" s="35">
        <v>41947</v>
      </c>
    </row>
    <row r="4465" spans="1:5" ht="14.25" hidden="1" customHeight="1">
      <c r="A4465" s="16">
        <v>22030518</v>
      </c>
      <c r="B4465" s="17" t="s">
        <v>599</v>
      </c>
      <c r="C4465" s="17" t="s">
        <v>600</v>
      </c>
      <c r="D4465" s="5" t="s">
        <v>7009</v>
      </c>
      <c r="E4465" s="35">
        <v>41947</v>
      </c>
    </row>
    <row r="4466" spans="1:5" ht="14.25" hidden="1" customHeight="1">
      <c r="A4466" s="16">
        <v>23519882</v>
      </c>
      <c r="B4466" s="17" t="s">
        <v>4847</v>
      </c>
      <c r="C4466" s="17" t="s">
        <v>6125</v>
      </c>
      <c r="D4466" s="5" t="s">
        <v>7009</v>
      </c>
      <c r="E4466" s="35">
        <v>41947</v>
      </c>
    </row>
    <row r="4467" spans="1:5" ht="14.25" hidden="1" customHeight="1">
      <c r="A4467" s="16">
        <v>25542406</v>
      </c>
      <c r="B4467" s="17" t="s">
        <v>184</v>
      </c>
      <c r="C4467" s="17" t="s">
        <v>2123</v>
      </c>
      <c r="D4467" s="5" t="s">
        <v>7009</v>
      </c>
      <c r="E4467" s="35">
        <v>41947</v>
      </c>
    </row>
    <row r="4468" spans="1:5" ht="14.25" hidden="1" customHeight="1">
      <c r="A4468" s="16">
        <v>26638080</v>
      </c>
      <c r="B4468" s="17" t="s">
        <v>443</v>
      </c>
      <c r="C4468" s="17" t="s">
        <v>444</v>
      </c>
      <c r="D4468" s="5" t="s">
        <v>7009</v>
      </c>
      <c r="E4468" s="35">
        <v>41947</v>
      </c>
    </row>
    <row r="4469" spans="1:5" ht="14.25" hidden="1" customHeight="1">
      <c r="A4469" s="16">
        <v>26638778</v>
      </c>
      <c r="B4469" s="17" t="s">
        <v>184</v>
      </c>
      <c r="C4469" s="17" t="s">
        <v>3440</v>
      </c>
      <c r="D4469" s="5" t="s">
        <v>7009</v>
      </c>
      <c r="E4469" s="35">
        <v>41947</v>
      </c>
    </row>
    <row r="4470" spans="1:5" ht="14.25" hidden="1" customHeight="1">
      <c r="A4470" s="16">
        <v>28147332</v>
      </c>
      <c r="B4470" s="17" t="s">
        <v>7107</v>
      </c>
      <c r="C4470" s="17" t="s">
        <v>7108</v>
      </c>
      <c r="D4470" s="5" t="s">
        <v>7009</v>
      </c>
      <c r="E4470" s="35">
        <v>41947</v>
      </c>
    </row>
    <row r="4471" spans="1:5" ht="14.25" hidden="1" customHeight="1">
      <c r="A4471" s="16">
        <v>32201735</v>
      </c>
      <c r="B4471" s="17" t="s">
        <v>2228</v>
      </c>
      <c r="C4471" s="17" t="s">
        <v>6346</v>
      </c>
      <c r="D4471" s="5" t="s">
        <v>7009</v>
      </c>
      <c r="E4471" s="35">
        <v>41947</v>
      </c>
    </row>
    <row r="4472" spans="1:5" ht="14.25" hidden="1" customHeight="1">
      <c r="A4472" s="16">
        <v>32493293</v>
      </c>
      <c r="B4472" s="17" t="s">
        <v>73</v>
      </c>
      <c r="C4472" s="17" t="s">
        <v>74</v>
      </c>
      <c r="D4472" s="5" t="s">
        <v>7009</v>
      </c>
      <c r="E4472" s="35">
        <v>41947</v>
      </c>
    </row>
    <row r="4473" spans="1:5" ht="14.25" hidden="1" customHeight="1">
      <c r="A4473" s="16">
        <v>32927909</v>
      </c>
      <c r="B4473" s="17" t="s">
        <v>4400</v>
      </c>
      <c r="C4473" s="17" t="s">
        <v>1871</v>
      </c>
      <c r="D4473" s="5" t="s">
        <v>7009</v>
      </c>
      <c r="E4473" s="35">
        <v>41947</v>
      </c>
    </row>
    <row r="4474" spans="1:5" ht="14.25" hidden="1" customHeight="1">
      <c r="A4474" s="16">
        <v>33091683</v>
      </c>
      <c r="B4474" s="17" t="s">
        <v>4991</v>
      </c>
      <c r="C4474" s="17" t="s">
        <v>4992</v>
      </c>
      <c r="D4474" s="5" t="s">
        <v>7009</v>
      </c>
      <c r="E4474" s="35">
        <v>41947</v>
      </c>
    </row>
    <row r="4475" spans="1:5" ht="14.25" hidden="1" customHeight="1">
      <c r="A4475" s="16">
        <v>34356805</v>
      </c>
      <c r="B4475" s="17" t="s">
        <v>7152</v>
      </c>
      <c r="C4475" s="17" t="s">
        <v>7323</v>
      </c>
      <c r="D4475" s="5" t="s">
        <v>7009</v>
      </c>
      <c r="E4475" s="35">
        <v>41947</v>
      </c>
    </row>
    <row r="4476" spans="1:5" ht="14.25" hidden="1" customHeight="1">
      <c r="A4476" s="16">
        <v>10221705</v>
      </c>
      <c r="B4476" s="17" t="s">
        <v>226</v>
      </c>
      <c r="C4476" s="17" t="s">
        <v>2052</v>
      </c>
      <c r="D4476" s="1" t="s">
        <v>7042</v>
      </c>
      <c r="E4476" s="35">
        <v>41946</v>
      </c>
    </row>
    <row r="4477" spans="1:5" ht="14.25" hidden="1" customHeight="1">
      <c r="A4477" s="16">
        <v>12869103</v>
      </c>
      <c r="B4477" s="17" t="s">
        <v>2026</v>
      </c>
      <c r="C4477" s="17" t="s">
        <v>2027</v>
      </c>
      <c r="D4477" s="1" t="s">
        <v>7042</v>
      </c>
      <c r="E4477" s="35">
        <v>41946</v>
      </c>
    </row>
    <row r="4478" spans="1:5" ht="14.25" hidden="1" customHeight="1">
      <c r="A4478" s="16">
        <v>13628928</v>
      </c>
      <c r="B4478" s="17" t="s">
        <v>996</v>
      </c>
      <c r="C4478" s="17" t="s">
        <v>7326</v>
      </c>
      <c r="D4478" s="1" t="s">
        <v>7042</v>
      </c>
      <c r="E4478" s="35">
        <v>41946</v>
      </c>
    </row>
    <row r="4479" spans="1:5" ht="14.25" hidden="1" customHeight="1">
      <c r="A4479" s="16">
        <v>17613901</v>
      </c>
      <c r="B4479" s="17" t="s">
        <v>5082</v>
      </c>
      <c r="C4479" s="17" t="s">
        <v>5083</v>
      </c>
      <c r="D4479" s="1" t="s">
        <v>7042</v>
      </c>
      <c r="E4479" s="35">
        <v>41946</v>
      </c>
    </row>
    <row r="4480" spans="1:5" ht="14.25" hidden="1" customHeight="1">
      <c r="A4480" s="16">
        <v>20171458</v>
      </c>
      <c r="B4480" s="17" t="s">
        <v>2813</v>
      </c>
      <c r="C4480" s="17" t="s">
        <v>494</v>
      </c>
      <c r="D4480" s="1" t="s">
        <v>7042</v>
      </c>
      <c r="E4480" s="35">
        <v>41946</v>
      </c>
    </row>
    <row r="4481" spans="1:5" ht="14.25" hidden="1" customHeight="1">
      <c r="A4481" s="16">
        <v>20571549</v>
      </c>
      <c r="B4481" s="17" t="s">
        <v>2586</v>
      </c>
      <c r="C4481" s="17" t="s">
        <v>165</v>
      </c>
      <c r="D4481" s="1" t="s">
        <v>7042</v>
      </c>
      <c r="E4481" s="35">
        <v>41946</v>
      </c>
    </row>
    <row r="4482" spans="1:5" ht="14.25" hidden="1" customHeight="1">
      <c r="A4482" s="16">
        <v>21328291</v>
      </c>
      <c r="B4482" s="17" t="s">
        <v>5500</v>
      </c>
      <c r="C4482" s="17" t="s">
        <v>7158</v>
      </c>
      <c r="D4482" s="1" t="s">
        <v>7042</v>
      </c>
      <c r="E4482" s="35">
        <v>41946</v>
      </c>
    </row>
    <row r="4483" spans="1:5" ht="14.25" hidden="1" customHeight="1">
      <c r="A4483" s="16">
        <v>22451756</v>
      </c>
      <c r="B4483" s="17" t="s">
        <v>983</v>
      </c>
      <c r="C4483" s="17" t="s">
        <v>5325</v>
      </c>
      <c r="D4483" s="1" t="s">
        <v>7042</v>
      </c>
      <c r="E4483" s="35">
        <v>41946</v>
      </c>
    </row>
    <row r="4484" spans="1:5" ht="14.25" hidden="1" customHeight="1">
      <c r="A4484" s="16">
        <v>25844620</v>
      </c>
      <c r="B4484" s="17" t="s">
        <v>154</v>
      </c>
      <c r="C4484" s="17" t="s">
        <v>155</v>
      </c>
      <c r="D4484" s="1" t="s">
        <v>7042</v>
      </c>
      <c r="E4484" s="35">
        <v>41946</v>
      </c>
    </row>
    <row r="4485" spans="1:5" ht="14.25" hidden="1" customHeight="1">
      <c r="A4485" s="16">
        <v>26259728</v>
      </c>
      <c r="B4485" s="17" t="s">
        <v>7327</v>
      </c>
      <c r="C4485" s="17" t="s">
        <v>6080</v>
      </c>
      <c r="D4485" s="1" t="s">
        <v>7042</v>
      </c>
      <c r="E4485" s="35">
        <v>41946</v>
      </c>
    </row>
    <row r="4486" spans="1:5" ht="14.25" hidden="1" customHeight="1">
      <c r="A4486" s="16">
        <v>32455863</v>
      </c>
      <c r="B4486" s="17" t="s">
        <v>2158</v>
      </c>
      <c r="C4486" s="17" t="s">
        <v>2676</v>
      </c>
      <c r="D4486" s="1" t="s">
        <v>7042</v>
      </c>
      <c r="E4486" s="35">
        <v>41946</v>
      </c>
    </row>
    <row r="4487" spans="1:5" ht="14.25" hidden="1" customHeight="1">
      <c r="A4487" s="16">
        <v>33884314</v>
      </c>
      <c r="B4487" s="17" t="s">
        <v>1565</v>
      </c>
      <c r="C4487" s="17" t="s">
        <v>5660</v>
      </c>
      <c r="D4487" s="1" t="s">
        <v>7042</v>
      </c>
      <c r="E4487" s="35">
        <v>41946</v>
      </c>
    </row>
    <row r="4488" spans="1:5" ht="14.25" hidden="1" customHeight="1">
      <c r="A4488" s="16">
        <v>34719301</v>
      </c>
      <c r="B4488" s="17" t="s">
        <v>47</v>
      </c>
      <c r="C4488" s="17" t="s">
        <v>639</v>
      </c>
      <c r="D4488" s="1" t="s">
        <v>7328</v>
      </c>
      <c r="E4488" s="35">
        <v>41946</v>
      </c>
    </row>
    <row r="4489" spans="1:5" ht="14.25" hidden="1" customHeight="1">
      <c r="A4489" s="16">
        <v>34719301</v>
      </c>
      <c r="B4489" s="25" t="s">
        <v>68</v>
      </c>
      <c r="C4489" s="25" t="s">
        <v>639</v>
      </c>
      <c r="D4489" s="1" t="s">
        <v>7328</v>
      </c>
      <c r="E4489" s="35">
        <v>41946</v>
      </c>
    </row>
    <row r="4490" spans="1:5" ht="14.25" hidden="1" customHeight="1">
      <c r="A4490" s="16">
        <v>10219074</v>
      </c>
      <c r="B4490" s="17" t="s">
        <v>7329</v>
      </c>
      <c r="C4490" s="17" t="s">
        <v>7330</v>
      </c>
      <c r="D4490" s="1" t="s">
        <v>7020</v>
      </c>
      <c r="E4490" s="35">
        <v>41946</v>
      </c>
    </row>
    <row r="4491" spans="1:5" ht="14.25" hidden="1" customHeight="1">
      <c r="A4491" s="16">
        <v>13203535</v>
      </c>
      <c r="B4491" s="25" t="s">
        <v>7152</v>
      </c>
      <c r="C4491" s="25" t="s">
        <v>5966</v>
      </c>
      <c r="D4491" s="1" t="s">
        <v>7020</v>
      </c>
      <c r="E4491" s="35">
        <v>41946</v>
      </c>
    </row>
    <row r="4492" spans="1:5" ht="14.25" hidden="1" customHeight="1">
      <c r="A4492" s="16">
        <v>17040749</v>
      </c>
      <c r="B4492" s="17" t="s">
        <v>7332</v>
      </c>
      <c r="C4492" s="17" t="s">
        <v>215</v>
      </c>
      <c r="D4492" s="1" t="s">
        <v>7020</v>
      </c>
      <c r="E4492" s="35">
        <v>41946</v>
      </c>
    </row>
    <row r="4493" spans="1:5" ht="14.25" hidden="1" customHeight="1">
      <c r="A4493" s="16">
        <v>17655489</v>
      </c>
      <c r="B4493" s="17" t="s">
        <v>1973</v>
      </c>
      <c r="C4493" s="17" t="s">
        <v>106</v>
      </c>
      <c r="D4493" s="1" t="s">
        <v>7020</v>
      </c>
      <c r="E4493" s="35">
        <v>41946</v>
      </c>
    </row>
    <row r="4494" spans="1:5" ht="14.25" hidden="1" customHeight="1">
      <c r="A4494" s="16">
        <v>17779601</v>
      </c>
      <c r="B4494" s="17" t="s">
        <v>7175</v>
      </c>
      <c r="C4494" s="17" t="s">
        <v>2161</v>
      </c>
      <c r="D4494" s="1" t="s">
        <v>7020</v>
      </c>
      <c r="E4494" s="35">
        <v>41946</v>
      </c>
    </row>
    <row r="4495" spans="1:5" ht="14.25" hidden="1" customHeight="1">
      <c r="A4495" s="16">
        <v>18255789</v>
      </c>
      <c r="B4495" s="17" t="s">
        <v>6378</v>
      </c>
      <c r="C4495" s="17" t="s">
        <v>2196</v>
      </c>
      <c r="D4495" s="1" t="s">
        <v>7020</v>
      </c>
      <c r="E4495" s="35">
        <v>41946</v>
      </c>
    </row>
    <row r="4496" spans="1:5" ht="14.25" hidden="1" customHeight="1">
      <c r="A4496" s="16">
        <v>20284338</v>
      </c>
      <c r="B4496" s="17" t="s">
        <v>7331</v>
      </c>
      <c r="C4496" s="17" t="s">
        <v>2775</v>
      </c>
      <c r="D4496" s="1" t="s">
        <v>7020</v>
      </c>
      <c r="E4496" s="35">
        <v>41946</v>
      </c>
    </row>
    <row r="4497" spans="1:5" ht="14.25" hidden="1" customHeight="1">
      <c r="A4497" s="16">
        <v>21746943</v>
      </c>
      <c r="B4497" s="17" t="s">
        <v>184</v>
      </c>
      <c r="C4497" s="17" t="s">
        <v>465</v>
      </c>
      <c r="D4497" s="1" t="s">
        <v>7020</v>
      </c>
      <c r="E4497" s="35">
        <v>41946</v>
      </c>
    </row>
    <row r="4498" spans="1:5" ht="14.25" hidden="1" customHeight="1">
      <c r="A4498" s="16">
        <v>24200173</v>
      </c>
      <c r="B4498" s="17" t="s">
        <v>359</v>
      </c>
      <c r="C4498" s="17" t="s">
        <v>6711</v>
      </c>
      <c r="D4498" s="1" t="s">
        <v>7020</v>
      </c>
      <c r="E4498" s="35">
        <v>41946</v>
      </c>
    </row>
    <row r="4499" spans="1:5" ht="14.25" hidden="1" customHeight="1">
      <c r="A4499" s="16">
        <v>24253315</v>
      </c>
      <c r="B4499" s="17" t="s">
        <v>3597</v>
      </c>
      <c r="C4499" s="17" t="s">
        <v>3598</v>
      </c>
      <c r="D4499" s="1" t="s">
        <v>7020</v>
      </c>
      <c r="E4499" s="35">
        <v>41946</v>
      </c>
    </row>
    <row r="4500" spans="1:5" ht="14.25" hidden="1" customHeight="1">
      <c r="A4500" s="16">
        <v>25735232</v>
      </c>
      <c r="B4500" s="17" t="s">
        <v>875</v>
      </c>
      <c r="C4500" s="17" t="s">
        <v>6189</v>
      </c>
      <c r="D4500" s="1" t="s">
        <v>7020</v>
      </c>
      <c r="E4500" s="35">
        <v>41946</v>
      </c>
    </row>
    <row r="4501" spans="1:5" ht="14.25" hidden="1" customHeight="1">
      <c r="A4501" s="16">
        <v>26137864</v>
      </c>
      <c r="B4501" s="17" t="s">
        <v>5098</v>
      </c>
      <c r="C4501" s="17" t="s">
        <v>7333</v>
      </c>
      <c r="D4501" s="1" t="s">
        <v>7020</v>
      </c>
      <c r="E4501" s="35">
        <v>41946</v>
      </c>
    </row>
    <row r="4502" spans="1:5" ht="14.25" hidden="1" customHeight="1">
      <c r="A4502" s="16">
        <v>27210672</v>
      </c>
      <c r="B4502" s="17" t="s">
        <v>342</v>
      </c>
      <c r="C4502" s="17" t="s">
        <v>3299</v>
      </c>
      <c r="D4502" s="1" t="s">
        <v>7020</v>
      </c>
      <c r="E4502" s="35">
        <v>41946</v>
      </c>
    </row>
    <row r="4503" spans="1:5" ht="14.25" hidden="1" customHeight="1">
      <c r="A4503" s="16">
        <v>29914125</v>
      </c>
      <c r="B4503" s="17" t="s">
        <v>3296</v>
      </c>
      <c r="C4503" s="17" t="s">
        <v>3297</v>
      </c>
      <c r="D4503" s="1" t="s">
        <v>7020</v>
      </c>
      <c r="E4503" s="35">
        <v>41946</v>
      </c>
    </row>
    <row r="4504" spans="1:5" ht="14.25" hidden="1" customHeight="1">
      <c r="A4504" s="16">
        <v>10016845</v>
      </c>
      <c r="B4504" s="17" t="s">
        <v>7345</v>
      </c>
      <c r="C4504" s="17" t="s">
        <v>7346</v>
      </c>
      <c r="D4504" s="5" t="s">
        <v>7335</v>
      </c>
      <c r="E4504" s="35">
        <v>41943</v>
      </c>
    </row>
    <row r="4505" spans="1:5" ht="14.25" hidden="1" customHeight="1">
      <c r="A4505" s="16">
        <v>13066434</v>
      </c>
      <c r="B4505" s="17" t="s">
        <v>1565</v>
      </c>
      <c r="C4505" s="17" t="s">
        <v>758</v>
      </c>
      <c r="D4505" s="5" t="s">
        <v>7335</v>
      </c>
      <c r="E4505" s="35">
        <v>41943</v>
      </c>
    </row>
    <row r="4506" spans="1:5" ht="14.25" hidden="1" customHeight="1">
      <c r="A4506" s="16">
        <v>13203668</v>
      </c>
      <c r="B4506" s="17" t="s">
        <v>927</v>
      </c>
      <c r="C4506" s="17" t="s">
        <v>1895</v>
      </c>
      <c r="D4506" s="5" t="s">
        <v>7335</v>
      </c>
      <c r="E4506" s="35">
        <v>41943</v>
      </c>
    </row>
    <row r="4507" spans="1:5" ht="14.25" hidden="1" customHeight="1">
      <c r="A4507" s="16">
        <v>13784703</v>
      </c>
      <c r="B4507" s="17" t="s">
        <v>7347</v>
      </c>
      <c r="C4507" s="17" t="s">
        <v>7348</v>
      </c>
      <c r="D4507" s="5" t="s">
        <v>7335</v>
      </c>
      <c r="E4507" s="35">
        <v>41943</v>
      </c>
    </row>
    <row r="4508" spans="1:5" ht="14.25" hidden="1" customHeight="1">
      <c r="A4508" s="16">
        <v>14083828</v>
      </c>
      <c r="B4508" s="17" t="s">
        <v>3435</v>
      </c>
      <c r="C4508" s="17" t="s">
        <v>3436</v>
      </c>
      <c r="D4508" s="5" t="s">
        <v>7335</v>
      </c>
      <c r="E4508" s="35">
        <v>41943</v>
      </c>
    </row>
    <row r="4509" spans="1:5" ht="14.25" hidden="1" customHeight="1">
      <c r="A4509" s="16">
        <v>14660439</v>
      </c>
      <c r="B4509" s="17" t="s">
        <v>5312</v>
      </c>
      <c r="C4509" s="17" t="s">
        <v>7339</v>
      </c>
      <c r="D4509" s="5" t="s">
        <v>7335</v>
      </c>
      <c r="E4509" s="35">
        <v>41943</v>
      </c>
    </row>
    <row r="4510" spans="1:5" ht="14.25" hidden="1" customHeight="1">
      <c r="A4510" s="16">
        <v>16457626</v>
      </c>
      <c r="B4510" s="17" t="s">
        <v>4353</v>
      </c>
      <c r="C4510" s="17" t="s">
        <v>4354</v>
      </c>
      <c r="D4510" s="5" t="s">
        <v>7335</v>
      </c>
      <c r="E4510" s="35">
        <v>41943</v>
      </c>
    </row>
    <row r="4511" spans="1:5" ht="14.25" hidden="1" customHeight="1">
      <c r="A4511" s="16">
        <v>17270116</v>
      </c>
      <c r="B4511" s="17" t="s">
        <v>315</v>
      </c>
      <c r="C4511" s="17" t="s">
        <v>257</v>
      </c>
      <c r="D4511" s="5" t="s">
        <v>7335</v>
      </c>
      <c r="E4511" s="35">
        <v>41943</v>
      </c>
    </row>
    <row r="4512" spans="1:5" ht="14.25" hidden="1" customHeight="1">
      <c r="A4512" s="16">
        <v>17494803</v>
      </c>
      <c r="B4512" s="17" t="s">
        <v>734</v>
      </c>
      <c r="C4512" s="17" t="s">
        <v>735</v>
      </c>
      <c r="D4512" s="5" t="s">
        <v>7335</v>
      </c>
      <c r="E4512" s="35">
        <v>41943</v>
      </c>
    </row>
    <row r="4513" spans="1:5" ht="14.25" hidden="1" customHeight="1">
      <c r="A4513" s="16">
        <v>17859402</v>
      </c>
      <c r="B4513" s="17" t="s">
        <v>1665</v>
      </c>
      <c r="C4513" s="17" t="s">
        <v>7337</v>
      </c>
      <c r="D4513" s="5" t="s">
        <v>7335</v>
      </c>
      <c r="E4513" s="35">
        <v>41943</v>
      </c>
    </row>
    <row r="4514" spans="1:5" ht="14.25" hidden="1" customHeight="1">
      <c r="A4514" s="16">
        <v>17859820</v>
      </c>
      <c r="B4514" s="17" t="s">
        <v>288</v>
      </c>
      <c r="C4514" s="17" t="s">
        <v>1681</v>
      </c>
      <c r="D4514" s="5" t="s">
        <v>7335</v>
      </c>
      <c r="E4514" s="35">
        <v>41943</v>
      </c>
    </row>
    <row r="4515" spans="1:5" ht="14.25" hidden="1" customHeight="1">
      <c r="A4515" s="16">
        <v>20159064</v>
      </c>
      <c r="B4515" s="17" t="s">
        <v>7342</v>
      </c>
      <c r="C4515" s="17" t="s">
        <v>125</v>
      </c>
      <c r="D4515" s="5" t="s">
        <v>7335</v>
      </c>
      <c r="E4515" s="35">
        <v>41943</v>
      </c>
    </row>
    <row r="4516" spans="1:5" ht="14.25" hidden="1" customHeight="1">
      <c r="A4516" s="16">
        <v>20219090</v>
      </c>
      <c r="B4516" s="17" t="s">
        <v>4429</v>
      </c>
      <c r="C4516" s="17" t="s">
        <v>215</v>
      </c>
      <c r="D4516" s="5" t="s">
        <v>7335</v>
      </c>
      <c r="E4516" s="35">
        <v>41943</v>
      </c>
    </row>
    <row r="4517" spans="1:5" ht="14.25" hidden="1" customHeight="1">
      <c r="A4517" s="16">
        <v>20692036</v>
      </c>
      <c r="B4517" s="17" t="s">
        <v>727</v>
      </c>
      <c r="C4517" s="17" t="s">
        <v>7198</v>
      </c>
      <c r="D4517" s="5" t="s">
        <v>7335</v>
      </c>
      <c r="E4517" s="35">
        <v>41943</v>
      </c>
    </row>
    <row r="4518" spans="1:5" ht="14.25" hidden="1" customHeight="1">
      <c r="A4518" s="16">
        <v>22263182</v>
      </c>
      <c r="B4518" s="17" t="s">
        <v>4490</v>
      </c>
      <c r="C4518" s="17" t="s">
        <v>1103</v>
      </c>
      <c r="D4518" s="5" t="s">
        <v>7335</v>
      </c>
      <c r="E4518" s="35">
        <v>41943</v>
      </c>
    </row>
    <row r="4519" spans="1:5" ht="14.25" hidden="1" customHeight="1">
      <c r="A4519" s="16">
        <v>22451163</v>
      </c>
      <c r="B4519" s="17" t="s">
        <v>26</v>
      </c>
      <c r="C4519" s="17" t="s">
        <v>7334</v>
      </c>
      <c r="D4519" s="5" t="s">
        <v>7335</v>
      </c>
      <c r="E4519" s="35">
        <v>41943</v>
      </c>
    </row>
    <row r="4520" spans="1:5" ht="14.25" hidden="1" customHeight="1">
      <c r="A4520" s="16">
        <v>22451163</v>
      </c>
      <c r="B4520" s="25" t="s">
        <v>26</v>
      </c>
      <c r="C4520" s="25" t="s">
        <v>7336</v>
      </c>
      <c r="D4520" s="5" t="s">
        <v>7335</v>
      </c>
      <c r="E4520" s="35">
        <v>41943</v>
      </c>
    </row>
    <row r="4521" spans="1:5" ht="14.25" hidden="1" customHeight="1">
      <c r="A4521" s="16">
        <v>22451756</v>
      </c>
      <c r="B4521" s="17" t="s">
        <v>983</v>
      </c>
      <c r="C4521" s="17" t="s">
        <v>5325</v>
      </c>
      <c r="D4521" s="5" t="s">
        <v>7335</v>
      </c>
      <c r="E4521" s="35">
        <v>41943</v>
      </c>
    </row>
    <row r="4522" spans="1:5" ht="14.25" hidden="1" customHeight="1">
      <c r="A4522" s="16">
        <v>23116289</v>
      </c>
      <c r="B4522" s="17" t="s">
        <v>4947</v>
      </c>
      <c r="C4522" s="17" t="s">
        <v>7356</v>
      </c>
      <c r="D4522" s="5" t="s">
        <v>7335</v>
      </c>
      <c r="E4522" s="35">
        <v>41943</v>
      </c>
    </row>
    <row r="4523" spans="1:5" ht="14.25" hidden="1" customHeight="1">
      <c r="A4523" s="16">
        <v>23976665</v>
      </c>
      <c r="B4523" s="17" t="s">
        <v>7343</v>
      </c>
      <c r="C4523" s="17" t="s">
        <v>7344</v>
      </c>
      <c r="D4523" s="5" t="s">
        <v>7335</v>
      </c>
      <c r="E4523" s="35">
        <v>41943</v>
      </c>
    </row>
    <row r="4524" spans="1:5" ht="14.25" hidden="1" customHeight="1">
      <c r="A4524" s="16">
        <v>25211601</v>
      </c>
      <c r="B4524" s="17" t="s">
        <v>1957</v>
      </c>
      <c r="C4524" s="17" t="s">
        <v>1958</v>
      </c>
      <c r="D4524" s="5" t="s">
        <v>7335</v>
      </c>
      <c r="E4524" s="35">
        <v>41943</v>
      </c>
    </row>
    <row r="4525" spans="1:5" ht="14.25" hidden="1" customHeight="1">
      <c r="A4525" s="16">
        <v>25380618</v>
      </c>
      <c r="B4525" s="17" t="s">
        <v>288</v>
      </c>
      <c r="C4525" s="17" t="s">
        <v>3581</v>
      </c>
      <c r="D4525" s="5" t="s">
        <v>7335</v>
      </c>
      <c r="E4525" s="35">
        <v>41943</v>
      </c>
    </row>
    <row r="4526" spans="1:5" ht="14.25" hidden="1" customHeight="1">
      <c r="A4526" s="16">
        <v>25542406</v>
      </c>
      <c r="B4526" s="17" t="s">
        <v>184</v>
      </c>
      <c r="C4526" s="17" t="s">
        <v>7138</v>
      </c>
      <c r="D4526" s="5" t="s">
        <v>7335</v>
      </c>
      <c r="E4526" s="35">
        <v>41943</v>
      </c>
    </row>
    <row r="4527" spans="1:5" ht="14.25" hidden="1" customHeight="1">
      <c r="A4527" s="16">
        <v>25843239</v>
      </c>
      <c r="B4527" s="17" t="s">
        <v>7353</v>
      </c>
      <c r="C4527" s="17" t="s">
        <v>1801</v>
      </c>
      <c r="D4527" s="5" t="s">
        <v>7335</v>
      </c>
      <c r="E4527" s="35">
        <v>41943</v>
      </c>
    </row>
    <row r="4528" spans="1:5" ht="14.25" hidden="1" customHeight="1">
      <c r="A4528" s="16">
        <v>26011592</v>
      </c>
      <c r="B4528" s="17" t="s">
        <v>7349</v>
      </c>
      <c r="C4528" s="17" t="s">
        <v>7350</v>
      </c>
      <c r="D4528" s="5" t="s">
        <v>7335</v>
      </c>
      <c r="E4528" s="35">
        <v>41943</v>
      </c>
    </row>
    <row r="4529" spans="1:5" ht="14.25" hidden="1" customHeight="1">
      <c r="A4529" s="16">
        <v>26028598</v>
      </c>
      <c r="B4529" s="25" t="s">
        <v>7354</v>
      </c>
      <c r="C4529" s="25" t="s">
        <v>223</v>
      </c>
      <c r="D4529" s="5" t="s">
        <v>7335</v>
      </c>
      <c r="E4529" s="35">
        <v>41943</v>
      </c>
    </row>
    <row r="4530" spans="1:5" ht="14.25" hidden="1" customHeight="1">
      <c r="A4530" s="16">
        <v>26259728</v>
      </c>
      <c r="B4530" s="17" t="s">
        <v>7327</v>
      </c>
      <c r="C4530" s="17" t="s">
        <v>6189</v>
      </c>
      <c r="D4530" s="5" t="s">
        <v>7335</v>
      </c>
      <c r="E4530" s="35">
        <v>41943</v>
      </c>
    </row>
    <row r="4531" spans="1:5" ht="14.25" hidden="1" customHeight="1">
      <c r="A4531" s="16">
        <v>26722184</v>
      </c>
      <c r="B4531" s="25" t="s">
        <v>7355</v>
      </c>
      <c r="C4531" s="25" t="s">
        <v>3980</v>
      </c>
      <c r="D4531" s="5" t="s">
        <v>7335</v>
      </c>
      <c r="E4531" s="35">
        <v>41943</v>
      </c>
    </row>
    <row r="4532" spans="1:5" ht="14.25" hidden="1" customHeight="1">
      <c r="A4532" s="16">
        <v>26783120</v>
      </c>
      <c r="B4532" s="17" t="s">
        <v>7340</v>
      </c>
      <c r="C4532" s="17" t="s">
        <v>1006</v>
      </c>
      <c r="D4532" s="5" t="s">
        <v>7335</v>
      </c>
      <c r="E4532" s="35">
        <v>41943</v>
      </c>
    </row>
    <row r="4533" spans="1:5" ht="14.25" hidden="1" customHeight="1">
      <c r="A4533" s="16">
        <v>27016351</v>
      </c>
      <c r="B4533" s="17" t="s">
        <v>2026</v>
      </c>
      <c r="C4533" s="17" t="s">
        <v>3888</v>
      </c>
      <c r="D4533" s="5" t="s">
        <v>7335</v>
      </c>
      <c r="E4533" s="35">
        <v>41943</v>
      </c>
    </row>
    <row r="4534" spans="1:5" ht="14.25" hidden="1" customHeight="1">
      <c r="A4534" s="16">
        <v>27364281</v>
      </c>
      <c r="B4534" s="17" t="s">
        <v>3602</v>
      </c>
      <c r="C4534" s="17" t="s">
        <v>2069</v>
      </c>
      <c r="D4534" s="5" t="s">
        <v>7335</v>
      </c>
      <c r="E4534" s="35">
        <v>41943</v>
      </c>
    </row>
    <row r="4535" spans="1:5" ht="14.25" hidden="1" customHeight="1">
      <c r="A4535" s="16">
        <v>27651863</v>
      </c>
      <c r="B4535" s="17" t="s">
        <v>476</v>
      </c>
      <c r="C4535" s="17" t="s">
        <v>2753</v>
      </c>
      <c r="D4535" s="5" t="s">
        <v>7335</v>
      </c>
      <c r="E4535" s="35">
        <v>41943</v>
      </c>
    </row>
    <row r="4536" spans="1:5" ht="14.25" hidden="1" customHeight="1">
      <c r="A4536" s="16">
        <v>27944383</v>
      </c>
      <c r="B4536" s="17" t="s">
        <v>863</v>
      </c>
      <c r="C4536" s="17" t="s">
        <v>3294</v>
      </c>
      <c r="D4536" s="5" t="s">
        <v>7335</v>
      </c>
      <c r="E4536" s="35">
        <v>41943</v>
      </c>
    </row>
    <row r="4537" spans="1:5" ht="14.25" hidden="1" customHeight="1">
      <c r="A4537" s="16">
        <v>27945323</v>
      </c>
      <c r="B4537" s="17" t="s">
        <v>4286</v>
      </c>
      <c r="C4537" s="17" t="s">
        <v>4287</v>
      </c>
      <c r="D4537" s="5" t="s">
        <v>7335</v>
      </c>
      <c r="E4537" s="35">
        <v>41943</v>
      </c>
    </row>
    <row r="4538" spans="1:5" ht="14.25" hidden="1" customHeight="1">
      <c r="A4538" s="16">
        <v>27960534</v>
      </c>
      <c r="B4538" s="25" t="s">
        <v>342</v>
      </c>
      <c r="C4538" s="25" t="s">
        <v>345</v>
      </c>
      <c r="D4538" s="5" t="s">
        <v>7335</v>
      </c>
      <c r="E4538" s="35">
        <v>41943</v>
      </c>
    </row>
    <row r="4539" spans="1:5" ht="14.25" hidden="1" customHeight="1">
      <c r="A4539" s="16">
        <v>28721499</v>
      </c>
      <c r="B4539" s="17" t="s">
        <v>359</v>
      </c>
      <c r="C4539" s="17" t="s">
        <v>3301</v>
      </c>
      <c r="D4539" s="5" t="s">
        <v>7335</v>
      </c>
      <c r="E4539" s="35">
        <v>41943</v>
      </c>
    </row>
    <row r="4540" spans="1:5" ht="14.25" hidden="1" customHeight="1">
      <c r="A4540" s="16">
        <v>29430865</v>
      </c>
      <c r="B4540" s="17" t="s">
        <v>4886</v>
      </c>
      <c r="C4540" s="17" t="s">
        <v>4887</v>
      </c>
      <c r="D4540" s="5" t="s">
        <v>7335</v>
      </c>
      <c r="E4540" s="35">
        <v>41943</v>
      </c>
    </row>
    <row r="4541" spans="1:5" ht="14.25" hidden="1" customHeight="1">
      <c r="A4541" s="16">
        <v>29533044</v>
      </c>
      <c r="B4541" s="17" t="s">
        <v>7338</v>
      </c>
      <c r="C4541" s="17" t="s">
        <v>4880</v>
      </c>
      <c r="D4541" s="5" t="s">
        <v>7335</v>
      </c>
      <c r="E4541" s="35">
        <v>41943</v>
      </c>
    </row>
    <row r="4542" spans="1:5" ht="14.25" hidden="1" customHeight="1">
      <c r="A4542" s="16">
        <v>29878052</v>
      </c>
      <c r="B4542" s="17" t="s">
        <v>167</v>
      </c>
      <c r="C4542" s="17" t="s">
        <v>33</v>
      </c>
      <c r="D4542" s="5" t="s">
        <v>7335</v>
      </c>
      <c r="E4542" s="35">
        <v>41943</v>
      </c>
    </row>
    <row r="4543" spans="1:5" ht="14.25" hidden="1" customHeight="1">
      <c r="A4543" s="16">
        <v>30257266</v>
      </c>
      <c r="B4543" s="17" t="s">
        <v>3578</v>
      </c>
      <c r="C4543" s="17" t="s">
        <v>165</v>
      </c>
      <c r="D4543" s="5" t="s">
        <v>7335</v>
      </c>
      <c r="E4543" s="35">
        <v>41943</v>
      </c>
    </row>
    <row r="4544" spans="1:5" ht="14.25" hidden="1" customHeight="1">
      <c r="A4544" s="16">
        <v>31030930</v>
      </c>
      <c r="B4544" s="17" t="s">
        <v>5988</v>
      </c>
      <c r="C4544" s="17" t="s">
        <v>1208</v>
      </c>
      <c r="D4544" s="5" t="s">
        <v>7335</v>
      </c>
      <c r="E4544" s="35">
        <v>41943</v>
      </c>
    </row>
    <row r="4545" spans="1:5" ht="14.25" hidden="1" customHeight="1">
      <c r="A4545" s="16">
        <v>31127445</v>
      </c>
      <c r="B4545" s="17" t="s">
        <v>5251</v>
      </c>
      <c r="C4545" s="17" t="s">
        <v>1182</v>
      </c>
      <c r="D4545" s="5" t="s">
        <v>7335</v>
      </c>
      <c r="E4545" s="35">
        <v>41943</v>
      </c>
    </row>
    <row r="4546" spans="1:5" ht="14.25" hidden="1" customHeight="1">
      <c r="A4546" s="16">
        <v>31589222</v>
      </c>
      <c r="B4546" s="17" t="s">
        <v>734</v>
      </c>
      <c r="C4546" s="17" t="s">
        <v>3593</v>
      </c>
      <c r="D4546" s="5" t="s">
        <v>7335</v>
      </c>
      <c r="E4546" s="35">
        <v>41943</v>
      </c>
    </row>
    <row r="4547" spans="1:5" ht="14.25" hidden="1" customHeight="1">
      <c r="A4547" s="16">
        <v>31809401</v>
      </c>
      <c r="B4547" s="17" t="s">
        <v>4994</v>
      </c>
      <c r="C4547" s="17" t="s">
        <v>7341</v>
      </c>
      <c r="D4547" s="5" t="s">
        <v>7335</v>
      </c>
      <c r="E4547" s="35">
        <v>41943</v>
      </c>
    </row>
    <row r="4548" spans="1:5" ht="14.25" hidden="1" customHeight="1">
      <c r="A4548" s="16">
        <v>33541638</v>
      </c>
      <c r="B4548" s="17" t="s">
        <v>2310</v>
      </c>
      <c r="C4548" s="17" t="s">
        <v>30</v>
      </c>
      <c r="D4548" s="5" t="s">
        <v>7335</v>
      </c>
      <c r="E4548" s="35">
        <v>41943</v>
      </c>
    </row>
    <row r="4549" spans="1:5" ht="14.25" hidden="1" customHeight="1">
      <c r="A4549" s="16">
        <v>33889499</v>
      </c>
      <c r="B4549" s="17" t="s">
        <v>734</v>
      </c>
      <c r="C4549" s="17" t="s">
        <v>7352</v>
      </c>
      <c r="D4549" s="5" t="s">
        <v>7335</v>
      </c>
      <c r="E4549" s="35">
        <v>41943</v>
      </c>
    </row>
    <row r="4550" spans="1:5" ht="14.25" hidden="1" customHeight="1">
      <c r="A4550" s="16">
        <v>34285844</v>
      </c>
      <c r="B4550" s="25" t="s">
        <v>2081</v>
      </c>
      <c r="C4550" s="25" t="s">
        <v>6482</v>
      </c>
      <c r="D4550" s="5" t="s">
        <v>7335</v>
      </c>
      <c r="E4550" s="35">
        <v>41943</v>
      </c>
    </row>
    <row r="4551" spans="1:5" ht="14.25" hidden="1" customHeight="1">
      <c r="A4551" s="16">
        <v>34287573</v>
      </c>
      <c r="B4551" s="17" t="s">
        <v>218</v>
      </c>
      <c r="C4551" s="17" t="s">
        <v>6155</v>
      </c>
      <c r="D4551" s="5" t="s">
        <v>7335</v>
      </c>
      <c r="E4551" s="35">
        <v>41943</v>
      </c>
    </row>
    <row r="4552" spans="1:5" ht="14.25" hidden="1" customHeight="1">
      <c r="A4552" s="16">
        <v>34764502</v>
      </c>
      <c r="B4552" s="17" t="s">
        <v>3583</v>
      </c>
      <c r="C4552" s="17" t="s">
        <v>7351</v>
      </c>
      <c r="D4552" s="5" t="s">
        <v>7335</v>
      </c>
      <c r="E4552" s="35">
        <v>41943</v>
      </c>
    </row>
    <row r="4553" spans="1:5" ht="14.25" hidden="1" customHeight="1">
      <c r="A4553" s="16">
        <v>37457738</v>
      </c>
      <c r="B4553" s="17" t="s">
        <v>1190</v>
      </c>
      <c r="C4553" s="17" t="s">
        <v>2212</v>
      </c>
      <c r="D4553" s="5" t="s">
        <v>7335</v>
      </c>
      <c r="E4553" s="35">
        <v>41943</v>
      </c>
    </row>
    <row r="4554" spans="1:5" ht="14.25" hidden="1" customHeight="1">
      <c r="A4554" s="16">
        <v>38541698</v>
      </c>
      <c r="B4554" s="17" t="s">
        <v>3958</v>
      </c>
      <c r="C4554" s="17" t="s">
        <v>1585</v>
      </c>
      <c r="D4554" s="5" t="s">
        <v>7335</v>
      </c>
      <c r="E4554" s="35">
        <v>41943</v>
      </c>
    </row>
    <row r="4555" spans="1:5" ht="14.25" hidden="1" customHeight="1">
      <c r="B4555" s="17" t="s">
        <v>195</v>
      </c>
      <c r="C4555" s="17" t="s">
        <v>1072</v>
      </c>
      <c r="D4555" s="5" t="s">
        <v>7335</v>
      </c>
      <c r="E4555" s="35">
        <v>41943</v>
      </c>
    </row>
    <row r="4556" spans="1:5" ht="14.25" hidden="1" customHeight="1">
      <c r="B4556" s="17" t="s">
        <v>574</v>
      </c>
      <c r="C4556" s="17" t="s">
        <v>455</v>
      </c>
      <c r="D4556" s="5" t="s">
        <v>7335</v>
      </c>
      <c r="E4556" s="35">
        <v>41943</v>
      </c>
    </row>
    <row r="4557" spans="1:5" ht="14.25" hidden="1" customHeight="1">
      <c r="A4557" s="16">
        <v>6558388</v>
      </c>
      <c r="B4557" s="17" t="s">
        <v>6254</v>
      </c>
      <c r="C4557" s="17" t="s">
        <v>6255</v>
      </c>
      <c r="D4557" s="5" t="s">
        <v>7082</v>
      </c>
      <c r="E4557" s="35">
        <v>41940</v>
      </c>
    </row>
    <row r="4558" spans="1:5" ht="14.25" hidden="1" customHeight="1">
      <c r="A4558" s="16">
        <v>10221705</v>
      </c>
      <c r="B4558" s="17" t="s">
        <v>226</v>
      </c>
      <c r="C4558" s="17" t="s">
        <v>2052</v>
      </c>
      <c r="D4558" s="5" t="s">
        <v>7082</v>
      </c>
      <c r="E4558" s="35">
        <v>41940</v>
      </c>
    </row>
    <row r="4559" spans="1:5" ht="14.25" hidden="1" customHeight="1">
      <c r="A4559" s="16">
        <v>11475984</v>
      </c>
      <c r="B4559" s="17" t="s">
        <v>3041</v>
      </c>
      <c r="C4559" s="17" t="s">
        <v>7371</v>
      </c>
      <c r="D4559" s="5" t="s">
        <v>7082</v>
      </c>
      <c r="E4559" s="35">
        <v>41940</v>
      </c>
    </row>
    <row r="4560" spans="1:5" ht="14.25" hidden="1" customHeight="1">
      <c r="A4560" s="16">
        <v>12540739</v>
      </c>
      <c r="B4560" s="17" t="s">
        <v>4759</v>
      </c>
      <c r="C4560" s="17" t="s">
        <v>4760</v>
      </c>
      <c r="D4560" s="5" t="s">
        <v>7082</v>
      </c>
      <c r="E4560" s="35">
        <v>41940</v>
      </c>
    </row>
    <row r="4561" spans="1:5" ht="14.25" hidden="1" customHeight="1">
      <c r="A4561" s="16">
        <v>12607547</v>
      </c>
      <c r="B4561" s="17" t="s">
        <v>6516</v>
      </c>
      <c r="C4561" s="17" t="s">
        <v>6517</v>
      </c>
      <c r="D4561" s="5" t="s">
        <v>7082</v>
      </c>
      <c r="E4561" s="35">
        <v>41940</v>
      </c>
    </row>
    <row r="4562" spans="1:5" ht="14.25" hidden="1" customHeight="1">
      <c r="A4562" s="16">
        <v>13278971</v>
      </c>
      <c r="B4562" s="17" t="s">
        <v>1625</v>
      </c>
      <c r="C4562" s="17" t="s">
        <v>1626</v>
      </c>
      <c r="D4562" s="5" t="s">
        <v>7082</v>
      </c>
      <c r="E4562" s="35">
        <v>41940</v>
      </c>
    </row>
    <row r="4563" spans="1:5" ht="14.25" hidden="1" customHeight="1">
      <c r="A4563" s="16">
        <v>13338251</v>
      </c>
      <c r="B4563" s="17" t="s">
        <v>252</v>
      </c>
      <c r="C4563" s="17" t="s">
        <v>2069</v>
      </c>
      <c r="D4563" s="5" t="s">
        <v>7082</v>
      </c>
      <c r="E4563" s="35">
        <v>41940</v>
      </c>
    </row>
    <row r="4564" spans="1:5" ht="14.25" hidden="1" customHeight="1">
      <c r="A4564" s="16">
        <v>14661458</v>
      </c>
      <c r="B4564" s="17" t="s">
        <v>1885</v>
      </c>
      <c r="C4564" s="17" t="s">
        <v>7357</v>
      </c>
      <c r="D4564" s="5" t="s">
        <v>7082</v>
      </c>
      <c r="E4564" s="35">
        <v>41940</v>
      </c>
    </row>
    <row r="4565" spans="1:5" ht="14.25" hidden="1" customHeight="1">
      <c r="A4565" s="16">
        <v>16685009</v>
      </c>
      <c r="B4565" s="17" t="s">
        <v>2936</v>
      </c>
      <c r="C4565" s="17" t="s">
        <v>7359</v>
      </c>
      <c r="D4565" s="5" t="s">
        <v>7082</v>
      </c>
      <c r="E4565" s="35">
        <v>41940</v>
      </c>
    </row>
    <row r="4566" spans="1:5" ht="14.25" hidden="1" customHeight="1">
      <c r="A4566" s="16">
        <v>16685130</v>
      </c>
      <c r="B4566" s="17" t="s">
        <v>240</v>
      </c>
      <c r="C4566" s="17" t="s">
        <v>2330</v>
      </c>
      <c r="D4566" s="5" t="s">
        <v>7082</v>
      </c>
      <c r="E4566" s="35">
        <v>41940</v>
      </c>
    </row>
    <row r="4567" spans="1:5" ht="14.25" hidden="1" customHeight="1">
      <c r="A4567" s="16">
        <v>16685437</v>
      </c>
      <c r="B4567" s="17" t="s">
        <v>6502</v>
      </c>
      <c r="C4567" s="17" t="s">
        <v>6503</v>
      </c>
      <c r="D4567" s="5" t="s">
        <v>7082</v>
      </c>
      <c r="E4567" s="35">
        <v>41940</v>
      </c>
    </row>
    <row r="4568" spans="1:5" ht="14.25" hidden="1" customHeight="1">
      <c r="A4568" s="16">
        <v>16811181</v>
      </c>
      <c r="B4568" s="17" t="s">
        <v>774</v>
      </c>
      <c r="C4568" s="17" t="s">
        <v>3450</v>
      </c>
      <c r="D4568" s="5" t="s">
        <v>7082</v>
      </c>
      <c r="E4568" s="35">
        <v>41940</v>
      </c>
    </row>
    <row r="4569" spans="1:5" ht="14.25" hidden="1" customHeight="1">
      <c r="A4569" s="16">
        <v>16811447</v>
      </c>
      <c r="B4569" s="17" t="s">
        <v>725</v>
      </c>
      <c r="C4569" s="17" t="s">
        <v>7264</v>
      </c>
      <c r="D4569" s="5" t="s">
        <v>7082</v>
      </c>
      <c r="E4569" s="35">
        <v>41940</v>
      </c>
    </row>
    <row r="4570" spans="1:5" ht="14.25" hidden="1" customHeight="1">
      <c r="A4570" s="16">
        <v>17270116</v>
      </c>
      <c r="B4570" s="17" t="s">
        <v>1547</v>
      </c>
      <c r="C4570" s="17" t="s">
        <v>257</v>
      </c>
      <c r="D4570" s="5" t="s">
        <v>7082</v>
      </c>
      <c r="E4570" s="35">
        <v>41940</v>
      </c>
    </row>
    <row r="4571" spans="1:5" ht="14.25" hidden="1" customHeight="1">
      <c r="A4571" s="16">
        <v>17613465</v>
      </c>
      <c r="B4571" s="17" t="s">
        <v>2840</v>
      </c>
      <c r="C4571" s="17" t="s">
        <v>687</v>
      </c>
      <c r="D4571" s="5" t="s">
        <v>7082</v>
      </c>
      <c r="E4571" s="35">
        <v>41940</v>
      </c>
    </row>
    <row r="4572" spans="1:5" ht="14.25" hidden="1" customHeight="1">
      <c r="A4572" s="16">
        <v>17614923</v>
      </c>
      <c r="B4572" s="17" t="s">
        <v>690</v>
      </c>
      <c r="C4572" s="17" t="s">
        <v>922</v>
      </c>
      <c r="D4572" s="5" t="s">
        <v>7082</v>
      </c>
      <c r="E4572" s="35">
        <v>41940</v>
      </c>
    </row>
    <row r="4573" spans="1:5" ht="14.25" hidden="1" customHeight="1">
      <c r="A4573" s="16">
        <v>17696330</v>
      </c>
      <c r="B4573" s="17" t="s">
        <v>2299</v>
      </c>
      <c r="C4573" s="17" t="s">
        <v>747</v>
      </c>
      <c r="D4573" s="5" t="s">
        <v>7082</v>
      </c>
      <c r="E4573" s="35">
        <v>41940</v>
      </c>
    </row>
    <row r="4574" spans="1:5" ht="14.25" hidden="1" customHeight="1">
      <c r="A4574" s="16">
        <v>17859402</v>
      </c>
      <c r="B4574" s="17" t="s">
        <v>1665</v>
      </c>
      <c r="C4574" s="17" t="s">
        <v>7337</v>
      </c>
      <c r="D4574" s="5" t="s">
        <v>7082</v>
      </c>
      <c r="E4574" s="35">
        <v>41940</v>
      </c>
    </row>
    <row r="4575" spans="1:5" ht="14.25" hidden="1" customHeight="1">
      <c r="A4575" s="16">
        <v>17860924</v>
      </c>
      <c r="B4575" s="17" t="s">
        <v>7362</v>
      </c>
      <c r="C4575" s="17" t="s">
        <v>747</v>
      </c>
      <c r="D4575" s="5" t="s">
        <v>7082</v>
      </c>
      <c r="E4575" s="35">
        <v>41940</v>
      </c>
    </row>
    <row r="4576" spans="1:5" ht="14.25" hidden="1" customHeight="1">
      <c r="A4576" s="16">
        <v>17889892</v>
      </c>
      <c r="B4576" s="17" t="s">
        <v>124</v>
      </c>
      <c r="C4576" s="17" t="s">
        <v>125</v>
      </c>
      <c r="D4576" s="5" t="s">
        <v>7082</v>
      </c>
      <c r="E4576" s="35">
        <v>41940</v>
      </c>
    </row>
    <row r="4577" spans="1:5" ht="14.25" hidden="1" customHeight="1">
      <c r="A4577" s="16">
        <v>18614177</v>
      </c>
      <c r="B4577" s="17" t="s">
        <v>7370</v>
      </c>
      <c r="C4577" s="17" t="s">
        <v>1006</v>
      </c>
      <c r="D4577" s="5" t="s">
        <v>7082</v>
      </c>
      <c r="E4577" s="35">
        <v>41940</v>
      </c>
    </row>
    <row r="4578" spans="1:5" ht="14.25" hidden="1" customHeight="1">
      <c r="A4578" s="16">
        <v>20159064</v>
      </c>
      <c r="B4578" s="17" t="s">
        <v>195</v>
      </c>
      <c r="C4578" s="17" t="s">
        <v>125</v>
      </c>
      <c r="D4578" s="5" t="s">
        <v>7082</v>
      </c>
      <c r="E4578" s="35">
        <v>41940</v>
      </c>
    </row>
    <row r="4579" spans="1:5" ht="14.25" hidden="1" customHeight="1">
      <c r="A4579" s="16">
        <v>20171342</v>
      </c>
      <c r="B4579" s="17" t="s">
        <v>394</v>
      </c>
      <c r="C4579" s="17" t="s">
        <v>876</v>
      </c>
      <c r="D4579" s="5" t="s">
        <v>7082</v>
      </c>
      <c r="E4579" s="35">
        <v>41940</v>
      </c>
    </row>
    <row r="4580" spans="1:5" ht="14.25" hidden="1" customHeight="1">
      <c r="A4580" s="16">
        <v>20178395</v>
      </c>
      <c r="B4580" s="17" t="s">
        <v>2358</v>
      </c>
      <c r="C4580" s="17" t="s">
        <v>902</v>
      </c>
      <c r="D4580" s="5" t="s">
        <v>7082</v>
      </c>
      <c r="E4580" s="35">
        <v>41940</v>
      </c>
    </row>
    <row r="4581" spans="1:5" ht="14.25" hidden="1" customHeight="1">
      <c r="A4581" s="16">
        <v>20433790</v>
      </c>
      <c r="B4581" s="17" t="s">
        <v>425</v>
      </c>
      <c r="C4581" s="17" t="s">
        <v>1299</v>
      </c>
      <c r="D4581" s="5" t="s">
        <v>7082</v>
      </c>
      <c r="E4581" s="35">
        <v>41940</v>
      </c>
    </row>
    <row r="4582" spans="1:5" ht="14.25" hidden="1" customHeight="1">
      <c r="A4582" s="16">
        <v>20692036</v>
      </c>
      <c r="B4582" s="17" t="s">
        <v>727</v>
      </c>
      <c r="C4582" s="17" t="s">
        <v>7198</v>
      </c>
      <c r="D4582" s="5" t="s">
        <v>7082</v>
      </c>
      <c r="E4582" s="35">
        <v>41940</v>
      </c>
    </row>
    <row r="4583" spans="1:5" ht="14.25" hidden="1" customHeight="1">
      <c r="A4583" s="16">
        <v>20759588</v>
      </c>
      <c r="B4583" s="17" t="s">
        <v>118</v>
      </c>
      <c r="C4583" s="17" t="s">
        <v>119</v>
      </c>
      <c r="D4583" s="5" t="s">
        <v>7082</v>
      </c>
      <c r="E4583" s="35">
        <v>41940</v>
      </c>
    </row>
    <row r="4584" spans="1:5" ht="14.25" hidden="1" customHeight="1">
      <c r="A4584" s="16">
        <v>21746943</v>
      </c>
      <c r="B4584" s="17" t="s">
        <v>184</v>
      </c>
      <c r="C4584" s="17" t="s">
        <v>185</v>
      </c>
      <c r="D4584" s="5" t="s">
        <v>7082</v>
      </c>
      <c r="E4584" s="35">
        <v>41940</v>
      </c>
    </row>
    <row r="4585" spans="1:5" ht="14.25" hidden="1" customHeight="1">
      <c r="A4585" s="16">
        <v>22031835</v>
      </c>
      <c r="B4585" s="17" t="s">
        <v>273</v>
      </c>
      <c r="C4585" s="17" t="s">
        <v>274</v>
      </c>
      <c r="D4585" s="5" t="s">
        <v>7082</v>
      </c>
      <c r="E4585" s="35">
        <v>41940</v>
      </c>
    </row>
    <row r="4586" spans="1:5" ht="14.25" hidden="1" customHeight="1">
      <c r="A4586" s="16">
        <v>22263073</v>
      </c>
      <c r="B4586" s="25" t="s">
        <v>7372</v>
      </c>
      <c r="C4586" s="25" t="s">
        <v>1523</v>
      </c>
      <c r="D4586" s="5" t="s">
        <v>7082</v>
      </c>
      <c r="E4586" s="35">
        <v>41940</v>
      </c>
    </row>
    <row r="4587" spans="1:5" ht="14.25" hidden="1" customHeight="1">
      <c r="A4587" s="16">
        <v>22263182</v>
      </c>
      <c r="B4587" s="17" t="s">
        <v>4490</v>
      </c>
      <c r="C4587" s="17" t="s">
        <v>1103</v>
      </c>
      <c r="D4587" s="5" t="s">
        <v>7082</v>
      </c>
      <c r="E4587" s="35">
        <v>41940</v>
      </c>
    </row>
    <row r="4588" spans="1:5" ht="14.25" hidden="1" customHeight="1">
      <c r="A4588" s="16">
        <v>22331107</v>
      </c>
      <c r="B4588" s="17" t="s">
        <v>3061</v>
      </c>
      <c r="C4588" s="17" t="s">
        <v>7358</v>
      </c>
      <c r="D4588" s="5" t="s">
        <v>7082</v>
      </c>
      <c r="E4588" s="35">
        <v>41940</v>
      </c>
    </row>
    <row r="4589" spans="1:5" ht="14.25" hidden="1" customHeight="1">
      <c r="A4589" s="16">
        <v>22877690</v>
      </c>
      <c r="B4589" s="17" t="s">
        <v>240</v>
      </c>
      <c r="C4589" s="17" t="s">
        <v>2065</v>
      </c>
      <c r="D4589" s="5" t="s">
        <v>7082</v>
      </c>
      <c r="E4589" s="35">
        <v>41940</v>
      </c>
    </row>
    <row r="4590" spans="1:5" ht="14.25" hidden="1" customHeight="1">
      <c r="A4590" s="16">
        <v>23387097</v>
      </c>
      <c r="B4590" s="17" t="s">
        <v>3842</v>
      </c>
      <c r="C4590" s="17" t="s">
        <v>902</v>
      </c>
      <c r="D4590" s="5" t="s">
        <v>7082</v>
      </c>
      <c r="E4590" s="35">
        <v>41940</v>
      </c>
    </row>
    <row r="4591" spans="1:5" ht="14.25" hidden="1" customHeight="1">
      <c r="A4591" s="16">
        <v>24294033</v>
      </c>
      <c r="B4591" s="17" t="s">
        <v>3572</v>
      </c>
      <c r="C4591" s="17" t="s">
        <v>3573</v>
      </c>
      <c r="D4591" s="5" t="s">
        <v>7082</v>
      </c>
      <c r="E4591" s="35">
        <v>41940</v>
      </c>
    </row>
    <row r="4592" spans="1:5" ht="14.25" hidden="1" customHeight="1">
      <c r="A4592" s="16">
        <v>25380616</v>
      </c>
      <c r="B4592" s="17" t="s">
        <v>288</v>
      </c>
      <c r="C4592" s="17" t="s">
        <v>3581</v>
      </c>
      <c r="D4592" s="5" t="s">
        <v>7082</v>
      </c>
      <c r="E4592" s="35">
        <v>41940</v>
      </c>
    </row>
    <row r="4593" spans="1:5" ht="14.25" hidden="1" customHeight="1">
      <c r="A4593" s="16">
        <v>25734719</v>
      </c>
      <c r="B4593" s="17" t="s">
        <v>2026</v>
      </c>
      <c r="C4593" s="17" t="s">
        <v>7188</v>
      </c>
      <c r="D4593" s="5" t="s">
        <v>7082</v>
      </c>
      <c r="E4593" s="35">
        <v>41940</v>
      </c>
    </row>
    <row r="4594" spans="1:5" ht="14.25" hidden="1" customHeight="1">
      <c r="A4594" s="16">
        <v>25843275</v>
      </c>
      <c r="B4594" s="17" t="s">
        <v>5843</v>
      </c>
      <c r="C4594" s="17" t="s">
        <v>1591</v>
      </c>
      <c r="D4594" s="5" t="s">
        <v>7082</v>
      </c>
      <c r="E4594" s="35">
        <v>41940</v>
      </c>
    </row>
    <row r="4595" spans="1:5" ht="14.25" hidden="1" customHeight="1">
      <c r="A4595" s="16">
        <v>26618665</v>
      </c>
      <c r="B4595" s="17" t="s">
        <v>3037</v>
      </c>
      <c r="C4595" s="17" t="s">
        <v>1103</v>
      </c>
      <c r="D4595" s="5" t="s">
        <v>7082</v>
      </c>
      <c r="E4595" s="35">
        <v>41940</v>
      </c>
    </row>
    <row r="4596" spans="1:5" ht="14.25" hidden="1" customHeight="1">
      <c r="A4596" s="16">
        <v>27016351</v>
      </c>
      <c r="B4596" s="17" t="s">
        <v>2026</v>
      </c>
      <c r="C4596" s="17" t="s">
        <v>7361</v>
      </c>
      <c r="D4596" s="5" t="s">
        <v>7082</v>
      </c>
      <c r="E4596" s="35">
        <v>41940</v>
      </c>
    </row>
    <row r="4597" spans="1:5" ht="14.25" hidden="1" customHeight="1">
      <c r="A4597" s="16">
        <v>27016620</v>
      </c>
      <c r="B4597" s="17" t="s">
        <v>288</v>
      </c>
      <c r="C4597" s="17" t="s">
        <v>33</v>
      </c>
      <c r="D4597" s="5" t="s">
        <v>7082</v>
      </c>
      <c r="E4597" s="35">
        <v>41940</v>
      </c>
    </row>
    <row r="4598" spans="1:5" ht="14.25" hidden="1" customHeight="1">
      <c r="A4598" s="16">
        <v>27210672</v>
      </c>
      <c r="B4598" s="17" t="s">
        <v>342</v>
      </c>
      <c r="C4598" s="17" t="s">
        <v>3299</v>
      </c>
      <c r="D4598" s="5" t="s">
        <v>7082</v>
      </c>
      <c r="E4598" s="35">
        <v>41940</v>
      </c>
    </row>
    <row r="4599" spans="1:5" ht="14.25" hidden="1" customHeight="1">
      <c r="A4599" s="16">
        <v>27364316</v>
      </c>
      <c r="B4599" s="17" t="s">
        <v>3261</v>
      </c>
      <c r="C4599" s="17" t="s">
        <v>2171</v>
      </c>
      <c r="D4599" s="5" t="s">
        <v>7082</v>
      </c>
      <c r="E4599" s="35">
        <v>41940</v>
      </c>
    </row>
    <row r="4600" spans="1:5" ht="14.25" hidden="1" customHeight="1">
      <c r="A4600" s="16">
        <v>27944383</v>
      </c>
      <c r="B4600" s="17" t="s">
        <v>863</v>
      </c>
      <c r="C4600" s="17" t="s">
        <v>3294</v>
      </c>
      <c r="D4600" s="5" t="s">
        <v>7082</v>
      </c>
      <c r="E4600" s="35">
        <v>41940</v>
      </c>
    </row>
    <row r="4601" spans="1:5" ht="14.25" hidden="1" customHeight="1">
      <c r="A4601" s="16">
        <v>27962568</v>
      </c>
      <c r="B4601" s="17" t="s">
        <v>6486</v>
      </c>
      <c r="C4601" s="17" t="s">
        <v>2726</v>
      </c>
      <c r="D4601" s="5" t="s">
        <v>7082</v>
      </c>
      <c r="E4601" s="35">
        <v>41940</v>
      </c>
    </row>
    <row r="4602" spans="1:5" ht="14.25" hidden="1" customHeight="1">
      <c r="A4602" s="16">
        <v>27975948</v>
      </c>
      <c r="B4602" s="17" t="s">
        <v>7369</v>
      </c>
      <c r="C4602" s="17" t="s">
        <v>3948</v>
      </c>
      <c r="D4602" s="5" t="s">
        <v>7082</v>
      </c>
      <c r="E4602" s="35">
        <v>41940</v>
      </c>
    </row>
    <row r="4603" spans="1:5" ht="14.25" hidden="1" customHeight="1">
      <c r="A4603" s="16">
        <v>28418227</v>
      </c>
      <c r="B4603" s="17" t="s">
        <v>7363</v>
      </c>
      <c r="C4603" s="17" t="s">
        <v>7364</v>
      </c>
      <c r="D4603" s="5" t="s">
        <v>7082</v>
      </c>
      <c r="E4603" s="35">
        <v>41940</v>
      </c>
    </row>
    <row r="4604" spans="1:5" ht="14.25" hidden="1" customHeight="1">
      <c r="A4604" s="16">
        <v>28681110</v>
      </c>
      <c r="B4604" s="17" t="s">
        <v>218</v>
      </c>
      <c r="C4604" s="17" t="s">
        <v>4200</v>
      </c>
      <c r="D4604" s="5" t="s">
        <v>7082</v>
      </c>
      <c r="E4604" s="35">
        <v>41940</v>
      </c>
    </row>
    <row r="4605" spans="1:5" ht="14.25" hidden="1" customHeight="1">
      <c r="A4605" s="16">
        <v>28721499</v>
      </c>
      <c r="B4605" s="17" t="s">
        <v>359</v>
      </c>
      <c r="C4605" s="17" t="s">
        <v>3301</v>
      </c>
      <c r="D4605" s="5" t="s">
        <v>7082</v>
      </c>
      <c r="E4605" s="35">
        <v>41940</v>
      </c>
    </row>
    <row r="4606" spans="1:5" ht="14.25" hidden="1" customHeight="1">
      <c r="A4606" s="16">
        <v>28843239</v>
      </c>
      <c r="B4606" s="17" t="s">
        <v>4874</v>
      </c>
      <c r="C4606" s="17" t="s">
        <v>1801</v>
      </c>
      <c r="D4606" s="5" t="s">
        <v>7082</v>
      </c>
      <c r="E4606" s="35">
        <v>41940</v>
      </c>
    </row>
    <row r="4607" spans="1:5" ht="14.25" hidden="1" customHeight="1">
      <c r="A4607" s="16">
        <v>28884614</v>
      </c>
      <c r="B4607" s="17" t="s">
        <v>3006</v>
      </c>
      <c r="C4607" s="17" t="s">
        <v>3007</v>
      </c>
      <c r="D4607" s="5" t="s">
        <v>7082</v>
      </c>
      <c r="E4607" s="35">
        <v>41940</v>
      </c>
    </row>
    <row r="4608" spans="1:5" ht="14.25" hidden="1" customHeight="1">
      <c r="A4608" s="16">
        <v>29914125</v>
      </c>
      <c r="B4608" s="17" t="s">
        <v>3296</v>
      </c>
      <c r="C4608" s="17" t="s">
        <v>3297</v>
      </c>
      <c r="D4608" s="5" t="s">
        <v>7082</v>
      </c>
      <c r="E4608" s="35">
        <v>41940</v>
      </c>
    </row>
    <row r="4609" spans="1:5" ht="14.25" hidden="1" customHeight="1">
      <c r="A4609" s="16">
        <v>30069864</v>
      </c>
      <c r="B4609" s="17" t="s">
        <v>26</v>
      </c>
      <c r="C4609" s="17" t="s">
        <v>2436</v>
      </c>
      <c r="D4609" s="5" t="s">
        <v>7082</v>
      </c>
      <c r="E4609" s="35">
        <v>41940</v>
      </c>
    </row>
    <row r="4610" spans="1:5" ht="14.25" hidden="1" customHeight="1">
      <c r="A4610" s="16">
        <v>30357304</v>
      </c>
      <c r="B4610" s="17" t="s">
        <v>350</v>
      </c>
      <c r="C4610" s="17" t="s">
        <v>588</v>
      </c>
      <c r="D4610" s="5" t="s">
        <v>7082</v>
      </c>
      <c r="E4610" s="35">
        <v>41940</v>
      </c>
    </row>
    <row r="4611" spans="1:5" ht="14.25" hidden="1" customHeight="1">
      <c r="A4611" s="16">
        <v>30597790</v>
      </c>
      <c r="B4611" s="17" t="s">
        <v>7367</v>
      </c>
      <c r="C4611" s="17" t="s">
        <v>3040</v>
      </c>
      <c r="D4611" s="5" t="s">
        <v>7082</v>
      </c>
      <c r="E4611" s="35">
        <v>41940</v>
      </c>
    </row>
    <row r="4612" spans="1:5" ht="14.25" hidden="1" customHeight="1">
      <c r="A4612" s="16">
        <v>30760509</v>
      </c>
      <c r="B4612" s="17" t="s">
        <v>130</v>
      </c>
      <c r="C4612" s="17" t="s">
        <v>7360</v>
      </c>
      <c r="D4612" s="5" t="s">
        <v>7082</v>
      </c>
      <c r="E4612" s="35">
        <v>41940</v>
      </c>
    </row>
    <row r="4613" spans="1:5" ht="14.25" hidden="1" customHeight="1">
      <c r="A4613" s="16">
        <v>31809401</v>
      </c>
      <c r="B4613" s="17" t="s">
        <v>4994</v>
      </c>
      <c r="C4613" s="17" t="s">
        <v>7341</v>
      </c>
      <c r="D4613" s="5" t="s">
        <v>7082</v>
      </c>
      <c r="E4613" s="35">
        <v>41940</v>
      </c>
    </row>
    <row r="4614" spans="1:5" ht="14.25" hidden="1" customHeight="1">
      <c r="A4614" s="16">
        <v>32589448</v>
      </c>
      <c r="B4614" s="17" t="s">
        <v>288</v>
      </c>
      <c r="C4614" s="17" t="s">
        <v>2753</v>
      </c>
      <c r="D4614" s="5" t="s">
        <v>7082</v>
      </c>
      <c r="E4614" s="35">
        <v>41940</v>
      </c>
    </row>
    <row r="4615" spans="1:5" ht="14.25" hidden="1" customHeight="1">
      <c r="A4615" s="16">
        <v>32927862</v>
      </c>
      <c r="B4615" s="17" t="s">
        <v>4269</v>
      </c>
      <c r="C4615" s="17" t="s">
        <v>4270</v>
      </c>
      <c r="D4615" s="5" t="s">
        <v>7082</v>
      </c>
      <c r="E4615" s="35">
        <v>41940</v>
      </c>
    </row>
    <row r="4616" spans="1:5" ht="14.25" hidden="1" customHeight="1">
      <c r="A4616" s="16">
        <v>33139281</v>
      </c>
      <c r="B4616" s="17" t="s">
        <v>1549</v>
      </c>
      <c r="C4616" s="17" t="s">
        <v>5079</v>
      </c>
      <c r="D4616" s="5" t="s">
        <v>7082</v>
      </c>
      <c r="E4616" s="35">
        <v>41940</v>
      </c>
    </row>
    <row r="4617" spans="1:5" ht="14.25" hidden="1" customHeight="1">
      <c r="A4617" s="16">
        <v>33889499</v>
      </c>
      <c r="B4617" s="17" t="s">
        <v>734</v>
      </c>
      <c r="C4617" s="17" t="s">
        <v>7352</v>
      </c>
      <c r="D4617" s="5" t="s">
        <v>7082</v>
      </c>
      <c r="E4617" s="35">
        <v>41940</v>
      </c>
    </row>
    <row r="4618" spans="1:5" ht="14.25" hidden="1" customHeight="1">
      <c r="A4618" s="16">
        <v>34089577</v>
      </c>
      <c r="B4618" s="17" t="s">
        <v>285</v>
      </c>
      <c r="C4618" s="17" t="s">
        <v>1389</v>
      </c>
      <c r="D4618" s="5" t="s">
        <v>7082</v>
      </c>
      <c r="E4618" s="35">
        <v>41940</v>
      </c>
    </row>
    <row r="4619" spans="1:5" ht="14.25" hidden="1" customHeight="1">
      <c r="A4619" s="16">
        <v>34285844</v>
      </c>
      <c r="B4619" s="17" t="s">
        <v>2081</v>
      </c>
      <c r="C4619" s="17" t="s">
        <v>6482</v>
      </c>
      <c r="D4619" s="5" t="s">
        <v>7082</v>
      </c>
      <c r="E4619" s="35">
        <v>41940</v>
      </c>
    </row>
    <row r="4620" spans="1:5" ht="14.25" hidden="1" customHeight="1">
      <c r="A4620" s="16">
        <v>34286003</v>
      </c>
      <c r="B4620" s="17" t="s">
        <v>7365</v>
      </c>
      <c r="C4620" s="17" t="s">
        <v>7366</v>
      </c>
      <c r="D4620" s="5" t="s">
        <v>7082</v>
      </c>
      <c r="E4620" s="35">
        <v>41940</v>
      </c>
    </row>
    <row r="4621" spans="1:5" ht="14.25" hidden="1" customHeight="1">
      <c r="A4621" s="16">
        <v>35548263</v>
      </c>
      <c r="B4621" s="17" t="s">
        <v>7368</v>
      </c>
      <c r="C4621" s="17" t="s">
        <v>416</v>
      </c>
      <c r="D4621" s="5" t="s">
        <v>7082</v>
      </c>
      <c r="E4621" s="35">
        <v>41940</v>
      </c>
    </row>
    <row r="4622" spans="1:5" ht="14.25" hidden="1" customHeight="1">
      <c r="A4622" s="16">
        <v>36585692</v>
      </c>
      <c r="B4622" s="17" t="s">
        <v>608</v>
      </c>
      <c r="C4622" s="17" t="s">
        <v>2931</v>
      </c>
      <c r="D4622" s="5" t="s">
        <v>7082</v>
      </c>
      <c r="E4622" s="35">
        <v>41940</v>
      </c>
    </row>
    <row r="4623" spans="1:5" ht="14.25" hidden="1" customHeight="1">
      <c r="B4623" s="17" t="s">
        <v>1190</v>
      </c>
      <c r="C4623" s="17" t="s">
        <v>922</v>
      </c>
      <c r="D4623" s="5" t="s">
        <v>7082</v>
      </c>
      <c r="E4623" s="35">
        <v>41940</v>
      </c>
    </row>
    <row r="4624" spans="1:5" ht="14.25" hidden="1" customHeight="1">
      <c r="A4624" s="16">
        <v>6558388</v>
      </c>
      <c r="B4624" s="17" t="s">
        <v>6254</v>
      </c>
      <c r="C4624" s="17" t="s">
        <v>6255</v>
      </c>
      <c r="D4624" s="5" t="s">
        <v>7374</v>
      </c>
      <c r="E4624" s="35">
        <v>41934</v>
      </c>
    </row>
    <row r="4625" spans="1:5" ht="14.25" hidden="1" customHeight="1">
      <c r="A4625" s="16">
        <v>10430001</v>
      </c>
      <c r="B4625" s="17" t="s">
        <v>1823</v>
      </c>
      <c r="C4625" s="17" t="s">
        <v>7390</v>
      </c>
      <c r="D4625" s="5" t="s">
        <v>7374</v>
      </c>
      <c r="E4625" s="35">
        <v>41934</v>
      </c>
    </row>
    <row r="4626" spans="1:5" ht="14.25" hidden="1" customHeight="1">
      <c r="A4626" s="16">
        <v>12931577</v>
      </c>
      <c r="B4626" s="17" t="s">
        <v>7379</v>
      </c>
      <c r="C4626" s="17" t="s">
        <v>832</v>
      </c>
      <c r="D4626" s="5" t="s">
        <v>7374</v>
      </c>
      <c r="E4626" s="35">
        <v>41934</v>
      </c>
    </row>
    <row r="4627" spans="1:5" ht="14.25" hidden="1" customHeight="1">
      <c r="A4627" s="16">
        <v>14084761</v>
      </c>
      <c r="B4627" s="17" t="s">
        <v>4907</v>
      </c>
      <c r="C4627" s="17" t="s">
        <v>7396</v>
      </c>
      <c r="D4627" s="5" t="s">
        <v>7374</v>
      </c>
      <c r="E4627" s="35">
        <v>41934</v>
      </c>
    </row>
    <row r="4628" spans="1:5" ht="14.25" hidden="1" customHeight="1">
      <c r="A4628" s="16">
        <v>14352423</v>
      </c>
      <c r="B4628" s="17" t="s">
        <v>7395</v>
      </c>
      <c r="C4628" s="17" t="s">
        <v>365</v>
      </c>
      <c r="D4628" s="5" t="s">
        <v>7374</v>
      </c>
      <c r="E4628" s="35">
        <v>41934</v>
      </c>
    </row>
    <row r="4629" spans="1:5" ht="14.25" hidden="1" customHeight="1">
      <c r="A4629" s="16">
        <v>14465781</v>
      </c>
      <c r="B4629" s="17" t="s">
        <v>811</v>
      </c>
      <c r="C4629" s="17" t="s">
        <v>7382</v>
      </c>
      <c r="D4629" s="5" t="s">
        <v>7374</v>
      </c>
      <c r="E4629" s="35">
        <v>41934</v>
      </c>
    </row>
    <row r="4630" spans="1:5" ht="14.25" hidden="1" customHeight="1">
      <c r="A4630" s="16">
        <v>14660769</v>
      </c>
      <c r="B4630" s="17" t="s">
        <v>47</v>
      </c>
      <c r="C4630" s="17" t="s">
        <v>365</v>
      </c>
      <c r="D4630" s="5" t="s">
        <v>7374</v>
      </c>
      <c r="E4630" s="35">
        <v>41934</v>
      </c>
    </row>
    <row r="4631" spans="1:5" ht="14.25" hidden="1" customHeight="1">
      <c r="A4631" s="16">
        <v>16132114</v>
      </c>
      <c r="B4631" s="17" t="s">
        <v>1446</v>
      </c>
      <c r="C4631" s="17" t="s">
        <v>5493</v>
      </c>
      <c r="D4631" s="5" t="s">
        <v>7374</v>
      </c>
      <c r="E4631" s="35">
        <v>41934</v>
      </c>
    </row>
    <row r="4632" spans="1:5" ht="14.25" hidden="1" customHeight="1">
      <c r="A4632" s="16">
        <v>16685790</v>
      </c>
      <c r="B4632" s="17" t="s">
        <v>3016</v>
      </c>
      <c r="C4632" s="17" t="s">
        <v>3017</v>
      </c>
      <c r="D4632" s="5" t="s">
        <v>7374</v>
      </c>
      <c r="E4632" s="35">
        <v>41934</v>
      </c>
    </row>
    <row r="4633" spans="1:5" ht="14.25" hidden="1" customHeight="1">
      <c r="A4633" s="16">
        <v>16887627</v>
      </c>
      <c r="B4633" s="17" t="s">
        <v>7387</v>
      </c>
      <c r="C4633" s="17" t="s">
        <v>7388</v>
      </c>
      <c r="D4633" s="5" t="s">
        <v>7374</v>
      </c>
      <c r="E4633" s="35">
        <v>41934</v>
      </c>
    </row>
    <row r="4634" spans="1:5" ht="14.25" hidden="1" customHeight="1">
      <c r="A4634" s="16">
        <v>20178437</v>
      </c>
      <c r="B4634" s="17" t="s">
        <v>472</v>
      </c>
      <c r="C4634" s="17" t="s">
        <v>7393</v>
      </c>
      <c r="D4634" s="5" t="s">
        <v>7374</v>
      </c>
      <c r="E4634" s="35">
        <v>41934</v>
      </c>
    </row>
    <row r="4635" spans="1:5" ht="14.25" hidden="1" customHeight="1">
      <c r="A4635" s="16">
        <v>20219773</v>
      </c>
      <c r="B4635" s="17" t="s">
        <v>1283</v>
      </c>
      <c r="C4635" s="17" t="s">
        <v>3492</v>
      </c>
      <c r="D4635" s="5" t="s">
        <v>7374</v>
      </c>
      <c r="E4635" s="35">
        <v>41934</v>
      </c>
    </row>
    <row r="4636" spans="1:5" ht="14.25" hidden="1" customHeight="1">
      <c r="A4636" s="16">
        <v>20262443</v>
      </c>
      <c r="B4636" s="17" t="s">
        <v>6214</v>
      </c>
      <c r="C4636" s="17" t="s">
        <v>6215</v>
      </c>
      <c r="D4636" s="5" t="s">
        <v>7374</v>
      </c>
      <c r="E4636" s="35">
        <v>41934</v>
      </c>
    </row>
    <row r="4637" spans="1:5" ht="14.25" hidden="1" customHeight="1">
      <c r="A4637" s="16">
        <v>20612701</v>
      </c>
      <c r="B4637" s="17" t="s">
        <v>7386</v>
      </c>
      <c r="C4637" s="17" t="s">
        <v>4375</v>
      </c>
      <c r="D4637" s="5" t="s">
        <v>7374</v>
      </c>
      <c r="E4637" s="35">
        <v>41934</v>
      </c>
    </row>
    <row r="4638" spans="1:5" ht="14.25" hidden="1" customHeight="1">
      <c r="A4638" s="16">
        <v>20977097</v>
      </c>
      <c r="B4638" s="17" t="s">
        <v>167</v>
      </c>
      <c r="C4638" s="17" t="s">
        <v>168</v>
      </c>
      <c r="D4638" s="5" t="s">
        <v>7374</v>
      </c>
      <c r="E4638" s="35">
        <v>41934</v>
      </c>
    </row>
    <row r="4639" spans="1:5" ht="14.25" hidden="1" customHeight="1">
      <c r="A4639" s="16">
        <v>21328291</v>
      </c>
      <c r="B4639" s="17" t="s">
        <v>5500</v>
      </c>
      <c r="C4639" s="17" t="s">
        <v>504</v>
      </c>
      <c r="D4639" s="5" t="s">
        <v>7374</v>
      </c>
      <c r="E4639" s="35">
        <v>41934</v>
      </c>
    </row>
    <row r="4640" spans="1:5" ht="14.25" hidden="1" customHeight="1">
      <c r="A4640" s="16">
        <v>21329323</v>
      </c>
      <c r="B4640" s="17" t="s">
        <v>4646</v>
      </c>
      <c r="C4640" s="17" t="s">
        <v>7389</v>
      </c>
      <c r="D4640" s="5" t="s">
        <v>7374</v>
      </c>
      <c r="E4640" s="35">
        <v>41934</v>
      </c>
    </row>
    <row r="4641" spans="1:5" ht="14.25" hidden="1" customHeight="1">
      <c r="A4641" s="16">
        <v>21745791</v>
      </c>
      <c r="B4641" s="17" t="s">
        <v>3264</v>
      </c>
      <c r="C4641" s="17" t="s">
        <v>223</v>
      </c>
      <c r="D4641" s="5" t="s">
        <v>7374</v>
      </c>
      <c r="E4641" s="35">
        <v>41934</v>
      </c>
    </row>
    <row r="4642" spans="1:5" ht="14.25" hidden="1" customHeight="1">
      <c r="A4642" s="16">
        <v>21747531</v>
      </c>
      <c r="B4642" s="17" t="s">
        <v>240</v>
      </c>
      <c r="C4642" s="17" t="s">
        <v>7381</v>
      </c>
      <c r="D4642" s="5" t="s">
        <v>7374</v>
      </c>
      <c r="E4642" s="35">
        <v>41934</v>
      </c>
    </row>
    <row r="4643" spans="1:5" ht="14.25" hidden="1" customHeight="1">
      <c r="A4643" s="16">
        <v>22211664</v>
      </c>
      <c r="B4643" s="17" t="s">
        <v>5551</v>
      </c>
      <c r="C4643" s="17" t="s">
        <v>1172</v>
      </c>
      <c r="D4643" s="5" t="s">
        <v>7374</v>
      </c>
      <c r="E4643" s="35">
        <v>41934</v>
      </c>
    </row>
    <row r="4644" spans="1:5" ht="14.25" hidden="1" customHeight="1">
      <c r="A4644" s="16">
        <v>22264047</v>
      </c>
      <c r="B4644" s="17" t="s">
        <v>7376</v>
      </c>
      <c r="C4644" s="17" t="s">
        <v>7377</v>
      </c>
      <c r="D4644" s="5" t="s">
        <v>7374</v>
      </c>
      <c r="E4644" s="35">
        <v>41934</v>
      </c>
    </row>
    <row r="4645" spans="1:5" ht="14.25" hidden="1" customHeight="1">
      <c r="A4645" s="16">
        <v>22264981</v>
      </c>
      <c r="B4645" s="17" t="s">
        <v>5885</v>
      </c>
      <c r="C4645" s="17" t="s">
        <v>7273</v>
      </c>
      <c r="D4645" s="5" t="s">
        <v>7374</v>
      </c>
      <c r="E4645" s="35">
        <v>41934</v>
      </c>
    </row>
    <row r="4646" spans="1:5" ht="14.25" hidden="1" customHeight="1">
      <c r="A4646" s="16">
        <v>22664848</v>
      </c>
      <c r="B4646" s="17" t="s">
        <v>472</v>
      </c>
      <c r="C4646" s="17" t="s">
        <v>7394</v>
      </c>
      <c r="D4646" s="5" t="s">
        <v>7374</v>
      </c>
      <c r="E4646" s="35">
        <v>41934</v>
      </c>
    </row>
    <row r="4647" spans="1:5" ht="14.25" hidden="1" customHeight="1">
      <c r="A4647" s="16">
        <v>23931160</v>
      </c>
      <c r="B4647" s="17" t="s">
        <v>4673</v>
      </c>
      <c r="C4647" s="17" t="s">
        <v>3888</v>
      </c>
      <c r="D4647" s="5" t="s">
        <v>7374</v>
      </c>
      <c r="E4647" s="35">
        <v>41934</v>
      </c>
    </row>
    <row r="4648" spans="1:5" ht="14.25" hidden="1" customHeight="1">
      <c r="A4648" s="16">
        <v>24340614</v>
      </c>
      <c r="B4648" s="17" t="s">
        <v>364</v>
      </c>
      <c r="C4648" s="17" t="s">
        <v>365</v>
      </c>
      <c r="D4648" s="5" t="s">
        <v>7374</v>
      </c>
      <c r="E4648" s="35">
        <v>41934</v>
      </c>
    </row>
    <row r="4649" spans="1:5" ht="14.25" hidden="1" customHeight="1">
      <c r="A4649" s="16">
        <v>24503749</v>
      </c>
      <c r="B4649" s="17" t="s">
        <v>1655</v>
      </c>
      <c r="C4649" s="17" t="s">
        <v>7373</v>
      </c>
      <c r="D4649" s="5" t="s">
        <v>7374</v>
      </c>
      <c r="E4649" s="35">
        <v>41934</v>
      </c>
    </row>
    <row r="4650" spans="1:5" ht="14.25" hidden="1" customHeight="1">
      <c r="A4650" s="16">
        <v>25498413</v>
      </c>
      <c r="B4650" s="17" t="s">
        <v>3144</v>
      </c>
      <c r="C4650" s="17" t="s">
        <v>7380</v>
      </c>
      <c r="D4650" s="5" t="s">
        <v>7374</v>
      </c>
      <c r="E4650" s="35">
        <v>41934</v>
      </c>
    </row>
    <row r="4651" spans="1:5" ht="14.25" hidden="1" customHeight="1">
      <c r="A4651" s="16">
        <v>25843480</v>
      </c>
      <c r="B4651" s="17" t="s">
        <v>355</v>
      </c>
      <c r="C4651" s="17" t="s">
        <v>7385</v>
      </c>
      <c r="D4651" s="5" t="s">
        <v>7374</v>
      </c>
      <c r="E4651" s="35">
        <v>41934</v>
      </c>
    </row>
    <row r="4652" spans="1:5" ht="14.25" hidden="1" customHeight="1">
      <c r="A4652" s="16">
        <v>25843618</v>
      </c>
      <c r="B4652" s="17" t="s">
        <v>714</v>
      </c>
      <c r="C4652" s="17" t="s">
        <v>7149</v>
      </c>
      <c r="D4652" s="5" t="s">
        <v>7374</v>
      </c>
      <c r="E4652" s="35">
        <v>41934</v>
      </c>
    </row>
    <row r="4653" spans="1:5" ht="14.25" hidden="1" customHeight="1">
      <c r="A4653" s="16">
        <v>25843618</v>
      </c>
      <c r="B4653" s="17" t="s">
        <v>1823</v>
      </c>
      <c r="C4653" s="17" t="s">
        <v>7391</v>
      </c>
      <c r="D4653" s="5" t="s">
        <v>7374</v>
      </c>
      <c r="E4653" s="35">
        <v>41934</v>
      </c>
    </row>
    <row r="4654" spans="1:5" ht="14.25" hidden="1" customHeight="1">
      <c r="A4654" s="16">
        <v>25922131</v>
      </c>
      <c r="B4654" s="17" t="s">
        <v>3346</v>
      </c>
      <c r="C4654" s="17" t="s">
        <v>2139</v>
      </c>
      <c r="D4654" s="5" t="s">
        <v>7374</v>
      </c>
      <c r="E4654" s="35">
        <v>41934</v>
      </c>
    </row>
    <row r="4655" spans="1:5" ht="14.25" hidden="1" customHeight="1">
      <c r="A4655" s="16">
        <v>26137864</v>
      </c>
      <c r="B4655" s="17" t="s">
        <v>5098</v>
      </c>
      <c r="C4655" s="17" t="s">
        <v>7333</v>
      </c>
      <c r="D4655" s="5" t="s">
        <v>7374</v>
      </c>
      <c r="E4655" s="35">
        <v>41934</v>
      </c>
    </row>
    <row r="4656" spans="1:5" ht="14.25" hidden="1" customHeight="1">
      <c r="A4656" s="16">
        <v>26736021</v>
      </c>
      <c r="B4656" s="17" t="s">
        <v>359</v>
      </c>
      <c r="C4656" s="17" t="s">
        <v>1785</v>
      </c>
      <c r="D4656" s="5" t="s">
        <v>7374</v>
      </c>
      <c r="E4656" s="35">
        <v>41934</v>
      </c>
    </row>
    <row r="4657" spans="1:5" ht="14.25" hidden="1" customHeight="1">
      <c r="A4657" s="16">
        <v>27364727</v>
      </c>
      <c r="B4657" s="17" t="s">
        <v>1833</v>
      </c>
      <c r="C4657" s="17" t="s">
        <v>1834</v>
      </c>
      <c r="D4657" s="5" t="s">
        <v>7374</v>
      </c>
      <c r="E4657" s="35">
        <v>41934</v>
      </c>
    </row>
    <row r="4658" spans="1:5" ht="14.25" hidden="1" customHeight="1">
      <c r="A4658" s="16">
        <v>28418227</v>
      </c>
      <c r="B4658" s="17" t="s">
        <v>2121</v>
      </c>
      <c r="C4658" s="17" t="s">
        <v>3098</v>
      </c>
      <c r="D4658" s="5" t="s">
        <v>7374</v>
      </c>
      <c r="E4658" s="35">
        <v>41934</v>
      </c>
    </row>
    <row r="4659" spans="1:5" ht="14.25" hidden="1" customHeight="1">
      <c r="A4659" s="16">
        <v>29026236</v>
      </c>
      <c r="B4659" s="17" t="s">
        <v>315</v>
      </c>
      <c r="C4659" s="17" t="s">
        <v>902</v>
      </c>
      <c r="D4659" s="5" t="s">
        <v>7374</v>
      </c>
      <c r="E4659" s="35">
        <v>41934</v>
      </c>
    </row>
    <row r="4660" spans="1:5" ht="14.25" hidden="1" customHeight="1">
      <c r="A4660" s="16">
        <v>30064006</v>
      </c>
      <c r="B4660" s="17" t="s">
        <v>144</v>
      </c>
      <c r="C4660" s="17" t="s">
        <v>3217</v>
      </c>
      <c r="D4660" s="5" t="s">
        <v>7374</v>
      </c>
      <c r="E4660" s="35">
        <v>41934</v>
      </c>
    </row>
    <row r="4661" spans="1:5" ht="14.25" hidden="1" customHeight="1">
      <c r="A4661" s="16">
        <v>30357304</v>
      </c>
      <c r="B4661" s="17" t="s">
        <v>350</v>
      </c>
      <c r="C4661" s="17" t="s">
        <v>588</v>
      </c>
      <c r="D4661" s="5" t="s">
        <v>7374</v>
      </c>
      <c r="E4661" s="35">
        <v>41934</v>
      </c>
    </row>
    <row r="4662" spans="1:5" ht="14.25" hidden="1" customHeight="1">
      <c r="A4662" s="16">
        <v>30442895</v>
      </c>
      <c r="B4662" s="17" t="s">
        <v>6450</v>
      </c>
      <c r="C4662" s="17" t="s">
        <v>6451</v>
      </c>
      <c r="D4662" s="5" t="s">
        <v>7374</v>
      </c>
      <c r="E4662" s="35">
        <v>41934</v>
      </c>
    </row>
    <row r="4663" spans="1:5" ht="14.25" hidden="1" customHeight="1">
      <c r="A4663" s="16">
        <v>30497720</v>
      </c>
      <c r="B4663" s="17" t="s">
        <v>2990</v>
      </c>
      <c r="C4663" s="17" t="s">
        <v>6443</v>
      </c>
      <c r="D4663" s="5" t="s">
        <v>7374</v>
      </c>
      <c r="E4663" s="35">
        <v>41934</v>
      </c>
    </row>
    <row r="4664" spans="1:5" ht="14.25" hidden="1" customHeight="1">
      <c r="A4664" s="16">
        <v>31186544</v>
      </c>
      <c r="B4664" s="17" t="s">
        <v>7383</v>
      </c>
      <c r="C4664" s="17" t="s">
        <v>7384</v>
      </c>
      <c r="D4664" s="5" t="s">
        <v>7374</v>
      </c>
      <c r="E4664" s="35">
        <v>41934</v>
      </c>
    </row>
    <row r="4665" spans="1:5" ht="14.25" hidden="1" customHeight="1">
      <c r="A4665" s="16">
        <v>31323020</v>
      </c>
      <c r="B4665" s="17" t="s">
        <v>2009</v>
      </c>
      <c r="C4665" s="17" t="s">
        <v>7378</v>
      </c>
      <c r="D4665" s="5" t="s">
        <v>7374</v>
      </c>
      <c r="E4665" s="35">
        <v>41934</v>
      </c>
    </row>
    <row r="4666" spans="1:5" ht="14.25" hidden="1" customHeight="1">
      <c r="A4666" s="16">
        <v>32202472</v>
      </c>
      <c r="B4666" s="17" t="s">
        <v>1257</v>
      </c>
      <c r="C4666" s="17" t="s">
        <v>7392</v>
      </c>
      <c r="D4666" s="5" t="s">
        <v>7374</v>
      </c>
      <c r="E4666" s="35">
        <v>41934</v>
      </c>
    </row>
    <row r="4667" spans="1:5" ht="14.25" hidden="1" customHeight="1">
      <c r="A4667" s="16">
        <v>32513685</v>
      </c>
      <c r="B4667" s="17" t="s">
        <v>7375</v>
      </c>
      <c r="C4667" s="17" t="s">
        <v>2853</v>
      </c>
      <c r="D4667" s="5" t="s">
        <v>7374</v>
      </c>
      <c r="E4667" s="35">
        <v>41934</v>
      </c>
    </row>
    <row r="4668" spans="1:5" ht="14.25" hidden="1" customHeight="1">
      <c r="A4668" s="16">
        <v>33884314</v>
      </c>
      <c r="B4668" s="17" t="s">
        <v>1565</v>
      </c>
      <c r="C4668" s="17" t="s">
        <v>5660</v>
      </c>
      <c r="D4668" s="5" t="s">
        <v>7374</v>
      </c>
      <c r="E4668" s="35">
        <v>41934</v>
      </c>
    </row>
    <row r="4669" spans="1:5" ht="14.25" hidden="1" customHeight="1">
      <c r="A4669" s="16">
        <v>36420278</v>
      </c>
      <c r="B4669" s="17" t="s">
        <v>218</v>
      </c>
      <c r="C4669" s="17" t="s">
        <v>6158</v>
      </c>
      <c r="D4669" s="5" t="s">
        <v>7374</v>
      </c>
      <c r="E4669" s="35">
        <v>41934</v>
      </c>
    </row>
    <row r="4670" spans="1:5" ht="14.25" hidden="1" customHeight="1">
      <c r="A4670" s="16">
        <v>37096427</v>
      </c>
      <c r="B4670" s="17" t="s">
        <v>670</v>
      </c>
      <c r="C4670" s="17" t="s">
        <v>3352</v>
      </c>
      <c r="D4670" s="5" t="s">
        <v>7374</v>
      </c>
      <c r="E4670" s="35">
        <v>41934</v>
      </c>
    </row>
    <row r="4671" spans="1:5" ht="14.25" hidden="1" customHeight="1">
      <c r="B4671" s="17" t="s">
        <v>4991</v>
      </c>
      <c r="C4671" s="17" t="s">
        <v>938</v>
      </c>
      <c r="D4671" s="5" t="s">
        <v>7374</v>
      </c>
      <c r="E4671" s="35">
        <v>41934</v>
      </c>
    </row>
    <row r="4672" spans="1:5" ht="14.25" hidden="1" customHeight="1">
      <c r="B4672" s="17" t="s">
        <v>1190</v>
      </c>
      <c r="C4672" s="17" t="s">
        <v>922</v>
      </c>
      <c r="D4672" s="5" t="s">
        <v>7374</v>
      </c>
      <c r="E4672" s="35">
        <v>41934</v>
      </c>
    </row>
    <row r="4673" spans="1:5" ht="14.25" hidden="1" customHeight="1">
      <c r="A4673" s="16">
        <v>1418964</v>
      </c>
      <c r="B4673" s="17" t="s">
        <v>7446</v>
      </c>
      <c r="C4673" s="17" t="s">
        <v>7447</v>
      </c>
      <c r="D4673" s="5" t="s">
        <v>7397</v>
      </c>
      <c r="E4673" s="35">
        <v>41912</v>
      </c>
    </row>
    <row r="4674" spans="1:5" ht="14.25" hidden="1" customHeight="1">
      <c r="A4674" s="16">
        <v>13203668</v>
      </c>
      <c r="B4674" s="17" t="s">
        <v>7404</v>
      </c>
      <c r="C4674" s="17" t="s">
        <v>7405</v>
      </c>
      <c r="D4674" s="5" t="s">
        <v>7397</v>
      </c>
      <c r="E4674" s="35">
        <v>41912</v>
      </c>
    </row>
    <row r="4675" spans="1:5" ht="14.25" hidden="1" customHeight="1">
      <c r="A4675" s="16">
        <v>13275592</v>
      </c>
      <c r="B4675" s="17" t="s">
        <v>7442</v>
      </c>
      <c r="C4675" s="17" t="s">
        <v>7443</v>
      </c>
      <c r="D4675" s="5" t="s">
        <v>7397</v>
      </c>
      <c r="E4675" s="35">
        <v>41912</v>
      </c>
    </row>
    <row r="4676" spans="1:5" ht="14.25" hidden="1" customHeight="1">
      <c r="A4676" s="16">
        <v>14225505</v>
      </c>
      <c r="B4676" s="17" t="s">
        <v>7436</v>
      </c>
      <c r="C4676" s="17" t="s">
        <v>7437</v>
      </c>
      <c r="D4676" s="5" t="s">
        <v>7397</v>
      </c>
      <c r="E4676" s="35">
        <v>41912</v>
      </c>
    </row>
    <row r="4677" spans="1:5" ht="14.25" hidden="1" customHeight="1">
      <c r="A4677" s="16">
        <v>14660614</v>
      </c>
      <c r="B4677" s="17" t="s">
        <v>6878</v>
      </c>
      <c r="C4677" s="17" t="s">
        <v>6895</v>
      </c>
      <c r="D4677" s="5" t="s">
        <v>7397</v>
      </c>
      <c r="E4677" s="35">
        <v>41912</v>
      </c>
    </row>
    <row r="4678" spans="1:5" ht="14.25" hidden="1" customHeight="1">
      <c r="A4678" s="16">
        <v>16122254</v>
      </c>
      <c r="B4678" s="17" t="s">
        <v>7420</v>
      </c>
      <c r="C4678" s="17" t="s">
        <v>7421</v>
      </c>
      <c r="D4678" s="5" t="s">
        <v>7397</v>
      </c>
      <c r="E4678" s="35">
        <v>41912</v>
      </c>
    </row>
    <row r="4679" spans="1:5" ht="14.25" hidden="1" customHeight="1">
      <c r="A4679" s="16">
        <v>16735526</v>
      </c>
      <c r="B4679" s="17" t="s">
        <v>7426</v>
      </c>
      <c r="C4679" s="17" t="s">
        <v>7427</v>
      </c>
      <c r="D4679" s="5" t="s">
        <v>7397</v>
      </c>
      <c r="E4679" s="35">
        <v>41912</v>
      </c>
    </row>
    <row r="4680" spans="1:5" ht="14.25" hidden="1" customHeight="1">
      <c r="A4680" s="16">
        <v>17376756</v>
      </c>
      <c r="B4680" s="17" t="s">
        <v>7406</v>
      </c>
      <c r="C4680" s="17" t="s">
        <v>7407</v>
      </c>
      <c r="D4680" s="5" t="s">
        <v>7397</v>
      </c>
      <c r="E4680" s="35">
        <v>41912</v>
      </c>
    </row>
    <row r="4681" spans="1:5" ht="14.25" hidden="1" customHeight="1">
      <c r="A4681" s="16">
        <v>17543711</v>
      </c>
      <c r="B4681" s="17" t="s">
        <v>6961</v>
      </c>
      <c r="C4681" s="17" t="s">
        <v>7424</v>
      </c>
      <c r="D4681" s="5" t="s">
        <v>7397</v>
      </c>
      <c r="E4681" s="35">
        <v>41912</v>
      </c>
    </row>
    <row r="4682" spans="1:5" ht="14.25" hidden="1" customHeight="1">
      <c r="A4682" s="16">
        <v>17743375</v>
      </c>
      <c r="B4682" s="17" t="s">
        <v>7418</v>
      </c>
      <c r="C4682" s="17" t="s">
        <v>7419</v>
      </c>
      <c r="D4682" s="5" t="s">
        <v>7397</v>
      </c>
      <c r="E4682" s="35">
        <v>41912</v>
      </c>
    </row>
    <row r="4683" spans="1:5" ht="14.25" hidden="1" customHeight="1">
      <c r="A4683" s="16">
        <v>17858391</v>
      </c>
      <c r="B4683" s="17" t="s">
        <v>7448</v>
      </c>
      <c r="C4683" s="17" t="s">
        <v>7449</v>
      </c>
      <c r="D4683" s="5" t="s">
        <v>7397</v>
      </c>
      <c r="E4683" s="35">
        <v>41912</v>
      </c>
    </row>
    <row r="4684" spans="1:5" ht="14.25" hidden="1" customHeight="1">
      <c r="A4684" s="16">
        <v>17860285</v>
      </c>
      <c r="B4684" s="17" t="s">
        <v>7460</v>
      </c>
      <c r="C4684" s="17" t="s">
        <v>7461</v>
      </c>
      <c r="D4684" s="5" t="s">
        <v>7397</v>
      </c>
      <c r="E4684" s="35">
        <v>41912</v>
      </c>
    </row>
    <row r="4685" spans="1:5" ht="14.25" hidden="1" customHeight="1">
      <c r="A4685" s="16">
        <v>18233328</v>
      </c>
      <c r="B4685" s="17" t="s">
        <v>7452</v>
      </c>
      <c r="C4685" s="17" t="s">
        <v>7453</v>
      </c>
      <c r="D4685" s="5" t="s">
        <v>7397</v>
      </c>
      <c r="E4685" s="35">
        <v>41912</v>
      </c>
    </row>
    <row r="4686" spans="1:5" ht="14.25" hidden="1" customHeight="1">
      <c r="A4686" s="16">
        <v>18473585</v>
      </c>
      <c r="B4686" s="17" t="s">
        <v>7434</v>
      </c>
      <c r="C4686" s="17" t="s">
        <v>7435</v>
      </c>
      <c r="D4686" s="5" t="s">
        <v>7397</v>
      </c>
      <c r="E4686" s="35">
        <v>41912</v>
      </c>
    </row>
    <row r="4687" spans="1:5" ht="14.25" hidden="1" customHeight="1">
      <c r="A4687" s="16">
        <v>18577667</v>
      </c>
      <c r="B4687" s="17" t="s">
        <v>7408</v>
      </c>
      <c r="C4687" s="17" t="s">
        <v>7409</v>
      </c>
      <c r="D4687" s="5" t="s">
        <v>7397</v>
      </c>
      <c r="E4687" s="35">
        <v>41912</v>
      </c>
    </row>
    <row r="4688" spans="1:5" ht="14.25" hidden="1" customHeight="1">
      <c r="A4688" s="16">
        <v>20178395</v>
      </c>
      <c r="B4688" s="17" t="s">
        <v>7402</v>
      </c>
      <c r="C4688" s="17" t="s">
        <v>7403</v>
      </c>
      <c r="D4688" s="5" t="s">
        <v>7397</v>
      </c>
      <c r="E4688" s="35">
        <v>41912</v>
      </c>
    </row>
    <row r="4689" spans="1:5" ht="14.25" hidden="1" customHeight="1">
      <c r="A4689" s="16">
        <v>20285235</v>
      </c>
      <c r="B4689" s="17" t="s">
        <v>7454</v>
      </c>
      <c r="C4689" s="17" t="s">
        <v>7455</v>
      </c>
      <c r="D4689" s="5" t="s">
        <v>7397</v>
      </c>
      <c r="E4689" s="35">
        <v>41912</v>
      </c>
    </row>
    <row r="4690" spans="1:5" ht="14.25" hidden="1" customHeight="1">
      <c r="A4690" s="16">
        <v>20403073</v>
      </c>
      <c r="B4690" s="17" t="s">
        <v>7466</v>
      </c>
      <c r="C4690" s="17" t="s">
        <v>7467</v>
      </c>
      <c r="D4690" s="5" t="s">
        <v>7397</v>
      </c>
      <c r="E4690" s="35">
        <v>41912</v>
      </c>
    </row>
    <row r="4691" spans="1:5" ht="14.25" hidden="1" customHeight="1">
      <c r="A4691" s="16">
        <v>20785655</v>
      </c>
      <c r="B4691" s="17" t="s">
        <v>7398</v>
      </c>
      <c r="C4691" s="17" t="s">
        <v>7399</v>
      </c>
      <c r="D4691" s="5" t="s">
        <v>7397</v>
      </c>
      <c r="E4691" s="35">
        <v>41912</v>
      </c>
    </row>
    <row r="4692" spans="1:5" ht="14.25" hidden="1" customHeight="1">
      <c r="A4692" s="16">
        <v>21328426</v>
      </c>
      <c r="B4692" s="17" t="s">
        <v>7428</v>
      </c>
      <c r="C4692" s="17" t="s">
        <v>7429</v>
      </c>
      <c r="D4692" s="5" t="s">
        <v>7397</v>
      </c>
      <c r="E4692" s="35">
        <v>41912</v>
      </c>
    </row>
    <row r="4693" spans="1:5" ht="14.25" hidden="1" customHeight="1">
      <c r="A4693" s="16">
        <v>21662069</v>
      </c>
      <c r="B4693" s="17" t="s">
        <v>7440</v>
      </c>
      <c r="C4693" s="17" t="s">
        <v>7441</v>
      </c>
      <c r="D4693" s="5" t="s">
        <v>7397</v>
      </c>
      <c r="E4693" s="35">
        <v>41912</v>
      </c>
    </row>
    <row r="4694" spans="1:5" ht="14.25" hidden="1" customHeight="1">
      <c r="A4694" s="16">
        <v>22799070</v>
      </c>
      <c r="B4694" s="17" t="s">
        <v>7412</v>
      </c>
      <c r="C4694" s="17" t="s">
        <v>7413</v>
      </c>
      <c r="D4694" s="5" t="s">
        <v>7397</v>
      </c>
      <c r="E4694" s="35">
        <v>41912</v>
      </c>
    </row>
    <row r="4695" spans="1:5" ht="14.25" hidden="1" customHeight="1">
      <c r="A4695" s="16">
        <v>23239027</v>
      </c>
      <c r="B4695" s="17" t="s">
        <v>7416</v>
      </c>
      <c r="C4695" s="17" t="s">
        <v>7417</v>
      </c>
      <c r="D4695" s="5" t="s">
        <v>7397</v>
      </c>
      <c r="E4695" s="35">
        <v>41912</v>
      </c>
    </row>
    <row r="4696" spans="1:5" ht="14.25" hidden="1" customHeight="1">
      <c r="A4696" s="16">
        <v>23519007</v>
      </c>
      <c r="B4696" s="17" t="s">
        <v>7458</v>
      </c>
      <c r="C4696" s="17" t="s">
        <v>7459</v>
      </c>
      <c r="D4696" s="5" t="s">
        <v>7397</v>
      </c>
      <c r="E4696" s="35">
        <v>41912</v>
      </c>
    </row>
    <row r="4697" spans="1:5" ht="14.25" hidden="1" customHeight="1">
      <c r="A4697" s="16">
        <v>24745208</v>
      </c>
      <c r="B4697" s="17" t="s">
        <v>7422</v>
      </c>
      <c r="C4697" s="17" t="s">
        <v>7423</v>
      </c>
      <c r="D4697" s="5" t="s">
        <v>7397</v>
      </c>
      <c r="E4697" s="35">
        <v>41912</v>
      </c>
    </row>
    <row r="4698" spans="1:5" ht="14.25" hidden="1" customHeight="1">
      <c r="A4698" s="16">
        <v>25498993</v>
      </c>
      <c r="B4698" s="17" t="s">
        <v>7438</v>
      </c>
      <c r="C4698" s="17" t="s">
        <v>7439</v>
      </c>
      <c r="D4698" s="5" t="s">
        <v>7397</v>
      </c>
      <c r="E4698" s="35">
        <v>41912</v>
      </c>
    </row>
    <row r="4699" spans="1:5" ht="14.25" hidden="1" customHeight="1">
      <c r="A4699" s="16">
        <v>25992830</v>
      </c>
      <c r="B4699" s="17" t="s">
        <v>6961</v>
      </c>
      <c r="C4699" s="17" t="s">
        <v>7425</v>
      </c>
      <c r="D4699" s="5" t="s">
        <v>7397</v>
      </c>
      <c r="E4699" s="35">
        <v>41912</v>
      </c>
    </row>
    <row r="4700" spans="1:5" ht="14.25" hidden="1" customHeight="1">
      <c r="A4700" s="16">
        <v>26028943</v>
      </c>
      <c r="B4700" s="17" t="s">
        <v>7463</v>
      </c>
      <c r="C4700" s="17" t="s">
        <v>7464</v>
      </c>
      <c r="D4700" s="5" t="s">
        <v>7397</v>
      </c>
      <c r="E4700" s="35">
        <v>41912</v>
      </c>
    </row>
    <row r="4701" spans="1:5" ht="14.25" hidden="1" customHeight="1">
      <c r="A4701" s="16">
        <v>30339120</v>
      </c>
      <c r="B4701" s="17" t="s">
        <v>7430</v>
      </c>
      <c r="C4701" s="17" t="s">
        <v>7431</v>
      </c>
      <c r="D4701" s="5" t="s">
        <v>7397</v>
      </c>
      <c r="E4701" s="35">
        <v>41912</v>
      </c>
    </row>
    <row r="4702" spans="1:5" ht="14.25" hidden="1" customHeight="1">
      <c r="A4702" s="16">
        <v>31008633</v>
      </c>
      <c r="B4702" s="17" t="s">
        <v>7414</v>
      </c>
      <c r="C4702" s="17" t="s">
        <v>7415</v>
      </c>
      <c r="D4702" s="5" t="s">
        <v>7397</v>
      </c>
      <c r="E4702" s="35">
        <v>41912</v>
      </c>
    </row>
    <row r="4703" spans="1:5" ht="14.25" hidden="1" customHeight="1">
      <c r="A4703" s="16">
        <v>31589704</v>
      </c>
      <c r="B4703" s="17" t="s">
        <v>7444</v>
      </c>
      <c r="C4703" s="17" t="s">
        <v>7445</v>
      </c>
      <c r="D4703" s="5" t="s">
        <v>7397</v>
      </c>
      <c r="E4703" s="35">
        <v>41912</v>
      </c>
    </row>
    <row r="4704" spans="1:5" ht="14.25" hidden="1" customHeight="1">
      <c r="A4704" s="16">
        <v>33050608</v>
      </c>
      <c r="B4704" s="17" t="s">
        <v>6864</v>
      </c>
      <c r="C4704" s="17" t="s">
        <v>7465</v>
      </c>
      <c r="D4704" s="5" t="s">
        <v>7397</v>
      </c>
      <c r="E4704" s="35">
        <v>41912</v>
      </c>
    </row>
    <row r="4705" spans="1:5" ht="14.25" hidden="1" customHeight="1">
      <c r="A4705" s="16">
        <v>33147688</v>
      </c>
      <c r="B4705" s="17" t="s">
        <v>7400</v>
      </c>
      <c r="C4705" s="17" t="s">
        <v>7401</v>
      </c>
      <c r="D4705" s="5" t="s">
        <v>7397</v>
      </c>
      <c r="E4705" s="35">
        <v>41912</v>
      </c>
    </row>
    <row r="4706" spans="1:5" ht="14.25" hidden="1" customHeight="1">
      <c r="A4706" s="16">
        <v>33430063</v>
      </c>
      <c r="B4706" s="17" t="s">
        <v>7432</v>
      </c>
      <c r="C4706" s="17" t="s">
        <v>7433</v>
      </c>
      <c r="D4706" s="5" t="s">
        <v>7397</v>
      </c>
      <c r="E4706" s="35">
        <v>41912</v>
      </c>
    </row>
    <row r="4707" spans="1:5" ht="14.25" hidden="1" customHeight="1">
      <c r="A4707" s="16">
        <v>33540710</v>
      </c>
      <c r="B4707" s="17" t="s">
        <v>7450</v>
      </c>
      <c r="C4707" s="17" t="s">
        <v>7451</v>
      </c>
      <c r="D4707" s="5" t="s">
        <v>7397</v>
      </c>
      <c r="E4707" s="35">
        <v>41912</v>
      </c>
    </row>
    <row r="4708" spans="1:5" ht="14.25" hidden="1" customHeight="1">
      <c r="A4708" s="16">
        <v>33848067</v>
      </c>
      <c r="B4708" s="17" t="s">
        <v>7410</v>
      </c>
      <c r="C4708" s="17" t="s">
        <v>7411</v>
      </c>
      <c r="D4708" s="5" t="s">
        <v>7397</v>
      </c>
      <c r="E4708" s="35">
        <v>41912</v>
      </c>
    </row>
    <row r="4709" spans="1:5" ht="14.25" hidden="1" customHeight="1">
      <c r="A4709" s="16">
        <v>33977015</v>
      </c>
      <c r="B4709" s="17" t="s">
        <v>7460</v>
      </c>
      <c r="C4709" s="17" t="s">
        <v>7462</v>
      </c>
      <c r="D4709" s="5" t="s">
        <v>7397</v>
      </c>
      <c r="E4709" s="35">
        <v>41912</v>
      </c>
    </row>
    <row r="4710" spans="1:5" ht="14.25" hidden="1" customHeight="1">
      <c r="A4710" s="16">
        <v>34126904</v>
      </c>
      <c r="B4710" s="17" t="s">
        <v>7456</v>
      </c>
      <c r="C4710" s="17" t="s">
        <v>7457</v>
      </c>
      <c r="D4710" s="5" t="s">
        <v>7397</v>
      </c>
      <c r="E4710" s="35">
        <v>41912</v>
      </c>
    </row>
    <row r="4711" spans="1:5" ht="14.25" hidden="1" customHeight="1">
      <c r="A4711" s="16">
        <v>16685410</v>
      </c>
      <c r="B4711" s="17" t="s">
        <v>7482</v>
      </c>
      <c r="C4711" s="17" t="s">
        <v>7483</v>
      </c>
      <c r="D4711" s="5" t="s">
        <v>7468</v>
      </c>
      <c r="E4711" s="35">
        <v>41904</v>
      </c>
    </row>
    <row r="4712" spans="1:5" ht="14.25" hidden="1" customHeight="1">
      <c r="A4712" s="16">
        <v>17040749</v>
      </c>
      <c r="B4712" s="17" t="s">
        <v>7474</v>
      </c>
      <c r="C4712" s="17" t="s">
        <v>7435</v>
      </c>
      <c r="D4712" s="5" t="s">
        <v>7468</v>
      </c>
      <c r="E4712" s="35">
        <v>41904</v>
      </c>
    </row>
    <row r="4713" spans="1:5" ht="14.25" hidden="1" customHeight="1">
      <c r="A4713" s="16">
        <v>18185291</v>
      </c>
      <c r="B4713" s="25" t="s">
        <v>7469</v>
      </c>
      <c r="C4713" s="17" t="s">
        <v>7427</v>
      </c>
      <c r="D4713" s="5" t="s">
        <v>7468</v>
      </c>
      <c r="E4713" s="35">
        <v>41904</v>
      </c>
    </row>
    <row r="4714" spans="1:5" ht="14.25" hidden="1" customHeight="1">
      <c r="A4714" s="16">
        <v>20222823</v>
      </c>
      <c r="B4714" s="17" t="s">
        <v>7478</v>
      </c>
      <c r="C4714" s="17" t="s">
        <v>7479</v>
      </c>
      <c r="D4714" s="5" t="s">
        <v>7468</v>
      </c>
      <c r="E4714" s="35">
        <v>41904</v>
      </c>
    </row>
    <row r="4715" spans="1:5" ht="14.25" hidden="1" customHeight="1">
      <c r="A4715" s="16">
        <v>22211664</v>
      </c>
      <c r="B4715" s="17" t="s">
        <v>7470</v>
      </c>
      <c r="C4715" s="17" t="s">
        <v>7471</v>
      </c>
      <c r="D4715" s="5" t="s">
        <v>7468</v>
      </c>
      <c r="E4715" s="35">
        <v>41904</v>
      </c>
    </row>
    <row r="4716" spans="1:5" ht="14.25" hidden="1" customHeight="1">
      <c r="A4716" s="16">
        <v>22877690</v>
      </c>
      <c r="B4716" s="17" t="s">
        <v>7472</v>
      </c>
      <c r="C4716" s="17" t="s">
        <v>7473</v>
      </c>
      <c r="D4716" s="5" t="s">
        <v>7468</v>
      </c>
      <c r="E4716" s="35">
        <v>41904</v>
      </c>
    </row>
    <row r="4717" spans="1:5" ht="14.25" hidden="1" customHeight="1">
      <c r="A4717" s="16">
        <v>26638050</v>
      </c>
      <c r="B4717" s="17" t="s">
        <v>7480</v>
      </c>
      <c r="C4717" s="17" t="s">
        <v>7481</v>
      </c>
      <c r="D4717" s="5" t="s">
        <v>7468</v>
      </c>
      <c r="E4717" s="35">
        <v>41904</v>
      </c>
    </row>
    <row r="4718" spans="1:5" ht="14.25" hidden="1" customHeight="1">
      <c r="A4718" s="16">
        <v>32483293</v>
      </c>
      <c r="B4718" s="17" t="s">
        <v>73</v>
      </c>
      <c r="C4718" s="17" t="s">
        <v>74</v>
      </c>
      <c r="D4718" s="5" t="s">
        <v>7468</v>
      </c>
      <c r="E4718" s="35">
        <v>41904</v>
      </c>
    </row>
    <row r="4719" spans="1:5" ht="14.25" hidden="1" customHeight="1">
      <c r="A4719" s="16">
        <v>33050608</v>
      </c>
      <c r="B4719" s="17" t="s">
        <v>6864</v>
      </c>
      <c r="C4719" s="17" t="s">
        <v>7484</v>
      </c>
      <c r="D4719" s="5" t="s">
        <v>7468</v>
      </c>
      <c r="E4719" s="35">
        <v>41904</v>
      </c>
    </row>
    <row r="4720" spans="1:5" ht="14.25" hidden="1" customHeight="1">
      <c r="A4720" s="16">
        <v>33703823</v>
      </c>
      <c r="B4720" s="17" t="s">
        <v>7475</v>
      </c>
      <c r="C4720" s="17" t="s">
        <v>7403</v>
      </c>
      <c r="D4720" s="5" t="s">
        <v>7468</v>
      </c>
      <c r="E4720" s="35">
        <v>41904</v>
      </c>
    </row>
    <row r="4721" spans="1:5" ht="14.25" hidden="1" customHeight="1">
      <c r="B4721" s="17" t="s">
        <v>7476</v>
      </c>
      <c r="C4721" s="17" t="s">
        <v>7477</v>
      </c>
      <c r="D4721" s="5" t="s">
        <v>7468</v>
      </c>
      <c r="E4721" s="35">
        <v>41904</v>
      </c>
    </row>
    <row r="4722" spans="1:5" ht="14.25" hidden="1" customHeight="1">
      <c r="A4722" s="16">
        <v>12869103</v>
      </c>
      <c r="B4722" s="17" t="s">
        <v>7295</v>
      </c>
      <c r="C4722" s="17" t="s">
        <v>7489</v>
      </c>
      <c r="D4722" s="5" t="s">
        <v>7018</v>
      </c>
      <c r="E4722" s="35">
        <v>41904</v>
      </c>
    </row>
    <row r="4723" spans="1:5" ht="14.25" hidden="1" customHeight="1">
      <c r="A4723" s="16">
        <v>20262443</v>
      </c>
      <c r="B4723" s="17" t="s">
        <v>7495</v>
      </c>
      <c r="C4723" s="17" t="s">
        <v>7496</v>
      </c>
      <c r="D4723" s="5" t="s">
        <v>7018</v>
      </c>
      <c r="E4723" s="35">
        <v>41904</v>
      </c>
    </row>
    <row r="4724" spans="1:5" ht="14.25" hidden="1" customHeight="1">
      <c r="A4724" s="16">
        <v>20571549</v>
      </c>
      <c r="B4724" s="17" t="s">
        <v>7501</v>
      </c>
      <c r="C4724" s="17" t="s">
        <v>7502</v>
      </c>
      <c r="D4724" s="5" t="s">
        <v>7018</v>
      </c>
      <c r="E4724" s="35">
        <v>41904</v>
      </c>
    </row>
    <row r="4725" spans="1:5" ht="14.25" hidden="1" customHeight="1">
      <c r="A4725" s="16">
        <v>20692487</v>
      </c>
      <c r="B4725" s="17" t="s">
        <v>7499</v>
      </c>
      <c r="C4725" s="17" t="s">
        <v>7500</v>
      </c>
      <c r="D4725" s="5" t="s">
        <v>7018</v>
      </c>
      <c r="E4725" s="35">
        <v>41904</v>
      </c>
    </row>
    <row r="4726" spans="1:5" ht="14.25" hidden="1" customHeight="1">
      <c r="A4726" s="16">
        <v>20857513</v>
      </c>
      <c r="B4726" s="17" t="s">
        <v>7490</v>
      </c>
      <c r="C4726" s="17" t="s">
        <v>7491</v>
      </c>
      <c r="D4726" s="5" t="s">
        <v>7018</v>
      </c>
      <c r="E4726" s="35">
        <v>41904</v>
      </c>
    </row>
    <row r="4727" spans="1:5" ht="14.25" hidden="1" customHeight="1">
      <c r="A4727" s="16">
        <v>24736561</v>
      </c>
      <c r="B4727" s="17" t="s">
        <v>7494</v>
      </c>
      <c r="C4727" s="17" t="s">
        <v>7403</v>
      </c>
      <c r="D4727" s="5" t="s">
        <v>7018</v>
      </c>
      <c r="E4727" s="35">
        <v>41904</v>
      </c>
    </row>
    <row r="4728" spans="1:5" ht="14.25" hidden="1" customHeight="1">
      <c r="A4728" s="16">
        <v>27731179</v>
      </c>
      <c r="B4728" s="17" t="s">
        <v>7485</v>
      </c>
      <c r="C4728" s="17" t="s">
        <v>7486</v>
      </c>
      <c r="D4728" s="5" t="s">
        <v>7018</v>
      </c>
      <c r="E4728" s="35">
        <v>41904</v>
      </c>
    </row>
    <row r="4729" spans="1:5" ht="14.25" hidden="1" customHeight="1">
      <c r="A4729" s="16">
        <v>28147332</v>
      </c>
      <c r="B4729" s="17" t="s">
        <v>7497</v>
      </c>
      <c r="C4729" s="17" t="s">
        <v>7498</v>
      </c>
      <c r="D4729" s="5" t="s">
        <v>7018</v>
      </c>
      <c r="E4729" s="35">
        <v>41904</v>
      </c>
    </row>
    <row r="4730" spans="1:5" ht="14.25" hidden="1" customHeight="1">
      <c r="A4730" s="16">
        <v>33432151</v>
      </c>
      <c r="B4730" s="17" t="s">
        <v>7492</v>
      </c>
      <c r="C4730" s="17" t="s">
        <v>7493</v>
      </c>
      <c r="D4730" s="5" t="s">
        <v>7018</v>
      </c>
      <c r="E4730" s="35">
        <v>41904</v>
      </c>
    </row>
    <row r="4731" spans="1:5" ht="14.25" hidden="1" customHeight="1">
      <c r="A4731" s="16">
        <v>34356805</v>
      </c>
      <c r="B4731" s="17" t="s">
        <v>7487</v>
      </c>
      <c r="C4731" s="17" t="s">
        <v>7488</v>
      </c>
      <c r="D4731" s="5" t="s">
        <v>7018</v>
      </c>
      <c r="E4731" s="35">
        <v>41904</v>
      </c>
    </row>
    <row r="4732" spans="1:5" ht="14.25" hidden="1" customHeight="1">
      <c r="A4732" s="16">
        <v>37657472</v>
      </c>
      <c r="B4732" s="17" t="s">
        <v>7503</v>
      </c>
      <c r="C4732" s="17" t="s">
        <v>7504</v>
      </c>
      <c r="D4732" s="5" t="s">
        <v>7018</v>
      </c>
      <c r="E4732" s="35">
        <v>41904</v>
      </c>
    </row>
    <row r="4733" spans="1:5" ht="14.25" hidden="1" customHeight="1">
      <c r="A4733" s="16">
        <v>10178573</v>
      </c>
      <c r="B4733" s="17" t="s">
        <v>7510</v>
      </c>
      <c r="C4733" s="17" t="s">
        <v>7511</v>
      </c>
      <c r="D4733" s="1" t="s">
        <v>7020</v>
      </c>
      <c r="E4733" s="35">
        <v>41904</v>
      </c>
    </row>
    <row r="4734" spans="1:5" ht="14.25" hidden="1" customHeight="1">
      <c r="A4734" s="16">
        <v>17613901</v>
      </c>
      <c r="B4734" s="17" t="s">
        <v>7512</v>
      </c>
      <c r="C4734" s="17" t="s">
        <v>7513</v>
      </c>
      <c r="D4734" s="1" t="s">
        <v>7020</v>
      </c>
      <c r="E4734" s="35">
        <v>41904</v>
      </c>
    </row>
    <row r="4735" spans="1:5" ht="14.25" hidden="1" customHeight="1">
      <c r="A4735" s="16">
        <v>22450023</v>
      </c>
      <c r="B4735" s="17" t="s">
        <v>7505</v>
      </c>
      <c r="C4735" s="17" t="s">
        <v>7506</v>
      </c>
      <c r="D4735" s="1" t="s">
        <v>7020</v>
      </c>
      <c r="E4735" s="35">
        <v>41904</v>
      </c>
    </row>
    <row r="4736" spans="1:5" ht="14.25" hidden="1" customHeight="1">
      <c r="A4736" s="16">
        <v>22451756</v>
      </c>
      <c r="B4736" s="17" t="s">
        <v>7507</v>
      </c>
      <c r="C4736" s="17" t="s">
        <v>7508</v>
      </c>
      <c r="D4736" s="1" t="s">
        <v>7020</v>
      </c>
      <c r="E4736" s="35">
        <v>41904</v>
      </c>
    </row>
    <row r="4737" spans="1:5" ht="14.25" hidden="1" customHeight="1">
      <c r="A4737" s="16">
        <v>22945322</v>
      </c>
      <c r="B4737" s="17" t="s">
        <v>7522</v>
      </c>
      <c r="C4737" s="17" t="s">
        <v>7523</v>
      </c>
      <c r="D4737" s="1" t="s">
        <v>7020</v>
      </c>
      <c r="E4737" s="35">
        <v>41904</v>
      </c>
    </row>
    <row r="4738" spans="1:5" ht="14.25" hidden="1" customHeight="1">
      <c r="A4738" s="16">
        <v>25844620</v>
      </c>
      <c r="B4738" s="17" t="s">
        <v>7293</v>
      </c>
      <c r="C4738" s="17" t="s">
        <v>7509</v>
      </c>
      <c r="D4738" s="1" t="s">
        <v>7020</v>
      </c>
      <c r="E4738" s="35">
        <v>41904</v>
      </c>
    </row>
    <row r="4739" spans="1:5" ht="14.25" hidden="1" customHeight="1">
      <c r="A4739" s="16">
        <v>26259728</v>
      </c>
      <c r="B4739" s="17" t="s">
        <v>7518</v>
      </c>
      <c r="C4739" s="17" t="s">
        <v>7519</v>
      </c>
      <c r="D4739" s="1" t="s">
        <v>7020</v>
      </c>
      <c r="E4739" s="35">
        <v>41904</v>
      </c>
    </row>
    <row r="4740" spans="1:5" ht="14.25" hidden="1" customHeight="1">
      <c r="A4740" s="16">
        <v>27364252</v>
      </c>
      <c r="B4740" s="17" t="s">
        <v>7520</v>
      </c>
      <c r="C4740" s="17" t="s">
        <v>7521</v>
      </c>
      <c r="D4740" s="1" t="s">
        <v>7020</v>
      </c>
      <c r="E4740" s="35">
        <v>41904</v>
      </c>
    </row>
    <row r="4741" spans="1:5" ht="14.25" hidden="1" customHeight="1">
      <c r="A4741" s="16">
        <v>32455863</v>
      </c>
      <c r="B4741" s="17" t="s">
        <v>7514</v>
      </c>
      <c r="C4741" s="17" t="s">
        <v>7515</v>
      </c>
      <c r="D4741" s="1" t="s">
        <v>7020</v>
      </c>
      <c r="E4741" s="35">
        <v>41904</v>
      </c>
    </row>
    <row r="4742" spans="1:5" ht="14.25" hidden="1" customHeight="1">
      <c r="A4742" s="16">
        <v>32853368</v>
      </c>
      <c r="B4742" s="17" t="s">
        <v>7516</v>
      </c>
      <c r="C4742" s="17" t="s">
        <v>7517</v>
      </c>
      <c r="D4742" s="1" t="s">
        <v>7020</v>
      </c>
      <c r="E4742" s="35">
        <v>41904</v>
      </c>
    </row>
    <row r="4743" spans="1:5" ht="14.25" hidden="1" customHeight="1">
      <c r="A4743" s="16">
        <v>8285713</v>
      </c>
      <c r="B4743" s="17" t="s">
        <v>7533</v>
      </c>
      <c r="C4743" s="17" t="s">
        <v>7534</v>
      </c>
      <c r="D4743" s="5" t="s">
        <v>7525</v>
      </c>
      <c r="E4743" s="35">
        <v>41892</v>
      </c>
    </row>
    <row r="4744" spans="1:5" ht="14.25" hidden="1" customHeight="1">
      <c r="A4744" s="16">
        <v>11239165</v>
      </c>
      <c r="B4744" s="17" t="s">
        <v>7549</v>
      </c>
      <c r="C4744" s="17" t="s">
        <v>7550</v>
      </c>
      <c r="D4744" s="5" t="s">
        <v>7525</v>
      </c>
      <c r="E4744" s="35">
        <v>41892</v>
      </c>
    </row>
    <row r="4745" spans="1:5" ht="14.25" hidden="1" customHeight="1">
      <c r="A4745" s="16">
        <v>11463393</v>
      </c>
      <c r="B4745" s="17" t="s">
        <v>7535</v>
      </c>
      <c r="C4745" s="17" t="s">
        <v>6899</v>
      </c>
      <c r="D4745" s="5" t="s">
        <v>7525</v>
      </c>
      <c r="E4745" s="35">
        <v>41892</v>
      </c>
    </row>
    <row r="4746" spans="1:5" ht="14.25" hidden="1" customHeight="1">
      <c r="A4746" s="16">
        <v>11551761</v>
      </c>
      <c r="B4746" s="17" t="s">
        <v>7524</v>
      </c>
      <c r="C4746" s="17" t="s">
        <v>6956</v>
      </c>
      <c r="D4746" s="5" t="s">
        <v>7525</v>
      </c>
      <c r="E4746" s="35">
        <v>41892</v>
      </c>
    </row>
    <row r="4747" spans="1:5" ht="14.25" hidden="1" customHeight="1">
      <c r="A4747" s="16">
        <v>14966562</v>
      </c>
      <c r="B4747" s="17" t="s">
        <v>7546</v>
      </c>
      <c r="C4747" s="17" t="s">
        <v>7547</v>
      </c>
      <c r="D4747" s="5" t="s">
        <v>7525</v>
      </c>
      <c r="E4747" s="35">
        <v>41892</v>
      </c>
    </row>
    <row r="4748" spans="1:5" ht="14.25" hidden="1" customHeight="1">
      <c r="A4748" s="16">
        <v>16122276</v>
      </c>
      <c r="B4748" s="17" t="s">
        <v>6924</v>
      </c>
      <c r="C4748" s="17" t="s">
        <v>7541</v>
      </c>
      <c r="D4748" s="5" t="s">
        <v>7525</v>
      </c>
      <c r="E4748" s="35">
        <v>41892</v>
      </c>
    </row>
    <row r="4749" spans="1:5" ht="14.25" hidden="1" customHeight="1">
      <c r="A4749" s="16">
        <v>16685720</v>
      </c>
      <c r="B4749" s="17" t="s">
        <v>7531</v>
      </c>
      <c r="C4749" s="17" t="s">
        <v>7532</v>
      </c>
      <c r="D4749" s="5" t="s">
        <v>7525</v>
      </c>
      <c r="E4749" s="35">
        <v>41892</v>
      </c>
    </row>
    <row r="4750" spans="1:5" ht="14.25" hidden="1" customHeight="1">
      <c r="A4750" s="16">
        <v>17859090</v>
      </c>
      <c r="B4750" s="17" t="s">
        <v>7531</v>
      </c>
      <c r="C4750" s="17" t="s">
        <v>7429</v>
      </c>
      <c r="D4750" s="5" t="s">
        <v>7525</v>
      </c>
      <c r="E4750" s="35">
        <v>41892</v>
      </c>
    </row>
    <row r="4751" spans="1:5" ht="14.25" hidden="1" customHeight="1">
      <c r="A4751" s="16">
        <v>18102826</v>
      </c>
      <c r="B4751" s="25" t="s">
        <v>7528</v>
      </c>
      <c r="C4751" s="25" t="s">
        <v>7427</v>
      </c>
      <c r="D4751" s="5" t="s">
        <v>7525</v>
      </c>
      <c r="E4751" s="35">
        <v>41892</v>
      </c>
    </row>
    <row r="4752" spans="1:5" ht="14.25" hidden="1" customHeight="1">
      <c r="A4752" s="16">
        <v>22283701</v>
      </c>
      <c r="B4752" s="17" t="s">
        <v>7529</v>
      </c>
      <c r="C4752" s="17" t="s">
        <v>7530</v>
      </c>
      <c r="D4752" s="5" t="s">
        <v>7525</v>
      </c>
      <c r="E4752" s="35">
        <v>41892</v>
      </c>
    </row>
    <row r="4753" spans="1:5" ht="14.25" hidden="1" customHeight="1">
      <c r="A4753" s="16">
        <v>23015882</v>
      </c>
      <c r="B4753" s="17" t="s">
        <v>7536</v>
      </c>
      <c r="C4753" s="17" t="s">
        <v>7537</v>
      </c>
      <c r="D4753" s="5" t="s">
        <v>7525</v>
      </c>
      <c r="E4753" s="35">
        <v>41892</v>
      </c>
    </row>
    <row r="4754" spans="1:5" ht="14.25" hidden="1" customHeight="1">
      <c r="A4754" s="16">
        <v>25735971</v>
      </c>
      <c r="B4754" s="17" t="s">
        <v>7526</v>
      </c>
      <c r="C4754" s="17" t="s">
        <v>7527</v>
      </c>
      <c r="D4754" s="5" t="s">
        <v>7525</v>
      </c>
      <c r="E4754" s="35">
        <v>41892</v>
      </c>
    </row>
    <row r="4755" spans="1:5" ht="14.25" hidden="1" customHeight="1">
      <c r="A4755" s="16">
        <v>33818840</v>
      </c>
      <c r="B4755" s="17" t="s">
        <v>7499</v>
      </c>
      <c r="C4755" s="17" t="s">
        <v>7540</v>
      </c>
      <c r="D4755" s="5" t="s">
        <v>7525</v>
      </c>
      <c r="E4755" s="35">
        <v>41892</v>
      </c>
    </row>
    <row r="4756" spans="1:5" ht="14.25" hidden="1" customHeight="1">
      <c r="A4756" s="16">
        <v>36420915</v>
      </c>
      <c r="B4756" s="25" t="s">
        <v>7544</v>
      </c>
      <c r="C4756" s="25" t="s">
        <v>7545</v>
      </c>
      <c r="D4756" s="5" t="s">
        <v>7525</v>
      </c>
      <c r="E4756" s="35">
        <v>41892</v>
      </c>
    </row>
    <row r="4757" spans="1:5" ht="14.25" hidden="1" customHeight="1">
      <c r="B4757" s="17" t="s">
        <v>7538</v>
      </c>
      <c r="C4757" s="17" t="s">
        <v>7539</v>
      </c>
      <c r="D4757" s="5" t="s">
        <v>7525</v>
      </c>
      <c r="E4757" s="35">
        <v>41892</v>
      </c>
    </row>
    <row r="4758" spans="1:5" ht="14.25" hidden="1" customHeight="1">
      <c r="B4758" s="17" t="s">
        <v>7542</v>
      </c>
      <c r="C4758" s="17" t="s">
        <v>7543</v>
      </c>
      <c r="D4758" s="5" t="s">
        <v>7525</v>
      </c>
      <c r="E4758" s="35">
        <v>41892</v>
      </c>
    </row>
    <row r="4759" spans="1:5" ht="14.25" hidden="1" customHeight="1">
      <c r="B4759" s="17" t="s">
        <v>6864</v>
      </c>
      <c r="C4759" s="17" t="s">
        <v>7548</v>
      </c>
      <c r="D4759" s="5" t="s">
        <v>7525</v>
      </c>
      <c r="E4759" s="35">
        <v>41892</v>
      </c>
    </row>
    <row r="4760" spans="1:5" ht="14.25" hidden="1" customHeight="1">
      <c r="A4760" s="16">
        <v>1231878</v>
      </c>
      <c r="B4760" s="17" t="s">
        <v>2586</v>
      </c>
      <c r="C4760" s="17" t="s">
        <v>2587</v>
      </c>
      <c r="D4760" s="5" t="s">
        <v>7551</v>
      </c>
      <c r="E4760" s="35">
        <v>41883</v>
      </c>
    </row>
    <row r="4761" spans="1:5" ht="14.25" hidden="1" customHeight="1">
      <c r="A4761" s="16">
        <v>10708351</v>
      </c>
      <c r="B4761" s="17" t="s">
        <v>3304</v>
      </c>
      <c r="C4761" s="17" t="s">
        <v>3305</v>
      </c>
      <c r="D4761" s="5" t="s">
        <v>7551</v>
      </c>
      <c r="E4761" s="35">
        <v>41883</v>
      </c>
    </row>
    <row r="4762" spans="1:5" ht="14.25" hidden="1" customHeight="1">
      <c r="A4762" s="16">
        <v>12309312</v>
      </c>
      <c r="B4762" s="17" t="s">
        <v>156</v>
      </c>
      <c r="C4762" s="17" t="s">
        <v>157</v>
      </c>
      <c r="D4762" s="5" t="s">
        <v>7551</v>
      </c>
      <c r="E4762" s="35">
        <v>41883</v>
      </c>
    </row>
    <row r="4763" spans="1:5" ht="14.25" hidden="1" customHeight="1">
      <c r="A4763" s="16">
        <v>13628946</v>
      </c>
      <c r="B4763" s="17" t="s">
        <v>652</v>
      </c>
      <c r="C4763" s="17" t="s">
        <v>4305</v>
      </c>
      <c r="D4763" s="5" t="s">
        <v>7551</v>
      </c>
      <c r="E4763" s="35">
        <v>41883</v>
      </c>
    </row>
    <row r="4764" spans="1:5" ht="14.25" hidden="1" customHeight="1">
      <c r="A4764" s="16">
        <v>14073031</v>
      </c>
      <c r="B4764" s="17" t="s">
        <v>541</v>
      </c>
      <c r="C4764" s="17" t="s">
        <v>2382</v>
      </c>
      <c r="D4764" s="5" t="s">
        <v>7551</v>
      </c>
      <c r="E4764" s="35">
        <v>41883</v>
      </c>
    </row>
    <row r="4765" spans="1:5" ht="14.25" hidden="1" customHeight="1">
      <c r="A4765" s="16">
        <v>17269443</v>
      </c>
      <c r="B4765" s="17" t="s">
        <v>497</v>
      </c>
      <c r="C4765" s="17" t="s">
        <v>165</v>
      </c>
      <c r="D4765" s="5" t="s">
        <v>7551</v>
      </c>
      <c r="E4765" s="35">
        <v>41883</v>
      </c>
    </row>
    <row r="4766" spans="1:5" ht="14.25" hidden="1" customHeight="1">
      <c r="A4766" s="16">
        <v>17376396</v>
      </c>
      <c r="B4766" s="17" t="s">
        <v>1257</v>
      </c>
      <c r="C4766" s="17" t="s">
        <v>832</v>
      </c>
      <c r="D4766" s="5" t="s">
        <v>7551</v>
      </c>
      <c r="E4766" s="35">
        <v>41883</v>
      </c>
    </row>
    <row r="4767" spans="1:5" ht="14.25" hidden="1" customHeight="1">
      <c r="A4767" s="16">
        <v>18464655</v>
      </c>
      <c r="B4767" s="17" t="s">
        <v>7554</v>
      </c>
      <c r="C4767" s="17" t="s">
        <v>178</v>
      </c>
      <c r="D4767" s="5" t="s">
        <v>7551</v>
      </c>
      <c r="E4767" s="35">
        <v>41883</v>
      </c>
    </row>
    <row r="4768" spans="1:5" ht="14.25" hidden="1" customHeight="1">
      <c r="A4768" s="16">
        <v>18523250</v>
      </c>
      <c r="B4768" s="17" t="s">
        <v>680</v>
      </c>
      <c r="C4768" s="17" t="s">
        <v>1876</v>
      </c>
      <c r="D4768" s="5" t="s">
        <v>7551</v>
      </c>
      <c r="E4768" s="35">
        <v>41883</v>
      </c>
    </row>
    <row r="4769" spans="1:5" ht="14.25" hidden="1" customHeight="1">
      <c r="A4769" s="16">
        <v>20218566</v>
      </c>
      <c r="B4769" s="17" t="s">
        <v>944</v>
      </c>
      <c r="C4769" s="17" t="s">
        <v>1085</v>
      </c>
      <c r="D4769" s="5" t="s">
        <v>7551</v>
      </c>
      <c r="E4769" s="35">
        <v>41883</v>
      </c>
    </row>
    <row r="4770" spans="1:5" ht="14.25" hidden="1" customHeight="1">
      <c r="A4770" s="16">
        <v>21812664</v>
      </c>
      <c r="B4770" s="17" t="s">
        <v>4053</v>
      </c>
      <c r="C4770" s="17" t="s">
        <v>274</v>
      </c>
      <c r="D4770" s="5" t="s">
        <v>7551</v>
      </c>
      <c r="E4770" s="35">
        <v>41883</v>
      </c>
    </row>
    <row r="4771" spans="1:5" ht="14.25" hidden="1" customHeight="1">
      <c r="A4771" s="16">
        <v>23117708</v>
      </c>
      <c r="B4771" s="17" t="s">
        <v>6018</v>
      </c>
      <c r="C4771" s="17" t="s">
        <v>7244</v>
      </c>
      <c r="D4771" s="5" t="s">
        <v>7551</v>
      </c>
      <c r="E4771" s="35">
        <v>41883</v>
      </c>
    </row>
    <row r="4772" spans="1:5" ht="14.25" hidden="1" customHeight="1">
      <c r="A4772" s="16">
        <v>24982570</v>
      </c>
      <c r="B4772" s="17" t="s">
        <v>766</v>
      </c>
      <c r="C4772" s="17" t="s">
        <v>767</v>
      </c>
      <c r="D4772" s="5" t="s">
        <v>7551</v>
      </c>
      <c r="E4772" s="35">
        <v>41883</v>
      </c>
    </row>
    <row r="4773" spans="1:5" ht="14.25" hidden="1" customHeight="1">
      <c r="A4773" s="16">
        <v>27960534</v>
      </c>
      <c r="B4773" s="17" t="s">
        <v>342</v>
      </c>
      <c r="C4773" s="17" t="s">
        <v>345</v>
      </c>
      <c r="D4773" s="5" t="s">
        <v>7551</v>
      </c>
      <c r="E4773" s="35">
        <v>41883</v>
      </c>
    </row>
    <row r="4774" spans="1:5" ht="14.25" hidden="1" customHeight="1">
      <c r="A4774" s="16">
        <v>29430434</v>
      </c>
      <c r="B4774" s="17" t="s">
        <v>547</v>
      </c>
      <c r="C4774" s="17" t="s">
        <v>7555</v>
      </c>
      <c r="D4774" s="5" t="s">
        <v>7551</v>
      </c>
      <c r="E4774" s="35">
        <v>41883</v>
      </c>
    </row>
    <row r="4775" spans="1:5" ht="14.25" hidden="1" customHeight="1">
      <c r="A4775" s="16">
        <v>29541101</v>
      </c>
      <c r="B4775" s="17" t="s">
        <v>128</v>
      </c>
      <c r="C4775" s="17" t="s">
        <v>3187</v>
      </c>
      <c r="D4775" s="5" t="s">
        <v>7551</v>
      </c>
      <c r="E4775" s="35">
        <v>41883</v>
      </c>
    </row>
    <row r="4776" spans="1:5" ht="14.25" hidden="1" customHeight="1">
      <c r="A4776" s="16">
        <v>31254271</v>
      </c>
      <c r="B4776" s="17" t="s">
        <v>6074</v>
      </c>
      <c r="C4776" s="17" t="s">
        <v>2924</v>
      </c>
      <c r="D4776" s="5" t="s">
        <v>7551</v>
      </c>
      <c r="E4776" s="35">
        <v>41883</v>
      </c>
    </row>
    <row r="4777" spans="1:5" ht="14.25" hidden="1" customHeight="1">
      <c r="A4777" s="16">
        <v>32371793</v>
      </c>
      <c r="B4777" s="17" t="s">
        <v>3364</v>
      </c>
      <c r="C4777" s="17" t="s">
        <v>3365</v>
      </c>
      <c r="D4777" s="5" t="s">
        <v>7551</v>
      </c>
      <c r="E4777" s="35">
        <v>41883</v>
      </c>
    </row>
    <row r="4778" spans="1:5" ht="14.25" hidden="1" customHeight="1">
      <c r="A4778" s="16">
        <v>37456295</v>
      </c>
      <c r="B4778" s="17" t="s">
        <v>1689</v>
      </c>
      <c r="C4778" s="17" t="s">
        <v>7552</v>
      </c>
      <c r="D4778" s="5" t="s">
        <v>7551</v>
      </c>
      <c r="E4778" s="35">
        <v>41883</v>
      </c>
    </row>
    <row r="4779" spans="1:5" ht="14.25" hidden="1" customHeight="1">
      <c r="B4779" s="17" t="s">
        <v>218</v>
      </c>
      <c r="C4779" s="17" t="s">
        <v>3858</v>
      </c>
      <c r="D4779" s="5" t="s">
        <v>7551</v>
      </c>
      <c r="E4779" s="35">
        <v>41883</v>
      </c>
    </row>
    <row r="4780" spans="1:5" ht="14.25" hidden="1" customHeight="1">
      <c r="B4780" s="17" t="s">
        <v>315</v>
      </c>
      <c r="C4780" s="17" t="s">
        <v>7553</v>
      </c>
      <c r="D4780" s="5" t="s">
        <v>7551</v>
      </c>
      <c r="E4780" s="35">
        <v>41883</v>
      </c>
    </row>
    <row r="4781" spans="1:5" ht="14.25" hidden="1" customHeight="1">
      <c r="B4781" s="17" t="s">
        <v>377</v>
      </c>
      <c r="C4781" s="17" t="s">
        <v>468</v>
      </c>
      <c r="D4781" s="5" t="s">
        <v>7551</v>
      </c>
      <c r="E4781" s="35">
        <v>41883</v>
      </c>
    </row>
    <row r="4782" spans="1:5" ht="14.25" hidden="1" customHeight="1">
      <c r="A4782" s="16">
        <v>5772320</v>
      </c>
      <c r="B4782" s="17" t="s">
        <v>240</v>
      </c>
      <c r="C4782" s="17" t="s">
        <v>241</v>
      </c>
      <c r="D4782" s="5" t="s">
        <v>7289</v>
      </c>
      <c r="E4782" s="35">
        <v>41865</v>
      </c>
    </row>
    <row r="4783" spans="1:5" ht="14.25" hidden="1" customHeight="1">
      <c r="A4783" s="16">
        <v>10221705</v>
      </c>
      <c r="B4783" s="17" t="s">
        <v>226</v>
      </c>
      <c r="C4783" s="17" t="s">
        <v>2052</v>
      </c>
      <c r="D4783" s="5" t="s">
        <v>7289</v>
      </c>
      <c r="E4783" s="35">
        <v>41865</v>
      </c>
    </row>
    <row r="4784" spans="1:5" ht="14.25" hidden="1" customHeight="1">
      <c r="A4784" s="16">
        <v>11054779</v>
      </c>
      <c r="B4784" s="17" t="s">
        <v>3745</v>
      </c>
      <c r="C4784" s="17" t="s">
        <v>1185</v>
      </c>
      <c r="D4784" s="5" t="s">
        <v>7289</v>
      </c>
      <c r="E4784" s="35">
        <v>41865</v>
      </c>
    </row>
    <row r="4785" spans="1:5" ht="14.25" hidden="1" customHeight="1">
      <c r="A4785" s="16">
        <v>11915728</v>
      </c>
      <c r="B4785" s="17" t="s">
        <v>218</v>
      </c>
      <c r="C4785" s="17" t="s">
        <v>219</v>
      </c>
      <c r="D4785" s="5" t="s">
        <v>7289</v>
      </c>
      <c r="E4785" s="35">
        <v>41865</v>
      </c>
    </row>
    <row r="4786" spans="1:5" ht="14.25" hidden="1" customHeight="1">
      <c r="A4786" s="16">
        <v>12148767</v>
      </c>
      <c r="B4786" s="17" t="s">
        <v>2541</v>
      </c>
      <c r="C4786" s="17" t="s">
        <v>27</v>
      </c>
      <c r="D4786" s="5" t="s">
        <v>7289</v>
      </c>
      <c r="E4786" s="35">
        <v>41865</v>
      </c>
    </row>
    <row r="4787" spans="1:5" ht="14.25" hidden="1" customHeight="1">
      <c r="A4787" s="16">
        <v>12733217</v>
      </c>
      <c r="B4787" s="17" t="s">
        <v>5040</v>
      </c>
      <c r="C4787" s="17" t="s">
        <v>5041</v>
      </c>
      <c r="D4787" s="5" t="s">
        <v>7289</v>
      </c>
      <c r="E4787" s="35">
        <v>41865</v>
      </c>
    </row>
    <row r="4788" spans="1:5" ht="14.25" hidden="1" customHeight="1">
      <c r="A4788" s="16">
        <v>13278971</v>
      </c>
      <c r="B4788" s="17" t="s">
        <v>1625</v>
      </c>
      <c r="C4788" s="17" t="s">
        <v>1626</v>
      </c>
      <c r="D4788" s="5" t="s">
        <v>7289</v>
      </c>
      <c r="E4788" s="35">
        <v>41865</v>
      </c>
    </row>
    <row r="4789" spans="1:5" ht="14.25" hidden="1" customHeight="1">
      <c r="A4789" s="16">
        <v>13338251</v>
      </c>
      <c r="B4789" s="17" t="s">
        <v>7418</v>
      </c>
      <c r="C4789" s="17" t="s">
        <v>7419</v>
      </c>
      <c r="D4789" s="5" t="s">
        <v>7289</v>
      </c>
      <c r="E4789" s="35">
        <v>41865</v>
      </c>
    </row>
    <row r="4790" spans="1:5" ht="14.25" hidden="1" customHeight="1">
      <c r="A4790" s="16">
        <v>14300445</v>
      </c>
      <c r="B4790" s="17" t="s">
        <v>3699</v>
      </c>
      <c r="C4790" s="17" t="s">
        <v>363</v>
      </c>
      <c r="D4790" s="5" t="s">
        <v>7289</v>
      </c>
      <c r="E4790" s="35">
        <v>41865</v>
      </c>
    </row>
    <row r="4791" spans="1:5" ht="14.25" hidden="1" customHeight="1">
      <c r="A4791" s="16">
        <v>14716849</v>
      </c>
      <c r="B4791" s="17" t="s">
        <v>256</v>
      </c>
      <c r="C4791" s="17" t="s">
        <v>257</v>
      </c>
      <c r="D4791" s="5" t="s">
        <v>7289</v>
      </c>
      <c r="E4791" s="35">
        <v>41865</v>
      </c>
    </row>
    <row r="4792" spans="1:5" ht="14.25" hidden="1" customHeight="1">
      <c r="A4792" s="16">
        <v>16016486</v>
      </c>
      <c r="B4792" s="17" t="s">
        <v>1474</v>
      </c>
      <c r="C4792" s="17" t="s">
        <v>7127</v>
      </c>
      <c r="D4792" s="5" t="s">
        <v>7289</v>
      </c>
      <c r="E4792" s="35">
        <v>41865</v>
      </c>
    </row>
    <row r="4793" spans="1:5" ht="14.25" hidden="1" customHeight="1">
      <c r="A4793" s="16">
        <v>16685790</v>
      </c>
      <c r="B4793" s="17" t="s">
        <v>3016</v>
      </c>
      <c r="C4793" s="17" t="s">
        <v>3017</v>
      </c>
      <c r="D4793" s="5" t="s">
        <v>7289</v>
      </c>
      <c r="E4793" s="35">
        <v>41865</v>
      </c>
    </row>
    <row r="4794" spans="1:5" ht="14.25" hidden="1" customHeight="1">
      <c r="A4794" s="16">
        <v>16842434</v>
      </c>
      <c r="B4794" s="17" t="s">
        <v>863</v>
      </c>
      <c r="C4794" s="17" t="s">
        <v>7559</v>
      </c>
      <c r="D4794" s="5" t="s">
        <v>7289</v>
      </c>
      <c r="E4794" s="35">
        <v>41865</v>
      </c>
    </row>
    <row r="4795" spans="1:5" ht="14.25" hidden="1" customHeight="1">
      <c r="A4795" s="16">
        <v>17267984</v>
      </c>
      <c r="B4795" s="17" t="s">
        <v>47</v>
      </c>
      <c r="C4795" s="17" t="s">
        <v>36</v>
      </c>
      <c r="D4795" s="5" t="s">
        <v>7289</v>
      </c>
      <c r="E4795" s="35">
        <v>41865</v>
      </c>
    </row>
    <row r="4796" spans="1:5" ht="14.25" hidden="1" customHeight="1">
      <c r="A4796" s="16">
        <v>17269443</v>
      </c>
      <c r="B4796" s="17" t="s">
        <v>497</v>
      </c>
      <c r="C4796" s="17" t="s">
        <v>4439</v>
      </c>
      <c r="D4796" s="5" t="s">
        <v>7289</v>
      </c>
      <c r="E4796" s="35">
        <v>41865</v>
      </c>
    </row>
    <row r="4797" spans="1:5" ht="14.25" hidden="1" customHeight="1">
      <c r="A4797" s="16">
        <v>17270247</v>
      </c>
      <c r="B4797" s="17" t="s">
        <v>5098</v>
      </c>
      <c r="C4797" s="17" t="s">
        <v>1061</v>
      </c>
      <c r="D4797" s="5" t="s">
        <v>7289</v>
      </c>
      <c r="E4797" s="35">
        <v>41865</v>
      </c>
    </row>
    <row r="4798" spans="1:5" ht="14.25" hidden="1" customHeight="1">
      <c r="A4798" s="16">
        <v>17613901</v>
      </c>
      <c r="B4798" s="17" t="s">
        <v>5082</v>
      </c>
      <c r="C4798" s="17" t="s">
        <v>5083</v>
      </c>
      <c r="D4798" s="5" t="s">
        <v>7289</v>
      </c>
      <c r="E4798" s="35">
        <v>41865</v>
      </c>
    </row>
    <row r="4799" spans="1:5" ht="14.25" hidden="1" customHeight="1">
      <c r="A4799" s="16">
        <v>17696330</v>
      </c>
      <c r="B4799" s="17" t="s">
        <v>7422</v>
      </c>
      <c r="C4799" s="17" t="s">
        <v>7423</v>
      </c>
      <c r="D4799" s="5" t="s">
        <v>7289</v>
      </c>
      <c r="E4799" s="35">
        <v>41865</v>
      </c>
    </row>
    <row r="4800" spans="1:5" ht="14.25" hidden="1" customHeight="1">
      <c r="A4800" s="16">
        <v>17859592</v>
      </c>
      <c r="B4800" s="17" t="s">
        <v>7556</v>
      </c>
      <c r="C4800" s="17" t="s">
        <v>125</v>
      </c>
      <c r="D4800" s="5" t="s">
        <v>7289</v>
      </c>
      <c r="E4800" s="35">
        <v>41865</v>
      </c>
    </row>
    <row r="4801" spans="1:5" ht="14.25" hidden="1" customHeight="1">
      <c r="A4801" s="16">
        <v>17859700</v>
      </c>
      <c r="B4801" s="17" t="s">
        <v>6424</v>
      </c>
      <c r="C4801" s="17" t="s">
        <v>7562</v>
      </c>
      <c r="D4801" s="5" t="s">
        <v>7289</v>
      </c>
      <c r="E4801" s="35">
        <v>41865</v>
      </c>
    </row>
    <row r="4802" spans="1:5" ht="14.25" hidden="1" customHeight="1">
      <c r="A4802" s="16">
        <v>17947492</v>
      </c>
      <c r="B4802" s="17" t="s">
        <v>5914</v>
      </c>
      <c r="C4802" s="17" t="s">
        <v>365</v>
      </c>
      <c r="D4802" s="5" t="s">
        <v>7289</v>
      </c>
      <c r="E4802" s="35">
        <v>41865</v>
      </c>
    </row>
    <row r="4803" spans="1:5" ht="14.25" hidden="1" customHeight="1">
      <c r="A4803" s="16">
        <v>18182322</v>
      </c>
      <c r="B4803" s="17" t="s">
        <v>7560</v>
      </c>
      <c r="C4803" s="17" t="s">
        <v>7561</v>
      </c>
      <c r="D4803" s="5" t="s">
        <v>7289</v>
      </c>
      <c r="E4803" s="35">
        <v>41865</v>
      </c>
    </row>
    <row r="4804" spans="1:5" ht="14.25" hidden="1" customHeight="1">
      <c r="A4804" s="16">
        <v>18185020</v>
      </c>
      <c r="B4804" s="17" t="s">
        <v>1754</v>
      </c>
      <c r="C4804" s="17" t="s">
        <v>1755</v>
      </c>
      <c r="D4804" s="5" t="s">
        <v>7289</v>
      </c>
      <c r="E4804" s="35">
        <v>41865</v>
      </c>
    </row>
    <row r="4805" spans="1:5" ht="14.25" hidden="1" customHeight="1">
      <c r="A4805" s="16">
        <v>18230668</v>
      </c>
      <c r="B4805" s="17" t="s">
        <v>2375</v>
      </c>
      <c r="C4805" s="17" t="s">
        <v>1585</v>
      </c>
      <c r="D4805" s="5" t="s">
        <v>7289</v>
      </c>
      <c r="E4805" s="35">
        <v>41865</v>
      </c>
    </row>
    <row r="4806" spans="1:5" ht="14.25" hidden="1" customHeight="1">
      <c r="A4806" s="16">
        <v>18566394</v>
      </c>
      <c r="B4806" s="17" t="s">
        <v>144</v>
      </c>
      <c r="C4806" s="17" t="s">
        <v>1898</v>
      </c>
      <c r="D4806" s="5" t="s">
        <v>7289</v>
      </c>
      <c r="E4806" s="35">
        <v>41865</v>
      </c>
    </row>
    <row r="4807" spans="1:5" ht="14.25" hidden="1" customHeight="1">
      <c r="A4807" s="16">
        <v>20171458</v>
      </c>
      <c r="B4807" s="17" t="s">
        <v>2813</v>
      </c>
      <c r="C4807" s="17" t="s">
        <v>7325</v>
      </c>
      <c r="D4807" s="5" t="s">
        <v>7289</v>
      </c>
      <c r="E4807" s="35">
        <v>41865</v>
      </c>
    </row>
    <row r="4808" spans="1:5" ht="14.25" hidden="1" customHeight="1">
      <c r="A4808" s="16">
        <v>20218683</v>
      </c>
      <c r="B4808" s="17" t="s">
        <v>2469</v>
      </c>
      <c r="C4808" s="17" t="s">
        <v>365</v>
      </c>
      <c r="D4808" s="5" t="s">
        <v>7289</v>
      </c>
      <c r="E4808" s="35">
        <v>41865</v>
      </c>
    </row>
    <row r="4809" spans="1:5" ht="14.25" hidden="1" customHeight="1">
      <c r="A4809" s="16">
        <v>20222681</v>
      </c>
      <c r="B4809" s="17" t="s">
        <v>662</v>
      </c>
      <c r="C4809" s="17" t="s">
        <v>663</v>
      </c>
      <c r="D4809" s="5" t="s">
        <v>7289</v>
      </c>
      <c r="E4809" s="35">
        <v>41865</v>
      </c>
    </row>
    <row r="4810" spans="1:5" ht="14.25" hidden="1" customHeight="1">
      <c r="A4810" s="16">
        <v>20284560</v>
      </c>
      <c r="B4810" s="17" t="s">
        <v>7563</v>
      </c>
      <c r="C4810" s="17" t="s">
        <v>7564</v>
      </c>
      <c r="D4810" s="5" t="s">
        <v>7289</v>
      </c>
      <c r="E4810" s="35">
        <v>41865</v>
      </c>
    </row>
    <row r="4811" spans="1:5" ht="14.25" hidden="1" customHeight="1">
      <c r="A4811" s="16">
        <v>20571549</v>
      </c>
      <c r="B4811" s="17" t="s">
        <v>2586</v>
      </c>
      <c r="C4811" s="17" t="s">
        <v>888</v>
      </c>
      <c r="D4811" s="5" t="s">
        <v>7289</v>
      </c>
      <c r="E4811" s="35">
        <v>41865</v>
      </c>
    </row>
    <row r="4812" spans="1:5" ht="14.25" hidden="1" customHeight="1">
      <c r="A4812" s="16">
        <v>20580067</v>
      </c>
      <c r="B4812" s="17" t="s">
        <v>394</v>
      </c>
      <c r="C4812" s="17" t="s">
        <v>2571</v>
      </c>
      <c r="D4812" s="5" t="s">
        <v>7289</v>
      </c>
      <c r="E4812" s="35">
        <v>41865</v>
      </c>
    </row>
    <row r="4813" spans="1:5" ht="14.25" hidden="1" customHeight="1">
      <c r="A4813" s="16">
        <v>22211664</v>
      </c>
      <c r="B4813" s="17" t="s">
        <v>5551</v>
      </c>
      <c r="C4813" s="17" t="s">
        <v>1172</v>
      </c>
      <c r="D4813" s="5" t="s">
        <v>7289</v>
      </c>
      <c r="E4813" s="35">
        <v>41865</v>
      </c>
    </row>
    <row r="4814" spans="1:5" ht="14.25" hidden="1" customHeight="1">
      <c r="A4814" s="16">
        <v>22331049</v>
      </c>
      <c r="B4814" s="17" t="s">
        <v>3951</v>
      </c>
      <c r="C4814" s="17" t="s">
        <v>3952</v>
      </c>
      <c r="D4814" s="5" t="s">
        <v>7289</v>
      </c>
      <c r="E4814" s="35">
        <v>41865</v>
      </c>
    </row>
    <row r="4815" spans="1:5" ht="14.25" hidden="1" customHeight="1">
      <c r="A4815" s="16">
        <v>22429208</v>
      </c>
      <c r="B4815" s="17" t="s">
        <v>5245</v>
      </c>
      <c r="C4815" s="17" t="s">
        <v>5246</v>
      </c>
      <c r="D4815" s="5" t="s">
        <v>7289</v>
      </c>
      <c r="E4815" s="35">
        <v>41865</v>
      </c>
    </row>
    <row r="4816" spans="1:5" ht="14.25" hidden="1" customHeight="1">
      <c r="A4816" s="16">
        <v>22450023</v>
      </c>
      <c r="B4816" s="17" t="s">
        <v>26</v>
      </c>
      <c r="C4816" s="17" t="s">
        <v>33</v>
      </c>
      <c r="D4816" s="5" t="s">
        <v>7289</v>
      </c>
      <c r="E4816" s="35">
        <v>41865</v>
      </c>
    </row>
    <row r="4817" spans="1:5" ht="14.25" hidden="1" customHeight="1">
      <c r="A4817" s="16">
        <v>22877708</v>
      </c>
      <c r="B4817" s="17" t="s">
        <v>2709</v>
      </c>
      <c r="C4817" s="17" t="s">
        <v>2710</v>
      </c>
      <c r="D4817" s="5" t="s">
        <v>7289</v>
      </c>
      <c r="E4817" s="35">
        <v>41865</v>
      </c>
    </row>
    <row r="4818" spans="1:5" ht="14.25" hidden="1" customHeight="1">
      <c r="A4818" s="16">
        <v>23117708</v>
      </c>
      <c r="B4818" s="17" t="s">
        <v>6018</v>
      </c>
      <c r="C4818" s="17" t="s">
        <v>7244</v>
      </c>
      <c r="D4818" s="5" t="s">
        <v>7289</v>
      </c>
      <c r="E4818" s="35">
        <v>41865</v>
      </c>
    </row>
    <row r="4819" spans="1:5" ht="14.25" hidden="1" customHeight="1">
      <c r="A4819" s="16">
        <v>23930071</v>
      </c>
      <c r="B4819" s="17" t="s">
        <v>476</v>
      </c>
      <c r="C4819" s="17" t="s">
        <v>6394</v>
      </c>
      <c r="D4819" s="5" t="s">
        <v>7289</v>
      </c>
      <c r="E4819" s="35">
        <v>41865</v>
      </c>
    </row>
    <row r="4820" spans="1:5" ht="14.25" hidden="1" customHeight="1">
      <c r="A4820" s="16">
        <v>24098848</v>
      </c>
      <c r="B4820" s="17" t="s">
        <v>4830</v>
      </c>
      <c r="C4820" s="17" t="s">
        <v>4831</v>
      </c>
      <c r="D4820" s="5" t="s">
        <v>7289</v>
      </c>
      <c r="E4820" s="35">
        <v>41865</v>
      </c>
    </row>
    <row r="4821" spans="1:5" ht="14.25" hidden="1" customHeight="1">
      <c r="A4821" s="16">
        <v>24316864</v>
      </c>
      <c r="B4821" s="17" t="s">
        <v>2026</v>
      </c>
      <c r="C4821" s="17" t="s">
        <v>1834</v>
      </c>
      <c r="D4821" s="5" t="s">
        <v>7289</v>
      </c>
      <c r="E4821" s="35">
        <v>41865</v>
      </c>
    </row>
    <row r="4822" spans="1:5" ht="14.25" hidden="1" customHeight="1">
      <c r="A4822" s="16">
        <v>24803209</v>
      </c>
      <c r="B4822" s="17" t="s">
        <v>2602</v>
      </c>
      <c r="C4822" s="17" t="s">
        <v>2603</v>
      </c>
      <c r="D4822" s="5" t="s">
        <v>7289</v>
      </c>
      <c r="E4822" s="35">
        <v>41865</v>
      </c>
    </row>
    <row r="4823" spans="1:5" ht="14.25" hidden="1" customHeight="1">
      <c r="A4823" s="16">
        <v>25542562</v>
      </c>
      <c r="B4823" s="17" t="s">
        <v>3237</v>
      </c>
      <c r="C4823" s="17" t="s">
        <v>7133</v>
      </c>
      <c r="D4823" s="5" t="s">
        <v>7289</v>
      </c>
      <c r="E4823" s="35">
        <v>41865</v>
      </c>
    </row>
    <row r="4824" spans="1:5" ht="14.25" hidden="1" customHeight="1">
      <c r="A4824" s="16">
        <v>25577897</v>
      </c>
      <c r="B4824" s="17" t="s">
        <v>1032</v>
      </c>
      <c r="C4824" s="17" t="s">
        <v>1033</v>
      </c>
      <c r="D4824" s="5" t="s">
        <v>7289</v>
      </c>
      <c r="E4824" s="35">
        <v>41865</v>
      </c>
    </row>
    <row r="4825" spans="1:5" ht="14.25" hidden="1" customHeight="1">
      <c r="A4825" s="16">
        <v>25734945</v>
      </c>
      <c r="B4825" s="17" t="s">
        <v>6236</v>
      </c>
      <c r="C4825" s="17" t="s">
        <v>6237</v>
      </c>
      <c r="D4825" s="5" t="s">
        <v>7289</v>
      </c>
      <c r="E4825" s="35">
        <v>41865</v>
      </c>
    </row>
    <row r="4826" spans="1:5" ht="14.25" hidden="1" customHeight="1">
      <c r="A4826" s="16">
        <v>25844020</v>
      </c>
      <c r="B4826" s="17" t="s">
        <v>154</v>
      </c>
      <c r="C4826" s="17" t="s">
        <v>155</v>
      </c>
      <c r="D4826" s="5" t="s">
        <v>7289</v>
      </c>
      <c r="E4826" s="35">
        <v>41865</v>
      </c>
    </row>
    <row r="4827" spans="1:5" ht="14.25" hidden="1" customHeight="1">
      <c r="A4827" s="16">
        <v>26013921</v>
      </c>
      <c r="B4827" s="17" t="s">
        <v>789</v>
      </c>
      <c r="C4827" s="17" t="s">
        <v>7176</v>
      </c>
      <c r="D4827" s="5" t="s">
        <v>7289</v>
      </c>
      <c r="E4827" s="35">
        <v>41865</v>
      </c>
    </row>
    <row r="4828" spans="1:5" ht="14.25" hidden="1" customHeight="1">
      <c r="A4828" s="16">
        <v>26981406</v>
      </c>
      <c r="B4828" s="17" t="s">
        <v>2799</v>
      </c>
      <c r="C4828" s="17" t="s">
        <v>2800</v>
      </c>
      <c r="D4828" s="5" t="s">
        <v>7289</v>
      </c>
      <c r="E4828" s="35">
        <v>41865</v>
      </c>
    </row>
    <row r="4829" spans="1:5" ht="14.25" hidden="1" customHeight="1">
      <c r="A4829" s="16">
        <v>27321673</v>
      </c>
      <c r="B4829" s="17" t="s">
        <v>7420</v>
      </c>
      <c r="C4829" s="17" t="s">
        <v>7421</v>
      </c>
      <c r="D4829" s="5" t="s">
        <v>7289</v>
      </c>
      <c r="E4829" s="35">
        <v>41865</v>
      </c>
    </row>
    <row r="4830" spans="1:5" ht="14.25" hidden="1" customHeight="1">
      <c r="A4830" s="16">
        <v>27575169</v>
      </c>
      <c r="B4830" s="17" t="s">
        <v>601</v>
      </c>
      <c r="C4830" s="17" t="s">
        <v>602</v>
      </c>
      <c r="D4830" s="5" t="s">
        <v>7289</v>
      </c>
      <c r="E4830" s="35">
        <v>41865</v>
      </c>
    </row>
    <row r="4831" spans="1:5" ht="14.25" hidden="1" customHeight="1">
      <c r="A4831" s="16">
        <v>28147332</v>
      </c>
      <c r="B4831" s="17" t="s">
        <v>7107</v>
      </c>
      <c r="C4831" s="17" t="s">
        <v>7108</v>
      </c>
      <c r="D4831" s="5" t="s">
        <v>7289</v>
      </c>
      <c r="E4831" s="35">
        <v>41865</v>
      </c>
    </row>
    <row r="4832" spans="1:5" ht="14.25" hidden="1" customHeight="1">
      <c r="A4832" s="16">
        <v>29061378</v>
      </c>
      <c r="B4832" s="17" t="s">
        <v>5974</v>
      </c>
      <c r="C4832" s="17" t="s">
        <v>5977</v>
      </c>
      <c r="D4832" s="5" t="s">
        <v>7289</v>
      </c>
      <c r="E4832" s="35">
        <v>41865</v>
      </c>
    </row>
    <row r="4833" spans="1:5" ht="14.25" hidden="1" customHeight="1">
      <c r="A4833" s="16">
        <v>29532183</v>
      </c>
      <c r="B4833" s="17" t="s">
        <v>1401</v>
      </c>
      <c r="C4833" s="17" t="s">
        <v>2450</v>
      </c>
      <c r="D4833" s="5" t="s">
        <v>7289</v>
      </c>
      <c r="E4833" s="35">
        <v>41865</v>
      </c>
    </row>
    <row r="4834" spans="1:5" ht="14.25" hidden="1" customHeight="1">
      <c r="A4834" s="16">
        <v>29532614</v>
      </c>
      <c r="B4834" s="17" t="s">
        <v>4621</v>
      </c>
      <c r="C4834" s="17" t="s">
        <v>1146</v>
      </c>
      <c r="D4834" s="5" t="s">
        <v>7289</v>
      </c>
      <c r="E4834" s="35">
        <v>41865</v>
      </c>
    </row>
    <row r="4835" spans="1:5" ht="14.25" hidden="1" customHeight="1">
      <c r="A4835" s="16">
        <v>29640332</v>
      </c>
      <c r="B4835" s="17" t="s">
        <v>3261</v>
      </c>
      <c r="C4835" s="17" t="s">
        <v>3262</v>
      </c>
      <c r="D4835" s="5" t="s">
        <v>7289</v>
      </c>
      <c r="E4835" s="35">
        <v>41865</v>
      </c>
    </row>
    <row r="4836" spans="1:5" ht="14.25" hidden="1" customHeight="1">
      <c r="A4836" s="16">
        <v>30357304</v>
      </c>
      <c r="B4836" s="17" t="s">
        <v>350</v>
      </c>
      <c r="C4836" s="17" t="s">
        <v>588</v>
      </c>
      <c r="D4836" s="5" t="s">
        <v>7289</v>
      </c>
      <c r="E4836" s="35">
        <v>41865</v>
      </c>
    </row>
    <row r="4837" spans="1:5" ht="14.25" hidden="1" customHeight="1">
      <c r="A4837" s="16">
        <v>30409472</v>
      </c>
      <c r="B4837" s="17" t="s">
        <v>5204</v>
      </c>
      <c r="C4837" s="17" t="s">
        <v>5205</v>
      </c>
      <c r="D4837" s="5" t="s">
        <v>7289</v>
      </c>
      <c r="E4837" s="35">
        <v>41865</v>
      </c>
    </row>
    <row r="4838" spans="1:5" ht="14.25" hidden="1" customHeight="1">
      <c r="A4838" s="16">
        <v>30759570</v>
      </c>
      <c r="B4838" s="17" t="s">
        <v>2795</v>
      </c>
      <c r="C4838" s="17" t="s">
        <v>2447</v>
      </c>
      <c r="D4838" s="5" t="s">
        <v>7289</v>
      </c>
      <c r="E4838" s="35">
        <v>41865</v>
      </c>
    </row>
    <row r="4839" spans="1:5" ht="14.25" hidden="1" customHeight="1">
      <c r="A4839" s="16">
        <v>31030478</v>
      </c>
      <c r="B4839" s="17" t="s">
        <v>1707</v>
      </c>
      <c r="C4839" s="17" t="s">
        <v>6242</v>
      </c>
      <c r="D4839" s="5" t="s">
        <v>7289</v>
      </c>
      <c r="E4839" s="35">
        <v>41865</v>
      </c>
    </row>
    <row r="4840" spans="1:5" ht="14.25" hidden="1" customHeight="1">
      <c r="A4840" s="16">
        <v>31127261</v>
      </c>
      <c r="B4840" s="17" t="s">
        <v>5630</v>
      </c>
      <c r="C4840" s="17" t="s">
        <v>5631</v>
      </c>
      <c r="D4840" s="5" t="s">
        <v>7289</v>
      </c>
      <c r="E4840" s="35">
        <v>41865</v>
      </c>
    </row>
    <row r="4841" spans="1:5" ht="14.25" hidden="1" customHeight="1">
      <c r="A4841" s="16">
        <v>31961597</v>
      </c>
      <c r="B4841" s="17" t="s">
        <v>6310</v>
      </c>
      <c r="C4841" s="17" t="s">
        <v>3115</v>
      </c>
      <c r="D4841" s="5" t="s">
        <v>7289</v>
      </c>
      <c r="E4841" s="35">
        <v>41865</v>
      </c>
    </row>
    <row r="4842" spans="1:5" ht="14.25" hidden="1" customHeight="1">
      <c r="A4842" s="16">
        <v>33091683</v>
      </c>
      <c r="B4842" s="17" t="s">
        <v>7558</v>
      </c>
      <c r="C4842" s="17" t="s">
        <v>4992</v>
      </c>
      <c r="D4842" s="5" t="s">
        <v>7289</v>
      </c>
      <c r="E4842" s="35">
        <v>41865</v>
      </c>
    </row>
    <row r="4843" spans="1:5" ht="14.25" hidden="1" customHeight="1">
      <c r="A4843" s="16">
        <v>33432151</v>
      </c>
      <c r="B4843" s="17" t="s">
        <v>226</v>
      </c>
      <c r="C4843" s="17" t="s">
        <v>5582</v>
      </c>
      <c r="D4843" s="5" t="s">
        <v>7289</v>
      </c>
      <c r="E4843" s="35">
        <v>41865</v>
      </c>
    </row>
    <row r="4844" spans="1:5" ht="14.25" hidden="1" customHeight="1">
      <c r="A4844" s="16">
        <v>33818840</v>
      </c>
      <c r="B4844" s="17" t="s">
        <v>377</v>
      </c>
      <c r="C4844" s="17" t="s">
        <v>7235</v>
      </c>
      <c r="D4844" s="5" t="s">
        <v>7289</v>
      </c>
      <c r="E4844" s="35">
        <v>41865</v>
      </c>
    </row>
    <row r="4845" spans="1:5" ht="14.25" hidden="1" customHeight="1">
      <c r="A4845" s="16">
        <v>33889499</v>
      </c>
      <c r="B4845" s="17" t="s">
        <v>734</v>
      </c>
      <c r="C4845" s="17" t="s">
        <v>7352</v>
      </c>
      <c r="D4845" s="5" t="s">
        <v>7289</v>
      </c>
      <c r="E4845" s="35">
        <v>41865</v>
      </c>
    </row>
    <row r="4846" spans="1:5" ht="14.25" hidden="1" customHeight="1">
      <c r="A4846" s="16">
        <v>34994170</v>
      </c>
      <c r="B4846" s="17" t="s">
        <v>304</v>
      </c>
      <c r="C4846" s="17" t="s">
        <v>2623</v>
      </c>
      <c r="D4846" s="5" t="s">
        <v>7289</v>
      </c>
      <c r="E4846" s="35">
        <v>41865</v>
      </c>
    </row>
    <row r="4847" spans="1:5" ht="14.25" hidden="1" customHeight="1">
      <c r="A4847" s="16">
        <v>35199870</v>
      </c>
      <c r="B4847" s="17" t="s">
        <v>7416</v>
      </c>
      <c r="C4847" s="17" t="s">
        <v>7417</v>
      </c>
      <c r="D4847" s="5" t="s">
        <v>7289</v>
      </c>
      <c r="E4847" s="35">
        <v>41865</v>
      </c>
    </row>
    <row r="4848" spans="1:5" ht="14.25" hidden="1" customHeight="1">
      <c r="A4848" s="16">
        <v>35518054</v>
      </c>
      <c r="B4848" s="17" t="s">
        <v>210</v>
      </c>
      <c r="C4848" s="17" t="s">
        <v>211</v>
      </c>
      <c r="D4848" s="5" t="s">
        <v>7289</v>
      </c>
      <c r="E4848" s="35">
        <v>41865</v>
      </c>
    </row>
    <row r="4849" spans="1:5" ht="14.25" hidden="1" customHeight="1">
      <c r="A4849" s="16">
        <v>35548263</v>
      </c>
      <c r="B4849" s="17" t="s">
        <v>415</v>
      </c>
      <c r="C4849" s="17" t="s">
        <v>6983</v>
      </c>
      <c r="D4849" s="5" t="s">
        <v>7289</v>
      </c>
      <c r="E4849" s="35">
        <v>41865</v>
      </c>
    </row>
    <row r="4850" spans="1:5" ht="14.25" hidden="1" customHeight="1">
      <c r="A4850" s="16">
        <v>93262857</v>
      </c>
      <c r="B4850" s="17" t="s">
        <v>236</v>
      </c>
      <c r="C4850" s="17" t="s">
        <v>237</v>
      </c>
      <c r="D4850" s="5" t="s">
        <v>7289</v>
      </c>
      <c r="E4850" s="35">
        <v>41865</v>
      </c>
    </row>
    <row r="4851" spans="1:5" ht="14.25" hidden="1" customHeight="1">
      <c r="B4851" s="17" t="s">
        <v>7557</v>
      </c>
      <c r="C4851" s="17" t="s">
        <v>4373</v>
      </c>
      <c r="D4851" s="5" t="s">
        <v>7289</v>
      </c>
      <c r="E4851" s="35">
        <v>41865</v>
      </c>
    </row>
    <row r="4852" spans="1:5" ht="14.25" hidden="1" customHeight="1">
      <c r="A4852" s="16">
        <v>12733217</v>
      </c>
      <c r="B4852" s="17" t="s">
        <v>5040</v>
      </c>
      <c r="C4852" s="17" t="s">
        <v>5041</v>
      </c>
      <c r="D4852" s="5" t="s">
        <v>7288</v>
      </c>
      <c r="E4852" s="35">
        <v>41863</v>
      </c>
    </row>
    <row r="4853" spans="1:5" ht="14.25" hidden="1" customHeight="1">
      <c r="A4853" s="16">
        <v>20262443</v>
      </c>
      <c r="B4853" s="17" t="s">
        <v>6214</v>
      </c>
      <c r="C4853" s="17" t="s">
        <v>6215</v>
      </c>
      <c r="D4853" s="5" t="s">
        <v>7288</v>
      </c>
      <c r="E4853" s="35">
        <v>41863</v>
      </c>
    </row>
    <row r="4854" spans="1:5" ht="14.25" hidden="1" customHeight="1">
      <c r="A4854" s="16">
        <v>27651542</v>
      </c>
      <c r="B4854" s="17" t="s">
        <v>5433</v>
      </c>
      <c r="C4854" s="17" t="s">
        <v>5856</v>
      </c>
      <c r="D4854" s="5" t="s">
        <v>7288</v>
      </c>
      <c r="E4854" s="35">
        <v>41863</v>
      </c>
    </row>
    <row r="4855" spans="1:5" ht="14.25" hidden="1" customHeight="1">
      <c r="A4855" s="16">
        <v>27731175</v>
      </c>
      <c r="B4855" s="17" t="s">
        <v>4991</v>
      </c>
      <c r="C4855" s="17" t="s">
        <v>5546</v>
      </c>
      <c r="D4855" s="5" t="s">
        <v>7288</v>
      </c>
      <c r="E4855" s="35">
        <v>41863</v>
      </c>
    </row>
    <row r="4856" spans="1:5" ht="14.25" hidden="1" customHeight="1">
      <c r="A4856" s="16">
        <v>28736561</v>
      </c>
      <c r="B4856" s="17" t="s">
        <v>5589</v>
      </c>
      <c r="C4856" s="17" t="s">
        <v>902</v>
      </c>
      <c r="D4856" s="5" t="s">
        <v>7288</v>
      </c>
      <c r="E4856" s="35">
        <v>41863</v>
      </c>
    </row>
    <row r="4857" spans="1:5" ht="14.25" hidden="1" customHeight="1">
      <c r="A4857" s="16">
        <v>29532614</v>
      </c>
      <c r="B4857" s="17" t="s">
        <v>4621</v>
      </c>
      <c r="C4857" s="17" t="s">
        <v>1146</v>
      </c>
      <c r="D4857" s="5" t="s">
        <v>7288</v>
      </c>
      <c r="E4857" s="35">
        <v>41863</v>
      </c>
    </row>
    <row r="4858" spans="1:5" ht="14.25" hidden="1" customHeight="1">
      <c r="A4858" s="16">
        <v>31961597</v>
      </c>
      <c r="B4858" s="17" t="s">
        <v>6310</v>
      </c>
      <c r="C4858" s="17" t="s">
        <v>3115</v>
      </c>
      <c r="D4858" s="5" t="s">
        <v>7288</v>
      </c>
      <c r="E4858" s="35">
        <v>41863</v>
      </c>
    </row>
    <row r="4859" spans="1:5" ht="14.25" hidden="1" customHeight="1">
      <c r="A4859" s="16">
        <v>32927840</v>
      </c>
      <c r="B4859" s="17" t="s">
        <v>1512</v>
      </c>
      <c r="C4859" s="17" t="s">
        <v>6056</v>
      </c>
      <c r="D4859" s="5" t="s">
        <v>7288</v>
      </c>
      <c r="E4859" s="35">
        <v>41863</v>
      </c>
    </row>
    <row r="4860" spans="1:5" ht="14.25" hidden="1" customHeight="1">
      <c r="A4860" s="16">
        <v>33050608</v>
      </c>
      <c r="B4860" s="17" t="s">
        <v>760</v>
      </c>
      <c r="C4860" s="17" t="s">
        <v>6430</v>
      </c>
      <c r="D4860" s="5" t="s">
        <v>7288</v>
      </c>
      <c r="E4860" s="35">
        <v>41863</v>
      </c>
    </row>
    <row r="4861" spans="1:5" ht="14.25" hidden="1" customHeight="1">
      <c r="A4861" s="16">
        <v>33432151</v>
      </c>
      <c r="B4861" s="17" t="s">
        <v>226</v>
      </c>
      <c r="C4861" s="17" t="s">
        <v>5582</v>
      </c>
      <c r="D4861" s="5" t="s">
        <v>7288</v>
      </c>
      <c r="E4861" s="35">
        <v>41863</v>
      </c>
    </row>
    <row r="4862" spans="1:5" ht="14.25" hidden="1" customHeight="1">
      <c r="A4862" s="16">
        <v>5772320</v>
      </c>
      <c r="B4862" s="17" t="s">
        <v>240</v>
      </c>
      <c r="C4862" s="17" t="s">
        <v>241</v>
      </c>
      <c r="D4862" s="5" t="s">
        <v>7309</v>
      </c>
      <c r="E4862" s="35">
        <v>41862</v>
      </c>
    </row>
    <row r="4863" spans="1:5" ht="14.25" hidden="1" customHeight="1">
      <c r="A4863" s="16">
        <v>10178573</v>
      </c>
      <c r="B4863" s="17" t="s">
        <v>2121</v>
      </c>
      <c r="C4863" s="17" t="s">
        <v>5431</v>
      </c>
      <c r="D4863" s="5" t="s">
        <v>7309</v>
      </c>
      <c r="E4863" s="35">
        <v>41862</v>
      </c>
    </row>
    <row r="4864" spans="1:5" ht="14.25" hidden="1" customHeight="1">
      <c r="A4864" s="16">
        <v>10221705</v>
      </c>
      <c r="B4864" s="17" t="s">
        <v>7400</v>
      </c>
      <c r="C4864" s="17" t="s">
        <v>7565</v>
      </c>
      <c r="D4864" s="5" t="s">
        <v>7309</v>
      </c>
      <c r="E4864" s="35">
        <v>41862</v>
      </c>
    </row>
    <row r="4865" spans="1:5" ht="14.25" hidden="1" customHeight="1">
      <c r="A4865" s="16">
        <v>13784429</v>
      </c>
      <c r="B4865" s="17" t="s">
        <v>144</v>
      </c>
      <c r="C4865" s="17" t="s">
        <v>3962</v>
      </c>
      <c r="D4865" s="5" t="s">
        <v>7309</v>
      </c>
      <c r="E4865" s="35">
        <v>41862</v>
      </c>
    </row>
    <row r="4866" spans="1:5" ht="14.25" hidden="1" customHeight="1">
      <c r="A4866" s="16">
        <v>17613901</v>
      </c>
      <c r="B4866" s="17" t="s">
        <v>5082</v>
      </c>
      <c r="C4866" s="17" t="s">
        <v>5083</v>
      </c>
      <c r="D4866" s="5" t="s">
        <v>7309</v>
      </c>
      <c r="E4866" s="35">
        <v>41862</v>
      </c>
    </row>
    <row r="4867" spans="1:5" ht="14.25" hidden="1" customHeight="1">
      <c r="A4867" s="16">
        <v>21328297</v>
      </c>
      <c r="B4867" s="17" t="s">
        <v>6961</v>
      </c>
      <c r="C4867" s="17" t="s">
        <v>7424</v>
      </c>
      <c r="D4867" s="5" t="s">
        <v>7309</v>
      </c>
      <c r="E4867" s="35">
        <v>41862</v>
      </c>
    </row>
    <row r="4868" spans="1:5" ht="14.25" hidden="1" customHeight="1">
      <c r="A4868" s="16">
        <v>22414187</v>
      </c>
      <c r="B4868" s="17" t="s">
        <v>1793</v>
      </c>
      <c r="C4868" s="17" t="s">
        <v>6327</v>
      </c>
      <c r="D4868" s="5" t="s">
        <v>7309</v>
      </c>
      <c r="E4868" s="35">
        <v>41862</v>
      </c>
    </row>
    <row r="4869" spans="1:5" ht="14.25" hidden="1" customHeight="1">
      <c r="A4869" s="16">
        <v>22450023</v>
      </c>
      <c r="B4869" s="17" t="s">
        <v>26</v>
      </c>
      <c r="C4869" s="17" t="s">
        <v>33</v>
      </c>
      <c r="D4869" s="5" t="s">
        <v>7309</v>
      </c>
      <c r="E4869" s="35">
        <v>41862</v>
      </c>
    </row>
    <row r="4870" spans="1:5" ht="14.25" hidden="1" customHeight="1">
      <c r="A4870" s="16">
        <v>22451756</v>
      </c>
      <c r="B4870" s="17" t="s">
        <v>983</v>
      </c>
      <c r="C4870" s="17" t="s">
        <v>5325</v>
      </c>
      <c r="D4870" s="5" t="s">
        <v>7309</v>
      </c>
      <c r="E4870" s="35">
        <v>41862</v>
      </c>
    </row>
    <row r="4871" spans="1:5" ht="14.25" hidden="1" customHeight="1">
      <c r="A4871" s="16">
        <v>25844620</v>
      </c>
      <c r="B4871" s="17" t="s">
        <v>154</v>
      </c>
      <c r="C4871" s="17" t="s">
        <v>155</v>
      </c>
      <c r="D4871" s="5" t="s">
        <v>7309</v>
      </c>
      <c r="E4871" s="35">
        <v>41862</v>
      </c>
    </row>
    <row r="4872" spans="1:5" ht="14.25" hidden="1" customHeight="1">
      <c r="A4872" s="16">
        <v>27364252</v>
      </c>
      <c r="B4872" s="17" t="s">
        <v>428</v>
      </c>
      <c r="C4872" s="17" t="s">
        <v>1801</v>
      </c>
      <c r="D4872" s="5" t="s">
        <v>7309</v>
      </c>
      <c r="E4872" s="35">
        <v>41862</v>
      </c>
    </row>
    <row r="4873" spans="1:5" ht="14.25" hidden="1" customHeight="1">
      <c r="A4873" s="16">
        <v>32455863</v>
      </c>
      <c r="B4873" s="17" t="s">
        <v>2158</v>
      </c>
      <c r="C4873" s="17" t="s">
        <v>2676</v>
      </c>
      <c r="D4873" s="5" t="s">
        <v>7309</v>
      </c>
      <c r="E4873" s="35">
        <v>41862</v>
      </c>
    </row>
    <row r="4874" spans="1:5" ht="14.25" hidden="1" customHeight="1">
      <c r="A4874" s="16">
        <v>33889499</v>
      </c>
      <c r="B4874" s="17" t="s">
        <v>734</v>
      </c>
      <c r="C4874" s="17" t="s">
        <v>5104</v>
      </c>
      <c r="D4874" s="5" t="s">
        <v>7309</v>
      </c>
      <c r="E4874" s="35">
        <v>41862</v>
      </c>
    </row>
    <row r="4875" spans="1:5" ht="14.25" hidden="1" customHeight="1">
      <c r="A4875" s="16">
        <v>12609337</v>
      </c>
      <c r="B4875" s="17" t="s">
        <v>7568</v>
      </c>
      <c r="C4875" s="17" t="s">
        <v>7569</v>
      </c>
      <c r="D4875" s="5" t="s">
        <v>7009</v>
      </c>
      <c r="E4875" s="35">
        <v>41862</v>
      </c>
    </row>
    <row r="4876" spans="1:5" ht="14.25" hidden="1" customHeight="1">
      <c r="A4876" s="16">
        <v>13847302</v>
      </c>
      <c r="B4876" s="17" t="s">
        <v>7570</v>
      </c>
      <c r="C4876" s="17" t="s">
        <v>7571</v>
      </c>
      <c r="D4876" s="5" t="s">
        <v>7009</v>
      </c>
      <c r="E4876" s="35">
        <v>41862</v>
      </c>
    </row>
    <row r="4877" spans="1:5" ht="14.25" hidden="1" customHeight="1">
      <c r="A4877" s="16">
        <v>16685410</v>
      </c>
      <c r="B4877" s="17" t="s">
        <v>7482</v>
      </c>
      <c r="C4877" s="17" t="s">
        <v>7579</v>
      </c>
      <c r="D4877" s="5" t="s">
        <v>7009</v>
      </c>
      <c r="E4877" s="35">
        <v>41862</v>
      </c>
    </row>
    <row r="4878" spans="1:5" ht="14.25" hidden="1" customHeight="1">
      <c r="A4878" s="16">
        <v>16685410</v>
      </c>
      <c r="B4878" s="25" t="s">
        <v>7580</v>
      </c>
      <c r="C4878" s="25" t="s">
        <v>2062</v>
      </c>
      <c r="D4878" s="5" t="s">
        <v>7009</v>
      </c>
      <c r="E4878" s="35">
        <v>41862</v>
      </c>
    </row>
    <row r="4879" spans="1:5" ht="14.25" hidden="1" customHeight="1">
      <c r="A4879" s="16">
        <v>17040749</v>
      </c>
      <c r="B4879" s="17" t="s">
        <v>7474</v>
      </c>
      <c r="C4879" s="17" t="s">
        <v>7576</v>
      </c>
      <c r="D4879" s="5" t="s">
        <v>7009</v>
      </c>
      <c r="E4879" s="35">
        <v>41862</v>
      </c>
    </row>
    <row r="4880" spans="1:5" ht="14.25" hidden="1" customHeight="1">
      <c r="A4880" s="16">
        <v>18185291</v>
      </c>
      <c r="B4880" s="25" t="s">
        <v>7469</v>
      </c>
      <c r="C4880" s="25" t="s">
        <v>7427</v>
      </c>
      <c r="D4880" s="5" t="s">
        <v>7009</v>
      </c>
      <c r="E4880" s="35">
        <v>41862</v>
      </c>
    </row>
    <row r="4881" spans="1:5" ht="14.25" hidden="1" customHeight="1">
      <c r="A4881" s="16">
        <v>18464655</v>
      </c>
      <c r="B4881" s="17" t="s">
        <v>7574</v>
      </c>
      <c r="C4881" s="17" t="s">
        <v>7575</v>
      </c>
      <c r="D4881" s="5" t="s">
        <v>7009</v>
      </c>
      <c r="E4881" s="35">
        <v>41862</v>
      </c>
    </row>
    <row r="4882" spans="1:5" ht="14.25" hidden="1" customHeight="1">
      <c r="A4882" s="16">
        <v>20171458</v>
      </c>
      <c r="B4882" s="17" t="s">
        <v>7581</v>
      </c>
      <c r="C4882" s="17" t="s">
        <v>7582</v>
      </c>
      <c r="D4882" s="5" t="s">
        <v>7009</v>
      </c>
      <c r="E4882" s="35">
        <v>41862</v>
      </c>
    </row>
    <row r="4883" spans="1:5" ht="14.25" hidden="1" customHeight="1">
      <c r="A4883" s="16">
        <v>22211664</v>
      </c>
      <c r="B4883" s="17" t="s">
        <v>7470</v>
      </c>
      <c r="C4883" s="17" t="s">
        <v>7471</v>
      </c>
      <c r="D4883" s="5" t="s">
        <v>7009</v>
      </c>
      <c r="E4883" s="35">
        <v>41862</v>
      </c>
    </row>
    <row r="4884" spans="1:5" ht="14.25" hidden="1" customHeight="1">
      <c r="A4884" s="16">
        <v>22877690</v>
      </c>
      <c r="B4884" s="17" t="s">
        <v>7472</v>
      </c>
      <c r="C4884" s="17" t="s">
        <v>7473</v>
      </c>
      <c r="D4884" s="5" t="s">
        <v>7009</v>
      </c>
      <c r="E4884" s="35">
        <v>41862</v>
      </c>
    </row>
    <row r="4885" spans="1:5" ht="14.25" hidden="1" customHeight="1">
      <c r="A4885" s="16">
        <v>23498695</v>
      </c>
      <c r="B4885" s="17" t="s">
        <v>7572</v>
      </c>
      <c r="C4885" s="17" t="s">
        <v>7573</v>
      </c>
      <c r="D4885" s="5" t="s">
        <v>7009</v>
      </c>
      <c r="E4885" s="35">
        <v>41862</v>
      </c>
    </row>
    <row r="4886" spans="1:5" ht="14.25" hidden="1" customHeight="1">
      <c r="A4886" s="16">
        <v>26013673</v>
      </c>
      <c r="B4886" s="17" t="s">
        <v>7577</v>
      </c>
      <c r="C4886" s="17" t="s">
        <v>7578</v>
      </c>
      <c r="D4886" s="5" t="s">
        <v>7009</v>
      </c>
      <c r="E4886" s="35">
        <v>41862</v>
      </c>
    </row>
    <row r="4887" spans="1:5" ht="14.25" hidden="1" customHeight="1">
      <c r="A4887" s="16">
        <v>31030930</v>
      </c>
      <c r="B4887" s="17" t="s">
        <v>7566</v>
      </c>
      <c r="C4887" s="17" t="s">
        <v>7567</v>
      </c>
      <c r="D4887" s="5" t="s">
        <v>7009</v>
      </c>
      <c r="E4887" s="35">
        <v>41862</v>
      </c>
    </row>
    <row r="4888" spans="1:5" ht="14.25" hidden="1" customHeight="1">
      <c r="A4888" s="16">
        <v>12512063</v>
      </c>
      <c r="B4888" s="17" t="s">
        <v>7585</v>
      </c>
      <c r="C4888" s="17" t="s">
        <v>7586</v>
      </c>
      <c r="D4888" s="5" t="s">
        <v>7009</v>
      </c>
      <c r="E4888" s="35">
        <v>41800</v>
      </c>
    </row>
    <row r="4889" spans="1:5" ht="14.25" hidden="1" customHeight="1">
      <c r="A4889" s="16">
        <v>13203668</v>
      </c>
      <c r="B4889" s="17" t="s">
        <v>7583</v>
      </c>
      <c r="C4889" s="17" t="s">
        <v>7405</v>
      </c>
      <c r="D4889" s="5" t="s">
        <v>7009</v>
      </c>
      <c r="E4889" s="35">
        <v>41800</v>
      </c>
    </row>
    <row r="4890" spans="1:5" ht="14.25" hidden="1" customHeight="1">
      <c r="A4890" s="16">
        <v>13338251</v>
      </c>
      <c r="B4890" s="17" t="s">
        <v>6906</v>
      </c>
      <c r="C4890" s="17" t="s">
        <v>6907</v>
      </c>
      <c r="D4890" s="5" t="s">
        <v>7009</v>
      </c>
      <c r="E4890" s="35">
        <v>41800</v>
      </c>
    </row>
    <row r="4891" spans="1:5" ht="14.25" hidden="1" customHeight="1">
      <c r="A4891" s="16">
        <v>20222823</v>
      </c>
      <c r="B4891" s="17" t="s">
        <v>7478</v>
      </c>
      <c r="C4891" s="17" t="s">
        <v>7479</v>
      </c>
      <c r="D4891" s="5" t="s">
        <v>7009</v>
      </c>
      <c r="E4891" s="35">
        <v>41800</v>
      </c>
    </row>
    <row r="4892" spans="1:5" ht="14.25" hidden="1" customHeight="1">
      <c r="A4892" s="16">
        <v>20418132</v>
      </c>
      <c r="B4892" s="17" t="s">
        <v>7592</v>
      </c>
      <c r="C4892" s="17" t="s">
        <v>7593</v>
      </c>
      <c r="D4892" s="5" t="s">
        <v>7009</v>
      </c>
      <c r="E4892" s="35">
        <v>41800</v>
      </c>
    </row>
    <row r="4893" spans="1:5" ht="14.25" hidden="1" customHeight="1">
      <c r="A4893" s="16">
        <v>22030518</v>
      </c>
      <c r="B4893" s="17" t="s">
        <v>7584</v>
      </c>
      <c r="C4893" s="17" t="s">
        <v>7541</v>
      </c>
      <c r="D4893" s="5" t="s">
        <v>7009</v>
      </c>
      <c r="E4893" s="35">
        <v>41800</v>
      </c>
    </row>
    <row r="4894" spans="1:5" ht="14.25" hidden="1" customHeight="1">
      <c r="A4894" s="16">
        <v>23519882</v>
      </c>
      <c r="B4894" s="17" t="s">
        <v>7590</v>
      </c>
      <c r="C4894" s="17" t="s">
        <v>7591</v>
      </c>
      <c r="D4894" s="5" t="s">
        <v>7009</v>
      </c>
      <c r="E4894" s="35">
        <v>41800</v>
      </c>
    </row>
    <row r="4895" spans="1:5" ht="14.25" hidden="1" customHeight="1">
      <c r="A4895" s="16">
        <v>25542406</v>
      </c>
      <c r="B4895" s="17" t="s">
        <v>7587</v>
      </c>
      <c r="C4895" s="17" t="s">
        <v>7589</v>
      </c>
      <c r="D4895" s="5" t="s">
        <v>7009</v>
      </c>
      <c r="E4895" s="35">
        <v>41800</v>
      </c>
    </row>
    <row r="4896" spans="1:5" ht="14.25" hidden="1" customHeight="1">
      <c r="A4896" s="16">
        <v>26638080</v>
      </c>
      <c r="B4896" s="17" t="s">
        <v>7480</v>
      </c>
      <c r="C4896" s="17" t="s">
        <v>7481</v>
      </c>
      <c r="D4896" s="5" t="s">
        <v>7009</v>
      </c>
      <c r="E4896" s="35">
        <v>41800</v>
      </c>
    </row>
    <row r="4897" spans="1:5" ht="14.25" hidden="1" customHeight="1">
      <c r="A4897" s="16">
        <v>26638778</v>
      </c>
      <c r="B4897" s="17" t="s">
        <v>7587</v>
      </c>
      <c r="C4897" s="17" t="s">
        <v>7588</v>
      </c>
      <c r="D4897" s="5" t="s">
        <v>7009</v>
      </c>
      <c r="E4897" s="35">
        <v>41800</v>
      </c>
    </row>
    <row r="4898" spans="1:5" ht="14.25" hidden="1" customHeight="1">
      <c r="A4898" s="16">
        <v>30117445</v>
      </c>
      <c r="B4898" s="25" t="s">
        <v>7596</v>
      </c>
      <c r="C4898" s="25" t="s">
        <v>92</v>
      </c>
      <c r="D4898" s="5" t="s">
        <v>7009</v>
      </c>
      <c r="E4898" s="35">
        <v>41800</v>
      </c>
    </row>
    <row r="4899" spans="1:5" ht="14.25" hidden="1" customHeight="1">
      <c r="A4899" s="16">
        <v>32493293</v>
      </c>
      <c r="B4899" s="17" t="s">
        <v>73</v>
      </c>
      <c r="C4899" s="17" t="s">
        <v>74</v>
      </c>
      <c r="D4899" s="5" t="s">
        <v>7009</v>
      </c>
      <c r="E4899" s="35">
        <v>41800</v>
      </c>
    </row>
    <row r="4900" spans="1:5" ht="14.25" hidden="1" customHeight="1">
      <c r="A4900" s="16">
        <v>32927909</v>
      </c>
      <c r="B4900" s="17" t="s">
        <v>7594</v>
      </c>
      <c r="C4900" s="17" t="s">
        <v>7595</v>
      </c>
      <c r="D4900" s="5" t="s">
        <v>7009</v>
      </c>
      <c r="E4900" s="35">
        <v>41800</v>
      </c>
    </row>
    <row r="4901" spans="1:5" ht="14.25" hidden="1" customHeight="1">
      <c r="A4901" s="16">
        <v>13278971</v>
      </c>
      <c r="B4901" s="17" t="s">
        <v>7599</v>
      </c>
      <c r="C4901" s="17" t="s">
        <v>7600</v>
      </c>
      <c r="D4901" s="5" t="s">
        <v>7468</v>
      </c>
      <c r="E4901" s="35">
        <v>41799</v>
      </c>
    </row>
    <row r="4902" spans="1:5" ht="14.25" hidden="1" customHeight="1">
      <c r="A4902" s="16">
        <v>17377987</v>
      </c>
      <c r="B4902" s="17" t="s">
        <v>659</v>
      </c>
      <c r="C4902" s="17" t="s">
        <v>1082</v>
      </c>
      <c r="D4902" s="5" t="s">
        <v>7468</v>
      </c>
      <c r="E4902" s="35">
        <v>41799</v>
      </c>
    </row>
    <row r="4903" spans="1:5" ht="14.25" hidden="1" customHeight="1">
      <c r="A4903" s="16">
        <v>20284560</v>
      </c>
      <c r="B4903" s="17" t="s">
        <v>7563</v>
      </c>
      <c r="C4903" s="17" t="s">
        <v>7564</v>
      </c>
      <c r="D4903" s="5" t="s">
        <v>7468</v>
      </c>
      <c r="E4903" s="35">
        <v>41799</v>
      </c>
    </row>
    <row r="4904" spans="1:5" ht="14.25" hidden="1" customHeight="1">
      <c r="A4904" s="16">
        <v>20285198</v>
      </c>
      <c r="B4904" s="17" t="s">
        <v>218</v>
      </c>
      <c r="C4904" s="17" t="s">
        <v>427</v>
      </c>
      <c r="D4904" s="5" t="s">
        <v>7468</v>
      </c>
      <c r="E4904" s="35">
        <v>41799</v>
      </c>
    </row>
    <row r="4905" spans="1:5" ht="14.25" hidden="1" customHeight="1">
      <c r="A4905" s="16">
        <v>21327548</v>
      </c>
      <c r="B4905" s="17" t="s">
        <v>711</v>
      </c>
      <c r="C4905" s="17" t="s">
        <v>322</v>
      </c>
      <c r="D4905" s="5" t="s">
        <v>7468</v>
      </c>
      <c r="E4905" s="35">
        <v>41799</v>
      </c>
    </row>
    <row r="4906" spans="1:5" ht="14.25" hidden="1" customHeight="1">
      <c r="A4906" s="16">
        <v>25211601</v>
      </c>
      <c r="B4906" s="25" t="s">
        <v>7597</v>
      </c>
      <c r="C4906" s="25" t="s">
        <v>7598</v>
      </c>
      <c r="D4906" s="5" t="s">
        <v>7468</v>
      </c>
      <c r="E4906" s="35">
        <v>41799</v>
      </c>
    </row>
    <row r="4907" spans="1:5" ht="14.25" hidden="1" customHeight="1">
      <c r="A4907" s="16">
        <v>25843239</v>
      </c>
      <c r="B4907" s="17" t="s">
        <v>4874</v>
      </c>
      <c r="C4907" s="17" t="s">
        <v>4875</v>
      </c>
      <c r="D4907" s="5" t="s">
        <v>7468</v>
      </c>
      <c r="E4907" s="35">
        <v>41799</v>
      </c>
    </row>
    <row r="4908" spans="1:5" ht="14.25" hidden="1" customHeight="1">
      <c r="A4908" s="16">
        <v>28721499</v>
      </c>
      <c r="B4908" s="17" t="s">
        <v>3300</v>
      </c>
      <c r="C4908" s="17" t="s">
        <v>3301</v>
      </c>
      <c r="D4908" s="5" t="s">
        <v>7468</v>
      </c>
      <c r="E4908" s="35">
        <v>41799</v>
      </c>
    </row>
    <row r="4909" spans="1:5" ht="14.25" hidden="1" customHeight="1">
      <c r="A4909" s="16">
        <v>29914125</v>
      </c>
      <c r="B4909" s="17" t="s">
        <v>3296</v>
      </c>
      <c r="C4909" s="17" t="s">
        <v>3297</v>
      </c>
      <c r="D4909" s="5" t="s">
        <v>7468</v>
      </c>
      <c r="E4909" s="35">
        <v>41799</v>
      </c>
    </row>
    <row r="4910" spans="1:5" ht="14.25" hidden="1" customHeight="1">
      <c r="A4910" s="16">
        <v>30303224</v>
      </c>
      <c r="B4910" s="17" t="s">
        <v>976</v>
      </c>
      <c r="C4910" s="17" t="s">
        <v>977</v>
      </c>
      <c r="D4910" s="5" t="s">
        <v>7468</v>
      </c>
      <c r="E4910" s="35">
        <v>41799</v>
      </c>
    </row>
    <row r="4911" spans="1:5" ht="14.25" hidden="1" customHeight="1">
      <c r="A4911" s="16">
        <v>31857397</v>
      </c>
      <c r="B4911" s="17" t="s">
        <v>1549</v>
      </c>
      <c r="C4911" s="17" t="s">
        <v>812</v>
      </c>
      <c r="D4911" s="5" t="s">
        <v>7468</v>
      </c>
      <c r="E4911" s="35">
        <v>41799</v>
      </c>
    </row>
    <row r="4912" spans="1:5" ht="14.25" hidden="1" customHeight="1">
      <c r="A4912" s="16">
        <v>32201492</v>
      </c>
      <c r="B4912" s="17" t="s">
        <v>1512</v>
      </c>
      <c r="C4912" s="17" t="s">
        <v>1513</v>
      </c>
      <c r="D4912" s="5" t="s">
        <v>7468</v>
      </c>
      <c r="E4912" s="35">
        <v>41799</v>
      </c>
    </row>
    <row r="4913" spans="1:5" ht="14.25" hidden="1" customHeight="1">
      <c r="A4913" s="16">
        <v>5125024</v>
      </c>
      <c r="B4913" s="25" t="s">
        <v>7601</v>
      </c>
      <c r="C4913" s="25" t="s">
        <v>7602</v>
      </c>
      <c r="D4913" s="5" t="s">
        <v>7018</v>
      </c>
      <c r="E4913" s="35">
        <v>41799</v>
      </c>
    </row>
    <row r="4914" spans="1:5" ht="14.25" hidden="1" customHeight="1">
      <c r="A4914" s="16">
        <v>12609337</v>
      </c>
      <c r="B4914" s="17" t="s">
        <v>3676</v>
      </c>
      <c r="C4914" s="17" t="s">
        <v>3677</v>
      </c>
      <c r="D4914" s="5" t="s">
        <v>7018</v>
      </c>
      <c r="E4914" s="35">
        <v>41799</v>
      </c>
    </row>
    <row r="4915" spans="1:5" ht="14.25" hidden="1" customHeight="1">
      <c r="A4915" s="16">
        <v>13847302</v>
      </c>
      <c r="B4915" s="17" t="s">
        <v>629</v>
      </c>
      <c r="C4915" s="17" t="s">
        <v>630</v>
      </c>
      <c r="D4915" s="5" t="s">
        <v>7018</v>
      </c>
      <c r="E4915" s="35">
        <v>41799</v>
      </c>
    </row>
    <row r="4916" spans="1:5" ht="14.25" hidden="1" customHeight="1">
      <c r="A4916" s="16">
        <v>16685410</v>
      </c>
      <c r="B4916" s="17" t="s">
        <v>5130</v>
      </c>
      <c r="C4916" s="17" t="s">
        <v>5019</v>
      </c>
      <c r="D4916" s="5" t="s">
        <v>7018</v>
      </c>
      <c r="E4916" s="35">
        <v>41799</v>
      </c>
    </row>
    <row r="4917" spans="1:5" ht="14.25" hidden="1" customHeight="1">
      <c r="A4917" s="16">
        <v>16686145</v>
      </c>
      <c r="B4917" s="17" t="s">
        <v>1793</v>
      </c>
      <c r="C4917" s="17" t="s">
        <v>5406</v>
      </c>
      <c r="D4917" s="5" t="s">
        <v>7018</v>
      </c>
      <c r="E4917" s="35">
        <v>41799</v>
      </c>
    </row>
    <row r="4918" spans="1:5" ht="14.25" hidden="1" customHeight="1">
      <c r="A4918" s="16">
        <v>17040749</v>
      </c>
      <c r="B4918" s="17" t="s">
        <v>7412</v>
      </c>
      <c r="C4918" s="17" t="s">
        <v>7413</v>
      </c>
      <c r="D4918" s="5" t="s">
        <v>7018</v>
      </c>
      <c r="E4918" s="35">
        <v>41799</v>
      </c>
    </row>
    <row r="4919" spans="1:5" ht="14.25" hidden="1" customHeight="1">
      <c r="A4919" s="16">
        <v>18464655</v>
      </c>
      <c r="B4919" s="17" t="s">
        <v>247</v>
      </c>
      <c r="C4919" s="17" t="s">
        <v>248</v>
      </c>
      <c r="D4919" s="5" t="s">
        <v>7018</v>
      </c>
      <c r="E4919" s="35">
        <v>41799</v>
      </c>
    </row>
    <row r="4920" spans="1:5" ht="14.25" hidden="1" customHeight="1">
      <c r="A4920" s="16">
        <v>22877690</v>
      </c>
      <c r="B4920" s="17" t="s">
        <v>7408</v>
      </c>
      <c r="C4920" s="17" t="s">
        <v>7409</v>
      </c>
      <c r="D4920" s="5" t="s">
        <v>7018</v>
      </c>
      <c r="E4920" s="35">
        <v>41799</v>
      </c>
    </row>
    <row r="4921" spans="1:5" ht="14.25" hidden="1" customHeight="1">
      <c r="A4921" s="16">
        <v>23498695</v>
      </c>
      <c r="B4921" s="17" t="s">
        <v>2862</v>
      </c>
      <c r="C4921" s="17" t="s">
        <v>2863</v>
      </c>
      <c r="D4921" s="5" t="s">
        <v>7018</v>
      </c>
      <c r="E4921" s="35">
        <v>41799</v>
      </c>
    </row>
    <row r="4922" spans="1:5" ht="14.25" hidden="1" customHeight="1">
      <c r="A4922" s="16">
        <v>26013673</v>
      </c>
      <c r="B4922" s="17" t="s">
        <v>2807</v>
      </c>
      <c r="C4922" s="17" t="s">
        <v>2808</v>
      </c>
      <c r="D4922" s="5" t="s">
        <v>7018</v>
      </c>
      <c r="E4922" s="35">
        <v>41799</v>
      </c>
    </row>
    <row r="4923" spans="1:5" ht="14.25" hidden="1" customHeight="1">
      <c r="A4923" s="16">
        <v>31030930</v>
      </c>
      <c r="B4923" s="17" t="s">
        <v>5988</v>
      </c>
      <c r="C4923" s="17" t="s">
        <v>1208</v>
      </c>
      <c r="D4923" s="5" t="s">
        <v>7018</v>
      </c>
      <c r="E4923" s="35">
        <v>41799</v>
      </c>
    </row>
    <row r="4924" spans="1:5" ht="14.25" hidden="1" customHeight="1">
      <c r="A4924" s="16">
        <v>33541638</v>
      </c>
      <c r="B4924" s="17" t="s">
        <v>7402</v>
      </c>
      <c r="C4924" s="17" t="s">
        <v>7403</v>
      </c>
      <c r="D4924" s="5" t="s">
        <v>7018</v>
      </c>
      <c r="E4924" s="35">
        <v>41799</v>
      </c>
    </row>
    <row r="4925" spans="1:5" ht="14.25" hidden="1" customHeight="1">
      <c r="A4925" s="16">
        <v>12512063</v>
      </c>
      <c r="B4925" s="17" t="s">
        <v>6062</v>
      </c>
      <c r="C4925" s="17" t="s">
        <v>6063</v>
      </c>
      <c r="D4925" s="5" t="s">
        <v>7018</v>
      </c>
      <c r="E4925" s="35">
        <v>41765</v>
      </c>
    </row>
    <row r="4926" spans="1:5" ht="14.25" hidden="1" customHeight="1">
      <c r="A4926" s="16">
        <v>20222823</v>
      </c>
      <c r="B4926" s="17" t="s">
        <v>1571</v>
      </c>
      <c r="C4926" s="17" t="s">
        <v>5785</v>
      </c>
      <c r="D4926" s="5" t="s">
        <v>7018</v>
      </c>
      <c r="E4926" s="35">
        <v>41765</v>
      </c>
    </row>
    <row r="4927" spans="1:5" ht="14.25" hidden="1" customHeight="1">
      <c r="A4927" s="16">
        <v>20418132</v>
      </c>
      <c r="B4927" s="17" t="s">
        <v>374</v>
      </c>
      <c r="C4927" s="17" t="s">
        <v>722</v>
      </c>
      <c r="D4927" s="5" t="s">
        <v>7018</v>
      </c>
      <c r="E4927" s="35">
        <v>41765</v>
      </c>
    </row>
    <row r="4928" spans="1:5" ht="14.25" hidden="1" customHeight="1">
      <c r="A4928" s="16">
        <v>22030518</v>
      </c>
      <c r="B4928" s="17" t="s">
        <v>599</v>
      </c>
      <c r="C4928" s="17" t="s">
        <v>600</v>
      </c>
      <c r="D4928" s="5" t="s">
        <v>7018</v>
      </c>
      <c r="E4928" s="35">
        <v>41765</v>
      </c>
    </row>
    <row r="4929" spans="1:5" ht="14.25" hidden="1" customHeight="1">
      <c r="A4929" s="16">
        <v>23519882</v>
      </c>
      <c r="B4929" s="17" t="s">
        <v>4847</v>
      </c>
      <c r="C4929" s="17" t="s">
        <v>6125</v>
      </c>
      <c r="D4929" s="5" t="s">
        <v>7018</v>
      </c>
      <c r="E4929" s="35">
        <v>41765</v>
      </c>
    </row>
    <row r="4930" spans="1:5" ht="14.25" hidden="1" customHeight="1">
      <c r="A4930" s="16">
        <v>25542406</v>
      </c>
      <c r="B4930" s="17" t="s">
        <v>184</v>
      </c>
      <c r="C4930" s="17" t="s">
        <v>2123</v>
      </c>
      <c r="D4930" s="5" t="s">
        <v>7018</v>
      </c>
      <c r="E4930" s="35">
        <v>41765</v>
      </c>
    </row>
    <row r="4931" spans="1:5" ht="14.25" hidden="1" customHeight="1">
      <c r="A4931" s="16">
        <v>25735939</v>
      </c>
      <c r="B4931" s="17" t="s">
        <v>5018</v>
      </c>
      <c r="C4931" s="17" t="s">
        <v>5019</v>
      </c>
      <c r="D4931" s="5" t="s">
        <v>7018</v>
      </c>
      <c r="E4931" s="35">
        <v>41765</v>
      </c>
    </row>
    <row r="4932" spans="1:5" ht="14.25" hidden="1" customHeight="1">
      <c r="A4932" s="16">
        <v>26638080</v>
      </c>
      <c r="B4932" s="17" t="s">
        <v>443</v>
      </c>
      <c r="C4932" s="17" t="s">
        <v>444</v>
      </c>
      <c r="D4932" s="5" t="s">
        <v>7018</v>
      </c>
      <c r="E4932" s="35">
        <v>41765</v>
      </c>
    </row>
    <row r="4933" spans="1:5" ht="14.25" hidden="1" customHeight="1">
      <c r="A4933" s="16">
        <v>32493293</v>
      </c>
      <c r="B4933" s="17" t="s">
        <v>73</v>
      </c>
      <c r="C4933" s="17" t="s">
        <v>74</v>
      </c>
      <c r="D4933" s="5" t="s">
        <v>7018</v>
      </c>
      <c r="E4933" s="35">
        <v>41765</v>
      </c>
    </row>
    <row r="4934" spans="1:5" ht="14.25" hidden="1" customHeight="1">
      <c r="A4934" s="16">
        <v>32927909</v>
      </c>
      <c r="B4934" s="17" t="s">
        <v>4400</v>
      </c>
      <c r="C4934" s="17" t="s">
        <v>1871</v>
      </c>
      <c r="D4934" s="5" t="s">
        <v>7018</v>
      </c>
      <c r="E4934" s="35">
        <v>41765</v>
      </c>
    </row>
    <row r="4935" spans="1:5" ht="14.25" hidden="1" customHeight="1">
      <c r="A4935" s="16">
        <v>20284560</v>
      </c>
      <c r="B4935" s="17" t="s">
        <v>7563</v>
      </c>
      <c r="C4935" s="17" t="s">
        <v>7564</v>
      </c>
      <c r="D4935" s="5" t="s">
        <v>7009</v>
      </c>
      <c r="E4935" s="35">
        <v>41764</v>
      </c>
    </row>
    <row r="4936" spans="1:5" ht="14.25" hidden="1" customHeight="1">
      <c r="A4936" s="16">
        <v>20285198</v>
      </c>
      <c r="B4936" s="17" t="s">
        <v>218</v>
      </c>
      <c r="C4936" s="17" t="s">
        <v>427</v>
      </c>
      <c r="D4936" s="5" t="s">
        <v>7009</v>
      </c>
      <c r="E4936" s="35">
        <v>41764</v>
      </c>
    </row>
    <row r="4937" spans="1:5" ht="14.25" hidden="1" customHeight="1">
      <c r="A4937" s="16">
        <v>21327548</v>
      </c>
      <c r="B4937" s="17" t="s">
        <v>711</v>
      </c>
      <c r="C4937" s="17" t="s">
        <v>322</v>
      </c>
      <c r="D4937" s="5" t="s">
        <v>7009</v>
      </c>
      <c r="E4937" s="35">
        <v>41764</v>
      </c>
    </row>
    <row r="4938" spans="1:5" ht="14.25" hidden="1" customHeight="1">
      <c r="A4938" s="16">
        <v>25255652</v>
      </c>
      <c r="B4938" s="17" t="s">
        <v>315</v>
      </c>
      <c r="C4938" s="17" t="s">
        <v>3554</v>
      </c>
      <c r="D4938" s="5" t="s">
        <v>7009</v>
      </c>
      <c r="E4938" s="35">
        <v>41764</v>
      </c>
    </row>
    <row r="4939" spans="1:5" ht="14.25" hidden="1" customHeight="1">
      <c r="A4939" s="16">
        <v>27575169</v>
      </c>
      <c r="B4939" s="17" t="s">
        <v>601</v>
      </c>
      <c r="C4939" s="17" t="s">
        <v>1898</v>
      </c>
      <c r="D4939" s="5" t="s">
        <v>7009</v>
      </c>
      <c r="E4939" s="35">
        <v>41764</v>
      </c>
    </row>
    <row r="4940" spans="1:5" ht="14.25" hidden="1" customHeight="1">
      <c r="A4940" s="16">
        <v>31857397</v>
      </c>
      <c r="B4940" s="17" t="s">
        <v>1549</v>
      </c>
      <c r="C4940" s="17" t="s">
        <v>1550</v>
      </c>
      <c r="D4940" s="5" t="s">
        <v>7009</v>
      </c>
      <c r="E4940" s="35">
        <v>41764</v>
      </c>
    </row>
    <row r="4941" spans="1:5" ht="14.25" hidden="1" customHeight="1">
      <c r="A4941" s="16">
        <v>32201735</v>
      </c>
      <c r="B4941" s="17" t="s">
        <v>2228</v>
      </c>
      <c r="C4941" s="17" t="s">
        <v>6346</v>
      </c>
      <c r="D4941" s="5" t="s">
        <v>7009</v>
      </c>
      <c r="E4941" s="35">
        <v>41764</v>
      </c>
    </row>
    <row r="4942" spans="1:5" ht="14.25" hidden="1" customHeight="1">
      <c r="A4942" s="16">
        <v>36224368</v>
      </c>
      <c r="B4942" s="17" t="s">
        <v>1257</v>
      </c>
      <c r="C4942" s="17" t="s">
        <v>1258</v>
      </c>
      <c r="D4942" s="5" t="s">
        <v>7009</v>
      </c>
      <c r="E4942" s="35">
        <v>41764</v>
      </c>
    </row>
    <row r="4943" spans="1:5" ht="14.25" hidden="1" customHeight="1">
      <c r="A4943" s="16">
        <v>39077222</v>
      </c>
      <c r="B4943" s="17" t="s">
        <v>599</v>
      </c>
      <c r="C4943" s="17" t="s">
        <v>5996</v>
      </c>
      <c r="D4943" s="5" t="s">
        <v>7009</v>
      </c>
      <c r="E4943" s="35">
        <v>41764</v>
      </c>
    </row>
    <row r="4944" spans="1:5" ht="14.25" hidden="1" customHeight="1">
      <c r="B4944" s="17" t="s">
        <v>1512</v>
      </c>
      <c r="C4944" s="17" t="s">
        <v>1513</v>
      </c>
      <c r="D4944" s="5" t="s">
        <v>7009</v>
      </c>
      <c r="E4944" s="35">
        <v>41764</v>
      </c>
    </row>
    <row r="4945" spans="1:5" ht="14.25" hidden="1" customHeight="1">
      <c r="A4945" s="16">
        <v>10221705</v>
      </c>
      <c r="B4945" s="17" t="s">
        <v>7404</v>
      </c>
      <c r="C4945" s="17" t="s">
        <v>7405</v>
      </c>
      <c r="D4945" s="1" t="s">
        <v>7020</v>
      </c>
      <c r="E4945" s="35">
        <v>41764</v>
      </c>
    </row>
    <row r="4946" spans="1:5" ht="14.25" hidden="1" customHeight="1">
      <c r="A4946" s="16">
        <v>10221705</v>
      </c>
      <c r="B4946" s="25" t="s">
        <v>7603</v>
      </c>
      <c r="C4946" s="25" t="s">
        <v>7604</v>
      </c>
      <c r="D4946" s="1" t="s">
        <v>7020</v>
      </c>
      <c r="E4946" s="35">
        <v>41764</v>
      </c>
    </row>
    <row r="4947" spans="1:5" ht="14.25" hidden="1" customHeight="1">
      <c r="A4947" s="16">
        <v>12247419</v>
      </c>
      <c r="B4947" s="17" t="s">
        <v>650</v>
      </c>
      <c r="C4947" s="17" t="s">
        <v>651</v>
      </c>
      <c r="D4947" s="1" t="s">
        <v>7020</v>
      </c>
      <c r="E4947" s="35">
        <v>41764</v>
      </c>
    </row>
    <row r="4948" spans="1:5" ht="14.25" hidden="1" customHeight="1">
      <c r="A4948" s="16">
        <v>14661346</v>
      </c>
      <c r="B4948" s="17" t="s">
        <v>47</v>
      </c>
      <c r="C4948" s="17" t="s">
        <v>4958</v>
      </c>
      <c r="D4948" s="1" t="s">
        <v>7020</v>
      </c>
      <c r="E4948" s="35">
        <v>41764</v>
      </c>
    </row>
    <row r="4949" spans="1:5" ht="14.25" hidden="1" customHeight="1">
      <c r="A4949" s="16">
        <v>17655489</v>
      </c>
      <c r="B4949" s="17" t="s">
        <v>1973</v>
      </c>
      <c r="C4949" s="17" t="s">
        <v>106</v>
      </c>
      <c r="D4949" s="1" t="s">
        <v>7020</v>
      </c>
      <c r="E4949" s="35">
        <v>41764</v>
      </c>
    </row>
    <row r="4950" spans="1:5" ht="14.25" hidden="1" customHeight="1">
      <c r="A4950" s="16">
        <v>20692487</v>
      </c>
      <c r="B4950" s="17" t="s">
        <v>377</v>
      </c>
      <c r="C4950" s="17" t="s">
        <v>5674</v>
      </c>
      <c r="D4950" s="1" t="s">
        <v>7020</v>
      </c>
      <c r="E4950" s="35">
        <v>41764</v>
      </c>
    </row>
    <row r="4951" spans="1:5" ht="14.25" hidden="1" customHeight="1">
      <c r="A4951" s="16">
        <v>31030930</v>
      </c>
      <c r="B4951" s="17" t="s">
        <v>5988</v>
      </c>
      <c r="C4951" s="17" t="s">
        <v>1208</v>
      </c>
      <c r="D4951" s="1" t="s">
        <v>7020</v>
      </c>
      <c r="E4951" s="35">
        <v>41764</v>
      </c>
    </row>
    <row r="4952" spans="1:5" ht="14.25" hidden="1" customHeight="1">
      <c r="A4952" s="16">
        <v>32134246</v>
      </c>
      <c r="B4952" s="17" t="s">
        <v>1571</v>
      </c>
      <c r="C4952" s="17" t="s">
        <v>4368</v>
      </c>
      <c r="D4952" s="1" t="s">
        <v>7020</v>
      </c>
      <c r="E4952" s="35">
        <v>41764</v>
      </c>
    </row>
    <row r="4953" spans="1:5" ht="14.25" hidden="1" customHeight="1">
      <c r="A4953" s="16">
        <v>36839063</v>
      </c>
      <c r="B4953" s="17" t="s">
        <v>6111</v>
      </c>
      <c r="C4953" s="17" t="s">
        <v>6112</v>
      </c>
      <c r="D4953" s="1" t="s">
        <v>7020</v>
      </c>
      <c r="E4953" s="35">
        <v>41764</v>
      </c>
    </row>
    <row r="4954" spans="1:5" ht="14.25" hidden="1" customHeight="1">
      <c r="A4954" s="16">
        <v>5468956</v>
      </c>
      <c r="B4954" s="17" t="s">
        <v>144</v>
      </c>
      <c r="C4954" s="17" t="s">
        <v>3433</v>
      </c>
      <c r="D4954" s="5" t="s">
        <v>7314</v>
      </c>
      <c r="E4954" s="35">
        <v>41730</v>
      </c>
    </row>
    <row r="4955" spans="1:5" ht="14.25" hidden="1" customHeight="1">
      <c r="A4955" s="16">
        <v>10221705</v>
      </c>
      <c r="B4955" s="17" t="s">
        <v>7414</v>
      </c>
      <c r="C4955" s="17" t="s">
        <v>7415</v>
      </c>
      <c r="D4955" s="5" t="s">
        <v>7314</v>
      </c>
      <c r="E4955" s="35">
        <v>41730</v>
      </c>
    </row>
    <row r="4956" spans="1:5" ht="14.25" hidden="1" customHeight="1">
      <c r="A4956" s="16">
        <v>12597724</v>
      </c>
      <c r="B4956" s="17" t="s">
        <v>760</v>
      </c>
      <c r="C4956" s="17" t="s">
        <v>4424</v>
      </c>
      <c r="D4956" s="5" t="s">
        <v>7314</v>
      </c>
      <c r="E4956" s="35">
        <v>41730</v>
      </c>
    </row>
    <row r="4957" spans="1:5" ht="14.25" hidden="1" customHeight="1">
      <c r="A4957" s="16">
        <v>14480444</v>
      </c>
      <c r="B4957" s="17" t="s">
        <v>5781</v>
      </c>
      <c r="C4957" s="17" t="s">
        <v>639</v>
      </c>
      <c r="D4957" s="5" t="s">
        <v>7314</v>
      </c>
      <c r="E4957" s="35">
        <v>41730</v>
      </c>
    </row>
    <row r="4958" spans="1:5" ht="14.25" hidden="1" customHeight="1">
      <c r="A4958" s="16">
        <v>14709050</v>
      </c>
      <c r="B4958" s="17" t="s">
        <v>6050</v>
      </c>
      <c r="C4958" s="17" t="s">
        <v>215</v>
      </c>
      <c r="D4958" s="5" t="s">
        <v>7314</v>
      </c>
      <c r="E4958" s="35">
        <v>41730</v>
      </c>
    </row>
    <row r="4959" spans="1:5" ht="14.25" hidden="1" customHeight="1">
      <c r="A4959" s="16">
        <v>17377987</v>
      </c>
      <c r="B4959" s="17" t="s">
        <v>659</v>
      </c>
      <c r="C4959" s="17" t="s">
        <v>1082</v>
      </c>
      <c r="D4959" s="5" t="s">
        <v>7314</v>
      </c>
      <c r="E4959" s="35">
        <v>41730</v>
      </c>
    </row>
    <row r="4960" spans="1:5" ht="14.25" hidden="1" customHeight="1">
      <c r="A4960" s="16">
        <v>18756576</v>
      </c>
      <c r="B4960" s="17" t="s">
        <v>5268</v>
      </c>
      <c r="C4960" s="17" t="s">
        <v>1769</v>
      </c>
      <c r="D4960" s="5" t="s">
        <v>7314</v>
      </c>
      <c r="E4960" s="35">
        <v>41730</v>
      </c>
    </row>
    <row r="4961" spans="1:5" ht="14.25" hidden="1" customHeight="1">
      <c r="A4961" s="16">
        <v>20759580</v>
      </c>
      <c r="B4961" s="17" t="s">
        <v>118</v>
      </c>
      <c r="C4961" s="17" t="s">
        <v>7605</v>
      </c>
      <c r="D4961" s="5" t="s">
        <v>7314</v>
      </c>
      <c r="E4961" s="35">
        <v>41730</v>
      </c>
    </row>
    <row r="4962" spans="1:5" ht="14.25" hidden="1" customHeight="1">
      <c r="A4962" s="16">
        <v>20760682</v>
      </c>
      <c r="B4962" s="17" t="s">
        <v>40</v>
      </c>
      <c r="C4962" s="17" t="s">
        <v>41</v>
      </c>
      <c r="D4962" s="5" t="s">
        <v>7314</v>
      </c>
      <c r="E4962" s="35">
        <v>41730</v>
      </c>
    </row>
    <row r="4963" spans="1:5" ht="14.25" hidden="1" customHeight="1">
      <c r="A4963" s="16">
        <v>21893835</v>
      </c>
      <c r="B4963" s="17" t="s">
        <v>321</v>
      </c>
      <c r="C4963" s="17" t="s">
        <v>322</v>
      </c>
      <c r="D4963" s="5" t="s">
        <v>7314</v>
      </c>
      <c r="E4963" s="35">
        <v>41730</v>
      </c>
    </row>
    <row r="4964" spans="1:5" ht="14.25" hidden="1" customHeight="1">
      <c r="A4964" s="16">
        <v>21936389</v>
      </c>
      <c r="B4964" s="17" t="s">
        <v>1301</v>
      </c>
      <c r="C4964" s="17" t="s">
        <v>1302</v>
      </c>
      <c r="D4964" s="5" t="s">
        <v>7314</v>
      </c>
      <c r="E4964" s="35">
        <v>41730</v>
      </c>
    </row>
    <row r="4965" spans="1:5" ht="14.25" hidden="1" customHeight="1">
      <c r="A4965" s="16">
        <v>22451756</v>
      </c>
      <c r="B4965" s="25" t="s">
        <v>7606</v>
      </c>
      <c r="C4965" s="25" t="s">
        <v>5325</v>
      </c>
      <c r="D4965" s="5" t="s">
        <v>7314</v>
      </c>
      <c r="E4965" s="35">
        <v>41730</v>
      </c>
    </row>
    <row r="4966" spans="1:5" ht="14.25" hidden="1" customHeight="1">
      <c r="A4966" s="16">
        <v>23238026</v>
      </c>
      <c r="B4966" s="17" t="s">
        <v>4893</v>
      </c>
      <c r="C4966" s="17" t="s">
        <v>1535</v>
      </c>
      <c r="D4966" s="5" t="s">
        <v>7314</v>
      </c>
      <c r="E4966" s="35">
        <v>41730</v>
      </c>
    </row>
    <row r="4967" spans="1:5" ht="14.25" hidden="1" customHeight="1">
      <c r="A4967" s="16">
        <v>24200813</v>
      </c>
      <c r="B4967" s="17" t="s">
        <v>2766</v>
      </c>
      <c r="C4967" s="17" t="s">
        <v>2767</v>
      </c>
      <c r="D4967" s="5" t="s">
        <v>7314</v>
      </c>
      <c r="E4967" s="35">
        <v>41730</v>
      </c>
    </row>
    <row r="4968" spans="1:5" ht="14.25" hidden="1" customHeight="1">
      <c r="A4968" s="16">
        <v>26783381</v>
      </c>
      <c r="B4968" s="17" t="s">
        <v>2789</v>
      </c>
      <c r="C4968" s="17" t="s">
        <v>7607</v>
      </c>
      <c r="D4968" s="5" t="s">
        <v>7314</v>
      </c>
      <c r="E4968" s="35">
        <v>41730</v>
      </c>
    </row>
    <row r="4969" spans="1:5" ht="14.25" hidden="1" customHeight="1">
      <c r="A4969" s="16">
        <v>29430865</v>
      </c>
      <c r="B4969" s="17" t="s">
        <v>4886</v>
      </c>
      <c r="C4969" s="17" t="s">
        <v>4887</v>
      </c>
      <c r="D4969" s="5" t="s">
        <v>7314</v>
      </c>
      <c r="E4969" s="35">
        <v>41730</v>
      </c>
    </row>
    <row r="4970" spans="1:5" ht="14.25" hidden="1" customHeight="1">
      <c r="A4970" s="16">
        <v>30069864</v>
      </c>
      <c r="B4970" s="17" t="s">
        <v>26</v>
      </c>
      <c r="C4970" s="17" t="s">
        <v>2436</v>
      </c>
      <c r="D4970" s="5" t="s">
        <v>7314</v>
      </c>
      <c r="E4970" s="35">
        <v>41730</v>
      </c>
    </row>
    <row r="4971" spans="1:5" ht="14.25" hidden="1" customHeight="1">
      <c r="A4971" s="16">
        <v>30598449</v>
      </c>
      <c r="B4971" s="17" t="s">
        <v>6376</v>
      </c>
      <c r="C4971" s="17" t="s">
        <v>363</v>
      </c>
      <c r="D4971" s="5" t="s">
        <v>7314</v>
      </c>
      <c r="E4971" s="35">
        <v>41730</v>
      </c>
    </row>
    <row r="4972" spans="1:5" ht="14.25" hidden="1" customHeight="1">
      <c r="A4972" s="16">
        <v>32134246</v>
      </c>
      <c r="B4972" s="17" t="s">
        <v>1571</v>
      </c>
      <c r="C4972" s="17" t="s">
        <v>4368</v>
      </c>
      <c r="D4972" s="5" t="s">
        <v>7314</v>
      </c>
      <c r="E4972" s="35">
        <v>41730</v>
      </c>
    </row>
    <row r="4973" spans="1:5" ht="14.25" hidden="1" customHeight="1">
      <c r="A4973" s="16">
        <v>20284560</v>
      </c>
      <c r="B4973" s="17" t="s">
        <v>7563</v>
      </c>
      <c r="C4973" s="17" t="s">
        <v>7564</v>
      </c>
      <c r="D4973" s="5" t="s">
        <v>7018</v>
      </c>
      <c r="E4973" s="35">
        <v>41716</v>
      </c>
    </row>
    <row r="4974" spans="1:5" ht="14.25" hidden="1" customHeight="1">
      <c r="A4974" s="16">
        <v>20285198</v>
      </c>
      <c r="B4974" s="17" t="s">
        <v>218</v>
      </c>
      <c r="C4974" s="17" t="s">
        <v>427</v>
      </c>
      <c r="D4974" s="5" t="s">
        <v>7018</v>
      </c>
      <c r="E4974" s="35">
        <v>41716</v>
      </c>
    </row>
    <row r="4975" spans="1:5" ht="14.25" hidden="1" customHeight="1">
      <c r="A4975" s="16">
        <v>25255652</v>
      </c>
      <c r="B4975" s="17" t="s">
        <v>315</v>
      </c>
      <c r="C4975" s="17" t="s">
        <v>3554</v>
      </c>
      <c r="D4975" s="5" t="s">
        <v>7018</v>
      </c>
      <c r="E4975" s="35">
        <v>41716</v>
      </c>
    </row>
    <row r="4976" spans="1:5" ht="14.25" hidden="1" customHeight="1">
      <c r="A4976" s="16">
        <v>27017680</v>
      </c>
      <c r="B4976" s="17" t="s">
        <v>96</v>
      </c>
      <c r="C4976" s="17" t="s">
        <v>97</v>
      </c>
      <c r="D4976" s="5" t="s">
        <v>7018</v>
      </c>
      <c r="E4976" s="35">
        <v>41716</v>
      </c>
    </row>
    <row r="4977" spans="1:5" ht="14.25" hidden="1" customHeight="1">
      <c r="A4977" s="16">
        <v>27575169</v>
      </c>
      <c r="B4977" s="17" t="s">
        <v>601</v>
      </c>
      <c r="C4977" s="17" t="s">
        <v>602</v>
      </c>
      <c r="D4977" s="5" t="s">
        <v>7018</v>
      </c>
      <c r="E4977" s="35">
        <v>41716</v>
      </c>
    </row>
    <row r="4978" spans="1:5" ht="14.25" hidden="1" customHeight="1">
      <c r="A4978" s="16">
        <v>31327548</v>
      </c>
      <c r="B4978" s="17" t="s">
        <v>711</v>
      </c>
      <c r="C4978" s="17" t="s">
        <v>322</v>
      </c>
      <c r="D4978" s="5" t="s">
        <v>7018</v>
      </c>
      <c r="E4978" s="35">
        <v>41716</v>
      </c>
    </row>
    <row r="4979" spans="1:5" ht="14.25" hidden="1" customHeight="1">
      <c r="A4979" s="23">
        <v>32201735</v>
      </c>
      <c r="B4979" s="24" t="s">
        <v>2228</v>
      </c>
      <c r="C4979" s="24" t="s">
        <v>6346</v>
      </c>
      <c r="D4979" s="5" t="s">
        <v>7018</v>
      </c>
      <c r="E4979" s="35">
        <v>41716</v>
      </c>
    </row>
    <row r="4980" spans="1:5" ht="14.25" hidden="1" customHeight="1">
      <c r="A4980" s="23">
        <v>36224368</v>
      </c>
      <c r="B4980" s="24" t="s">
        <v>1257</v>
      </c>
      <c r="C4980" s="24" t="s">
        <v>1258</v>
      </c>
      <c r="D4980" s="5" t="s">
        <v>7018</v>
      </c>
      <c r="E4980" s="35">
        <v>41716</v>
      </c>
    </row>
    <row r="4981" spans="1:5" ht="14.25" hidden="1" customHeight="1">
      <c r="A4981" s="23">
        <v>39077222</v>
      </c>
      <c r="B4981" s="24" t="s">
        <v>599</v>
      </c>
      <c r="C4981" s="24" t="s">
        <v>7608</v>
      </c>
      <c r="D4981" s="5" t="s">
        <v>7018</v>
      </c>
      <c r="E4981" s="35">
        <v>41716</v>
      </c>
    </row>
    <row r="4982" spans="1:5" ht="14.25" hidden="1" customHeight="1">
      <c r="A4982" s="23">
        <v>10910913</v>
      </c>
      <c r="B4982" s="24" t="s">
        <v>1106</v>
      </c>
      <c r="C4982" s="24" t="s">
        <v>1107</v>
      </c>
      <c r="D4982" s="5" t="s">
        <v>7314</v>
      </c>
      <c r="E4982" s="35">
        <v>41716</v>
      </c>
    </row>
    <row r="4983" spans="1:5" ht="14.25" hidden="1" customHeight="1">
      <c r="A4983" s="23">
        <v>13378138</v>
      </c>
      <c r="B4983" s="24" t="s">
        <v>610</v>
      </c>
      <c r="C4983" s="24" t="s">
        <v>274</v>
      </c>
      <c r="D4983" s="5" t="s">
        <v>7314</v>
      </c>
      <c r="E4983" s="35">
        <v>41716</v>
      </c>
    </row>
    <row r="4984" spans="1:5" ht="14.25" hidden="1" customHeight="1">
      <c r="A4984" s="23">
        <v>13378152</v>
      </c>
      <c r="B4984" s="24" t="s">
        <v>610</v>
      </c>
      <c r="C4984" s="24" t="s">
        <v>612</v>
      </c>
      <c r="D4984" s="5" t="s">
        <v>7314</v>
      </c>
      <c r="E4984" s="35">
        <v>41716</v>
      </c>
    </row>
    <row r="4985" spans="1:5" ht="14.25" hidden="1" customHeight="1">
      <c r="A4985" s="23">
        <v>14661587</v>
      </c>
      <c r="B4985" s="24" t="s">
        <v>3267</v>
      </c>
      <c r="C4985" s="24" t="s">
        <v>2873</v>
      </c>
      <c r="D4985" s="5" t="s">
        <v>7314</v>
      </c>
      <c r="E4985" s="35">
        <v>41716</v>
      </c>
    </row>
    <row r="4986" spans="1:5" ht="14.25" hidden="1" customHeight="1">
      <c r="A4986" s="23">
        <v>17494803</v>
      </c>
      <c r="B4986" s="24" t="s">
        <v>734</v>
      </c>
      <c r="C4986" s="24" t="s">
        <v>548</v>
      </c>
      <c r="D4986" s="5" t="s">
        <v>7314</v>
      </c>
      <c r="E4986" s="35">
        <v>41716</v>
      </c>
    </row>
    <row r="4987" spans="1:5" ht="14.25" hidden="1" customHeight="1">
      <c r="A4987" s="23">
        <v>17613465</v>
      </c>
      <c r="B4987" s="24" t="s">
        <v>2840</v>
      </c>
      <c r="C4987" s="24" t="s">
        <v>687</v>
      </c>
      <c r="D4987" s="5" t="s">
        <v>7314</v>
      </c>
      <c r="E4987" s="35">
        <v>41716</v>
      </c>
    </row>
    <row r="4988" spans="1:5" ht="14.25" hidden="1" customHeight="1">
      <c r="A4988" s="23">
        <v>17866738</v>
      </c>
      <c r="B4988" s="24" t="s">
        <v>4994</v>
      </c>
      <c r="C4988" s="24" t="s">
        <v>427</v>
      </c>
      <c r="D4988" s="5" t="s">
        <v>7314</v>
      </c>
      <c r="E4988" s="35">
        <v>41716</v>
      </c>
    </row>
    <row r="4989" spans="1:5" ht="14.25" hidden="1" customHeight="1">
      <c r="A4989" s="23">
        <v>20692036</v>
      </c>
      <c r="B4989" s="24" t="s">
        <v>727</v>
      </c>
      <c r="C4989" s="24" t="s">
        <v>1310</v>
      </c>
      <c r="D4989" s="5" t="s">
        <v>7314</v>
      </c>
      <c r="E4989" s="35">
        <v>41716</v>
      </c>
    </row>
    <row r="4990" spans="1:5" ht="14.25" hidden="1" customHeight="1">
      <c r="A4990" s="23">
        <v>25783740</v>
      </c>
      <c r="B4990" s="24" t="s">
        <v>948</v>
      </c>
      <c r="C4990" s="24" t="s">
        <v>1632</v>
      </c>
      <c r="D4990" s="5" t="s">
        <v>7314</v>
      </c>
      <c r="E4990" s="35">
        <v>41716</v>
      </c>
    </row>
    <row r="4991" spans="1:5" ht="14.25" hidden="1" customHeight="1">
      <c r="A4991" s="23">
        <v>30497720</v>
      </c>
      <c r="B4991" s="24" t="s">
        <v>2990</v>
      </c>
      <c r="C4991" s="24" t="s">
        <v>6443</v>
      </c>
      <c r="D4991" s="5" t="s">
        <v>7314</v>
      </c>
      <c r="E4991" s="35">
        <v>41716</v>
      </c>
    </row>
    <row r="4992" spans="1:5" ht="14.25" hidden="1" customHeight="1">
      <c r="A4992" s="23">
        <v>32501804</v>
      </c>
      <c r="B4992" s="24" t="s">
        <v>2248</v>
      </c>
      <c r="C4992" s="24" t="s">
        <v>4405</v>
      </c>
      <c r="D4992" s="5" t="s">
        <v>7314</v>
      </c>
      <c r="E4992" s="35">
        <v>41716</v>
      </c>
    </row>
    <row r="4993" spans="1:5" ht="14.25" hidden="1" customHeight="1">
      <c r="A4993" s="23">
        <v>32927862</v>
      </c>
      <c r="B4993" s="24" t="s">
        <v>4269</v>
      </c>
      <c r="C4993" s="24" t="s">
        <v>4270</v>
      </c>
      <c r="D4993" s="5" t="s">
        <v>7314</v>
      </c>
      <c r="E4993" s="35">
        <v>41716</v>
      </c>
    </row>
    <row r="4994" spans="1:5" ht="14.25" hidden="1" customHeight="1">
      <c r="A4994" s="23">
        <v>12733217</v>
      </c>
      <c r="B4994" s="24" t="s">
        <v>5040</v>
      </c>
      <c r="C4994" s="24" t="s">
        <v>5041</v>
      </c>
      <c r="D4994" s="5" t="s">
        <v>7288</v>
      </c>
      <c r="E4994" s="35">
        <v>41716</v>
      </c>
    </row>
    <row r="4995" spans="1:5" ht="14.25" hidden="1" customHeight="1">
      <c r="A4995" s="23">
        <v>14225922</v>
      </c>
      <c r="B4995" s="24" t="s">
        <v>207</v>
      </c>
      <c r="C4995" s="24" t="s">
        <v>27</v>
      </c>
      <c r="D4995" s="5" t="s">
        <v>7288</v>
      </c>
      <c r="E4995" s="35">
        <v>41716</v>
      </c>
    </row>
    <row r="4996" spans="1:5" ht="14.25" hidden="1" customHeight="1">
      <c r="A4996" s="23">
        <v>23167760</v>
      </c>
      <c r="B4996" s="24" t="s">
        <v>1644</v>
      </c>
      <c r="C4996" s="24" t="s">
        <v>106</v>
      </c>
      <c r="D4996" s="5" t="s">
        <v>7288</v>
      </c>
      <c r="E4996" s="35">
        <v>41716</v>
      </c>
    </row>
    <row r="4997" spans="1:5" ht="14.25" hidden="1" customHeight="1">
      <c r="A4997" s="23">
        <v>26445246</v>
      </c>
      <c r="B4997" s="24" t="s">
        <v>2632</v>
      </c>
      <c r="C4997" s="24" t="s">
        <v>1965</v>
      </c>
      <c r="D4997" s="5" t="s">
        <v>7288</v>
      </c>
      <c r="E4997" s="35">
        <v>41716</v>
      </c>
    </row>
    <row r="4998" spans="1:5" ht="14.25" hidden="1" customHeight="1">
      <c r="A4998" s="23">
        <v>27210672</v>
      </c>
      <c r="B4998" s="24" t="s">
        <v>342</v>
      </c>
      <c r="C4998" s="24" t="s">
        <v>3299</v>
      </c>
      <c r="D4998" s="5" t="s">
        <v>7288</v>
      </c>
      <c r="E4998" s="35">
        <v>41716</v>
      </c>
    </row>
    <row r="4999" spans="1:5" ht="14.25" hidden="1" customHeight="1">
      <c r="A4999" s="23">
        <v>10221705</v>
      </c>
      <c r="B4999" s="24" t="s">
        <v>1102</v>
      </c>
      <c r="C4999" s="24" t="s">
        <v>7611</v>
      </c>
      <c r="D4999" s="5" t="s">
        <v>7309</v>
      </c>
      <c r="E4999" s="35">
        <v>41715</v>
      </c>
    </row>
    <row r="5000" spans="1:5" ht="14.25" hidden="1" customHeight="1">
      <c r="A5000" s="23">
        <v>12247419</v>
      </c>
      <c r="B5000" s="24" t="s">
        <v>650</v>
      </c>
      <c r="C5000" s="24" t="s">
        <v>7610</v>
      </c>
      <c r="D5000" s="5" t="s">
        <v>7309</v>
      </c>
      <c r="E5000" s="35">
        <v>41715</v>
      </c>
    </row>
    <row r="5001" spans="1:5" ht="14.25" hidden="1" customHeight="1">
      <c r="A5001" s="23">
        <v>17655489</v>
      </c>
      <c r="B5001" s="24" t="s">
        <v>1973</v>
      </c>
      <c r="C5001" s="24" t="s">
        <v>106</v>
      </c>
      <c r="D5001" s="5" t="s">
        <v>7309</v>
      </c>
      <c r="E5001" s="35">
        <v>41715</v>
      </c>
    </row>
    <row r="5002" spans="1:5" ht="14.25" hidden="1" customHeight="1">
      <c r="A5002" s="23">
        <v>23117827</v>
      </c>
      <c r="B5002" s="24" t="s">
        <v>4743</v>
      </c>
      <c r="C5002" s="24" t="s">
        <v>4744</v>
      </c>
      <c r="D5002" s="5" t="s">
        <v>7309</v>
      </c>
      <c r="E5002" s="35">
        <v>41715</v>
      </c>
    </row>
    <row r="5003" spans="1:5" ht="14.25" hidden="1" customHeight="1">
      <c r="A5003" s="23">
        <v>23519882</v>
      </c>
      <c r="B5003" s="24" t="s">
        <v>4847</v>
      </c>
      <c r="C5003" s="24" t="s">
        <v>6125</v>
      </c>
      <c r="D5003" s="5" t="s">
        <v>7309</v>
      </c>
      <c r="E5003" s="35">
        <v>41715</v>
      </c>
    </row>
    <row r="5004" spans="1:5" ht="14.25" hidden="1" customHeight="1">
      <c r="A5004" s="23">
        <v>27210672</v>
      </c>
      <c r="B5004" s="24" t="s">
        <v>342</v>
      </c>
      <c r="C5004" s="24" t="s">
        <v>3299</v>
      </c>
      <c r="D5004" s="5" t="s">
        <v>7309</v>
      </c>
      <c r="E5004" s="35">
        <v>41715</v>
      </c>
    </row>
    <row r="5005" spans="1:5" ht="14.25" hidden="1" customHeight="1">
      <c r="A5005" s="23">
        <v>31030930</v>
      </c>
      <c r="B5005" s="24" t="s">
        <v>5988</v>
      </c>
      <c r="C5005" s="24" t="s">
        <v>7609</v>
      </c>
      <c r="D5005" s="5" t="s">
        <v>7309</v>
      </c>
      <c r="E5005" s="35">
        <v>41715</v>
      </c>
    </row>
    <row r="5006" spans="1:5" ht="14.25" hidden="1" customHeight="1">
      <c r="A5006" s="23">
        <v>33889499</v>
      </c>
      <c r="B5006" s="24" t="s">
        <v>734</v>
      </c>
      <c r="C5006" s="24" t="s">
        <v>7352</v>
      </c>
      <c r="D5006" s="5" t="s">
        <v>7309</v>
      </c>
      <c r="E5006" s="35">
        <v>41715</v>
      </c>
    </row>
    <row r="5007" spans="1:5" ht="14.25" hidden="1" customHeight="1">
      <c r="A5007" s="23">
        <v>37657279</v>
      </c>
      <c r="B5007" s="24" t="s">
        <v>4743</v>
      </c>
      <c r="C5007" s="24" t="s">
        <v>6146</v>
      </c>
      <c r="D5007" s="5" t="s">
        <v>7309</v>
      </c>
      <c r="E5007" s="35">
        <v>41715</v>
      </c>
    </row>
    <row r="5008" spans="1:5" ht="14.25" hidden="1" customHeight="1">
      <c r="A5008" s="23">
        <v>12512063</v>
      </c>
      <c r="B5008" s="24" t="s">
        <v>6062</v>
      </c>
      <c r="C5008" s="24" t="s">
        <v>6063</v>
      </c>
      <c r="D5008" s="1" t="s">
        <v>7020</v>
      </c>
      <c r="E5008" s="35">
        <v>41715</v>
      </c>
    </row>
    <row r="5009" spans="1:5" ht="14.25" hidden="1" customHeight="1">
      <c r="A5009" s="23">
        <v>20222823</v>
      </c>
      <c r="B5009" s="24" t="s">
        <v>1571</v>
      </c>
      <c r="C5009" s="24" t="s">
        <v>5785</v>
      </c>
      <c r="D5009" s="1" t="s">
        <v>7020</v>
      </c>
      <c r="E5009" s="35">
        <v>41715</v>
      </c>
    </row>
    <row r="5010" spans="1:5" ht="14.25" hidden="1" customHeight="1">
      <c r="A5010" s="23">
        <v>20418132</v>
      </c>
      <c r="B5010" s="24" t="s">
        <v>374</v>
      </c>
      <c r="C5010" s="24" t="s">
        <v>722</v>
      </c>
      <c r="D5010" s="1" t="s">
        <v>7020</v>
      </c>
      <c r="E5010" s="35">
        <v>41715</v>
      </c>
    </row>
    <row r="5011" spans="1:5" ht="14.25" hidden="1" customHeight="1">
      <c r="A5011" s="23">
        <v>22030518</v>
      </c>
      <c r="B5011" s="24" t="s">
        <v>599</v>
      </c>
      <c r="C5011" s="24" t="s">
        <v>600</v>
      </c>
      <c r="D5011" s="1" t="s">
        <v>7020</v>
      </c>
      <c r="E5011" s="35">
        <v>41715</v>
      </c>
    </row>
    <row r="5012" spans="1:5" ht="14.25" hidden="1" customHeight="1">
      <c r="A5012" s="23">
        <v>23519882</v>
      </c>
      <c r="B5012" s="24" t="s">
        <v>4847</v>
      </c>
      <c r="C5012" s="24" t="s">
        <v>6125</v>
      </c>
      <c r="D5012" s="1" t="s">
        <v>7020</v>
      </c>
      <c r="E5012" s="35">
        <v>41715</v>
      </c>
    </row>
    <row r="5013" spans="1:5" ht="14.25" hidden="1" customHeight="1">
      <c r="A5013" s="23">
        <v>26638050</v>
      </c>
      <c r="B5013" s="24" t="s">
        <v>443</v>
      </c>
      <c r="C5013" s="24" t="s">
        <v>444</v>
      </c>
      <c r="D5013" s="1" t="s">
        <v>7020</v>
      </c>
      <c r="E5013" s="35">
        <v>41715</v>
      </c>
    </row>
    <row r="5014" spans="1:5" ht="14.25" hidden="1" customHeight="1">
      <c r="A5014" s="23">
        <v>32493203</v>
      </c>
      <c r="B5014" s="24" t="s">
        <v>73</v>
      </c>
      <c r="C5014" s="24" t="s">
        <v>74</v>
      </c>
      <c r="D5014" s="1" t="s">
        <v>7020</v>
      </c>
      <c r="E5014" s="35">
        <v>41715</v>
      </c>
    </row>
    <row r="5015" spans="1:5" ht="14.25" hidden="1" customHeight="1">
      <c r="A5015" s="23">
        <v>8036660</v>
      </c>
      <c r="B5015" s="24" t="s">
        <v>7452</v>
      </c>
      <c r="C5015" s="24" t="s">
        <v>7453</v>
      </c>
      <c r="D5015" s="5" t="s">
        <v>7612</v>
      </c>
      <c r="E5015" s="35">
        <v>41597</v>
      </c>
    </row>
    <row r="5016" spans="1:5" ht="14.25" hidden="1" customHeight="1">
      <c r="A5016" s="23">
        <v>11463679</v>
      </c>
      <c r="B5016" s="30" t="s">
        <v>7466</v>
      </c>
      <c r="C5016" s="24" t="s">
        <v>7467</v>
      </c>
      <c r="D5016" s="5" t="s">
        <v>7612</v>
      </c>
      <c r="E5016" s="35">
        <v>41597</v>
      </c>
    </row>
    <row r="5017" spans="1:5" ht="14.25" hidden="1" customHeight="1">
      <c r="A5017" s="23">
        <v>12607777</v>
      </c>
      <c r="B5017" s="24" t="s">
        <v>7463</v>
      </c>
      <c r="C5017" s="24" t="s">
        <v>7464</v>
      </c>
      <c r="D5017" s="5" t="s">
        <v>7612</v>
      </c>
      <c r="E5017" s="35">
        <v>41597</v>
      </c>
    </row>
    <row r="5018" spans="1:5" ht="14.25" hidden="1" customHeight="1">
      <c r="A5018" s="26">
        <v>12654235</v>
      </c>
      <c r="B5018" s="4" t="s">
        <v>7618</v>
      </c>
      <c r="C5018" s="4" t="s">
        <v>7619</v>
      </c>
      <c r="D5018" s="5" t="s">
        <v>7612</v>
      </c>
      <c r="E5018" s="35">
        <v>41597</v>
      </c>
    </row>
    <row r="5019" spans="1:5" ht="14.25" hidden="1" customHeight="1">
      <c r="A5019" s="16">
        <v>12654235</v>
      </c>
      <c r="B5019" s="17" t="s">
        <v>6864</v>
      </c>
      <c r="C5019" s="17" t="s">
        <v>7465</v>
      </c>
      <c r="D5019" s="5" t="s">
        <v>7612</v>
      </c>
      <c r="E5019" s="35">
        <v>41597</v>
      </c>
    </row>
    <row r="5020" spans="1:5" ht="14.25" hidden="1" customHeight="1">
      <c r="A5020" s="23">
        <v>13278971</v>
      </c>
      <c r="B5020" s="24" t="s">
        <v>1625</v>
      </c>
      <c r="C5020" s="24" t="s">
        <v>1626</v>
      </c>
      <c r="D5020" s="5" t="s">
        <v>7612</v>
      </c>
      <c r="E5020" s="35">
        <v>41597</v>
      </c>
    </row>
    <row r="5021" spans="1:5" ht="14.25" hidden="1" customHeight="1">
      <c r="A5021" s="23">
        <v>13279016</v>
      </c>
      <c r="B5021" s="24" t="s">
        <v>7432</v>
      </c>
      <c r="C5021" s="24" t="s">
        <v>7433</v>
      </c>
      <c r="D5021" s="5" t="s">
        <v>7612</v>
      </c>
      <c r="E5021" s="35">
        <v>41597</v>
      </c>
    </row>
    <row r="5022" spans="1:5" ht="14.25" hidden="1" customHeight="1">
      <c r="A5022" s="23">
        <v>14226455</v>
      </c>
      <c r="B5022" s="24" t="s">
        <v>6279</v>
      </c>
      <c r="C5022" s="24" t="s">
        <v>7110</v>
      </c>
      <c r="D5022" s="5" t="s">
        <v>7612</v>
      </c>
      <c r="E5022" s="35">
        <v>41597</v>
      </c>
    </row>
    <row r="5023" spans="1:5" ht="14.25" hidden="1" customHeight="1">
      <c r="A5023" s="167">
        <v>14660417</v>
      </c>
      <c r="B5023" s="187" t="s">
        <v>7615</v>
      </c>
      <c r="C5023" s="187" t="s">
        <v>7616</v>
      </c>
      <c r="D5023" s="5" t="s">
        <v>7612</v>
      </c>
      <c r="E5023" s="35">
        <v>41597</v>
      </c>
    </row>
    <row r="5024" spans="1:5" ht="14.25" hidden="1" customHeight="1">
      <c r="A5024" s="23">
        <v>14660417</v>
      </c>
      <c r="B5024" s="24" t="s">
        <v>7444</v>
      </c>
      <c r="C5024" s="24" t="s">
        <v>7445</v>
      </c>
      <c r="D5024" s="5" t="s">
        <v>7612</v>
      </c>
      <c r="E5024" s="35">
        <v>41597</v>
      </c>
    </row>
    <row r="5025" spans="1:5" ht="14.25" hidden="1" customHeight="1">
      <c r="A5025" s="23">
        <v>14660801</v>
      </c>
      <c r="B5025" s="24" t="s">
        <v>7454</v>
      </c>
      <c r="C5025" s="24" t="s">
        <v>7455</v>
      </c>
      <c r="D5025" s="5" t="s">
        <v>7612</v>
      </c>
      <c r="E5025" s="35">
        <v>41597</v>
      </c>
    </row>
    <row r="5026" spans="1:5" ht="14.25" hidden="1" customHeight="1">
      <c r="A5026" s="23">
        <v>14984966</v>
      </c>
      <c r="B5026" s="24" t="s">
        <v>1558</v>
      </c>
      <c r="C5026" s="24" t="s">
        <v>1061</v>
      </c>
      <c r="D5026" s="5" t="s">
        <v>7612</v>
      </c>
      <c r="E5026" s="35">
        <v>41597</v>
      </c>
    </row>
    <row r="5027" spans="1:5" ht="14.25" hidden="1" customHeight="1">
      <c r="A5027" s="23">
        <v>16883300</v>
      </c>
      <c r="B5027" s="24" t="s">
        <v>5729</v>
      </c>
      <c r="C5027" s="24" t="s">
        <v>1299</v>
      </c>
      <c r="D5027" s="5" t="s">
        <v>7612</v>
      </c>
      <c r="E5027" s="35">
        <v>41597</v>
      </c>
    </row>
    <row r="5028" spans="1:5" ht="14.25" hidden="1" customHeight="1">
      <c r="A5028" s="23">
        <v>17614936</v>
      </c>
      <c r="B5028" s="24" t="s">
        <v>7458</v>
      </c>
      <c r="C5028" s="24" t="s">
        <v>7459</v>
      </c>
      <c r="D5028" s="5" t="s">
        <v>7612</v>
      </c>
      <c r="E5028" s="35">
        <v>41597</v>
      </c>
    </row>
    <row r="5029" spans="1:5" ht="14.25" hidden="1" customHeight="1">
      <c r="A5029" s="23">
        <v>18185663</v>
      </c>
      <c r="B5029" s="24" t="s">
        <v>7430</v>
      </c>
      <c r="C5029" s="24" t="s">
        <v>7431</v>
      </c>
      <c r="D5029" s="5" t="s">
        <v>7612</v>
      </c>
      <c r="E5029" s="35">
        <v>41597</v>
      </c>
    </row>
    <row r="5030" spans="1:5" ht="14.25" hidden="1" customHeight="1">
      <c r="A5030" s="23">
        <v>18433635</v>
      </c>
      <c r="B5030" s="24" t="s">
        <v>7622</v>
      </c>
      <c r="C5030" s="24" t="s">
        <v>1850</v>
      </c>
      <c r="D5030" s="5" t="s">
        <v>7612</v>
      </c>
      <c r="E5030" s="35">
        <v>41597</v>
      </c>
    </row>
    <row r="5031" spans="1:5" ht="14.25" hidden="1" customHeight="1">
      <c r="A5031" s="23">
        <v>18566394</v>
      </c>
      <c r="B5031" s="24" t="s">
        <v>7438</v>
      </c>
      <c r="C5031" s="24" t="s">
        <v>7439</v>
      </c>
      <c r="D5031" s="5" t="s">
        <v>7612</v>
      </c>
      <c r="E5031" s="35">
        <v>41597</v>
      </c>
    </row>
    <row r="5032" spans="1:5" ht="14.25" hidden="1" customHeight="1">
      <c r="A5032" s="23">
        <v>20222813</v>
      </c>
      <c r="B5032" s="24" t="s">
        <v>7448</v>
      </c>
      <c r="C5032" s="24" t="s">
        <v>7449</v>
      </c>
      <c r="D5032" s="5" t="s">
        <v>7612</v>
      </c>
      <c r="E5032" s="35">
        <v>41597</v>
      </c>
    </row>
    <row r="5033" spans="1:5" ht="14.25" hidden="1" customHeight="1">
      <c r="A5033" s="23">
        <v>20760236</v>
      </c>
      <c r="B5033" s="24" t="s">
        <v>7436</v>
      </c>
      <c r="C5033" s="24" t="s">
        <v>7437</v>
      </c>
      <c r="D5033" s="5" t="s">
        <v>7612</v>
      </c>
      <c r="E5033" s="35">
        <v>41597</v>
      </c>
    </row>
    <row r="5034" spans="1:5" ht="14.25" hidden="1" customHeight="1">
      <c r="A5034" s="23">
        <v>21948337</v>
      </c>
      <c r="B5034" s="24" t="s">
        <v>685</v>
      </c>
      <c r="C5034" s="24" t="s">
        <v>2074</v>
      </c>
      <c r="D5034" s="5" t="s">
        <v>7612</v>
      </c>
      <c r="E5034" s="35">
        <v>41597</v>
      </c>
    </row>
    <row r="5035" spans="1:5" ht="14.25" hidden="1" customHeight="1">
      <c r="A5035" s="16">
        <v>22263016</v>
      </c>
      <c r="B5035" s="17" t="s">
        <v>1613</v>
      </c>
      <c r="C5035" s="17" t="s">
        <v>3852</v>
      </c>
      <c r="D5035" s="5" t="s">
        <v>7612</v>
      </c>
      <c r="E5035" s="35">
        <v>41597</v>
      </c>
    </row>
    <row r="5036" spans="1:5" ht="14.25" hidden="1" customHeight="1">
      <c r="A5036" s="26">
        <v>22664180</v>
      </c>
      <c r="B5036" s="4" t="s">
        <v>6906</v>
      </c>
      <c r="C5036" s="4" t="s">
        <v>7617</v>
      </c>
      <c r="D5036" s="5" t="s">
        <v>7612</v>
      </c>
      <c r="E5036" s="35">
        <v>41597</v>
      </c>
    </row>
    <row r="5037" spans="1:5" ht="14.25" hidden="1" customHeight="1">
      <c r="A5037" s="16">
        <v>22664180</v>
      </c>
      <c r="B5037" s="17" t="s">
        <v>7456</v>
      </c>
      <c r="C5037" s="17" t="s">
        <v>7457</v>
      </c>
      <c r="D5037" s="5" t="s">
        <v>7612</v>
      </c>
      <c r="E5037" s="35">
        <v>41597</v>
      </c>
    </row>
    <row r="5038" spans="1:5" ht="14.25" hidden="1" customHeight="1">
      <c r="A5038" s="16">
        <v>22877708</v>
      </c>
      <c r="B5038" s="17" t="s">
        <v>2709</v>
      </c>
      <c r="C5038" s="17" t="s">
        <v>2710</v>
      </c>
      <c r="D5038" s="5" t="s">
        <v>7612</v>
      </c>
      <c r="E5038" s="35">
        <v>41597</v>
      </c>
    </row>
    <row r="5039" spans="1:5" ht="14.25" hidden="1" customHeight="1">
      <c r="A5039" s="16">
        <v>23117847</v>
      </c>
      <c r="B5039" s="17" t="s">
        <v>7450</v>
      </c>
      <c r="C5039" s="17" t="s">
        <v>7451</v>
      </c>
      <c r="D5039" s="5" t="s">
        <v>7612</v>
      </c>
      <c r="E5039" s="35">
        <v>41597</v>
      </c>
    </row>
    <row r="5040" spans="1:5" ht="14.25" hidden="1" customHeight="1">
      <c r="A5040" s="16">
        <v>24338410</v>
      </c>
      <c r="B5040" s="17" t="s">
        <v>5849</v>
      </c>
      <c r="C5040" s="17" t="s">
        <v>455</v>
      </c>
      <c r="D5040" s="5" t="s">
        <v>7612</v>
      </c>
      <c r="E5040" s="35">
        <v>41597</v>
      </c>
    </row>
    <row r="5041" spans="1:5" ht="14.25" hidden="1" customHeight="1">
      <c r="A5041" s="16">
        <v>24803211</v>
      </c>
      <c r="B5041" s="17" t="s">
        <v>2579</v>
      </c>
      <c r="C5041" s="17" t="s">
        <v>7620</v>
      </c>
      <c r="D5041" s="5" t="s">
        <v>7612</v>
      </c>
      <c r="E5041" s="35">
        <v>41597</v>
      </c>
    </row>
    <row r="5042" spans="1:5" ht="14.25" hidden="1" customHeight="1">
      <c r="A5042" s="16">
        <v>25421645</v>
      </c>
      <c r="B5042" s="17" t="s">
        <v>3942</v>
      </c>
      <c r="C5042" s="17" t="s">
        <v>3943</v>
      </c>
      <c r="D5042" s="5" t="s">
        <v>7612</v>
      </c>
      <c r="E5042" s="35">
        <v>41597</v>
      </c>
    </row>
    <row r="5043" spans="1:5" ht="14.25" hidden="1" customHeight="1">
      <c r="A5043" s="16">
        <v>25734543</v>
      </c>
      <c r="B5043" s="17" t="s">
        <v>5420</v>
      </c>
      <c r="C5043" s="17" t="s">
        <v>7621</v>
      </c>
      <c r="D5043" s="5" t="s">
        <v>7612</v>
      </c>
      <c r="E5043" s="35">
        <v>41597</v>
      </c>
    </row>
    <row r="5044" spans="1:5" ht="14.25" hidden="1" customHeight="1">
      <c r="A5044" s="16">
        <v>26638536</v>
      </c>
      <c r="B5044" s="17" t="s">
        <v>901</v>
      </c>
      <c r="C5044" s="17" t="s">
        <v>902</v>
      </c>
      <c r="D5044" s="5" t="s">
        <v>7612</v>
      </c>
      <c r="E5044" s="35">
        <v>41597</v>
      </c>
    </row>
    <row r="5045" spans="1:5" ht="14.25" hidden="1" customHeight="1">
      <c r="A5045" s="16">
        <v>27364316</v>
      </c>
      <c r="B5045" s="17" t="s">
        <v>2170</v>
      </c>
      <c r="C5045" s="17" t="s">
        <v>2171</v>
      </c>
      <c r="D5045" s="5" t="s">
        <v>7612</v>
      </c>
      <c r="E5045" s="35">
        <v>41597</v>
      </c>
    </row>
    <row r="5046" spans="1:5" ht="14.25" hidden="1" customHeight="1">
      <c r="A5046" s="16">
        <v>27650750</v>
      </c>
      <c r="B5046" s="17" t="s">
        <v>723</v>
      </c>
      <c r="C5046" s="17" t="s">
        <v>898</v>
      </c>
      <c r="D5046" s="5" t="s">
        <v>7612</v>
      </c>
      <c r="E5046" s="35">
        <v>41597</v>
      </c>
    </row>
    <row r="5047" spans="1:5" ht="14.25" hidden="1" customHeight="1">
      <c r="A5047" s="16">
        <v>27961528</v>
      </c>
      <c r="B5047" s="17" t="s">
        <v>7440</v>
      </c>
      <c r="C5047" s="17" t="s">
        <v>7441</v>
      </c>
      <c r="D5047" s="5" t="s">
        <v>7612</v>
      </c>
      <c r="E5047" s="35">
        <v>41597</v>
      </c>
    </row>
    <row r="5048" spans="1:5" ht="14.25" hidden="1" customHeight="1">
      <c r="A5048" s="16">
        <v>27975948</v>
      </c>
      <c r="B5048" s="17" t="s">
        <v>7369</v>
      </c>
      <c r="C5048" s="17" t="s">
        <v>3948</v>
      </c>
      <c r="D5048" s="5" t="s">
        <v>7612</v>
      </c>
      <c r="E5048" s="35">
        <v>41597</v>
      </c>
    </row>
    <row r="5049" spans="1:5" ht="14.25" hidden="1" customHeight="1">
      <c r="A5049" s="16">
        <v>30357522</v>
      </c>
      <c r="B5049" s="17" t="s">
        <v>1885</v>
      </c>
      <c r="C5049" s="17" t="s">
        <v>1208</v>
      </c>
      <c r="D5049" s="5" t="s">
        <v>7612</v>
      </c>
      <c r="E5049" s="35">
        <v>41597</v>
      </c>
    </row>
    <row r="5050" spans="1:5" ht="14.25" hidden="1" customHeight="1">
      <c r="A5050" s="26">
        <v>30760509</v>
      </c>
      <c r="B5050" s="4" t="s">
        <v>7613</v>
      </c>
      <c r="C5050" s="4" t="s">
        <v>7614</v>
      </c>
      <c r="D5050" s="5" t="s">
        <v>7612</v>
      </c>
      <c r="E5050" s="35">
        <v>41597</v>
      </c>
    </row>
    <row r="5051" spans="1:5" ht="14.25" hidden="1" customHeight="1">
      <c r="A5051" s="16">
        <v>30760509</v>
      </c>
      <c r="B5051" s="17" t="s">
        <v>7434</v>
      </c>
      <c r="C5051" s="17" t="s">
        <v>7435</v>
      </c>
      <c r="D5051" s="5" t="s">
        <v>7612</v>
      </c>
      <c r="E5051" s="35">
        <v>41597</v>
      </c>
    </row>
    <row r="5052" spans="1:5" ht="14.25" hidden="1" customHeight="1">
      <c r="A5052" s="16">
        <v>31842029</v>
      </c>
      <c r="B5052" s="17" t="s">
        <v>7118</v>
      </c>
      <c r="C5052" s="17" t="s">
        <v>7119</v>
      </c>
      <c r="D5052" s="5" t="s">
        <v>7612</v>
      </c>
      <c r="E5052" s="35">
        <v>41597</v>
      </c>
    </row>
    <row r="5053" spans="1:5" ht="14.25" hidden="1" customHeight="1">
      <c r="A5053" s="16">
        <v>32461088</v>
      </c>
      <c r="B5053" s="17" t="s">
        <v>7442</v>
      </c>
      <c r="C5053" s="17" t="s">
        <v>7443</v>
      </c>
      <c r="D5053" s="5" t="s">
        <v>7612</v>
      </c>
      <c r="E5053" s="35">
        <v>41597</v>
      </c>
    </row>
    <row r="5054" spans="1:5" ht="14.25" hidden="1" customHeight="1">
      <c r="A5054" s="16">
        <v>33399449</v>
      </c>
      <c r="B5054" s="17" t="s">
        <v>1823</v>
      </c>
      <c r="C5054" s="17" t="s">
        <v>1785</v>
      </c>
      <c r="D5054" s="5" t="s">
        <v>7612</v>
      </c>
      <c r="E5054" s="35">
        <v>41597</v>
      </c>
    </row>
    <row r="5055" spans="1:5" ht="14.25" hidden="1" customHeight="1">
      <c r="A5055" s="16">
        <v>2796534</v>
      </c>
      <c r="B5055" s="17" t="s">
        <v>342</v>
      </c>
      <c r="C5055" s="17" t="s">
        <v>345</v>
      </c>
      <c r="D5055" s="5" t="s">
        <v>7623</v>
      </c>
      <c r="E5055" s="35">
        <v>41596</v>
      </c>
    </row>
    <row r="5056" spans="1:5" ht="14.25" hidden="1" customHeight="1">
      <c r="A5056" s="16">
        <v>6054547</v>
      </c>
      <c r="B5056" s="17" t="s">
        <v>986</v>
      </c>
      <c r="C5056" s="17" t="s">
        <v>7624</v>
      </c>
      <c r="D5056" s="5" t="s">
        <v>7623</v>
      </c>
      <c r="E5056" s="35">
        <v>41596</v>
      </c>
    </row>
    <row r="5057" spans="1:5" ht="14.25" hidden="1" customHeight="1">
      <c r="A5057" s="16">
        <v>11054779</v>
      </c>
      <c r="B5057" s="17" t="s">
        <v>3745</v>
      </c>
      <c r="C5057" s="17" t="s">
        <v>1185</v>
      </c>
      <c r="D5057" s="5" t="s">
        <v>7623</v>
      </c>
      <c r="E5057" s="35">
        <v>41596</v>
      </c>
    </row>
    <row r="5058" spans="1:5" ht="14.25" hidden="1" customHeight="1">
      <c r="A5058" s="16">
        <v>11708174</v>
      </c>
      <c r="B5058" s="17" t="s">
        <v>1628</v>
      </c>
      <c r="C5058" s="17" t="s">
        <v>1629</v>
      </c>
      <c r="D5058" s="5" t="s">
        <v>7623</v>
      </c>
      <c r="E5058" s="35">
        <v>41596</v>
      </c>
    </row>
    <row r="5059" spans="1:5" ht="14.25" hidden="1" customHeight="1">
      <c r="A5059" s="16">
        <v>11909893</v>
      </c>
      <c r="B5059" s="17" t="s">
        <v>454</v>
      </c>
      <c r="C5059" s="17" t="s">
        <v>455</v>
      </c>
      <c r="D5059" s="5" t="s">
        <v>7623</v>
      </c>
      <c r="E5059" s="35">
        <v>41596</v>
      </c>
    </row>
    <row r="5060" spans="1:5" ht="14.25" hidden="1" customHeight="1">
      <c r="A5060" s="16">
        <v>11915728</v>
      </c>
      <c r="B5060" s="17" t="s">
        <v>218</v>
      </c>
      <c r="C5060" s="17" t="s">
        <v>219</v>
      </c>
      <c r="D5060" s="5" t="s">
        <v>7623</v>
      </c>
      <c r="E5060" s="35">
        <v>41596</v>
      </c>
    </row>
    <row r="5061" spans="1:5" ht="14.25" hidden="1" customHeight="1">
      <c r="A5061" s="16">
        <v>13628946</v>
      </c>
      <c r="B5061" s="17" t="s">
        <v>652</v>
      </c>
      <c r="C5061" s="17" t="s">
        <v>4305</v>
      </c>
      <c r="D5061" s="5" t="s">
        <v>7623</v>
      </c>
      <c r="E5061" s="35">
        <v>41596</v>
      </c>
    </row>
    <row r="5062" spans="1:5" ht="14.25" hidden="1" customHeight="1">
      <c r="A5062" s="16">
        <v>13847302</v>
      </c>
      <c r="B5062" s="17" t="s">
        <v>7625</v>
      </c>
      <c r="C5062" s="17" t="s">
        <v>7626</v>
      </c>
      <c r="D5062" s="5" t="s">
        <v>7623</v>
      </c>
      <c r="E5062" s="35">
        <v>41596</v>
      </c>
    </row>
    <row r="5063" spans="1:5" ht="14.25" hidden="1" customHeight="1">
      <c r="A5063" s="16">
        <v>14073031</v>
      </c>
      <c r="B5063" s="17" t="s">
        <v>541</v>
      </c>
      <c r="C5063" s="17" t="s">
        <v>2382</v>
      </c>
      <c r="D5063" s="5" t="s">
        <v>7623</v>
      </c>
      <c r="E5063" s="35">
        <v>41596</v>
      </c>
    </row>
    <row r="5064" spans="1:5" ht="14.25" hidden="1" customHeight="1">
      <c r="A5064" s="16">
        <v>14073844</v>
      </c>
      <c r="B5064" s="17" t="s">
        <v>428</v>
      </c>
      <c r="C5064" s="17" t="s">
        <v>1200</v>
      </c>
      <c r="D5064" s="5" t="s">
        <v>7623</v>
      </c>
      <c r="E5064" s="35">
        <v>41596</v>
      </c>
    </row>
    <row r="5065" spans="1:5" ht="14.25" hidden="1" customHeight="1">
      <c r="A5065" s="16">
        <v>14176029</v>
      </c>
      <c r="B5065" s="17" t="s">
        <v>339</v>
      </c>
      <c r="C5065" s="17" t="s">
        <v>340</v>
      </c>
      <c r="D5065" s="5" t="s">
        <v>7623</v>
      </c>
      <c r="E5065" s="35">
        <v>41596</v>
      </c>
    </row>
    <row r="5066" spans="1:5" ht="14.25" hidden="1" customHeight="1">
      <c r="A5066" s="16">
        <v>14359977</v>
      </c>
      <c r="B5066" s="17" t="s">
        <v>335</v>
      </c>
      <c r="C5066" s="17" t="s">
        <v>336</v>
      </c>
      <c r="D5066" s="5" t="s">
        <v>7623</v>
      </c>
      <c r="E5066" s="35">
        <v>41596</v>
      </c>
    </row>
    <row r="5067" spans="1:5" ht="14.25" hidden="1" customHeight="1">
      <c r="A5067" s="16">
        <v>14660514</v>
      </c>
      <c r="B5067" s="17" t="s">
        <v>288</v>
      </c>
      <c r="C5067" s="17" t="s">
        <v>291</v>
      </c>
      <c r="D5067" s="5" t="s">
        <v>7623</v>
      </c>
      <c r="E5067" s="35">
        <v>41596</v>
      </c>
    </row>
    <row r="5068" spans="1:5" ht="14.25" hidden="1" customHeight="1">
      <c r="A5068" s="16">
        <v>16212153</v>
      </c>
      <c r="B5068" s="17" t="s">
        <v>3048</v>
      </c>
      <c r="C5068" s="17" t="s">
        <v>3049</v>
      </c>
      <c r="D5068" s="5" t="s">
        <v>7623</v>
      </c>
      <c r="E5068" s="35">
        <v>41596</v>
      </c>
    </row>
    <row r="5069" spans="1:5" ht="14.25" hidden="1" customHeight="1">
      <c r="A5069" s="16">
        <v>16932684</v>
      </c>
      <c r="B5069" s="17" t="s">
        <v>6012</v>
      </c>
      <c r="C5069" s="17" t="s">
        <v>1208</v>
      </c>
      <c r="D5069" s="5" t="s">
        <v>7623</v>
      </c>
      <c r="E5069" s="35">
        <v>41596</v>
      </c>
    </row>
    <row r="5070" spans="1:5" ht="14.25" hidden="1" customHeight="1">
      <c r="A5070" s="16">
        <v>17042217</v>
      </c>
      <c r="B5070" s="17" t="s">
        <v>195</v>
      </c>
      <c r="C5070" s="17" t="s">
        <v>1050</v>
      </c>
      <c r="D5070" s="5" t="s">
        <v>7623</v>
      </c>
      <c r="E5070" s="35">
        <v>41596</v>
      </c>
    </row>
    <row r="5071" spans="1:5" ht="14.25" hidden="1" customHeight="1">
      <c r="A5071" s="16">
        <v>17190635</v>
      </c>
      <c r="B5071" s="17" t="s">
        <v>487</v>
      </c>
      <c r="C5071" s="17" t="s">
        <v>488</v>
      </c>
      <c r="D5071" s="5" t="s">
        <v>7623</v>
      </c>
      <c r="E5071" s="35">
        <v>41596</v>
      </c>
    </row>
    <row r="5072" spans="1:5" ht="14.25" hidden="1" customHeight="1">
      <c r="A5072" s="16">
        <v>17269443</v>
      </c>
      <c r="B5072" s="17" t="s">
        <v>497</v>
      </c>
      <c r="C5072" s="17" t="s">
        <v>4439</v>
      </c>
      <c r="D5072" s="5" t="s">
        <v>7623</v>
      </c>
      <c r="E5072" s="35">
        <v>41596</v>
      </c>
    </row>
    <row r="5073" spans="1:5" ht="14.25" hidden="1" customHeight="1">
      <c r="A5073" s="16">
        <v>17574425</v>
      </c>
      <c r="B5073" s="17" t="s">
        <v>633</v>
      </c>
      <c r="C5073" s="17" t="s">
        <v>634</v>
      </c>
      <c r="D5073" s="5" t="s">
        <v>7623</v>
      </c>
      <c r="E5073" s="35">
        <v>41596</v>
      </c>
    </row>
    <row r="5074" spans="1:5" ht="14.25" hidden="1" customHeight="1">
      <c r="A5074" s="16">
        <v>17973047</v>
      </c>
      <c r="B5074" s="17" t="s">
        <v>279</v>
      </c>
      <c r="C5074" s="17" t="s">
        <v>283</v>
      </c>
      <c r="D5074" s="5" t="s">
        <v>7623</v>
      </c>
      <c r="E5074" s="35">
        <v>41596</v>
      </c>
    </row>
    <row r="5075" spans="1:5" ht="14.25" hidden="1" customHeight="1">
      <c r="A5075" s="16">
        <v>18255789</v>
      </c>
      <c r="B5075" s="17" t="s">
        <v>6378</v>
      </c>
      <c r="C5075" s="17" t="s">
        <v>2196</v>
      </c>
      <c r="D5075" s="5" t="s">
        <v>7623</v>
      </c>
      <c r="E5075" s="35">
        <v>41596</v>
      </c>
    </row>
    <row r="5076" spans="1:5" ht="14.25" hidden="1" customHeight="1">
      <c r="A5076" s="16">
        <v>18464655</v>
      </c>
      <c r="B5076" s="17" t="s">
        <v>247</v>
      </c>
      <c r="C5076" s="17" t="s">
        <v>178</v>
      </c>
      <c r="D5076" s="5" t="s">
        <v>7623</v>
      </c>
      <c r="E5076" s="35">
        <v>41596</v>
      </c>
    </row>
    <row r="5077" spans="1:5" ht="14.25" hidden="1" customHeight="1">
      <c r="A5077" s="16">
        <v>20422928</v>
      </c>
      <c r="B5077" s="17" t="s">
        <v>482</v>
      </c>
      <c r="C5077" s="17" t="s">
        <v>483</v>
      </c>
      <c r="D5077" s="5" t="s">
        <v>7623</v>
      </c>
      <c r="E5077" s="35">
        <v>41596</v>
      </c>
    </row>
    <row r="5078" spans="1:5" ht="14.25" hidden="1" customHeight="1">
      <c r="A5078" s="16">
        <v>21329190</v>
      </c>
      <c r="B5078" s="17" t="s">
        <v>4301</v>
      </c>
      <c r="C5078" s="17" t="s">
        <v>4302</v>
      </c>
      <c r="D5078" s="5" t="s">
        <v>7623</v>
      </c>
      <c r="E5078" s="35">
        <v>41596</v>
      </c>
    </row>
    <row r="5079" spans="1:5" ht="14.25" hidden="1" customHeight="1">
      <c r="A5079" s="16">
        <v>21338913</v>
      </c>
      <c r="B5079" s="17" t="s">
        <v>742</v>
      </c>
      <c r="C5079" s="17" t="s">
        <v>74</v>
      </c>
      <c r="D5079" s="5" t="s">
        <v>7623</v>
      </c>
      <c r="E5079" s="35">
        <v>41596</v>
      </c>
    </row>
    <row r="5080" spans="1:5" ht="14.25" hidden="1" customHeight="1">
      <c r="A5080" s="16">
        <v>21812664</v>
      </c>
      <c r="B5080" s="17" t="s">
        <v>4053</v>
      </c>
      <c r="C5080" s="17" t="s">
        <v>274</v>
      </c>
      <c r="D5080" s="5" t="s">
        <v>7623</v>
      </c>
      <c r="E5080" s="35">
        <v>41596</v>
      </c>
    </row>
    <row r="5081" spans="1:5" ht="14.25" hidden="1" customHeight="1">
      <c r="A5081" s="16">
        <v>21919979</v>
      </c>
      <c r="B5081" s="17" t="s">
        <v>3182</v>
      </c>
      <c r="C5081" s="17" t="s">
        <v>724</v>
      </c>
      <c r="D5081" s="5" t="s">
        <v>7623</v>
      </c>
      <c r="E5081" s="35">
        <v>41596</v>
      </c>
    </row>
    <row r="5082" spans="1:5" ht="14.25" hidden="1" customHeight="1">
      <c r="A5082" s="16">
        <v>22877820</v>
      </c>
      <c r="B5082" s="17" t="s">
        <v>774</v>
      </c>
      <c r="C5082" s="17" t="s">
        <v>283</v>
      </c>
      <c r="D5082" s="5" t="s">
        <v>7623</v>
      </c>
      <c r="E5082" s="35">
        <v>41596</v>
      </c>
    </row>
    <row r="5083" spans="1:5" ht="14.25" hidden="1" customHeight="1">
      <c r="A5083" s="16">
        <v>23167760</v>
      </c>
      <c r="B5083" s="17" t="s">
        <v>1644</v>
      </c>
      <c r="C5083" s="17" t="s">
        <v>1645</v>
      </c>
      <c r="D5083" s="5" t="s">
        <v>7623</v>
      </c>
      <c r="E5083" s="35">
        <v>41596</v>
      </c>
    </row>
    <row r="5084" spans="1:5" ht="14.25" hidden="1" customHeight="1">
      <c r="A5084" s="16">
        <v>25003911</v>
      </c>
      <c r="B5084" s="17" t="s">
        <v>4900</v>
      </c>
      <c r="C5084" s="17" t="s">
        <v>4875</v>
      </c>
      <c r="D5084" s="5" t="s">
        <v>7623</v>
      </c>
      <c r="E5084" s="35">
        <v>41596</v>
      </c>
    </row>
    <row r="5085" spans="1:5" ht="14.25" hidden="1" customHeight="1">
      <c r="A5085" s="16">
        <v>25255652</v>
      </c>
      <c r="B5085" s="17" t="s">
        <v>7627</v>
      </c>
      <c r="C5085" s="17" t="s">
        <v>1542</v>
      </c>
      <c r="D5085" s="5" t="s">
        <v>7623</v>
      </c>
      <c r="E5085" s="35">
        <v>41596</v>
      </c>
    </row>
    <row r="5086" spans="1:5" ht="14.25" hidden="1" customHeight="1">
      <c r="A5086" s="16">
        <v>26445246</v>
      </c>
      <c r="B5086" s="17" t="s">
        <v>2632</v>
      </c>
      <c r="C5086" s="17" t="s">
        <v>1965</v>
      </c>
      <c r="D5086" s="5" t="s">
        <v>7623</v>
      </c>
      <c r="E5086" s="35">
        <v>41596</v>
      </c>
    </row>
    <row r="5087" spans="1:5" ht="14.25" hidden="1" customHeight="1">
      <c r="A5087" s="16">
        <v>26485355</v>
      </c>
      <c r="B5087" s="17" t="s">
        <v>1950</v>
      </c>
      <c r="C5087" s="17" t="s">
        <v>832</v>
      </c>
      <c r="D5087" s="5" t="s">
        <v>7623</v>
      </c>
      <c r="E5087" s="35">
        <v>41596</v>
      </c>
    </row>
    <row r="5088" spans="1:5" ht="14.25" hidden="1" customHeight="1">
      <c r="A5088" s="16">
        <v>26982736</v>
      </c>
      <c r="B5088" s="17" t="s">
        <v>64</v>
      </c>
      <c r="C5088" s="17" t="s">
        <v>65</v>
      </c>
      <c r="D5088" s="5" t="s">
        <v>7623</v>
      </c>
      <c r="E5088" s="35">
        <v>41596</v>
      </c>
    </row>
    <row r="5089" spans="1:5" ht="14.25" hidden="1" customHeight="1">
      <c r="A5089" s="16">
        <v>27017680</v>
      </c>
      <c r="B5089" s="17" t="s">
        <v>96</v>
      </c>
      <c r="C5089" s="17" t="s">
        <v>97</v>
      </c>
      <c r="D5089" s="5" t="s">
        <v>7623</v>
      </c>
      <c r="E5089" s="35">
        <v>41596</v>
      </c>
    </row>
    <row r="5090" spans="1:5" ht="14.25" hidden="1" customHeight="1">
      <c r="A5090" s="16">
        <v>28883892</v>
      </c>
      <c r="B5090" s="17" t="s">
        <v>4196</v>
      </c>
      <c r="C5090" s="17" t="s">
        <v>4197</v>
      </c>
      <c r="D5090" s="5" t="s">
        <v>7623</v>
      </c>
      <c r="E5090" s="35">
        <v>41596</v>
      </c>
    </row>
    <row r="5091" spans="1:5" ht="14.25" hidden="1" customHeight="1">
      <c r="A5091" s="16">
        <v>29997858</v>
      </c>
      <c r="B5091" s="17" t="s">
        <v>1046</v>
      </c>
      <c r="C5091" s="17" t="s">
        <v>1047</v>
      </c>
      <c r="D5091" s="5" t="s">
        <v>7623</v>
      </c>
      <c r="E5091" s="35">
        <v>41596</v>
      </c>
    </row>
    <row r="5092" spans="1:5" ht="14.25" hidden="1" customHeight="1">
      <c r="A5092" s="16">
        <v>31770453</v>
      </c>
      <c r="B5092" s="17" t="s">
        <v>2709</v>
      </c>
      <c r="C5092" s="17" t="s">
        <v>3046</v>
      </c>
      <c r="D5092" s="5" t="s">
        <v>7623</v>
      </c>
      <c r="E5092" s="35">
        <v>41596</v>
      </c>
    </row>
    <row r="5093" spans="1:5" ht="14.25" hidden="1" customHeight="1">
      <c r="A5093" s="16">
        <v>31857397</v>
      </c>
      <c r="B5093" s="17" t="s">
        <v>1549</v>
      </c>
      <c r="C5093" s="17" t="s">
        <v>1550</v>
      </c>
      <c r="D5093" s="5" t="s">
        <v>7623</v>
      </c>
      <c r="E5093" s="35">
        <v>41596</v>
      </c>
    </row>
    <row r="5094" spans="1:5" ht="14.25" hidden="1" customHeight="1">
      <c r="A5094" s="16">
        <v>32459158</v>
      </c>
      <c r="B5094" s="17" t="s">
        <v>1477</v>
      </c>
      <c r="C5094" s="17" t="s">
        <v>1478</v>
      </c>
      <c r="D5094" s="5" t="s">
        <v>7623</v>
      </c>
      <c r="E5094" s="35">
        <v>41596</v>
      </c>
    </row>
    <row r="5095" spans="1:5" ht="14.25" hidden="1" customHeight="1">
      <c r="A5095" s="16">
        <v>32966022</v>
      </c>
      <c r="B5095" s="17" t="s">
        <v>1108</v>
      </c>
      <c r="C5095" s="17" t="s">
        <v>1109</v>
      </c>
      <c r="D5095" s="5" t="s">
        <v>7623</v>
      </c>
      <c r="E5095" s="35">
        <v>41596</v>
      </c>
    </row>
    <row r="5096" spans="1:5" ht="14.25" hidden="1" customHeight="1">
      <c r="A5096" s="16">
        <v>33966070</v>
      </c>
      <c r="B5096" s="17" t="s">
        <v>1166</v>
      </c>
      <c r="C5096" s="17" t="s">
        <v>962</v>
      </c>
      <c r="D5096" s="5" t="s">
        <v>7623</v>
      </c>
      <c r="E5096" s="35">
        <v>41596</v>
      </c>
    </row>
    <row r="5097" spans="1:5" ht="14.25" hidden="1" customHeight="1">
      <c r="A5097" s="16">
        <v>33999914</v>
      </c>
      <c r="B5097" s="17" t="s">
        <v>1906</v>
      </c>
      <c r="C5097" s="17" t="s">
        <v>2445</v>
      </c>
      <c r="D5097" s="5" t="s">
        <v>7623</v>
      </c>
      <c r="E5097" s="35">
        <v>41596</v>
      </c>
    </row>
    <row r="5098" spans="1:5" ht="14.25" hidden="1" customHeight="1">
      <c r="A5098" s="16">
        <v>34994170</v>
      </c>
      <c r="B5098" s="17" t="s">
        <v>5604</v>
      </c>
      <c r="C5098" s="17" t="s">
        <v>305</v>
      </c>
      <c r="D5098" s="5" t="s">
        <v>7623</v>
      </c>
      <c r="E5098" s="35">
        <v>41596</v>
      </c>
    </row>
    <row r="5099" spans="1:5" ht="14.25" hidden="1" customHeight="1">
      <c r="A5099" s="16">
        <v>93262857</v>
      </c>
      <c r="B5099" s="17" t="s">
        <v>236</v>
      </c>
      <c r="C5099" s="17" t="s">
        <v>237</v>
      </c>
      <c r="D5099" s="5" t="s">
        <v>7623</v>
      </c>
      <c r="E5099" s="35">
        <v>41596</v>
      </c>
    </row>
    <row r="5100" spans="1:5" ht="14.25" hidden="1" customHeight="1">
      <c r="A5100" s="16">
        <v>5772320</v>
      </c>
      <c r="B5100" s="17" t="s">
        <v>4566</v>
      </c>
      <c r="C5100" s="17" t="s">
        <v>241</v>
      </c>
      <c r="D5100" s="1" t="s">
        <v>7628</v>
      </c>
      <c r="E5100" s="35">
        <v>41584</v>
      </c>
    </row>
    <row r="5101" spans="1:5" ht="14.25" hidden="1" customHeight="1">
      <c r="A5101" s="16">
        <v>10552418</v>
      </c>
      <c r="B5101" s="17" t="s">
        <v>270</v>
      </c>
      <c r="C5101" s="17" t="s">
        <v>271</v>
      </c>
      <c r="D5101" s="1" t="s">
        <v>7628</v>
      </c>
      <c r="E5101" s="35">
        <v>41584</v>
      </c>
    </row>
    <row r="5102" spans="1:5" ht="14.25" hidden="1" customHeight="1">
      <c r="A5102" s="16">
        <v>10792599</v>
      </c>
      <c r="B5102" s="17" t="s">
        <v>490</v>
      </c>
      <c r="C5102" s="17" t="s">
        <v>491</v>
      </c>
      <c r="D5102" s="1" t="s">
        <v>7628</v>
      </c>
      <c r="E5102" s="35">
        <v>41584</v>
      </c>
    </row>
    <row r="5103" spans="1:5" ht="14.25" hidden="1" customHeight="1">
      <c r="A5103" s="16">
        <v>10925913</v>
      </c>
      <c r="B5103" s="17" t="s">
        <v>326</v>
      </c>
      <c r="C5103" s="17" t="s">
        <v>27</v>
      </c>
      <c r="D5103" s="1" t="s">
        <v>7628</v>
      </c>
      <c r="E5103" s="35">
        <v>41584</v>
      </c>
    </row>
    <row r="5104" spans="1:5" ht="14.25" hidden="1" customHeight="1">
      <c r="A5104" s="16">
        <v>11708320</v>
      </c>
      <c r="B5104" s="17" t="s">
        <v>94</v>
      </c>
      <c r="C5104" s="17" t="s">
        <v>95</v>
      </c>
      <c r="D5104" s="1" t="s">
        <v>7628</v>
      </c>
      <c r="E5104" s="35">
        <v>41584</v>
      </c>
    </row>
    <row r="5105" spans="1:5" ht="14.25" hidden="1" customHeight="1">
      <c r="A5105" s="16">
        <v>11915728</v>
      </c>
      <c r="B5105" s="17" t="s">
        <v>676</v>
      </c>
      <c r="C5105" s="17" t="s">
        <v>219</v>
      </c>
      <c r="D5105" s="1" t="s">
        <v>7628</v>
      </c>
      <c r="E5105" s="35">
        <v>41584</v>
      </c>
    </row>
    <row r="5106" spans="1:5" ht="14.25" hidden="1" customHeight="1">
      <c r="A5106" s="16">
        <v>12121018</v>
      </c>
      <c r="B5106" s="17" t="s">
        <v>21</v>
      </c>
      <c r="C5106" s="17" t="s">
        <v>22</v>
      </c>
      <c r="D5106" s="1" t="s">
        <v>7628</v>
      </c>
      <c r="E5106" s="35">
        <v>41584</v>
      </c>
    </row>
    <row r="5107" spans="1:5" ht="14.25" hidden="1" customHeight="1">
      <c r="A5107" s="16">
        <v>12449120</v>
      </c>
      <c r="B5107" s="17" t="s">
        <v>115</v>
      </c>
      <c r="C5107" s="17" t="s">
        <v>116</v>
      </c>
      <c r="D5107" s="1" t="s">
        <v>7628</v>
      </c>
      <c r="E5107" s="35">
        <v>41584</v>
      </c>
    </row>
    <row r="5108" spans="1:5" ht="14.25" hidden="1" customHeight="1">
      <c r="A5108" s="16">
        <v>13339907</v>
      </c>
      <c r="B5108" s="17" t="s">
        <v>350</v>
      </c>
      <c r="C5108" s="17" t="s">
        <v>351</v>
      </c>
      <c r="D5108" s="1" t="s">
        <v>7628</v>
      </c>
      <c r="E5108" s="35">
        <v>41584</v>
      </c>
    </row>
    <row r="5109" spans="1:5" ht="14.25" hidden="1" customHeight="1">
      <c r="A5109" s="16">
        <v>13475282</v>
      </c>
      <c r="B5109" s="17" t="s">
        <v>2799</v>
      </c>
      <c r="C5109" s="17" t="s">
        <v>6328</v>
      </c>
      <c r="D5109" s="1" t="s">
        <v>7628</v>
      </c>
      <c r="E5109" s="35">
        <v>41584</v>
      </c>
    </row>
    <row r="5110" spans="1:5" ht="14.25" hidden="1" customHeight="1">
      <c r="A5110" s="16">
        <v>13627572</v>
      </c>
      <c r="B5110" s="17" t="s">
        <v>428</v>
      </c>
      <c r="C5110" s="17" t="s">
        <v>584</v>
      </c>
      <c r="D5110" s="1" t="s">
        <v>7628</v>
      </c>
      <c r="E5110" s="35">
        <v>41584</v>
      </c>
    </row>
    <row r="5111" spans="1:5" ht="14.25" hidden="1" customHeight="1">
      <c r="A5111" s="16">
        <v>13848739</v>
      </c>
      <c r="B5111" s="17" t="s">
        <v>3357</v>
      </c>
      <c r="C5111" s="17" t="s">
        <v>233</v>
      </c>
      <c r="D5111" s="1" t="s">
        <v>7628</v>
      </c>
      <c r="E5111" s="35">
        <v>41584</v>
      </c>
    </row>
    <row r="5112" spans="1:5" ht="14.25" hidden="1" customHeight="1">
      <c r="A5112" s="16">
        <v>17267984</v>
      </c>
      <c r="B5112" s="17" t="s">
        <v>47</v>
      </c>
      <c r="C5112" s="17" t="s">
        <v>36</v>
      </c>
      <c r="D5112" s="1" t="s">
        <v>7628</v>
      </c>
      <c r="E5112" s="35">
        <v>41584</v>
      </c>
    </row>
    <row r="5113" spans="1:5" ht="14.25" hidden="1" customHeight="1">
      <c r="A5113" s="16">
        <v>17376294</v>
      </c>
      <c r="B5113" s="17" t="s">
        <v>47</v>
      </c>
      <c r="C5113" s="17" t="s">
        <v>50</v>
      </c>
      <c r="D5113" s="1" t="s">
        <v>7628</v>
      </c>
      <c r="E5113" s="35">
        <v>41584</v>
      </c>
    </row>
    <row r="5114" spans="1:5" ht="14.25" hidden="1" customHeight="1">
      <c r="A5114" s="16">
        <v>17947777</v>
      </c>
      <c r="B5114" s="17" t="s">
        <v>422</v>
      </c>
      <c r="C5114" s="17" t="s">
        <v>423</v>
      </c>
      <c r="D5114" s="1" t="s">
        <v>7628</v>
      </c>
      <c r="E5114" s="35">
        <v>41584</v>
      </c>
    </row>
    <row r="5115" spans="1:5" ht="14.25" hidden="1" customHeight="1">
      <c r="A5115" s="16">
        <v>20178162</v>
      </c>
      <c r="B5115" s="17" t="s">
        <v>255</v>
      </c>
      <c r="C5115" s="17" t="s">
        <v>215</v>
      </c>
      <c r="D5115" s="1" t="s">
        <v>7628</v>
      </c>
      <c r="E5115" s="35">
        <v>41584</v>
      </c>
    </row>
    <row r="5116" spans="1:5" ht="14.25" hidden="1" customHeight="1">
      <c r="A5116" s="16">
        <v>21327490</v>
      </c>
      <c r="B5116" s="17" t="s">
        <v>374</v>
      </c>
      <c r="C5116" s="17" t="s">
        <v>7638</v>
      </c>
      <c r="D5116" s="1" t="s">
        <v>7628</v>
      </c>
      <c r="E5116" s="35">
        <v>41584</v>
      </c>
    </row>
    <row r="5117" spans="1:5" ht="14.25" hidden="1" customHeight="1">
      <c r="A5117" s="16">
        <v>21334709</v>
      </c>
      <c r="B5117" s="17" t="s">
        <v>425</v>
      </c>
      <c r="C5117" s="17" t="s">
        <v>414</v>
      </c>
      <c r="D5117" s="1" t="s">
        <v>7628</v>
      </c>
      <c r="E5117" s="35">
        <v>41584</v>
      </c>
    </row>
    <row r="5118" spans="1:5" ht="14.25" hidden="1" customHeight="1">
      <c r="A5118" s="16">
        <v>22073026</v>
      </c>
      <c r="B5118" s="17" t="s">
        <v>2195</v>
      </c>
      <c r="C5118" s="17" t="s">
        <v>2196</v>
      </c>
      <c r="D5118" s="1" t="s">
        <v>7628</v>
      </c>
      <c r="E5118" s="35">
        <v>41584</v>
      </c>
    </row>
    <row r="5119" spans="1:5" ht="14.25" hidden="1" customHeight="1">
      <c r="A5119" s="16">
        <v>22450023</v>
      </c>
      <c r="B5119" s="17" t="s">
        <v>26</v>
      </c>
      <c r="C5119" s="17" t="s">
        <v>33</v>
      </c>
      <c r="D5119" s="1" t="s">
        <v>7628</v>
      </c>
      <c r="E5119" s="35">
        <v>41584</v>
      </c>
    </row>
    <row r="5120" spans="1:5" ht="14.25" hidden="1" customHeight="1">
      <c r="A5120" s="16">
        <v>23662807</v>
      </c>
      <c r="B5120" s="17" t="s">
        <v>318</v>
      </c>
      <c r="C5120" s="17" t="s">
        <v>319</v>
      </c>
      <c r="D5120" s="1" t="s">
        <v>7628</v>
      </c>
      <c r="E5120" s="35">
        <v>41584</v>
      </c>
    </row>
    <row r="5121" spans="1:5" ht="14.25" hidden="1" customHeight="1">
      <c r="A5121" s="16">
        <v>26454632</v>
      </c>
      <c r="B5121" s="17" t="s">
        <v>394</v>
      </c>
      <c r="C5121" s="17" t="s">
        <v>398</v>
      </c>
      <c r="D5121" s="1" t="s">
        <v>7628</v>
      </c>
      <c r="E5121" s="35">
        <v>41584</v>
      </c>
    </row>
    <row r="5122" spans="1:5" ht="14.25" hidden="1" customHeight="1">
      <c r="A5122" s="16">
        <v>26455321</v>
      </c>
      <c r="B5122" s="17" t="s">
        <v>285</v>
      </c>
      <c r="C5122" s="17" t="s">
        <v>287</v>
      </c>
      <c r="D5122" s="1" t="s">
        <v>7628</v>
      </c>
      <c r="E5122" s="35">
        <v>41584</v>
      </c>
    </row>
    <row r="5123" spans="1:5" ht="14.25" hidden="1" customHeight="1">
      <c r="A5123" s="16">
        <v>27594942</v>
      </c>
      <c r="B5123" s="17" t="s">
        <v>177</v>
      </c>
      <c r="C5123" s="17" t="s">
        <v>178</v>
      </c>
      <c r="D5123" s="1" t="s">
        <v>7628</v>
      </c>
      <c r="E5123" s="35">
        <v>41584</v>
      </c>
    </row>
    <row r="5124" spans="1:5" ht="14.25" hidden="1" customHeight="1">
      <c r="A5124" s="16">
        <v>27886273</v>
      </c>
      <c r="B5124" s="17" t="s">
        <v>226</v>
      </c>
      <c r="C5124" s="17" t="s">
        <v>227</v>
      </c>
      <c r="D5124" s="1" t="s">
        <v>7628</v>
      </c>
      <c r="E5124" s="35">
        <v>41584</v>
      </c>
    </row>
    <row r="5125" spans="1:5" ht="14.25" hidden="1" customHeight="1">
      <c r="A5125" s="16">
        <v>28221010</v>
      </c>
      <c r="B5125" s="17" t="s">
        <v>7632</v>
      </c>
      <c r="C5125" s="17" t="s">
        <v>667</v>
      </c>
      <c r="D5125" s="1" t="s">
        <v>7628</v>
      </c>
      <c r="E5125" s="35">
        <v>41584</v>
      </c>
    </row>
    <row r="5126" spans="1:5" ht="14.25" hidden="1" customHeight="1">
      <c r="A5126" s="16">
        <v>29183556</v>
      </c>
      <c r="B5126" s="17" t="s">
        <v>128</v>
      </c>
      <c r="C5126" s="17" t="s">
        <v>129</v>
      </c>
      <c r="D5126" s="1" t="s">
        <v>7628</v>
      </c>
      <c r="E5126" s="35">
        <v>41584</v>
      </c>
    </row>
    <row r="5127" spans="1:5" ht="14.25" hidden="1" customHeight="1">
      <c r="A5127" s="16">
        <v>29200647</v>
      </c>
      <c r="B5127" s="17" t="s">
        <v>467</v>
      </c>
      <c r="C5127" s="17" t="s">
        <v>468</v>
      </c>
      <c r="D5127" s="1" t="s">
        <v>7628</v>
      </c>
      <c r="E5127" s="35">
        <v>41584</v>
      </c>
    </row>
    <row r="5128" spans="1:5" ht="14.25" hidden="1" customHeight="1">
      <c r="A5128" s="16">
        <v>30760509</v>
      </c>
      <c r="B5128" s="17" t="s">
        <v>130</v>
      </c>
      <c r="C5128" s="17" t="s">
        <v>7630</v>
      </c>
      <c r="D5128" s="1" t="s">
        <v>7628</v>
      </c>
      <c r="E5128" s="35">
        <v>41584</v>
      </c>
    </row>
    <row r="5129" spans="1:5" ht="14.25" hidden="1" customHeight="1">
      <c r="A5129" s="16">
        <v>32927374</v>
      </c>
      <c r="B5129" s="17" t="s">
        <v>47</v>
      </c>
      <c r="C5129" s="17" t="s">
        <v>876</v>
      </c>
      <c r="D5129" s="1" t="s">
        <v>7628</v>
      </c>
      <c r="E5129" s="35">
        <v>41584</v>
      </c>
    </row>
    <row r="5130" spans="1:5" ht="14.25" hidden="1" customHeight="1">
      <c r="A5130" s="16">
        <v>35548263</v>
      </c>
      <c r="B5130" s="17" t="s">
        <v>7368</v>
      </c>
      <c r="C5130" s="17" t="s">
        <v>416</v>
      </c>
      <c r="D5130" s="1" t="s">
        <v>7628</v>
      </c>
      <c r="E5130" s="35">
        <v>41584</v>
      </c>
    </row>
    <row r="5131" spans="1:5" ht="14.25" hidden="1" customHeight="1">
      <c r="B5131" s="17" t="s">
        <v>7629</v>
      </c>
      <c r="C5131" s="17" t="s">
        <v>5509</v>
      </c>
      <c r="D5131" s="1" t="s">
        <v>7628</v>
      </c>
      <c r="E5131" s="35">
        <v>41584</v>
      </c>
    </row>
    <row r="5132" spans="1:5" ht="14.25" hidden="1" customHeight="1">
      <c r="B5132" s="17" t="s">
        <v>190</v>
      </c>
      <c r="C5132" s="17" t="s">
        <v>191</v>
      </c>
      <c r="D5132" s="1" t="s">
        <v>7628</v>
      </c>
      <c r="E5132" s="35">
        <v>41584</v>
      </c>
    </row>
    <row r="5133" spans="1:5" ht="14.25" hidden="1" customHeight="1">
      <c r="B5133" s="17" t="s">
        <v>3213</v>
      </c>
      <c r="C5133" s="17" t="s">
        <v>116</v>
      </c>
      <c r="D5133" s="1" t="s">
        <v>7628</v>
      </c>
      <c r="E5133" s="35">
        <v>41584</v>
      </c>
    </row>
    <row r="5134" spans="1:5" ht="14.25" hidden="1" customHeight="1">
      <c r="B5134" s="17" t="s">
        <v>207</v>
      </c>
      <c r="C5134" s="17" t="s">
        <v>7631</v>
      </c>
      <c r="D5134" s="1" t="s">
        <v>7628</v>
      </c>
      <c r="E5134" s="35">
        <v>41584</v>
      </c>
    </row>
    <row r="5135" spans="1:5" ht="14.25" hidden="1" customHeight="1">
      <c r="B5135" s="17" t="s">
        <v>242</v>
      </c>
      <c r="C5135" s="17" t="s">
        <v>7633</v>
      </c>
      <c r="D5135" s="1" t="s">
        <v>7628</v>
      </c>
      <c r="E5135" s="35">
        <v>41584</v>
      </c>
    </row>
    <row r="5136" spans="1:5" ht="14.25" hidden="1" customHeight="1">
      <c r="B5136" s="17" t="s">
        <v>270</v>
      </c>
      <c r="C5136" s="17" t="s">
        <v>363</v>
      </c>
      <c r="D5136" s="1" t="s">
        <v>7628</v>
      </c>
      <c r="E5136" s="35">
        <v>41584</v>
      </c>
    </row>
    <row r="5137" spans="1:5" ht="14.25" hidden="1" customHeight="1">
      <c r="B5137" s="17" t="s">
        <v>304</v>
      </c>
      <c r="C5137" s="17" t="s">
        <v>363</v>
      </c>
      <c r="D5137" s="1" t="s">
        <v>7628</v>
      </c>
      <c r="E5137" s="35">
        <v>41584</v>
      </c>
    </row>
    <row r="5138" spans="1:5" ht="14.25" hidden="1" customHeight="1">
      <c r="B5138" s="17" t="s">
        <v>7634</v>
      </c>
      <c r="C5138" s="17" t="s">
        <v>7635</v>
      </c>
      <c r="D5138" s="1" t="s">
        <v>7628</v>
      </c>
      <c r="E5138" s="35">
        <v>41584</v>
      </c>
    </row>
    <row r="5139" spans="1:5" ht="14.25" hidden="1" customHeight="1">
      <c r="B5139" s="17" t="s">
        <v>355</v>
      </c>
      <c r="C5139" s="17" t="s">
        <v>131</v>
      </c>
      <c r="D5139" s="1" t="s">
        <v>7628</v>
      </c>
      <c r="E5139" s="35">
        <v>41584</v>
      </c>
    </row>
    <row r="5140" spans="1:5" ht="14.25" hidden="1" customHeight="1">
      <c r="B5140" s="17" t="s">
        <v>362</v>
      </c>
      <c r="C5140" s="17" t="s">
        <v>7636</v>
      </c>
      <c r="D5140" s="1" t="s">
        <v>7628</v>
      </c>
      <c r="E5140" s="35">
        <v>41584</v>
      </c>
    </row>
    <row r="5141" spans="1:5" ht="14.25" hidden="1" customHeight="1">
      <c r="B5141" s="17" t="s">
        <v>362</v>
      </c>
      <c r="C5141" s="17" t="s">
        <v>7637</v>
      </c>
      <c r="D5141" s="1" t="s">
        <v>7628</v>
      </c>
      <c r="E5141" s="35">
        <v>41584</v>
      </c>
    </row>
    <row r="5142" spans="1:5" ht="14.25" hidden="1" customHeight="1">
      <c r="B5142" s="17" t="s">
        <v>394</v>
      </c>
      <c r="C5142" s="17" t="s">
        <v>395</v>
      </c>
      <c r="D5142" s="1" t="s">
        <v>7628</v>
      </c>
      <c r="E5142" s="35">
        <v>41584</v>
      </c>
    </row>
    <row r="5143" spans="1:5" ht="14.25" hidden="1" customHeight="1">
      <c r="B5143" s="17" t="s">
        <v>458</v>
      </c>
      <c r="C5143" s="17" t="s">
        <v>783</v>
      </c>
      <c r="D5143" s="1" t="s">
        <v>7628</v>
      </c>
      <c r="E5143" s="35">
        <v>41584</v>
      </c>
    </row>
    <row r="5144" spans="1:5" ht="14.25" hidden="1" customHeight="1">
      <c r="B5144" s="17" t="s">
        <v>497</v>
      </c>
      <c r="C5144" s="17" t="s">
        <v>363</v>
      </c>
      <c r="D5144" s="1" t="s">
        <v>7628</v>
      </c>
      <c r="E5144" s="35">
        <v>41584</v>
      </c>
    </row>
    <row r="5145" spans="1:5" ht="14.25" hidden="1" customHeight="1">
      <c r="A5145" s="16">
        <v>5576875</v>
      </c>
      <c r="B5145" s="17" t="s">
        <v>371</v>
      </c>
      <c r="C5145" s="17" t="s">
        <v>372</v>
      </c>
      <c r="D5145" s="1" t="s">
        <v>7640</v>
      </c>
      <c r="E5145" s="35">
        <v>41583</v>
      </c>
    </row>
    <row r="5146" spans="1:5" ht="14.25" hidden="1" customHeight="1">
      <c r="A5146" s="16">
        <v>6054547</v>
      </c>
      <c r="B5146" s="17" t="s">
        <v>7642</v>
      </c>
      <c r="C5146" s="17" t="s">
        <v>1748</v>
      </c>
      <c r="D5146" s="1" t="s">
        <v>7640</v>
      </c>
      <c r="E5146" s="35">
        <v>41583</v>
      </c>
    </row>
    <row r="5147" spans="1:5" ht="14.25" hidden="1" customHeight="1">
      <c r="A5147" s="16">
        <v>10012689</v>
      </c>
      <c r="B5147" s="17" t="s">
        <v>285</v>
      </c>
      <c r="C5147" s="17" t="s">
        <v>286</v>
      </c>
      <c r="D5147" s="1" t="s">
        <v>7640</v>
      </c>
      <c r="E5147" s="35">
        <v>41583</v>
      </c>
    </row>
    <row r="5148" spans="1:5" ht="14.25" hidden="1" customHeight="1">
      <c r="A5148" s="16">
        <v>10012924</v>
      </c>
      <c r="B5148" s="17" t="s">
        <v>342</v>
      </c>
      <c r="C5148" s="17" t="s">
        <v>343</v>
      </c>
      <c r="D5148" s="1" t="s">
        <v>7640</v>
      </c>
      <c r="E5148" s="35">
        <v>41583</v>
      </c>
    </row>
    <row r="5149" spans="1:5" ht="14.25" hidden="1" customHeight="1">
      <c r="A5149" s="16">
        <v>10925302</v>
      </c>
      <c r="B5149" s="17" t="s">
        <v>7656</v>
      </c>
      <c r="C5149" s="17" t="s">
        <v>427</v>
      </c>
      <c r="D5149" s="1" t="s">
        <v>7640</v>
      </c>
      <c r="E5149" s="35">
        <v>41583</v>
      </c>
    </row>
    <row r="5150" spans="1:5" ht="14.25" hidden="1" customHeight="1">
      <c r="A5150" s="16">
        <v>11463722</v>
      </c>
      <c r="B5150" s="17" t="s">
        <v>324</v>
      </c>
      <c r="C5150" s="17" t="s">
        <v>325</v>
      </c>
      <c r="D5150" s="1" t="s">
        <v>7640</v>
      </c>
      <c r="E5150" s="35">
        <v>41583</v>
      </c>
    </row>
    <row r="5151" spans="1:5" ht="14.25" hidden="1" customHeight="1">
      <c r="A5151" s="16">
        <v>11649811</v>
      </c>
      <c r="B5151" s="17" t="s">
        <v>128</v>
      </c>
      <c r="C5151" s="17" t="s">
        <v>50</v>
      </c>
      <c r="D5151" s="1" t="s">
        <v>7640</v>
      </c>
      <c r="E5151" s="35">
        <v>41583</v>
      </c>
    </row>
    <row r="5152" spans="1:5" ht="14.25" hidden="1" customHeight="1">
      <c r="A5152" s="16">
        <v>11900678</v>
      </c>
      <c r="B5152" s="17" t="s">
        <v>362</v>
      </c>
      <c r="C5152" s="17" t="s">
        <v>363</v>
      </c>
      <c r="D5152" s="1" t="s">
        <v>7640</v>
      </c>
      <c r="E5152" s="35">
        <v>41583</v>
      </c>
    </row>
    <row r="5153" spans="1:5" ht="14.25" hidden="1" customHeight="1">
      <c r="A5153" s="16">
        <v>11909893</v>
      </c>
      <c r="B5153" s="17" t="s">
        <v>7657</v>
      </c>
      <c r="C5153" s="17" t="s">
        <v>455</v>
      </c>
      <c r="D5153" s="1" t="s">
        <v>7640</v>
      </c>
      <c r="E5153" s="35">
        <v>41583</v>
      </c>
    </row>
    <row r="5154" spans="1:5" ht="14.25" hidden="1" customHeight="1">
      <c r="A5154" s="16">
        <v>12247257</v>
      </c>
      <c r="B5154" s="17" t="s">
        <v>207</v>
      </c>
      <c r="C5154" s="17" t="s">
        <v>208</v>
      </c>
      <c r="D5154" s="1" t="s">
        <v>7640</v>
      </c>
      <c r="E5154" s="35">
        <v>41583</v>
      </c>
    </row>
    <row r="5155" spans="1:5" ht="14.25" hidden="1" customHeight="1">
      <c r="A5155" s="16">
        <v>12609312</v>
      </c>
      <c r="B5155" s="17" t="s">
        <v>156</v>
      </c>
      <c r="C5155" s="17" t="s">
        <v>157</v>
      </c>
      <c r="D5155" s="1" t="s">
        <v>7640</v>
      </c>
      <c r="E5155" s="35">
        <v>41583</v>
      </c>
    </row>
    <row r="5156" spans="1:5" ht="14.25" hidden="1" customHeight="1">
      <c r="A5156" s="16">
        <v>12918355</v>
      </c>
      <c r="B5156" s="17" t="s">
        <v>410</v>
      </c>
      <c r="C5156" s="17" t="s">
        <v>411</v>
      </c>
      <c r="D5156" s="1" t="s">
        <v>7640</v>
      </c>
      <c r="E5156" s="35">
        <v>41583</v>
      </c>
    </row>
    <row r="5157" spans="1:5" ht="14.25" hidden="1" customHeight="1">
      <c r="A5157" s="16">
        <v>12919951</v>
      </c>
      <c r="B5157" s="17" t="s">
        <v>181</v>
      </c>
      <c r="C5157" s="17" t="s">
        <v>182</v>
      </c>
      <c r="D5157" s="1" t="s">
        <v>7640</v>
      </c>
      <c r="E5157" s="35">
        <v>41583</v>
      </c>
    </row>
    <row r="5158" spans="1:5" ht="14.25" hidden="1" customHeight="1">
      <c r="A5158" s="16">
        <v>13279836</v>
      </c>
      <c r="B5158" s="17" t="s">
        <v>464</v>
      </c>
      <c r="C5158" s="17" t="s">
        <v>465</v>
      </c>
      <c r="D5158" s="1" t="s">
        <v>7640</v>
      </c>
      <c r="E5158" s="35">
        <v>41583</v>
      </c>
    </row>
    <row r="5159" spans="1:5" ht="14.25" hidden="1" customHeight="1">
      <c r="A5159" s="16">
        <v>13338617</v>
      </c>
      <c r="B5159" s="17" t="s">
        <v>83</v>
      </c>
      <c r="C5159" s="17" t="s">
        <v>783</v>
      </c>
      <c r="D5159" s="1" t="s">
        <v>7640</v>
      </c>
      <c r="E5159" s="35">
        <v>41583</v>
      </c>
    </row>
    <row r="5160" spans="1:5" ht="14.25" hidden="1" customHeight="1">
      <c r="A5160" s="16">
        <v>14359977</v>
      </c>
      <c r="B5160" s="17" t="s">
        <v>335</v>
      </c>
      <c r="C5160" s="17" t="s">
        <v>2993</v>
      </c>
      <c r="D5160" s="1" t="s">
        <v>7640</v>
      </c>
      <c r="E5160" s="35">
        <v>41583</v>
      </c>
    </row>
    <row r="5161" spans="1:5" ht="14.25" hidden="1" customHeight="1">
      <c r="A5161" s="16">
        <v>14480336</v>
      </c>
      <c r="B5161" s="17" t="s">
        <v>308</v>
      </c>
      <c r="C5161" s="17" t="s">
        <v>309</v>
      </c>
      <c r="D5161" s="1" t="s">
        <v>7640</v>
      </c>
      <c r="E5161" s="35">
        <v>41583</v>
      </c>
    </row>
    <row r="5162" spans="1:5" ht="14.25" hidden="1" customHeight="1">
      <c r="A5162" s="16">
        <v>16314577</v>
      </c>
      <c r="B5162" s="17" t="s">
        <v>5846</v>
      </c>
      <c r="C5162" s="17" t="s">
        <v>378</v>
      </c>
      <c r="D5162" s="1" t="s">
        <v>7640</v>
      </c>
      <c r="E5162" s="35">
        <v>41583</v>
      </c>
    </row>
    <row r="5163" spans="1:5" ht="14.25" hidden="1" customHeight="1">
      <c r="A5163" s="16">
        <v>17040671</v>
      </c>
      <c r="B5163" s="17" t="s">
        <v>503</v>
      </c>
      <c r="C5163" s="17" t="s">
        <v>504</v>
      </c>
      <c r="D5163" s="1" t="s">
        <v>7640</v>
      </c>
      <c r="E5163" s="35">
        <v>41583</v>
      </c>
    </row>
    <row r="5164" spans="1:5" ht="14.25" hidden="1" customHeight="1">
      <c r="A5164" s="16">
        <v>17376929</v>
      </c>
      <c r="B5164" s="17" t="s">
        <v>342</v>
      </c>
      <c r="C5164" s="17" t="s">
        <v>2678</v>
      </c>
      <c r="D5164" s="1" t="s">
        <v>7640</v>
      </c>
      <c r="E5164" s="35">
        <v>41583</v>
      </c>
    </row>
    <row r="5165" spans="1:5" ht="14.25" hidden="1" customHeight="1">
      <c r="A5165" s="16">
        <v>17377946</v>
      </c>
      <c r="B5165" s="17" t="s">
        <v>277</v>
      </c>
      <c r="C5165" s="17" t="s">
        <v>278</v>
      </c>
      <c r="D5165" s="1" t="s">
        <v>7640</v>
      </c>
      <c r="E5165" s="35">
        <v>41583</v>
      </c>
    </row>
    <row r="5166" spans="1:5" ht="14.25" hidden="1" customHeight="1">
      <c r="A5166" s="16">
        <v>17379937</v>
      </c>
      <c r="B5166" s="17" t="s">
        <v>461</v>
      </c>
      <c r="C5166" s="17" t="s">
        <v>462</v>
      </c>
      <c r="D5166" s="1" t="s">
        <v>7640</v>
      </c>
      <c r="E5166" s="35">
        <v>41583</v>
      </c>
    </row>
    <row r="5167" spans="1:5" ht="14.25" hidden="1" customHeight="1">
      <c r="A5167" s="16">
        <v>17422012</v>
      </c>
      <c r="B5167" s="17" t="s">
        <v>327</v>
      </c>
      <c r="C5167" s="17" t="s">
        <v>331</v>
      </c>
      <c r="D5167" s="1" t="s">
        <v>7640</v>
      </c>
      <c r="E5167" s="35">
        <v>41583</v>
      </c>
    </row>
    <row r="5168" spans="1:5" ht="14.25" hidden="1" customHeight="1">
      <c r="A5168" s="16">
        <v>17458569</v>
      </c>
      <c r="B5168" s="17" t="s">
        <v>105</v>
      </c>
      <c r="C5168" s="17" t="s">
        <v>106</v>
      </c>
      <c r="D5168" s="1" t="s">
        <v>7640</v>
      </c>
      <c r="E5168" s="35">
        <v>41583</v>
      </c>
    </row>
    <row r="5169" spans="1:5" ht="14.25" hidden="1" customHeight="1">
      <c r="A5169" s="16">
        <v>17600492</v>
      </c>
      <c r="B5169" s="17" t="s">
        <v>207</v>
      </c>
      <c r="C5169" s="17" t="s">
        <v>209</v>
      </c>
      <c r="D5169" s="1" t="s">
        <v>7640</v>
      </c>
      <c r="E5169" s="35">
        <v>41583</v>
      </c>
    </row>
    <row r="5170" spans="1:5" ht="14.25" hidden="1" customHeight="1">
      <c r="A5170" s="16">
        <v>18299635</v>
      </c>
      <c r="B5170" s="17" t="s">
        <v>505</v>
      </c>
      <c r="C5170" s="17" t="s">
        <v>506</v>
      </c>
      <c r="D5170" s="1" t="s">
        <v>7640</v>
      </c>
      <c r="E5170" s="35">
        <v>41583</v>
      </c>
    </row>
    <row r="5171" spans="1:5" ht="14.25" hidden="1" customHeight="1">
      <c r="A5171" s="16">
        <v>20163207</v>
      </c>
      <c r="B5171" s="17" t="s">
        <v>174</v>
      </c>
      <c r="C5171" s="17" t="s">
        <v>175</v>
      </c>
      <c r="D5171" s="1" t="s">
        <v>7640</v>
      </c>
      <c r="E5171" s="35">
        <v>41583</v>
      </c>
    </row>
    <row r="5172" spans="1:5" ht="14.25" hidden="1" customHeight="1">
      <c r="A5172" s="16">
        <v>20178288</v>
      </c>
      <c r="B5172" s="17" t="s">
        <v>171</v>
      </c>
      <c r="C5172" s="17" t="s">
        <v>172</v>
      </c>
      <c r="D5172" s="1" t="s">
        <v>7640</v>
      </c>
      <c r="E5172" s="35">
        <v>41583</v>
      </c>
    </row>
    <row r="5173" spans="1:5" ht="14.25" hidden="1" customHeight="1">
      <c r="A5173" s="16">
        <v>22031835</v>
      </c>
      <c r="B5173" s="17" t="s">
        <v>273</v>
      </c>
      <c r="C5173" s="17" t="s">
        <v>5179</v>
      </c>
      <c r="D5173" s="1" t="s">
        <v>7640</v>
      </c>
      <c r="E5173" s="35">
        <v>41583</v>
      </c>
    </row>
    <row r="5174" spans="1:5" ht="14.25" hidden="1" customHeight="1">
      <c r="A5174" s="16">
        <v>26783776</v>
      </c>
      <c r="B5174" s="17" t="s">
        <v>144</v>
      </c>
      <c r="C5174" s="17" t="s">
        <v>106</v>
      </c>
      <c r="D5174" s="1" t="s">
        <v>7640</v>
      </c>
      <c r="E5174" s="35">
        <v>41583</v>
      </c>
    </row>
    <row r="5175" spans="1:5" ht="14.25" hidden="1" customHeight="1">
      <c r="A5175" s="16">
        <v>27960534</v>
      </c>
      <c r="B5175" s="17" t="s">
        <v>342</v>
      </c>
      <c r="C5175" s="17" t="s">
        <v>345</v>
      </c>
      <c r="D5175" s="1" t="s">
        <v>7640</v>
      </c>
      <c r="E5175" s="35">
        <v>41583</v>
      </c>
    </row>
    <row r="5176" spans="1:5" ht="14.25" hidden="1" customHeight="1">
      <c r="A5176" s="16">
        <v>29583058</v>
      </c>
      <c r="B5176" s="17" t="s">
        <v>146</v>
      </c>
      <c r="C5176" s="17" t="s">
        <v>153</v>
      </c>
      <c r="D5176" s="1" t="s">
        <v>7640</v>
      </c>
      <c r="E5176" s="35">
        <v>41583</v>
      </c>
    </row>
    <row r="5177" spans="1:5" ht="14.25" hidden="1" customHeight="1">
      <c r="A5177" s="16">
        <v>35518094</v>
      </c>
      <c r="B5177" s="17" t="s">
        <v>392</v>
      </c>
      <c r="C5177" s="17" t="s">
        <v>393</v>
      </c>
      <c r="D5177" s="1" t="s">
        <v>7640</v>
      </c>
      <c r="E5177" s="35">
        <v>41583</v>
      </c>
    </row>
    <row r="5178" spans="1:5" ht="14.25" hidden="1" customHeight="1">
      <c r="B5178" s="17" t="s">
        <v>1655</v>
      </c>
      <c r="C5178" s="17" t="s">
        <v>7639</v>
      </c>
      <c r="D5178" s="1" t="s">
        <v>7640</v>
      </c>
      <c r="E5178" s="35">
        <v>41583</v>
      </c>
    </row>
    <row r="5179" spans="1:5" ht="14.25" hidden="1" customHeight="1">
      <c r="B5179" s="17" t="s">
        <v>948</v>
      </c>
      <c r="C5179" s="17" t="s">
        <v>7641</v>
      </c>
      <c r="D5179" s="1" t="s">
        <v>7640</v>
      </c>
      <c r="E5179" s="35">
        <v>41583</v>
      </c>
    </row>
    <row r="5180" spans="1:5" ht="14.25" hidden="1" customHeight="1">
      <c r="B5180" s="17" t="s">
        <v>7643</v>
      </c>
      <c r="C5180" s="17" t="s">
        <v>7644</v>
      </c>
      <c r="D5180" s="1" t="s">
        <v>7640</v>
      </c>
      <c r="E5180" s="35">
        <v>41583</v>
      </c>
    </row>
    <row r="5181" spans="1:5" ht="14.25" hidden="1" customHeight="1">
      <c r="B5181" s="17" t="s">
        <v>846</v>
      </c>
      <c r="C5181" s="17" t="s">
        <v>7645</v>
      </c>
      <c r="D5181" s="1" t="s">
        <v>7640</v>
      </c>
      <c r="E5181" s="35">
        <v>41583</v>
      </c>
    </row>
    <row r="5182" spans="1:5" ht="14.25" hidden="1" customHeight="1">
      <c r="B5182" s="17" t="s">
        <v>174</v>
      </c>
      <c r="C5182" s="17" t="s">
        <v>7646</v>
      </c>
      <c r="D5182" s="1" t="s">
        <v>7640</v>
      </c>
      <c r="E5182" s="35">
        <v>41583</v>
      </c>
    </row>
    <row r="5183" spans="1:5" ht="14.25" hidden="1" customHeight="1">
      <c r="B5183" s="17" t="s">
        <v>7647</v>
      </c>
      <c r="C5183" s="17" t="s">
        <v>7648</v>
      </c>
      <c r="D5183" s="1" t="s">
        <v>7640</v>
      </c>
      <c r="E5183" s="35">
        <v>41583</v>
      </c>
    </row>
    <row r="5184" spans="1:5" ht="14.25" hidden="1" customHeight="1">
      <c r="B5184" s="17" t="s">
        <v>214</v>
      </c>
      <c r="C5184" s="17" t="s">
        <v>7649</v>
      </c>
      <c r="D5184" s="1" t="s">
        <v>7640</v>
      </c>
      <c r="E5184" s="35">
        <v>41583</v>
      </c>
    </row>
    <row r="5185" spans="1:5" ht="14.25" hidden="1" customHeight="1">
      <c r="B5185" s="17" t="s">
        <v>7650</v>
      </c>
      <c r="C5185" s="17" t="s">
        <v>6150</v>
      </c>
      <c r="D5185" s="1" t="s">
        <v>7640</v>
      </c>
      <c r="E5185" s="35">
        <v>41583</v>
      </c>
    </row>
    <row r="5186" spans="1:5" ht="14.25" hidden="1" customHeight="1">
      <c r="B5186" s="17" t="s">
        <v>7651</v>
      </c>
      <c r="C5186" s="17" t="s">
        <v>1146</v>
      </c>
      <c r="D5186" s="1" t="s">
        <v>7640</v>
      </c>
      <c r="E5186" s="35">
        <v>41583</v>
      </c>
    </row>
    <row r="5187" spans="1:5" ht="14.25" hidden="1" customHeight="1">
      <c r="B5187" s="17" t="s">
        <v>7652</v>
      </c>
      <c r="C5187" s="17" t="s">
        <v>7653</v>
      </c>
      <c r="D5187" s="1" t="s">
        <v>7640</v>
      </c>
      <c r="E5187" s="35">
        <v>41583</v>
      </c>
    </row>
    <row r="5188" spans="1:5" ht="14.25" hidden="1" customHeight="1">
      <c r="B5188" s="17" t="s">
        <v>7654</v>
      </c>
      <c r="C5188" s="17" t="s">
        <v>7655</v>
      </c>
      <c r="D5188" s="1" t="s">
        <v>7640</v>
      </c>
      <c r="E5188" s="35">
        <v>41583</v>
      </c>
    </row>
    <row r="5189" spans="1:5" ht="14.25" hidden="1" customHeight="1">
      <c r="B5189" s="17" t="s">
        <v>1603</v>
      </c>
      <c r="C5189" s="17" t="s">
        <v>351</v>
      </c>
      <c r="D5189" s="1" t="s">
        <v>7640</v>
      </c>
      <c r="E5189" s="35">
        <v>41583</v>
      </c>
    </row>
    <row r="5190" spans="1:5" ht="14.25" hidden="1" customHeight="1">
      <c r="B5190" s="17" t="s">
        <v>5281</v>
      </c>
      <c r="C5190" s="17" t="s">
        <v>5282</v>
      </c>
      <c r="D5190" s="1" t="s">
        <v>7640</v>
      </c>
      <c r="E5190" s="35">
        <v>41583</v>
      </c>
    </row>
    <row r="5191" spans="1:5" ht="14.25" hidden="1" customHeight="1">
      <c r="B5191" s="17" t="s">
        <v>499</v>
      </c>
      <c r="C5191" s="17" t="s">
        <v>500</v>
      </c>
      <c r="D5191" s="1" t="s">
        <v>7640</v>
      </c>
      <c r="E5191" s="35">
        <v>41583</v>
      </c>
    </row>
    <row r="5192" spans="1:5" ht="14.25" hidden="1" customHeight="1">
      <c r="A5192" s="16">
        <v>5951539</v>
      </c>
      <c r="B5192" s="17" t="s">
        <v>5834</v>
      </c>
      <c r="C5192" s="17" t="s">
        <v>5835</v>
      </c>
      <c r="D5192" s="5" t="s">
        <v>7658</v>
      </c>
      <c r="E5192" s="35">
        <v>41568</v>
      </c>
    </row>
    <row r="5193" spans="1:5" ht="14.25" hidden="1" customHeight="1">
      <c r="A5193" s="16">
        <v>12609337</v>
      </c>
      <c r="B5193" s="17" t="s">
        <v>3330</v>
      </c>
      <c r="C5193" s="17" t="s">
        <v>7659</v>
      </c>
      <c r="D5193" s="5" t="s">
        <v>7658</v>
      </c>
      <c r="E5193" s="35">
        <v>41568</v>
      </c>
    </row>
    <row r="5194" spans="1:5" ht="14.25" hidden="1" customHeight="1">
      <c r="A5194" s="16">
        <v>13066434</v>
      </c>
      <c r="B5194" s="17" t="s">
        <v>1565</v>
      </c>
      <c r="C5194" s="17" t="s">
        <v>758</v>
      </c>
      <c r="D5194" s="5" t="s">
        <v>7658</v>
      </c>
      <c r="E5194" s="35">
        <v>41568</v>
      </c>
    </row>
    <row r="5195" spans="1:5" ht="14.25" hidden="1" customHeight="1">
      <c r="A5195" s="16">
        <v>13278944</v>
      </c>
      <c r="B5195" s="17" t="s">
        <v>2243</v>
      </c>
      <c r="C5195" s="17" t="s">
        <v>2595</v>
      </c>
      <c r="D5195" s="5" t="s">
        <v>7658</v>
      </c>
      <c r="E5195" s="35">
        <v>41568</v>
      </c>
    </row>
    <row r="5196" spans="1:5" ht="14.25" hidden="1" customHeight="1">
      <c r="A5196" s="16">
        <v>13339696</v>
      </c>
      <c r="B5196" s="17" t="s">
        <v>541</v>
      </c>
      <c r="C5196" s="17" t="s">
        <v>732</v>
      </c>
      <c r="D5196" s="5" t="s">
        <v>7658</v>
      </c>
      <c r="E5196" s="35">
        <v>41568</v>
      </c>
    </row>
    <row r="5197" spans="1:5" ht="14.25" hidden="1" customHeight="1">
      <c r="A5197" s="16">
        <v>13378138</v>
      </c>
      <c r="B5197" s="25" t="s">
        <v>610</v>
      </c>
      <c r="C5197" s="25" t="s">
        <v>274</v>
      </c>
      <c r="D5197" s="5" t="s">
        <v>7658</v>
      </c>
      <c r="E5197" s="35">
        <v>41568</v>
      </c>
    </row>
    <row r="5198" spans="1:5" ht="14.25" hidden="1" customHeight="1">
      <c r="A5198" s="16">
        <v>13378152</v>
      </c>
      <c r="B5198" s="17" t="s">
        <v>610</v>
      </c>
      <c r="C5198" s="17" t="s">
        <v>612</v>
      </c>
      <c r="D5198" s="5" t="s">
        <v>7658</v>
      </c>
      <c r="E5198" s="35">
        <v>41568</v>
      </c>
    </row>
    <row r="5199" spans="1:5" ht="14.25" hidden="1" customHeight="1">
      <c r="A5199" s="16">
        <v>14073571</v>
      </c>
      <c r="B5199" s="17" t="s">
        <v>1190</v>
      </c>
      <c r="C5199" s="17" t="s">
        <v>922</v>
      </c>
      <c r="D5199" s="5" t="s">
        <v>7658</v>
      </c>
      <c r="E5199" s="35">
        <v>41568</v>
      </c>
    </row>
    <row r="5200" spans="1:5" ht="14.25" hidden="1" customHeight="1">
      <c r="A5200" s="16">
        <v>14660398</v>
      </c>
      <c r="B5200" s="17" t="s">
        <v>1823</v>
      </c>
      <c r="C5200" s="17" t="s">
        <v>7664</v>
      </c>
      <c r="D5200" s="5" t="s">
        <v>7658</v>
      </c>
      <c r="E5200" s="35">
        <v>41568</v>
      </c>
    </row>
    <row r="5201" spans="1:5" ht="14.25" hidden="1" customHeight="1">
      <c r="A5201" s="16">
        <v>14984007</v>
      </c>
      <c r="B5201" s="17" t="s">
        <v>3742</v>
      </c>
      <c r="C5201" s="17" t="s">
        <v>3743</v>
      </c>
      <c r="D5201" s="5" t="s">
        <v>7658</v>
      </c>
      <c r="E5201" s="35">
        <v>41568</v>
      </c>
    </row>
    <row r="5202" spans="1:5" ht="14.25" hidden="1" customHeight="1">
      <c r="A5202" s="16">
        <v>15628946</v>
      </c>
      <c r="B5202" s="17" t="s">
        <v>652</v>
      </c>
      <c r="C5202" s="17" t="s">
        <v>4308</v>
      </c>
      <c r="D5202" s="5" t="s">
        <v>7658</v>
      </c>
      <c r="E5202" s="35">
        <v>41568</v>
      </c>
    </row>
    <row r="5203" spans="1:5" ht="14.25" hidden="1" customHeight="1">
      <c r="A5203" s="16">
        <v>17269443</v>
      </c>
      <c r="B5203" s="17" t="s">
        <v>497</v>
      </c>
      <c r="C5203" s="17" t="s">
        <v>4439</v>
      </c>
      <c r="D5203" s="5" t="s">
        <v>7658</v>
      </c>
      <c r="E5203" s="35">
        <v>41568</v>
      </c>
    </row>
    <row r="5204" spans="1:5" ht="14.25" hidden="1" customHeight="1">
      <c r="A5204" s="16">
        <v>18463764</v>
      </c>
      <c r="B5204" s="17" t="s">
        <v>927</v>
      </c>
      <c r="C5204" s="17" t="s">
        <v>928</v>
      </c>
      <c r="D5204" s="5" t="s">
        <v>7658</v>
      </c>
      <c r="E5204" s="35">
        <v>41568</v>
      </c>
    </row>
    <row r="5205" spans="1:5" ht="14.25" hidden="1" customHeight="1">
      <c r="A5205" s="16">
        <v>18464655</v>
      </c>
      <c r="B5205" s="17" t="s">
        <v>247</v>
      </c>
      <c r="C5205" s="17" t="s">
        <v>248</v>
      </c>
      <c r="D5205" s="5" t="s">
        <v>7658</v>
      </c>
      <c r="E5205" s="35">
        <v>41568</v>
      </c>
    </row>
    <row r="5206" spans="1:5" ht="14.25" hidden="1" customHeight="1">
      <c r="A5206" s="16">
        <v>18505921</v>
      </c>
      <c r="B5206" s="17" t="s">
        <v>2422</v>
      </c>
      <c r="C5206" s="17" t="s">
        <v>2878</v>
      </c>
      <c r="D5206" s="5" t="s">
        <v>7658</v>
      </c>
      <c r="E5206" s="35">
        <v>41568</v>
      </c>
    </row>
    <row r="5207" spans="1:5" ht="14.25" hidden="1" customHeight="1">
      <c r="A5207" s="16">
        <v>18577667</v>
      </c>
      <c r="B5207" s="17" t="s">
        <v>5769</v>
      </c>
      <c r="C5207" s="17" t="s">
        <v>278</v>
      </c>
      <c r="D5207" s="5" t="s">
        <v>7658</v>
      </c>
      <c r="E5207" s="35">
        <v>41568</v>
      </c>
    </row>
    <row r="5208" spans="1:5" ht="14.25" hidden="1" customHeight="1">
      <c r="A5208" s="16">
        <v>20171342</v>
      </c>
      <c r="B5208" s="17" t="s">
        <v>394</v>
      </c>
      <c r="C5208" s="17" t="s">
        <v>2173</v>
      </c>
      <c r="D5208" s="5" t="s">
        <v>7658</v>
      </c>
      <c r="E5208" s="35">
        <v>41568</v>
      </c>
    </row>
    <row r="5209" spans="1:5" ht="14.25" hidden="1" customHeight="1">
      <c r="A5209" s="16">
        <v>20285526</v>
      </c>
      <c r="B5209" s="17" t="s">
        <v>2116</v>
      </c>
      <c r="C5209" s="17" t="s">
        <v>1068</v>
      </c>
      <c r="D5209" s="5" t="s">
        <v>7658</v>
      </c>
      <c r="E5209" s="35">
        <v>41568</v>
      </c>
    </row>
    <row r="5210" spans="1:5" ht="14.25" hidden="1" customHeight="1">
      <c r="A5210" s="16">
        <v>20580672</v>
      </c>
      <c r="B5210" s="17" t="s">
        <v>1793</v>
      </c>
      <c r="C5210" s="17" t="s">
        <v>363</v>
      </c>
      <c r="D5210" s="5" t="s">
        <v>7658</v>
      </c>
      <c r="E5210" s="35">
        <v>41568</v>
      </c>
    </row>
    <row r="5211" spans="1:5" ht="14.25" hidden="1" customHeight="1">
      <c r="A5211" s="16">
        <v>21329190</v>
      </c>
      <c r="B5211" s="17" t="s">
        <v>4301</v>
      </c>
      <c r="C5211" s="17" t="s">
        <v>4302</v>
      </c>
      <c r="D5211" s="5" t="s">
        <v>7658</v>
      </c>
      <c r="E5211" s="35">
        <v>41568</v>
      </c>
    </row>
    <row r="5212" spans="1:5" ht="14.25" hidden="1" customHeight="1">
      <c r="A5212" s="16">
        <v>21812664</v>
      </c>
      <c r="B5212" s="17" t="s">
        <v>4053</v>
      </c>
      <c r="C5212" s="17" t="s">
        <v>274</v>
      </c>
      <c r="D5212" s="5" t="s">
        <v>7658</v>
      </c>
      <c r="E5212" s="35">
        <v>41568</v>
      </c>
    </row>
    <row r="5213" spans="1:5" ht="14.25" hidden="1" customHeight="1">
      <c r="A5213" s="16">
        <v>23015469</v>
      </c>
      <c r="B5213" s="17" t="s">
        <v>714</v>
      </c>
      <c r="C5213" s="17" t="s">
        <v>7149</v>
      </c>
      <c r="D5213" s="5" t="s">
        <v>7658</v>
      </c>
      <c r="E5213" s="35">
        <v>41568</v>
      </c>
    </row>
    <row r="5214" spans="1:5" ht="14.25" hidden="1" customHeight="1">
      <c r="A5214" s="16">
        <v>23482168</v>
      </c>
      <c r="B5214" s="17" t="s">
        <v>3867</v>
      </c>
      <c r="C5214" s="17" t="s">
        <v>3868</v>
      </c>
      <c r="D5214" s="5" t="s">
        <v>7658</v>
      </c>
      <c r="E5214" s="35">
        <v>41568</v>
      </c>
    </row>
    <row r="5215" spans="1:5" ht="14.25" hidden="1" customHeight="1">
      <c r="A5215" s="16">
        <v>23518171</v>
      </c>
      <c r="B5215" s="17" t="s">
        <v>2228</v>
      </c>
      <c r="C5215" s="17" t="s">
        <v>1535</v>
      </c>
      <c r="D5215" s="5" t="s">
        <v>7658</v>
      </c>
      <c r="E5215" s="35">
        <v>41568</v>
      </c>
    </row>
    <row r="5216" spans="1:5" ht="14.25" hidden="1" customHeight="1">
      <c r="A5216" s="16">
        <v>24355141</v>
      </c>
      <c r="B5216" s="17" t="s">
        <v>7660</v>
      </c>
      <c r="C5216" s="17" t="s">
        <v>2880</v>
      </c>
      <c r="D5216" s="5" t="s">
        <v>7658</v>
      </c>
      <c r="E5216" s="35">
        <v>41568</v>
      </c>
    </row>
    <row r="5217" spans="1:5" ht="14.25" hidden="1" customHeight="1">
      <c r="A5217" s="16">
        <v>24553486</v>
      </c>
      <c r="B5217" s="17" t="s">
        <v>94</v>
      </c>
      <c r="C5217" s="17" t="s">
        <v>427</v>
      </c>
      <c r="D5217" s="5" t="s">
        <v>7658</v>
      </c>
      <c r="E5217" s="35">
        <v>41568</v>
      </c>
    </row>
    <row r="5218" spans="1:5" ht="14.25" hidden="1" customHeight="1">
      <c r="A5218" s="16">
        <v>25498126</v>
      </c>
      <c r="B5218" s="17" t="s">
        <v>7662</v>
      </c>
      <c r="C5218" s="17" t="s">
        <v>7663</v>
      </c>
      <c r="D5218" s="5" t="s">
        <v>7658</v>
      </c>
      <c r="E5218" s="35">
        <v>41568</v>
      </c>
    </row>
    <row r="5219" spans="1:5" ht="14.25" hidden="1" customHeight="1">
      <c r="A5219" s="16">
        <v>25843618</v>
      </c>
      <c r="B5219" s="17" t="s">
        <v>1823</v>
      </c>
      <c r="C5219" s="17" t="s">
        <v>7391</v>
      </c>
      <c r="D5219" s="5" t="s">
        <v>7658</v>
      </c>
      <c r="E5219" s="35">
        <v>41568</v>
      </c>
    </row>
    <row r="5220" spans="1:5" ht="14.25" hidden="1" customHeight="1">
      <c r="A5220" s="16">
        <v>27016351</v>
      </c>
      <c r="B5220" s="17" t="s">
        <v>2026</v>
      </c>
      <c r="C5220" s="17" t="s">
        <v>3662</v>
      </c>
      <c r="D5220" s="5" t="s">
        <v>7658</v>
      </c>
      <c r="E5220" s="35">
        <v>41568</v>
      </c>
    </row>
    <row r="5221" spans="1:5" ht="14.25" hidden="1" customHeight="1">
      <c r="A5221" s="16">
        <v>27751579</v>
      </c>
      <c r="B5221" s="17" t="s">
        <v>742</v>
      </c>
      <c r="C5221" s="17" t="s">
        <v>743</v>
      </c>
      <c r="D5221" s="5" t="s">
        <v>7658</v>
      </c>
      <c r="E5221" s="35">
        <v>41568</v>
      </c>
    </row>
    <row r="5222" spans="1:5" ht="14.25" hidden="1" customHeight="1">
      <c r="A5222" s="16">
        <v>27944383</v>
      </c>
      <c r="B5222" s="17" t="s">
        <v>863</v>
      </c>
      <c r="C5222" s="17" t="s">
        <v>3294</v>
      </c>
      <c r="D5222" s="5" t="s">
        <v>7658</v>
      </c>
      <c r="E5222" s="35">
        <v>41568</v>
      </c>
    </row>
    <row r="5223" spans="1:5" ht="14.25" hidden="1" customHeight="1">
      <c r="A5223" s="16">
        <v>28680114</v>
      </c>
      <c r="B5223" s="17" t="s">
        <v>853</v>
      </c>
      <c r="C5223" s="17" t="s">
        <v>854</v>
      </c>
      <c r="D5223" s="5" t="s">
        <v>7658</v>
      </c>
      <c r="E5223" s="35">
        <v>41568</v>
      </c>
    </row>
    <row r="5224" spans="1:5" ht="14.25" hidden="1" customHeight="1">
      <c r="A5224" s="16">
        <v>29242462</v>
      </c>
      <c r="B5224" s="17" t="s">
        <v>846</v>
      </c>
      <c r="C5224" s="17" t="s">
        <v>2712</v>
      </c>
      <c r="D5224" s="5" t="s">
        <v>7658</v>
      </c>
      <c r="E5224" s="35">
        <v>41568</v>
      </c>
    </row>
    <row r="5225" spans="1:5" ht="14.25" hidden="1" customHeight="1">
      <c r="A5225" s="16">
        <v>30357304</v>
      </c>
      <c r="B5225" s="17" t="s">
        <v>350</v>
      </c>
      <c r="C5225" s="17" t="s">
        <v>588</v>
      </c>
      <c r="D5225" s="5" t="s">
        <v>7658</v>
      </c>
      <c r="E5225" s="35">
        <v>41568</v>
      </c>
    </row>
    <row r="5226" spans="1:5" ht="14.25" hidden="1" customHeight="1">
      <c r="A5226" s="16">
        <v>31030930</v>
      </c>
      <c r="B5226" s="17" t="s">
        <v>5988</v>
      </c>
      <c r="C5226" s="17" t="s">
        <v>1208</v>
      </c>
      <c r="D5226" s="5" t="s">
        <v>7658</v>
      </c>
      <c r="E5226" s="35">
        <v>41568</v>
      </c>
    </row>
    <row r="5227" spans="1:5" ht="14.25" hidden="1" customHeight="1">
      <c r="A5227" s="16">
        <v>33697688</v>
      </c>
      <c r="B5227" s="17" t="s">
        <v>1823</v>
      </c>
      <c r="C5227" s="17" t="s">
        <v>2623</v>
      </c>
      <c r="D5227" s="5" t="s">
        <v>7658</v>
      </c>
      <c r="E5227" s="35">
        <v>41568</v>
      </c>
    </row>
    <row r="5228" spans="1:5" ht="14.25" hidden="1" customHeight="1">
      <c r="A5228" s="16">
        <v>34285035</v>
      </c>
      <c r="B5228" s="17" t="s">
        <v>7661</v>
      </c>
      <c r="C5228" s="17" t="s">
        <v>2593</v>
      </c>
      <c r="D5228" s="5" t="s">
        <v>7658</v>
      </c>
      <c r="E5228" s="35">
        <v>41568</v>
      </c>
    </row>
    <row r="5229" spans="1:5" ht="14.25" hidden="1" customHeight="1">
      <c r="A5229" s="16">
        <v>6352626</v>
      </c>
      <c r="B5229" s="17" t="s">
        <v>3603</v>
      </c>
      <c r="C5229" s="17" t="s">
        <v>3604</v>
      </c>
      <c r="D5229" s="5" t="s">
        <v>7468</v>
      </c>
      <c r="E5229" s="35">
        <v>41557</v>
      </c>
    </row>
    <row r="5230" spans="1:5" ht="14.25" hidden="1" customHeight="1">
      <c r="A5230" s="16">
        <v>14225922</v>
      </c>
      <c r="B5230" s="17" t="s">
        <v>207</v>
      </c>
      <c r="C5230" s="17" t="s">
        <v>27</v>
      </c>
      <c r="D5230" s="5" t="s">
        <v>7468</v>
      </c>
      <c r="E5230" s="35">
        <v>41557</v>
      </c>
    </row>
    <row r="5231" spans="1:5" ht="14.25" hidden="1" customHeight="1">
      <c r="A5231" s="16">
        <v>25734593</v>
      </c>
      <c r="B5231" s="17" t="s">
        <v>5433</v>
      </c>
      <c r="C5231" s="17" t="s">
        <v>7667</v>
      </c>
      <c r="D5231" s="5" t="s">
        <v>7468</v>
      </c>
      <c r="E5231" s="35">
        <v>41557</v>
      </c>
    </row>
    <row r="5232" spans="1:5" ht="14.25" hidden="1" customHeight="1">
      <c r="A5232" s="16">
        <v>25843239</v>
      </c>
      <c r="B5232" s="17" t="s">
        <v>7665</v>
      </c>
      <c r="C5232" s="17" t="s">
        <v>4875</v>
      </c>
      <c r="D5232" s="5" t="s">
        <v>7468</v>
      </c>
      <c r="E5232" s="35">
        <v>41557</v>
      </c>
    </row>
    <row r="5233" spans="1:5" ht="14.25" hidden="1" customHeight="1">
      <c r="A5233" s="16">
        <v>34133567</v>
      </c>
      <c r="B5233" s="17" t="s">
        <v>2564</v>
      </c>
      <c r="C5233" s="17" t="s">
        <v>2565</v>
      </c>
      <c r="D5233" s="5" t="s">
        <v>7468</v>
      </c>
      <c r="E5233" s="35">
        <v>41557</v>
      </c>
    </row>
    <row r="5234" spans="1:5" ht="14.25" hidden="1" customHeight="1">
      <c r="B5234" s="17" t="s">
        <v>7666</v>
      </c>
      <c r="C5234" s="17" t="s">
        <v>3492</v>
      </c>
      <c r="D5234" s="5" t="s">
        <v>7468</v>
      </c>
      <c r="E5234" s="35">
        <v>41557</v>
      </c>
    </row>
    <row r="5235" spans="1:5" ht="14.25" hidden="1" customHeight="1">
      <c r="A5235" s="16">
        <v>27210672</v>
      </c>
      <c r="B5235" s="17" t="s">
        <v>342</v>
      </c>
      <c r="C5235" s="17" t="s">
        <v>3299</v>
      </c>
      <c r="D5235" s="5" t="s">
        <v>7009</v>
      </c>
      <c r="E5235" s="35">
        <v>41557</v>
      </c>
    </row>
    <row r="5236" spans="1:5" ht="14.25" hidden="1" customHeight="1">
      <c r="A5236" s="16">
        <v>29430338</v>
      </c>
      <c r="B5236" s="17" t="s">
        <v>1097</v>
      </c>
      <c r="C5236" s="17" t="s">
        <v>1634</v>
      </c>
      <c r="D5236" s="5" t="s">
        <v>7009</v>
      </c>
      <c r="E5236" s="35">
        <v>41557</v>
      </c>
    </row>
    <row r="5237" spans="1:5" ht="14.25" hidden="1" customHeight="1">
      <c r="A5237" s="16">
        <v>29914125</v>
      </c>
      <c r="B5237" s="17" t="s">
        <v>3296</v>
      </c>
      <c r="C5237" s="17" t="s">
        <v>3297</v>
      </c>
      <c r="D5237" s="5" t="s">
        <v>7009</v>
      </c>
      <c r="E5237" s="35">
        <v>41557</v>
      </c>
    </row>
    <row r="5238" spans="1:5" ht="14.25" hidden="1" customHeight="1">
      <c r="A5238" s="16">
        <v>33697688</v>
      </c>
      <c r="B5238" s="17" t="s">
        <v>1823</v>
      </c>
      <c r="C5238" s="17" t="s">
        <v>2623</v>
      </c>
      <c r="D5238" s="5" t="s">
        <v>7009</v>
      </c>
      <c r="E5238" s="35">
        <v>41557</v>
      </c>
    </row>
    <row r="5239" spans="1:5" ht="14.25" hidden="1" customHeight="1">
      <c r="A5239" s="16">
        <v>13338170</v>
      </c>
      <c r="B5239" s="17" t="s">
        <v>218</v>
      </c>
      <c r="C5239" s="17" t="s">
        <v>1738</v>
      </c>
      <c r="D5239" s="5" t="s">
        <v>7309</v>
      </c>
      <c r="E5239" s="35">
        <v>41554</v>
      </c>
    </row>
    <row r="5240" spans="1:5" ht="14.25" hidden="1" customHeight="1">
      <c r="A5240" s="16">
        <v>13627248</v>
      </c>
      <c r="B5240" s="17" t="s">
        <v>47</v>
      </c>
      <c r="C5240" s="17" t="s">
        <v>917</v>
      </c>
      <c r="D5240" s="5" t="s">
        <v>7309</v>
      </c>
      <c r="E5240" s="35">
        <v>41554</v>
      </c>
    </row>
    <row r="5241" spans="1:5" ht="14.25" hidden="1" customHeight="1">
      <c r="A5241" s="16">
        <v>20222823</v>
      </c>
      <c r="B5241" s="17" t="s">
        <v>1571</v>
      </c>
      <c r="C5241" s="17" t="s">
        <v>5785</v>
      </c>
      <c r="D5241" s="5" t="s">
        <v>7309</v>
      </c>
      <c r="E5241" s="35">
        <v>41554</v>
      </c>
    </row>
    <row r="5242" spans="1:5" ht="14.25" hidden="1" customHeight="1">
      <c r="A5242" s="16">
        <v>20496904</v>
      </c>
      <c r="B5242" s="17" t="s">
        <v>164</v>
      </c>
      <c r="C5242" s="17" t="s">
        <v>165</v>
      </c>
      <c r="D5242" s="5" t="s">
        <v>7309</v>
      </c>
      <c r="E5242" s="35">
        <v>41554</v>
      </c>
    </row>
    <row r="5243" spans="1:5" ht="14.25" hidden="1" customHeight="1">
      <c r="A5243" s="16">
        <v>22336425</v>
      </c>
      <c r="B5243" s="17" t="s">
        <v>742</v>
      </c>
      <c r="C5243" s="17" t="s">
        <v>6348</v>
      </c>
      <c r="D5243" s="5" t="s">
        <v>7309</v>
      </c>
      <c r="E5243" s="35">
        <v>41554</v>
      </c>
    </row>
    <row r="5244" spans="1:5" ht="14.25" hidden="1" customHeight="1">
      <c r="A5244" s="16">
        <v>23239168</v>
      </c>
      <c r="B5244" s="17" t="s">
        <v>5795</v>
      </c>
      <c r="C5244" s="17" t="s">
        <v>5796</v>
      </c>
      <c r="D5244" s="5" t="s">
        <v>7309</v>
      </c>
      <c r="E5244" s="35">
        <v>41554</v>
      </c>
    </row>
    <row r="5245" spans="1:5" ht="14.25" hidden="1" customHeight="1">
      <c r="A5245" s="16">
        <v>25542289</v>
      </c>
      <c r="B5245" s="17" t="s">
        <v>1190</v>
      </c>
      <c r="C5245" s="17" t="s">
        <v>2330</v>
      </c>
      <c r="D5245" s="5" t="s">
        <v>7309</v>
      </c>
      <c r="E5245" s="35">
        <v>41554</v>
      </c>
    </row>
    <row r="5246" spans="1:5" ht="14.25" hidden="1" customHeight="1">
      <c r="A5246" s="16">
        <v>27751242</v>
      </c>
      <c r="B5246" s="17" t="s">
        <v>3182</v>
      </c>
      <c r="C5246" s="17" t="s">
        <v>4002</v>
      </c>
      <c r="D5246" s="5" t="s">
        <v>7309</v>
      </c>
      <c r="E5246" s="35">
        <v>41554</v>
      </c>
    </row>
    <row r="5247" spans="1:5" ht="14.25" hidden="1" customHeight="1">
      <c r="A5247" s="16">
        <v>33889499</v>
      </c>
      <c r="B5247" s="17" t="s">
        <v>734</v>
      </c>
      <c r="C5247" s="17" t="s">
        <v>7668</v>
      </c>
      <c r="D5247" s="5" t="s">
        <v>7309</v>
      </c>
      <c r="E5247" s="35">
        <v>41554</v>
      </c>
    </row>
    <row r="5248" spans="1:5" ht="14.25" hidden="1" customHeight="1">
      <c r="A5248" s="16">
        <v>36420306</v>
      </c>
      <c r="B5248" s="17" t="s">
        <v>5572</v>
      </c>
      <c r="C5248" s="17" t="s">
        <v>5573</v>
      </c>
      <c r="D5248" s="5" t="s">
        <v>7309</v>
      </c>
      <c r="E5248" s="35">
        <v>41554</v>
      </c>
    </row>
    <row r="5249" spans="1:5" ht="14.25" hidden="1" customHeight="1">
      <c r="A5249" s="16">
        <v>38488682</v>
      </c>
      <c r="B5249" s="17" t="s">
        <v>6410</v>
      </c>
      <c r="C5249" s="17" t="s">
        <v>5205</v>
      </c>
      <c r="D5249" s="5" t="s">
        <v>7309</v>
      </c>
      <c r="E5249" s="35">
        <v>41554</v>
      </c>
    </row>
    <row r="5250" spans="1:5" ht="14.25" hidden="1" customHeight="1">
      <c r="A5250" s="16">
        <v>16541466</v>
      </c>
      <c r="B5250" s="17" t="s">
        <v>3442</v>
      </c>
      <c r="C5250" s="17" t="s">
        <v>2102</v>
      </c>
      <c r="D5250" s="5" t="s">
        <v>7018</v>
      </c>
      <c r="E5250" s="35">
        <v>41554</v>
      </c>
    </row>
    <row r="5251" spans="1:5" ht="14.25" hidden="1" customHeight="1">
      <c r="A5251" s="16">
        <v>22451163</v>
      </c>
      <c r="B5251" s="17" t="s">
        <v>26</v>
      </c>
      <c r="C5251" s="17" t="s">
        <v>2102</v>
      </c>
      <c r="D5251" s="5" t="s">
        <v>7018</v>
      </c>
      <c r="E5251" s="35">
        <v>41554</v>
      </c>
    </row>
    <row r="5252" spans="1:5" ht="14.25" hidden="1" customHeight="1">
      <c r="A5252" s="16">
        <v>29175472</v>
      </c>
      <c r="B5252" s="17" t="s">
        <v>138</v>
      </c>
      <c r="C5252" s="17" t="s">
        <v>139</v>
      </c>
      <c r="D5252" s="5" t="s">
        <v>7018</v>
      </c>
      <c r="E5252" s="35">
        <v>41554</v>
      </c>
    </row>
    <row r="5253" spans="1:5" ht="14.25" hidden="1" customHeight="1">
      <c r="A5253" s="16">
        <v>30069864</v>
      </c>
      <c r="B5253" s="17" t="s">
        <v>26</v>
      </c>
      <c r="C5253" s="17" t="s">
        <v>2436</v>
      </c>
      <c r="D5253" s="5" t="s">
        <v>7018</v>
      </c>
      <c r="E5253" s="35">
        <v>41554</v>
      </c>
    </row>
    <row r="5254" spans="1:5" ht="14.25" hidden="1" customHeight="1">
      <c r="A5254" s="16">
        <v>33050647</v>
      </c>
      <c r="B5254" s="17" t="s">
        <v>2579</v>
      </c>
      <c r="C5254" s="17" t="s">
        <v>223</v>
      </c>
      <c r="D5254" s="5" t="s">
        <v>7018</v>
      </c>
      <c r="E5254" s="35">
        <v>41554</v>
      </c>
    </row>
    <row r="5255" spans="1:5" ht="14.25" hidden="1" customHeight="1">
      <c r="A5255" s="16">
        <v>8036660</v>
      </c>
      <c r="B5255" s="17" t="s">
        <v>1106</v>
      </c>
      <c r="C5255" s="17" t="s">
        <v>7674</v>
      </c>
      <c r="D5255" s="5" t="s">
        <v>7669</v>
      </c>
      <c r="E5255" s="35">
        <v>41515</v>
      </c>
    </row>
    <row r="5256" spans="1:5" ht="14.25" hidden="1" customHeight="1">
      <c r="A5256" s="16">
        <v>11463679</v>
      </c>
      <c r="B5256" s="17" t="s">
        <v>707</v>
      </c>
      <c r="C5256" s="17" t="s">
        <v>7676</v>
      </c>
      <c r="D5256" s="5" t="s">
        <v>7669</v>
      </c>
      <c r="E5256" s="35">
        <v>41515</v>
      </c>
    </row>
    <row r="5257" spans="1:5" ht="14.25" hidden="1" customHeight="1">
      <c r="A5257" s="16">
        <v>12607777</v>
      </c>
      <c r="B5257" s="17" t="s">
        <v>7675</v>
      </c>
      <c r="C5257" s="17" t="s">
        <v>2516</v>
      </c>
      <c r="D5257" s="5" t="s">
        <v>7669</v>
      </c>
      <c r="E5257" s="35">
        <v>41515</v>
      </c>
    </row>
    <row r="5258" spans="1:5" ht="14.25" hidden="1" customHeight="1">
      <c r="A5258" s="16">
        <v>12654235</v>
      </c>
      <c r="B5258" s="17" t="s">
        <v>863</v>
      </c>
      <c r="C5258" s="17" t="s">
        <v>4576</v>
      </c>
      <c r="D5258" s="5" t="s">
        <v>7669</v>
      </c>
      <c r="E5258" s="35">
        <v>41515</v>
      </c>
    </row>
    <row r="5259" spans="1:5" ht="14.25" hidden="1" customHeight="1">
      <c r="A5259" s="16">
        <v>13278971</v>
      </c>
      <c r="B5259" s="17" t="s">
        <v>1625</v>
      </c>
      <c r="C5259" s="17" t="s">
        <v>1626</v>
      </c>
      <c r="D5259" s="5" t="s">
        <v>7669</v>
      </c>
      <c r="E5259" s="35">
        <v>41515</v>
      </c>
    </row>
    <row r="5260" spans="1:5" ht="14.25" hidden="1" customHeight="1">
      <c r="A5260" s="16">
        <v>13279016</v>
      </c>
      <c r="B5260" s="17" t="s">
        <v>887</v>
      </c>
      <c r="C5260" s="17" t="s">
        <v>888</v>
      </c>
      <c r="D5260" s="5" t="s">
        <v>7669</v>
      </c>
      <c r="E5260" s="35">
        <v>41515</v>
      </c>
    </row>
    <row r="5261" spans="1:5" ht="14.25" hidden="1" customHeight="1">
      <c r="A5261" s="16">
        <v>14226455</v>
      </c>
      <c r="B5261" s="17" t="s">
        <v>6279</v>
      </c>
      <c r="C5261" s="17" t="s">
        <v>7110</v>
      </c>
      <c r="D5261" s="5" t="s">
        <v>7669</v>
      </c>
      <c r="E5261" s="35">
        <v>41515</v>
      </c>
    </row>
    <row r="5262" spans="1:5" ht="14.25" hidden="1" customHeight="1">
      <c r="A5262" s="16">
        <v>14660417</v>
      </c>
      <c r="B5262" s="17" t="s">
        <v>218</v>
      </c>
      <c r="C5262" s="17" t="s">
        <v>2268</v>
      </c>
      <c r="D5262" s="5" t="s">
        <v>7669</v>
      </c>
      <c r="E5262" s="35">
        <v>41515</v>
      </c>
    </row>
    <row r="5263" spans="1:5" ht="14.25" hidden="1" customHeight="1">
      <c r="A5263" s="16">
        <v>14660801</v>
      </c>
      <c r="B5263" s="17" t="s">
        <v>680</v>
      </c>
      <c r="C5263" s="17" t="s">
        <v>783</v>
      </c>
      <c r="D5263" s="5" t="s">
        <v>7669</v>
      </c>
      <c r="E5263" s="35">
        <v>41515</v>
      </c>
    </row>
    <row r="5264" spans="1:5" ht="14.25" hidden="1" customHeight="1">
      <c r="A5264" s="16">
        <v>14984966</v>
      </c>
      <c r="B5264" s="17" t="s">
        <v>1558</v>
      </c>
      <c r="C5264" s="17" t="s">
        <v>1061</v>
      </c>
      <c r="D5264" s="5" t="s">
        <v>7669</v>
      </c>
      <c r="E5264" s="35">
        <v>41515</v>
      </c>
    </row>
    <row r="5265" spans="1:5" ht="14.25" hidden="1" customHeight="1">
      <c r="A5265" s="16">
        <v>16883300</v>
      </c>
      <c r="B5265" s="17" t="s">
        <v>5729</v>
      </c>
      <c r="C5265" s="17" t="s">
        <v>1299</v>
      </c>
      <c r="D5265" s="5" t="s">
        <v>7669</v>
      </c>
      <c r="E5265" s="35">
        <v>41515</v>
      </c>
    </row>
    <row r="5266" spans="1:5" ht="14.25" hidden="1" customHeight="1">
      <c r="A5266" s="16">
        <v>17614936</v>
      </c>
      <c r="B5266" s="17" t="s">
        <v>5596</v>
      </c>
      <c r="C5266" s="17" t="s">
        <v>215</v>
      </c>
      <c r="D5266" s="5" t="s">
        <v>7669</v>
      </c>
      <c r="E5266" s="35">
        <v>41515</v>
      </c>
    </row>
    <row r="5267" spans="1:5" ht="14.25" hidden="1" customHeight="1">
      <c r="A5267" s="16">
        <v>18185663</v>
      </c>
      <c r="B5267" s="17" t="s">
        <v>26</v>
      </c>
      <c r="C5267" s="17" t="s">
        <v>5759</v>
      </c>
      <c r="D5267" s="5" t="s">
        <v>7669</v>
      </c>
      <c r="E5267" s="35">
        <v>41515</v>
      </c>
    </row>
    <row r="5268" spans="1:5" ht="14.25" hidden="1" customHeight="1">
      <c r="A5268" s="16">
        <v>18433635</v>
      </c>
      <c r="B5268" s="17" t="s">
        <v>7622</v>
      </c>
      <c r="C5268" s="17" t="s">
        <v>1850</v>
      </c>
      <c r="D5268" s="5" t="s">
        <v>7669</v>
      </c>
      <c r="E5268" s="35">
        <v>41515</v>
      </c>
    </row>
    <row r="5269" spans="1:5" ht="14.25" hidden="1" customHeight="1">
      <c r="A5269" s="16">
        <v>18566394</v>
      </c>
      <c r="B5269" s="17" t="s">
        <v>144</v>
      </c>
      <c r="C5269" s="17" t="s">
        <v>283</v>
      </c>
      <c r="D5269" s="5" t="s">
        <v>7669</v>
      </c>
      <c r="E5269" s="35">
        <v>41515</v>
      </c>
    </row>
    <row r="5270" spans="1:5" ht="14.25" hidden="1" customHeight="1">
      <c r="A5270" s="16">
        <v>20760236</v>
      </c>
      <c r="B5270" s="17" t="s">
        <v>144</v>
      </c>
      <c r="C5270" s="17" t="s">
        <v>7671</v>
      </c>
      <c r="D5270" s="5" t="s">
        <v>7669</v>
      </c>
      <c r="E5270" s="35">
        <v>41515</v>
      </c>
    </row>
    <row r="5271" spans="1:5" ht="14.25" hidden="1" customHeight="1">
      <c r="A5271" s="16">
        <v>21948337</v>
      </c>
      <c r="B5271" s="17" t="s">
        <v>685</v>
      </c>
      <c r="C5271" s="17" t="s">
        <v>2074</v>
      </c>
      <c r="D5271" s="5" t="s">
        <v>7669</v>
      </c>
      <c r="E5271" s="35">
        <v>41515</v>
      </c>
    </row>
    <row r="5272" spans="1:5" ht="14.25" hidden="1" customHeight="1">
      <c r="A5272" s="16">
        <v>22263816</v>
      </c>
      <c r="B5272" s="17" t="s">
        <v>1613</v>
      </c>
      <c r="C5272" s="17" t="s">
        <v>3852</v>
      </c>
      <c r="D5272" s="5" t="s">
        <v>7669</v>
      </c>
      <c r="E5272" s="35">
        <v>41515</v>
      </c>
    </row>
    <row r="5273" spans="1:5" ht="14.25" hidden="1" customHeight="1">
      <c r="A5273" s="16">
        <v>22664180</v>
      </c>
      <c r="B5273" s="17" t="s">
        <v>252</v>
      </c>
      <c r="C5273" s="17" t="s">
        <v>2979</v>
      </c>
      <c r="D5273" s="5" t="s">
        <v>7669</v>
      </c>
      <c r="E5273" s="35">
        <v>41515</v>
      </c>
    </row>
    <row r="5274" spans="1:5" ht="14.25" hidden="1" customHeight="1">
      <c r="A5274" s="16">
        <v>22877708</v>
      </c>
      <c r="B5274" s="17" t="s">
        <v>2709</v>
      </c>
      <c r="C5274" s="17" t="s">
        <v>2710</v>
      </c>
      <c r="D5274" s="5" t="s">
        <v>7669</v>
      </c>
      <c r="E5274" s="35">
        <v>41515</v>
      </c>
    </row>
    <row r="5275" spans="1:5" ht="14.25" hidden="1" customHeight="1">
      <c r="A5275" s="16">
        <v>23117847</v>
      </c>
      <c r="B5275" s="17" t="s">
        <v>226</v>
      </c>
      <c r="C5275" s="17" t="s">
        <v>895</v>
      </c>
      <c r="D5275" s="5" t="s">
        <v>7669</v>
      </c>
      <c r="E5275" s="35">
        <v>41515</v>
      </c>
    </row>
    <row r="5276" spans="1:5" ht="14.25" hidden="1" customHeight="1">
      <c r="A5276" s="16">
        <v>24338410</v>
      </c>
      <c r="B5276" s="17" t="s">
        <v>5849</v>
      </c>
      <c r="C5276" s="17" t="s">
        <v>455</v>
      </c>
      <c r="D5276" s="5" t="s">
        <v>7669</v>
      </c>
      <c r="E5276" s="35">
        <v>41515</v>
      </c>
    </row>
    <row r="5277" spans="1:5" ht="14.25" hidden="1" customHeight="1">
      <c r="A5277" s="16">
        <v>24803211</v>
      </c>
      <c r="B5277" s="17" t="s">
        <v>2579</v>
      </c>
      <c r="C5277" s="17" t="s">
        <v>2580</v>
      </c>
      <c r="D5277" s="5" t="s">
        <v>7669</v>
      </c>
      <c r="E5277" s="35">
        <v>41515</v>
      </c>
    </row>
    <row r="5278" spans="1:5" ht="14.25" hidden="1" customHeight="1">
      <c r="A5278" s="16">
        <v>25421645</v>
      </c>
      <c r="B5278" s="17" t="s">
        <v>7652</v>
      </c>
      <c r="C5278" s="17" t="s">
        <v>3943</v>
      </c>
      <c r="D5278" s="5" t="s">
        <v>7669</v>
      </c>
      <c r="E5278" s="35">
        <v>41515</v>
      </c>
    </row>
    <row r="5279" spans="1:5" ht="14.25" hidden="1" customHeight="1">
      <c r="A5279" s="16">
        <v>25734543</v>
      </c>
      <c r="B5279" s="17" t="s">
        <v>5420</v>
      </c>
      <c r="C5279" s="17" t="s">
        <v>7230</v>
      </c>
      <c r="D5279" s="5" t="s">
        <v>7669</v>
      </c>
      <c r="E5279" s="35">
        <v>41515</v>
      </c>
    </row>
    <row r="5280" spans="1:5" ht="14.25" hidden="1" customHeight="1">
      <c r="A5280" s="16">
        <v>26638536</v>
      </c>
      <c r="B5280" s="17" t="s">
        <v>901</v>
      </c>
      <c r="C5280" s="17" t="s">
        <v>902</v>
      </c>
      <c r="D5280" s="5" t="s">
        <v>7669</v>
      </c>
      <c r="E5280" s="35">
        <v>41515</v>
      </c>
    </row>
    <row r="5281" spans="1:5" ht="14.25" hidden="1" customHeight="1">
      <c r="A5281" s="16">
        <v>27364316</v>
      </c>
      <c r="B5281" s="17" t="s">
        <v>2170</v>
      </c>
      <c r="C5281" s="17" t="s">
        <v>2171</v>
      </c>
      <c r="D5281" s="5" t="s">
        <v>7669</v>
      </c>
      <c r="E5281" s="35">
        <v>41515</v>
      </c>
    </row>
    <row r="5282" spans="1:5" ht="14.25" hidden="1" customHeight="1">
      <c r="A5282" s="16">
        <v>27650750</v>
      </c>
      <c r="B5282" s="17" t="s">
        <v>723</v>
      </c>
      <c r="C5282" s="17" t="s">
        <v>898</v>
      </c>
      <c r="D5282" s="5" t="s">
        <v>7669</v>
      </c>
      <c r="E5282" s="35">
        <v>41515</v>
      </c>
    </row>
    <row r="5283" spans="1:5" ht="14.25" hidden="1" customHeight="1">
      <c r="A5283" s="16">
        <v>27961528</v>
      </c>
      <c r="B5283" s="17" t="s">
        <v>7672</v>
      </c>
      <c r="C5283" s="17" t="s">
        <v>527</v>
      </c>
      <c r="D5283" s="5" t="s">
        <v>7669</v>
      </c>
      <c r="E5283" s="35">
        <v>41515</v>
      </c>
    </row>
    <row r="5284" spans="1:5" ht="14.25" hidden="1" customHeight="1">
      <c r="A5284" s="16">
        <v>27975948</v>
      </c>
      <c r="B5284" s="17" t="s">
        <v>7369</v>
      </c>
      <c r="C5284" s="17" t="s">
        <v>3948</v>
      </c>
      <c r="D5284" s="5" t="s">
        <v>7669</v>
      </c>
      <c r="E5284" s="35">
        <v>41515</v>
      </c>
    </row>
    <row r="5285" spans="1:5" ht="14.25" hidden="1" customHeight="1">
      <c r="A5285" s="16">
        <v>30357522</v>
      </c>
      <c r="B5285" s="17" t="s">
        <v>1885</v>
      </c>
      <c r="C5285" s="17" t="s">
        <v>7670</v>
      </c>
      <c r="D5285" s="5" t="s">
        <v>7669</v>
      </c>
      <c r="E5285" s="35">
        <v>41515</v>
      </c>
    </row>
    <row r="5286" spans="1:5" ht="14.25" hidden="1" customHeight="1">
      <c r="A5286" s="16">
        <v>30760509</v>
      </c>
      <c r="B5286" s="17" t="s">
        <v>130</v>
      </c>
      <c r="C5286" s="17" t="s">
        <v>7121</v>
      </c>
      <c r="D5286" s="5" t="s">
        <v>7669</v>
      </c>
      <c r="E5286" s="35">
        <v>41515</v>
      </c>
    </row>
    <row r="5287" spans="1:5" ht="14.25" hidden="1" customHeight="1">
      <c r="A5287" s="16">
        <v>31842029</v>
      </c>
      <c r="B5287" s="17" t="s">
        <v>7118</v>
      </c>
      <c r="C5287" s="17" t="s">
        <v>7119</v>
      </c>
      <c r="D5287" s="5" t="s">
        <v>7669</v>
      </c>
      <c r="E5287" s="35">
        <v>41515</v>
      </c>
    </row>
    <row r="5288" spans="1:5" ht="14.25" hidden="1" customHeight="1">
      <c r="A5288" s="16">
        <v>32461088</v>
      </c>
      <c r="B5288" s="17" t="s">
        <v>7673</v>
      </c>
      <c r="C5288" s="17" t="s">
        <v>6507</v>
      </c>
      <c r="D5288" s="5" t="s">
        <v>7669</v>
      </c>
      <c r="E5288" s="35">
        <v>41515</v>
      </c>
    </row>
    <row r="5289" spans="1:5" ht="14.25" hidden="1" customHeight="1">
      <c r="A5289" s="16">
        <v>33399449</v>
      </c>
      <c r="B5289" s="17" t="s">
        <v>1823</v>
      </c>
      <c r="C5289" s="17" t="s">
        <v>7677</v>
      </c>
      <c r="D5289" s="5" t="s">
        <v>7669</v>
      </c>
      <c r="E5289" s="35">
        <v>41515</v>
      </c>
    </row>
    <row r="5290" spans="1:5" ht="14.25" hidden="1" customHeight="1">
      <c r="A5290" s="16">
        <v>5772320</v>
      </c>
      <c r="B5290" s="17" t="s">
        <v>240</v>
      </c>
      <c r="C5290" s="17" t="s">
        <v>241</v>
      </c>
      <c r="D5290" s="5" t="s">
        <v>7335</v>
      </c>
      <c r="E5290" s="35">
        <v>41514</v>
      </c>
    </row>
    <row r="5291" spans="1:5" ht="14.25" hidden="1" customHeight="1">
      <c r="A5291" s="16">
        <v>10910039</v>
      </c>
      <c r="B5291" s="17" t="s">
        <v>2460</v>
      </c>
      <c r="C5291" s="17" t="s">
        <v>4509</v>
      </c>
      <c r="D5291" s="5" t="s">
        <v>7335</v>
      </c>
      <c r="E5291" s="35">
        <v>41514</v>
      </c>
    </row>
    <row r="5292" spans="1:5" ht="14.25" hidden="1" customHeight="1">
      <c r="A5292" s="16">
        <v>11116572</v>
      </c>
      <c r="B5292" s="17" t="s">
        <v>2228</v>
      </c>
      <c r="C5292" s="17" t="s">
        <v>504</v>
      </c>
      <c r="D5292" s="5" t="s">
        <v>7335</v>
      </c>
      <c r="E5292" s="35">
        <v>41514</v>
      </c>
    </row>
    <row r="5293" spans="1:5" ht="14.25" hidden="1" customHeight="1">
      <c r="A5293" s="16">
        <v>11239246</v>
      </c>
      <c r="B5293" s="17" t="s">
        <v>4026</v>
      </c>
      <c r="C5293" s="17" t="s">
        <v>4027</v>
      </c>
      <c r="D5293" s="5" t="s">
        <v>7335</v>
      </c>
      <c r="E5293" s="35">
        <v>41514</v>
      </c>
    </row>
    <row r="5294" spans="1:5" ht="14.25" hidden="1" customHeight="1">
      <c r="A5294" s="16">
        <v>11708350</v>
      </c>
      <c r="B5294" s="17" t="s">
        <v>870</v>
      </c>
      <c r="C5294" s="17" t="s">
        <v>783</v>
      </c>
      <c r="D5294" s="5" t="s">
        <v>7335</v>
      </c>
      <c r="E5294" s="35">
        <v>41514</v>
      </c>
    </row>
    <row r="5295" spans="1:5" ht="14.25" hidden="1" customHeight="1">
      <c r="A5295" s="16">
        <v>12414462</v>
      </c>
      <c r="B5295" s="17" t="s">
        <v>1973</v>
      </c>
      <c r="C5295" s="17" t="s">
        <v>4292</v>
      </c>
      <c r="D5295" s="5" t="s">
        <v>7335</v>
      </c>
      <c r="E5295" s="35">
        <v>41514</v>
      </c>
    </row>
    <row r="5296" spans="1:5" ht="14.25" hidden="1" customHeight="1">
      <c r="A5296" s="16">
        <v>14073492</v>
      </c>
      <c r="B5296" s="17" t="s">
        <v>7280</v>
      </c>
      <c r="C5296" s="17" t="s">
        <v>2184</v>
      </c>
      <c r="D5296" s="5" t="s">
        <v>7335</v>
      </c>
      <c r="E5296" s="35">
        <v>41514</v>
      </c>
    </row>
    <row r="5297" spans="1:5" ht="14.25" hidden="1" customHeight="1">
      <c r="A5297" s="16">
        <v>14083292</v>
      </c>
      <c r="B5297" s="17" t="s">
        <v>476</v>
      </c>
      <c r="C5297" s="17" t="s">
        <v>2043</v>
      </c>
      <c r="D5297" s="5" t="s">
        <v>7335</v>
      </c>
      <c r="E5297" s="35">
        <v>41514</v>
      </c>
    </row>
    <row r="5298" spans="1:5" ht="14.25" hidden="1" customHeight="1">
      <c r="A5298" s="16">
        <v>14225547</v>
      </c>
      <c r="B5298" s="17" t="s">
        <v>857</v>
      </c>
      <c r="C5298" s="17" t="s">
        <v>858</v>
      </c>
      <c r="D5298" s="5" t="s">
        <v>7335</v>
      </c>
      <c r="E5298" s="35">
        <v>41514</v>
      </c>
    </row>
    <row r="5299" spans="1:5" ht="14.25" hidden="1" customHeight="1">
      <c r="A5299" s="16">
        <v>14352896</v>
      </c>
      <c r="B5299" s="17" t="s">
        <v>3428</v>
      </c>
      <c r="C5299" s="17" t="s">
        <v>7678</v>
      </c>
      <c r="D5299" s="5" t="s">
        <v>7335</v>
      </c>
      <c r="E5299" s="35">
        <v>41514</v>
      </c>
    </row>
    <row r="5300" spans="1:5" ht="14.25" hidden="1" customHeight="1">
      <c r="A5300" s="16">
        <v>14358274</v>
      </c>
      <c r="B5300" s="17" t="s">
        <v>335</v>
      </c>
      <c r="C5300" s="17" t="s">
        <v>3472</v>
      </c>
      <c r="D5300" s="5" t="s">
        <v>7335</v>
      </c>
      <c r="E5300" s="35">
        <v>41514</v>
      </c>
    </row>
    <row r="5301" spans="1:5" ht="14.25" hidden="1" customHeight="1">
      <c r="A5301" s="16">
        <v>17615047</v>
      </c>
      <c r="B5301" s="17" t="s">
        <v>2966</v>
      </c>
      <c r="C5301" s="17" t="s">
        <v>6143</v>
      </c>
      <c r="D5301" s="5" t="s">
        <v>7335</v>
      </c>
      <c r="E5301" s="35">
        <v>41514</v>
      </c>
    </row>
    <row r="5302" spans="1:5" ht="14.25" hidden="1" customHeight="1">
      <c r="A5302" s="16">
        <v>17866176</v>
      </c>
      <c r="B5302" s="17" t="s">
        <v>883</v>
      </c>
      <c r="C5302" s="17" t="s">
        <v>884</v>
      </c>
      <c r="D5302" s="5" t="s">
        <v>7335</v>
      </c>
      <c r="E5302" s="35">
        <v>41514</v>
      </c>
    </row>
    <row r="5303" spans="1:5" ht="14.25" hidden="1" customHeight="1">
      <c r="A5303" s="16">
        <v>17947952</v>
      </c>
      <c r="B5303" s="17" t="s">
        <v>115</v>
      </c>
      <c r="C5303" s="17" t="s">
        <v>1931</v>
      </c>
      <c r="D5303" s="5" t="s">
        <v>7335</v>
      </c>
      <c r="E5303" s="35">
        <v>41514</v>
      </c>
    </row>
    <row r="5304" spans="1:5" ht="14.25" hidden="1" customHeight="1">
      <c r="A5304" s="16">
        <v>18464031</v>
      </c>
      <c r="B5304" s="17" t="s">
        <v>879</v>
      </c>
      <c r="C5304" s="17" t="s">
        <v>880</v>
      </c>
      <c r="D5304" s="5" t="s">
        <v>7335</v>
      </c>
      <c r="E5304" s="35">
        <v>41514</v>
      </c>
    </row>
    <row r="5305" spans="1:5" ht="14.25" hidden="1" customHeight="1">
      <c r="A5305" s="16">
        <v>18465826</v>
      </c>
      <c r="B5305" s="17" t="s">
        <v>1482</v>
      </c>
      <c r="C5305" s="17" t="s">
        <v>876</v>
      </c>
      <c r="D5305" s="5" t="s">
        <v>7335</v>
      </c>
      <c r="E5305" s="35">
        <v>41514</v>
      </c>
    </row>
    <row r="5306" spans="1:5" ht="14.25" hidden="1" customHeight="1">
      <c r="A5306" s="16">
        <v>20219222</v>
      </c>
      <c r="B5306" s="17" t="s">
        <v>214</v>
      </c>
      <c r="C5306" s="17" t="s">
        <v>215</v>
      </c>
      <c r="D5306" s="5" t="s">
        <v>7335</v>
      </c>
      <c r="E5306" s="35">
        <v>41514</v>
      </c>
    </row>
    <row r="5307" spans="1:5" ht="14.25" hidden="1" customHeight="1">
      <c r="A5307" s="16">
        <v>20219234</v>
      </c>
      <c r="B5307" s="17" t="s">
        <v>846</v>
      </c>
      <c r="C5307" s="17" t="s">
        <v>847</v>
      </c>
      <c r="D5307" s="5" t="s">
        <v>7335</v>
      </c>
      <c r="E5307" s="35">
        <v>41514</v>
      </c>
    </row>
    <row r="5308" spans="1:5" ht="14.25" hidden="1" customHeight="1">
      <c r="A5308" s="16">
        <v>20759580</v>
      </c>
      <c r="B5308" s="17" t="s">
        <v>118</v>
      </c>
      <c r="C5308" s="17" t="s">
        <v>119</v>
      </c>
      <c r="D5308" s="5" t="s">
        <v>7335</v>
      </c>
      <c r="E5308" s="35">
        <v>41514</v>
      </c>
    </row>
    <row r="5309" spans="1:5" ht="14.25" hidden="1" customHeight="1">
      <c r="A5309" s="16">
        <v>20857513</v>
      </c>
      <c r="B5309" s="17" t="s">
        <v>7680</v>
      </c>
      <c r="C5309" s="17" t="s">
        <v>7089</v>
      </c>
      <c r="D5309" s="5" t="s">
        <v>7335</v>
      </c>
      <c r="E5309" s="35">
        <v>41514</v>
      </c>
    </row>
    <row r="5310" spans="1:5" ht="14.25" hidden="1" customHeight="1">
      <c r="A5310" s="16">
        <v>21327352</v>
      </c>
      <c r="B5310" s="17" t="s">
        <v>4664</v>
      </c>
      <c r="C5310" s="17" t="s">
        <v>3466</v>
      </c>
      <c r="D5310" s="5" t="s">
        <v>7335</v>
      </c>
      <c r="E5310" s="35">
        <v>41514</v>
      </c>
    </row>
    <row r="5311" spans="1:5" ht="14.25" hidden="1" customHeight="1">
      <c r="A5311" s="16">
        <v>21327490</v>
      </c>
      <c r="B5311" s="17" t="s">
        <v>374</v>
      </c>
      <c r="C5311" s="17" t="s">
        <v>375</v>
      </c>
      <c r="D5311" s="5" t="s">
        <v>7335</v>
      </c>
      <c r="E5311" s="35">
        <v>41514</v>
      </c>
    </row>
    <row r="5312" spans="1:5" ht="14.25" hidden="1" customHeight="1">
      <c r="A5312" s="16">
        <v>22263820</v>
      </c>
      <c r="B5312" s="17" t="s">
        <v>4743</v>
      </c>
      <c r="C5312" s="17" t="s">
        <v>6144</v>
      </c>
      <c r="D5312" s="5" t="s">
        <v>7335</v>
      </c>
      <c r="E5312" s="35">
        <v>41514</v>
      </c>
    </row>
    <row r="5313" spans="1:5" ht="14.25" hidden="1" customHeight="1">
      <c r="A5313" s="16">
        <v>22429208</v>
      </c>
      <c r="B5313" s="17" t="s">
        <v>5245</v>
      </c>
      <c r="C5313" s="17" t="s">
        <v>5246</v>
      </c>
      <c r="D5313" s="5" t="s">
        <v>7335</v>
      </c>
      <c r="E5313" s="35">
        <v>41514</v>
      </c>
    </row>
    <row r="5314" spans="1:5" ht="14.25" hidden="1" customHeight="1">
      <c r="A5314" s="16">
        <v>22429910</v>
      </c>
      <c r="B5314" s="17" t="s">
        <v>875</v>
      </c>
      <c r="C5314" s="17" t="s">
        <v>876</v>
      </c>
      <c r="D5314" s="5" t="s">
        <v>7335</v>
      </c>
      <c r="E5314" s="35">
        <v>41514</v>
      </c>
    </row>
    <row r="5315" spans="1:5" ht="14.25" hidden="1" customHeight="1">
      <c r="A5315" s="16">
        <v>23460316</v>
      </c>
      <c r="B5315" s="25" t="s">
        <v>236</v>
      </c>
      <c r="C5315" s="25" t="s">
        <v>7679</v>
      </c>
      <c r="D5315" s="5" t="s">
        <v>7335</v>
      </c>
      <c r="E5315" s="35">
        <v>41514</v>
      </c>
    </row>
    <row r="5316" spans="1:5" ht="14.25" hidden="1" customHeight="1">
      <c r="A5316" s="16">
        <v>24338410</v>
      </c>
      <c r="B5316" s="17" t="s">
        <v>7681</v>
      </c>
      <c r="C5316" s="17" t="s">
        <v>455</v>
      </c>
      <c r="D5316" s="5" t="s">
        <v>7335</v>
      </c>
      <c r="E5316" s="35">
        <v>41514</v>
      </c>
    </row>
    <row r="5317" spans="1:5" ht="14.25" hidden="1" customHeight="1">
      <c r="A5317" s="16">
        <v>24553770</v>
      </c>
      <c r="B5317" s="17" t="s">
        <v>2923</v>
      </c>
      <c r="C5317" s="17" t="s">
        <v>2924</v>
      </c>
      <c r="D5317" s="5" t="s">
        <v>7335</v>
      </c>
      <c r="E5317" s="35">
        <v>41514</v>
      </c>
    </row>
    <row r="5318" spans="1:5" ht="14.25" hidden="1" customHeight="1">
      <c r="A5318" s="16">
        <v>24621078</v>
      </c>
      <c r="B5318" s="17" t="s">
        <v>850</v>
      </c>
      <c r="C5318" s="17" t="s">
        <v>851</v>
      </c>
      <c r="D5318" s="5" t="s">
        <v>7335</v>
      </c>
      <c r="E5318" s="35">
        <v>41514</v>
      </c>
    </row>
    <row r="5319" spans="1:5" ht="14.25" hidden="1" customHeight="1">
      <c r="A5319" s="16">
        <v>25213575</v>
      </c>
      <c r="B5319" s="17" t="s">
        <v>64</v>
      </c>
      <c r="C5319" s="17" t="s">
        <v>1103</v>
      </c>
      <c r="D5319" s="5" t="s">
        <v>7335</v>
      </c>
      <c r="E5319" s="35">
        <v>41514</v>
      </c>
    </row>
    <row r="5320" spans="1:5" ht="14.25" hidden="1" customHeight="1">
      <c r="A5320" s="16">
        <v>25498735</v>
      </c>
      <c r="B5320" s="17" t="s">
        <v>4067</v>
      </c>
      <c r="C5320" s="17" t="s">
        <v>6493</v>
      </c>
      <c r="D5320" s="5" t="s">
        <v>7335</v>
      </c>
      <c r="E5320" s="35">
        <v>41514</v>
      </c>
    </row>
    <row r="5321" spans="1:5" ht="14.25" hidden="1" customHeight="1">
      <c r="A5321" s="16">
        <v>25542289</v>
      </c>
      <c r="B5321" s="17" t="s">
        <v>1190</v>
      </c>
      <c r="C5321" s="17" t="s">
        <v>2209</v>
      </c>
      <c r="D5321" s="5" t="s">
        <v>7335</v>
      </c>
      <c r="E5321" s="35">
        <v>41514</v>
      </c>
    </row>
    <row r="5322" spans="1:5" ht="14.25" hidden="1" customHeight="1">
      <c r="A5322" s="16">
        <v>25542406</v>
      </c>
      <c r="B5322" s="17" t="s">
        <v>184</v>
      </c>
      <c r="C5322" s="17" t="s">
        <v>7138</v>
      </c>
      <c r="D5322" s="5" t="s">
        <v>7335</v>
      </c>
      <c r="E5322" s="35">
        <v>41514</v>
      </c>
    </row>
    <row r="5323" spans="1:5" ht="14.25" hidden="1" customHeight="1">
      <c r="A5323" s="16">
        <v>27751242</v>
      </c>
      <c r="B5323" s="17" t="s">
        <v>3182</v>
      </c>
      <c r="C5323" s="17" t="s">
        <v>4002</v>
      </c>
      <c r="D5323" s="5" t="s">
        <v>7335</v>
      </c>
      <c r="E5323" s="35">
        <v>41514</v>
      </c>
    </row>
    <row r="5324" spans="1:5" ht="14.25" hidden="1" customHeight="1">
      <c r="A5324" s="16">
        <v>28222134</v>
      </c>
      <c r="B5324" s="17" t="s">
        <v>863</v>
      </c>
      <c r="C5324" s="17" t="s">
        <v>864</v>
      </c>
      <c r="D5324" s="5" t="s">
        <v>7335</v>
      </c>
      <c r="E5324" s="35">
        <v>41514</v>
      </c>
    </row>
    <row r="5325" spans="1:5" ht="14.25" hidden="1" customHeight="1">
      <c r="A5325" s="16">
        <v>29451043</v>
      </c>
      <c r="B5325" s="17" t="s">
        <v>863</v>
      </c>
      <c r="C5325" s="17" t="s">
        <v>165</v>
      </c>
      <c r="D5325" s="5" t="s">
        <v>7335</v>
      </c>
      <c r="E5325" s="35">
        <v>41514</v>
      </c>
    </row>
    <row r="5326" spans="1:5" ht="14.25" hidden="1" customHeight="1">
      <c r="A5326" s="16">
        <v>29666713</v>
      </c>
      <c r="B5326" s="17" t="s">
        <v>3487</v>
      </c>
      <c r="C5326" s="17" t="s">
        <v>27</v>
      </c>
      <c r="D5326" s="5" t="s">
        <v>7335</v>
      </c>
      <c r="E5326" s="35">
        <v>41514</v>
      </c>
    </row>
    <row r="5327" spans="1:5" ht="14.25" hidden="1" customHeight="1">
      <c r="A5327" s="16">
        <v>31025533</v>
      </c>
      <c r="B5327" s="17" t="s">
        <v>218</v>
      </c>
      <c r="C5327" s="17" t="s">
        <v>1087</v>
      </c>
      <c r="D5327" s="5" t="s">
        <v>7335</v>
      </c>
      <c r="E5327" s="35">
        <v>41514</v>
      </c>
    </row>
    <row r="5328" spans="1:5" ht="14.25" hidden="1" customHeight="1">
      <c r="A5328" s="16">
        <v>31842029</v>
      </c>
      <c r="B5328" s="17" t="s">
        <v>7118</v>
      </c>
      <c r="C5328" s="17" t="s">
        <v>7119</v>
      </c>
      <c r="D5328" s="5" t="s">
        <v>7335</v>
      </c>
      <c r="E5328" s="35">
        <v>41514</v>
      </c>
    </row>
    <row r="5329" spans="1:5" ht="14.25" hidden="1" customHeight="1">
      <c r="A5329" s="16">
        <v>31842821</v>
      </c>
      <c r="B5329" s="17" t="s">
        <v>7136</v>
      </c>
      <c r="C5329" s="17" t="s">
        <v>7137</v>
      </c>
      <c r="D5329" s="5" t="s">
        <v>7335</v>
      </c>
      <c r="E5329" s="35">
        <v>41514</v>
      </c>
    </row>
    <row r="5330" spans="1:5" ht="14.25" hidden="1" customHeight="1">
      <c r="A5330" s="16">
        <v>32077522</v>
      </c>
      <c r="B5330" s="17" t="s">
        <v>3749</v>
      </c>
      <c r="C5330" s="17" t="s">
        <v>3457</v>
      </c>
      <c r="D5330" s="5" t="s">
        <v>7335</v>
      </c>
      <c r="E5330" s="35">
        <v>41514</v>
      </c>
    </row>
    <row r="5331" spans="1:5" ht="14.25" hidden="1" customHeight="1">
      <c r="A5331" s="16">
        <v>32927760</v>
      </c>
      <c r="B5331" s="17" t="s">
        <v>1913</v>
      </c>
      <c r="C5331" s="17" t="s">
        <v>1914</v>
      </c>
      <c r="D5331" s="5" t="s">
        <v>7335</v>
      </c>
      <c r="E5331" s="35">
        <v>41514</v>
      </c>
    </row>
    <row r="5332" spans="1:5" ht="14.25" hidden="1" customHeight="1">
      <c r="A5332" s="16">
        <v>32927909</v>
      </c>
      <c r="B5332" s="17" t="s">
        <v>4400</v>
      </c>
      <c r="C5332" s="17" t="s">
        <v>1871</v>
      </c>
      <c r="D5332" s="5" t="s">
        <v>7335</v>
      </c>
      <c r="E5332" s="35">
        <v>41514</v>
      </c>
    </row>
    <row r="5333" spans="1:5" ht="14.25" hidden="1" customHeight="1">
      <c r="A5333" s="16">
        <v>33697788</v>
      </c>
      <c r="B5333" s="17" t="s">
        <v>6304</v>
      </c>
      <c r="C5333" s="17" t="s">
        <v>873</v>
      </c>
      <c r="D5333" s="5" t="s">
        <v>7335</v>
      </c>
      <c r="E5333" s="35">
        <v>41514</v>
      </c>
    </row>
    <row r="5334" spans="1:5" ht="14.25" hidden="1" customHeight="1">
      <c r="A5334" s="16">
        <v>34287762</v>
      </c>
      <c r="B5334" s="17" t="s">
        <v>1879</v>
      </c>
      <c r="C5334" s="17" t="s">
        <v>1880</v>
      </c>
      <c r="D5334" s="5" t="s">
        <v>7335</v>
      </c>
      <c r="E5334" s="35">
        <v>41514</v>
      </c>
    </row>
    <row r="5335" spans="1:5" ht="14.25" hidden="1" customHeight="1">
      <c r="A5335" s="16">
        <v>17779601</v>
      </c>
      <c r="B5335" s="17" t="s">
        <v>7682</v>
      </c>
      <c r="C5335" s="17" t="s">
        <v>2161</v>
      </c>
      <c r="D5335" s="5" t="s">
        <v>7309</v>
      </c>
      <c r="E5335" s="35">
        <v>41507</v>
      </c>
    </row>
    <row r="5336" spans="1:5" ht="14.25" hidden="1" customHeight="1">
      <c r="A5336" s="16">
        <v>20285526</v>
      </c>
      <c r="B5336" s="17" t="s">
        <v>2116</v>
      </c>
      <c r="C5336" s="17" t="s">
        <v>1068</v>
      </c>
      <c r="D5336" s="5" t="s">
        <v>7309</v>
      </c>
      <c r="E5336" s="35">
        <v>41507</v>
      </c>
    </row>
    <row r="5337" spans="1:5" ht="14.25" hidden="1" customHeight="1">
      <c r="A5337" s="16">
        <v>22451163</v>
      </c>
      <c r="B5337" s="17" t="s">
        <v>26</v>
      </c>
      <c r="C5337" s="17" t="s">
        <v>2102</v>
      </c>
      <c r="D5337" s="5" t="s">
        <v>7309</v>
      </c>
      <c r="E5337" s="35">
        <v>41507</v>
      </c>
    </row>
    <row r="5338" spans="1:5" ht="14.25" hidden="1" customHeight="1">
      <c r="A5338" s="16">
        <v>23930823</v>
      </c>
      <c r="B5338" s="17" t="s">
        <v>2555</v>
      </c>
      <c r="C5338" s="17" t="s">
        <v>1094</v>
      </c>
      <c r="D5338" s="5" t="s">
        <v>7309</v>
      </c>
      <c r="E5338" s="35">
        <v>41507</v>
      </c>
    </row>
    <row r="5339" spans="1:5" ht="14.25" hidden="1" customHeight="1">
      <c r="A5339" s="16">
        <v>27751242</v>
      </c>
      <c r="B5339" s="17" t="s">
        <v>3182</v>
      </c>
      <c r="C5339" s="17" t="s">
        <v>4002</v>
      </c>
      <c r="D5339" s="5" t="s">
        <v>7309</v>
      </c>
      <c r="E5339" s="35">
        <v>41507</v>
      </c>
    </row>
    <row r="5340" spans="1:5" ht="14.25" hidden="1" customHeight="1">
      <c r="A5340" s="16">
        <v>34133567</v>
      </c>
      <c r="B5340" s="17" t="s">
        <v>2564</v>
      </c>
      <c r="C5340" s="17" t="s">
        <v>7683</v>
      </c>
      <c r="D5340" s="5" t="s">
        <v>7309</v>
      </c>
      <c r="E5340" s="35">
        <v>41507</v>
      </c>
    </row>
    <row r="5341" spans="1:5" ht="14.25" hidden="1" customHeight="1">
      <c r="B5341" s="17" t="s">
        <v>4991</v>
      </c>
      <c r="C5341" s="17" t="s">
        <v>5546</v>
      </c>
      <c r="D5341" s="5" t="s">
        <v>7309</v>
      </c>
      <c r="E5341" s="35">
        <v>41507</v>
      </c>
    </row>
    <row r="5342" spans="1:5" ht="14.25" hidden="1" customHeight="1">
      <c r="B5342" s="17" t="s">
        <v>1793</v>
      </c>
      <c r="C5342" s="17" t="s">
        <v>3592</v>
      </c>
      <c r="D5342" s="5" t="s">
        <v>7309</v>
      </c>
      <c r="E5342" s="35">
        <v>41507</v>
      </c>
    </row>
    <row r="5343" spans="1:5" ht="14.25" hidden="1" customHeight="1">
      <c r="B5343" s="17" t="s">
        <v>1216</v>
      </c>
      <c r="C5343" s="17" t="s">
        <v>7684</v>
      </c>
      <c r="D5343" s="5" t="s">
        <v>7309</v>
      </c>
      <c r="E5343" s="35">
        <v>41507</v>
      </c>
    </row>
    <row r="5344" spans="1:5" ht="14.25" hidden="1" customHeight="1">
      <c r="A5344" s="16">
        <v>13338251</v>
      </c>
      <c r="B5344" s="17" t="s">
        <v>252</v>
      </c>
      <c r="C5344" s="17" t="s">
        <v>3850</v>
      </c>
      <c r="D5344" s="5" t="s">
        <v>7009</v>
      </c>
      <c r="E5344" s="35">
        <v>41507</v>
      </c>
    </row>
    <row r="5345" spans="1:5" ht="14.25" hidden="1" customHeight="1">
      <c r="A5345" s="16">
        <v>14225922</v>
      </c>
      <c r="B5345" s="17" t="s">
        <v>207</v>
      </c>
      <c r="C5345" s="17" t="s">
        <v>27</v>
      </c>
      <c r="D5345" s="5" t="s">
        <v>7009</v>
      </c>
      <c r="E5345" s="35">
        <v>41507</v>
      </c>
    </row>
    <row r="5346" spans="1:5" ht="14.25" hidden="1" customHeight="1">
      <c r="A5346" s="16">
        <v>17947073</v>
      </c>
      <c r="B5346" s="17" t="s">
        <v>1145</v>
      </c>
      <c r="C5346" s="17" t="s">
        <v>1146</v>
      </c>
      <c r="D5346" s="5" t="s">
        <v>7009</v>
      </c>
      <c r="E5346" s="35">
        <v>41507</v>
      </c>
    </row>
    <row r="5347" spans="1:5" ht="14.25" hidden="1" customHeight="1">
      <c r="A5347" s="16">
        <v>20219773</v>
      </c>
      <c r="B5347" s="17" t="s">
        <v>7666</v>
      </c>
      <c r="C5347" s="17" t="s">
        <v>3492</v>
      </c>
      <c r="D5347" s="5" t="s">
        <v>7009</v>
      </c>
      <c r="E5347" s="35">
        <v>41507</v>
      </c>
    </row>
    <row r="5348" spans="1:5" ht="14.25" hidden="1" customHeight="1">
      <c r="A5348" s="16">
        <v>24059125</v>
      </c>
      <c r="B5348" s="17" t="s">
        <v>4340</v>
      </c>
      <c r="C5348" s="17" t="s">
        <v>2117</v>
      </c>
      <c r="D5348" s="5" t="s">
        <v>7009</v>
      </c>
      <c r="E5348" s="35">
        <v>41507</v>
      </c>
    </row>
    <row r="5349" spans="1:5" ht="14.25" hidden="1" customHeight="1">
      <c r="A5349" s="16">
        <v>27210672</v>
      </c>
      <c r="B5349" s="17" t="s">
        <v>342</v>
      </c>
      <c r="C5349" s="17" t="s">
        <v>3299</v>
      </c>
      <c r="D5349" s="5" t="s">
        <v>7009</v>
      </c>
      <c r="E5349" s="35">
        <v>41507</v>
      </c>
    </row>
    <row r="5350" spans="1:5" ht="14.25" hidden="1" customHeight="1">
      <c r="A5350" s="16">
        <v>29430338</v>
      </c>
      <c r="B5350" s="17" t="s">
        <v>1097</v>
      </c>
      <c r="C5350" s="17" t="s">
        <v>1634</v>
      </c>
      <c r="D5350" s="5" t="s">
        <v>7009</v>
      </c>
      <c r="E5350" s="35">
        <v>41507</v>
      </c>
    </row>
    <row r="5351" spans="1:5" ht="14.25" hidden="1" customHeight="1">
      <c r="A5351" s="16">
        <v>29532614</v>
      </c>
      <c r="B5351" s="17" t="s">
        <v>4621</v>
      </c>
      <c r="C5351" s="17" t="s">
        <v>7685</v>
      </c>
      <c r="D5351" s="5" t="s">
        <v>7009</v>
      </c>
      <c r="E5351" s="35">
        <v>41507</v>
      </c>
    </row>
    <row r="5352" spans="1:5" ht="14.25" hidden="1" customHeight="1">
      <c r="A5352" s="16">
        <v>29914125</v>
      </c>
      <c r="B5352" s="17" t="s">
        <v>3296</v>
      </c>
      <c r="C5352" s="17" t="s">
        <v>3297</v>
      </c>
      <c r="D5352" s="5" t="s">
        <v>7009</v>
      </c>
      <c r="E5352" s="35">
        <v>41507</v>
      </c>
    </row>
    <row r="5353" spans="1:5" ht="14.25" hidden="1" customHeight="1">
      <c r="A5353" s="16">
        <v>33697688</v>
      </c>
      <c r="B5353" s="17" t="s">
        <v>1823</v>
      </c>
      <c r="C5353" s="17" t="s">
        <v>2623</v>
      </c>
      <c r="D5353" s="5" t="s">
        <v>7009</v>
      </c>
      <c r="E5353" s="35">
        <v>41507</v>
      </c>
    </row>
    <row r="5354" spans="1:5" ht="14.25" hidden="1" customHeight="1">
      <c r="A5354" s="16">
        <v>93262857</v>
      </c>
      <c r="B5354" s="17" t="s">
        <v>236</v>
      </c>
      <c r="C5354" s="17" t="s">
        <v>237</v>
      </c>
      <c r="D5354" s="5" t="s">
        <v>7009</v>
      </c>
      <c r="E5354" s="35">
        <v>41507</v>
      </c>
    </row>
    <row r="5355" spans="1:5" ht="14.25" hidden="1" customHeight="1">
      <c r="A5355" s="16">
        <v>13203668</v>
      </c>
      <c r="B5355" s="17" t="s">
        <v>927</v>
      </c>
      <c r="C5355" s="17" t="s">
        <v>1895</v>
      </c>
      <c r="D5355" s="5" t="s">
        <v>7018</v>
      </c>
      <c r="E5355" s="35">
        <v>41506</v>
      </c>
    </row>
    <row r="5356" spans="1:5" ht="14.25" hidden="1" customHeight="1">
      <c r="A5356" s="16">
        <v>14353240</v>
      </c>
      <c r="B5356" s="17" t="s">
        <v>3749</v>
      </c>
      <c r="C5356" s="17" t="s">
        <v>7688</v>
      </c>
      <c r="D5356" s="5" t="s">
        <v>7018</v>
      </c>
      <c r="E5356" s="35">
        <v>41506</v>
      </c>
    </row>
    <row r="5357" spans="1:5" ht="14.25" hidden="1" customHeight="1">
      <c r="A5357" s="16">
        <v>14660398</v>
      </c>
      <c r="B5357" s="17" t="s">
        <v>1823</v>
      </c>
      <c r="C5357" s="17" t="s">
        <v>7690</v>
      </c>
      <c r="D5357" s="5" t="s">
        <v>7018</v>
      </c>
      <c r="E5357" s="35">
        <v>41506</v>
      </c>
    </row>
    <row r="5358" spans="1:5" ht="14.25" hidden="1" customHeight="1">
      <c r="A5358" s="16">
        <v>16617470</v>
      </c>
      <c r="B5358" s="17" t="s">
        <v>164</v>
      </c>
      <c r="C5358" s="17" t="s">
        <v>4531</v>
      </c>
      <c r="D5358" s="5" t="s">
        <v>7018</v>
      </c>
      <c r="E5358" s="35">
        <v>41506</v>
      </c>
    </row>
    <row r="5359" spans="1:5" ht="14.25" hidden="1" customHeight="1">
      <c r="A5359" s="16">
        <v>16859596</v>
      </c>
      <c r="B5359" s="17" t="s">
        <v>4275</v>
      </c>
      <c r="C5359" s="17" t="s">
        <v>612</v>
      </c>
      <c r="D5359" s="5" t="s">
        <v>7018</v>
      </c>
      <c r="E5359" s="35">
        <v>41506</v>
      </c>
    </row>
    <row r="5360" spans="1:5" ht="14.25" hidden="1" customHeight="1">
      <c r="A5360" s="16">
        <v>17613465</v>
      </c>
      <c r="B5360" s="17" t="s">
        <v>2840</v>
      </c>
      <c r="C5360" s="17" t="s">
        <v>687</v>
      </c>
      <c r="D5360" s="5" t="s">
        <v>7018</v>
      </c>
      <c r="E5360" s="35">
        <v>41506</v>
      </c>
    </row>
    <row r="5361" spans="1:5" ht="14.25" hidden="1" customHeight="1">
      <c r="A5361" s="16">
        <v>20433790</v>
      </c>
      <c r="B5361" s="17" t="s">
        <v>425</v>
      </c>
      <c r="C5361" s="17" t="s">
        <v>7689</v>
      </c>
      <c r="D5361" s="5" t="s">
        <v>7018</v>
      </c>
      <c r="E5361" s="35">
        <v>41506</v>
      </c>
    </row>
    <row r="5362" spans="1:5" ht="14.25" hidden="1" customHeight="1">
      <c r="A5362" s="16">
        <v>23564843</v>
      </c>
      <c r="B5362" s="17" t="s">
        <v>3837</v>
      </c>
      <c r="C5362" s="17" t="s">
        <v>7041</v>
      </c>
      <c r="D5362" s="5" t="s">
        <v>7018</v>
      </c>
      <c r="E5362" s="35">
        <v>41506</v>
      </c>
    </row>
    <row r="5363" spans="1:5" ht="14.25" hidden="1" customHeight="1">
      <c r="A5363" s="16">
        <v>28221068</v>
      </c>
      <c r="B5363" s="17" t="s">
        <v>7686</v>
      </c>
      <c r="C5363" s="17" t="s">
        <v>7687</v>
      </c>
      <c r="D5363" s="5" t="s">
        <v>7018</v>
      </c>
      <c r="E5363" s="35">
        <v>41506</v>
      </c>
    </row>
    <row r="5364" spans="1:5" ht="14.25" hidden="1" customHeight="1">
      <c r="A5364" s="16">
        <v>28721499</v>
      </c>
      <c r="B5364" s="25" t="s">
        <v>359</v>
      </c>
      <c r="C5364" s="25" t="s">
        <v>3301</v>
      </c>
      <c r="D5364" s="5" t="s">
        <v>7018</v>
      </c>
      <c r="E5364" s="35">
        <v>41506</v>
      </c>
    </row>
    <row r="5365" spans="1:5" ht="14.25" hidden="1" customHeight="1">
      <c r="A5365" s="16">
        <v>31253897</v>
      </c>
      <c r="B5365" s="17" t="s">
        <v>5415</v>
      </c>
      <c r="C5365" s="17" t="s">
        <v>30</v>
      </c>
      <c r="D5365" s="5" t="s">
        <v>7018</v>
      </c>
      <c r="E5365" s="35">
        <v>41506</v>
      </c>
    </row>
    <row r="5366" spans="1:5" ht="14.25" hidden="1" customHeight="1">
      <c r="A5366" s="16">
        <v>10582171</v>
      </c>
      <c r="B5366" s="17" t="s">
        <v>44</v>
      </c>
      <c r="C5366" s="17" t="s">
        <v>7691</v>
      </c>
      <c r="D5366" s="5" t="s">
        <v>7288</v>
      </c>
      <c r="E5366" s="35">
        <v>41506</v>
      </c>
    </row>
    <row r="5367" spans="1:5" ht="14.25" hidden="1" customHeight="1">
      <c r="A5367" s="16">
        <v>16176998</v>
      </c>
      <c r="B5367" s="17" t="s">
        <v>2087</v>
      </c>
      <c r="C5367" s="17" t="s">
        <v>3738</v>
      </c>
      <c r="D5367" s="5" t="s">
        <v>7288</v>
      </c>
      <c r="E5367" s="35">
        <v>41506</v>
      </c>
    </row>
    <row r="5368" spans="1:5" ht="14.25" hidden="1" customHeight="1">
      <c r="A5368" s="16">
        <v>17269004</v>
      </c>
      <c r="B5368" s="17" t="s">
        <v>26</v>
      </c>
      <c r="C5368" s="17" t="s">
        <v>30</v>
      </c>
      <c r="D5368" s="5" t="s">
        <v>7288</v>
      </c>
      <c r="E5368" s="35">
        <v>41506</v>
      </c>
    </row>
    <row r="5369" spans="1:5" ht="14.25" hidden="1" customHeight="1">
      <c r="A5369" s="16">
        <v>17859768</v>
      </c>
      <c r="B5369" s="17" t="s">
        <v>1808</v>
      </c>
      <c r="C5369" s="17" t="s">
        <v>1809</v>
      </c>
      <c r="D5369" s="5" t="s">
        <v>7288</v>
      </c>
      <c r="E5369" s="35">
        <v>41506</v>
      </c>
    </row>
    <row r="5370" spans="1:5" ht="14.25" hidden="1" customHeight="1">
      <c r="A5370" s="16">
        <v>20178767</v>
      </c>
      <c r="B5370" s="17" t="s">
        <v>428</v>
      </c>
      <c r="C5370" s="17" t="s">
        <v>429</v>
      </c>
      <c r="D5370" s="5" t="s">
        <v>7288</v>
      </c>
      <c r="E5370" s="35">
        <v>41506</v>
      </c>
    </row>
    <row r="5371" spans="1:5" ht="14.25" hidden="1" customHeight="1">
      <c r="A5371" s="16">
        <v>27945323</v>
      </c>
      <c r="B5371" s="17" t="s">
        <v>4286</v>
      </c>
      <c r="C5371" s="17" t="s">
        <v>7692</v>
      </c>
      <c r="D5371" s="5" t="s">
        <v>7288</v>
      </c>
      <c r="E5371" s="35">
        <v>41506</v>
      </c>
    </row>
    <row r="5372" spans="1:5" ht="14.25" hidden="1" customHeight="1">
      <c r="A5372" s="16">
        <v>28223716</v>
      </c>
      <c r="B5372" s="17" t="s">
        <v>2865</v>
      </c>
      <c r="C5372" s="17" t="s">
        <v>2678</v>
      </c>
      <c r="D5372" s="5" t="s">
        <v>7288</v>
      </c>
      <c r="E5372" s="35">
        <v>41506</v>
      </c>
    </row>
    <row r="5373" spans="1:5" ht="14.25" hidden="1" customHeight="1">
      <c r="A5373" s="16">
        <v>30497427</v>
      </c>
      <c r="B5373" s="17" t="s">
        <v>662</v>
      </c>
      <c r="C5373" s="17" t="s">
        <v>1074</v>
      </c>
      <c r="D5373" s="5" t="s">
        <v>7288</v>
      </c>
      <c r="E5373" s="35">
        <v>41506</v>
      </c>
    </row>
    <row r="5374" spans="1:5" ht="14.25" hidden="1" customHeight="1">
      <c r="A5374" s="16">
        <v>31052533</v>
      </c>
      <c r="B5374" s="17" t="s">
        <v>218</v>
      </c>
      <c r="C5374" s="17" t="s">
        <v>1087</v>
      </c>
      <c r="D5374" s="5" t="s">
        <v>7288</v>
      </c>
      <c r="E5374" s="35">
        <v>41506</v>
      </c>
    </row>
    <row r="5375" spans="1:5" ht="14.25" hidden="1" customHeight="1">
      <c r="A5375" s="16">
        <v>33703738</v>
      </c>
      <c r="B5375" s="17" t="s">
        <v>2045</v>
      </c>
      <c r="C5375" s="17" t="s">
        <v>2853</v>
      </c>
      <c r="D5375" s="5" t="s">
        <v>7288</v>
      </c>
      <c r="E5375" s="35">
        <v>41506</v>
      </c>
    </row>
    <row r="5376" spans="1:5" ht="14.25" hidden="1" customHeight="1">
      <c r="B5376" s="17" t="s">
        <v>7693</v>
      </c>
      <c r="C5376" s="17" t="s">
        <v>7694</v>
      </c>
      <c r="D5376" s="5" t="s">
        <v>7695</v>
      </c>
      <c r="E5376" s="35">
        <v>41505</v>
      </c>
    </row>
    <row r="5377" spans="1:5" ht="14.25" hidden="1" customHeight="1">
      <c r="B5377" s="17" t="s">
        <v>7696</v>
      </c>
      <c r="C5377" s="17" t="s">
        <v>902</v>
      </c>
      <c r="D5377" s="5" t="s">
        <v>7695</v>
      </c>
      <c r="E5377" s="35">
        <v>41505</v>
      </c>
    </row>
    <row r="5378" spans="1:5" ht="14.25" hidden="1" customHeight="1">
      <c r="B5378" s="17" t="s">
        <v>2844</v>
      </c>
      <c r="C5378" s="17" t="s">
        <v>7697</v>
      </c>
      <c r="D5378" s="5" t="s">
        <v>7695</v>
      </c>
      <c r="E5378" s="35">
        <v>41505</v>
      </c>
    </row>
    <row r="5379" spans="1:5" ht="14.25" hidden="1" customHeight="1">
      <c r="B5379" s="17" t="s">
        <v>154</v>
      </c>
      <c r="C5379" s="17" t="s">
        <v>155</v>
      </c>
      <c r="D5379" s="5" t="s">
        <v>7695</v>
      </c>
      <c r="E5379" s="35">
        <v>41505</v>
      </c>
    </row>
    <row r="5380" spans="1:5" ht="14.25" hidden="1" customHeight="1">
      <c r="B5380" s="17" t="s">
        <v>7152</v>
      </c>
      <c r="C5380" s="17" t="s">
        <v>5335</v>
      </c>
      <c r="D5380" s="5" t="s">
        <v>7695</v>
      </c>
      <c r="E5380" s="35">
        <v>41505</v>
      </c>
    </row>
    <row r="5381" spans="1:5" ht="14.25" hidden="1" customHeight="1">
      <c r="B5381" s="17" t="s">
        <v>7698</v>
      </c>
      <c r="C5381" s="17" t="s">
        <v>3291</v>
      </c>
      <c r="D5381" s="5" t="s">
        <v>7695</v>
      </c>
      <c r="E5381" s="35">
        <v>41505</v>
      </c>
    </row>
    <row r="5382" spans="1:5" ht="14.25" hidden="1" customHeight="1">
      <c r="B5382" s="17" t="s">
        <v>2795</v>
      </c>
      <c r="C5382" s="17" t="s">
        <v>4637</v>
      </c>
      <c r="D5382" s="5" t="s">
        <v>7695</v>
      </c>
      <c r="E5382" s="35">
        <v>41505</v>
      </c>
    </row>
    <row r="5383" spans="1:5" ht="14.25" hidden="1" customHeight="1">
      <c r="B5383" s="17" t="s">
        <v>5849</v>
      </c>
      <c r="C5383" s="17" t="s">
        <v>455</v>
      </c>
      <c r="D5383" s="5" t="s">
        <v>7695</v>
      </c>
      <c r="E5383" s="35">
        <v>41505</v>
      </c>
    </row>
    <row r="5384" spans="1:5" ht="14.25" hidden="1" customHeight="1">
      <c r="B5384" s="17" t="s">
        <v>2709</v>
      </c>
      <c r="C5384" s="17" t="s">
        <v>2102</v>
      </c>
      <c r="D5384" s="5" t="s">
        <v>7695</v>
      </c>
      <c r="E5384" s="35">
        <v>41505</v>
      </c>
    </row>
    <row r="5385" spans="1:5" ht="14.25" hidden="1" customHeight="1">
      <c r="A5385" s="16">
        <v>7998101</v>
      </c>
      <c r="B5385" s="17" t="s">
        <v>2119</v>
      </c>
      <c r="C5385" s="17" t="s">
        <v>687</v>
      </c>
      <c r="D5385" s="5" t="s">
        <v>7701</v>
      </c>
      <c r="E5385" s="35">
        <v>41501</v>
      </c>
    </row>
    <row r="5386" spans="1:5" ht="14.25" hidden="1" customHeight="1">
      <c r="A5386" s="16">
        <v>8564856</v>
      </c>
      <c r="B5386" s="17" t="s">
        <v>7699</v>
      </c>
      <c r="C5386" s="17" t="s">
        <v>7700</v>
      </c>
      <c r="D5386" s="5" t="s">
        <v>7701</v>
      </c>
      <c r="E5386" s="35">
        <v>41501</v>
      </c>
    </row>
    <row r="5387" spans="1:5" ht="14.25" hidden="1" customHeight="1">
      <c r="A5387" s="16">
        <v>10659002</v>
      </c>
      <c r="B5387" s="17" t="s">
        <v>7702</v>
      </c>
      <c r="C5387" s="17" t="s">
        <v>7703</v>
      </c>
      <c r="D5387" s="5" t="s">
        <v>7701</v>
      </c>
      <c r="E5387" s="35">
        <v>41501</v>
      </c>
    </row>
    <row r="5388" spans="1:5" ht="14.25" hidden="1" customHeight="1">
      <c r="A5388" s="16">
        <v>13203668</v>
      </c>
      <c r="B5388" s="17" t="s">
        <v>927</v>
      </c>
      <c r="C5388" s="17" t="s">
        <v>1895</v>
      </c>
      <c r="D5388" s="5" t="s">
        <v>7701</v>
      </c>
      <c r="E5388" s="35">
        <v>41501</v>
      </c>
    </row>
    <row r="5389" spans="1:5" ht="14.25" hidden="1" customHeight="1">
      <c r="A5389" s="16">
        <v>13475945</v>
      </c>
      <c r="B5389" s="17" t="s">
        <v>2129</v>
      </c>
      <c r="C5389" s="17" t="s">
        <v>1061</v>
      </c>
      <c r="D5389" s="5" t="s">
        <v>7701</v>
      </c>
      <c r="E5389" s="35">
        <v>41501</v>
      </c>
    </row>
    <row r="5390" spans="1:5" ht="14.25" hidden="1" customHeight="1">
      <c r="A5390" s="16">
        <v>13628734</v>
      </c>
      <c r="B5390" s="17" t="s">
        <v>1194</v>
      </c>
      <c r="C5390" s="17" t="s">
        <v>2218</v>
      </c>
      <c r="D5390" s="5" t="s">
        <v>7701</v>
      </c>
      <c r="E5390" s="35">
        <v>41501</v>
      </c>
    </row>
    <row r="5391" spans="1:5" ht="14.25" hidden="1" customHeight="1">
      <c r="A5391" s="16">
        <v>13848770</v>
      </c>
      <c r="B5391" s="17" t="s">
        <v>476</v>
      </c>
      <c r="C5391" s="17" t="s">
        <v>2268</v>
      </c>
      <c r="D5391" s="5" t="s">
        <v>7701</v>
      </c>
      <c r="E5391" s="35">
        <v>41501</v>
      </c>
    </row>
    <row r="5392" spans="1:5" ht="14.25" hidden="1" customHeight="1">
      <c r="A5392" s="16">
        <v>13989089</v>
      </c>
      <c r="B5392" s="17" t="s">
        <v>2304</v>
      </c>
      <c r="C5392" s="17" t="s">
        <v>2308</v>
      </c>
      <c r="D5392" s="5" t="s">
        <v>7701</v>
      </c>
      <c r="E5392" s="35">
        <v>41501</v>
      </c>
    </row>
    <row r="5393" spans="1:5" ht="14.25" hidden="1" customHeight="1">
      <c r="A5393" s="16">
        <v>16176047</v>
      </c>
      <c r="B5393" s="17" t="s">
        <v>288</v>
      </c>
      <c r="C5393" s="17" t="s">
        <v>2107</v>
      </c>
      <c r="D5393" s="5" t="s">
        <v>7701</v>
      </c>
      <c r="E5393" s="35">
        <v>41501</v>
      </c>
    </row>
    <row r="5394" spans="1:5" ht="14.25" hidden="1" customHeight="1">
      <c r="A5394" s="16">
        <v>18203486</v>
      </c>
      <c r="B5394" s="17" t="s">
        <v>1968</v>
      </c>
      <c r="C5394" s="17" t="s">
        <v>1969</v>
      </c>
      <c r="D5394" s="5" t="s">
        <v>7701</v>
      </c>
      <c r="E5394" s="38">
        <v>41501</v>
      </c>
    </row>
    <row r="5395" spans="1:5" ht="14.25" hidden="1" customHeight="1">
      <c r="A5395" s="16">
        <v>20311745</v>
      </c>
      <c r="B5395" s="17" t="s">
        <v>2189</v>
      </c>
      <c r="C5395" s="17" t="s">
        <v>2190</v>
      </c>
      <c r="D5395" s="5" t="s">
        <v>7701</v>
      </c>
      <c r="E5395" s="35">
        <v>41501</v>
      </c>
    </row>
    <row r="5396" spans="1:5" ht="14.25" hidden="1" customHeight="1">
      <c r="A5396" s="16">
        <v>22073849</v>
      </c>
      <c r="B5396" s="17" t="s">
        <v>1926</v>
      </c>
      <c r="C5396" s="17" t="s">
        <v>1927</v>
      </c>
      <c r="D5396" s="5" t="s">
        <v>7701</v>
      </c>
      <c r="E5396" s="35">
        <v>41501</v>
      </c>
    </row>
    <row r="5397" spans="1:5" ht="14.25" hidden="1" customHeight="1">
      <c r="A5397" s="16">
        <v>25211138</v>
      </c>
      <c r="B5397" s="17" t="s">
        <v>2094</v>
      </c>
      <c r="C5397" s="17" t="s">
        <v>365</v>
      </c>
      <c r="D5397" s="5" t="s">
        <v>7701</v>
      </c>
      <c r="E5397" s="35">
        <v>41501</v>
      </c>
    </row>
    <row r="5398" spans="1:5" ht="14.25" hidden="1" customHeight="1">
      <c r="A5398" s="16">
        <v>26531319</v>
      </c>
      <c r="B5398" s="17" t="s">
        <v>2243</v>
      </c>
      <c r="C5398" s="17" t="s">
        <v>365</v>
      </c>
      <c r="D5398" s="5" t="s">
        <v>7701</v>
      </c>
      <c r="E5398" s="35">
        <v>41501</v>
      </c>
    </row>
    <row r="5399" spans="1:5" ht="14.25" hidden="1" customHeight="1">
      <c r="A5399" s="16">
        <v>31323421</v>
      </c>
      <c r="B5399" s="17" t="s">
        <v>2045</v>
      </c>
      <c r="C5399" s="17" t="s">
        <v>2046</v>
      </c>
      <c r="D5399" s="5" t="s">
        <v>7701</v>
      </c>
      <c r="E5399" s="35">
        <v>41501</v>
      </c>
    </row>
    <row r="5400" spans="1:5" ht="14.25" hidden="1" customHeight="1">
      <c r="A5400" s="16">
        <v>5955870</v>
      </c>
      <c r="B5400" s="17" t="s">
        <v>1122</v>
      </c>
      <c r="C5400" s="17" t="s">
        <v>832</v>
      </c>
      <c r="D5400" s="5" t="s">
        <v>7701</v>
      </c>
      <c r="E5400" s="35">
        <v>41500</v>
      </c>
    </row>
    <row r="5401" spans="1:5" ht="14.25" hidden="1" customHeight="1">
      <c r="A5401" s="16">
        <v>6352635</v>
      </c>
      <c r="B5401" s="17" t="s">
        <v>2036</v>
      </c>
      <c r="C5401" s="17" t="s">
        <v>2037</v>
      </c>
      <c r="D5401" s="5" t="s">
        <v>7701</v>
      </c>
      <c r="E5401" s="35">
        <v>41500</v>
      </c>
    </row>
    <row r="5402" spans="1:5" ht="14.25" hidden="1" customHeight="1">
      <c r="A5402" s="16">
        <v>6355444</v>
      </c>
      <c r="B5402" s="17" t="s">
        <v>601</v>
      </c>
      <c r="C5402" s="17" t="s">
        <v>1921</v>
      </c>
      <c r="D5402" s="5" t="s">
        <v>7701</v>
      </c>
      <c r="E5402" s="35">
        <v>41500</v>
      </c>
    </row>
    <row r="5403" spans="1:5" ht="14.25" hidden="1" customHeight="1">
      <c r="A5403" s="16">
        <v>10221705</v>
      </c>
      <c r="B5403" s="17" t="s">
        <v>226</v>
      </c>
      <c r="C5403" s="17" t="s">
        <v>2052</v>
      </c>
      <c r="D5403" s="5" t="s">
        <v>7701</v>
      </c>
      <c r="E5403" s="35">
        <v>41500</v>
      </c>
    </row>
    <row r="5404" spans="1:5" ht="14.25" hidden="1" customHeight="1">
      <c r="A5404" s="16">
        <v>10746385</v>
      </c>
      <c r="B5404" s="17" t="s">
        <v>1032</v>
      </c>
      <c r="C5404" s="17" t="s">
        <v>1979</v>
      </c>
      <c r="D5404" s="5" t="s">
        <v>7701</v>
      </c>
      <c r="E5404" s="35">
        <v>41500</v>
      </c>
    </row>
    <row r="5405" spans="1:5" ht="14.25" hidden="1" customHeight="1">
      <c r="A5405" s="16">
        <v>10791578</v>
      </c>
      <c r="B5405" s="17" t="s">
        <v>1216</v>
      </c>
      <c r="C5405" s="17" t="s">
        <v>7684</v>
      </c>
      <c r="D5405" s="5" t="s">
        <v>7701</v>
      </c>
      <c r="E5405" s="35">
        <v>41500</v>
      </c>
    </row>
    <row r="5406" spans="1:5" ht="14.25" hidden="1" customHeight="1">
      <c r="A5406" s="16">
        <v>11116542</v>
      </c>
      <c r="B5406" s="17" t="s">
        <v>190</v>
      </c>
      <c r="C5406" s="17" t="s">
        <v>1185</v>
      </c>
      <c r="D5406" s="5" t="s">
        <v>7701</v>
      </c>
      <c r="E5406" s="35">
        <v>41500</v>
      </c>
    </row>
    <row r="5407" spans="1:5" ht="14.25" hidden="1" customHeight="1">
      <c r="A5407" s="16">
        <v>11239004</v>
      </c>
      <c r="B5407" s="17" t="s">
        <v>2243</v>
      </c>
      <c r="C5407" s="17" t="s">
        <v>365</v>
      </c>
      <c r="D5407" s="5" t="s">
        <v>7701</v>
      </c>
      <c r="E5407" s="35">
        <v>41500</v>
      </c>
    </row>
    <row r="5408" spans="1:5" ht="14.25" hidden="1" customHeight="1">
      <c r="A5408" s="16">
        <v>11762457</v>
      </c>
      <c r="B5408" s="17" t="s">
        <v>1762</v>
      </c>
      <c r="C5408" s="17" t="s">
        <v>2092</v>
      </c>
      <c r="D5408" s="5" t="s">
        <v>7701</v>
      </c>
      <c r="E5408" s="35">
        <v>41500</v>
      </c>
    </row>
    <row r="5409" spans="1:5" ht="14.25" hidden="1" customHeight="1">
      <c r="A5409" s="16">
        <v>11910373</v>
      </c>
      <c r="B5409" s="17" t="s">
        <v>2288</v>
      </c>
      <c r="C5409" s="17" t="s">
        <v>2289</v>
      </c>
      <c r="D5409" s="5" t="s">
        <v>7701</v>
      </c>
      <c r="E5409" s="35">
        <v>41500</v>
      </c>
    </row>
    <row r="5410" spans="1:5" ht="14.25" hidden="1" customHeight="1">
      <c r="A5410" s="16">
        <v>11915438</v>
      </c>
      <c r="B5410" s="17" t="s">
        <v>1482</v>
      </c>
      <c r="C5410" s="17" t="s">
        <v>1938</v>
      </c>
      <c r="D5410" s="5" t="s">
        <v>7701</v>
      </c>
      <c r="E5410" s="35">
        <v>41500</v>
      </c>
    </row>
    <row r="5411" spans="1:5" ht="14.25" hidden="1" customHeight="1">
      <c r="A5411" s="16">
        <v>12149971</v>
      </c>
      <c r="B5411" s="17" t="s">
        <v>2087</v>
      </c>
      <c r="C5411" s="17" t="s">
        <v>2088</v>
      </c>
      <c r="D5411" s="5" t="s">
        <v>7701</v>
      </c>
      <c r="E5411" s="35">
        <v>41500</v>
      </c>
    </row>
    <row r="5412" spans="1:5" ht="14.25" hidden="1" customHeight="1">
      <c r="A5412" s="16">
        <v>12413032</v>
      </c>
      <c r="B5412" s="17" t="s">
        <v>927</v>
      </c>
      <c r="C5412" s="17" t="s">
        <v>1893</v>
      </c>
      <c r="D5412" s="5" t="s">
        <v>7701</v>
      </c>
      <c r="E5412" s="35">
        <v>41500</v>
      </c>
    </row>
    <row r="5413" spans="1:5" ht="14.25" hidden="1" customHeight="1">
      <c r="A5413" s="16">
        <v>12607103</v>
      </c>
      <c r="B5413" s="17" t="s">
        <v>2283</v>
      </c>
      <c r="C5413" s="17" t="s">
        <v>2284</v>
      </c>
      <c r="D5413" s="5" t="s">
        <v>7701</v>
      </c>
      <c r="E5413" s="35">
        <v>41500</v>
      </c>
    </row>
    <row r="5414" spans="1:5" ht="14.25" hidden="1" customHeight="1">
      <c r="A5414" s="16">
        <v>12607348</v>
      </c>
      <c r="B5414" s="17" t="s">
        <v>2280</v>
      </c>
      <c r="C5414" s="17" t="s">
        <v>2281</v>
      </c>
      <c r="D5414" s="5" t="s">
        <v>7701</v>
      </c>
      <c r="E5414" s="35">
        <v>41500</v>
      </c>
    </row>
    <row r="5415" spans="1:5" ht="14.25" hidden="1" customHeight="1">
      <c r="A5415" s="16">
        <v>12750170</v>
      </c>
      <c r="B5415" s="17" t="s">
        <v>1906</v>
      </c>
      <c r="C5415" s="17" t="s">
        <v>1907</v>
      </c>
      <c r="D5415" s="5" t="s">
        <v>7701</v>
      </c>
      <c r="E5415" s="35">
        <v>41500</v>
      </c>
    </row>
    <row r="5416" spans="1:5" ht="14.25" hidden="1" customHeight="1">
      <c r="A5416" s="16">
        <v>12869103</v>
      </c>
      <c r="B5416" s="17" t="s">
        <v>2026</v>
      </c>
      <c r="C5416" s="17" t="s">
        <v>2027</v>
      </c>
      <c r="D5416" s="5" t="s">
        <v>7701</v>
      </c>
      <c r="E5416" s="35">
        <v>41500</v>
      </c>
    </row>
    <row r="5417" spans="1:5" ht="14.25" hidden="1" customHeight="1">
      <c r="A5417" s="16">
        <v>12869656</v>
      </c>
      <c r="B5417" s="17" t="s">
        <v>1989</v>
      </c>
      <c r="C5417" s="17" t="s">
        <v>1990</v>
      </c>
      <c r="D5417" s="5" t="s">
        <v>7701</v>
      </c>
      <c r="E5417" s="35">
        <v>41500</v>
      </c>
    </row>
    <row r="5418" spans="1:5" ht="14.25" hidden="1" customHeight="1">
      <c r="A5418" s="16">
        <v>12919270</v>
      </c>
      <c r="B5418" s="17" t="s">
        <v>2101</v>
      </c>
      <c r="C5418" s="17" t="s">
        <v>2102</v>
      </c>
      <c r="D5418" s="5" t="s">
        <v>7701</v>
      </c>
      <c r="E5418" s="35">
        <v>41500</v>
      </c>
    </row>
    <row r="5419" spans="1:5" ht="14.25" hidden="1" customHeight="1">
      <c r="A5419" s="16">
        <v>13710386</v>
      </c>
      <c r="B5419" s="17" t="s">
        <v>1973</v>
      </c>
      <c r="C5419" s="17" t="s">
        <v>1974</v>
      </c>
      <c r="D5419" s="5" t="s">
        <v>7701</v>
      </c>
      <c r="E5419" s="35">
        <v>41500</v>
      </c>
    </row>
    <row r="5420" spans="1:5" ht="14.25" hidden="1" customHeight="1">
      <c r="A5420" s="16">
        <v>13710711</v>
      </c>
      <c r="B5420" s="17" t="s">
        <v>2134</v>
      </c>
      <c r="C5420" s="17" t="s">
        <v>2135</v>
      </c>
      <c r="D5420" s="5" t="s">
        <v>7701</v>
      </c>
      <c r="E5420" s="35">
        <v>41500</v>
      </c>
    </row>
    <row r="5421" spans="1:5" ht="14.25" hidden="1" customHeight="1">
      <c r="A5421" s="16">
        <v>14331544</v>
      </c>
      <c r="B5421" s="17" t="s">
        <v>2067</v>
      </c>
      <c r="C5421" s="17" t="s">
        <v>2068</v>
      </c>
      <c r="D5421" s="5" t="s">
        <v>7701</v>
      </c>
      <c r="E5421" s="35">
        <v>41500</v>
      </c>
    </row>
    <row r="5422" spans="1:5" ht="14.25" hidden="1" customHeight="1">
      <c r="A5422" s="16">
        <v>14481287</v>
      </c>
      <c r="B5422" s="17" t="s">
        <v>680</v>
      </c>
      <c r="C5422" s="17" t="s">
        <v>131</v>
      </c>
      <c r="D5422" s="5" t="s">
        <v>7701</v>
      </c>
      <c r="E5422" s="35">
        <v>41500</v>
      </c>
    </row>
    <row r="5423" spans="1:5" ht="14.25" hidden="1" customHeight="1">
      <c r="A5423" s="16">
        <v>14896416</v>
      </c>
      <c r="B5423" s="17" t="s">
        <v>996</v>
      </c>
      <c r="C5423" s="17" t="s">
        <v>1945</v>
      </c>
      <c r="D5423" s="5" t="s">
        <v>7701</v>
      </c>
      <c r="E5423" s="35">
        <v>41500</v>
      </c>
    </row>
    <row r="5424" spans="1:5" ht="14.25" hidden="1" customHeight="1">
      <c r="A5424" s="16">
        <v>16216287</v>
      </c>
      <c r="B5424" s="17" t="s">
        <v>2252</v>
      </c>
      <c r="C5424" s="17" t="s">
        <v>2253</v>
      </c>
      <c r="D5424" s="5" t="s">
        <v>7701</v>
      </c>
      <c r="E5424" s="35">
        <v>41500</v>
      </c>
    </row>
    <row r="5425" spans="1:5" ht="14.25" hidden="1" customHeight="1">
      <c r="A5425" s="16">
        <v>16309960</v>
      </c>
      <c r="B5425" s="17" t="s">
        <v>288</v>
      </c>
      <c r="C5425" s="17" t="s">
        <v>2110</v>
      </c>
      <c r="D5425" s="5" t="s">
        <v>7701</v>
      </c>
      <c r="E5425" s="35">
        <v>41500</v>
      </c>
    </row>
    <row r="5426" spans="1:5" ht="14.25" hidden="1" customHeight="1">
      <c r="A5426" s="16">
        <v>17040749</v>
      </c>
      <c r="B5426" s="17" t="s">
        <v>2132</v>
      </c>
      <c r="C5426" s="17" t="s">
        <v>215</v>
      </c>
      <c r="D5426" s="5" t="s">
        <v>7701</v>
      </c>
      <c r="E5426" s="35">
        <v>41500</v>
      </c>
    </row>
    <row r="5427" spans="1:5" ht="14.25" hidden="1" customHeight="1">
      <c r="A5427" s="16">
        <v>17270116</v>
      </c>
      <c r="B5427" s="17" t="s">
        <v>315</v>
      </c>
      <c r="C5427" s="17" t="s">
        <v>257</v>
      </c>
      <c r="D5427" s="5" t="s">
        <v>7701</v>
      </c>
      <c r="E5427" s="35">
        <v>41500</v>
      </c>
    </row>
    <row r="5428" spans="1:5" ht="14.25" hidden="1" customHeight="1">
      <c r="A5428" s="16">
        <v>17377950</v>
      </c>
      <c r="B5428" s="17" t="s">
        <v>128</v>
      </c>
      <c r="C5428" s="17" t="s">
        <v>1948</v>
      </c>
      <c r="D5428" s="5" t="s">
        <v>7701</v>
      </c>
      <c r="E5428" s="35">
        <v>41500</v>
      </c>
    </row>
    <row r="5429" spans="1:5" ht="14.25" hidden="1" customHeight="1">
      <c r="A5429" s="16">
        <v>17947115</v>
      </c>
      <c r="B5429" s="17" t="s">
        <v>1996</v>
      </c>
      <c r="C5429" s="17" t="s">
        <v>1997</v>
      </c>
      <c r="D5429" s="5" t="s">
        <v>7701</v>
      </c>
      <c r="E5429" s="35">
        <v>41500</v>
      </c>
    </row>
    <row r="5430" spans="1:5" ht="14.25" hidden="1" customHeight="1">
      <c r="A5430" s="16">
        <v>18091003</v>
      </c>
      <c r="B5430" s="17" t="s">
        <v>846</v>
      </c>
      <c r="C5430" s="17" t="s">
        <v>1952</v>
      </c>
      <c r="D5430" s="5" t="s">
        <v>7701</v>
      </c>
      <c r="E5430" s="35">
        <v>41500</v>
      </c>
    </row>
    <row r="5431" spans="1:5" ht="14.25" hidden="1" customHeight="1">
      <c r="A5431" s="16">
        <v>18245474</v>
      </c>
      <c r="B5431" s="17" t="s">
        <v>415</v>
      </c>
      <c r="C5431" s="25" t="s">
        <v>7706</v>
      </c>
      <c r="D5431" s="5" t="s">
        <v>7701</v>
      </c>
      <c r="E5431" s="35">
        <v>41500</v>
      </c>
    </row>
    <row r="5432" spans="1:5" ht="14.25" hidden="1" customHeight="1">
      <c r="A5432" s="16">
        <v>21026950</v>
      </c>
      <c r="B5432" s="17" t="s">
        <v>415</v>
      </c>
      <c r="C5432" s="17" t="s">
        <v>2224</v>
      </c>
      <c r="D5432" s="5" t="s">
        <v>7701</v>
      </c>
      <c r="E5432" s="35">
        <v>41500</v>
      </c>
    </row>
    <row r="5433" spans="1:5" ht="14.25" hidden="1" customHeight="1">
      <c r="A5433" s="16">
        <v>22073026</v>
      </c>
      <c r="B5433" s="17" t="s">
        <v>2195</v>
      </c>
      <c r="C5433" s="17" t="s">
        <v>2196</v>
      </c>
      <c r="D5433" s="5" t="s">
        <v>7701</v>
      </c>
      <c r="E5433" s="35">
        <v>41500</v>
      </c>
    </row>
    <row r="5434" spans="1:5" ht="14.25" hidden="1" customHeight="1">
      <c r="A5434" s="16">
        <v>22613364</v>
      </c>
      <c r="B5434" s="17" t="s">
        <v>608</v>
      </c>
      <c r="C5434" s="17" t="s">
        <v>1924</v>
      </c>
      <c r="D5434" s="5" t="s">
        <v>7701</v>
      </c>
      <c r="E5434" s="35">
        <v>41500</v>
      </c>
    </row>
    <row r="5435" spans="1:5" ht="14.25" hidden="1" customHeight="1">
      <c r="A5435" s="16">
        <v>23116598</v>
      </c>
      <c r="B5435" s="17" t="s">
        <v>2237</v>
      </c>
      <c r="C5435" s="17" t="s">
        <v>2238</v>
      </c>
      <c r="D5435" s="5" t="s">
        <v>7701</v>
      </c>
      <c r="E5435" s="35">
        <v>41500</v>
      </c>
    </row>
    <row r="5436" spans="1:5" ht="14.25" hidden="1" customHeight="1">
      <c r="A5436" s="16">
        <v>23518411</v>
      </c>
      <c r="B5436" s="17" t="s">
        <v>1928</v>
      </c>
      <c r="C5436" s="17" t="s">
        <v>1172</v>
      </c>
      <c r="D5436" s="5" t="s">
        <v>7701</v>
      </c>
      <c r="E5436" s="35">
        <v>41500</v>
      </c>
    </row>
    <row r="5437" spans="1:5" ht="14.25" hidden="1" customHeight="1">
      <c r="A5437" s="16">
        <v>23519447</v>
      </c>
      <c r="B5437" s="17" t="s">
        <v>2195</v>
      </c>
      <c r="C5437" s="17" t="s">
        <v>2198</v>
      </c>
      <c r="D5437" s="5" t="s">
        <v>7701</v>
      </c>
      <c r="E5437" s="35">
        <v>41500</v>
      </c>
    </row>
    <row r="5438" spans="1:5" ht="14.25" hidden="1" customHeight="1">
      <c r="A5438" s="16">
        <v>25211295</v>
      </c>
      <c r="B5438" s="17" t="s">
        <v>1953</v>
      </c>
      <c r="C5438" s="17" t="s">
        <v>1954</v>
      </c>
      <c r="D5438" s="5" t="s">
        <v>7701</v>
      </c>
      <c r="E5438" s="35">
        <v>41500</v>
      </c>
    </row>
    <row r="5439" spans="1:5" ht="14.25" hidden="1" customHeight="1">
      <c r="A5439" s="16">
        <v>26782234</v>
      </c>
      <c r="B5439" s="17" t="s">
        <v>7704</v>
      </c>
      <c r="C5439" s="17" t="s">
        <v>1918</v>
      </c>
      <c r="D5439" s="5" t="s">
        <v>7701</v>
      </c>
      <c r="E5439" s="35">
        <v>41500</v>
      </c>
    </row>
    <row r="5440" spans="1:5" ht="14.25" hidden="1" customHeight="1">
      <c r="A5440" s="16">
        <v>26834035</v>
      </c>
      <c r="B5440" s="17" t="s">
        <v>2248</v>
      </c>
      <c r="C5440" s="17" t="s">
        <v>2249</v>
      </c>
      <c r="D5440" s="5" t="s">
        <v>7701</v>
      </c>
      <c r="E5440" s="35">
        <v>41500</v>
      </c>
    </row>
    <row r="5441" spans="1:5" ht="14.25" hidden="1" customHeight="1">
      <c r="A5441" s="16">
        <v>26982291</v>
      </c>
      <c r="B5441" s="17" t="s">
        <v>207</v>
      </c>
      <c r="C5441" s="17" t="s">
        <v>27</v>
      </c>
      <c r="D5441" s="5" t="s">
        <v>7701</v>
      </c>
      <c r="E5441" s="35">
        <v>41500</v>
      </c>
    </row>
    <row r="5442" spans="1:5" ht="14.25" hidden="1" customHeight="1">
      <c r="A5442" s="16">
        <v>27400903</v>
      </c>
      <c r="B5442" s="17" t="s">
        <v>2026</v>
      </c>
      <c r="C5442" s="17" t="s">
        <v>139</v>
      </c>
      <c r="D5442" s="5" t="s">
        <v>7701</v>
      </c>
      <c r="E5442" s="35">
        <v>41500</v>
      </c>
    </row>
    <row r="5443" spans="1:5" ht="14.25" hidden="1" customHeight="1">
      <c r="A5443" s="16">
        <v>28151197</v>
      </c>
      <c r="B5443" s="17" t="s">
        <v>7705</v>
      </c>
      <c r="C5443" s="17" t="s">
        <v>1523</v>
      </c>
      <c r="D5443" s="5" t="s">
        <v>7701</v>
      </c>
      <c r="E5443" s="35">
        <v>41500</v>
      </c>
    </row>
    <row r="5444" spans="1:5" ht="14.25" hidden="1" customHeight="1">
      <c r="A5444" s="16">
        <v>32927634</v>
      </c>
      <c r="B5444" s="17" t="s">
        <v>2283</v>
      </c>
      <c r="C5444" s="17" t="s">
        <v>2286</v>
      </c>
      <c r="D5444" s="5" t="s">
        <v>7701</v>
      </c>
      <c r="E5444" s="35">
        <v>41500</v>
      </c>
    </row>
    <row r="5445" spans="1:5" ht="14.25" hidden="1" customHeight="1">
      <c r="A5445" s="16">
        <v>11116572</v>
      </c>
      <c r="B5445" s="17" t="s">
        <v>2228</v>
      </c>
      <c r="C5445" s="17" t="s">
        <v>1185</v>
      </c>
      <c r="D5445" s="5" t="s">
        <v>7701</v>
      </c>
      <c r="E5445" s="35">
        <v>41499</v>
      </c>
    </row>
    <row r="5446" spans="1:5" ht="14.25" hidden="1" customHeight="1">
      <c r="A5446" s="16">
        <v>11476731</v>
      </c>
      <c r="B5446" s="17" t="s">
        <v>240</v>
      </c>
      <c r="C5446" s="17" t="s">
        <v>5148</v>
      </c>
      <c r="D5446" s="5" t="s">
        <v>7701</v>
      </c>
      <c r="E5446" s="35">
        <v>41499</v>
      </c>
    </row>
    <row r="5447" spans="1:5" ht="14.25" hidden="1" customHeight="1">
      <c r="A5447" s="16">
        <v>11768665</v>
      </c>
      <c r="B5447" s="17" t="s">
        <v>1910</v>
      </c>
      <c r="C5447" s="17" t="s">
        <v>7707</v>
      </c>
      <c r="D5447" s="5" t="s">
        <v>7701</v>
      </c>
      <c r="E5447" s="35">
        <v>41499</v>
      </c>
    </row>
    <row r="5448" spans="1:5" ht="14.25" hidden="1" customHeight="1">
      <c r="A5448" s="16">
        <v>13338251</v>
      </c>
      <c r="B5448" s="17" t="s">
        <v>252</v>
      </c>
      <c r="C5448" s="17" t="s">
        <v>2069</v>
      </c>
      <c r="D5448" s="5" t="s">
        <v>7701</v>
      </c>
      <c r="E5448" s="35">
        <v>41499</v>
      </c>
    </row>
    <row r="5449" spans="1:5" ht="14.25" hidden="1" customHeight="1">
      <c r="A5449" s="16">
        <v>13710024</v>
      </c>
      <c r="B5449" s="17" t="s">
        <v>2296</v>
      </c>
      <c r="C5449" s="17" t="s">
        <v>427</v>
      </c>
      <c r="D5449" s="5" t="s">
        <v>7701</v>
      </c>
      <c r="E5449" s="35">
        <v>41499</v>
      </c>
    </row>
    <row r="5450" spans="1:5" ht="14.25" hidden="1" customHeight="1">
      <c r="A5450" s="16">
        <v>13784794</v>
      </c>
      <c r="B5450" s="17" t="s">
        <v>2021</v>
      </c>
      <c r="C5450" s="17" t="s">
        <v>1146</v>
      </c>
      <c r="D5450" s="5" t="s">
        <v>7701</v>
      </c>
      <c r="E5450" s="35">
        <v>41499</v>
      </c>
    </row>
    <row r="5451" spans="1:5" ht="14.25" hidden="1" customHeight="1">
      <c r="A5451" s="16">
        <v>14073492</v>
      </c>
      <c r="B5451" s="17" t="s">
        <v>7280</v>
      </c>
      <c r="C5451" s="17" t="s">
        <v>2184</v>
      </c>
      <c r="D5451" s="5" t="s">
        <v>7701</v>
      </c>
      <c r="E5451" s="35">
        <v>41499</v>
      </c>
    </row>
    <row r="5452" spans="1:5" ht="14.25" hidden="1" customHeight="1">
      <c r="A5452" s="16">
        <v>14226913</v>
      </c>
      <c r="B5452" s="17" t="s">
        <v>2009</v>
      </c>
      <c r="C5452" s="17" t="s">
        <v>2010</v>
      </c>
      <c r="D5452" s="5" t="s">
        <v>7701</v>
      </c>
      <c r="E5452" s="35">
        <v>41499</v>
      </c>
    </row>
    <row r="5453" spans="1:5" ht="14.25" hidden="1" customHeight="1">
      <c r="A5453" s="16">
        <v>14358242</v>
      </c>
      <c r="B5453" s="17" t="s">
        <v>2160</v>
      </c>
      <c r="C5453" s="17" t="s">
        <v>2161</v>
      </c>
      <c r="D5453" s="5" t="s">
        <v>7701</v>
      </c>
      <c r="E5453" s="35">
        <v>41499</v>
      </c>
    </row>
    <row r="5454" spans="1:5" ht="14.25" hidden="1" customHeight="1">
      <c r="A5454" s="16">
        <v>14601680</v>
      </c>
      <c r="B5454" s="17" t="s">
        <v>2154</v>
      </c>
      <c r="C5454" s="17" t="s">
        <v>2155</v>
      </c>
      <c r="D5454" s="5" t="s">
        <v>7701</v>
      </c>
      <c r="E5454" s="35">
        <v>41499</v>
      </c>
    </row>
    <row r="5455" spans="1:5" ht="14.25" hidden="1" customHeight="1">
      <c r="A5455" s="16">
        <v>16685130</v>
      </c>
      <c r="B5455" s="17" t="s">
        <v>240</v>
      </c>
      <c r="C5455" s="17" t="s">
        <v>2330</v>
      </c>
      <c r="D5455" s="5" t="s">
        <v>7701</v>
      </c>
      <c r="E5455" s="35">
        <v>41499</v>
      </c>
    </row>
    <row r="5456" spans="1:5" ht="14.25" hidden="1" customHeight="1">
      <c r="A5456" s="16">
        <v>17696330</v>
      </c>
      <c r="B5456" s="17" t="s">
        <v>2299</v>
      </c>
      <c r="C5456" s="17" t="s">
        <v>7711</v>
      </c>
      <c r="D5456" s="5" t="s">
        <v>7701</v>
      </c>
      <c r="E5456" s="35">
        <v>41499</v>
      </c>
    </row>
    <row r="5457" spans="1:5" ht="14.25" hidden="1" customHeight="1">
      <c r="A5457" s="16">
        <v>17947952</v>
      </c>
      <c r="B5457" s="17" t="s">
        <v>115</v>
      </c>
      <c r="C5457" s="17" t="s">
        <v>165</v>
      </c>
      <c r="D5457" s="5" t="s">
        <v>7701</v>
      </c>
      <c r="E5457" s="35">
        <v>41499</v>
      </c>
    </row>
    <row r="5458" spans="1:5" ht="14.25" hidden="1" customHeight="1">
      <c r="A5458" s="16">
        <v>20171342</v>
      </c>
      <c r="B5458" s="17" t="s">
        <v>394</v>
      </c>
      <c r="C5458" s="17" t="s">
        <v>2173</v>
      </c>
      <c r="D5458" s="5" t="s">
        <v>7701</v>
      </c>
      <c r="E5458" s="35">
        <v>41499</v>
      </c>
    </row>
    <row r="5459" spans="1:5" ht="14.25" hidden="1" customHeight="1">
      <c r="A5459" s="16">
        <v>22877690</v>
      </c>
      <c r="B5459" s="17" t="s">
        <v>240</v>
      </c>
      <c r="C5459" s="17" t="s">
        <v>2065</v>
      </c>
      <c r="D5459" s="5" t="s">
        <v>7701</v>
      </c>
      <c r="E5459" s="35">
        <v>41499</v>
      </c>
    </row>
    <row r="5460" spans="1:5" ht="14.25" hidden="1" customHeight="1">
      <c r="A5460" s="16">
        <v>23024623</v>
      </c>
      <c r="B5460" s="17" t="s">
        <v>2097</v>
      </c>
      <c r="C5460" s="17" t="s">
        <v>2098</v>
      </c>
      <c r="D5460" s="5" t="s">
        <v>7701</v>
      </c>
      <c r="E5460" s="35">
        <v>41499</v>
      </c>
    </row>
    <row r="5461" spans="1:5" ht="14.25" hidden="1" customHeight="1">
      <c r="A5461" s="16">
        <v>23517363</v>
      </c>
      <c r="B5461" s="17" t="s">
        <v>7708</v>
      </c>
      <c r="C5461" s="17" t="s">
        <v>7709</v>
      </c>
      <c r="D5461" s="5" t="s">
        <v>7701</v>
      </c>
      <c r="E5461" s="35">
        <v>41499</v>
      </c>
    </row>
    <row r="5462" spans="1:5" ht="14.25" hidden="1" customHeight="1">
      <c r="A5462" s="16">
        <v>23827852</v>
      </c>
      <c r="B5462" s="17" t="s">
        <v>2105</v>
      </c>
      <c r="C5462" s="17" t="s">
        <v>2106</v>
      </c>
      <c r="D5462" s="5" t="s">
        <v>7701</v>
      </c>
      <c r="E5462" s="35">
        <v>41499</v>
      </c>
    </row>
    <row r="5463" spans="1:5" ht="14.25" hidden="1" customHeight="1">
      <c r="A5463" s="16">
        <v>25211601</v>
      </c>
      <c r="B5463" s="17" t="s">
        <v>1957</v>
      </c>
      <c r="C5463" s="17" t="s">
        <v>1958</v>
      </c>
      <c r="D5463" s="5" t="s">
        <v>7701</v>
      </c>
      <c r="E5463" s="35">
        <v>41499</v>
      </c>
    </row>
    <row r="5464" spans="1:5" ht="14.25" hidden="1" customHeight="1">
      <c r="A5464" s="16">
        <v>25734719</v>
      </c>
      <c r="B5464" s="17" t="s">
        <v>2026</v>
      </c>
      <c r="C5464" s="17" t="s">
        <v>2029</v>
      </c>
      <c r="D5464" s="5" t="s">
        <v>7701</v>
      </c>
      <c r="E5464" s="35">
        <v>41499</v>
      </c>
    </row>
    <row r="5465" spans="1:5" ht="14.25" hidden="1" customHeight="1">
      <c r="A5465" s="16">
        <v>28222480</v>
      </c>
      <c r="B5465" s="17" t="s">
        <v>1482</v>
      </c>
      <c r="C5465" s="17" t="s">
        <v>1941</v>
      </c>
      <c r="D5465" s="5" t="s">
        <v>7701</v>
      </c>
      <c r="E5465" s="35">
        <v>41499</v>
      </c>
    </row>
    <row r="5466" spans="1:5" ht="14.25" hidden="1" customHeight="1">
      <c r="A5466" s="16">
        <v>30357522</v>
      </c>
      <c r="B5466" s="17" t="s">
        <v>1885</v>
      </c>
      <c r="C5466" s="17" t="s">
        <v>571</v>
      </c>
      <c r="D5466" s="5" t="s">
        <v>7701</v>
      </c>
      <c r="E5466" s="35">
        <v>41499</v>
      </c>
    </row>
    <row r="5467" spans="1:5" ht="14.25" hidden="1" customHeight="1">
      <c r="A5467" s="16">
        <v>31323020</v>
      </c>
      <c r="B5467" s="17" t="s">
        <v>2009</v>
      </c>
      <c r="C5467" s="17" t="s">
        <v>2013</v>
      </c>
      <c r="D5467" s="5" t="s">
        <v>7701</v>
      </c>
      <c r="E5467" s="35">
        <v>41499</v>
      </c>
    </row>
    <row r="5468" spans="1:5" ht="14.25" hidden="1" customHeight="1">
      <c r="A5468" s="16">
        <v>32409113</v>
      </c>
      <c r="B5468" s="17" t="s">
        <v>2042</v>
      </c>
      <c r="C5468" s="17" t="s">
        <v>2043</v>
      </c>
      <c r="D5468" s="5" t="s">
        <v>7701</v>
      </c>
      <c r="E5468" s="35">
        <v>41499</v>
      </c>
    </row>
    <row r="5469" spans="1:5" ht="14.25" hidden="1" customHeight="1">
      <c r="A5469" s="16">
        <v>32501890</v>
      </c>
      <c r="B5469" s="17" t="s">
        <v>2048</v>
      </c>
      <c r="C5469" s="17" t="s">
        <v>2049</v>
      </c>
      <c r="D5469" s="5" t="s">
        <v>7701</v>
      </c>
      <c r="E5469" s="35">
        <v>41499</v>
      </c>
    </row>
    <row r="5470" spans="1:5" ht="14.25" hidden="1" customHeight="1">
      <c r="A5470" s="16">
        <v>32927760</v>
      </c>
      <c r="B5470" s="17" t="s">
        <v>1913</v>
      </c>
      <c r="C5470" s="17" t="s">
        <v>4341</v>
      </c>
      <c r="D5470" s="5" t="s">
        <v>7701</v>
      </c>
      <c r="E5470" s="35">
        <v>41499</v>
      </c>
    </row>
    <row r="5471" spans="1:5" ht="14.25" hidden="1" customHeight="1">
      <c r="A5471" s="16">
        <v>33541638</v>
      </c>
      <c r="B5471" s="17" t="s">
        <v>2310</v>
      </c>
      <c r="C5471" s="17" t="s">
        <v>30</v>
      </c>
      <c r="D5471" s="5" t="s">
        <v>7701</v>
      </c>
      <c r="E5471" s="35">
        <v>41499</v>
      </c>
    </row>
    <row r="5472" spans="1:5" ht="14.25" hidden="1" customHeight="1">
      <c r="A5472" s="16">
        <v>34285844</v>
      </c>
      <c r="B5472" s="25" t="s">
        <v>7710</v>
      </c>
      <c r="C5472" s="17" t="s">
        <v>6482</v>
      </c>
      <c r="D5472" s="5" t="s">
        <v>7701</v>
      </c>
      <c r="E5472" s="35">
        <v>41499</v>
      </c>
    </row>
    <row r="5473" spans="1:5" ht="14.25" hidden="1" customHeight="1">
      <c r="A5473" s="16">
        <v>34287762</v>
      </c>
      <c r="B5473" s="25" t="s">
        <v>1879</v>
      </c>
      <c r="C5473" s="17" t="s">
        <v>1880</v>
      </c>
      <c r="D5473" s="5" t="s">
        <v>7701</v>
      </c>
      <c r="E5473" s="35">
        <v>41499</v>
      </c>
    </row>
    <row r="5474" spans="1:5" ht="14.25" hidden="1" customHeight="1">
      <c r="A5474" s="16">
        <v>36583992</v>
      </c>
      <c r="B5474" s="17" t="s">
        <v>315</v>
      </c>
      <c r="C5474" s="17" t="s">
        <v>2143</v>
      </c>
      <c r="D5474" s="5" t="s">
        <v>7701</v>
      </c>
      <c r="E5474" s="35">
        <v>41499</v>
      </c>
    </row>
    <row r="5475" spans="1:5" ht="14.25" hidden="1" customHeight="1">
      <c r="A5475" s="16">
        <v>6054612</v>
      </c>
      <c r="B5475" s="17" t="s">
        <v>1823</v>
      </c>
      <c r="C5475" s="17" t="s">
        <v>2256</v>
      </c>
      <c r="D5475" s="5" t="s">
        <v>7701</v>
      </c>
      <c r="E5475" s="35">
        <v>41498</v>
      </c>
    </row>
    <row r="5476" spans="1:5" ht="14.25" hidden="1" customHeight="1">
      <c r="A5476" s="16">
        <v>10016709</v>
      </c>
      <c r="B5476" s="17" t="s">
        <v>1190</v>
      </c>
      <c r="C5476" s="17" t="s">
        <v>2205</v>
      </c>
      <c r="D5476" s="5" t="s">
        <v>7701</v>
      </c>
      <c r="E5476" s="35">
        <v>41498</v>
      </c>
    </row>
    <row r="5477" spans="1:5" ht="14.25" hidden="1" customHeight="1">
      <c r="A5477" s="16">
        <v>12352215</v>
      </c>
      <c r="B5477" s="17" t="s">
        <v>7716</v>
      </c>
      <c r="C5477" s="17" t="s">
        <v>296</v>
      </c>
      <c r="D5477" s="5" t="s">
        <v>7701</v>
      </c>
      <c r="E5477" s="35">
        <v>41498</v>
      </c>
    </row>
    <row r="5478" spans="1:5" ht="14.25" hidden="1" customHeight="1">
      <c r="A5478" s="16">
        <v>12449414</v>
      </c>
      <c r="B5478" s="17" t="s">
        <v>2151</v>
      </c>
      <c r="C5478" s="17" t="s">
        <v>2152</v>
      </c>
      <c r="D5478" s="5" t="s">
        <v>7701</v>
      </c>
      <c r="E5478" s="35">
        <v>41498</v>
      </c>
    </row>
    <row r="5479" spans="1:5" ht="14.25" hidden="1" customHeight="1">
      <c r="A5479" s="16">
        <v>12607164</v>
      </c>
      <c r="B5479" s="17" t="s">
        <v>7713</v>
      </c>
      <c r="C5479" s="17" t="s">
        <v>7714</v>
      </c>
      <c r="D5479" s="5" t="s">
        <v>7701</v>
      </c>
      <c r="E5479" s="35">
        <v>41498</v>
      </c>
    </row>
    <row r="5480" spans="1:5" ht="14.25" hidden="1" customHeight="1">
      <c r="A5480" s="16">
        <v>12869130</v>
      </c>
      <c r="B5480" s="17" t="s">
        <v>174</v>
      </c>
      <c r="C5480" s="17" t="s">
        <v>1972</v>
      </c>
      <c r="D5480" s="5" t="s">
        <v>7701</v>
      </c>
      <c r="E5480" s="35">
        <v>41498</v>
      </c>
    </row>
    <row r="5481" spans="1:5" ht="14.25" hidden="1" customHeight="1">
      <c r="A5481" s="16">
        <v>12869490</v>
      </c>
      <c r="B5481" s="17" t="s">
        <v>2071</v>
      </c>
      <c r="C5481" s="17" t="s">
        <v>761</v>
      </c>
      <c r="D5481" s="5" t="s">
        <v>7701</v>
      </c>
      <c r="E5481" s="35">
        <v>41498</v>
      </c>
    </row>
    <row r="5482" spans="1:5" ht="14.25" hidden="1" customHeight="1">
      <c r="A5482" s="16">
        <v>14073571</v>
      </c>
      <c r="B5482" s="17" t="s">
        <v>1190</v>
      </c>
      <c r="C5482" s="17" t="s">
        <v>922</v>
      </c>
      <c r="D5482" s="5" t="s">
        <v>7701</v>
      </c>
      <c r="E5482" s="35">
        <v>41498</v>
      </c>
    </row>
    <row r="5483" spans="1:5" ht="14.25" hidden="1" customHeight="1">
      <c r="A5483" s="16">
        <v>14083928</v>
      </c>
      <c r="B5483" s="17" t="s">
        <v>1926</v>
      </c>
      <c r="C5483" s="17" t="s">
        <v>7712</v>
      </c>
      <c r="D5483" s="5" t="s">
        <v>7701</v>
      </c>
      <c r="E5483" s="35">
        <v>41498</v>
      </c>
    </row>
    <row r="5484" spans="1:5" ht="14.25" hidden="1" customHeight="1">
      <c r="A5484" s="16">
        <v>21747942</v>
      </c>
      <c r="B5484" s="17" t="s">
        <v>2294</v>
      </c>
      <c r="C5484" s="17" t="s">
        <v>2295</v>
      </c>
      <c r="D5484" s="5" t="s">
        <v>7701</v>
      </c>
      <c r="E5484" s="35">
        <v>41498</v>
      </c>
    </row>
    <row r="5485" spans="1:5" ht="14.25" hidden="1" customHeight="1">
      <c r="A5485" s="16">
        <v>21948337</v>
      </c>
      <c r="B5485" s="17" t="s">
        <v>685</v>
      </c>
      <c r="C5485" s="17" t="s">
        <v>2074</v>
      </c>
      <c r="D5485" s="5" t="s">
        <v>7701</v>
      </c>
      <c r="E5485" s="35">
        <v>41498</v>
      </c>
    </row>
    <row r="5486" spans="1:5" ht="14.25" hidden="1" customHeight="1">
      <c r="A5486" s="16">
        <v>22332445</v>
      </c>
      <c r="B5486" s="17" t="s">
        <v>1964</v>
      </c>
      <c r="C5486" s="17" t="s">
        <v>1965</v>
      </c>
      <c r="D5486" s="5" t="s">
        <v>7701</v>
      </c>
      <c r="E5486" s="35">
        <v>41498</v>
      </c>
    </row>
    <row r="5487" spans="1:5" ht="14.25" hidden="1" customHeight="1">
      <c r="A5487" s="16">
        <v>23377039</v>
      </c>
      <c r="B5487" s="17" t="s">
        <v>1119</v>
      </c>
      <c r="C5487" s="17" t="s">
        <v>2078</v>
      </c>
      <c r="D5487" s="5" t="s">
        <v>7701</v>
      </c>
      <c r="E5487" s="35">
        <v>41498</v>
      </c>
    </row>
    <row r="5488" spans="1:5" ht="14.25" hidden="1" customHeight="1">
      <c r="A5488" s="16">
        <v>23827052</v>
      </c>
      <c r="B5488" s="17" t="s">
        <v>2077</v>
      </c>
      <c r="C5488" s="17" t="s">
        <v>27</v>
      </c>
      <c r="D5488" s="5" t="s">
        <v>7701</v>
      </c>
      <c r="E5488" s="35">
        <v>41498</v>
      </c>
    </row>
    <row r="5489" spans="1:5" ht="14.25" hidden="1" customHeight="1">
      <c r="A5489" s="16">
        <v>24503478</v>
      </c>
      <c r="B5489" s="17" t="s">
        <v>2158</v>
      </c>
      <c r="C5489" s="17" t="s">
        <v>2159</v>
      </c>
      <c r="D5489" s="5" t="s">
        <v>7701</v>
      </c>
      <c r="E5489" s="35">
        <v>41498</v>
      </c>
    </row>
    <row r="5490" spans="1:5" ht="14.25" hidden="1" customHeight="1">
      <c r="A5490" s="16">
        <v>24926963</v>
      </c>
      <c r="B5490" s="17" t="s">
        <v>2168</v>
      </c>
      <c r="C5490" s="17" t="s">
        <v>2169</v>
      </c>
      <c r="D5490" s="5" t="s">
        <v>7701</v>
      </c>
      <c r="E5490" s="35">
        <v>41498</v>
      </c>
    </row>
    <row r="5491" spans="1:5" ht="14.25" hidden="1" customHeight="1">
      <c r="A5491" s="16">
        <v>25255996</v>
      </c>
      <c r="B5491" s="17" t="s">
        <v>2262</v>
      </c>
      <c r="C5491" s="25" t="s">
        <v>473</v>
      </c>
      <c r="D5491" s="5" t="s">
        <v>7701</v>
      </c>
      <c r="E5491" s="35">
        <v>41498</v>
      </c>
    </row>
    <row r="5492" spans="1:5" ht="14.25" hidden="1" customHeight="1">
      <c r="A5492" s="16">
        <v>25542289</v>
      </c>
      <c r="B5492" s="17" t="s">
        <v>1190</v>
      </c>
      <c r="C5492" s="17" t="s">
        <v>2209</v>
      </c>
      <c r="D5492" s="5" t="s">
        <v>7701</v>
      </c>
      <c r="E5492" s="35">
        <v>41498</v>
      </c>
    </row>
    <row r="5493" spans="1:5" ht="14.25" hidden="1" customHeight="1">
      <c r="A5493" s="16">
        <v>25844148</v>
      </c>
      <c r="B5493" s="17" t="s">
        <v>199</v>
      </c>
      <c r="C5493" s="17" t="s">
        <v>2005</v>
      </c>
      <c r="D5493" s="5" t="s">
        <v>7701</v>
      </c>
      <c r="E5493" s="35">
        <v>41498</v>
      </c>
    </row>
    <row r="5494" spans="1:5" ht="14.25" hidden="1" customHeight="1">
      <c r="A5494" s="16">
        <v>26019479</v>
      </c>
      <c r="B5494" s="17" t="s">
        <v>342</v>
      </c>
      <c r="C5494" s="17" t="s">
        <v>7715</v>
      </c>
      <c r="D5494" s="5" t="s">
        <v>7701</v>
      </c>
      <c r="E5494" s="35">
        <v>41498</v>
      </c>
    </row>
    <row r="5495" spans="1:5" ht="14.25" hidden="1" customHeight="1">
      <c r="A5495" s="16">
        <v>26501156</v>
      </c>
      <c r="B5495" s="17" t="s">
        <v>2163</v>
      </c>
      <c r="C5495" s="17" t="s">
        <v>579</v>
      </c>
      <c r="D5495" s="5" t="s">
        <v>7701</v>
      </c>
      <c r="E5495" s="35">
        <v>41498</v>
      </c>
    </row>
    <row r="5496" spans="1:5" ht="14.25" hidden="1" customHeight="1">
      <c r="A5496" s="16">
        <v>27594642</v>
      </c>
      <c r="B5496" s="17" t="s">
        <v>308</v>
      </c>
      <c r="C5496" s="17" t="s">
        <v>2125</v>
      </c>
      <c r="D5496" s="5" t="s">
        <v>7701</v>
      </c>
      <c r="E5496" s="35">
        <v>41498</v>
      </c>
    </row>
    <row r="5497" spans="1:5" ht="14.25" hidden="1" customHeight="1">
      <c r="A5497" s="16">
        <v>29640247</v>
      </c>
      <c r="B5497" s="17" t="s">
        <v>2302</v>
      </c>
      <c r="C5497" s="17" t="s">
        <v>2303</v>
      </c>
      <c r="D5497" s="5" t="s">
        <v>7701</v>
      </c>
      <c r="E5497" s="35">
        <v>41498</v>
      </c>
    </row>
    <row r="5498" spans="1:5" ht="14.25" hidden="1" customHeight="1">
      <c r="A5498" s="20">
        <v>17858391</v>
      </c>
      <c r="B5498" s="21" t="s">
        <v>7448</v>
      </c>
      <c r="C5498" s="21" t="s">
        <v>7449</v>
      </c>
      <c r="D5498" s="5" t="s">
        <v>7468</v>
      </c>
      <c r="E5498" s="35">
        <v>41429</v>
      </c>
    </row>
    <row r="5499" spans="1:5" ht="14.25" hidden="1" customHeight="1">
      <c r="A5499" s="20">
        <v>17860016</v>
      </c>
      <c r="B5499" s="21" t="s">
        <v>7725</v>
      </c>
      <c r="C5499" s="21" t="s">
        <v>7726</v>
      </c>
      <c r="D5499" s="5" t="s">
        <v>7468</v>
      </c>
      <c r="E5499" s="35">
        <v>41429</v>
      </c>
    </row>
    <row r="5500" spans="1:5" ht="14.25" hidden="1" customHeight="1">
      <c r="A5500" s="20">
        <v>20051394</v>
      </c>
      <c r="B5500" s="21" t="s">
        <v>7731</v>
      </c>
      <c r="C5500" s="21" t="s">
        <v>7732</v>
      </c>
      <c r="D5500" s="5" t="s">
        <v>7468</v>
      </c>
      <c r="E5500" s="35">
        <v>41429</v>
      </c>
    </row>
    <row r="5501" spans="1:5" ht="14.25" hidden="1" customHeight="1">
      <c r="A5501" s="20">
        <v>22806056</v>
      </c>
      <c r="B5501" s="21" t="s">
        <v>7727</v>
      </c>
      <c r="C5501" s="21" t="s">
        <v>7728</v>
      </c>
      <c r="D5501" s="5" t="s">
        <v>7468</v>
      </c>
      <c r="E5501" s="35">
        <v>41429</v>
      </c>
    </row>
    <row r="5502" spans="1:5" ht="14.25" hidden="1" customHeight="1">
      <c r="A5502" s="20">
        <v>25843239</v>
      </c>
      <c r="B5502" s="21" t="s">
        <v>7729</v>
      </c>
      <c r="C5502" s="21" t="s">
        <v>7730</v>
      </c>
      <c r="D5502" s="5" t="s">
        <v>7468</v>
      </c>
      <c r="E5502" s="35">
        <v>41429</v>
      </c>
    </row>
    <row r="5503" spans="1:5" ht="14.25" hidden="1" customHeight="1">
      <c r="A5503" s="20">
        <v>28223716</v>
      </c>
      <c r="B5503" s="21" t="s">
        <v>7724</v>
      </c>
      <c r="C5503" s="21" t="s">
        <v>7443</v>
      </c>
      <c r="D5503" s="5" t="s">
        <v>7468</v>
      </c>
      <c r="E5503" s="35">
        <v>41429</v>
      </c>
    </row>
    <row r="5504" spans="1:5" ht="14.25" hidden="1" customHeight="1">
      <c r="A5504" s="20">
        <v>30497477</v>
      </c>
      <c r="B5504" s="21" t="s">
        <v>7719</v>
      </c>
      <c r="C5504" s="21" t="s">
        <v>7720</v>
      </c>
      <c r="D5504" s="5" t="s">
        <v>7468</v>
      </c>
      <c r="E5504" s="35">
        <v>41429</v>
      </c>
    </row>
    <row r="5505" spans="1:5" ht="14.25" hidden="1" customHeight="1">
      <c r="A5505" s="20">
        <v>31052533</v>
      </c>
      <c r="B5505" s="21" t="s">
        <v>7615</v>
      </c>
      <c r="C5505" s="21" t="s">
        <v>7723</v>
      </c>
      <c r="D5505" s="5" t="s">
        <v>7468</v>
      </c>
      <c r="E5505" s="35">
        <v>41429</v>
      </c>
    </row>
    <row r="5506" spans="1:5" ht="14.25" hidden="1" customHeight="1">
      <c r="A5506" s="20">
        <v>32629805</v>
      </c>
      <c r="B5506" s="21" t="s">
        <v>7717</v>
      </c>
      <c r="C5506" s="21" t="s">
        <v>7718</v>
      </c>
      <c r="D5506" s="5" t="s">
        <v>7468</v>
      </c>
      <c r="E5506" s="35">
        <v>41429</v>
      </c>
    </row>
    <row r="5507" spans="1:5" ht="14.25" hidden="1" customHeight="1">
      <c r="A5507" s="20">
        <v>33703738</v>
      </c>
      <c r="B5507" s="21" t="s">
        <v>7721</v>
      </c>
      <c r="C5507" s="21" t="s">
        <v>7722</v>
      </c>
      <c r="D5507" s="5" t="s">
        <v>7468</v>
      </c>
      <c r="E5507" s="35">
        <v>41429</v>
      </c>
    </row>
    <row r="5508" spans="1:5" ht="14.25" hidden="1" customHeight="1">
      <c r="A5508" s="20">
        <v>10012573</v>
      </c>
      <c r="B5508" s="21" t="s">
        <v>7615</v>
      </c>
      <c r="C5508" s="21" t="s">
        <v>7737</v>
      </c>
      <c r="D5508" s="5" t="s">
        <v>7018</v>
      </c>
      <c r="E5508" s="35">
        <v>41429</v>
      </c>
    </row>
    <row r="5509" spans="1:5" ht="14.25" hidden="1" customHeight="1">
      <c r="A5509" s="20">
        <v>13278802</v>
      </c>
      <c r="B5509" s="21" t="s">
        <v>7735</v>
      </c>
      <c r="C5509" s="21" t="s">
        <v>7736</v>
      </c>
      <c r="D5509" s="5" t="s">
        <v>7018</v>
      </c>
      <c r="E5509" s="35">
        <v>41429</v>
      </c>
    </row>
    <row r="5510" spans="1:5" ht="14.25" hidden="1" customHeight="1">
      <c r="A5510" s="20">
        <v>16541466</v>
      </c>
      <c r="B5510" s="21" t="s">
        <v>7733</v>
      </c>
      <c r="C5510" s="21" t="s">
        <v>7734</v>
      </c>
      <c r="D5510" s="5" t="s">
        <v>7018</v>
      </c>
      <c r="E5510" s="35">
        <v>41429</v>
      </c>
    </row>
    <row r="5511" spans="1:5" ht="14.25" hidden="1" customHeight="1">
      <c r="A5511" s="20">
        <v>17613465</v>
      </c>
      <c r="B5511" s="21" t="s">
        <v>7748</v>
      </c>
      <c r="C5511" s="21" t="s">
        <v>7749</v>
      </c>
      <c r="D5511" s="5" t="s">
        <v>7018</v>
      </c>
      <c r="E5511" s="35">
        <v>41429</v>
      </c>
    </row>
    <row r="5512" spans="1:5" ht="14.25" hidden="1" customHeight="1">
      <c r="A5512" s="20">
        <v>17947073</v>
      </c>
      <c r="B5512" s="21" t="s">
        <v>7740</v>
      </c>
      <c r="C5512" s="21" t="s">
        <v>6895</v>
      </c>
      <c r="D5512" s="5" t="s">
        <v>7018</v>
      </c>
      <c r="E5512" s="35">
        <v>41429</v>
      </c>
    </row>
    <row r="5513" spans="1:5" ht="14.25" hidden="1" customHeight="1">
      <c r="A5513" s="20">
        <v>24059125</v>
      </c>
      <c r="B5513" s="21" t="s">
        <v>7738</v>
      </c>
      <c r="C5513" s="21" t="s">
        <v>7739</v>
      </c>
      <c r="D5513" s="5" t="s">
        <v>7018</v>
      </c>
      <c r="E5513" s="35">
        <v>41429</v>
      </c>
    </row>
    <row r="5514" spans="1:5" ht="14.25" hidden="1" customHeight="1">
      <c r="A5514" s="20">
        <v>27210672</v>
      </c>
      <c r="B5514" s="21" t="s">
        <v>7476</v>
      </c>
      <c r="C5514" s="21" t="s">
        <v>7743</v>
      </c>
      <c r="D5514" s="5" t="s">
        <v>7018</v>
      </c>
      <c r="E5514" s="35">
        <v>41429</v>
      </c>
    </row>
    <row r="5515" spans="1:5" ht="14.25" hidden="1" customHeight="1">
      <c r="A5515" s="20">
        <v>29914125</v>
      </c>
      <c r="B5515" s="21" t="s">
        <v>7741</v>
      </c>
      <c r="C5515" s="21" t="s">
        <v>7742</v>
      </c>
      <c r="D5515" s="5" t="s">
        <v>7018</v>
      </c>
      <c r="E5515" s="35">
        <v>41429</v>
      </c>
    </row>
    <row r="5516" spans="1:5" ht="14.25" hidden="1" customHeight="1">
      <c r="A5516" s="20">
        <v>33697688</v>
      </c>
      <c r="B5516" s="21" t="s">
        <v>7746</v>
      </c>
      <c r="C5516" s="21" t="s">
        <v>7747</v>
      </c>
      <c r="D5516" s="5" t="s">
        <v>7018</v>
      </c>
      <c r="E5516" s="35">
        <v>41429</v>
      </c>
    </row>
    <row r="5517" spans="1:5" ht="14.25" hidden="1" customHeight="1">
      <c r="A5517" s="20">
        <v>34133567</v>
      </c>
      <c r="B5517" s="21" t="s">
        <v>7744</v>
      </c>
      <c r="C5517" s="21" t="s">
        <v>7745</v>
      </c>
      <c r="D5517" s="5" t="s">
        <v>7018</v>
      </c>
      <c r="E5517" s="35">
        <v>41429</v>
      </c>
    </row>
    <row r="5518" spans="1:5" ht="14.25" hidden="1" customHeight="1">
      <c r="A5518" s="20">
        <v>10013189</v>
      </c>
      <c r="B5518" s="21" t="s">
        <v>7753</v>
      </c>
      <c r="C5518" s="21" t="s">
        <v>7754</v>
      </c>
      <c r="D5518" s="5" t="s">
        <v>7752</v>
      </c>
      <c r="E5518" s="35">
        <v>41428</v>
      </c>
    </row>
    <row r="5519" spans="1:5" ht="14.25" hidden="1" customHeight="1">
      <c r="A5519" s="20">
        <v>12475984</v>
      </c>
      <c r="B5519" s="21" t="s">
        <v>7769</v>
      </c>
      <c r="C5519" s="21" t="s">
        <v>7548</v>
      </c>
      <c r="D5519" s="5" t="s">
        <v>7752</v>
      </c>
      <c r="E5519" s="35">
        <v>41428</v>
      </c>
    </row>
    <row r="5520" spans="1:5" ht="14.25" hidden="1" customHeight="1">
      <c r="A5520" s="20">
        <v>13557502</v>
      </c>
      <c r="B5520" s="21" t="s">
        <v>7765</v>
      </c>
      <c r="C5520" s="21" t="s">
        <v>7766</v>
      </c>
      <c r="D5520" s="5" t="s">
        <v>7752</v>
      </c>
      <c r="E5520" s="35">
        <v>41428</v>
      </c>
    </row>
    <row r="5521" spans="1:5" ht="14.25" hidden="1" customHeight="1">
      <c r="A5521" s="20">
        <v>14706492</v>
      </c>
      <c r="B5521" s="21" t="s">
        <v>7750</v>
      </c>
      <c r="C5521" s="21" t="s">
        <v>7751</v>
      </c>
      <c r="D5521" s="5" t="s">
        <v>7752</v>
      </c>
      <c r="E5521" s="35">
        <v>41428</v>
      </c>
    </row>
    <row r="5522" spans="1:5" ht="14.25" hidden="1" customHeight="1">
      <c r="A5522" s="20">
        <v>16132924</v>
      </c>
      <c r="B5522" s="21" t="s">
        <v>7763</v>
      </c>
      <c r="C5522" s="21" t="s">
        <v>7764</v>
      </c>
      <c r="D5522" s="5" t="s">
        <v>7752</v>
      </c>
      <c r="E5522" s="35">
        <v>41428</v>
      </c>
    </row>
    <row r="5523" spans="1:5" ht="14.25" hidden="1" customHeight="1">
      <c r="A5523" s="20">
        <v>17041215</v>
      </c>
      <c r="B5523" s="21" t="s">
        <v>7757</v>
      </c>
      <c r="C5523" s="21" t="s">
        <v>7758</v>
      </c>
      <c r="D5523" s="5" t="s">
        <v>7752</v>
      </c>
      <c r="E5523" s="35">
        <v>41428</v>
      </c>
    </row>
    <row r="5524" spans="1:5" ht="14.25" hidden="1" customHeight="1">
      <c r="A5524" s="20">
        <v>17961115</v>
      </c>
      <c r="B5524" s="21" t="s">
        <v>7759</v>
      </c>
      <c r="C5524" s="21" t="s">
        <v>7760</v>
      </c>
      <c r="D5524" s="5" t="s">
        <v>7752</v>
      </c>
      <c r="E5524" s="35">
        <v>41428</v>
      </c>
    </row>
    <row r="5525" spans="1:5" ht="14.25" hidden="1" customHeight="1">
      <c r="A5525" s="20">
        <v>23564843</v>
      </c>
      <c r="B5525" s="21" t="s">
        <v>7767</v>
      </c>
      <c r="C5525" s="21" t="s">
        <v>7768</v>
      </c>
      <c r="D5525" s="5" t="s">
        <v>7752</v>
      </c>
      <c r="E5525" s="35">
        <v>41428</v>
      </c>
    </row>
    <row r="5526" spans="1:5" ht="14.25" hidden="1" customHeight="1">
      <c r="A5526" s="20">
        <v>28221068</v>
      </c>
      <c r="B5526" s="21" t="s">
        <v>7755</v>
      </c>
      <c r="C5526" s="21" t="s">
        <v>7726</v>
      </c>
      <c r="D5526" s="5" t="s">
        <v>7752</v>
      </c>
      <c r="E5526" s="35">
        <v>41428</v>
      </c>
    </row>
    <row r="5527" spans="1:5" ht="14.25" hidden="1" customHeight="1">
      <c r="A5527" s="20">
        <v>32459564</v>
      </c>
      <c r="B5527" s="21" t="s">
        <v>7414</v>
      </c>
      <c r="C5527" s="21" t="s">
        <v>7756</v>
      </c>
      <c r="D5527" s="5" t="s">
        <v>7752</v>
      </c>
      <c r="E5527" s="35">
        <v>41428</v>
      </c>
    </row>
    <row r="5528" spans="1:5" ht="14.25" hidden="1" customHeight="1">
      <c r="A5528" s="20">
        <v>33163552</v>
      </c>
      <c r="B5528" s="21" t="s">
        <v>7761</v>
      </c>
      <c r="C5528" s="21" t="s">
        <v>7762</v>
      </c>
      <c r="D5528" s="5" t="s">
        <v>7752</v>
      </c>
      <c r="E5528" s="35">
        <v>41428</v>
      </c>
    </row>
    <row r="5529" spans="1:5" ht="14.25" hidden="1" customHeight="1">
      <c r="A5529" s="16">
        <v>6054547</v>
      </c>
      <c r="B5529" s="17" t="s">
        <v>7642</v>
      </c>
      <c r="C5529" s="17" t="s">
        <v>7624</v>
      </c>
      <c r="D5529" s="5" t="s">
        <v>7770</v>
      </c>
      <c r="E5529" s="35">
        <v>41414</v>
      </c>
    </row>
    <row r="5530" spans="1:5" ht="14.25" hidden="1" customHeight="1">
      <c r="A5530" s="16">
        <v>10221705</v>
      </c>
      <c r="B5530" s="17" t="s">
        <v>226</v>
      </c>
      <c r="C5530" s="17" t="s">
        <v>2052</v>
      </c>
      <c r="D5530" s="5" t="s">
        <v>7770</v>
      </c>
      <c r="E5530" s="35">
        <v>41414</v>
      </c>
    </row>
    <row r="5531" spans="1:5" ht="14.25" hidden="1" customHeight="1">
      <c r="A5531" s="16">
        <v>11116572</v>
      </c>
      <c r="B5531" s="17" t="s">
        <v>2228</v>
      </c>
      <c r="C5531" s="17" t="s">
        <v>1185</v>
      </c>
      <c r="D5531" s="5" t="s">
        <v>7770</v>
      </c>
      <c r="E5531" s="35">
        <v>41414</v>
      </c>
    </row>
    <row r="5532" spans="1:5" ht="14.25" hidden="1" customHeight="1">
      <c r="A5532" s="16">
        <v>11768665</v>
      </c>
      <c r="B5532" s="25" t="s">
        <v>1910</v>
      </c>
      <c r="C5532" s="25" t="s">
        <v>1748</v>
      </c>
      <c r="D5532" s="5" t="s">
        <v>7770</v>
      </c>
      <c r="E5532" s="35">
        <v>41414</v>
      </c>
    </row>
    <row r="5533" spans="1:5" ht="14.25" hidden="1" customHeight="1">
      <c r="A5533" s="16">
        <v>12149654</v>
      </c>
      <c r="B5533" s="17" t="s">
        <v>394</v>
      </c>
      <c r="C5533" s="17" t="s">
        <v>395</v>
      </c>
      <c r="D5533" s="5" t="s">
        <v>7770</v>
      </c>
      <c r="E5533" s="35">
        <v>41414</v>
      </c>
    </row>
    <row r="5534" spans="1:5" ht="14.25" hidden="1" customHeight="1">
      <c r="A5534" s="16">
        <v>13338251</v>
      </c>
      <c r="B5534" s="17" t="s">
        <v>7771</v>
      </c>
      <c r="C5534" s="17" t="s">
        <v>2069</v>
      </c>
      <c r="D5534" s="5" t="s">
        <v>7770</v>
      </c>
      <c r="E5534" s="35">
        <v>41414</v>
      </c>
    </row>
    <row r="5535" spans="1:5" ht="14.25" hidden="1" customHeight="1">
      <c r="A5535" s="16">
        <v>13338251</v>
      </c>
      <c r="B5535" s="25" t="s">
        <v>7771</v>
      </c>
      <c r="C5535" s="25" t="s">
        <v>2069</v>
      </c>
      <c r="D5535" s="5" t="s">
        <v>7770</v>
      </c>
      <c r="E5535" s="35">
        <v>41414</v>
      </c>
    </row>
    <row r="5536" spans="1:5" ht="14.25" hidden="1" customHeight="1">
      <c r="A5536" s="16">
        <v>14359977</v>
      </c>
      <c r="B5536" s="17" t="s">
        <v>335</v>
      </c>
      <c r="C5536" s="17" t="s">
        <v>336</v>
      </c>
      <c r="D5536" s="5" t="s">
        <v>7770</v>
      </c>
      <c r="E5536" s="35">
        <v>41414</v>
      </c>
    </row>
    <row r="5537" spans="1:5" ht="14.25" hidden="1" customHeight="1">
      <c r="A5537" s="16">
        <v>16314577</v>
      </c>
      <c r="B5537" s="17" t="s">
        <v>377</v>
      </c>
      <c r="C5537" s="17" t="s">
        <v>378</v>
      </c>
      <c r="D5537" s="5" t="s">
        <v>7770</v>
      </c>
      <c r="E5537" s="35">
        <v>41414</v>
      </c>
    </row>
    <row r="5538" spans="1:5" ht="14.25" hidden="1" customHeight="1">
      <c r="A5538" s="16">
        <v>17859276</v>
      </c>
      <c r="B5538" s="17" t="s">
        <v>327</v>
      </c>
      <c r="C5538" s="17" t="s">
        <v>333</v>
      </c>
      <c r="D5538" s="5" t="s">
        <v>7770</v>
      </c>
      <c r="E5538" s="35">
        <v>41414</v>
      </c>
    </row>
    <row r="5539" spans="1:5" ht="14.25" hidden="1" customHeight="1">
      <c r="A5539" s="16">
        <v>17859807</v>
      </c>
      <c r="B5539" s="25" t="s">
        <v>413</v>
      </c>
      <c r="C5539" s="17" t="s">
        <v>5674</v>
      </c>
      <c r="D5539" s="5" t="s">
        <v>7770</v>
      </c>
      <c r="E5539" s="35">
        <v>41414</v>
      </c>
    </row>
    <row r="5540" spans="1:5" ht="14.25" hidden="1" customHeight="1">
      <c r="A5540" s="16">
        <v>17947952</v>
      </c>
      <c r="B5540" s="25" t="s">
        <v>115</v>
      </c>
      <c r="C5540" s="25" t="s">
        <v>1931</v>
      </c>
      <c r="D5540" s="5" t="s">
        <v>7770</v>
      </c>
      <c r="E5540" s="35">
        <v>41414</v>
      </c>
    </row>
    <row r="5541" spans="1:5" ht="14.25" hidden="1" customHeight="1">
      <c r="A5541" s="16">
        <v>20218225</v>
      </c>
      <c r="B5541" s="25" t="s">
        <v>3282</v>
      </c>
      <c r="C5541" s="25" t="s">
        <v>1208</v>
      </c>
      <c r="D5541" s="5" t="s">
        <v>7770</v>
      </c>
      <c r="E5541" s="35">
        <v>41414</v>
      </c>
    </row>
    <row r="5542" spans="1:5" ht="14.25" hidden="1" customHeight="1">
      <c r="A5542" s="16">
        <v>20218903</v>
      </c>
      <c r="B5542" s="17" t="s">
        <v>633</v>
      </c>
      <c r="C5542" s="17" t="s">
        <v>27</v>
      </c>
      <c r="D5542" s="5" t="s">
        <v>7770</v>
      </c>
      <c r="E5542" s="35">
        <v>41414</v>
      </c>
    </row>
    <row r="5543" spans="1:5" ht="14.25" hidden="1" customHeight="1">
      <c r="A5543" s="16">
        <v>20759580</v>
      </c>
      <c r="B5543" s="25" t="s">
        <v>118</v>
      </c>
      <c r="C5543" s="25" t="s">
        <v>119</v>
      </c>
      <c r="D5543" s="5" t="s">
        <v>7770</v>
      </c>
      <c r="E5543" s="35">
        <v>41414</v>
      </c>
    </row>
    <row r="5544" spans="1:5" ht="14.25" hidden="1" customHeight="1">
      <c r="A5544" s="16">
        <v>20977097</v>
      </c>
      <c r="B5544" s="17" t="s">
        <v>167</v>
      </c>
      <c r="C5544" s="17" t="s">
        <v>168</v>
      </c>
      <c r="D5544" s="5" t="s">
        <v>7770</v>
      </c>
      <c r="E5544" s="35">
        <v>41414</v>
      </c>
    </row>
    <row r="5545" spans="1:5" ht="14.25" hidden="1" customHeight="1">
      <c r="A5545" s="16">
        <v>22073026</v>
      </c>
      <c r="B5545" s="17" t="s">
        <v>2195</v>
      </c>
      <c r="C5545" s="17" t="s">
        <v>783</v>
      </c>
      <c r="D5545" s="5" t="s">
        <v>7770</v>
      </c>
      <c r="E5545" s="35">
        <v>41414</v>
      </c>
    </row>
    <row r="5546" spans="1:5" ht="14.25" hidden="1" customHeight="1">
      <c r="A5546" s="16">
        <v>22877690</v>
      </c>
      <c r="B5546" s="17" t="s">
        <v>240</v>
      </c>
      <c r="C5546" s="17" t="s">
        <v>2065</v>
      </c>
      <c r="D5546" s="5" t="s">
        <v>7770</v>
      </c>
      <c r="E5546" s="35">
        <v>41414</v>
      </c>
    </row>
    <row r="5547" spans="1:5" ht="14.25" hidden="1" customHeight="1">
      <c r="A5547" s="16">
        <v>23517786</v>
      </c>
      <c r="B5547" s="17" t="s">
        <v>377</v>
      </c>
      <c r="C5547" s="17" t="s">
        <v>97</v>
      </c>
      <c r="D5547" s="5" t="s">
        <v>7770</v>
      </c>
      <c r="E5547" s="35">
        <v>41414</v>
      </c>
    </row>
    <row r="5548" spans="1:5" ht="14.25" hidden="1" customHeight="1">
      <c r="A5548" s="16">
        <v>24503707</v>
      </c>
      <c r="B5548" s="17" t="s">
        <v>410</v>
      </c>
      <c r="C5548" s="17" t="s">
        <v>2802</v>
      </c>
      <c r="D5548" s="5" t="s">
        <v>7770</v>
      </c>
      <c r="E5548" s="35">
        <v>41414</v>
      </c>
    </row>
    <row r="5549" spans="1:5" ht="14.25" hidden="1" customHeight="1">
      <c r="A5549" s="16">
        <v>25211295</v>
      </c>
      <c r="B5549" s="17" t="s">
        <v>1953</v>
      </c>
      <c r="C5549" s="17" t="s">
        <v>1954</v>
      </c>
      <c r="D5549" s="5" t="s">
        <v>7770</v>
      </c>
      <c r="E5549" s="35">
        <v>41414</v>
      </c>
    </row>
    <row r="5550" spans="1:5" ht="14.25" hidden="1" customHeight="1">
      <c r="A5550" s="16">
        <v>27512927</v>
      </c>
      <c r="B5550" s="17" t="s">
        <v>6209</v>
      </c>
      <c r="C5550" s="17" t="s">
        <v>6210</v>
      </c>
      <c r="D5550" s="5" t="s">
        <v>7770</v>
      </c>
      <c r="E5550" s="35">
        <v>41414</v>
      </c>
    </row>
    <row r="5551" spans="1:5" ht="14.25" hidden="1" customHeight="1">
      <c r="A5551" s="16">
        <v>27843241</v>
      </c>
      <c r="B5551" s="17" t="s">
        <v>26</v>
      </c>
      <c r="C5551" s="17" t="s">
        <v>36</v>
      </c>
      <c r="D5551" s="5" t="s">
        <v>7770</v>
      </c>
      <c r="E5551" s="35">
        <v>41414</v>
      </c>
    </row>
    <row r="5552" spans="1:5" ht="14.25" hidden="1" customHeight="1">
      <c r="A5552" s="16">
        <v>29745026</v>
      </c>
      <c r="B5552" s="17" t="s">
        <v>6388</v>
      </c>
      <c r="C5552" s="17" t="s">
        <v>6389</v>
      </c>
      <c r="D5552" s="5" t="s">
        <v>7770</v>
      </c>
      <c r="E5552" s="35">
        <v>41414</v>
      </c>
    </row>
    <row r="5553" spans="1:5" ht="14.25" hidden="1" customHeight="1">
      <c r="A5553" s="16">
        <v>30497427</v>
      </c>
      <c r="B5553" s="17" t="s">
        <v>662</v>
      </c>
      <c r="C5553" s="17" t="s">
        <v>1074</v>
      </c>
      <c r="D5553" s="5" t="s">
        <v>7770</v>
      </c>
      <c r="E5553" s="35">
        <v>41414</v>
      </c>
    </row>
    <row r="5554" spans="1:5" ht="14.25" hidden="1" customHeight="1">
      <c r="A5554" s="16">
        <v>32460389</v>
      </c>
      <c r="B5554" s="17" t="s">
        <v>1762</v>
      </c>
      <c r="C5554" s="17" t="s">
        <v>571</v>
      </c>
      <c r="D5554" s="5" t="s">
        <v>7770</v>
      </c>
      <c r="E5554" s="35">
        <v>41414</v>
      </c>
    </row>
    <row r="5555" spans="1:5" ht="14.25" hidden="1" customHeight="1">
      <c r="A5555" s="16">
        <v>10910039</v>
      </c>
      <c r="B5555" s="17" t="s">
        <v>2460</v>
      </c>
      <c r="C5555" s="17" t="s">
        <v>4509</v>
      </c>
      <c r="D5555" s="5" t="s">
        <v>7772</v>
      </c>
      <c r="E5555" s="35">
        <v>41411</v>
      </c>
    </row>
    <row r="5556" spans="1:5" ht="14.25" hidden="1" customHeight="1">
      <c r="A5556" s="16">
        <v>12609337</v>
      </c>
      <c r="B5556" s="25" t="s">
        <v>3676</v>
      </c>
      <c r="C5556" s="17" t="s">
        <v>7659</v>
      </c>
      <c r="D5556" s="5" t="s">
        <v>7772</v>
      </c>
      <c r="E5556" s="35">
        <v>41411</v>
      </c>
    </row>
    <row r="5557" spans="1:5" ht="14.25" hidden="1" customHeight="1">
      <c r="A5557" s="16">
        <v>14358737</v>
      </c>
      <c r="B5557" s="17" t="s">
        <v>2995</v>
      </c>
      <c r="C5557" s="17" t="s">
        <v>1191</v>
      </c>
      <c r="D5557" s="5" t="s">
        <v>7772</v>
      </c>
      <c r="E5557" s="35">
        <v>41411</v>
      </c>
    </row>
    <row r="5558" spans="1:5" ht="14.25" hidden="1" customHeight="1">
      <c r="A5558" s="16">
        <v>14359662</v>
      </c>
      <c r="B5558" s="17" t="s">
        <v>3770</v>
      </c>
      <c r="C5558" s="17" t="s">
        <v>3771</v>
      </c>
      <c r="D5558" s="5" t="s">
        <v>7772</v>
      </c>
      <c r="E5558" s="35">
        <v>41411</v>
      </c>
    </row>
    <row r="5559" spans="1:5" ht="14.25" hidden="1" customHeight="1">
      <c r="A5559" s="16">
        <v>16132924</v>
      </c>
      <c r="B5559" s="17" t="s">
        <v>4574</v>
      </c>
      <c r="C5559" s="17" t="s">
        <v>165</v>
      </c>
      <c r="D5559" s="5" t="s">
        <v>7772</v>
      </c>
      <c r="E5559" s="35">
        <v>41411</v>
      </c>
    </row>
    <row r="5560" spans="1:5" ht="14.25" hidden="1" customHeight="1">
      <c r="A5560" s="16">
        <v>16314512</v>
      </c>
      <c r="B5560" s="17" t="s">
        <v>7773</v>
      </c>
      <c r="C5560" s="17" t="s">
        <v>2561</v>
      </c>
      <c r="D5560" s="5" t="s">
        <v>7772</v>
      </c>
      <c r="E5560" s="35">
        <v>41411</v>
      </c>
    </row>
    <row r="5561" spans="1:5" ht="14.25" hidden="1" customHeight="1">
      <c r="A5561" s="16">
        <v>16685009</v>
      </c>
      <c r="B5561" s="17" t="s">
        <v>2936</v>
      </c>
      <c r="C5561" s="17" t="s">
        <v>7222</v>
      </c>
      <c r="D5561" s="5" t="s">
        <v>7772</v>
      </c>
      <c r="E5561" s="35">
        <v>41411</v>
      </c>
    </row>
    <row r="5562" spans="1:5" ht="14.25" hidden="1" customHeight="1">
      <c r="A5562" s="16">
        <v>17377987</v>
      </c>
      <c r="B5562" s="17" t="s">
        <v>659</v>
      </c>
      <c r="C5562" s="17" t="s">
        <v>1082</v>
      </c>
      <c r="D5562" s="5" t="s">
        <v>7772</v>
      </c>
      <c r="E5562" s="35">
        <v>41411</v>
      </c>
    </row>
    <row r="5563" spans="1:5" ht="14.25" hidden="1" customHeight="1">
      <c r="A5563" s="16">
        <v>17858365</v>
      </c>
      <c r="B5563" s="17" t="s">
        <v>2956</v>
      </c>
      <c r="C5563" s="17" t="s">
        <v>2957</v>
      </c>
      <c r="D5563" s="5" t="s">
        <v>7772</v>
      </c>
      <c r="E5563" s="35">
        <v>41411</v>
      </c>
    </row>
    <row r="5564" spans="1:5" ht="14.25" hidden="1" customHeight="1">
      <c r="A5564" s="16">
        <v>18176998</v>
      </c>
      <c r="B5564" s="17" t="s">
        <v>2087</v>
      </c>
      <c r="C5564" s="17" t="s">
        <v>3738</v>
      </c>
      <c r="D5564" s="5" t="s">
        <v>7772</v>
      </c>
      <c r="E5564" s="35">
        <v>41411</v>
      </c>
    </row>
    <row r="5565" spans="1:5" ht="14.25" hidden="1" customHeight="1">
      <c r="A5565" s="16">
        <v>18465826</v>
      </c>
      <c r="B5565" s="17" t="s">
        <v>1482</v>
      </c>
      <c r="C5565" s="17" t="s">
        <v>876</v>
      </c>
      <c r="D5565" s="5" t="s">
        <v>7772</v>
      </c>
      <c r="E5565" s="35">
        <v>41411</v>
      </c>
    </row>
    <row r="5566" spans="1:5" ht="14.25" hidden="1" customHeight="1">
      <c r="A5566" s="16">
        <v>21327352</v>
      </c>
      <c r="B5566" s="17" t="s">
        <v>7774</v>
      </c>
      <c r="C5566" s="17" t="s">
        <v>3466</v>
      </c>
      <c r="D5566" s="5" t="s">
        <v>7772</v>
      </c>
      <c r="E5566" s="35">
        <v>41411</v>
      </c>
    </row>
    <row r="5567" spans="1:5" ht="14.25" hidden="1" customHeight="1">
      <c r="A5567" s="16">
        <v>24338410</v>
      </c>
      <c r="B5567" s="17" t="s">
        <v>5849</v>
      </c>
      <c r="C5567" s="17" t="s">
        <v>455</v>
      </c>
      <c r="D5567" s="5" t="s">
        <v>7772</v>
      </c>
      <c r="E5567" s="35">
        <v>41411</v>
      </c>
    </row>
    <row r="5568" spans="1:5" ht="14.25" hidden="1" customHeight="1">
      <c r="A5568" s="16">
        <v>27454217</v>
      </c>
      <c r="B5568" s="17" t="s">
        <v>3800</v>
      </c>
      <c r="C5568" s="17" t="s">
        <v>3801</v>
      </c>
      <c r="D5568" s="5" t="s">
        <v>7772</v>
      </c>
      <c r="E5568" s="35">
        <v>41411</v>
      </c>
    </row>
    <row r="5569" spans="1:5" ht="14.25" hidden="1" customHeight="1">
      <c r="A5569" s="16">
        <v>29997979</v>
      </c>
      <c r="B5569" s="17" t="s">
        <v>4512</v>
      </c>
      <c r="C5569" s="17" t="s">
        <v>527</v>
      </c>
      <c r="D5569" s="5" t="s">
        <v>7772</v>
      </c>
      <c r="E5569" s="35">
        <v>41411</v>
      </c>
    </row>
    <row r="5570" spans="1:5" ht="14.25" hidden="1" customHeight="1">
      <c r="A5570" s="16">
        <v>30497720</v>
      </c>
      <c r="B5570" s="17" t="s">
        <v>2990</v>
      </c>
      <c r="C5570" s="17" t="s">
        <v>6443</v>
      </c>
      <c r="D5570" s="5" t="s">
        <v>7772</v>
      </c>
      <c r="E5570" s="35">
        <v>41411</v>
      </c>
    </row>
    <row r="5571" spans="1:5" ht="14.25" hidden="1" customHeight="1">
      <c r="A5571" s="16">
        <v>32012359</v>
      </c>
      <c r="B5571" s="17" t="s">
        <v>2961</v>
      </c>
      <c r="C5571" s="17" t="s">
        <v>253</v>
      </c>
      <c r="D5571" s="5" t="s">
        <v>7772</v>
      </c>
      <c r="E5571" s="35">
        <v>41411</v>
      </c>
    </row>
    <row r="5572" spans="1:5" ht="14.25" hidden="1" customHeight="1">
      <c r="A5572" s="16">
        <v>33889499</v>
      </c>
      <c r="B5572" s="25" t="s">
        <v>734</v>
      </c>
      <c r="C5572" s="25" t="s">
        <v>7352</v>
      </c>
      <c r="D5572" s="5" t="s">
        <v>7772</v>
      </c>
      <c r="E5572" s="35">
        <v>41411</v>
      </c>
    </row>
    <row r="5573" spans="1:5" ht="14.25" hidden="1" customHeight="1">
      <c r="A5573" s="16">
        <v>22806056</v>
      </c>
      <c r="B5573" s="17" t="s">
        <v>1793</v>
      </c>
      <c r="C5573" s="17" t="s">
        <v>363</v>
      </c>
      <c r="D5573" s="5" t="s">
        <v>7009</v>
      </c>
      <c r="E5573" s="35">
        <v>41394</v>
      </c>
    </row>
    <row r="5574" spans="1:5" ht="14.25" hidden="1" customHeight="1">
      <c r="A5574" s="16">
        <v>23020149</v>
      </c>
      <c r="B5574" s="17" t="s">
        <v>2622</v>
      </c>
      <c r="C5574" s="17" t="s">
        <v>4999</v>
      </c>
      <c r="D5574" s="5" t="s">
        <v>7009</v>
      </c>
      <c r="E5574" s="35">
        <v>41394</v>
      </c>
    </row>
    <row r="5575" spans="1:5" ht="14.25" hidden="1" customHeight="1">
      <c r="A5575" s="16">
        <v>25734543</v>
      </c>
      <c r="B5575" s="17" t="s">
        <v>5420</v>
      </c>
      <c r="C5575" s="17" t="s">
        <v>7776</v>
      </c>
      <c r="D5575" s="5" t="s">
        <v>7009</v>
      </c>
      <c r="E5575" s="35">
        <v>41394</v>
      </c>
    </row>
    <row r="5576" spans="1:5" ht="14.25" hidden="1" customHeight="1">
      <c r="A5576" s="16">
        <v>25758684</v>
      </c>
      <c r="B5576" s="17" t="s">
        <v>428</v>
      </c>
      <c r="C5576" s="17" t="s">
        <v>1208</v>
      </c>
      <c r="D5576" s="5" t="s">
        <v>7009</v>
      </c>
      <c r="E5576" s="35">
        <v>41394</v>
      </c>
    </row>
    <row r="5577" spans="1:5" ht="14.25" hidden="1" customHeight="1">
      <c r="A5577" s="16">
        <v>27945323</v>
      </c>
      <c r="B5577" s="17" t="s">
        <v>4286</v>
      </c>
      <c r="C5577" s="17" t="s">
        <v>4287</v>
      </c>
      <c r="D5577" s="5" t="s">
        <v>7009</v>
      </c>
      <c r="E5577" s="35">
        <v>41394</v>
      </c>
    </row>
    <row r="5578" spans="1:5" ht="14.25" hidden="1" customHeight="1">
      <c r="A5578" s="16">
        <v>28223710</v>
      </c>
      <c r="B5578" s="17" t="s">
        <v>2865</v>
      </c>
      <c r="C5578" s="17" t="s">
        <v>2678</v>
      </c>
      <c r="D5578" s="5" t="s">
        <v>7009</v>
      </c>
      <c r="E5578" s="35">
        <v>41394</v>
      </c>
    </row>
    <row r="5579" spans="1:5" ht="14.25" hidden="1" customHeight="1">
      <c r="A5579" s="16">
        <v>30497427</v>
      </c>
      <c r="B5579" s="17" t="s">
        <v>662</v>
      </c>
      <c r="C5579" s="17" t="s">
        <v>1074</v>
      </c>
      <c r="D5579" s="5" t="s">
        <v>7009</v>
      </c>
      <c r="E5579" s="35">
        <v>41394</v>
      </c>
    </row>
    <row r="5580" spans="1:5" ht="14.25" hidden="1" customHeight="1">
      <c r="A5580" s="16">
        <v>31052533</v>
      </c>
      <c r="B5580" s="17" t="s">
        <v>218</v>
      </c>
      <c r="C5580" s="17" t="s">
        <v>1087</v>
      </c>
      <c r="D5580" s="5" t="s">
        <v>7009</v>
      </c>
      <c r="E5580" s="35">
        <v>41394</v>
      </c>
    </row>
    <row r="5581" spans="1:5" ht="14.25" hidden="1" customHeight="1">
      <c r="A5581" s="16">
        <v>31644846</v>
      </c>
      <c r="B5581" s="17" t="s">
        <v>983</v>
      </c>
      <c r="C5581" s="17" t="s">
        <v>3888</v>
      </c>
      <c r="D5581" s="5" t="s">
        <v>7009</v>
      </c>
      <c r="E5581" s="35">
        <v>41394</v>
      </c>
    </row>
    <row r="5582" spans="1:5" ht="14.25" hidden="1" customHeight="1">
      <c r="A5582" s="16">
        <v>33703738</v>
      </c>
      <c r="B5582" s="17" t="s">
        <v>2852</v>
      </c>
      <c r="C5582" s="17" t="s">
        <v>2853</v>
      </c>
      <c r="D5582" s="5" t="s">
        <v>7009</v>
      </c>
      <c r="E5582" s="35">
        <v>41394</v>
      </c>
    </row>
    <row r="5583" spans="1:5" ht="14.25" hidden="1" customHeight="1">
      <c r="B5583" s="17" t="s">
        <v>7775</v>
      </c>
      <c r="C5583" s="17" t="s">
        <v>527</v>
      </c>
      <c r="D5583" s="5" t="s">
        <v>7009</v>
      </c>
      <c r="E5583" s="35">
        <v>41394</v>
      </c>
    </row>
    <row r="5584" spans="1:5" ht="14.25" hidden="1" customHeight="1">
      <c r="A5584" s="16">
        <v>5727022</v>
      </c>
      <c r="B5584" s="17" t="s">
        <v>6445</v>
      </c>
      <c r="C5584" s="17" t="s">
        <v>2184</v>
      </c>
      <c r="D5584" s="5" t="s">
        <v>7777</v>
      </c>
      <c r="E5584" s="35">
        <v>41394</v>
      </c>
    </row>
    <row r="5585" spans="1:5" ht="14.25" hidden="1" customHeight="1">
      <c r="A5585" s="16">
        <v>10910913</v>
      </c>
      <c r="B5585" s="17" t="s">
        <v>1106</v>
      </c>
      <c r="C5585" s="17" t="s">
        <v>1107</v>
      </c>
      <c r="D5585" s="5" t="s">
        <v>7777</v>
      </c>
      <c r="E5585" s="35">
        <v>41394</v>
      </c>
    </row>
    <row r="5586" spans="1:5" ht="14.25" hidden="1" customHeight="1">
      <c r="A5586" s="16">
        <v>12414512</v>
      </c>
      <c r="B5586" s="17" t="s">
        <v>640</v>
      </c>
      <c r="C5586" s="17" t="s">
        <v>641</v>
      </c>
      <c r="D5586" s="5" t="s">
        <v>7777</v>
      </c>
      <c r="E5586" s="35">
        <v>41394</v>
      </c>
    </row>
    <row r="5587" spans="1:5" ht="14.25" hidden="1" customHeight="1">
      <c r="A5587" s="16">
        <v>12597724</v>
      </c>
      <c r="B5587" s="17" t="s">
        <v>760</v>
      </c>
      <c r="C5587" s="17" t="s">
        <v>1707</v>
      </c>
      <c r="D5587" s="5" t="s">
        <v>7777</v>
      </c>
      <c r="E5587" s="35">
        <v>41394</v>
      </c>
    </row>
    <row r="5588" spans="1:5" ht="14.25" hidden="1" customHeight="1">
      <c r="A5588" s="16">
        <v>12733219</v>
      </c>
      <c r="B5588" s="17" t="s">
        <v>6182</v>
      </c>
      <c r="C5588" s="17" t="s">
        <v>5041</v>
      </c>
      <c r="D5588" s="5" t="s">
        <v>7777</v>
      </c>
      <c r="E5588" s="35">
        <v>41394</v>
      </c>
    </row>
    <row r="5589" spans="1:5" ht="14.25" hidden="1" customHeight="1">
      <c r="A5589" s="16">
        <v>13338251</v>
      </c>
      <c r="B5589" s="17" t="s">
        <v>252</v>
      </c>
      <c r="C5589" s="17" t="s">
        <v>3850</v>
      </c>
      <c r="D5589" s="5" t="s">
        <v>7777</v>
      </c>
      <c r="E5589" s="35">
        <v>41394</v>
      </c>
    </row>
    <row r="5590" spans="1:5" ht="14.25" hidden="1" customHeight="1">
      <c r="A5590" s="16">
        <v>13378138</v>
      </c>
      <c r="B5590" s="17" t="s">
        <v>610</v>
      </c>
      <c r="C5590" s="17" t="s">
        <v>274</v>
      </c>
      <c r="D5590" s="5" t="s">
        <v>7777</v>
      </c>
      <c r="E5590" s="35">
        <v>41394</v>
      </c>
    </row>
    <row r="5591" spans="1:5" ht="14.25" hidden="1" customHeight="1">
      <c r="A5591" s="16">
        <v>13378152</v>
      </c>
      <c r="B5591" s="17" t="s">
        <v>610</v>
      </c>
      <c r="C5591" s="17" t="s">
        <v>612</v>
      </c>
      <c r="D5591" s="5" t="s">
        <v>7777</v>
      </c>
      <c r="E5591" s="35">
        <v>41394</v>
      </c>
    </row>
    <row r="5592" spans="1:5" ht="14.25" hidden="1" customHeight="1">
      <c r="A5592" s="16">
        <v>13627952</v>
      </c>
      <c r="B5592" s="17" t="s">
        <v>6303</v>
      </c>
      <c r="C5592" s="17" t="s">
        <v>1895</v>
      </c>
      <c r="D5592" s="5" t="s">
        <v>7777</v>
      </c>
      <c r="E5592" s="35">
        <v>41394</v>
      </c>
    </row>
    <row r="5593" spans="1:5" ht="14.25" hidden="1" customHeight="1">
      <c r="A5593" s="16">
        <v>14660398</v>
      </c>
      <c r="B5593" s="17" t="s">
        <v>1823</v>
      </c>
      <c r="C5593" s="17" t="s">
        <v>7778</v>
      </c>
      <c r="D5593" s="5" t="s">
        <v>7777</v>
      </c>
      <c r="E5593" s="35">
        <v>41394</v>
      </c>
    </row>
    <row r="5594" spans="1:5" ht="14.25" hidden="1" customHeight="1">
      <c r="A5594" s="16">
        <v>16811869</v>
      </c>
      <c r="B5594" s="17" t="s">
        <v>3634</v>
      </c>
      <c r="C5594" s="17" t="s">
        <v>215</v>
      </c>
      <c r="D5594" s="5" t="s">
        <v>7777</v>
      </c>
      <c r="E5594" s="35">
        <v>41394</v>
      </c>
    </row>
    <row r="5595" spans="1:5" ht="14.25" hidden="1" customHeight="1">
      <c r="A5595" s="16">
        <v>17074394</v>
      </c>
      <c r="B5595" s="17" t="s">
        <v>1482</v>
      </c>
      <c r="C5595" s="17" t="s">
        <v>3386</v>
      </c>
      <c r="D5595" s="5" t="s">
        <v>7777</v>
      </c>
      <c r="E5595" s="35">
        <v>41394</v>
      </c>
    </row>
    <row r="5596" spans="1:5" ht="14.25" hidden="1" customHeight="1">
      <c r="A5596" s="16">
        <v>17973047</v>
      </c>
      <c r="B5596" s="17" t="s">
        <v>279</v>
      </c>
      <c r="C5596" s="17" t="s">
        <v>283</v>
      </c>
      <c r="D5596" s="5" t="s">
        <v>7777</v>
      </c>
      <c r="E5596" s="35">
        <v>41394</v>
      </c>
    </row>
    <row r="5597" spans="1:5" ht="14.25" hidden="1" customHeight="1">
      <c r="A5597" s="16">
        <v>17979674</v>
      </c>
      <c r="B5597" s="17" t="s">
        <v>1821</v>
      </c>
      <c r="C5597" s="17" t="s">
        <v>283</v>
      </c>
      <c r="D5597" s="5" t="s">
        <v>7777</v>
      </c>
      <c r="E5597" s="35">
        <v>41394</v>
      </c>
    </row>
    <row r="5598" spans="1:5" ht="14.25" hidden="1" customHeight="1">
      <c r="A5598" s="16">
        <v>18505921</v>
      </c>
      <c r="B5598" s="17" t="s">
        <v>2422</v>
      </c>
      <c r="C5598" s="17" t="s">
        <v>2878</v>
      </c>
      <c r="D5598" s="5" t="s">
        <v>7777</v>
      </c>
      <c r="E5598" s="35">
        <v>41394</v>
      </c>
    </row>
    <row r="5599" spans="1:5" ht="14.25" hidden="1" customHeight="1">
      <c r="A5599" s="16">
        <v>18593315</v>
      </c>
      <c r="B5599" s="17" t="s">
        <v>6000</v>
      </c>
      <c r="C5599" s="17" t="s">
        <v>5187</v>
      </c>
      <c r="D5599" s="5" t="s">
        <v>7777</v>
      </c>
      <c r="E5599" s="35">
        <v>41394</v>
      </c>
    </row>
    <row r="5600" spans="1:5" ht="14.25" hidden="1" customHeight="1">
      <c r="A5600" s="16">
        <v>20219323</v>
      </c>
      <c r="B5600" s="17" t="s">
        <v>6001</v>
      </c>
      <c r="C5600" s="17" t="s">
        <v>6002</v>
      </c>
      <c r="D5600" s="5" t="s">
        <v>7777</v>
      </c>
      <c r="E5600" s="35">
        <v>41394</v>
      </c>
    </row>
    <row r="5601" spans="1:5" ht="14.25" hidden="1" customHeight="1">
      <c r="A5601" s="16">
        <v>22877690</v>
      </c>
      <c r="B5601" s="17" t="s">
        <v>240</v>
      </c>
      <c r="C5601" s="17" t="s">
        <v>2065</v>
      </c>
      <c r="D5601" s="5" t="s">
        <v>7777</v>
      </c>
      <c r="E5601" s="35">
        <v>41394</v>
      </c>
    </row>
    <row r="5602" spans="1:5" ht="14.25" hidden="1" customHeight="1">
      <c r="A5602" s="16">
        <v>22877863</v>
      </c>
      <c r="B5602" s="17" t="s">
        <v>226</v>
      </c>
      <c r="C5602" s="17" t="s">
        <v>97</v>
      </c>
      <c r="D5602" s="5" t="s">
        <v>7777</v>
      </c>
      <c r="E5602" s="35">
        <v>41394</v>
      </c>
    </row>
    <row r="5603" spans="1:5" ht="14.25" hidden="1" customHeight="1">
      <c r="A5603" s="16">
        <v>29073625</v>
      </c>
      <c r="B5603" s="17" t="s">
        <v>350</v>
      </c>
      <c r="C5603" s="17" t="s">
        <v>4880</v>
      </c>
      <c r="D5603" s="5" t="s">
        <v>7777</v>
      </c>
      <c r="E5603" s="35">
        <v>41394</v>
      </c>
    </row>
    <row r="5604" spans="1:5" ht="14.25" hidden="1" customHeight="1">
      <c r="A5604" s="16">
        <v>29430338</v>
      </c>
      <c r="B5604" s="17" t="s">
        <v>1097</v>
      </c>
      <c r="C5604" s="17" t="s">
        <v>1634</v>
      </c>
      <c r="D5604" s="5" t="s">
        <v>7777</v>
      </c>
      <c r="E5604" s="35">
        <v>41394</v>
      </c>
    </row>
    <row r="5605" spans="1:5" ht="14.25" hidden="1" customHeight="1">
      <c r="A5605" s="16">
        <v>32012359</v>
      </c>
      <c r="B5605" s="17" t="s">
        <v>2961</v>
      </c>
      <c r="C5605" s="17" t="s">
        <v>253</v>
      </c>
      <c r="D5605" s="5" t="s">
        <v>7777</v>
      </c>
      <c r="E5605" s="35">
        <v>41394</v>
      </c>
    </row>
    <row r="5606" spans="1:5" ht="14.25" hidden="1" customHeight="1">
      <c r="A5606" s="16">
        <v>33541638</v>
      </c>
      <c r="B5606" s="17" t="s">
        <v>2310</v>
      </c>
      <c r="C5606" s="17" t="s">
        <v>30</v>
      </c>
      <c r="D5606" s="5" t="s">
        <v>7777</v>
      </c>
      <c r="E5606" s="35">
        <v>41394</v>
      </c>
    </row>
    <row r="5607" spans="1:5" ht="14.25" hidden="1" customHeight="1">
      <c r="A5607" s="16">
        <v>10712261</v>
      </c>
      <c r="B5607" s="17" t="s">
        <v>1793</v>
      </c>
      <c r="C5607" s="17" t="s">
        <v>3592</v>
      </c>
      <c r="D5607" s="1" t="s">
        <v>7020</v>
      </c>
      <c r="E5607" s="35">
        <v>41394</v>
      </c>
    </row>
    <row r="5608" spans="1:5" ht="14.25" hidden="1" customHeight="1">
      <c r="A5608" s="16">
        <v>13378143</v>
      </c>
      <c r="B5608" s="17" t="s">
        <v>1040</v>
      </c>
      <c r="C5608" s="17" t="s">
        <v>2783</v>
      </c>
      <c r="D5608" s="1" t="s">
        <v>7020</v>
      </c>
      <c r="E5608" s="35">
        <v>41394</v>
      </c>
    </row>
    <row r="5609" spans="1:5" ht="14.25" hidden="1" customHeight="1">
      <c r="A5609" s="16">
        <v>16541466</v>
      </c>
      <c r="B5609" s="17" t="s">
        <v>3442</v>
      </c>
      <c r="C5609" s="17" t="s">
        <v>3443</v>
      </c>
      <c r="D5609" s="1" t="s">
        <v>7020</v>
      </c>
      <c r="E5609" s="35">
        <v>41394</v>
      </c>
    </row>
    <row r="5610" spans="1:5" ht="14.25" hidden="1" customHeight="1">
      <c r="A5610" s="16">
        <v>16617470</v>
      </c>
      <c r="B5610" s="17" t="s">
        <v>164</v>
      </c>
      <c r="C5610" s="17" t="s">
        <v>4531</v>
      </c>
      <c r="D5610" s="1" t="s">
        <v>7020</v>
      </c>
      <c r="E5610" s="35">
        <v>41394</v>
      </c>
    </row>
    <row r="5611" spans="1:5" ht="14.25" hidden="1" customHeight="1">
      <c r="A5611" s="16">
        <v>17041755</v>
      </c>
      <c r="B5611" s="17" t="s">
        <v>4502</v>
      </c>
      <c r="C5611" s="17" t="s">
        <v>4503</v>
      </c>
      <c r="D5611" s="1" t="s">
        <v>7020</v>
      </c>
      <c r="E5611" s="35">
        <v>41394</v>
      </c>
    </row>
    <row r="5612" spans="1:5" ht="14.25" hidden="1" customHeight="1">
      <c r="A5612" s="16">
        <v>17613465</v>
      </c>
      <c r="B5612" s="17" t="s">
        <v>2840</v>
      </c>
      <c r="C5612" s="17" t="s">
        <v>687</v>
      </c>
      <c r="D5612" s="1" t="s">
        <v>7020</v>
      </c>
      <c r="E5612" s="35">
        <v>41394</v>
      </c>
    </row>
    <row r="5613" spans="1:5" ht="14.25" hidden="1" customHeight="1">
      <c r="A5613" s="16">
        <v>26012478</v>
      </c>
      <c r="B5613" s="17" t="s">
        <v>1455</v>
      </c>
      <c r="C5613" s="17" t="s">
        <v>1456</v>
      </c>
      <c r="D5613" s="1" t="s">
        <v>7020</v>
      </c>
      <c r="E5613" s="35">
        <v>41394</v>
      </c>
    </row>
    <row r="5614" spans="1:5" ht="14.25" hidden="1" customHeight="1">
      <c r="A5614" s="16">
        <v>27751242</v>
      </c>
      <c r="B5614" s="17" t="s">
        <v>3182</v>
      </c>
      <c r="C5614" s="17" t="s">
        <v>4002</v>
      </c>
      <c r="D5614" s="1" t="s">
        <v>7020</v>
      </c>
      <c r="E5614" s="35">
        <v>41394</v>
      </c>
    </row>
    <row r="5615" spans="1:5" ht="14.25" hidden="1" customHeight="1">
      <c r="A5615" s="16">
        <v>30069858</v>
      </c>
      <c r="B5615" s="17" t="s">
        <v>883</v>
      </c>
      <c r="C5615" s="17" t="s">
        <v>4676</v>
      </c>
      <c r="D5615" s="1" t="s">
        <v>7020</v>
      </c>
      <c r="E5615" s="35">
        <v>41394</v>
      </c>
    </row>
    <row r="5616" spans="1:5" ht="14.25" hidden="1" customHeight="1">
      <c r="A5616" s="16">
        <v>33697688</v>
      </c>
      <c r="B5616" s="17" t="s">
        <v>1823</v>
      </c>
      <c r="C5616" s="17" t="s">
        <v>2623</v>
      </c>
      <c r="D5616" s="1" t="s">
        <v>7020</v>
      </c>
      <c r="E5616" s="35">
        <v>41394</v>
      </c>
    </row>
    <row r="5617" spans="1:5" ht="14.25" hidden="1" customHeight="1">
      <c r="A5617" s="16">
        <v>34133567</v>
      </c>
      <c r="B5617" s="17" t="s">
        <v>2564</v>
      </c>
      <c r="C5617" s="17" t="s">
        <v>2565</v>
      </c>
      <c r="D5617" s="1" t="s">
        <v>7020</v>
      </c>
      <c r="E5617" s="35">
        <v>41394</v>
      </c>
    </row>
    <row r="5618" spans="1:5" ht="14.25" hidden="1" customHeight="1">
      <c r="A5618" s="16">
        <v>11649811</v>
      </c>
      <c r="B5618" s="17" t="s">
        <v>128</v>
      </c>
      <c r="C5618" s="17" t="s">
        <v>1924</v>
      </c>
      <c r="D5618" s="5" t="s">
        <v>7779</v>
      </c>
      <c r="E5618" s="35">
        <v>41386</v>
      </c>
    </row>
    <row r="5619" spans="1:5" ht="14.25" hidden="1" customHeight="1">
      <c r="A5619" s="16">
        <v>11708174</v>
      </c>
      <c r="B5619" s="17" t="s">
        <v>1628</v>
      </c>
      <c r="C5619" s="17" t="s">
        <v>1629</v>
      </c>
      <c r="D5619" s="5" t="s">
        <v>7779</v>
      </c>
      <c r="E5619" s="35">
        <v>41386</v>
      </c>
    </row>
    <row r="5620" spans="1:5" ht="14.25" hidden="1" customHeight="1">
      <c r="A5620" s="16">
        <v>12609312</v>
      </c>
      <c r="B5620" s="17" t="s">
        <v>156</v>
      </c>
      <c r="C5620" s="17" t="s">
        <v>157</v>
      </c>
      <c r="D5620" s="5" t="s">
        <v>7779</v>
      </c>
      <c r="E5620" s="35">
        <v>41386</v>
      </c>
    </row>
    <row r="5621" spans="1:5" ht="14.25" hidden="1" customHeight="1">
      <c r="A5621" s="16">
        <v>12734158</v>
      </c>
      <c r="B5621" s="25" t="s">
        <v>288</v>
      </c>
      <c r="C5621" s="25" t="s">
        <v>2184</v>
      </c>
      <c r="D5621" s="5" t="s">
        <v>7779</v>
      </c>
      <c r="E5621" s="35">
        <v>41386</v>
      </c>
    </row>
    <row r="5622" spans="1:5" ht="14.25" hidden="1" customHeight="1">
      <c r="A5622" s="16">
        <v>13628946</v>
      </c>
      <c r="B5622" s="17" t="s">
        <v>652</v>
      </c>
      <c r="C5622" s="17" t="s">
        <v>4308</v>
      </c>
      <c r="D5622" s="5" t="s">
        <v>7779</v>
      </c>
      <c r="E5622" s="35">
        <v>41386</v>
      </c>
    </row>
    <row r="5623" spans="1:5" ht="14.25" hidden="1" customHeight="1">
      <c r="A5623" s="16">
        <v>13847302</v>
      </c>
      <c r="B5623" s="17" t="s">
        <v>629</v>
      </c>
      <c r="C5623" s="17" t="s">
        <v>630</v>
      </c>
      <c r="D5623" s="5" t="s">
        <v>7779</v>
      </c>
      <c r="E5623" s="35">
        <v>41386</v>
      </c>
    </row>
    <row r="5624" spans="1:5" ht="14.25" hidden="1" customHeight="1">
      <c r="A5624" s="16">
        <v>14226968</v>
      </c>
      <c r="B5624" s="25" t="s">
        <v>2460</v>
      </c>
      <c r="C5624" s="25" t="s">
        <v>351</v>
      </c>
      <c r="D5624" s="5" t="s">
        <v>7779</v>
      </c>
      <c r="E5624" s="35">
        <v>41386</v>
      </c>
    </row>
    <row r="5625" spans="1:5" ht="14.25" hidden="1" customHeight="1">
      <c r="A5625" s="16">
        <v>17269443</v>
      </c>
      <c r="B5625" s="17" t="s">
        <v>497</v>
      </c>
      <c r="C5625" s="17" t="s">
        <v>4439</v>
      </c>
      <c r="D5625" s="5" t="s">
        <v>7779</v>
      </c>
      <c r="E5625" s="35">
        <v>41386</v>
      </c>
    </row>
    <row r="5626" spans="1:5" ht="14.25" hidden="1" customHeight="1">
      <c r="A5626" s="16">
        <v>17376396</v>
      </c>
      <c r="B5626" s="25" t="s">
        <v>1257</v>
      </c>
      <c r="C5626" s="25" t="s">
        <v>3405</v>
      </c>
      <c r="D5626" s="5" t="s">
        <v>7779</v>
      </c>
      <c r="E5626" s="35">
        <v>41386</v>
      </c>
    </row>
    <row r="5627" spans="1:5" ht="14.25" hidden="1" customHeight="1">
      <c r="A5627" s="16">
        <v>17574495</v>
      </c>
      <c r="B5627" s="17" t="s">
        <v>633</v>
      </c>
      <c r="C5627" s="17" t="s">
        <v>634</v>
      </c>
      <c r="D5627" s="5" t="s">
        <v>7779</v>
      </c>
      <c r="E5627" s="35">
        <v>41386</v>
      </c>
    </row>
    <row r="5628" spans="1:5" ht="14.25" hidden="1" customHeight="1">
      <c r="A5628" s="16">
        <v>18464655</v>
      </c>
      <c r="B5628" s="17" t="s">
        <v>247</v>
      </c>
      <c r="C5628" s="17" t="s">
        <v>7781</v>
      </c>
      <c r="D5628" s="5" t="s">
        <v>7779</v>
      </c>
      <c r="E5628" s="35">
        <v>41386</v>
      </c>
    </row>
    <row r="5629" spans="1:5" ht="14.25" hidden="1" customHeight="1">
      <c r="A5629" s="16">
        <v>18523250</v>
      </c>
      <c r="B5629" s="25" t="s">
        <v>680</v>
      </c>
      <c r="C5629" s="25" t="s">
        <v>1876</v>
      </c>
      <c r="D5629" s="5" t="s">
        <v>7779</v>
      </c>
      <c r="E5629" s="35">
        <v>41386</v>
      </c>
    </row>
    <row r="5630" spans="1:5" ht="14.25" hidden="1" customHeight="1">
      <c r="A5630" s="16">
        <v>21329190</v>
      </c>
      <c r="B5630" s="17" t="s">
        <v>4301</v>
      </c>
      <c r="C5630" s="17" t="s">
        <v>4302</v>
      </c>
      <c r="D5630" s="5" t="s">
        <v>7779</v>
      </c>
      <c r="E5630" s="35">
        <v>41386</v>
      </c>
    </row>
    <row r="5631" spans="1:5" ht="14.25" hidden="1" customHeight="1">
      <c r="A5631" s="16">
        <v>21338913</v>
      </c>
      <c r="B5631" s="17" t="s">
        <v>742</v>
      </c>
      <c r="C5631" s="17" t="s">
        <v>74</v>
      </c>
      <c r="D5631" s="5" t="s">
        <v>7779</v>
      </c>
      <c r="E5631" s="35">
        <v>41386</v>
      </c>
    </row>
    <row r="5632" spans="1:5" ht="14.25" hidden="1" customHeight="1">
      <c r="A5632" s="16">
        <v>21609438</v>
      </c>
      <c r="B5632" s="25" t="s">
        <v>377</v>
      </c>
      <c r="C5632" s="25" t="s">
        <v>3032</v>
      </c>
      <c r="D5632" s="5" t="s">
        <v>7779</v>
      </c>
      <c r="E5632" s="35">
        <v>41386</v>
      </c>
    </row>
    <row r="5633" spans="1:5" ht="14.25" hidden="1" customHeight="1">
      <c r="A5633" s="16">
        <v>21812664</v>
      </c>
      <c r="B5633" s="17" t="s">
        <v>4053</v>
      </c>
      <c r="C5633" s="17" t="s">
        <v>274</v>
      </c>
      <c r="D5633" s="5" t="s">
        <v>7779</v>
      </c>
      <c r="E5633" s="35">
        <v>41386</v>
      </c>
    </row>
    <row r="5634" spans="1:5" ht="14.25" hidden="1" customHeight="1">
      <c r="A5634" s="16">
        <v>22397327</v>
      </c>
      <c r="B5634" s="25" t="s">
        <v>734</v>
      </c>
      <c r="C5634" s="25" t="s">
        <v>3541</v>
      </c>
      <c r="D5634" s="5" t="s">
        <v>7779</v>
      </c>
      <c r="E5634" s="35">
        <v>41386</v>
      </c>
    </row>
    <row r="5635" spans="1:5" ht="14.25" hidden="1" customHeight="1">
      <c r="A5635" s="16">
        <v>22665452</v>
      </c>
      <c r="B5635" s="17" t="s">
        <v>3315</v>
      </c>
      <c r="C5635" s="17" t="s">
        <v>97</v>
      </c>
      <c r="D5635" s="5" t="s">
        <v>7779</v>
      </c>
      <c r="E5635" s="35">
        <v>41386</v>
      </c>
    </row>
    <row r="5636" spans="1:5" ht="14.25" hidden="1" customHeight="1">
      <c r="A5636" s="16">
        <v>23015469</v>
      </c>
      <c r="B5636" s="17" t="s">
        <v>714</v>
      </c>
      <c r="C5636" s="17" t="s">
        <v>7149</v>
      </c>
      <c r="D5636" s="5" t="s">
        <v>7779</v>
      </c>
      <c r="E5636" s="35">
        <v>41386</v>
      </c>
    </row>
    <row r="5637" spans="1:5" ht="14.25" hidden="1" customHeight="1">
      <c r="A5637" s="16">
        <v>23167760</v>
      </c>
      <c r="B5637" s="17" t="s">
        <v>1644</v>
      </c>
      <c r="C5637" s="17" t="s">
        <v>106</v>
      </c>
      <c r="D5637" s="5" t="s">
        <v>7779</v>
      </c>
      <c r="E5637" s="35">
        <v>41386</v>
      </c>
    </row>
    <row r="5638" spans="1:5" ht="14.25" hidden="1" customHeight="1">
      <c r="A5638" s="16">
        <v>23517363</v>
      </c>
      <c r="B5638" s="17" t="s">
        <v>1983</v>
      </c>
      <c r="C5638" s="17" t="s">
        <v>7780</v>
      </c>
      <c r="D5638" s="5" t="s">
        <v>7779</v>
      </c>
      <c r="E5638" s="35">
        <v>41386</v>
      </c>
    </row>
    <row r="5639" spans="1:5" ht="14.25" hidden="1" customHeight="1">
      <c r="A5639" s="16">
        <v>27960534</v>
      </c>
      <c r="B5639" s="17" t="s">
        <v>342</v>
      </c>
      <c r="C5639" s="17" t="s">
        <v>345</v>
      </c>
      <c r="D5639" s="5" t="s">
        <v>7779</v>
      </c>
      <c r="E5639" s="35">
        <v>41386</v>
      </c>
    </row>
    <row r="5640" spans="1:5" ht="14.25" hidden="1" customHeight="1">
      <c r="A5640" s="16">
        <v>28222480</v>
      </c>
      <c r="B5640" s="17" t="s">
        <v>1482</v>
      </c>
      <c r="C5640" s="17" t="s">
        <v>1941</v>
      </c>
      <c r="D5640" s="5" t="s">
        <v>7779</v>
      </c>
      <c r="E5640" s="35">
        <v>41386</v>
      </c>
    </row>
    <row r="5641" spans="1:5" ht="14.25" hidden="1" customHeight="1">
      <c r="A5641" s="16">
        <v>28884046</v>
      </c>
      <c r="B5641" s="25" t="s">
        <v>875</v>
      </c>
      <c r="C5641" s="25" t="s">
        <v>7783</v>
      </c>
      <c r="D5641" s="5" t="s">
        <v>7779</v>
      </c>
      <c r="E5641" s="35">
        <v>41386</v>
      </c>
    </row>
    <row r="5642" spans="1:5" ht="14.25" hidden="1" customHeight="1">
      <c r="A5642" s="16">
        <v>29310871</v>
      </c>
      <c r="B5642" s="17" t="s">
        <v>1964</v>
      </c>
      <c r="C5642" s="17" t="s">
        <v>4721</v>
      </c>
      <c r="D5642" s="5" t="s">
        <v>7779</v>
      </c>
      <c r="E5642" s="35">
        <v>41386</v>
      </c>
    </row>
    <row r="5643" spans="1:5" ht="14.25" hidden="1" customHeight="1">
      <c r="A5643" s="16">
        <v>30069005</v>
      </c>
      <c r="B5643" s="25" t="s">
        <v>144</v>
      </c>
      <c r="C5643" s="25" t="s">
        <v>3217</v>
      </c>
      <c r="D5643" s="5" t="s">
        <v>7779</v>
      </c>
      <c r="E5643" s="35">
        <v>41386</v>
      </c>
    </row>
    <row r="5644" spans="1:5" ht="14.25" hidden="1" customHeight="1">
      <c r="A5644" s="16">
        <v>30755908</v>
      </c>
      <c r="B5644" s="17" t="s">
        <v>1229</v>
      </c>
      <c r="C5644" s="17" t="s">
        <v>876</v>
      </c>
      <c r="D5644" s="5" t="s">
        <v>7779</v>
      </c>
      <c r="E5644" s="35">
        <v>41386</v>
      </c>
    </row>
    <row r="5645" spans="1:5" ht="14.25" hidden="1" customHeight="1">
      <c r="A5645" s="16">
        <v>32371793</v>
      </c>
      <c r="B5645" s="25" t="s">
        <v>3364</v>
      </c>
      <c r="C5645" s="25" t="s">
        <v>3365</v>
      </c>
      <c r="D5645" s="5" t="s">
        <v>7779</v>
      </c>
      <c r="E5645" s="35">
        <v>41386</v>
      </c>
    </row>
    <row r="5646" spans="1:5" ht="14.25" hidden="1" customHeight="1">
      <c r="A5646" s="16">
        <v>32501890</v>
      </c>
      <c r="B5646" s="17" t="s">
        <v>2048</v>
      </c>
      <c r="C5646" s="17" t="s">
        <v>2049</v>
      </c>
      <c r="D5646" s="5" t="s">
        <v>7779</v>
      </c>
      <c r="E5646" s="35">
        <v>41386</v>
      </c>
    </row>
    <row r="5647" spans="1:5" ht="14.25" hidden="1" customHeight="1">
      <c r="A5647" s="16">
        <v>32927760</v>
      </c>
      <c r="B5647" s="25" t="s">
        <v>4512</v>
      </c>
      <c r="C5647" s="25" t="s">
        <v>4341</v>
      </c>
      <c r="D5647" s="5" t="s">
        <v>7779</v>
      </c>
      <c r="E5647" s="35">
        <v>41386</v>
      </c>
    </row>
    <row r="5648" spans="1:5" ht="14.25" hidden="1" customHeight="1">
      <c r="A5648" s="16">
        <v>33755886</v>
      </c>
      <c r="B5648" s="25" t="s">
        <v>7782</v>
      </c>
      <c r="C5648" s="25" t="s">
        <v>1103</v>
      </c>
      <c r="D5648" s="5" t="s">
        <v>7779</v>
      </c>
      <c r="E5648" s="35">
        <v>41386</v>
      </c>
    </row>
    <row r="5649" spans="1:5" ht="14.25" hidden="1" customHeight="1">
      <c r="A5649" s="20">
        <v>5877307</v>
      </c>
      <c r="B5649" s="21" t="s">
        <v>7787</v>
      </c>
      <c r="C5649" s="21" t="s">
        <v>7788</v>
      </c>
      <c r="D5649" s="5" t="s">
        <v>7784</v>
      </c>
      <c r="E5649" s="38">
        <v>41379</v>
      </c>
    </row>
    <row r="5650" spans="1:5" ht="14.25" hidden="1" customHeight="1">
      <c r="A5650" s="20">
        <v>12540739</v>
      </c>
      <c r="B5650" s="21" t="s">
        <v>7789</v>
      </c>
      <c r="C5650" s="21" t="s">
        <v>7790</v>
      </c>
      <c r="D5650" s="5" t="s">
        <v>7784</v>
      </c>
      <c r="E5650" s="38">
        <v>41379</v>
      </c>
    </row>
    <row r="5651" spans="1:5" ht="14.25" hidden="1" customHeight="1">
      <c r="A5651" s="18">
        <v>16132924</v>
      </c>
      <c r="B5651" s="19" t="s">
        <v>7763</v>
      </c>
      <c r="C5651" s="19" t="s">
        <v>7764</v>
      </c>
      <c r="D5651" s="5" t="s">
        <v>7784</v>
      </c>
      <c r="E5651" s="38">
        <v>41379</v>
      </c>
    </row>
    <row r="5652" spans="1:5" ht="14.25" hidden="1" customHeight="1">
      <c r="A5652" s="169">
        <v>23564843</v>
      </c>
      <c r="B5652" s="190" t="s">
        <v>7767</v>
      </c>
      <c r="C5652" s="190" t="s">
        <v>7794</v>
      </c>
      <c r="D5652" s="5" t="s">
        <v>7784</v>
      </c>
      <c r="E5652" s="38">
        <v>41379</v>
      </c>
    </row>
    <row r="5653" spans="1:5" ht="14.25" hidden="1" customHeight="1">
      <c r="A5653" s="20">
        <v>24888251</v>
      </c>
      <c r="B5653" s="21" t="s">
        <v>6850</v>
      </c>
      <c r="C5653" s="21" t="s">
        <v>6889</v>
      </c>
      <c r="D5653" s="5" t="s">
        <v>7784</v>
      </c>
      <c r="E5653" s="38">
        <v>41379</v>
      </c>
    </row>
    <row r="5654" spans="1:5" ht="14.25" hidden="1" customHeight="1">
      <c r="A5654" s="20">
        <v>27365551</v>
      </c>
      <c r="B5654" s="21" t="s">
        <v>7792</v>
      </c>
      <c r="C5654" s="21" t="s">
        <v>7793</v>
      </c>
      <c r="D5654" s="5" t="s">
        <v>7784</v>
      </c>
      <c r="E5654" s="38">
        <v>41379</v>
      </c>
    </row>
    <row r="5655" spans="1:5" ht="14.25" hidden="1" customHeight="1">
      <c r="A5655" s="20">
        <v>27944383</v>
      </c>
      <c r="B5655" s="21" t="s">
        <v>7618</v>
      </c>
      <c r="C5655" s="21" t="s">
        <v>7791</v>
      </c>
      <c r="D5655" s="5" t="s">
        <v>7784</v>
      </c>
      <c r="E5655" s="38">
        <v>41379</v>
      </c>
    </row>
    <row r="5656" spans="1:5" ht="14.25" hidden="1" customHeight="1">
      <c r="A5656" s="18">
        <v>28221068</v>
      </c>
      <c r="B5656" s="19" t="s">
        <v>7755</v>
      </c>
      <c r="C5656" s="19" t="s">
        <v>7726</v>
      </c>
      <c r="D5656" s="5" t="s">
        <v>7784</v>
      </c>
      <c r="E5656" s="38">
        <v>41379</v>
      </c>
    </row>
    <row r="5657" spans="1:5" ht="14.25" hidden="1" customHeight="1">
      <c r="A5657" s="163">
        <v>28476748</v>
      </c>
      <c r="B5657" s="181" t="s">
        <v>7795</v>
      </c>
      <c r="C5657" s="181" t="s">
        <v>7796</v>
      </c>
      <c r="D5657" s="5" t="s">
        <v>7784</v>
      </c>
      <c r="E5657" s="38">
        <v>41379</v>
      </c>
    </row>
    <row r="5658" spans="1:5" ht="14.25" hidden="1" customHeight="1">
      <c r="A5658" s="18">
        <v>33163552</v>
      </c>
      <c r="B5658" s="19" t="s">
        <v>7785</v>
      </c>
      <c r="C5658" s="19" t="s">
        <v>7786</v>
      </c>
      <c r="D5658" s="5" t="s">
        <v>7784</v>
      </c>
      <c r="E5658" s="38">
        <v>41379</v>
      </c>
    </row>
    <row r="5659" spans="1:5" ht="14.25" hidden="1" customHeight="1">
      <c r="A5659" s="16">
        <v>10582171</v>
      </c>
      <c r="B5659" s="17" t="s">
        <v>44</v>
      </c>
      <c r="C5659" s="17" t="s">
        <v>7798</v>
      </c>
      <c r="D5659" s="5" t="s">
        <v>7797</v>
      </c>
      <c r="E5659" s="35">
        <v>41374</v>
      </c>
    </row>
    <row r="5660" spans="1:5" ht="14.25" hidden="1" customHeight="1">
      <c r="A5660" s="164">
        <v>11910739</v>
      </c>
      <c r="B5660" s="182" t="s">
        <v>5685</v>
      </c>
      <c r="C5660" s="182" t="s">
        <v>5686</v>
      </c>
      <c r="D5660" s="5" t="s">
        <v>7797</v>
      </c>
      <c r="E5660" s="35">
        <v>41374</v>
      </c>
    </row>
    <row r="5661" spans="1:5" ht="14.25" hidden="1" customHeight="1">
      <c r="A5661" s="16">
        <v>12308110</v>
      </c>
      <c r="B5661" s="17" t="s">
        <v>5533</v>
      </c>
      <c r="C5661" s="17" t="s">
        <v>5534</v>
      </c>
      <c r="D5661" s="5" t="s">
        <v>7797</v>
      </c>
      <c r="E5661" s="35">
        <v>41374</v>
      </c>
    </row>
    <row r="5662" spans="1:5" ht="14.25" hidden="1" customHeight="1">
      <c r="A5662" s="164">
        <v>12414512</v>
      </c>
      <c r="B5662" s="182" t="s">
        <v>640</v>
      </c>
      <c r="C5662" s="182" t="s">
        <v>641</v>
      </c>
      <c r="D5662" s="5" t="s">
        <v>7797</v>
      </c>
      <c r="E5662" s="35">
        <v>41374</v>
      </c>
    </row>
    <row r="5663" spans="1:5" ht="14.25" hidden="1" customHeight="1">
      <c r="A5663" s="164">
        <v>12597724</v>
      </c>
      <c r="B5663" s="182" t="s">
        <v>760</v>
      </c>
      <c r="C5663" s="182" t="s">
        <v>4424</v>
      </c>
      <c r="D5663" s="5" t="s">
        <v>7797</v>
      </c>
      <c r="E5663" s="35">
        <v>41374</v>
      </c>
    </row>
    <row r="5664" spans="1:5" ht="14.25" hidden="1" customHeight="1">
      <c r="A5664" s="164">
        <v>12733217</v>
      </c>
      <c r="B5664" s="182" t="s">
        <v>5040</v>
      </c>
      <c r="C5664" s="182" t="s">
        <v>5041</v>
      </c>
      <c r="D5664" s="5" t="s">
        <v>7797</v>
      </c>
      <c r="E5664" s="35">
        <v>41374</v>
      </c>
    </row>
    <row r="5665" spans="1:5" ht="14.25" hidden="1" customHeight="1">
      <c r="A5665" s="164">
        <v>13511627</v>
      </c>
      <c r="B5665" s="182" t="s">
        <v>1225</v>
      </c>
      <c r="C5665" s="182" t="s">
        <v>1226</v>
      </c>
      <c r="D5665" s="5" t="s">
        <v>7797</v>
      </c>
      <c r="E5665" s="35">
        <v>41374</v>
      </c>
    </row>
    <row r="5666" spans="1:5" ht="14.25" hidden="1" customHeight="1">
      <c r="A5666" s="164">
        <v>14296958</v>
      </c>
      <c r="B5666" s="191" t="s">
        <v>5838</v>
      </c>
      <c r="C5666" s="191" t="s">
        <v>3202</v>
      </c>
      <c r="D5666" s="5" t="s">
        <v>7797</v>
      </c>
      <c r="E5666" s="35">
        <v>41374</v>
      </c>
    </row>
    <row r="5667" spans="1:5" ht="14.25" hidden="1" customHeight="1">
      <c r="A5667" s="164">
        <v>16176082</v>
      </c>
      <c r="B5667" s="182" t="s">
        <v>652</v>
      </c>
      <c r="C5667" s="182" t="s">
        <v>653</v>
      </c>
      <c r="D5667" s="5" t="s">
        <v>7797</v>
      </c>
      <c r="E5667" s="35">
        <v>41374</v>
      </c>
    </row>
    <row r="5668" spans="1:5" ht="14.25" hidden="1" customHeight="1">
      <c r="A5668" s="164">
        <v>16314512</v>
      </c>
      <c r="B5668" s="191" t="s">
        <v>7773</v>
      </c>
      <c r="C5668" s="182" t="s">
        <v>2561</v>
      </c>
      <c r="D5668" s="5" t="s">
        <v>7797</v>
      </c>
      <c r="E5668" s="35">
        <v>41374</v>
      </c>
    </row>
    <row r="5669" spans="1:5" ht="14.25" hidden="1" customHeight="1">
      <c r="A5669" s="164">
        <v>17377987</v>
      </c>
      <c r="B5669" s="182" t="s">
        <v>659</v>
      </c>
      <c r="C5669" s="182" t="s">
        <v>1082</v>
      </c>
      <c r="D5669" s="5" t="s">
        <v>7797</v>
      </c>
      <c r="E5669" s="35">
        <v>41374</v>
      </c>
    </row>
    <row r="5670" spans="1:5" ht="14.25" hidden="1" customHeight="1">
      <c r="A5670" s="164">
        <v>17613465</v>
      </c>
      <c r="B5670" s="182" t="s">
        <v>2840</v>
      </c>
      <c r="C5670" s="182" t="s">
        <v>687</v>
      </c>
      <c r="D5670" s="5" t="s">
        <v>7797</v>
      </c>
      <c r="E5670" s="35">
        <v>41374</v>
      </c>
    </row>
    <row r="5671" spans="1:5" ht="14.25" hidden="1" customHeight="1">
      <c r="A5671" s="164">
        <v>17858381</v>
      </c>
      <c r="B5671" s="182" t="s">
        <v>1190</v>
      </c>
      <c r="C5671" s="182" t="s">
        <v>1191</v>
      </c>
      <c r="D5671" s="5" t="s">
        <v>7797</v>
      </c>
      <c r="E5671" s="35">
        <v>41374</v>
      </c>
    </row>
    <row r="5672" spans="1:5" ht="14.25" hidden="1" customHeight="1">
      <c r="A5672" s="164">
        <v>17859700</v>
      </c>
      <c r="B5672" s="182" t="s">
        <v>6424</v>
      </c>
      <c r="C5672" s="182" t="s">
        <v>7562</v>
      </c>
      <c r="D5672" s="5" t="s">
        <v>7797</v>
      </c>
      <c r="E5672" s="35">
        <v>41374</v>
      </c>
    </row>
    <row r="5673" spans="1:5" ht="14.25" hidden="1" customHeight="1">
      <c r="A5673" s="164">
        <v>18182322</v>
      </c>
      <c r="B5673" s="182" t="s">
        <v>7560</v>
      </c>
      <c r="C5673" s="182" t="s">
        <v>7561</v>
      </c>
      <c r="D5673" s="5" t="s">
        <v>7797</v>
      </c>
      <c r="E5673" s="35">
        <v>41374</v>
      </c>
    </row>
    <row r="5674" spans="1:5" ht="14.25" hidden="1" customHeight="1">
      <c r="A5674" s="164">
        <v>21328297</v>
      </c>
      <c r="B5674" s="182" t="s">
        <v>5014</v>
      </c>
      <c r="C5674" s="182" t="s">
        <v>7799</v>
      </c>
      <c r="D5674" s="5" t="s">
        <v>7797</v>
      </c>
      <c r="E5674" s="35">
        <v>41374</v>
      </c>
    </row>
    <row r="5675" spans="1:5" ht="14.25" hidden="1" customHeight="1">
      <c r="A5675" s="164">
        <v>21745709</v>
      </c>
      <c r="B5675" s="182" t="s">
        <v>3553</v>
      </c>
      <c r="C5675" s="182" t="s">
        <v>7679</v>
      </c>
      <c r="D5675" s="5" t="s">
        <v>7797</v>
      </c>
      <c r="E5675" s="35">
        <v>41374</v>
      </c>
    </row>
    <row r="5676" spans="1:5" ht="14.25" hidden="1" customHeight="1">
      <c r="A5676" s="16">
        <v>23015651</v>
      </c>
      <c r="B5676" s="17" t="s">
        <v>3182</v>
      </c>
      <c r="C5676" s="17" t="s">
        <v>902</v>
      </c>
      <c r="D5676" s="5" t="s">
        <v>7797</v>
      </c>
      <c r="E5676" s="35">
        <v>41374</v>
      </c>
    </row>
    <row r="5677" spans="1:5" ht="14.25" hidden="1" customHeight="1">
      <c r="A5677" s="164">
        <v>24098848</v>
      </c>
      <c r="B5677" s="182" t="s">
        <v>4830</v>
      </c>
      <c r="C5677" s="182" t="s">
        <v>4831</v>
      </c>
      <c r="D5677" s="5" t="s">
        <v>7797</v>
      </c>
      <c r="E5677" s="35">
        <v>41374</v>
      </c>
    </row>
    <row r="5678" spans="1:5" ht="14.25" hidden="1" customHeight="1">
      <c r="A5678" s="164">
        <v>24503707</v>
      </c>
      <c r="B5678" s="182" t="s">
        <v>410</v>
      </c>
      <c r="C5678" s="182" t="s">
        <v>2802</v>
      </c>
      <c r="D5678" s="5" t="s">
        <v>7797</v>
      </c>
      <c r="E5678" s="35">
        <v>41374</v>
      </c>
    </row>
    <row r="5679" spans="1:5" ht="14.25" hidden="1" customHeight="1">
      <c r="A5679" s="16">
        <v>24553951</v>
      </c>
      <c r="B5679" s="17" t="s">
        <v>4952</v>
      </c>
      <c r="C5679" s="17" t="s">
        <v>4953</v>
      </c>
      <c r="D5679" s="5" t="s">
        <v>7797</v>
      </c>
      <c r="E5679" s="35">
        <v>41374</v>
      </c>
    </row>
    <row r="5680" spans="1:5" ht="14.25" hidden="1" customHeight="1">
      <c r="A5680" s="164">
        <v>26445246</v>
      </c>
      <c r="B5680" s="182" t="s">
        <v>2632</v>
      </c>
      <c r="C5680" s="182" t="s">
        <v>1965</v>
      </c>
      <c r="D5680" s="5" t="s">
        <v>7797</v>
      </c>
      <c r="E5680" s="35">
        <v>41374</v>
      </c>
    </row>
    <row r="5681" spans="1:5" ht="14.25" hidden="1" customHeight="1">
      <c r="A5681" s="16">
        <v>29033241</v>
      </c>
      <c r="B5681" s="17" t="s">
        <v>5979</v>
      </c>
      <c r="C5681" s="17" t="s">
        <v>5980</v>
      </c>
      <c r="D5681" s="5" t="s">
        <v>7797</v>
      </c>
      <c r="E5681" s="35">
        <v>41374</v>
      </c>
    </row>
    <row r="5682" spans="1:5" ht="14.25" hidden="1" customHeight="1">
      <c r="A5682" s="164">
        <v>31425584</v>
      </c>
      <c r="B5682" s="182" t="s">
        <v>1655</v>
      </c>
      <c r="C5682" s="182" t="s">
        <v>1656</v>
      </c>
      <c r="D5682" s="5" t="s">
        <v>7797</v>
      </c>
      <c r="E5682" s="35">
        <v>41374</v>
      </c>
    </row>
    <row r="5683" spans="1:5" ht="14.25" hidden="1" customHeight="1">
      <c r="A5683" s="164">
        <v>6300617</v>
      </c>
      <c r="B5683" s="182" t="s">
        <v>4036</v>
      </c>
      <c r="C5683" s="182" t="s">
        <v>4037</v>
      </c>
      <c r="D5683" s="5" t="s">
        <v>7800</v>
      </c>
      <c r="E5683" s="35">
        <v>41368</v>
      </c>
    </row>
    <row r="5684" spans="1:5" ht="14.25" hidden="1" customHeight="1">
      <c r="A5684" s="16">
        <v>6352626</v>
      </c>
      <c r="B5684" s="17" t="s">
        <v>3603</v>
      </c>
      <c r="C5684" s="17" t="s">
        <v>468</v>
      </c>
      <c r="D5684" s="5" t="s">
        <v>7800</v>
      </c>
      <c r="E5684" s="35">
        <v>41368</v>
      </c>
    </row>
    <row r="5685" spans="1:5" ht="14.25" hidden="1" customHeight="1">
      <c r="A5685" s="164">
        <v>11476302</v>
      </c>
      <c r="B5685" s="182" t="s">
        <v>4328</v>
      </c>
      <c r="C5685" s="182" t="s">
        <v>3850</v>
      </c>
      <c r="D5685" s="5" t="s">
        <v>7800</v>
      </c>
      <c r="E5685" s="35">
        <v>41368</v>
      </c>
    </row>
    <row r="5686" spans="1:5" ht="14.25" hidden="1" customHeight="1">
      <c r="A5686" s="164">
        <v>12318129</v>
      </c>
      <c r="B5686" s="182" t="s">
        <v>2952</v>
      </c>
      <c r="C5686" s="182" t="s">
        <v>1023</v>
      </c>
      <c r="D5686" s="5" t="s">
        <v>7800</v>
      </c>
      <c r="E5686" s="35">
        <v>41368</v>
      </c>
    </row>
    <row r="5687" spans="1:5" ht="14.25" hidden="1" customHeight="1">
      <c r="A5687" s="164">
        <v>12918409</v>
      </c>
      <c r="B5687" s="182" t="s">
        <v>3762</v>
      </c>
      <c r="C5687" s="182" t="s">
        <v>3763</v>
      </c>
      <c r="D5687" s="5" t="s">
        <v>7800</v>
      </c>
      <c r="E5687" s="35">
        <v>41368</v>
      </c>
    </row>
    <row r="5688" spans="1:5" ht="14.25" hidden="1" customHeight="1">
      <c r="A5688" s="164">
        <v>14296958</v>
      </c>
      <c r="B5688" s="182" t="s">
        <v>5838</v>
      </c>
      <c r="C5688" s="182" t="s">
        <v>3202</v>
      </c>
      <c r="D5688" s="5" t="s">
        <v>7800</v>
      </c>
      <c r="E5688" s="35">
        <v>41368</v>
      </c>
    </row>
    <row r="5689" spans="1:5" ht="14.25" hidden="1" customHeight="1">
      <c r="A5689" s="16">
        <v>14660494</v>
      </c>
      <c r="B5689" s="17" t="s">
        <v>1280</v>
      </c>
      <c r="C5689" s="17" t="s">
        <v>1281</v>
      </c>
      <c r="D5689" s="5" t="s">
        <v>7800</v>
      </c>
      <c r="E5689" s="35">
        <v>41368</v>
      </c>
    </row>
    <row r="5690" spans="1:5" ht="14.25" hidden="1" customHeight="1">
      <c r="A5690" s="164">
        <v>16350757</v>
      </c>
      <c r="B5690" s="182" t="s">
        <v>1152</v>
      </c>
      <c r="C5690" s="182" t="s">
        <v>1153</v>
      </c>
      <c r="D5690" s="5" t="s">
        <v>7800</v>
      </c>
      <c r="E5690" s="35">
        <v>41368</v>
      </c>
    </row>
    <row r="5691" spans="1:5" ht="14.25" hidden="1" customHeight="1">
      <c r="A5691" s="164">
        <v>17268538</v>
      </c>
      <c r="B5691" s="182" t="s">
        <v>1002</v>
      </c>
      <c r="C5691" s="182" t="s">
        <v>1003</v>
      </c>
      <c r="D5691" s="5" t="s">
        <v>7800</v>
      </c>
      <c r="E5691" s="35">
        <v>41368</v>
      </c>
    </row>
    <row r="5692" spans="1:5" ht="14.25" hidden="1" customHeight="1">
      <c r="A5692" s="164">
        <v>17268866</v>
      </c>
      <c r="B5692" s="182" t="s">
        <v>948</v>
      </c>
      <c r="C5692" s="182" t="s">
        <v>952</v>
      </c>
      <c r="D5692" s="5" t="s">
        <v>7800</v>
      </c>
      <c r="E5692" s="35">
        <v>41368</v>
      </c>
    </row>
    <row r="5693" spans="1:5" ht="14.25" hidden="1" customHeight="1">
      <c r="A5693" s="164">
        <v>17696974</v>
      </c>
      <c r="B5693" s="182" t="s">
        <v>640</v>
      </c>
      <c r="C5693" s="182" t="s">
        <v>644</v>
      </c>
      <c r="D5693" s="5" t="s">
        <v>7800</v>
      </c>
      <c r="E5693" s="35">
        <v>41368</v>
      </c>
    </row>
    <row r="5694" spans="1:5" ht="14.25" hidden="1" customHeight="1">
      <c r="A5694" s="164">
        <v>17859768</v>
      </c>
      <c r="B5694" s="182" t="s">
        <v>1808</v>
      </c>
      <c r="C5694" s="182" t="s">
        <v>3850</v>
      </c>
      <c r="D5694" s="5" t="s">
        <v>7800</v>
      </c>
      <c r="E5694" s="35">
        <v>41368</v>
      </c>
    </row>
    <row r="5695" spans="1:5" ht="14.25" hidden="1" customHeight="1">
      <c r="A5695" s="164">
        <v>17860595</v>
      </c>
      <c r="B5695" s="182" t="s">
        <v>218</v>
      </c>
      <c r="C5695" s="182" t="s">
        <v>672</v>
      </c>
      <c r="D5695" s="5" t="s">
        <v>7800</v>
      </c>
      <c r="E5695" s="35">
        <v>41368</v>
      </c>
    </row>
    <row r="5696" spans="1:5" ht="14.25" hidden="1" customHeight="1">
      <c r="A5696" s="164">
        <v>18185702</v>
      </c>
      <c r="B5696" s="182" t="s">
        <v>6284</v>
      </c>
      <c r="C5696" s="182" t="s">
        <v>783</v>
      </c>
      <c r="D5696" s="5" t="s">
        <v>7800</v>
      </c>
      <c r="E5696" s="35">
        <v>41368</v>
      </c>
    </row>
    <row r="5697" spans="1:5" ht="14.25" hidden="1" customHeight="1">
      <c r="A5697" s="164">
        <v>18501320</v>
      </c>
      <c r="B5697" s="182" t="s">
        <v>1168</v>
      </c>
      <c r="C5697" s="182" t="s">
        <v>571</v>
      </c>
      <c r="D5697" s="5" t="s">
        <v>7800</v>
      </c>
      <c r="E5697" s="35">
        <v>41368</v>
      </c>
    </row>
    <row r="5698" spans="1:5" ht="14.25" hidden="1" customHeight="1">
      <c r="A5698" s="16">
        <v>23167760</v>
      </c>
      <c r="B5698" s="17" t="s">
        <v>1644</v>
      </c>
      <c r="C5698" s="17" t="s">
        <v>106</v>
      </c>
      <c r="D5698" s="5" t="s">
        <v>7800</v>
      </c>
      <c r="E5698" s="35">
        <v>41368</v>
      </c>
    </row>
    <row r="5699" spans="1:5" ht="14.25" hidden="1" customHeight="1">
      <c r="A5699" s="164">
        <v>25653571</v>
      </c>
      <c r="B5699" s="182" t="s">
        <v>7801</v>
      </c>
      <c r="C5699" s="182" t="s">
        <v>1161</v>
      </c>
      <c r="D5699" s="5" t="s">
        <v>7800</v>
      </c>
      <c r="E5699" s="35">
        <v>41368</v>
      </c>
    </row>
    <row r="5700" spans="1:5" ht="14.25" hidden="1" customHeight="1">
      <c r="A5700" s="164">
        <v>25721474</v>
      </c>
      <c r="B5700" s="182" t="s">
        <v>595</v>
      </c>
      <c r="C5700" s="182" t="s">
        <v>1496</v>
      </c>
      <c r="D5700" s="5" t="s">
        <v>7800</v>
      </c>
      <c r="E5700" s="35">
        <v>41368</v>
      </c>
    </row>
    <row r="5701" spans="1:5" ht="14.25" hidden="1" customHeight="1">
      <c r="A5701" s="164">
        <v>25758684</v>
      </c>
      <c r="B5701" s="191" t="s">
        <v>428</v>
      </c>
      <c r="C5701" s="191" t="s">
        <v>1208</v>
      </c>
      <c r="D5701" s="5" t="s">
        <v>7800</v>
      </c>
      <c r="E5701" s="35">
        <v>41368</v>
      </c>
    </row>
    <row r="5702" spans="1:5" ht="14.25" hidden="1" customHeight="1">
      <c r="A5702" s="164">
        <v>25843239</v>
      </c>
      <c r="B5702" s="182" t="s">
        <v>4874</v>
      </c>
      <c r="C5702" s="182" t="s">
        <v>1801</v>
      </c>
      <c r="D5702" s="5" t="s">
        <v>7800</v>
      </c>
      <c r="E5702" s="35">
        <v>41368</v>
      </c>
    </row>
    <row r="5703" spans="1:5" ht="14.25" hidden="1" customHeight="1">
      <c r="A5703" s="164">
        <v>27594942</v>
      </c>
      <c r="B5703" s="182" t="s">
        <v>177</v>
      </c>
      <c r="C5703" s="182" t="s">
        <v>178</v>
      </c>
      <c r="D5703" s="5" t="s">
        <v>7800</v>
      </c>
      <c r="E5703" s="35">
        <v>41368</v>
      </c>
    </row>
    <row r="5704" spans="1:5" ht="14.25" hidden="1" customHeight="1">
      <c r="A5704" s="164">
        <v>30497427</v>
      </c>
      <c r="B5704" s="182" t="s">
        <v>662</v>
      </c>
      <c r="C5704" s="182" t="s">
        <v>1074</v>
      </c>
      <c r="D5704" s="5" t="s">
        <v>7800</v>
      </c>
      <c r="E5704" s="35">
        <v>41368</v>
      </c>
    </row>
    <row r="5705" spans="1:5" ht="14.25" hidden="1" customHeight="1">
      <c r="A5705" s="164">
        <v>30497720</v>
      </c>
      <c r="B5705" s="182" t="s">
        <v>2990</v>
      </c>
      <c r="C5705" s="182" t="s">
        <v>6443</v>
      </c>
      <c r="D5705" s="5" t="s">
        <v>7800</v>
      </c>
      <c r="E5705" s="35">
        <v>41368</v>
      </c>
    </row>
    <row r="5706" spans="1:5" ht="14.25" hidden="1" customHeight="1">
      <c r="A5706" s="164">
        <v>31816834</v>
      </c>
      <c r="B5706" s="182" t="s">
        <v>1140</v>
      </c>
      <c r="C5706" s="182" t="s">
        <v>1141</v>
      </c>
      <c r="D5706" s="5" t="s">
        <v>7800</v>
      </c>
      <c r="E5706" s="35">
        <v>41368</v>
      </c>
    </row>
    <row r="5707" spans="1:5" ht="14.25" hidden="1" customHeight="1">
      <c r="A5707" s="164">
        <v>32629805</v>
      </c>
      <c r="B5707" s="182" t="s">
        <v>592</v>
      </c>
      <c r="C5707" s="182" t="s">
        <v>924</v>
      </c>
      <c r="D5707" s="5" t="s">
        <v>7800</v>
      </c>
      <c r="E5707" s="35">
        <v>41368</v>
      </c>
    </row>
    <row r="5708" spans="1:5" ht="14.25" hidden="1" customHeight="1">
      <c r="A5708" s="16">
        <v>32894798</v>
      </c>
      <c r="B5708" s="17" t="s">
        <v>1254</v>
      </c>
      <c r="C5708" s="17" t="s">
        <v>1255</v>
      </c>
      <c r="D5708" s="5" t="s">
        <v>7800</v>
      </c>
      <c r="E5708" s="35">
        <v>41368</v>
      </c>
    </row>
    <row r="5709" spans="1:5" ht="14.25" hidden="1" customHeight="1">
      <c r="A5709" s="164">
        <v>34994170</v>
      </c>
      <c r="B5709" s="182" t="s">
        <v>304</v>
      </c>
      <c r="C5709" s="182" t="s">
        <v>305</v>
      </c>
      <c r="D5709" s="5" t="s">
        <v>7800</v>
      </c>
      <c r="E5709" s="35">
        <v>41368</v>
      </c>
    </row>
    <row r="5710" spans="1:5" ht="14.25" hidden="1" customHeight="1">
      <c r="A5710" s="164">
        <v>92825116</v>
      </c>
      <c r="B5710" s="182" t="s">
        <v>970</v>
      </c>
      <c r="C5710" s="182" t="s">
        <v>968</v>
      </c>
      <c r="D5710" s="5" t="s">
        <v>7800</v>
      </c>
      <c r="E5710" s="35">
        <v>41368</v>
      </c>
    </row>
    <row r="5711" spans="1:5" ht="14.25" hidden="1" customHeight="1">
      <c r="A5711" s="16">
        <v>2073625</v>
      </c>
      <c r="B5711" s="17" t="s">
        <v>350</v>
      </c>
      <c r="C5711" s="17" t="s">
        <v>2557</v>
      </c>
      <c r="D5711" s="5" t="s">
        <v>7802</v>
      </c>
      <c r="E5711" s="35">
        <v>41354</v>
      </c>
    </row>
    <row r="5712" spans="1:5" ht="14.25" hidden="1" customHeight="1">
      <c r="A5712" s="16">
        <v>10221705</v>
      </c>
      <c r="B5712" s="17" t="s">
        <v>226</v>
      </c>
      <c r="C5712" s="17" t="s">
        <v>2052</v>
      </c>
      <c r="D5712" s="5" t="s">
        <v>7802</v>
      </c>
      <c r="E5712" s="35">
        <v>41354</v>
      </c>
    </row>
    <row r="5713" spans="1:5" ht="14.25" hidden="1" customHeight="1">
      <c r="A5713" s="16">
        <v>10430001</v>
      </c>
      <c r="B5713" s="17" t="s">
        <v>1823</v>
      </c>
      <c r="C5713" s="17" t="s">
        <v>5711</v>
      </c>
      <c r="D5713" s="5" t="s">
        <v>7802</v>
      </c>
      <c r="E5713" s="35">
        <v>41354</v>
      </c>
    </row>
    <row r="5714" spans="1:5" ht="14.25" hidden="1" customHeight="1">
      <c r="A5714" s="16">
        <v>10910039</v>
      </c>
      <c r="B5714" s="17" t="s">
        <v>2460</v>
      </c>
      <c r="C5714" s="17" t="s">
        <v>4509</v>
      </c>
      <c r="D5714" s="5" t="s">
        <v>7802</v>
      </c>
      <c r="E5714" s="35">
        <v>41354</v>
      </c>
    </row>
    <row r="5715" spans="1:5" ht="14.25" hidden="1" customHeight="1">
      <c r="A5715" s="16">
        <v>11463299</v>
      </c>
      <c r="B5715" s="17" t="s">
        <v>1842</v>
      </c>
      <c r="C5715" s="17" t="s">
        <v>1843</v>
      </c>
      <c r="D5715" s="5" t="s">
        <v>7802</v>
      </c>
      <c r="E5715" s="35">
        <v>41354</v>
      </c>
    </row>
    <row r="5716" spans="1:5" ht="14.25" hidden="1" customHeight="1">
      <c r="A5716" s="16">
        <v>11475864</v>
      </c>
      <c r="B5716" s="17" t="s">
        <v>1706</v>
      </c>
      <c r="C5716" s="17" t="s">
        <v>1707</v>
      </c>
      <c r="D5716" s="5" t="s">
        <v>7802</v>
      </c>
      <c r="E5716" s="35">
        <v>41354</v>
      </c>
    </row>
    <row r="5717" spans="1:5" ht="14.25" hidden="1" customHeight="1">
      <c r="A5717" s="16">
        <v>11970812</v>
      </c>
      <c r="B5717" s="17" t="s">
        <v>1926</v>
      </c>
      <c r="C5717" s="17" t="s">
        <v>5520</v>
      </c>
      <c r="D5717" s="5" t="s">
        <v>7802</v>
      </c>
      <c r="E5717" s="35">
        <v>41354</v>
      </c>
    </row>
    <row r="5718" spans="1:5" ht="14.25" hidden="1" customHeight="1">
      <c r="A5718" s="16">
        <v>12308110</v>
      </c>
      <c r="B5718" s="17" t="s">
        <v>5533</v>
      </c>
      <c r="C5718" s="17" t="s">
        <v>5534</v>
      </c>
      <c r="D5718" s="5" t="s">
        <v>7802</v>
      </c>
      <c r="E5718" s="35">
        <v>41354</v>
      </c>
    </row>
    <row r="5719" spans="1:5" ht="14.25" hidden="1" customHeight="1">
      <c r="A5719" s="16">
        <v>12597724</v>
      </c>
      <c r="B5719" s="17" t="s">
        <v>760</v>
      </c>
      <c r="C5719" s="17" t="s">
        <v>1707</v>
      </c>
      <c r="D5719" s="5" t="s">
        <v>7802</v>
      </c>
      <c r="E5719" s="35">
        <v>41354</v>
      </c>
    </row>
    <row r="5720" spans="1:5" ht="14.25" hidden="1" customHeight="1">
      <c r="A5720" s="16">
        <v>13378138</v>
      </c>
      <c r="B5720" s="17" t="s">
        <v>610</v>
      </c>
      <c r="C5720" s="17" t="s">
        <v>274</v>
      </c>
      <c r="D5720" s="5" t="s">
        <v>7802</v>
      </c>
      <c r="E5720" s="35">
        <v>41354</v>
      </c>
    </row>
    <row r="5721" spans="1:5" ht="14.25" hidden="1" customHeight="1">
      <c r="A5721" s="16">
        <v>13378154</v>
      </c>
      <c r="B5721" s="17" t="s">
        <v>610</v>
      </c>
      <c r="C5721" s="17" t="s">
        <v>612</v>
      </c>
      <c r="D5721" s="5" t="s">
        <v>7802</v>
      </c>
      <c r="E5721" s="35">
        <v>41354</v>
      </c>
    </row>
    <row r="5722" spans="1:5" ht="14.25" hidden="1" customHeight="1">
      <c r="A5722" s="16">
        <v>14023565</v>
      </c>
      <c r="B5722" s="17" t="s">
        <v>5281</v>
      </c>
      <c r="C5722" s="17" t="s">
        <v>5282</v>
      </c>
      <c r="D5722" s="5" t="s">
        <v>7802</v>
      </c>
      <c r="E5722" s="35">
        <v>41354</v>
      </c>
    </row>
    <row r="5723" spans="1:5" ht="14.25" hidden="1" customHeight="1">
      <c r="A5723" s="16">
        <v>14321881</v>
      </c>
      <c r="B5723" s="17" t="s">
        <v>694</v>
      </c>
      <c r="C5723" s="17" t="s">
        <v>695</v>
      </c>
      <c r="D5723" s="5" t="s">
        <v>7802</v>
      </c>
      <c r="E5723" s="35">
        <v>41354</v>
      </c>
    </row>
    <row r="5724" spans="1:5" ht="14.25" hidden="1" customHeight="1">
      <c r="A5724" s="16">
        <v>14359591</v>
      </c>
      <c r="B5724" s="17" t="s">
        <v>4247</v>
      </c>
      <c r="C5724" s="17" t="s">
        <v>2822</v>
      </c>
      <c r="D5724" s="5" t="s">
        <v>7802</v>
      </c>
      <c r="E5724" s="35">
        <v>41354</v>
      </c>
    </row>
    <row r="5725" spans="1:5" ht="14.25" hidden="1" customHeight="1">
      <c r="A5725" s="16">
        <v>14984007</v>
      </c>
      <c r="B5725" s="17" t="s">
        <v>3742</v>
      </c>
      <c r="C5725" s="17" t="s">
        <v>3743</v>
      </c>
      <c r="D5725" s="5" t="s">
        <v>7802</v>
      </c>
      <c r="E5725" s="35">
        <v>41354</v>
      </c>
    </row>
    <row r="5726" spans="1:5" ht="14.25" hidden="1" customHeight="1">
      <c r="A5726" s="16">
        <v>16685720</v>
      </c>
      <c r="B5726" s="17" t="s">
        <v>218</v>
      </c>
      <c r="C5726" s="17" t="s">
        <v>1739</v>
      </c>
      <c r="D5726" s="5" t="s">
        <v>7802</v>
      </c>
      <c r="E5726" s="35">
        <v>41354</v>
      </c>
    </row>
    <row r="5727" spans="1:5" ht="14.25" hidden="1" customHeight="1">
      <c r="A5727" s="16">
        <v>16686145</v>
      </c>
      <c r="B5727" s="17" t="s">
        <v>7808</v>
      </c>
      <c r="C5727" s="17" t="s">
        <v>5406</v>
      </c>
      <c r="D5727" s="5" t="s">
        <v>7802</v>
      </c>
      <c r="E5727" s="35">
        <v>41354</v>
      </c>
    </row>
    <row r="5728" spans="1:5" ht="14.25" hidden="1" customHeight="1">
      <c r="A5728" s="16">
        <v>16883300</v>
      </c>
      <c r="B5728" s="17" t="s">
        <v>5729</v>
      </c>
      <c r="C5728" s="17" t="s">
        <v>1299</v>
      </c>
      <c r="D5728" s="5" t="s">
        <v>7802</v>
      </c>
      <c r="E5728" s="35">
        <v>41354</v>
      </c>
    </row>
    <row r="5729" spans="1:5" ht="14.25" hidden="1" customHeight="1">
      <c r="A5729" s="16">
        <v>16998863</v>
      </c>
      <c r="B5729" s="17" t="s">
        <v>863</v>
      </c>
      <c r="C5729" s="17" t="s">
        <v>5907</v>
      </c>
      <c r="D5729" s="5" t="s">
        <v>7802</v>
      </c>
      <c r="E5729" s="35">
        <v>41354</v>
      </c>
    </row>
    <row r="5730" spans="1:5" ht="14.25" hidden="1" customHeight="1">
      <c r="A5730" s="16">
        <v>17458714</v>
      </c>
      <c r="B5730" s="17" t="s">
        <v>3975</v>
      </c>
      <c r="C5730" s="17" t="s">
        <v>681</v>
      </c>
      <c r="D5730" s="5" t="s">
        <v>7802</v>
      </c>
      <c r="E5730" s="35">
        <v>41354</v>
      </c>
    </row>
    <row r="5731" spans="1:5" ht="14.25" hidden="1" customHeight="1">
      <c r="A5731" s="16">
        <v>17613465</v>
      </c>
      <c r="B5731" s="17" t="s">
        <v>2840</v>
      </c>
      <c r="C5731" s="17" t="s">
        <v>687</v>
      </c>
      <c r="D5731" s="5" t="s">
        <v>7802</v>
      </c>
      <c r="E5731" s="35">
        <v>41354</v>
      </c>
    </row>
    <row r="5732" spans="1:5" ht="14.25" hidden="1" customHeight="1">
      <c r="A5732" s="16">
        <v>17614178</v>
      </c>
      <c r="B5732" s="17" t="s">
        <v>1787</v>
      </c>
      <c r="C5732" s="17" t="s">
        <v>3592</v>
      </c>
      <c r="D5732" s="5" t="s">
        <v>7802</v>
      </c>
      <c r="E5732" s="35">
        <v>41354</v>
      </c>
    </row>
    <row r="5733" spans="1:5" ht="14.25" hidden="1" customHeight="1">
      <c r="A5733" s="16">
        <v>18230668</v>
      </c>
      <c r="B5733" s="17" t="s">
        <v>2375</v>
      </c>
      <c r="C5733" s="17" t="s">
        <v>1585</v>
      </c>
      <c r="D5733" s="5" t="s">
        <v>7802</v>
      </c>
      <c r="E5733" s="35">
        <v>41354</v>
      </c>
    </row>
    <row r="5734" spans="1:5" ht="14.25" hidden="1" customHeight="1">
      <c r="A5734" s="16">
        <v>18299635</v>
      </c>
      <c r="B5734" s="17" t="s">
        <v>505</v>
      </c>
      <c r="C5734" s="17" t="s">
        <v>1843</v>
      </c>
      <c r="D5734" s="5" t="s">
        <v>7802</v>
      </c>
      <c r="E5734" s="35">
        <v>41354</v>
      </c>
    </row>
    <row r="5735" spans="1:5" ht="14.25" hidden="1" customHeight="1">
      <c r="A5735" s="16">
        <v>18465826</v>
      </c>
      <c r="B5735" s="17" t="s">
        <v>1482</v>
      </c>
      <c r="C5735" s="17" t="s">
        <v>876</v>
      </c>
      <c r="D5735" s="5" t="s">
        <v>7802</v>
      </c>
      <c r="E5735" s="35">
        <v>41354</v>
      </c>
    </row>
    <row r="5736" spans="1:5" ht="14.25" hidden="1" customHeight="1">
      <c r="A5736" s="16">
        <v>18505921</v>
      </c>
      <c r="B5736" s="17" t="s">
        <v>2422</v>
      </c>
      <c r="C5736" s="17" t="s">
        <v>5315</v>
      </c>
      <c r="D5736" s="5" t="s">
        <v>7802</v>
      </c>
      <c r="E5736" s="35">
        <v>41354</v>
      </c>
    </row>
    <row r="5737" spans="1:5" ht="14.25" hidden="1" customHeight="1">
      <c r="A5737" s="16">
        <v>20219090</v>
      </c>
      <c r="B5737" s="17" t="s">
        <v>4429</v>
      </c>
      <c r="C5737" s="17" t="s">
        <v>215</v>
      </c>
      <c r="D5737" s="5" t="s">
        <v>7802</v>
      </c>
      <c r="E5737" s="35">
        <v>41354</v>
      </c>
    </row>
    <row r="5738" spans="1:5" ht="14.25" hidden="1" customHeight="1">
      <c r="A5738" s="16">
        <v>20759580</v>
      </c>
      <c r="B5738" s="17" t="s">
        <v>118</v>
      </c>
      <c r="C5738" s="17" t="s">
        <v>119</v>
      </c>
      <c r="D5738" s="5" t="s">
        <v>7802</v>
      </c>
      <c r="E5738" s="35">
        <v>41354</v>
      </c>
    </row>
    <row r="5739" spans="1:5" ht="14.25" hidden="1" customHeight="1">
      <c r="A5739" s="16">
        <v>21327352</v>
      </c>
      <c r="B5739" s="17" t="s">
        <v>7774</v>
      </c>
      <c r="C5739" s="17" t="s">
        <v>3466</v>
      </c>
      <c r="D5739" s="5" t="s">
        <v>7802</v>
      </c>
      <c r="E5739" s="35">
        <v>41354</v>
      </c>
    </row>
    <row r="5740" spans="1:5" ht="14.25" hidden="1" customHeight="1">
      <c r="A5740" s="16">
        <v>21893835</v>
      </c>
      <c r="B5740" s="17" t="s">
        <v>321</v>
      </c>
      <c r="C5740" s="17" t="s">
        <v>783</v>
      </c>
      <c r="D5740" s="5" t="s">
        <v>7802</v>
      </c>
      <c r="E5740" s="35">
        <v>41354</v>
      </c>
    </row>
    <row r="5741" spans="1:5" ht="14.25" hidden="1" customHeight="1">
      <c r="A5741" s="16">
        <v>22397327</v>
      </c>
      <c r="B5741" s="17" t="s">
        <v>734</v>
      </c>
      <c r="C5741" s="17" t="s">
        <v>3541</v>
      </c>
      <c r="D5741" s="5" t="s">
        <v>7802</v>
      </c>
      <c r="E5741" s="35">
        <v>41354</v>
      </c>
    </row>
    <row r="5742" spans="1:5" ht="14.25" hidden="1" customHeight="1">
      <c r="A5742" s="16">
        <v>22433907</v>
      </c>
      <c r="B5742" s="17" t="s">
        <v>2462</v>
      </c>
      <c r="C5742" s="17" t="s">
        <v>2463</v>
      </c>
      <c r="D5742" s="5" t="s">
        <v>7802</v>
      </c>
      <c r="E5742" s="35">
        <v>41354</v>
      </c>
    </row>
    <row r="5743" spans="1:5" ht="14.25" hidden="1" customHeight="1">
      <c r="A5743" s="16">
        <v>22455086</v>
      </c>
      <c r="B5743" s="17" t="s">
        <v>5166</v>
      </c>
      <c r="C5743" s="17" t="s">
        <v>6363</v>
      </c>
      <c r="D5743" s="5" t="s">
        <v>7802</v>
      </c>
      <c r="E5743" s="35">
        <v>41354</v>
      </c>
    </row>
    <row r="5744" spans="1:5" ht="14.25" hidden="1" customHeight="1">
      <c r="A5744" s="16">
        <v>22877621</v>
      </c>
      <c r="B5744" s="17" t="s">
        <v>2454</v>
      </c>
      <c r="C5744" s="17" t="s">
        <v>7804</v>
      </c>
      <c r="D5744" s="5" t="s">
        <v>7802</v>
      </c>
      <c r="E5744" s="35">
        <v>41354</v>
      </c>
    </row>
    <row r="5745" spans="1:5" ht="14.25" hidden="1" customHeight="1">
      <c r="A5745" s="16">
        <v>23015469</v>
      </c>
      <c r="B5745" s="17" t="s">
        <v>714</v>
      </c>
      <c r="C5745" s="17" t="s">
        <v>7149</v>
      </c>
      <c r="D5745" s="5" t="s">
        <v>7802</v>
      </c>
      <c r="E5745" s="35">
        <v>41354</v>
      </c>
    </row>
    <row r="5746" spans="1:5" ht="14.25" hidden="1" customHeight="1">
      <c r="A5746" s="16">
        <v>23118947</v>
      </c>
      <c r="B5746" s="17" t="s">
        <v>2492</v>
      </c>
      <c r="C5746" s="17" t="s">
        <v>843</v>
      </c>
      <c r="D5746" s="5" t="s">
        <v>7802</v>
      </c>
      <c r="E5746" s="35">
        <v>41354</v>
      </c>
    </row>
    <row r="5747" spans="1:5" ht="14.25" hidden="1" customHeight="1">
      <c r="A5747" s="16">
        <v>23519543</v>
      </c>
      <c r="B5747" s="17" t="s">
        <v>1401</v>
      </c>
      <c r="C5747" s="17" t="s">
        <v>7803</v>
      </c>
      <c r="D5747" s="5" t="s">
        <v>7802</v>
      </c>
      <c r="E5747" s="35">
        <v>41354</v>
      </c>
    </row>
    <row r="5748" spans="1:5" ht="14.25" hidden="1" customHeight="1">
      <c r="A5748" s="16">
        <v>23827367</v>
      </c>
      <c r="B5748" s="17" t="s">
        <v>3754</v>
      </c>
      <c r="C5748" s="17" t="s">
        <v>3755</v>
      </c>
      <c r="D5748" s="5" t="s">
        <v>7802</v>
      </c>
      <c r="E5748" s="35">
        <v>41354</v>
      </c>
    </row>
    <row r="5749" spans="1:5" ht="14.25" hidden="1" customHeight="1">
      <c r="A5749" s="16">
        <v>24294033</v>
      </c>
      <c r="B5749" s="17" t="s">
        <v>3572</v>
      </c>
      <c r="C5749" s="17" t="s">
        <v>3573</v>
      </c>
      <c r="D5749" s="5" t="s">
        <v>7802</v>
      </c>
      <c r="E5749" s="35">
        <v>41354</v>
      </c>
    </row>
    <row r="5750" spans="1:5" ht="14.25" hidden="1" customHeight="1">
      <c r="A5750" s="16">
        <v>24316864</v>
      </c>
      <c r="B5750" s="17" t="s">
        <v>2026</v>
      </c>
      <c r="C5750" s="17" t="s">
        <v>5476</v>
      </c>
      <c r="D5750" s="5" t="s">
        <v>7802</v>
      </c>
      <c r="E5750" s="35">
        <v>41354</v>
      </c>
    </row>
    <row r="5751" spans="1:5" ht="14.25" hidden="1" customHeight="1">
      <c r="A5751" s="16">
        <v>24864426</v>
      </c>
      <c r="B5751" s="17" t="s">
        <v>1504</v>
      </c>
      <c r="C5751" s="17" t="s">
        <v>7806</v>
      </c>
      <c r="D5751" s="5" t="s">
        <v>7802</v>
      </c>
      <c r="E5751" s="35">
        <v>41354</v>
      </c>
    </row>
    <row r="5752" spans="1:5" ht="14.25" hidden="1" customHeight="1">
      <c r="A5752" s="16">
        <v>24981374</v>
      </c>
      <c r="B5752" s="17" t="s">
        <v>652</v>
      </c>
      <c r="C5752" s="17" t="s">
        <v>6105</v>
      </c>
      <c r="D5752" s="5" t="s">
        <v>7802</v>
      </c>
      <c r="E5752" s="35">
        <v>41354</v>
      </c>
    </row>
    <row r="5753" spans="1:5" ht="14.25" hidden="1" customHeight="1">
      <c r="A5753" s="16">
        <v>25542467</v>
      </c>
      <c r="B5753" s="17" t="s">
        <v>2472</v>
      </c>
      <c r="C5753" s="17" t="s">
        <v>2473</v>
      </c>
      <c r="D5753" s="5" t="s">
        <v>7802</v>
      </c>
      <c r="E5753" s="35">
        <v>41354</v>
      </c>
    </row>
    <row r="5754" spans="1:5" ht="14.25" hidden="1" customHeight="1">
      <c r="A5754" s="16">
        <v>25734593</v>
      </c>
      <c r="B5754" s="17" t="s">
        <v>5433</v>
      </c>
      <c r="C5754" s="17" t="s">
        <v>1984</v>
      </c>
      <c r="D5754" s="5" t="s">
        <v>7802</v>
      </c>
      <c r="E5754" s="35">
        <v>41354</v>
      </c>
    </row>
    <row r="5755" spans="1:5" ht="14.25" hidden="1" customHeight="1">
      <c r="A5755" s="16">
        <v>25843618</v>
      </c>
      <c r="B5755" s="17" t="s">
        <v>1823</v>
      </c>
      <c r="C5755" s="17" t="s">
        <v>4410</v>
      </c>
      <c r="D5755" s="5" t="s">
        <v>7802</v>
      </c>
      <c r="E5755" s="35">
        <v>41354</v>
      </c>
    </row>
    <row r="5756" spans="1:5" ht="14.25" hidden="1" customHeight="1">
      <c r="A5756" s="16">
        <v>26736021</v>
      </c>
      <c r="B5756" s="17" t="s">
        <v>359</v>
      </c>
      <c r="C5756" s="17" t="s">
        <v>1785</v>
      </c>
      <c r="D5756" s="5" t="s">
        <v>7802</v>
      </c>
      <c r="E5756" s="35">
        <v>41354</v>
      </c>
    </row>
    <row r="5757" spans="1:5" ht="14.25" hidden="1" customHeight="1">
      <c r="A5757" s="16">
        <v>26743740</v>
      </c>
      <c r="B5757" s="17" t="s">
        <v>794</v>
      </c>
      <c r="C5757" s="25" t="s">
        <v>2371</v>
      </c>
      <c r="D5757" s="5" t="s">
        <v>7802</v>
      </c>
      <c r="E5757" s="35">
        <v>41354</v>
      </c>
    </row>
    <row r="5758" spans="1:5" ht="14.25" hidden="1" customHeight="1">
      <c r="A5758" s="16">
        <v>27016351</v>
      </c>
      <c r="B5758" s="17" t="s">
        <v>2026</v>
      </c>
      <c r="C5758" s="17" t="s">
        <v>3662</v>
      </c>
      <c r="D5758" s="5" t="s">
        <v>7802</v>
      </c>
      <c r="E5758" s="35">
        <v>41354</v>
      </c>
    </row>
    <row r="5759" spans="1:5" ht="14.25" hidden="1" customHeight="1">
      <c r="A5759" s="16">
        <v>27575100</v>
      </c>
      <c r="B5759" s="17" t="s">
        <v>3649</v>
      </c>
      <c r="C5759" s="17" t="s">
        <v>436</v>
      </c>
      <c r="D5759" s="5" t="s">
        <v>7802</v>
      </c>
      <c r="E5759" s="35">
        <v>41354</v>
      </c>
    </row>
    <row r="5760" spans="1:5" ht="14.25" hidden="1" customHeight="1">
      <c r="A5760" s="16">
        <v>27975948</v>
      </c>
      <c r="B5760" s="17" t="s">
        <v>7369</v>
      </c>
      <c r="C5760" s="17" t="s">
        <v>3948</v>
      </c>
      <c r="D5760" s="5" t="s">
        <v>7802</v>
      </c>
      <c r="E5760" s="35">
        <v>41354</v>
      </c>
    </row>
    <row r="5761" spans="1:5" ht="14.25" hidden="1" customHeight="1">
      <c r="A5761" s="16">
        <v>27994383</v>
      </c>
      <c r="B5761" s="17" t="s">
        <v>863</v>
      </c>
      <c r="C5761" s="17" t="s">
        <v>3294</v>
      </c>
      <c r="D5761" s="5" t="s">
        <v>7802</v>
      </c>
      <c r="E5761" s="35">
        <v>41354</v>
      </c>
    </row>
    <row r="5762" spans="1:5" ht="14.25" hidden="1" customHeight="1">
      <c r="A5762" s="16">
        <v>28476107</v>
      </c>
      <c r="B5762" s="17" t="s">
        <v>7805</v>
      </c>
      <c r="C5762" s="17" t="s">
        <v>4520</v>
      </c>
      <c r="D5762" s="5" t="s">
        <v>7802</v>
      </c>
      <c r="E5762" s="35">
        <v>41354</v>
      </c>
    </row>
    <row r="5763" spans="1:5" ht="14.25" hidden="1" customHeight="1">
      <c r="A5763" s="16">
        <v>28681864</v>
      </c>
      <c r="B5763" s="17" t="s">
        <v>2642</v>
      </c>
      <c r="C5763" s="17" t="s">
        <v>2643</v>
      </c>
      <c r="D5763" s="5" t="s">
        <v>7802</v>
      </c>
      <c r="E5763" s="35">
        <v>41354</v>
      </c>
    </row>
    <row r="5764" spans="1:5" ht="14.25" hidden="1" customHeight="1">
      <c r="A5764" s="16">
        <v>29026236</v>
      </c>
      <c r="B5764" s="17" t="s">
        <v>315</v>
      </c>
      <c r="C5764" s="17" t="s">
        <v>902</v>
      </c>
      <c r="D5764" s="5" t="s">
        <v>7802</v>
      </c>
      <c r="E5764" s="35">
        <v>41354</v>
      </c>
    </row>
    <row r="5765" spans="1:5" ht="14.25" hidden="1" customHeight="1">
      <c r="A5765" s="16">
        <v>29532614</v>
      </c>
      <c r="B5765" s="17" t="s">
        <v>7807</v>
      </c>
      <c r="C5765" s="17" t="s">
        <v>7685</v>
      </c>
      <c r="D5765" s="5" t="s">
        <v>7802</v>
      </c>
      <c r="E5765" s="35">
        <v>41354</v>
      </c>
    </row>
    <row r="5766" spans="1:5" ht="14.25" hidden="1" customHeight="1">
      <c r="A5766" s="16">
        <v>30442895</v>
      </c>
      <c r="B5766" s="17" t="s">
        <v>6450</v>
      </c>
      <c r="C5766" s="17" t="s">
        <v>6451</v>
      </c>
      <c r="D5766" s="5" t="s">
        <v>7802</v>
      </c>
      <c r="E5766" s="35">
        <v>41354</v>
      </c>
    </row>
    <row r="5767" spans="1:5" ht="14.25" hidden="1" customHeight="1">
      <c r="A5767" s="16">
        <v>32460389</v>
      </c>
      <c r="B5767" s="17" t="s">
        <v>2091</v>
      </c>
      <c r="C5767" s="17" t="s">
        <v>6148</v>
      </c>
      <c r="D5767" s="5" t="s">
        <v>7802</v>
      </c>
      <c r="E5767" s="35">
        <v>41354</v>
      </c>
    </row>
    <row r="5768" spans="1:5" ht="14.25" hidden="1" customHeight="1">
      <c r="A5768" s="16">
        <v>32775540</v>
      </c>
      <c r="B5768" s="17" t="s">
        <v>1798</v>
      </c>
      <c r="C5768" s="17" t="s">
        <v>1801</v>
      </c>
      <c r="D5768" s="5" t="s">
        <v>7802</v>
      </c>
      <c r="E5768" s="35">
        <v>41354</v>
      </c>
    </row>
    <row r="5769" spans="1:5" ht="14.25" hidden="1" customHeight="1">
      <c r="B5769" s="17" t="s">
        <v>288</v>
      </c>
      <c r="C5769" s="17" t="s">
        <v>1061</v>
      </c>
      <c r="D5769" s="5" t="s">
        <v>7802</v>
      </c>
      <c r="E5769" s="35">
        <v>41354</v>
      </c>
    </row>
    <row r="5770" spans="1:5" ht="14.25" hidden="1" customHeight="1">
      <c r="A5770" s="16">
        <v>5727594</v>
      </c>
      <c r="B5770" s="17" t="s">
        <v>1135</v>
      </c>
      <c r="C5770" s="17" t="s">
        <v>1136</v>
      </c>
      <c r="D5770" s="5" t="s">
        <v>7309</v>
      </c>
      <c r="E5770" s="35">
        <v>41352</v>
      </c>
    </row>
    <row r="5771" spans="1:5" ht="14.25" hidden="1" customHeight="1">
      <c r="A5771" s="16">
        <v>10221705</v>
      </c>
      <c r="B5771" s="17" t="s">
        <v>226</v>
      </c>
      <c r="C5771" s="17" t="s">
        <v>2052</v>
      </c>
      <c r="D5771" s="5" t="s">
        <v>7309</v>
      </c>
      <c r="E5771" s="35">
        <v>41352</v>
      </c>
    </row>
    <row r="5772" spans="1:5" ht="14.25" hidden="1" customHeight="1">
      <c r="A5772" s="16">
        <v>14353081</v>
      </c>
      <c r="B5772" s="17" t="s">
        <v>428</v>
      </c>
      <c r="C5772" s="17" t="s">
        <v>1208</v>
      </c>
      <c r="D5772" s="5" t="s">
        <v>7309</v>
      </c>
      <c r="E5772" s="35">
        <v>41352</v>
      </c>
    </row>
    <row r="5773" spans="1:5" ht="14.25" hidden="1" customHeight="1">
      <c r="A5773" s="16">
        <v>16811447</v>
      </c>
      <c r="B5773" s="17" t="s">
        <v>725</v>
      </c>
      <c r="C5773" s="17" t="s">
        <v>726</v>
      </c>
      <c r="D5773" s="5" t="s">
        <v>7309</v>
      </c>
      <c r="E5773" s="35">
        <v>41352</v>
      </c>
    </row>
    <row r="5774" spans="1:5" ht="14.25" hidden="1" customHeight="1">
      <c r="A5774" s="16">
        <v>18187552</v>
      </c>
      <c r="B5774" s="17" t="s">
        <v>3244</v>
      </c>
      <c r="C5774" s="17" t="s">
        <v>3245</v>
      </c>
      <c r="D5774" s="5" t="s">
        <v>7309</v>
      </c>
      <c r="E5774" s="35">
        <v>41352</v>
      </c>
    </row>
    <row r="5775" spans="1:5" ht="14.25" hidden="1" customHeight="1">
      <c r="A5775" s="16">
        <v>23564843</v>
      </c>
      <c r="B5775" s="17" t="s">
        <v>3837</v>
      </c>
      <c r="C5775" s="17" t="s">
        <v>7041</v>
      </c>
      <c r="D5775" s="5" t="s">
        <v>7309</v>
      </c>
      <c r="E5775" s="35">
        <v>41352</v>
      </c>
    </row>
    <row r="5776" spans="1:5" ht="14.25" hidden="1" customHeight="1">
      <c r="A5776" s="16">
        <v>25758684</v>
      </c>
      <c r="B5776" s="17" t="s">
        <v>428</v>
      </c>
      <c r="C5776" s="17" t="s">
        <v>1785</v>
      </c>
      <c r="D5776" s="5" t="s">
        <v>7309</v>
      </c>
      <c r="E5776" s="35">
        <v>41352</v>
      </c>
    </row>
    <row r="5777" spans="1:5" ht="14.25" hidden="1" customHeight="1">
      <c r="A5777" s="16">
        <v>26676787</v>
      </c>
      <c r="B5777" s="17" t="s">
        <v>1793</v>
      </c>
      <c r="C5777" s="17" t="s">
        <v>398</v>
      </c>
      <c r="D5777" s="5" t="s">
        <v>7309</v>
      </c>
      <c r="E5777" s="35">
        <v>41352</v>
      </c>
    </row>
    <row r="5778" spans="1:5" ht="14.25" hidden="1" customHeight="1">
      <c r="A5778" s="16">
        <v>27206962</v>
      </c>
      <c r="B5778" s="17" t="s">
        <v>2774</v>
      </c>
      <c r="C5778" s="17" t="s">
        <v>2775</v>
      </c>
      <c r="D5778" s="5" t="s">
        <v>7309</v>
      </c>
      <c r="E5778" s="35">
        <v>41352</v>
      </c>
    </row>
    <row r="5779" spans="1:5" ht="14.25" hidden="1" customHeight="1">
      <c r="A5779" s="16">
        <v>28476748</v>
      </c>
      <c r="B5779" s="17" t="s">
        <v>4669</v>
      </c>
      <c r="C5779" s="17" t="s">
        <v>4670</v>
      </c>
      <c r="D5779" s="5" t="s">
        <v>7309</v>
      </c>
      <c r="E5779" s="35">
        <v>41352</v>
      </c>
    </row>
    <row r="5780" spans="1:5" ht="14.25" hidden="1" customHeight="1">
      <c r="A5780" s="16">
        <v>29997979</v>
      </c>
      <c r="B5780" s="17" t="s">
        <v>7809</v>
      </c>
      <c r="C5780" s="17" t="s">
        <v>527</v>
      </c>
      <c r="D5780" s="5" t="s">
        <v>7309</v>
      </c>
      <c r="E5780" s="35">
        <v>41352</v>
      </c>
    </row>
    <row r="5781" spans="1:5" ht="14.25" hidden="1" customHeight="1">
      <c r="B5781" s="17" t="s">
        <v>1190</v>
      </c>
      <c r="C5781" s="17" t="s">
        <v>340</v>
      </c>
      <c r="D5781" s="5" t="s">
        <v>7309</v>
      </c>
      <c r="E5781" s="35">
        <v>41352</v>
      </c>
    </row>
    <row r="5782" spans="1:5" ht="14.25" hidden="1" customHeight="1">
      <c r="B5782" s="17" t="s">
        <v>1244</v>
      </c>
      <c r="C5782" s="17" t="s">
        <v>2878</v>
      </c>
      <c r="D5782" s="5" t="s">
        <v>7309</v>
      </c>
      <c r="E5782" s="35">
        <v>41352</v>
      </c>
    </row>
    <row r="5783" spans="1:5" ht="14.25" hidden="1" customHeight="1">
      <c r="A5783" s="16">
        <v>6133918</v>
      </c>
      <c r="B5783" s="17" t="s">
        <v>2422</v>
      </c>
      <c r="C5783" s="17" t="s">
        <v>7810</v>
      </c>
      <c r="D5783" s="5" t="s">
        <v>7018</v>
      </c>
      <c r="E5783" s="35">
        <v>41352</v>
      </c>
    </row>
    <row r="5784" spans="1:5" ht="14.25" hidden="1" customHeight="1">
      <c r="A5784" s="16">
        <v>6468936</v>
      </c>
      <c r="B5784" s="17" t="s">
        <v>144</v>
      </c>
      <c r="C5784" s="17" t="s">
        <v>3433</v>
      </c>
      <c r="D5784" s="5" t="s">
        <v>7018</v>
      </c>
      <c r="E5784" s="35">
        <v>41352</v>
      </c>
    </row>
    <row r="5785" spans="1:5" ht="14.25" hidden="1" customHeight="1">
      <c r="A5785" s="16">
        <v>12346631</v>
      </c>
      <c r="B5785" s="17" t="s">
        <v>5779</v>
      </c>
      <c r="C5785" s="17" t="s">
        <v>5780</v>
      </c>
      <c r="D5785" s="5" t="s">
        <v>7018</v>
      </c>
      <c r="E5785" s="35">
        <v>41352</v>
      </c>
    </row>
    <row r="5786" spans="1:5" ht="14.25" hidden="1" customHeight="1">
      <c r="A5786" s="16">
        <v>14084778</v>
      </c>
      <c r="B5786" s="17" t="s">
        <v>5051</v>
      </c>
      <c r="C5786" s="17" t="s">
        <v>5052</v>
      </c>
      <c r="D5786" s="5" t="s">
        <v>7018</v>
      </c>
      <c r="E5786" s="35">
        <v>41352</v>
      </c>
    </row>
    <row r="5787" spans="1:5" ht="14.25" hidden="1" customHeight="1">
      <c r="A5787" s="16">
        <v>18187552</v>
      </c>
      <c r="B5787" s="17" t="s">
        <v>3244</v>
      </c>
      <c r="C5787" s="17" t="s">
        <v>3245</v>
      </c>
      <c r="D5787" s="5" t="s">
        <v>7018</v>
      </c>
      <c r="E5787" s="35">
        <v>41352</v>
      </c>
    </row>
    <row r="5788" spans="1:5" ht="14.25" hidden="1" customHeight="1">
      <c r="A5788" s="16">
        <v>22806056</v>
      </c>
      <c r="B5788" s="17" t="s">
        <v>1793</v>
      </c>
      <c r="C5788" s="17" t="s">
        <v>5009</v>
      </c>
      <c r="D5788" s="5" t="s">
        <v>7018</v>
      </c>
      <c r="E5788" s="35">
        <v>41352</v>
      </c>
    </row>
    <row r="5789" spans="1:5" ht="14.25" hidden="1" customHeight="1">
      <c r="A5789" s="16">
        <v>23020149</v>
      </c>
      <c r="B5789" s="17" t="s">
        <v>2622</v>
      </c>
      <c r="C5789" s="17" t="s">
        <v>7811</v>
      </c>
      <c r="D5789" s="5" t="s">
        <v>7018</v>
      </c>
      <c r="E5789" s="35">
        <v>41352</v>
      </c>
    </row>
    <row r="5790" spans="1:5" ht="14.25" hidden="1" customHeight="1">
      <c r="A5790" s="16">
        <v>25758684</v>
      </c>
      <c r="B5790" s="17" t="s">
        <v>428</v>
      </c>
      <c r="C5790" s="17" t="s">
        <v>1208</v>
      </c>
      <c r="D5790" s="5" t="s">
        <v>7018</v>
      </c>
      <c r="E5790" s="35">
        <v>41352</v>
      </c>
    </row>
    <row r="5791" spans="1:5" ht="14.25" hidden="1" customHeight="1">
      <c r="A5791" s="16">
        <v>27651542</v>
      </c>
      <c r="B5791" s="17" t="s">
        <v>5433</v>
      </c>
      <c r="C5791" s="17" t="s">
        <v>5856</v>
      </c>
      <c r="D5791" s="5" t="s">
        <v>7018</v>
      </c>
      <c r="E5791" s="35">
        <v>41352</v>
      </c>
    </row>
    <row r="5792" spans="1:5" ht="14.25" hidden="1" customHeight="1">
      <c r="A5792" s="16">
        <v>28223716</v>
      </c>
      <c r="B5792" s="17" t="s">
        <v>2865</v>
      </c>
      <c r="C5792" s="17" t="s">
        <v>2678</v>
      </c>
      <c r="D5792" s="5" t="s">
        <v>7018</v>
      </c>
      <c r="E5792" s="35">
        <v>41352</v>
      </c>
    </row>
    <row r="5793" spans="1:5" ht="14.25" hidden="1" customHeight="1">
      <c r="A5793" s="16">
        <v>29073625</v>
      </c>
      <c r="B5793" s="17" t="s">
        <v>350</v>
      </c>
      <c r="C5793" s="17" t="s">
        <v>2557</v>
      </c>
      <c r="D5793" s="5" t="s">
        <v>7018</v>
      </c>
      <c r="E5793" s="35">
        <v>41352</v>
      </c>
    </row>
    <row r="5794" spans="1:5" ht="14.25" hidden="1" customHeight="1">
      <c r="A5794" s="16">
        <v>31052533</v>
      </c>
      <c r="B5794" s="17" t="s">
        <v>218</v>
      </c>
      <c r="C5794" s="17" t="s">
        <v>1087</v>
      </c>
      <c r="D5794" s="5" t="s">
        <v>7018</v>
      </c>
      <c r="E5794" s="35">
        <v>41352</v>
      </c>
    </row>
    <row r="5795" spans="1:5" ht="14.25" hidden="1" customHeight="1">
      <c r="A5795" s="16">
        <v>33541638</v>
      </c>
      <c r="B5795" s="17" t="s">
        <v>2310</v>
      </c>
      <c r="C5795" s="17" t="s">
        <v>30</v>
      </c>
      <c r="D5795" s="5" t="s">
        <v>7018</v>
      </c>
      <c r="E5795" s="35">
        <v>41352</v>
      </c>
    </row>
    <row r="5796" spans="1:5" ht="14.25" hidden="1" customHeight="1">
      <c r="A5796" s="16">
        <v>33703738</v>
      </c>
      <c r="B5796" s="17" t="s">
        <v>2045</v>
      </c>
      <c r="C5796" s="17" t="s">
        <v>2853</v>
      </c>
      <c r="D5796" s="5" t="s">
        <v>7018</v>
      </c>
      <c r="E5796" s="35">
        <v>41352</v>
      </c>
    </row>
    <row r="5797" spans="1:5" ht="14.25" hidden="1" customHeight="1">
      <c r="A5797" s="16">
        <v>5997121</v>
      </c>
      <c r="B5797" s="17" t="s">
        <v>625</v>
      </c>
      <c r="C5797" s="17" t="s">
        <v>465</v>
      </c>
      <c r="D5797" s="1" t="s">
        <v>7812</v>
      </c>
      <c r="E5797" s="35">
        <v>41242</v>
      </c>
    </row>
    <row r="5798" spans="1:5" ht="14.25" hidden="1" customHeight="1">
      <c r="A5798" s="16">
        <v>7653009</v>
      </c>
      <c r="B5798" s="17" t="s">
        <v>850</v>
      </c>
      <c r="C5798" s="17" t="s">
        <v>365</v>
      </c>
      <c r="D5798" s="1" t="s">
        <v>7812</v>
      </c>
      <c r="E5798" s="35">
        <v>41242</v>
      </c>
    </row>
    <row r="5799" spans="1:5" ht="14.25" hidden="1" customHeight="1">
      <c r="A5799" s="16">
        <v>11909679</v>
      </c>
      <c r="B5799" s="17" t="s">
        <v>3357</v>
      </c>
      <c r="C5799" s="17" t="s">
        <v>832</v>
      </c>
      <c r="D5799" s="1" t="s">
        <v>7812</v>
      </c>
      <c r="E5799" s="35">
        <v>41242</v>
      </c>
    </row>
    <row r="5800" spans="1:5" ht="14.25" hidden="1" customHeight="1">
      <c r="A5800" s="16">
        <v>12627777</v>
      </c>
      <c r="B5800" s="17" t="s">
        <v>2514</v>
      </c>
      <c r="C5800" s="17" t="s">
        <v>2516</v>
      </c>
      <c r="D5800" s="1" t="s">
        <v>7812</v>
      </c>
      <c r="E5800" s="35">
        <v>41242</v>
      </c>
    </row>
    <row r="5801" spans="1:5" ht="14.25" hidden="1" customHeight="1">
      <c r="A5801" s="16">
        <v>12654235</v>
      </c>
      <c r="B5801" s="17" t="s">
        <v>863</v>
      </c>
      <c r="C5801" s="17" t="s">
        <v>4576</v>
      </c>
      <c r="D5801" s="1" t="s">
        <v>7812</v>
      </c>
      <c r="E5801" s="35">
        <v>41242</v>
      </c>
    </row>
    <row r="5802" spans="1:5" ht="14.25" hidden="1" customHeight="1">
      <c r="A5802" s="16">
        <v>13203992</v>
      </c>
      <c r="B5802" s="17" t="s">
        <v>2576</v>
      </c>
      <c r="C5802" s="17" t="s">
        <v>4631</v>
      </c>
      <c r="D5802" s="1" t="s">
        <v>7812</v>
      </c>
      <c r="E5802" s="35">
        <v>41242</v>
      </c>
    </row>
    <row r="5803" spans="1:5" ht="14.25" hidden="1" customHeight="1">
      <c r="A5803" s="16">
        <v>13278971</v>
      </c>
      <c r="B5803" s="17" t="s">
        <v>1625</v>
      </c>
      <c r="C5803" s="17" t="s">
        <v>7823</v>
      </c>
      <c r="D5803" s="1" t="s">
        <v>7812</v>
      </c>
      <c r="E5803" s="35">
        <v>41242</v>
      </c>
    </row>
    <row r="5804" spans="1:5" ht="14.25" hidden="1" customHeight="1">
      <c r="A5804" s="16">
        <v>14358186</v>
      </c>
      <c r="B5804" s="17" t="s">
        <v>1011</v>
      </c>
      <c r="C5804" s="17" t="s">
        <v>1012</v>
      </c>
      <c r="D5804" s="1" t="s">
        <v>7812</v>
      </c>
      <c r="E5804" s="35">
        <v>41242</v>
      </c>
    </row>
    <row r="5805" spans="1:5" ht="14.25" hidden="1" customHeight="1">
      <c r="A5805" s="16">
        <v>14410631</v>
      </c>
      <c r="B5805" s="25" t="s">
        <v>7821</v>
      </c>
      <c r="C5805" s="17" t="s">
        <v>7633</v>
      </c>
      <c r="D5805" s="1" t="s">
        <v>7812</v>
      </c>
      <c r="E5805" s="35">
        <v>41242</v>
      </c>
    </row>
    <row r="5806" spans="1:5" ht="14.25" hidden="1" customHeight="1">
      <c r="A5806" s="16">
        <v>14660417</v>
      </c>
      <c r="B5806" s="17" t="s">
        <v>218</v>
      </c>
      <c r="C5806" s="17" t="s">
        <v>2268</v>
      </c>
      <c r="D5806" s="1" t="s">
        <v>7812</v>
      </c>
      <c r="E5806" s="35">
        <v>41242</v>
      </c>
    </row>
    <row r="5807" spans="1:5" ht="14.25" hidden="1" customHeight="1">
      <c r="A5807" s="16">
        <v>14660801</v>
      </c>
      <c r="B5807" s="17" t="s">
        <v>7818</v>
      </c>
      <c r="C5807" s="17" t="s">
        <v>7819</v>
      </c>
      <c r="D5807" s="1" t="s">
        <v>7812</v>
      </c>
      <c r="E5807" s="35">
        <v>41242</v>
      </c>
    </row>
    <row r="5808" spans="1:5" ht="14.25" hidden="1" customHeight="1">
      <c r="A5808" s="16">
        <v>18185663</v>
      </c>
      <c r="B5808" s="17" t="s">
        <v>26</v>
      </c>
      <c r="C5808" s="17" t="s">
        <v>5759</v>
      </c>
      <c r="D5808" s="1" t="s">
        <v>7812</v>
      </c>
      <c r="E5808" s="35">
        <v>41242</v>
      </c>
    </row>
    <row r="5809" spans="1:5" ht="14.25" hidden="1" customHeight="1">
      <c r="A5809" s="16">
        <v>18433635</v>
      </c>
      <c r="B5809" s="17" t="s">
        <v>1849</v>
      </c>
      <c r="C5809" s="17" t="s">
        <v>1850</v>
      </c>
      <c r="D5809" s="1" t="s">
        <v>7812</v>
      </c>
      <c r="E5809" s="35">
        <v>41242</v>
      </c>
    </row>
    <row r="5810" spans="1:5" ht="14.25" hidden="1" customHeight="1">
      <c r="A5810" s="16">
        <v>18566394</v>
      </c>
      <c r="B5810" s="17" t="s">
        <v>6813</v>
      </c>
      <c r="C5810" s="17" t="s">
        <v>1898</v>
      </c>
      <c r="D5810" s="1" t="s">
        <v>7812</v>
      </c>
      <c r="E5810" s="35">
        <v>41242</v>
      </c>
    </row>
    <row r="5811" spans="1:5" ht="14.25" hidden="1" customHeight="1">
      <c r="A5811" s="16">
        <v>20285198</v>
      </c>
      <c r="B5811" s="17" t="s">
        <v>218</v>
      </c>
      <c r="C5811" s="17" t="s">
        <v>427</v>
      </c>
      <c r="D5811" s="1" t="s">
        <v>7812</v>
      </c>
      <c r="E5811" s="35">
        <v>41242</v>
      </c>
    </row>
    <row r="5812" spans="1:5" ht="14.25" hidden="1" customHeight="1">
      <c r="A5812" s="16">
        <v>20760236</v>
      </c>
      <c r="B5812" s="17" t="s">
        <v>6813</v>
      </c>
      <c r="C5812" s="17" t="s">
        <v>7814</v>
      </c>
      <c r="D5812" s="1" t="s">
        <v>7812</v>
      </c>
      <c r="E5812" s="35">
        <v>41242</v>
      </c>
    </row>
    <row r="5813" spans="1:5" ht="14.25" hidden="1" customHeight="1">
      <c r="A5813" s="16">
        <v>21948337</v>
      </c>
      <c r="B5813" s="17" t="s">
        <v>685</v>
      </c>
      <c r="C5813" s="17" t="s">
        <v>2074</v>
      </c>
      <c r="D5813" s="1" t="s">
        <v>7812</v>
      </c>
      <c r="E5813" s="35">
        <v>41242</v>
      </c>
    </row>
    <row r="5814" spans="1:5" ht="14.25" hidden="1" customHeight="1">
      <c r="A5814" s="16">
        <v>22263816</v>
      </c>
      <c r="B5814" s="17" t="s">
        <v>1613</v>
      </c>
      <c r="C5814" s="17" t="s">
        <v>3852</v>
      </c>
      <c r="D5814" s="1" t="s">
        <v>7812</v>
      </c>
      <c r="E5814" s="35">
        <v>41242</v>
      </c>
    </row>
    <row r="5815" spans="1:5" ht="14.25" hidden="1" customHeight="1">
      <c r="A5815" s="16">
        <v>22664180</v>
      </c>
      <c r="B5815" s="17" t="s">
        <v>252</v>
      </c>
      <c r="C5815" s="17" t="s">
        <v>2979</v>
      </c>
      <c r="D5815" s="1" t="s">
        <v>7812</v>
      </c>
      <c r="E5815" s="35">
        <v>41242</v>
      </c>
    </row>
    <row r="5816" spans="1:5" ht="14.25" hidden="1" customHeight="1">
      <c r="A5816" s="16">
        <v>22877708</v>
      </c>
      <c r="B5816" s="17" t="s">
        <v>2709</v>
      </c>
      <c r="C5816" s="17" t="s">
        <v>2102</v>
      </c>
      <c r="D5816" s="1" t="s">
        <v>7812</v>
      </c>
      <c r="E5816" s="35">
        <v>41242</v>
      </c>
    </row>
    <row r="5817" spans="1:5" ht="14.25" hidden="1" customHeight="1">
      <c r="A5817" s="16">
        <v>23238216</v>
      </c>
      <c r="B5817" s="17" t="s">
        <v>5587</v>
      </c>
      <c r="C5817" s="17" t="s">
        <v>5588</v>
      </c>
      <c r="D5817" s="1" t="s">
        <v>7812</v>
      </c>
      <c r="E5817" s="35">
        <v>41242</v>
      </c>
    </row>
    <row r="5818" spans="1:5" ht="14.25" hidden="1" customHeight="1">
      <c r="A5818" s="16">
        <v>24803211</v>
      </c>
      <c r="B5818" s="17" t="s">
        <v>6922</v>
      </c>
      <c r="C5818" s="17" t="s">
        <v>2580</v>
      </c>
      <c r="D5818" s="1" t="s">
        <v>7812</v>
      </c>
      <c r="E5818" s="35">
        <v>41242</v>
      </c>
    </row>
    <row r="5819" spans="1:5" ht="14.25" hidden="1" customHeight="1">
      <c r="A5819" s="16">
        <v>25542067</v>
      </c>
      <c r="B5819" s="17" t="s">
        <v>2472</v>
      </c>
      <c r="C5819" s="17" t="s">
        <v>1208</v>
      </c>
      <c r="D5819" s="1" t="s">
        <v>7812</v>
      </c>
      <c r="E5819" s="35">
        <v>41242</v>
      </c>
    </row>
    <row r="5820" spans="1:5" ht="14.25" hidden="1" customHeight="1">
      <c r="A5820" s="16">
        <v>25719517</v>
      </c>
      <c r="B5820" s="17" t="s">
        <v>134</v>
      </c>
      <c r="C5820" s="17" t="s">
        <v>3787</v>
      </c>
      <c r="D5820" s="1" t="s">
        <v>7812</v>
      </c>
      <c r="E5820" s="35">
        <v>41242</v>
      </c>
    </row>
    <row r="5821" spans="1:5" ht="14.25" hidden="1" customHeight="1">
      <c r="A5821" s="16">
        <v>25734543</v>
      </c>
      <c r="B5821" s="17" t="s">
        <v>5420</v>
      </c>
      <c r="C5821" s="17" t="s">
        <v>7776</v>
      </c>
      <c r="D5821" s="1" t="s">
        <v>7812</v>
      </c>
      <c r="E5821" s="35">
        <v>41242</v>
      </c>
    </row>
    <row r="5822" spans="1:5" ht="14.25" hidden="1" customHeight="1">
      <c r="A5822" s="16">
        <v>27211409</v>
      </c>
      <c r="B5822" s="17" t="s">
        <v>2039</v>
      </c>
      <c r="C5822" s="17" t="s">
        <v>2102</v>
      </c>
      <c r="D5822" s="1" t="s">
        <v>7812</v>
      </c>
      <c r="E5822" s="35">
        <v>41242</v>
      </c>
    </row>
    <row r="5823" spans="1:5" ht="14.25" hidden="1" customHeight="1">
      <c r="A5823" s="16">
        <v>27975948</v>
      </c>
      <c r="B5823" s="17" t="s">
        <v>7822</v>
      </c>
      <c r="C5823" s="17" t="s">
        <v>3948</v>
      </c>
      <c r="D5823" s="1" t="s">
        <v>7812</v>
      </c>
      <c r="E5823" s="35">
        <v>41242</v>
      </c>
    </row>
    <row r="5824" spans="1:5" ht="14.25" hidden="1" customHeight="1">
      <c r="A5824" s="16">
        <v>30069677</v>
      </c>
      <c r="B5824" s="17" t="s">
        <v>2612</v>
      </c>
      <c r="C5824" s="17" t="s">
        <v>2613</v>
      </c>
      <c r="D5824" s="1" t="s">
        <v>7812</v>
      </c>
      <c r="E5824" s="35">
        <v>41242</v>
      </c>
    </row>
    <row r="5825" spans="1:5" ht="14.25" hidden="1" customHeight="1">
      <c r="A5825" s="16">
        <v>31644246</v>
      </c>
      <c r="B5825" s="17" t="s">
        <v>983</v>
      </c>
      <c r="C5825" s="17" t="s">
        <v>2693</v>
      </c>
      <c r="D5825" s="1" t="s">
        <v>7812</v>
      </c>
      <c r="E5825" s="35">
        <v>41242</v>
      </c>
    </row>
    <row r="5826" spans="1:5" ht="14.25" hidden="1" customHeight="1">
      <c r="A5826" s="16">
        <v>31842029</v>
      </c>
      <c r="B5826" s="17" t="s">
        <v>7118</v>
      </c>
      <c r="C5826" s="17" t="s">
        <v>7119</v>
      </c>
      <c r="D5826" s="1" t="s">
        <v>7812</v>
      </c>
      <c r="E5826" s="35">
        <v>41242</v>
      </c>
    </row>
    <row r="5827" spans="1:5" ht="14.25" hidden="1" customHeight="1">
      <c r="A5827" s="16">
        <v>35548263</v>
      </c>
      <c r="B5827" s="17" t="s">
        <v>415</v>
      </c>
      <c r="C5827" s="17" t="s">
        <v>6983</v>
      </c>
      <c r="D5827" s="1" t="s">
        <v>7812</v>
      </c>
      <c r="E5827" s="35">
        <v>41242</v>
      </c>
    </row>
    <row r="5828" spans="1:5" ht="14.25" hidden="1" customHeight="1">
      <c r="B5828" s="17" t="s">
        <v>1885</v>
      </c>
      <c r="C5828" s="17" t="s">
        <v>571</v>
      </c>
      <c r="D5828" s="1" t="s">
        <v>7812</v>
      </c>
      <c r="E5828" s="35">
        <v>41242</v>
      </c>
    </row>
    <row r="5829" spans="1:5" ht="14.25" hidden="1" customHeight="1">
      <c r="B5829" s="17" t="s">
        <v>887</v>
      </c>
      <c r="C5829" s="17" t="s">
        <v>165</v>
      </c>
      <c r="D5829" s="1" t="s">
        <v>7812</v>
      </c>
      <c r="E5829" s="35">
        <v>41242</v>
      </c>
    </row>
    <row r="5830" spans="1:5" ht="14.25" hidden="1" customHeight="1">
      <c r="B5830" s="17" t="s">
        <v>7813</v>
      </c>
      <c r="C5830" s="17" t="s">
        <v>902</v>
      </c>
      <c r="D5830" s="1" t="s">
        <v>7812</v>
      </c>
      <c r="E5830" s="35">
        <v>41242</v>
      </c>
    </row>
    <row r="5831" spans="1:5" ht="14.25" hidden="1" customHeight="1">
      <c r="B5831" s="17" t="s">
        <v>7815</v>
      </c>
      <c r="C5831" s="17" t="s">
        <v>527</v>
      </c>
      <c r="D5831" s="1" t="s">
        <v>7812</v>
      </c>
      <c r="E5831" s="35">
        <v>41242</v>
      </c>
    </row>
    <row r="5832" spans="1:5" ht="14.25" hidden="1" customHeight="1">
      <c r="B5832" s="17" t="s">
        <v>7816</v>
      </c>
      <c r="C5832" s="17" t="s">
        <v>671</v>
      </c>
      <c r="D5832" s="1" t="s">
        <v>7812</v>
      </c>
      <c r="E5832" s="35">
        <v>41242</v>
      </c>
    </row>
    <row r="5833" spans="1:5" ht="14.25" hidden="1" customHeight="1">
      <c r="B5833" s="17" t="s">
        <v>7817</v>
      </c>
      <c r="C5833" s="17" t="s">
        <v>178</v>
      </c>
      <c r="D5833" s="1" t="s">
        <v>7812</v>
      </c>
      <c r="E5833" s="35">
        <v>41242</v>
      </c>
    </row>
    <row r="5834" spans="1:5" ht="14.25" hidden="1" customHeight="1">
      <c r="B5834" s="17" t="s">
        <v>7820</v>
      </c>
      <c r="C5834" s="17" t="s">
        <v>1507</v>
      </c>
      <c r="D5834" s="1" t="s">
        <v>7812</v>
      </c>
      <c r="E5834" s="35">
        <v>41242</v>
      </c>
    </row>
    <row r="5835" spans="1:5" ht="14.25" hidden="1" customHeight="1">
      <c r="B5835" s="17" t="s">
        <v>1558</v>
      </c>
      <c r="C5835" s="17" t="s">
        <v>1061</v>
      </c>
      <c r="D5835" s="1" t="s">
        <v>7812</v>
      </c>
      <c r="E5835" s="35">
        <v>41242</v>
      </c>
    </row>
    <row r="5836" spans="1:5" ht="14.25" hidden="1" customHeight="1">
      <c r="B5836" s="17" t="s">
        <v>723</v>
      </c>
      <c r="C5836" s="17" t="s">
        <v>898</v>
      </c>
      <c r="D5836" s="1" t="s">
        <v>7812</v>
      </c>
      <c r="E5836" s="35">
        <v>41242</v>
      </c>
    </row>
    <row r="5837" spans="1:5" ht="14.25" hidden="1" customHeight="1">
      <c r="B5837" s="17" t="s">
        <v>2170</v>
      </c>
      <c r="C5837" s="17" t="s">
        <v>2171</v>
      </c>
      <c r="D5837" s="1" t="s">
        <v>7812</v>
      </c>
      <c r="E5837" s="35">
        <v>41242</v>
      </c>
    </row>
    <row r="5838" spans="1:5" ht="14.25" hidden="1" customHeight="1">
      <c r="B5838" s="17" t="s">
        <v>5849</v>
      </c>
      <c r="C5838" s="17" t="s">
        <v>455</v>
      </c>
      <c r="D5838" s="1" t="s">
        <v>7812</v>
      </c>
      <c r="E5838" s="35">
        <v>41242</v>
      </c>
    </row>
    <row r="5839" spans="1:5" ht="14.25" hidden="1" customHeight="1">
      <c r="B5839" s="17" t="s">
        <v>901</v>
      </c>
      <c r="C5839" s="17" t="s">
        <v>902</v>
      </c>
      <c r="D5839" s="1" t="s">
        <v>7812</v>
      </c>
      <c r="E5839" s="35">
        <v>41242</v>
      </c>
    </row>
    <row r="5840" spans="1:5" ht="14.25" hidden="1" customHeight="1">
      <c r="B5840" s="17" t="s">
        <v>1823</v>
      </c>
      <c r="C5840" s="17" t="s">
        <v>1785</v>
      </c>
      <c r="D5840" s="1" t="s">
        <v>7812</v>
      </c>
      <c r="E5840" s="35">
        <v>41242</v>
      </c>
    </row>
    <row r="5841" spans="1:5" ht="14.25" hidden="1" customHeight="1">
      <c r="B5841" s="17" t="s">
        <v>497</v>
      </c>
      <c r="C5841" s="17" t="s">
        <v>2102</v>
      </c>
      <c r="D5841" s="1" t="s">
        <v>7812</v>
      </c>
      <c r="E5841" s="35">
        <v>41242</v>
      </c>
    </row>
    <row r="5842" spans="1:5" ht="14.25" hidden="1" customHeight="1">
      <c r="A5842" s="16">
        <v>10645222</v>
      </c>
      <c r="B5842" s="25" t="s">
        <v>3732</v>
      </c>
      <c r="C5842" s="25" t="s">
        <v>2196</v>
      </c>
      <c r="D5842" s="5" t="s">
        <v>7824</v>
      </c>
      <c r="E5842" s="35">
        <v>41233</v>
      </c>
    </row>
    <row r="5843" spans="1:5" ht="14.25" hidden="1" customHeight="1">
      <c r="A5843" s="16">
        <v>11649811</v>
      </c>
      <c r="B5843" s="17" t="s">
        <v>128</v>
      </c>
      <c r="C5843" s="17" t="s">
        <v>1924</v>
      </c>
      <c r="D5843" s="5" t="s">
        <v>7824</v>
      </c>
      <c r="E5843" s="35">
        <v>41233</v>
      </c>
    </row>
    <row r="5844" spans="1:5" ht="14.25" hidden="1" customHeight="1">
      <c r="A5844" s="16">
        <v>12609312</v>
      </c>
      <c r="B5844" s="17" t="s">
        <v>156</v>
      </c>
      <c r="C5844" s="17" t="s">
        <v>162</v>
      </c>
      <c r="D5844" s="5" t="s">
        <v>7824</v>
      </c>
      <c r="E5844" s="35">
        <v>41233</v>
      </c>
    </row>
    <row r="5845" spans="1:5" ht="14.25" hidden="1" customHeight="1">
      <c r="A5845" s="16">
        <v>13628946</v>
      </c>
      <c r="B5845" s="17" t="s">
        <v>652</v>
      </c>
      <c r="C5845" s="25" t="s">
        <v>4305</v>
      </c>
      <c r="D5845" s="5" t="s">
        <v>7824</v>
      </c>
      <c r="E5845" s="35">
        <v>41233</v>
      </c>
    </row>
    <row r="5846" spans="1:5" ht="14.25" hidden="1" customHeight="1">
      <c r="A5846" s="16">
        <v>14226968</v>
      </c>
      <c r="B5846" s="17" t="s">
        <v>2460</v>
      </c>
      <c r="C5846" s="17" t="s">
        <v>351</v>
      </c>
      <c r="D5846" s="5" t="s">
        <v>7824</v>
      </c>
      <c r="E5846" s="35">
        <v>41233</v>
      </c>
    </row>
    <row r="5847" spans="1:5" ht="14.25" hidden="1" customHeight="1">
      <c r="A5847" s="16">
        <v>17269389</v>
      </c>
      <c r="B5847" s="17" t="s">
        <v>315</v>
      </c>
      <c r="C5847" s="17" t="s">
        <v>974</v>
      </c>
      <c r="D5847" s="5" t="s">
        <v>7824</v>
      </c>
      <c r="E5847" s="35">
        <v>41233</v>
      </c>
    </row>
    <row r="5848" spans="1:5" ht="14.25" hidden="1" customHeight="1">
      <c r="A5848" s="16">
        <v>17269443</v>
      </c>
      <c r="B5848" s="17" t="s">
        <v>497</v>
      </c>
      <c r="C5848" s="17" t="s">
        <v>4439</v>
      </c>
      <c r="D5848" s="5" t="s">
        <v>7824</v>
      </c>
      <c r="E5848" s="35">
        <v>41233</v>
      </c>
    </row>
    <row r="5849" spans="1:5" ht="14.25" hidden="1" customHeight="1">
      <c r="A5849" s="16">
        <v>17376396</v>
      </c>
      <c r="B5849" s="25" t="s">
        <v>1257</v>
      </c>
      <c r="C5849" s="25" t="s">
        <v>832</v>
      </c>
      <c r="D5849" s="5" t="s">
        <v>7824</v>
      </c>
      <c r="E5849" s="35">
        <v>41233</v>
      </c>
    </row>
    <row r="5850" spans="1:5" ht="14.25" hidden="1" customHeight="1">
      <c r="A5850" s="16">
        <v>17574495</v>
      </c>
      <c r="B5850" s="17" t="s">
        <v>633</v>
      </c>
      <c r="C5850" s="17" t="s">
        <v>634</v>
      </c>
      <c r="D5850" s="5" t="s">
        <v>7824</v>
      </c>
      <c r="E5850" s="35">
        <v>41233</v>
      </c>
    </row>
    <row r="5851" spans="1:5" ht="14.25" hidden="1" customHeight="1">
      <c r="A5851" s="16">
        <v>18473585</v>
      </c>
      <c r="B5851" s="17" t="s">
        <v>680</v>
      </c>
      <c r="C5851" s="17" t="s">
        <v>681</v>
      </c>
      <c r="D5851" s="5" t="s">
        <v>7824</v>
      </c>
      <c r="E5851" s="35">
        <v>41233</v>
      </c>
    </row>
    <row r="5852" spans="1:5" ht="14.25" hidden="1" customHeight="1">
      <c r="A5852" s="16">
        <v>21329190</v>
      </c>
      <c r="B5852" s="17" t="s">
        <v>4301</v>
      </c>
      <c r="C5852" s="17" t="s">
        <v>4302</v>
      </c>
      <c r="D5852" s="5" t="s">
        <v>7824</v>
      </c>
      <c r="E5852" s="35">
        <v>41233</v>
      </c>
    </row>
    <row r="5853" spans="1:5" ht="14.25" hidden="1" customHeight="1">
      <c r="A5853" s="16">
        <v>21338913</v>
      </c>
      <c r="B5853" s="25" t="s">
        <v>742</v>
      </c>
      <c r="C5853" s="25" t="s">
        <v>74</v>
      </c>
      <c r="D5853" s="5" t="s">
        <v>7824</v>
      </c>
      <c r="E5853" s="35">
        <v>41233</v>
      </c>
    </row>
    <row r="5854" spans="1:5" ht="14.25" hidden="1" customHeight="1">
      <c r="A5854" s="16">
        <v>21609438</v>
      </c>
      <c r="B5854" s="25" t="s">
        <v>377</v>
      </c>
      <c r="C5854" s="25" t="s">
        <v>3032</v>
      </c>
      <c r="D5854" s="5" t="s">
        <v>7824</v>
      </c>
      <c r="E5854" s="35">
        <v>41233</v>
      </c>
    </row>
    <row r="5855" spans="1:5" ht="14.25" hidden="1" customHeight="1">
      <c r="A5855" s="16">
        <v>21812664</v>
      </c>
      <c r="B5855" s="17" t="s">
        <v>4053</v>
      </c>
      <c r="C5855" s="17" t="s">
        <v>274</v>
      </c>
      <c r="D5855" s="5" t="s">
        <v>7824</v>
      </c>
      <c r="E5855" s="35">
        <v>41233</v>
      </c>
    </row>
    <row r="5856" spans="1:5" ht="14.25" hidden="1" customHeight="1">
      <c r="A5856" s="16">
        <v>23015469</v>
      </c>
      <c r="B5856" s="17" t="s">
        <v>714</v>
      </c>
      <c r="C5856" s="17" t="s">
        <v>7149</v>
      </c>
      <c r="D5856" s="5" t="s">
        <v>7824</v>
      </c>
      <c r="E5856" s="35">
        <v>41233</v>
      </c>
    </row>
    <row r="5857" spans="1:5" ht="14.25" hidden="1" customHeight="1">
      <c r="A5857" s="16">
        <v>23167760</v>
      </c>
      <c r="B5857" s="25" t="s">
        <v>1644</v>
      </c>
      <c r="C5857" s="25" t="s">
        <v>106</v>
      </c>
      <c r="D5857" s="5" t="s">
        <v>7824</v>
      </c>
      <c r="E5857" s="35">
        <v>41233</v>
      </c>
    </row>
    <row r="5858" spans="1:5" ht="14.25" hidden="1" customHeight="1">
      <c r="A5858" s="16">
        <v>23517363</v>
      </c>
      <c r="B5858" s="17" t="s">
        <v>7826</v>
      </c>
      <c r="C5858" s="17" t="s">
        <v>7780</v>
      </c>
      <c r="D5858" s="5" t="s">
        <v>7824</v>
      </c>
      <c r="E5858" s="35">
        <v>41233</v>
      </c>
    </row>
    <row r="5859" spans="1:5" ht="14.25" hidden="1" customHeight="1">
      <c r="A5859" s="16">
        <v>24584184</v>
      </c>
      <c r="B5859" s="25" t="s">
        <v>990</v>
      </c>
      <c r="C5859" s="25" t="s">
        <v>991</v>
      </c>
      <c r="D5859" s="5" t="s">
        <v>7824</v>
      </c>
      <c r="E5859" s="35">
        <v>41233</v>
      </c>
    </row>
    <row r="5860" spans="1:5" ht="14.25" hidden="1" customHeight="1">
      <c r="A5860" s="16">
        <v>24982570</v>
      </c>
      <c r="B5860" s="17" t="s">
        <v>766</v>
      </c>
      <c r="C5860" s="17" t="s">
        <v>767</v>
      </c>
      <c r="D5860" s="5" t="s">
        <v>7824</v>
      </c>
      <c r="E5860" s="35">
        <v>41233</v>
      </c>
    </row>
    <row r="5861" spans="1:5" ht="14.25" hidden="1" customHeight="1">
      <c r="A5861" s="16">
        <v>25498313</v>
      </c>
      <c r="B5861" s="25" t="s">
        <v>652</v>
      </c>
      <c r="C5861" s="25" t="s">
        <v>7827</v>
      </c>
      <c r="D5861" s="5" t="s">
        <v>7824</v>
      </c>
      <c r="E5861" s="35">
        <v>41233</v>
      </c>
    </row>
    <row r="5862" spans="1:5" ht="14.25" hidden="1" customHeight="1">
      <c r="A5862" s="16">
        <v>27400288</v>
      </c>
      <c r="B5862" s="17" t="s">
        <v>4636</v>
      </c>
      <c r="C5862" s="17" t="s">
        <v>4637</v>
      </c>
      <c r="D5862" s="5" t="s">
        <v>7824</v>
      </c>
      <c r="E5862" s="35">
        <v>41233</v>
      </c>
    </row>
    <row r="5863" spans="1:5" ht="14.25" hidden="1" customHeight="1">
      <c r="A5863" s="16">
        <v>27960534</v>
      </c>
      <c r="B5863" s="17" t="s">
        <v>342</v>
      </c>
      <c r="C5863" s="17" t="s">
        <v>345</v>
      </c>
      <c r="D5863" s="5" t="s">
        <v>7824</v>
      </c>
      <c r="E5863" s="35">
        <v>41233</v>
      </c>
    </row>
    <row r="5864" spans="1:5" ht="14.25" hidden="1" customHeight="1">
      <c r="A5864" s="16">
        <v>28222480</v>
      </c>
      <c r="B5864" s="17" t="s">
        <v>1482</v>
      </c>
      <c r="C5864" s="17" t="s">
        <v>1941</v>
      </c>
      <c r="D5864" s="5" t="s">
        <v>7824</v>
      </c>
      <c r="E5864" s="35">
        <v>41233</v>
      </c>
    </row>
    <row r="5865" spans="1:5" ht="14.25" hidden="1" customHeight="1">
      <c r="A5865" s="16">
        <v>29310871</v>
      </c>
      <c r="B5865" s="17" t="s">
        <v>1964</v>
      </c>
      <c r="C5865" s="17" t="s">
        <v>4721</v>
      </c>
      <c r="D5865" s="5" t="s">
        <v>7824</v>
      </c>
      <c r="E5865" s="35">
        <v>41233</v>
      </c>
    </row>
    <row r="5866" spans="1:5" ht="14.25" hidden="1" customHeight="1">
      <c r="A5866" s="16">
        <v>32501890</v>
      </c>
      <c r="B5866" s="17" t="s">
        <v>2048</v>
      </c>
      <c r="C5866" s="17" t="s">
        <v>2049</v>
      </c>
      <c r="D5866" s="5" t="s">
        <v>7824</v>
      </c>
      <c r="E5866" s="35">
        <v>41233</v>
      </c>
    </row>
    <row r="5867" spans="1:5" ht="14.25" hidden="1" customHeight="1">
      <c r="A5867" s="16">
        <v>32927760</v>
      </c>
      <c r="B5867" s="17" t="s">
        <v>7825</v>
      </c>
      <c r="C5867" s="17" t="s">
        <v>4341</v>
      </c>
      <c r="D5867" s="5" t="s">
        <v>7824</v>
      </c>
      <c r="E5867" s="35">
        <v>41233</v>
      </c>
    </row>
    <row r="5868" spans="1:5" ht="14.25" hidden="1" customHeight="1">
      <c r="A5868" s="16">
        <v>6558388</v>
      </c>
      <c r="B5868" s="17" t="s">
        <v>6254</v>
      </c>
      <c r="C5868" s="17" t="s">
        <v>6255</v>
      </c>
      <c r="D5868" s="5" t="s">
        <v>7828</v>
      </c>
      <c r="E5868" s="35">
        <v>41204</v>
      </c>
    </row>
    <row r="5869" spans="1:5" ht="14.25" hidden="1" customHeight="1">
      <c r="A5869" s="16">
        <v>10218763</v>
      </c>
      <c r="B5869" s="17" t="s">
        <v>428</v>
      </c>
      <c r="C5869" s="17" t="s">
        <v>6349</v>
      </c>
      <c r="D5869" s="5" t="s">
        <v>7828</v>
      </c>
      <c r="E5869" s="35">
        <v>41204</v>
      </c>
    </row>
    <row r="5870" spans="1:5" ht="14.25" hidden="1" customHeight="1">
      <c r="A5870" s="16">
        <v>12449905</v>
      </c>
      <c r="B5870" s="17" t="s">
        <v>2947</v>
      </c>
      <c r="C5870" s="17" t="s">
        <v>2948</v>
      </c>
      <c r="D5870" s="5" t="s">
        <v>7828</v>
      </c>
      <c r="E5870" s="35">
        <v>41204</v>
      </c>
    </row>
    <row r="5871" spans="1:5" ht="14.25" hidden="1" customHeight="1">
      <c r="A5871" s="16">
        <v>12540739</v>
      </c>
      <c r="B5871" s="17" t="s">
        <v>4759</v>
      </c>
      <c r="C5871" s="17" t="s">
        <v>4760</v>
      </c>
      <c r="D5871" s="5" t="s">
        <v>7828</v>
      </c>
      <c r="E5871" s="35">
        <v>41204</v>
      </c>
    </row>
    <row r="5872" spans="1:5" ht="14.25" hidden="1" customHeight="1">
      <c r="A5872" s="16">
        <v>13513466</v>
      </c>
      <c r="B5872" s="17" t="s">
        <v>652</v>
      </c>
      <c r="C5872" s="17" t="s">
        <v>6073</v>
      </c>
      <c r="D5872" s="5" t="s">
        <v>7828</v>
      </c>
      <c r="E5872" s="35">
        <v>41204</v>
      </c>
    </row>
    <row r="5873" spans="1:5" ht="14.25" hidden="1" customHeight="1">
      <c r="A5873" s="16">
        <v>14352896</v>
      </c>
      <c r="B5873" s="17" t="s">
        <v>3428</v>
      </c>
      <c r="C5873" s="17" t="s">
        <v>3429</v>
      </c>
      <c r="D5873" s="5" t="s">
        <v>7828</v>
      </c>
      <c r="E5873" s="35">
        <v>41204</v>
      </c>
    </row>
    <row r="5874" spans="1:5" ht="14.25" hidden="1" customHeight="1">
      <c r="A5874" s="16">
        <v>14709050</v>
      </c>
      <c r="B5874" s="17" t="s">
        <v>6050</v>
      </c>
      <c r="C5874" s="17" t="s">
        <v>215</v>
      </c>
      <c r="D5874" s="5" t="s">
        <v>7828</v>
      </c>
      <c r="E5874" s="35">
        <v>41204</v>
      </c>
    </row>
    <row r="5875" spans="1:5" ht="14.25" hidden="1" customHeight="1">
      <c r="A5875" s="16">
        <v>16132250</v>
      </c>
      <c r="B5875" s="17" t="s">
        <v>6064</v>
      </c>
      <c r="C5875" s="17" t="s">
        <v>6065</v>
      </c>
      <c r="D5875" s="5" t="s">
        <v>7828</v>
      </c>
      <c r="E5875" s="35">
        <v>41204</v>
      </c>
    </row>
    <row r="5876" spans="1:5" ht="14.25" hidden="1" customHeight="1">
      <c r="A5876" s="16">
        <v>16314577</v>
      </c>
      <c r="B5876" s="17" t="s">
        <v>377</v>
      </c>
      <c r="C5876" s="17" t="s">
        <v>7831</v>
      </c>
      <c r="D5876" s="5" t="s">
        <v>7828</v>
      </c>
      <c r="E5876" s="35">
        <v>41204</v>
      </c>
    </row>
    <row r="5877" spans="1:5" ht="14.25" hidden="1" customHeight="1">
      <c r="A5877" s="16">
        <v>16932642</v>
      </c>
      <c r="B5877" s="17" t="s">
        <v>4344</v>
      </c>
      <c r="C5877" s="17" t="s">
        <v>767</v>
      </c>
      <c r="D5877" s="5" t="s">
        <v>7828</v>
      </c>
      <c r="E5877" s="35">
        <v>41204</v>
      </c>
    </row>
    <row r="5878" spans="1:5" ht="14.25" hidden="1" customHeight="1">
      <c r="A5878" s="16">
        <v>17268893</v>
      </c>
      <c r="B5878" s="17" t="s">
        <v>6094</v>
      </c>
      <c r="C5878" s="17" t="s">
        <v>6095</v>
      </c>
      <c r="D5878" s="5" t="s">
        <v>7828</v>
      </c>
      <c r="E5878" s="35">
        <v>41204</v>
      </c>
    </row>
    <row r="5879" spans="1:5" ht="14.25" hidden="1" customHeight="1">
      <c r="A5879" s="16">
        <v>17268925</v>
      </c>
      <c r="B5879" s="17" t="s">
        <v>6250</v>
      </c>
      <c r="C5879" s="17" t="s">
        <v>3592</v>
      </c>
      <c r="D5879" s="5" t="s">
        <v>7828</v>
      </c>
      <c r="E5879" s="35">
        <v>41204</v>
      </c>
    </row>
    <row r="5880" spans="1:5" ht="14.25" hidden="1" customHeight="1">
      <c r="A5880" s="16">
        <v>17376866</v>
      </c>
      <c r="B5880" s="17" t="s">
        <v>6038</v>
      </c>
      <c r="C5880" s="17" t="s">
        <v>6042</v>
      </c>
      <c r="D5880" s="5" t="s">
        <v>7828</v>
      </c>
      <c r="E5880" s="35">
        <v>41204</v>
      </c>
    </row>
    <row r="5881" spans="1:5" ht="14.25" hidden="1" customHeight="1">
      <c r="A5881" s="16">
        <v>17947900</v>
      </c>
      <c r="B5881" s="17" t="s">
        <v>355</v>
      </c>
      <c r="C5881" s="17" t="s">
        <v>131</v>
      </c>
      <c r="D5881" s="5" t="s">
        <v>7828</v>
      </c>
      <c r="E5881" s="35">
        <v>41204</v>
      </c>
    </row>
    <row r="5882" spans="1:5" ht="14.25" hidden="1" customHeight="1">
      <c r="A5882" s="16">
        <v>18465826</v>
      </c>
      <c r="B5882" s="17" t="s">
        <v>1482</v>
      </c>
      <c r="C5882" s="17" t="s">
        <v>876</v>
      </c>
      <c r="D5882" s="5" t="s">
        <v>7828</v>
      </c>
      <c r="E5882" s="35">
        <v>41204</v>
      </c>
    </row>
    <row r="5883" spans="1:5" ht="14.25" hidden="1" customHeight="1">
      <c r="A5883" s="16">
        <v>20219773</v>
      </c>
      <c r="B5883" s="17" t="s">
        <v>1283</v>
      </c>
      <c r="C5883" s="17" t="s">
        <v>7832</v>
      </c>
      <c r="D5883" s="5" t="s">
        <v>7828</v>
      </c>
      <c r="E5883" s="35">
        <v>41204</v>
      </c>
    </row>
    <row r="5884" spans="1:5" ht="14.25" hidden="1" customHeight="1">
      <c r="A5884" s="16">
        <v>20284201</v>
      </c>
      <c r="B5884" s="17" t="s">
        <v>355</v>
      </c>
      <c r="C5884" s="17" t="s">
        <v>2715</v>
      </c>
      <c r="D5884" s="5" t="s">
        <v>7828</v>
      </c>
      <c r="E5884" s="35">
        <v>41204</v>
      </c>
    </row>
    <row r="5885" spans="1:5" ht="14.25" hidden="1" customHeight="1">
      <c r="A5885" s="16">
        <v>21328426</v>
      </c>
      <c r="B5885" s="17" t="s">
        <v>3444</v>
      </c>
      <c r="C5885" s="17" t="s">
        <v>571</v>
      </c>
      <c r="D5885" s="5" t="s">
        <v>7828</v>
      </c>
      <c r="E5885" s="35">
        <v>41204</v>
      </c>
    </row>
    <row r="5886" spans="1:5" ht="14.25" hidden="1" customHeight="1">
      <c r="A5886" s="16">
        <v>22181097</v>
      </c>
      <c r="B5886" s="17" t="s">
        <v>4043</v>
      </c>
      <c r="C5886" s="17" t="s">
        <v>4756</v>
      </c>
      <c r="D5886" s="5" t="s">
        <v>7828</v>
      </c>
      <c r="E5886" s="35">
        <v>41204</v>
      </c>
    </row>
    <row r="5887" spans="1:5" ht="14.25" hidden="1" customHeight="1">
      <c r="A5887" s="16">
        <v>23116246</v>
      </c>
      <c r="B5887" s="17" t="s">
        <v>3357</v>
      </c>
      <c r="C5887" s="17" t="s">
        <v>6175</v>
      </c>
      <c r="D5887" s="5" t="s">
        <v>7828</v>
      </c>
      <c r="E5887" s="35">
        <v>41204</v>
      </c>
    </row>
    <row r="5888" spans="1:5" ht="14.25" hidden="1" customHeight="1">
      <c r="A5888" s="16">
        <v>23167760</v>
      </c>
      <c r="B5888" s="17" t="s">
        <v>1644</v>
      </c>
      <c r="C5888" s="17" t="s">
        <v>106</v>
      </c>
      <c r="D5888" s="5" t="s">
        <v>7828</v>
      </c>
      <c r="E5888" s="35">
        <v>41204</v>
      </c>
    </row>
    <row r="5889" spans="1:5" ht="14.25" hidden="1" customHeight="1">
      <c r="A5889" s="16">
        <v>23931160</v>
      </c>
      <c r="B5889" s="17" t="s">
        <v>4673</v>
      </c>
      <c r="C5889" s="17" t="s">
        <v>3888</v>
      </c>
      <c r="D5889" s="5" t="s">
        <v>7828</v>
      </c>
      <c r="E5889" s="35">
        <v>41204</v>
      </c>
    </row>
    <row r="5890" spans="1:5" ht="14.25" hidden="1" customHeight="1">
      <c r="A5890" s="16">
        <v>24200474</v>
      </c>
      <c r="B5890" s="17" t="s">
        <v>218</v>
      </c>
      <c r="C5890" s="17" t="s">
        <v>3152</v>
      </c>
      <c r="D5890" s="5" t="s">
        <v>7828</v>
      </c>
      <c r="E5890" s="35">
        <v>41204</v>
      </c>
    </row>
    <row r="5891" spans="1:5" ht="14.25" hidden="1" customHeight="1">
      <c r="A5891" s="16">
        <v>24340614</v>
      </c>
      <c r="B5891" s="17" t="s">
        <v>364</v>
      </c>
      <c r="C5891" s="17" t="s">
        <v>365</v>
      </c>
      <c r="D5891" s="5" t="s">
        <v>7828</v>
      </c>
      <c r="E5891" s="35">
        <v>41204</v>
      </c>
    </row>
    <row r="5892" spans="1:5" ht="14.25" hidden="1" customHeight="1">
      <c r="A5892" s="16">
        <v>24553770</v>
      </c>
      <c r="B5892" s="17" t="s">
        <v>2923</v>
      </c>
      <c r="C5892" s="17" t="s">
        <v>2924</v>
      </c>
      <c r="D5892" s="5" t="s">
        <v>7828</v>
      </c>
      <c r="E5892" s="35">
        <v>41204</v>
      </c>
    </row>
    <row r="5893" spans="1:5" ht="14.25" hidden="1" customHeight="1">
      <c r="A5893" s="16">
        <v>24622574</v>
      </c>
      <c r="B5893" s="25" t="s">
        <v>47</v>
      </c>
      <c r="C5893" s="25" t="s">
        <v>4961</v>
      </c>
      <c r="D5893" s="5" t="s">
        <v>7828</v>
      </c>
      <c r="E5893" s="35">
        <v>41204</v>
      </c>
    </row>
    <row r="5894" spans="1:5" ht="14.25" hidden="1" customHeight="1">
      <c r="A5894" s="16">
        <v>26684869</v>
      </c>
      <c r="B5894" s="25" t="s">
        <v>7829</v>
      </c>
      <c r="C5894" s="25" t="s">
        <v>7830</v>
      </c>
      <c r="D5894" s="5" t="s">
        <v>7828</v>
      </c>
      <c r="E5894" s="35">
        <v>41204</v>
      </c>
    </row>
    <row r="5895" spans="1:5" ht="14.25" hidden="1" customHeight="1">
      <c r="A5895" s="16">
        <v>29430338</v>
      </c>
      <c r="B5895" s="17" t="s">
        <v>1097</v>
      </c>
      <c r="C5895" s="17" t="s">
        <v>1634</v>
      </c>
      <c r="D5895" s="5" t="s">
        <v>7828</v>
      </c>
      <c r="E5895" s="35">
        <v>41204</v>
      </c>
    </row>
    <row r="5896" spans="1:5" ht="14.25" hidden="1" customHeight="1">
      <c r="A5896" s="16">
        <v>31030239</v>
      </c>
      <c r="B5896" s="17" t="s">
        <v>1216</v>
      </c>
      <c r="C5896" s="17" t="s">
        <v>6352</v>
      </c>
      <c r="D5896" s="5" t="s">
        <v>7828</v>
      </c>
      <c r="E5896" s="35">
        <v>41204</v>
      </c>
    </row>
    <row r="5897" spans="1:5" ht="14.25" hidden="1" customHeight="1">
      <c r="A5897" s="16">
        <v>33541638</v>
      </c>
      <c r="B5897" s="17" t="s">
        <v>2310</v>
      </c>
      <c r="C5897" s="17" t="s">
        <v>30</v>
      </c>
      <c r="D5897" s="5" t="s">
        <v>7828</v>
      </c>
      <c r="E5897" s="35">
        <v>41204</v>
      </c>
    </row>
    <row r="5898" spans="1:5" ht="14.25" hidden="1" customHeight="1">
      <c r="A5898" s="16">
        <v>11103341</v>
      </c>
      <c r="B5898" s="17" t="s">
        <v>1599</v>
      </c>
      <c r="C5898" s="17" t="s">
        <v>3820</v>
      </c>
      <c r="D5898" s="5" t="s">
        <v>7833</v>
      </c>
      <c r="E5898" s="35">
        <v>41192</v>
      </c>
    </row>
    <row r="5899" spans="1:5" ht="14.25" hidden="1" customHeight="1">
      <c r="A5899" s="16">
        <v>11475740</v>
      </c>
      <c r="B5899" s="17" t="s">
        <v>4067</v>
      </c>
      <c r="C5899" s="17" t="s">
        <v>2870</v>
      </c>
      <c r="D5899" s="5" t="s">
        <v>7833</v>
      </c>
      <c r="E5899" s="35">
        <v>41192</v>
      </c>
    </row>
    <row r="5900" spans="1:5" ht="14.25" hidden="1" customHeight="1">
      <c r="A5900" s="16">
        <v>11909679</v>
      </c>
      <c r="B5900" s="17" t="s">
        <v>3357</v>
      </c>
      <c r="C5900" s="17" t="s">
        <v>832</v>
      </c>
      <c r="D5900" s="5" t="s">
        <v>7833</v>
      </c>
      <c r="E5900" s="35">
        <v>41192</v>
      </c>
    </row>
    <row r="5901" spans="1:5" ht="14.25" hidden="1" customHeight="1">
      <c r="A5901" s="16">
        <v>12318129</v>
      </c>
      <c r="B5901" s="17" t="s">
        <v>2952</v>
      </c>
      <c r="C5901" s="17" t="s">
        <v>1023</v>
      </c>
      <c r="D5901" s="5" t="s">
        <v>7833</v>
      </c>
      <c r="E5901" s="35">
        <v>41192</v>
      </c>
    </row>
    <row r="5902" spans="1:5" ht="14.25" hidden="1" customHeight="1">
      <c r="A5902" s="16">
        <v>12414876</v>
      </c>
      <c r="B5902" s="17" t="s">
        <v>311</v>
      </c>
      <c r="C5902" s="17" t="s">
        <v>3383</v>
      </c>
      <c r="D5902" s="5" t="s">
        <v>7833</v>
      </c>
      <c r="E5902" s="35">
        <v>41192</v>
      </c>
    </row>
    <row r="5903" spans="1:5" ht="14.25" hidden="1" customHeight="1">
      <c r="A5903" s="16">
        <v>14324672</v>
      </c>
      <c r="B5903" s="17" t="s">
        <v>5496</v>
      </c>
      <c r="C5903" s="17" t="s">
        <v>5497</v>
      </c>
      <c r="D5903" s="5" t="s">
        <v>7833</v>
      </c>
      <c r="E5903" s="35">
        <v>41192</v>
      </c>
    </row>
    <row r="5904" spans="1:5" ht="14.25" hidden="1" customHeight="1">
      <c r="A5904" s="16">
        <v>14480554</v>
      </c>
      <c r="B5904" s="17" t="s">
        <v>1671</v>
      </c>
      <c r="C5904" s="17" t="s">
        <v>1672</v>
      </c>
      <c r="D5904" s="5" t="s">
        <v>7833</v>
      </c>
      <c r="E5904" s="35">
        <v>41192</v>
      </c>
    </row>
    <row r="5905" spans="1:5" ht="14.25" hidden="1" customHeight="1">
      <c r="A5905" s="16">
        <v>14660769</v>
      </c>
      <c r="B5905" s="17" t="s">
        <v>47</v>
      </c>
      <c r="C5905" s="17" t="s">
        <v>365</v>
      </c>
      <c r="D5905" s="5" t="s">
        <v>7833</v>
      </c>
      <c r="E5905" s="35">
        <v>41192</v>
      </c>
    </row>
    <row r="5906" spans="1:5" ht="14.25" hidden="1" customHeight="1">
      <c r="A5906" s="16">
        <v>14661637</v>
      </c>
      <c r="B5906" s="17" t="s">
        <v>308</v>
      </c>
      <c r="C5906" s="17" t="s">
        <v>3996</v>
      </c>
      <c r="D5906" s="5" t="s">
        <v>7833</v>
      </c>
      <c r="E5906" s="35">
        <v>41192</v>
      </c>
    </row>
    <row r="5907" spans="1:5" ht="14.25" hidden="1" customHeight="1">
      <c r="A5907" s="16">
        <v>14661799</v>
      </c>
      <c r="B5907" s="17" t="s">
        <v>342</v>
      </c>
      <c r="C5907" s="17" t="s">
        <v>5091</v>
      </c>
      <c r="D5907" s="5" t="s">
        <v>7833</v>
      </c>
      <c r="E5907" s="35">
        <v>41192</v>
      </c>
    </row>
    <row r="5908" spans="1:5" ht="14.25" hidden="1" customHeight="1">
      <c r="A5908" s="16">
        <v>17182493</v>
      </c>
      <c r="B5908" s="17" t="s">
        <v>757</v>
      </c>
      <c r="C5908" s="17" t="s">
        <v>758</v>
      </c>
      <c r="D5908" s="5" t="s">
        <v>7833</v>
      </c>
      <c r="E5908" s="35">
        <v>41192</v>
      </c>
    </row>
    <row r="5909" spans="1:5" ht="14.25" hidden="1" customHeight="1">
      <c r="A5909" s="16">
        <v>17270247</v>
      </c>
      <c r="B5909" s="17" t="s">
        <v>5098</v>
      </c>
      <c r="C5909" s="17" t="s">
        <v>1061</v>
      </c>
      <c r="D5909" s="5" t="s">
        <v>7833</v>
      </c>
      <c r="E5909" s="35">
        <v>41192</v>
      </c>
    </row>
    <row r="5910" spans="1:5" ht="14.25" hidden="1" customHeight="1">
      <c r="A5910" s="16">
        <v>17376866</v>
      </c>
      <c r="B5910" s="17" t="s">
        <v>6038</v>
      </c>
      <c r="C5910" s="17" t="s">
        <v>6042</v>
      </c>
      <c r="D5910" s="5" t="s">
        <v>7833</v>
      </c>
      <c r="E5910" s="35">
        <v>41192</v>
      </c>
    </row>
    <row r="5911" spans="1:5" ht="14.25" hidden="1" customHeight="1">
      <c r="A5911" s="16">
        <v>18230668</v>
      </c>
      <c r="B5911" s="17" t="s">
        <v>2375</v>
      </c>
      <c r="C5911" s="17" t="s">
        <v>1585</v>
      </c>
      <c r="D5911" s="5" t="s">
        <v>7833</v>
      </c>
      <c r="E5911" s="35">
        <v>41192</v>
      </c>
    </row>
    <row r="5912" spans="1:5" ht="14.25" hidden="1" customHeight="1">
      <c r="A5912" s="16">
        <v>18593325</v>
      </c>
      <c r="B5912" s="17" t="s">
        <v>4088</v>
      </c>
      <c r="C5912" s="17" t="s">
        <v>5187</v>
      </c>
      <c r="D5912" s="5" t="s">
        <v>7833</v>
      </c>
      <c r="E5912" s="35">
        <v>41192</v>
      </c>
    </row>
    <row r="5913" spans="1:5" ht="14.25" hidden="1" customHeight="1">
      <c r="A5913" s="16">
        <v>20218225</v>
      </c>
      <c r="B5913" s="17" t="s">
        <v>3282</v>
      </c>
      <c r="C5913" s="17" t="s">
        <v>3283</v>
      </c>
      <c r="D5913" s="5" t="s">
        <v>7833</v>
      </c>
      <c r="E5913" s="35">
        <v>41192</v>
      </c>
    </row>
    <row r="5914" spans="1:5" ht="14.25" hidden="1" customHeight="1">
      <c r="A5914" s="16">
        <v>20284560</v>
      </c>
      <c r="B5914" s="17" t="s">
        <v>7563</v>
      </c>
      <c r="C5914" s="17" t="s">
        <v>7564</v>
      </c>
      <c r="D5914" s="5" t="s">
        <v>7833</v>
      </c>
      <c r="E5914" s="35">
        <v>41192</v>
      </c>
    </row>
    <row r="5915" spans="1:5" ht="14.25" hidden="1" customHeight="1">
      <c r="A5915" s="16">
        <v>20284560</v>
      </c>
      <c r="B5915" s="17" t="s">
        <v>7563</v>
      </c>
      <c r="C5915" s="17" t="s">
        <v>7564</v>
      </c>
      <c r="D5915" s="5" t="s">
        <v>7833</v>
      </c>
      <c r="E5915" s="35">
        <v>41192</v>
      </c>
    </row>
    <row r="5916" spans="1:5" ht="14.25" hidden="1" customHeight="1">
      <c r="A5916" s="16">
        <v>21320060</v>
      </c>
      <c r="B5916" s="17" t="s">
        <v>5133</v>
      </c>
      <c r="C5916" s="17" t="s">
        <v>5134</v>
      </c>
      <c r="D5916" s="5" t="s">
        <v>7833</v>
      </c>
      <c r="E5916" s="35">
        <v>41192</v>
      </c>
    </row>
    <row r="5917" spans="1:5" ht="14.25" hidden="1" customHeight="1">
      <c r="A5917" s="16">
        <v>21320060</v>
      </c>
      <c r="B5917" s="17" t="s">
        <v>5133</v>
      </c>
      <c r="C5917" s="17" t="s">
        <v>5134</v>
      </c>
      <c r="D5917" s="5" t="s">
        <v>7833</v>
      </c>
      <c r="E5917" s="35">
        <v>41192</v>
      </c>
    </row>
    <row r="5918" spans="1:5" ht="14.25" hidden="1" customHeight="1">
      <c r="A5918" s="16">
        <v>25047805</v>
      </c>
      <c r="B5918" s="17" t="s">
        <v>4167</v>
      </c>
      <c r="C5918" s="17" t="s">
        <v>4168</v>
      </c>
      <c r="D5918" s="5" t="s">
        <v>7833</v>
      </c>
      <c r="E5918" s="35">
        <v>41192</v>
      </c>
    </row>
    <row r="5919" spans="1:5" ht="14.25" hidden="1" customHeight="1">
      <c r="A5919" s="16">
        <v>25380568</v>
      </c>
      <c r="B5919" s="17" t="s">
        <v>1823</v>
      </c>
      <c r="C5919" s="17" t="s">
        <v>2753</v>
      </c>
      <c r="D5919" s="5" t="s">
        <v>7833</v>
      </c>
      <c r="E5919" s="35">
        <v>41192</v>
      </c>
    </row>
    <row r="5920" spans="1:5" ht="14.25" hidden="1" customHeight="1">
      <c r="A5920" s="16">
        <v>25380568</v>
      </c>
      <c r="B5920" s="17" t="s">
        <v>1823</v>
      </c>
      <c r="C5920" s="17" t="s">
        <v>2753</v>
      </c>
      <c r="D5920" s="5" t="s">
        <v>7833</v>
      </c>
      <c r="E5920" s="35">
        <v>41192</v>
      </c>
    </row>
    <row r="5921" spans="1:5" ht="14.25" hidden="1" customHeight="1">
      <c r="A5921" s="16">
        <v>25735799</v>
      </c>
      <c r="B5921" s="17" t="s">
        <v>3874</v>
      </c>
      <c r="C5921" s="17" t="s">
        <v>2623</v>
      </c>
      <c r="D5921" s="5" t="s">
        <v>7833</v>
      </c>
      <c r="E5921" s="35">
        <v>41192</v>
      </c>
    </row>
    <row r="5922" spans="1:5" ht="14.25" hidden="1" customHeight="1">
      <c r="A5922" s="16">
        <v>25735799</v>
      </c>
      <c r="B5922" s="17" t="s">
        <v>3874</v>
      </c>
      <c r="C5922" s="17" t="s">
        <v>3875</v>
      </c>
      <c r="D5922" s="5" t="s">
        <v>7833</v>
      </c>
      <c r="E5922" s="35">
        <v>41192</v>
      </c>
    </row>
    <row r="5923" spans="1:5" ht="14.25" hidden="1" customHeight="1">
      <c r="A5923" s="16">
        <v>26012478</v>
      </c>
      <c r="B5923" s="17" t="s">
        <v>1455</v>
      </c>
      <c r="C5923" s="17" t="s">
        <v>1456</v>
      </c>
      <c r="D5923" s="5" t="s">
        <v>7833</v>
      </c>
      <c r="E5923" s="35">
        <v>41192</v>
      </c>
    </row>
    <row r="5924" spans="1:5" ht="14.25" hidden="1" customHeight="1">
      <c r="A5924" s="16">
        <v>27364281</v>
      </c>
      <c r="B5924" s="17" t="s">
        <v>7834</v>
      </c>
      <c r="C5924" s="17" t="s">
        <v>2069</v>
      </c>
      <c r="D5924" s="5" t="s">
        <v>7833</v>
      </c>
      <c r="E5924" s="35">
        <v>41192</v>
      </c>
    </row>
    <row r="5925" spans="1:5" ht="14.25" hidden="1" customHeight="1">
      <c r="A5925" s="16">
        <v>27454217</v>
      </c>
      <c r="B5925" s="17" t="s">
        <v>3800</v>
      </c>
      <c r="C5925" s="17" t="s">
        <v>3801</v>
      </c>
      <c r="D5925" s="5" t="s">
        <v>7833</v>
      </c>
      <c r="E5925" s="35">
        <v>41192</v>
      </c>
    </row>
    <row r="5926" spans="1:5" ht="14.25" hidden="1" customHeight="1">
      <c r="A5926" s="20">
        <v>6054612</v>
      </c>
      <c r="B5926" s="21" t="s">
        <v>7865</v>
      </c>
      <c r="C5926" s="21" t="s">
        <v>7866</v>
      </c>
      <c r="D5926" s="5" t="s">
        <v>7837</v>
      </c>
      <c r="E5926" s="35">
        <v>41182</v>
      </c>
    </row>
    <row r="5927" spans="1:5" ht="14.25" hidden="1" customHeight="1">
      <c r="A5927" s="20">
        <v>10708207</v>
      </c>
      <c r="B5927" s="21" t="s">
        <v>6874</v>
      </c>
      <c r="C5927" s="21" t="s">
        <v>7842</v>
      </c>
      <c r="D5927" s="5" t="s">
        <v>7837</v>
      </c>
      <c r="E5927" s="35">
        <v>41182</v>
      </c>
    </row>
    <row r="5928" spans="1:5" ht="14.25" hidden="1" customHeight="1">
      <c r="A5928" s="20">
        <v>10708218</v>
      </c>
      <c r="B5928" s="21" t="s">
        <v>7848</v>
      </c>
      <c r="C5928" s="21" t="s">
        <v>7849</v>
      </c>
      <c r="D5928" s="5" t="s">
        <v>7837</v>
      </c>
      <c r="E5928" s="35">
        <v>41182</v>
      </c>
    </row>
    <row r="5929" spans="1:5" ht="14.25" hidden="1" customHeight="1">
      <c r="A5929" s="20">
        <v>10708291</v>
      </c>
      <c r="B5929" s="21" t="s">
        <v>7861</v>
      </c>
      <c r="C5929" s="21" t="s">
        <v>7862</v>
      </c>
      <c r="D5929" s="5" t="s">
        <v>7837</v>
      </c>
      <c r="E5929" s="35">
        <v>41182</v>
      </c>
    </row>
    <row r="5930" spans="1:5" ht="14.25" hidden="1" customHeight="1">
      <c r="A5930" s="20">
        <v>10728835</v>
      </c>
      <c r="B5930" s="21" t="s">
        <v>7863</v>
      </c>
      <c r="C5930" s="21" t="s">
        <v>7864</v>
      </c>
      <c r="D5930" s="5" t="s">
        <v>7837</v>
      </c>
      <c r="E5930" s="35">
        <v>41182</v>
      </c>
    </row>
    <row r="5931" spans="1:5" ht="14.25" hidden="1" customHeight="1">
      <c r="A5931" s="20">
        <v>12607777</v>
      </c>
      <c r="B5931" s="21" t="s">
        <v>7851</v>
      </c>
      <c r="C5931" s="21" t="s">
        <v>7852</v>
      </c>
      <c r="D5931" s="5" t="s">
        <v>7837</v>
      </c>
      <c r="E5931" s="35">
        <v>41182</v>
      </c>
    </row>
    <row r="5932" spans="1:5" ht="14.25" hidden="1" customHeight="1">
      <c r="A5932" s="20">
        <v>12919956</v>
      </c>
      <c r="B5932" s="21" t="s">
        <v>7858</v>
      </c>
      <c r="C5932" s="21" t="s">
        <v>7859</v>
      </c>
      <c r="D5932" s="5" t="s">
        <v>7837</v>
      </c>
      <c r="E5932" s="35">
        <v>41182</v>
      </c>
    </row>
    <row r="5933" spans="1:5" ht="14.25" hidden="1" customHeight="1">
      <c r="A5933" s="20">
        <v>13607218</v>
      </c>
      <c r="B5933" s="21" t="s">
        <v>7838</v>
      </c>
      <c r="C5933" s="21" t="s">
        <v>7839</v>
      </c>
      <c r="D5933" s="5" t="s">
        <v>7837</v>
      </c>
      <c r="E5933" s="35">
        <v>41182</v>
      </c>
    </row>
    <row r="5934" spans="1:5" ht="14.25" hidden="1" customHeight="1">
      <c r="A5934" s="20">
        <v>16132250</v>
      </c>
      <c r="B5934" s="21" t="s">
        <v>7843</v>
      </c>
      <c r="C5934" s="21" t="s">
        <v>7844</v>
      </c>
      <c r="D5934" s="5" t="s">
        <v>7837</v>
      </c>
      <c r="E5934" s="35">
        <v>41182</v>
      </c>
    </row>
    <row r="5935" spans="1:5" ht="14.25" hidden="1" customHeight="1">
      <c r="A5935" s="20">
        <v>16425202</v>
      </c>
      <c r="B5935" s="21" t="s">
        <v>6864</v>
      </c>
      <c r="C5935" s="21" t="s">
        <v>7869</v>
      </c>
      <c r="D5935" s="5" t="s">
        <v>7837</v>
      </c>
      <c r="E5935" s="35">
        <v>41182</v>
      </c>
    </row>
    <row r="5936" spans="1:5" ht="14.25" hidden="1" customHeight="1">
      <c r="A5936" s="20">
        <v>17270703</v>
      </c>
      <c r="B5936" s="21" t="s">
        <v>7301</v>
      </c>
      <c r="C5936" s="21" t="s">
        <v>7860</v>
      </c>
      <c r="D5936" s="5" t="s">
        <v>7837</v>
      </c>
      <c r="E5936" s="35">
        <v>41182</v>
      </c>
    </row>
    <row r="5937" spans="1:5" ht="14.25" hidden="1" customHeight="1">
      <c r="A5937" s="20">
        <v>18505921</v>
      </c>
      <c r="B5937" s="21" t="s">
        <v>7853</v>
      </c>
      <c r="C5937" s="21" t="s">
        <v>7855</v>
      </c>
      <c r="D5937" s="5" t="s">
        <v>7837</v>
      </c>
      <c r="E5937" s="35">
        <v>41182</v>
      </c>
    </row>
    <row r="5938" spans="1:5" ht="14.25" hidden="1" customHeight="1">
      <c r="A5938" s="20">
        <v>18610526</v>
      </c>
      <c r="B5938" s="21" t="s">
        <v>7856</v>
      </c>
      <c r="C5938" s="21" t="s">
        <v>7857</v>
      </c>
      <c r="D5938" s="5" t="s">
        <v>7837</v>
      </c>
      <c r="E5938" s="35">
        <v>41182</v>
      </c>
    </row>
    <row r="5939" spans="1:5" ht="14.25" hidden="1" customHeight="1">
      <c r="A5939" s="20">
        <v>20222681</v>
      </c>
      <c r="B5939" s="21" t="s">
        <v>7845</v>
      </c>
      <c r="C5939" s="21" t="s">
        <v>7846</v>
      </c>
      <c r="D5939" s="5" t="s">
        <v>7837</v>
      </c>
      <c r="E5939" s="35">
        <v>41182</v>
      </c>
    </row>
    <row r="5940" spans="1:5" ht="14.25" hidden="1" customHeight="1">
      <c r="A5940" s="20">
        <v>20285198</v>
      </c>
      <c r="B5940" s="21" t="s">
        <v>7615</v>
      </c>
      <c r="C5940" s="21" t="s">
        <v>6899</v>
      </c>
      <c r="D5940" s="5" t="s">
        <v>7837</v>
      </c>
      <c r="E5940" s="35">
        <v>41182</v>
      </c>
    </row>
    <row r="5941" spans="1:5" ht="14.25" hidden="1" customHeight="1">
      <c r="A5941" s="20">
        <v>21054719</v>
      </c>
      <c r="B5941" s="21" t="s">
        <v>7615</v>
      </c>
      <c r="C5941" s="21" t="s">
        <v>7847</v>
      </c>
      <c r="D5941" s="5" t="s">
        <v>7837</v>
      </c>
      <c r="E5941" s="35">
        <v>41182</v>
      </c>
    </row>
    <row r="5942" spans="1:5" ht="14.25" hidden="1" customHeight="1">
      <c r="A5942" s="20">
        <v>21327352</v>
      </c>
      <c r="B5942" s="21" t="s">
        <v>7867</v>
      </c>
      <c r="C5942" s="21" t="s">
        <v>7868</v>
      </c>
      <c r="D5942" s="5" t="s">
        <v>7837</v>
      </c>
      <c r="E5942" s="35">
        <v>41182</v>
      </c>
    </row>
    <row r="5943" spans="1:5" ht="14.25" hidden="1" customHeight="1">
      <c r="A5943" s="20">
        <v>21329143</v>
      </c>
      <c r="B5943" s="21" t="s">
        <v>7438</v>
      </c>
      <c r="C5943" s="21" t="s">
        <v>7850</v>
      </c>
      <c r="D5943" s="5" t="s">
        <v>7837</v>
      </c>
      <c r="E5943" s="35">
        <v>41182</v>
      </c>
    </row>
    <row r="5944" spans="1:5" ht="14.25" hidden="1" customHeight="1">
      <c r="A5944" s="20">
        <v>22283701</v>
      </c>
      <c r="B5944" s="21" t="s">
        <v>7529</v>
      </c>
      <c r="C5944" s="21" t="s">
        <v>7841</v>
      </c>
      <c r="D5944" s="5" t="s">
        <v>7837</v>
      </c>
      <c r="E5944" s="35">
        <v>41182</v>
      </c>
    </row>
    <row r="5945" spans="1:5" ht="14.25" hidden="1" customHeight="1">
      <c r="A5945" s="20">
        <v>23518411</v>
      </c>
      <c r="B5945" s="21" t="s">
        <v>7840</v>
      </c>
      <c r="C5945" s="21" t="s">
        <v>7471</v>
      </c>
      <c r="D5945" s="5" t="s">
        <v>7837</v>
      </c>
      <c r="E5945" s="35">
        <v>41182</v>
      </c>
    </row>
    <row r="5946" spans="1:5" ht="14.25" hidden="1" customHeight="1">
      <c r="A5946" s="20">
        <v>23518638</v>
      </c>
      <c r="B5946" s="21" t="s">
        <v>7870</v>
      </c>
      <c r="C5946" s="21" t="s">
        <v>7871</v>
      </c>
      <c r="D5946" s="5" t="s">
        <v>7837</v>
      </c>
      <c r="E5946" s="35">
        <v>41182</v>
      </c>
    </row>
    <row r="5947" spans="1:5" ht="14.25" hidden="1" customHeight="1">
      <c r="A5947" s="20">
        <v>23519455</v>
      </c>
      <c r="B5947" s="21" t="s">
        <v>7835</v>
      </c>
      <c r="C5947" s="21" t="s">
        <v>7836</v>
      </c>
      <c r="D5947" s="5" t="s">
        <v>7837</v>
      </c>
      <c r="E5947" s="35">
        <v>41182</v>
      </c>
    </row>
    <row r="5948" spans="1:5" ht="14.25" hidden="1" customHeight="1">
      <c r="A5948" s="20">
        <v>25542562</v>
      </c>
      <c r="B5948" s="21" t="s">
        <v>7853</v>
      </c>
      <c r="C5948" s="21" t="s">
        <v>7854</v>
      </c>
      <c r="D5948" s="5" t="s">
        <v>7837</v>
      </c>
      <c r="E5948" s="35">
        <v>41182</v>
      </c>
    </row>
    <row r="5949" spans="1:5" ht="14.25" hidden="1" customHeight="1">
      <c r="A5949" s="16">
        <v>11283845</v>
      </c>
      <c r="B5949" s="17" t="s">
        <v>6267</v>
      </c>
      <c r="C5949" s="17" t="s">
        <v>6268</v>
      </c>
      <c r="D5949" s="5" t="s">
        <v>7212</v>
      </c>
      <c r="E5949" s="35">
        <v>41170</v>
      </c>
    </row>
    <row r="5950" spans="1:5" ht="14.25" hidden="1" customHeight="1">
      <c r="A5950" s="16">
        <v>12318129</v>
      </c>
      <c r="B5950" s="17" t="s">
        <v>2952</v>
      </c>
      <c r="C5950" s="17" t="s">
        <v>1023</v>
      </c>
      <c r="D5950" s="5" t="s">
        <v>7212</v>
      </c>
      <c r="E5950" s="35">
        <v>41170</v>
      </c>
    </row>
    <row r="5951" spans="1:5" ht="14.25" hidden="1" customHeight="1">
      <c r="A5951" s="16">
        <v>12654235</v>
      </c>
      <c r="B5951" s="17" t="s">
        <v>863</v>
      </c>
      <c r="C5951" s="17" t="s">
        <v>4576</v>
      </c>
      <c r="D5951" s="5" t="s">
        <v>7212</v>
      </c>
      <c r="E5951" s="35">
        <v>41170</v>
      </c>
    </row>
    <row r="5952" spans="1:5" ht="14.25" hidden="1" customHeight="1">
      <c r="A5952" s="16">
        <v>13115427</v>
      </c>
      <c r="B5952" s="17" t="s">
        <v>1999</v>
      </c>
      <c r="C5952" s="17" t="s">
        <v>2000</v>
      </c>
      <c r="D5952" s="5" t="s">
        <v>7212</v>
      </c>
      <c r="E5952" s="35">
        <v>41170</v>
      </c>
    </row>
    <row r="5953" spans="1:5" ht="14.25" hidden="1" customHeight="1">
      <c r="A5953" s="16">
        <v>14073571</v>
      </c>
      <c r="B5953" s="17" t="s">
        <v>1190</v>
      </c>
      <c r="C5953" s="17" t="s">
        <v>922</v>
      </c>
      <c r="D5953" s="5" t="s">
        <v>7212</v>
      </c>
      <c r="E5953" s="35">
        <v>41170</v>
      </c>
    </row>
    <row r="5954" spans="1:5" ht="14.25" hidden="1" customHeight="1">
      <c r="A5954" s="16">
        <v>16685410</v>
      </c>
      <c r="B5954" s="17" t="s">
        <v>5130</v>
      </c>
      <c r="C5954" s="17" t="s">
        <v>5019</v>
      </c>
      <c r="D5954" s="5" t="s">
        <v>7212</v>
      </c>
      <c r="E5954" s="35">
        <v>41170</v>
      </c>
    </row>
    <row r="5955" spans="1:5" ht="14.25" hidden="1" customHeight="1">
      <c r="A5955" s="16">
        <v>16685720</v>
      </c>
      <c r="B5955" s="17" t="s">
        <v>218</v>
      </c>
      <c r="C5955" s="17" t="s">
        <v>2753</v>
      </c>
      <c r="D5955" s="5" t="s">
        <v>7212</v>
      </c>
      <c r="E5955" s="35">
        <v>41170</v>
      </c>
    </row>
    <row r="5956" spans="1:5" ht="14.25" hidden="1" customHeight="1">
      <c r="A5956" s="16">
        <v>17376929</v>
      </c>
      <c r="B5956" s="17" t="s">
        <v>342</v>
      </c>
      <c r="C5956" s="17" t="s">
        <v>6300</v>
      </c>
      <c r="D5956" s="5" t="s">
        <v>7212</v>
      </c>
      <c r="E5956" s="35">
        <v>41170</v>
      </c>
    </row>
    <row r="5957" spans="1:5" ht="14.25" hidden="1" customHeight="1">
      <c r="A5957" s="16">
        <v>17376937</v>
      </c>
      <c r="B5957" s="17" t="s">
        <v>1823</v>
      </c>
      <c r="C5957" s="17" t="s">
        <v>462</v>
      </c>
      <c r="D5957" s="5" t="s">
        <v>7212</v>
      </c>
      <c r="E5957" s="35">
        <v>41170</v>
      </c>
    </row>
    <row r="5958" spans="1:5" ht="14.25" hidden="1" customHeight="1">
      <c r="A5958" s="16">
        <v>20178158</v>
      </c>
      <c r="B5958" s="17" t="s">
        <v>7872</v>
      </c>
      <c r="C5958" s="17" t="s">
        <v>5003</v>
      </c>
      <c r="D5958" s="5" t="s">
        <v>7212</v>
      </c>
      <c r="E5958" s="35">
        <v>41170</v>
      </c>
    </row>
    <row r="5959" spans="1:5" ht="14.25" hidden="1" customHeight="1">
      <c r="A5959" s="16">
        <v>20285264</v>
      </c>
      <c r="B5959" s="17" t="s">
        <v>6433</v>
      </c>
      <c r="C5959" s="17" t="s">
        <v>2102</v>
      </c>
      <c r="D5959" s="5" t="s">
        <v>7212</v>
      </c>
      <c r="E5959" s="35">
        <v>41170</v>
      </c>
    </row>
    <row r="5960" spans="1:5" ht="14.25" hidden="1" customHeight="1">
      <c r="A5960" s="16">
        <v>20759468</v>
      </c>
      <c r="B5960" s="17" t="s">
        <v>350</v>
      </c>
      <c r="C5960" s="17" t="s">
        <v>5656</v>
      </c>
      <c r="D5960" s="5" t="s">
        <v>7212</v>
      </c>
      <c r="E5960" s="35">
        <v>41170</v>
      </c>
    </row>
    <row r="5961" spans="1:5" ht="14.25" hidden="1" customHeight="1">
      <c r="A5961" s="16">
        <v>20759580</v>
      </c>
      <c r="B5961" s="17" t="s">
        <v>118</v>
      </c>
      <c r="C5961" s="17" t="s">
        <v>119</v>
      </c>
      <c r="D5961" s="5" t="s">
        <v>7212</v>
      </c>
      <c r="E5961" s="35">
        <v>41170</v>
      </c>
    </row>
    <row r="5962" spans="1:5" ht="14.25" hidden="1" customHeight="1">
      <c r="A5962" s="16">
        <v>21329323</v>
      </c>
      <c r="B5962" s="17" t="s">
        <v>4646</v>
      </c>
      <c r="C5962" s="17" t="s">
        <v>2447</v>
      </c>
      <c r="D5962" s="5" t="s">
        <v>7212</v>
      </c>
      <c r="E5962" s="35">
        <v>41170</v>
      </c>
    </row>
    <row r="5963" spans="1:5" ht="14.25" hidden="1" customHeight="1">
      <c r="A5963" s="16">
        <v>21893835</v>
      </c>
      <c r="B5963" s="17" t="s">
        <v>321</v>
      </c>
      <c r="C5963" s="17" t="s">
        <v>322</v>
      </c>
      <c r="D5963" s="5" t="s">
        <v>7212</v>
      </c>
      <c r="E5963" s="35">
        <v>41170</v>
      </c>
    </row>
    <row r="5964" spans="1:5" ht="14.25" hidden="1" customHeight="1">
      <c r="A5964" s="16">
        <v>22264814</v>
      </c>
      <c r="B5964" s="17" t="s">
        <v>6412</v>
      </c>
      <c r="C5964" s="17" t="s">
        <v>6413</v>
      </c>
      <c r="D5964" s="5" t="s">
        <v>7212</v>
      </c>
      <c r="E5964" s="35">
        <v>41170</v>
      </c>
    </row>
    <row r="5965" spans="1:5" ht="14.25" hidden="1" customHeight="1">
      <c r="A5965" s="16">
        <v>22429208</v>
      </c>
      <c r="B5965" s="17" t="s">
        <v>5245</v>
      </c>
      <c r="C5965" s="17" t="s">
        <v>5246</v>
      </c>
      <c r="D5965" s="5" t="s">
        <v>7212</v>
      </c>
      <c r="E5965" s="35">
        <v>41170</v>
      </c>
    </row>
    <row r="5966" spans="1:5" ht="14.25" hidden="1" customHeight="1">
      <c r="A5966" s="16">
        <v>23015469</v>
      </c>
      <c r="B5966" s="17" t="s">
        <v>714</v>
      </c>
      <c r="C5966" s="17" t="s">
        <v>7149</v>
      </c>
      <c r="D5966" s="5" t="s">
        <v>7212</v>
      </c>
      <c r="E5966" s="35">
        <v>41170</v>
      </c>
    </row>
    <row r="5967" spans="1:5" ht="14.25" hidden="1" customHeight="1">
      <c r="A5967" s="16">
        <v>23827324</v>
      </c>
      <c r="B5967" s="17" t="s">
        <v>690</v>
      </c>
      <c r="C5967" s="17" t="s">
        <v>6197</v>
      </c>
      <c r="D5967" s="5" t="s">
        <v>7212</v>
      </c>
      <c r="E5967" s="35">
        <v>41170</v>
      </c>
    </row>
    <row r="5968" spans="1:5" ht="14.25" hidden="1" customHeight="1">
      <c r="A5968" s="16">
        <v>24803211</v>
      </c>
      <c r="B5968" s="17" t="s">
        <v>2579</v>
      </c>
      <c r="C5968" s="17" t="s">
        <v>7874</v>
      </c>
      <c r="D5968" s="5" t="s">
        <v>7212</v>
      </c>
      <c r="E5968" s="35">
        <v>41170</v>
      </c>
    </row>
    <row r="5969" spans="1:5" ht="14.25" hidden="1" customHeight="1">
      <c r="A5969" s="16">
        <v>25498735</v>
      </c>
      <c r="B5969" s="17" t="s">
        <v>4067</v>
      </c>
      <c r="C5969" s="17" t="s">
        <v>6493</v>
      </c>
      <c r="D5969" s="5" t="s">
        <v>7212</v>
      </c>
      <c r="E5969" s="35">
        <v>41170</v>
      </c>
    </row>
    <row r="5970" spans="1:5" ht="14.25" hidden="1" customHeight="1">
      <c r="A5970" s="16">
        <v>25843618</v>
      </c>
      <c r="B5970" s="17" t="s">
        <v>1823</v>
      </c>
      <c r="C5970" s="17" t="s">
        <v>4410</v>
      </c>
      <c r="D5970" s="5" t="s">
        <v>7212</v>
      </c>
      <c r="E5970" s="35">
        <v>41170</v>
      </c>
    </row>
    <row r="5971" spans="1:5" ht="14.25" hidden="1" customHeight="1">
      <c r="A5971" s="16">
        <v>26834035</v>
      </c>
      <c r="B5971" s="17" t="s">
        <v>7873</v>
      </c>
      <c r="C5971" s="17" t="s">
        <v>3291</v>
      </c>
      <c r="D5971" s="5" t="s">
        <v>7212</v>
      </c>
      <c r="E5971" s="35">
        <v>41170</v>
      </c>
    </row>
    <row r="5972" spans="1:5" ht="14.25" hidden="1" customHeight="1">
      <c r="A5972" s="16">
        <v>26834035</v>
      </c>
      <c r="B5972" s="17" t="s">
        <v>2248</v>
      </c>
      <c r="C5972" s="17" t="s">
        <v>7875</v>
      </c>
      <c r="D5972" s="5" t="s">
        <v>7212</v>
      </c>
      <c r="E5972" s="35">
        <v>41170</v>
      </c>
    </row>
    <row r="5973" spans="1:5" ht="14.25" hidden="1" customHeight="1">
      <c r="A5973" s="16">
        <v>27594942</v>
      </c>
      <c r="B5973" s="17" t="s">
        <v>177</v>
      </c>
      <c r="C5973" s="17" t="s">
        <v>178</v>
      </c>
      <c r="D5973" s="5" t="s">
        <v>7212</v>
      </c>
      <c r="E5973" s="35">
        <v>41170</v>
      </c>
    </row>
    <row r="5974" spans="1:5" ht="14.25" hidden="1" customHeight="1">
      <c r="A5974" s="16">
        <v>27751639</v>
      </c>
      <c r="B5974" s="17" t="s">
        <v>5372</v>
      </c>
      <c r="C5974" s="17" t="s">
        <v>5061</v>
      </c>
      <c r="D5974" s="5" t="s">
        <v>7212</v>
      </c>
      <c r="E5974" s="35">
        <v>41170</v>
      </c>
    </row>
    <row r="5975" spans="1:5" ht="14.25" hidden="1" customHeight="1">
      <c r="A5975" s="16">
        <v>29060073</v>
      </c>
      <c r="B5975" s="17" t="s">
        <v>4836</v>
      </c>
      <c r="C5975" s="17" t="s">
        <v>1061</v>
      </c>
      <c r="D5975" s="5" t="s">
        <v>7212</v>
      </c>
      <c r="E5975" s="35">
        <v>41170</v>
      </c>
    </row>
    <row r="5976" spans="1:5" ht="14.25" hidden="1" customHeight="1">
      <c r="A5976" s="16">
        <v>31842029</v>
      </c>
      <c r="B5976" s="17" t="s">
        <v>7876</v>
      </c>
      <c r="C5976" s="17" t="s">
        <v>7119</v>
      </c>
      <c r="D5976" s="5" t="s">
        <v>7212</v>
      </c>
      <c r="E5976" s="35">
        <v>41170</v>
      </c>
    </row>
    <row r="5977" spans="1:5" ht="14.25" hidden="1" customHeight="1">
      <c r="A5977" s="16">
        <v>33050647</v>
      </c>
      <c r="B5977" s="17" t="s">
        <v>2579</v>
      </c>
      <c r="C5977" s="17" t="s">
        <v>223</v>
      </c>
      <c r="D5977" s="5" t="s">
        <v>7212</v>
      </c>
      <c r="E5977" s="35">
        <v>41170</v>
      </c>
    </row>
    <row r="5978" spans="1:5" ht="14.25" hidden="1" customHeight="1">
      <c r="A5978" s="16">
        <v>33818840</v>
      </c>
      <c r="B5978" s="17" t="s">
        <v>377</v>
      </c>
      <c r="C5978" s="17" t="s">
        <v>7235</v>
      </c>
      <c r="D5978" s="5" t="s">
        <v>7212</v>
      </c>
      <c r="E5978" s="35">
        <v>41170</v>
      </c>
    </row>
    <row r="5979" spans="1:5" ht="14.25" hidden="1" customHeight="1">
      <c r="A5979" s="16">
        <v>36420915</v>
      </c>
      <c r="B5979" s="25" t="s">
        <v>4213</v>
      </c>
      <c r="C5979" s="25" t="s">
        <v>455</v>
      </c>
      <c r="D5979" s="5" t="s">
        <v>7212</v>
      </c>
      <c r="E5979" s="35">
        <v>41170</v>
      </c>
    </row>
    <row r="5980" spans="1:5" ht="14.25" hidden="1" customHeight="1">
      <c r="A5980" s="16">
        <v>36583992</v>
      </c>
      <c r="B5980" s="17" t="s">
        <v>315</v>
      </c>
      <c r="C5980" s="17" t="s">
        <v>395</v>
      </c>
      <c r="D5980" s="5" t="s">
        <v>7212</v>
      </c>
      <c r="E5980" s="35">
        <v>41170</v>
      </c>
    </row>
    <row r="5981" spans="1:5" ht="14.25" hidden="1" customHeight="1">
      <c r="A5981" s="16">
        <v>4433298</v>
      </c>
      <c r="B5981" s="17" t="s">
        <v>4739</v>
      </c>
      <c r="C5981" s="17" t="s">
        <v>4740</v>
      </c>
      <c r="D5981" s="5" t="s">
        <v>7877</v>
      </c>
      <c r="E5981" s="35">
        <v>41164</v>
      </c>
    </row>
    <row r="5982" spans="1:5" ht="14.25" hidden="1" customHeight="1">
      <c r="A5982" s="16">
        <v>10645222</v>
      </c>
      <c r="B5982" s="17" t="s">
        <v>3732</v>
      </c>
      <c r="C5982" s="17" t="s">
        <v>2196</v>
      </c>
      <c r="D5982" s="5" t="s">
        <v>7877</v>
      </c>
      <c r="E5982" s="35">
        <v>41164</v>
      </c>
    </row>
    <row r="5983" spans="1:5" ht="14.25" hidden="1" customHeight="1">
      <c r="A5983" s="16">
        <v>11708174</v>
      </c>
      <c r="B5983" s="17" t="s">
        <v>1628</v>
      </c>
      <c r="C5983" s="17" t="s">
        <v>1629</v>
      </c>
      <c r="D5983" s="5" t="s">
        <v>7877</v>
      </c>
      <c r="E5983" s="35">
        <v>41164</v>
      </c>
    </row>
    <row r="5984" spans="1:5" ht="14.25" hidden="1" customHeight="1">
      <c r="A5984" s="16">
        <v>11910796</v>
      </c>
      <c r="B5984" s="17" t="s">
        <v>3826</v>
      </c>
      <c r="C5984" s="17" t="s">
        <v>3829</v>
      </c>
      <c r="D5984" s="5" t="s">
        <v>7877</v>
      </c>
      <c r="E5984" s="35">
        <v>41164</v>
      </c>
    </row>
    <row r="5985" spans="1:5" ht="14.25" hidden="1" customHeight="1">
      <c r="A5985" s="16">
        <v>12597724</v>
      </c>
      <c r="B5985" s="25" t="s">
        <v>760</v>
      </c>
      <c r="C5985" s="25" t="s">
        <v>1707</v>
      </c>
      <c r="D5985" s="5" t="s">
        <v>7877</v>
      </c>
      <c r="E5985" s="35">
        <v>41164</v>
      </c>
    </row>
    <row r="5986" spans="1:5" ht="14.25" hidden="1" customHeight="1">
      <c r="A5986" s="16">
        <v>12597950</v>
      </c>
      <c r="B5986" s="17" t="s">
        <v>7878</v>
      </c>
      <c r="C5986" s="17" t="s">
        <v>1185</v>
      </c>
      <c r="D5986" s="5" t="s">
        <v>7877</v>
      </c>
      <c r="E5986" s="35">
        <v>41164</v>
      </c>
    </row>
    <row r="5987" spans="1:5" ht="14.25" hidden="1" customHeight="1">
      <c r="A5987" s="16">
        <v>12919979</v>
      </c>
      <c r="B5987" s="17" t="s">
        <v>3182</v>
      </c>
      <c r="C5987" s="17" t="s">
        <v>724</v>
      </c>
      <c r="D5987" s="5" t="s">
        <v>7877</v>
      </c>
      <c r="E5987" s="35">
        <v>41164</v>
      </c>
    </row>
    <row r="5988" spans="1:5" ht="14.25" hidden="1" customHeight="1">
      <c r="A5988" s="16">
        <v>13378138</v>
      </c>
      <c r="B5988" s="17" t="s">
        <v>610</v>
      </c>
      <c r="C5988" s="17" t="s">
        <v>274</v>
      </c>
      <c r="D5988" s="5" t="s">
        <v>7877</v>
      </c>
      <c r="E5988" s="35">
        <v>41164</v>
      </c>
    </row>
    <row r="5989" spans="1:5" ht="14.25" hidden="1" customHeight="1">
      <c r="A5989" s="16">
        <v>13378152</v>
      </c>
      <c r="B5989" s="17" t="s">
        <v>610</v>
      </c>
      <c r="C5989" s="17" t="s">
        <v>612</v>
      </c>
      <c r="D5989" s="5" t="s">
        <v>7877</v>
      </c>
      <c r="E5989" s="35">
        <v>41164</v>
      </c>
    </row>
    <row r="5990" spans="1:5" ht="14.25" hidden="1" customHeight="1">
      <c r="A5990" s="16">
        <v>13847505</v>
      </c>
      <c r="B5990" s="17" t="s">
        <v>1637</v>
      </c>
      <c r="C5990" s="17" t="s">
        <v>1638</v>
      </c>
      <c r="D5990" s="5" t="s">
        <v>7877</v>
      </c>
      <c r="E5990" s="35">
        <v>41164</v>
      </c>
    </row>
    <row r="5991" spans="1:5" ht="14.25" hidden="1" customHeight="1">
      <c r="A5991" s="16">
        <v>16541411</v>
      </c>
      <c r="B5991" s="17" t="s">
        <v>4746</v>
      </c>
      <c r="C5991" s="17" t="s">
        <v>4747</v>
      </c>
      <c r="D5991" s="5" t="s">
        <v>7877</v>
      </c>
      <c r="E5991" s="35">
        <v>41164</v>
      </c>
    </row>
    <row r="5992" spans="1:5" ht="14.25" hidden="1" customHeight="1">
      <c r="A5992" s="16">
        <v>16859596</v>
      </c>
      <c r="B5992" s="17" t="s">
        <v>4275</v>
      </c>
      <c r="C5992" s="17" t="s">
        <v>612</v>
      </c>
      <c r="D5992" s="5" t="s">
        <v>7877</v>
      </c>
      <c r="E5992" s="35">
        <v>41164</v>
      </c>
    </row>
    <row r="5993" spans="1:5" ht="14.25" hidden="1" customHeight="1">
      <c r="A5993" s="16">
        <v>17270247</v>
      </c>
      <c r="B5993" s="17" t="s">
        <v>5098</v>
      </c>
      <c r="C5993" s="17" t="s">
        <v>1061</v>
      </c>
      <c r="D5993" s="5" t="s">
        <v>7877</v>
      </c>
      <c r="E5993" s="35">
        <v>41164</v>
      </c>
    </row>
    <row r="5994" spans="1:5" ht="14.25" hidden="1" customHeight="1">
      <c r="A5994" s="16">
        <v>18187738</v>
      </c>
      <c r="B5994" s="25" t="s">
        <v>195</v>
      </c>
      <c r="C5994" s="25" t="s">
        <v>2959</v>
      </c>
      <c r="D5994" s="5" t="s">
        <v>7877</v>
      </c>
      <c r="E5994" s="35">
        <v>41164</v>
      </c>
    </row>
    <row r="5995" spans="1:5" ht="14.25" hidden="1" customHeight="1">
      <c r="A5995" s="16">
        <v>22211664</v>
      </c>
      <c r="B5995" s="17" t="s">
        <v>5551</v>
      </c>
      <c r="C5995" s="17" t="s">
        <v>1172</v>
      </c>
      <c r="D5995" s="5" t="s">
        <v>7877</v>
      </c>
      <c r="E5995" s="35">
        <v>41164</v>
      </c>
    </row>
    <row r="5996" spans="1:5" ht="14.25" hidden="1" customHeight="1">
      <c r="A5996" s="16">
        <v>22264426</v>
      </c>
      <c r="B5996" s="17" t="s">
        <v>4793</v>
      </c>
      <c r="C5996" s="17" t="s">
        <v>1249</v>
      </c>
      <c r="D5996" s="5" t="s">
        <v>7877</v>
      </c>
      <c r="E5996" s="35">
        <v>41164</v>
      </c>
    </row>
    <row r="5997" spans="1:5" ht="14.25" hidden="1" customHeight="1">
      <c r="A5997" s="16">
        <v>23015651</v>
      </c>
      <c r="B5997" s="17" t="s">
        <v>3182</v>
      </c>
      <c r="C5997" s="17" t="s">
        <v>902</v>
      </c>
      <c r="D5997" s="5" t="s">
        <v>7877</v>
      </c>
      <c r="E5997" s="35">
        <v>41164</v>
      </c>
    </row>
    <row r="5998" spans="1:5" ht="14.25" hidden="1" customHeight="1">
      <c r="A5998" s="16">
        <v>23167760</v>
      </c>
      <c r="B5998" s="17" t="s">
        <v>1644</v>
      </c>
      <c r="C5998" s="17" t="s">
        <v>106</v>
      </c>
      <c r="D5998" s="5" t="s">
        <v>7877</v>
      </c>
      <c r="E5998" s="35">
        <v>41164</v>
      </c>
    </row>
    <row r="5999" spans="1:5" ht="14.25" hidden="1" customHeight="1">
      <c r="A5999" s="16">
        <v>23931160</v>
      </c>
      <c r="B5999" s="17" t="s">
        <v>4673</v>
      </c>
      <c r="C5999" s="17" t="s">
        <v>3888</v>
      </c>
      <c r="D5999" s="5" t="s">
        <v>7877</v>
      </c>
      <c r="E5999" s="35">
        <v>41164</v>
      </c>
    </row>
    <row r="6000" spans="1:5" ht="14.25" hidden="1" customHeight="1">
      <c r="A6000" s="16">
        <v>23931356</v>
      </c>
      <c r="B6000" s="17" t="s">
        <v>633</v>
      </c>
      <c r="C6000" s="17" t="s">
        <v>223</v>
      </c>
      <c r="D6000" s="5" t="s">
        <v>7877</v>
      </c>
      <c r="E6000" s="35">
        <v>41164</v>
      </c>
    </row>
    <row r="6001" spans="1:5" ht="14.25" hidden="1" customHeight="1">
      <c r="A6001" s="16">
        <v>24553951</v>
      </c>
      <c r="B6001" s="17" t="s">
        <v>4952</v>
      </c>
      <c r="C6001" s="17" t="s">
        <v>4953</v>
      </c>
      <c r="D6001" s="5" t="s">
        <v>7877</v>
      </c>
      <c r="E6001" s="35">
        <v>41164</v>
      </c>
    </row>
    <row r="6002" spans="1:5" ht="14.25" hidden="1" customHeight="1">
      <c r="A6002" s="16">
        <v>24622574</v>
      </c>
      <c r="B6002" s="17" t="s">
        <v>47</v>
      </c>
      <c r="C6002" s="17" t="s">
        <v>4961</v>
      </c>
      <c r="D6002" s="5" t="s">
        <v>7877</v>
      </c>
      <c r="E6002" s="35">
        <v>41164</v>
      </c>
    </row>
    <row r="6003" spans="1:5" ht="14.25" hidden="1" customHeight="1">
      <c r="A6003" s="16">
        <v>26445246</v>
      </c>
      <c r="B6003" s="17" t="s">
        <v>2632</v>
      </c>
      <c r="C6003" s="17" t="s">
        <v>1965</v>
      </c>
      <c r="D6003" s="5" t="s">
        <v>7877</v>
      </c>
      <c r="E6003" s="35">
        <v>41164</v>
      </c>
    </row>
    <row r="6004" spans="1:5" ht="14.25" hidden="1" customHeight="1">
      <c r="A6004" s="16">
        <v>29430338</v>
      </c>
      <c r="B6004" s="17" t="s">
        <v>1097</v>
      </c>
      <c r="C6004" s="17" t="s">
        <v>1098</v>
      </c>
      <c r="D6004" s="5" t="s">
        <v>7877</v>
      </c>
      <c r="E6004" s="35">
        <v>41164</v>
      </c>
    </row>
    <row r="6005" spans="1:5" ht="14.25" hidden="1" customHeight="1">
      <c r="A6005" s="16">
        <v>29743945</v>
      </c>
      <c r="B6005" s="17" t="s">
        <v>5843</v>
      </c>
      <c r="C6005" s="17" t="s">
        <v>2179</v>
      </c>
      <c r="D6005" s="5" t="s">
        <v>7877</v>
      </c>
      <c r="E6005" s="35">
        <v>41164</v>
      </c>
    </row>
    <row r="6006" spans="1:5" ht="14.25" hidden="1" customHeight="1">
      <c r="A6006" s="16">
        <v>30497720</v>
      </c>
      <c r="B6006" s="17" t="s">
        <v>2990</v>
      </c>
      <c r="C6006" s="17" t="s">
        <v>6443</v>
      </c>
      <c r="D6006" s="5" t="s">
        <v>7877</v>
      </c>
      <c r="E6006" s="35">
        <v>41164</v>
      </c>
    </row>
    <row r="6007" spans="1:5" ht="14.25" hidden="1" customHeight="1">
      <c r="A6007" s="16">
        <v>30598547</v>
      </c>
      <c r="B6007" s="25" t="s">
        <v>2400</v>
      </c>
      <c r="C6007" s="25" t="s">
        <v>579</v>
      </c>
      <c r="D6007" s="5" t="s">
        <v>7877</v>
      </c>
      <c r="E6007" s="35">
        <v>41164</v>
      </c>
    </row>
    <row r="6008" spans="1:5" ht="14.25" hidden="1" customHeight="1">
      <c r="A6008" s="16">
        <v>33541638</v>
      </c>
      <c r="B6008" s="17" t="s">
        <v>2310</v>
      </c>
      <c r="C6008" s="17" t="s">
        <v>7879</v>
      </c>
      <c r="D6008" s="5" t="s">
        <v>7877</v>
      </c>
      <c r="E6008" s="35">
        <v>41164</v>
      </c>
    </row>
    <row r="6009" spans="1:5" ht="14.25" hidden="1" customHeight="1">
      <c r="A6009" s="16">
        <v>36049739</v>
      </c>
      <c r="B6009" s="17" t="s">
        <v>3641</v>
      </c>
      <c r="C6009" s="17" t="s">
        <v>3642</v>
      </c>
      <c r="D6009" s="5" t="s">
        <v>7877</v>
      </c>
      <c r="E6009" s="35">
        <v>41164</v>
      </c>
    </row>
    <row r="6010" spans="1:5" ht="14.25" hidden="1" customHeight="1">
      <c r="A6010" s="20">
        <v>5398210</v>
      </c>
      <c r="B6010" s="21" t="s">
        <v>7904</v>
      </c>
      <c r="C6010" s="21" t="s">
        <v>7905</v>
      </c>
      <c r="D6010" s="5" t="s">
        <v>7837</v>
      </c>
      <c r="E6010" s="35">
        <v>41156</v>
      </c>
    </row>
    <row r="6011" spans="1:5" ht="14.25" hidden="1" customHeight="1">
      <c r="A6011" s="20">
        <v>5960100</v>
      </c>
      <c r="B6011" s="21" t="s">
        <v>7897</v>
      </c>
      <c r="C6011" s="21" t="s">
        <v>7898</v>
      </c>
      <c r="D6011" s="5" t="s">
        <v>7837</v>
      </c>
      <c r="E6011" s="35">
        <v>41156</v>
      </c>
    </row>
    <row r="6012" spans="1:5" ht="14.25" hidden="1" customHeight="1">
      <c r="A6012" s="20">
        <v>10220816</v>
      </c>
      <c r="B6012" s="21" t="s">
        <v>7913</v>
      </c>
      <c r="C6012" s="21" t="s">
        <v>7914</v>
      </c>
      <c r="D6012" s="5" t="s">
        <v>7837</v>
      </c>
      <c r="E6012" s="35">
        <v>41156</v>
      </c>
    </row>
    <row r="6013" spans="1:5" ht="14.25" hidden="1" customHeight="1">
      <c r="A6013" s="20">
        <v>10708050</v>
      </c>
      <c r="B6013" s="21" t="s">
        <v>7918</v>
      </c>
      <c r="C6013" s="21" t="s">
        <v>7919</v>
      </c>
      <c r="D6013" s="5" t="s">
        <v>7837</v>
      </c>
      <c r="E6013" s="35">
        <v>41156</v>
      </c>
    </row>
    <row r="6014" spans="1:5" ht="14.25" hidden="1" customHeight="1">
      <c r="A6014" s="20">
        <v>10708291</v>
      </c>
      <c r="B6014" s="21" t="s">
        <v>6949</v>
      </c>
      <c r="C6014" s="21" t="s">
        <v>7917</v>
      </c>
      <c r="D6014" s="5" t="s">
        <v>7837</v>
      </c>
      <c r="E6014" s="35">
        <v>41156</v>
      </c>
    </row>
    <row r="6015" spans="1:5" ht="14.25" hidden="1" customHeight="1">
      <c r="A6015" s="20">
        <v>11551761</v>
      </c>
      <c r="B6015" s="21" t="s">
        <v>7524</v>
      </c>
      <c r="C6015" s="21" t="s">
        <v>7885</v>
      </c>
      <c r="D6015" s="5" t="s">
        <v>7837</v>
      </c>
      <c r="E6015" s="35">
        <v>41156</v>
      </c>
    </row>
    <row r="6016" spans="1:5" ht="14.25" hidden="1" customHeight="1">
      <c r="A6016" s="20">
        <v>11762820</v>
      </c>
      <c r="B6016" s="21" t="s">
        <v>7920</v>
      </c>
      <c r="C6016" s="21" t="s">
        <v>7922</v>
      </c>
      <c r="D6016" s="5" t="s">
        <v>7837</v>
      </c>
      <c r="E6016" s="35">
        <v>41156</v>
      </c>
    </row>
    <row r="6017" spans="1:5" ht="14.25" hidden="1" customHeight="1">
      <c r="A6017" s="20">
        <v>12161590</v>
      </c>
      <c r="B6017" s="21" t="s">
        <v>7893</v>
      </c>
      <c r="C6017" s="21" t="s">
        <v>7894</v>
      </c>
      <c r="D6017" s="5" t="s">
        <v>7837</v>
      </c>
      <c r="E6017" s="35">
        <v>41156</v>
      </c>
    </row>
    <row r="6018" spans="1:5" ht="14.25" hidden="1" customHeight="1">
      <c r="A6018" s="20">
        <v>12733089</v>
      </c>
      <c r="B6018" s="21" t="s">
        <v>7895</v>
      </c>
      <c r="C6018" s="21" t="s">
        <v>7896</v>
      </c>
      <c r="D6018" s="5" t="s">
        <v>7837</v>
      </c>
      <c r="E6018" s="35">
        <v>41156</v>
      </c>
    </row>
    <row r="6019" spans="1:5" ht="14.25" hidden="1" customHeight="1">
      <c r="A6019" s="20">
        <v>13981504</v>
      </c>
      <c r="B6019" s="21" t="s">
        <v>7883</v>
      </c>
      <c r="C6019" s="21" t="s">
        <v>7884</v>
      </c>
      <c r="D6019" s="5" t="s">
        <v>7837</v>
      </c>
      <c r="E6019" s="35">
        <v>41156</v>
      </c>
    </row>
    <row r="6020" spans="1:5" ht="14.25" hidden="1" customHeight="1">
      <c r="A6020" s="20">
        <v>14410631</v>
      </c>
      <c r="B6020" s="21" t="s">
        <v>7902</v>
      </c>
      <c r="C6020" s="21" t="s">
        <v>7903</v>
      </c>
      <c r="D6020" s="5" t="s">
        <v>7837</v>
      </c>
      <c r="E6020" s="35">
        <v>41156</v>
      </c>
    </row>
    <row r="6021" spans="1:5" ht="14.25" hidden="1" customHeight="1">
      <c r="A6021" s="20">
        <v>16016486</v>
      </c>
      <c r="B6021" s="21" t="s">
        <v>6963</v>
      </c>
      <c r="C6021" s="21" t="s">
        <v>6964</v>
      </c>
      <c r="D6021" s="5" t="s">
        <v>7837</v>
      </c>
      <c r="E6021" s="35">
        <v>41156</v>
      </c>
    </row>
    <row r="6022" spans="1:5" ht="14.25" hidden="1" customHeight="1">
      <c r="A6022" s="20">
        <v>17268324</v>
      </c>
      <c r="B6022" s="25" t="s">
        <v>7927</v>
      </c>
      <c r="C6022" s="25" t="s">
        <v>7928</v>
      </c>
      <c r="D6022" s="5" t="s">
        <v>7837</v>
      </c>
      <c r="E6022" s="35">
        <v>41156</v>
      </c>
    </row>
    <row r="6023" spans="1:5" ht="14.25" hidden="1" customHeight="1">
      <c r="A6023" s="20">
        <v>17613733</v>
      </c>
      <c r="B6023" s="21" t="s">
        <v>7929</v>
      </c>
      <c r="C6023" s="21" t="s">
        <v>7930</v>
      </c>
      <c r="D6023" s="5" t="s">
        <v>7837</v>
      </c>
      <c r="E6023" s="35">
        <v>41156</v>
      </c>
    </row>
    <row r="6024" spans="1:5" ht="14.25" hidden="1" customHeight="1">
      <c r="A6024" s="20">
        <v>18463764</v>
      </c>
      <c r="B6024" s="21" t="s">
        <v>7583</v>
      </c>
      <c r="C6024" s="21" t="s">
        <v>7882</v>
      </c>
      <c r="D6024" s="5" t="s">
        <v>7837</v>
      </c>
      <c r="E6024" s="35">
        <v>41156</v>
      </c>
    </row>
    <row r="6025" spans="1:5" ht="14.25" hidden="1" customHeight="1">
      <c r="A6025" s="20">
        <v>20171458</v>
      </c>
      <c r="B6025" s="21" t="s">
        <v>7581</v>
      </c>
      <c r="C6025" s="21" t="s">
        <v>7923</v>
      </c>
      <c r="D6025" s="5" t="s">
        <v>7837</v>
      </c>
      <c r="E6025" s="35">
        <v>41156</v>
      </c>
    </row>
    <row r="6026" spans="1:5" ht="14.25" hidden="1" customHeight="1">
      <c r="A6026" s="20">
        <v>20178180</v>
      </c>
      <c r="B6026" s="21" t="s">
        <v>7466</v>
      </c>
      <c r="C6026" s="21" t="s">
        <v>7924</v>
      </c>
      <c r="D6026" s="5" t="s">
        <v>7837</v>
      </c>
      <c r="E6026" s="35">
        <v>41156</v>
      </c>
    </row>
    <row r="6027" spans="1:5" ht="14.25" hidden="1" customHeight="1">
      <c r="A6027" s="20">
        <v>20219209</v>
      </c>
      <c r="B6027" s="21" t="s">
        <v>7888</v>
      </c>
      <c r="C6027" s="21" t="s">
        <v>7889</v>
      </c>
      <c r="D6027" s="5" t="s">
        <v>7837</v>
      </c>
      <c r="E6027" s="35">
        <v>41156</v>
      </c>
    </row>
    <row r="6028" spans="1:5" ht="14.25" hidden="1" customHeight="1">
      <c r="A6028" s="20">
        <v>22181097</v>
      </c>
      <c r="B6028" s="21" t="s">
        <v>7915</v>
      </c>
      <c r="C6028" s="21" t="s">
        <v>7916</v>
      </c>
      <c r="D6028" s="5" t="s">
        <v>7837</v>
      </c>
      <c r="E6028" s="35">
        <v>41156</v>
      </c>
    </row>
    <row r="6029" spans="1:5" ht="14.25" hidden="1" customHeight="1">
      <c r="A6029" s="20">
        <v>22263712</v>
      </c>
      <c r="B6029" s="21" t="s">
        <v>7891</v>
      </c>
      <c r="C6029" s="21" t="s">
        <v>7892</v>
      </c>
      <c r="D6029" s="5" t="s">
        <v>7837</v>
      </c>
      <c r="E6029" s="35">
        <v>41156</v>
      </c>
    </row>
    <row r="6030" spans="1:5" ht="14.25" hidden="1" customHeight="1">
      <c r="A6030" s="20">
        <v>23827367</v>
      </c>
      <c r="B6030" s="21" t="s">
        <v>7906</v>
      </c>
      <c r="C6030" s="21" t="s">
        <v>7907</v>
      </c>
      <c r="D6030" s="5" t="s">
        <v>7837</v>
      </c>
      <c r="E6030" s="35">
        <v>41156</v>
      </c>
    </row>
    <row r="6031" spans="1:5" ht="14.25" hidden="1" customHeight="1">
      <c r="A6031" s="20">
        <v>24147391</v>
      </c>
      <c r="B6031" s="21" t="s">
        <v>7911</v>
      </c>
      <c r="C6031" s="21" t="s">
        <v>7912</v>
      </c>
      <c r="D6031" s="5" t="s">
        <v>7837</v>
      </c>
      <c r="E6031" s="35">
        <v>41156</v>
      </c>
    </row>
    <row r="6032" spans="1:5" ht="14.25" hidden="1" customHeight="1">
      <c r="A6032" s="20">
        <v>26455841</v>
      </c>
      <c r="B6032" s="21" t="s">
        <v>7886</v>
      </c>
      <c r="C6032" s="21" t="s">
        <v>7887</v>
      </c>
      <c r="D6032" s="5" t="s">
        <v>7837</v>
      </c>
      <c r="E6032" s="35">
        <v>41156</v>
      </c>
    </row>
    <row r="6033" spans="1:5" ht="14.25" hidden="1" customHeight="1">
      <c r="A6033" s="20">
        <v>26783381</v>
      </c>
      <c r="B6033" s="21" t="s">
        <v>7899</v>
      </c>
      <c r="C6033" s="21" t="s">
        <v>7900</v>
      </c>
      <c r="D6033" s="5" t="s">
        <v>7837</v>
      </c>
      <c r="E6033" s="35">
        <v>41156</v>
      </c>
    </row>
    <row r="6034" spans="1:5" ht="14.25" hidden="1" customHeight="1">
      <c r="A6034" s="20">
        <v>27210885</v>
      </c>
      <c r="B6034" s="21" t="s">
        <v>7920</v>
      </c>
      <c r="C6034" s="21" t="s">
        <v>7921</v>
      </c>
      <c r="D6034" s="5" t="s">
        <v>7837</v>
      </c>
      <c r="E6034" s="35">
        <v>41156</v>
      </c>
    </row>
    <row r="6035" spans="1:5" ht="14.25" hidden="1" customHeight="1">
      <c r="A6035" s="20">
        <v>27364281</v>
      </c>
      <c r="B6035" s="21" t="s">
        <v>6928</v>
      </c>
      <c r="C6035" s="21" t="s">
        <v>7548</v>
      </c>
      <c r="D6035" s="5" t="s">
        <v>7837</v>
      </c>
      <c r="E6035" s="35">
        <v>41156</v>
      </c>
    </row>
    <row r="6036" spans="1:5" ht="14.25" hidden="1" customHeight="1">
      <c r="A6036" s="20">
        <v>27650853</v>
      </c>
      <c r="B6036" s="21" t="s">
        <v>7908</v>
      </c>
      <c r="C6036" s="21" t="s">
        <v>7909</v>
      </c>
      <c r="D6036" s="5" t="s">
        <v>7837</v>
      </c>
      <c r="E6036" s="35">
        <v>41156</v>
      </c>
    </row>
    <row r="6037" spans="1:5" ht="14.25" hidden="1" customHeight="1">
      <c r="A6037" s="20">
        <v>27886273</v>
      </c>
      <c r="B6037" s="21" t="s">
        <v>7492</v>
      </c>
      <c r="C6037" s="21" t="s">
        <v>7901</v>
      </c>
      <c r="D6037" s="5" t="s">
        <v>7837</v>
      </c>
      <c r="E6037" s="35">
        <v>41156</v>
      </c>
    </row>
    <row r="6038" spans="1:5" ht="14.25" hidden="1" customHeight="1">
      <c r="A6038" s="20">
        <v>29085118</v>
      </c>
      <c r="B6038" s="21" t="s">
        <v>7888</v>
      </c>
      <c r="C6038" s="21" t="s">
        <v>7890</v>
      </c>
      <c r="D6038" s="5" t="s">
        <v>7837</v>
      </c>
      <c r="E6038" s="35">
        <v>41156</v>
      </c>
    </row>
    <row r="6039" spans="1:5" ht="14.25" hidden="1" customHeight="1">
      <c r="A6039" s="20">
        <v>29838285</v>
      </c>
      <c r="B6039" s="25" t="s">
        <v>7925</v>
      </c>
      <c r="C6039" s="25" t="s">
        <v>7926</v>
      </c>
      <c r="D6039" s="5" t="s">
        <v>7837</v>
      </c>
      <c r="E6039" s="35">
        <v>41156</v>
      </c>
    </row>
    <row r="6040" spans="1:5" ht="14.25" hidden="1" customHeight="1">
      <c r="A6040" s="20">
        <v>30835435</v>
      </c>
      <c r="B6040" s="21" t="s">
        <v>7910</v>
      </c>
      <c r="C6040" s="21" t="s">
        <v>7506</v>
      </c>
      <c r="D6040" s="5" t="s">
        <v>7837</v>
      </c>
      <c r="E6040" s="35">
        <v>41156</v>
      </c>
    </row>
    <row r="6041" spans="1:5" ht="14.25" hidden="1" customHeight="1">
      <c r="A6041" s="20">
        <v>31030081</v>
      </c>
      <c r="B6041" s="21" t="s">
        <v>7880</v>
      </c>
      <c r="C6041" s="21" t="s">
        <v>7881</v>
      </c>
      <c r="D6041" s="5" t="s">
        <v>7837</v>
      </c>
      <c r="E6041" s="35">
        <v>41156</v>
      </c>
    </row>
    <row r="6042" spans="1:5" ht="14.25" hidden="1" customHeight="1">
      <c r="A6042" s="16">
        <v>14073844</v>
      </c>
      <c r="B6042" s="17" t="s">
        <v>428</v>
      </c>
      <c r="C6042" s="17" t="s">
        <v>1200</v>
      </c>
      <c r="D6042" s="5" t="s">
        <v>7468</v>
      </c>
      <c r="E6042" s="35">
        <v>41136</v>
      </c>
    </row>
    <row r="6043" spans="1:5" ht="14.25" hidden="1" customHeight="1">
      <c r="A6043" s="16">
        <v>14984007</v>
      </c>
      <c r="B6043" s="17" t="s">
        <v>3742</v>
      </c>
      <c r="C6043" s="17" t="s">
        <v>3743</v>
      </c>
      <c r="D6043" s="5" t="s">
        <v>7468</v>
      </c>
      <c r="E6043" s="35">
        <v>41136</v>
      </c>
    </row>
    <row r="6044" spans="1:5" ht="14.25" hidden="1" customHeight="1">
      <c r="A6044" s="16">
        <v>17269004</v>
      </c>
      <c r="B6044" s="17" t="s">
        <v>26</v>
      </c>
      <c r="C6044" s="17" t="s">
        <v>30</v>
      </c>
      <c r="D6044" s="5" t="s">
        <v>7468</v>
      </c>
      <c r="E6044" s="35">
        <v>41136</v>
      </c>
    </row>
    <row r="6045" spans="1:5" ht="14.25" hidden="1" customHeight="1">
      <c r="A6045" s="16">
        <v>17859409</v>
      </c>
      <c r="B6045" s="17" t="s">
        <v>1213</v>
      </c>
      <c r="C6045" s="17" t="s">
        <v>1214</v>
      </c>
      <c r="D6045" s="5" t="s">
        <v>7468</v>
      </c>
      <c r="E6045" s="35">
        <v>41136</v>
      </c>
    </row>
    <row r="6046" spans="1:5" ht="14.25" hidden="1" customHeight="1">
      <c r="A6046" s="16">
        <v>17859768</v>
      </c>
      <c r="B6046" s="17" t="s">
        <v>1808</v>
      </c>
      <c r="C6046" s="17" t="s">
        <v>1809</v>
      </c>
      <c r="D6046" s="5" t="s">
        <v>7468</v>
      </c>
      <c r="E6046" s="35">
        <v>41136</v>
      </c>
    </row>
    <row r="6047" spans="1:5" ht="14.25" hidden="1" customHeight="1">
      <c r="A6047" s="16">
        <v>17859844</v>
      </c>
      <c r="B6047" s="17" t="s">
        <v>1234</v>
      </c>
      <c r="C6047" s="17" t="s">
        <v>400</v>
      </c>
      <c r="D6047" s="5" t="s">
        <v>7468</v>
      </c>
      <c r="E6047" s="35">
        <v>41136</v>
      </c>
    </row>
    <row r="6048" spans="1:5" ht="14.25" hidden="1" customHeight="1">
      <c r="A6048" s="16">
        <v>25213575</v>
      </c>
      <c r="B6048" s="17" t="s">
        <v>64</v>
      </c>
      <c r="C6048" s="17" t="s">
        <v>1103</v>
      </c>
      <c r="D6048" s="5" t="s">
        <v>7468</v>
      </c>
      <c r="E6048" s="35">
        <v>41136</v>
      </c>
    </row>
    <row r="6049" spans="1:5" ht="14.25" hidden="1" customHeight="1">
      <c r="A6049" s="16">
        <v>25213575</v>
      </c>
      <c r="B6049" s="17" t="s">
        <v>64</v>
      </c>
      <c r="C6049" s="17" t="s">
        <v>1103</v>
      </c>
      <c r="D6049" s="5" t="s">
        <v>7468</v>
      </c>
      <c r="E6049" s="35">
        <v>41136</v>
      </c>
    </row>
    <row r="6050" spans="1:5" ht="14.25" hidden="1" customHeight="1">
      <c r="A6050" s="16">
        <v>25800534</v>
      </c>
      <c r="B6050" s="17" t="s">
        <v>4868</v>
      </c>
      <c r="C6050" s="17" t="s">
        <v>4869</v>
      </c>
      <c r="D6050" s="5" t="s">
        <v>7468</v>
      </c>
      <c r="E6050" s="35">
        <v>41136</v>
      </c>
    </row>
    <row r="6051" spans="1:5" ht="14.25" hidden="1" customHeight="1">
      <c r="A6051" s="16">
        <v>26445563</v>
      </c>
      <c r="B6051" s="17" t="s">
        <v>6091</v>
      </c>
      <c r="C6051" s="17" t="s">
        <v>215</v>
      </c>
      <c r="D6051" s="5" t="s">
        <v>7468</v>
      </c>
      <c r="E6051" s="35">
        <v>41136</v>
      </c>
    </row>
    <row r="6052" spans="1:5" ht="14.25" hidden="1" customHeight="1">
      <c r="A6052" s="16">
        <v>29242462</v>
      </c>
      <c r="B6052" s="17" t="s">
        <v>846</v>
      </c>
      <c r="C6052" s="17" t="s">
        <v>2712</v>
      </c>
      <c r="D6052" s="5" t="s">
        <v>7468</v>
      </c>
      <c r="E6052" s="35">
        <v>41136</v>
      </c>
    </row>
    <row r="6053" spans="1:5" ht="14.25" hidden="1" customHeight="1">
      <c r="A6053" s="16">
        <v>32775577</v>
      </c>
      <c r="B6053" s="17" t="s">
        <v>1081</v>
      </c>
      <c r="C6053" s="17" t="s">
        <v>2123</v>
      </c>
      <c r="D6053" s="5" t="s">
        <v>7468</v>
      </c>
      <c r="E6053" s="35">
        <v>41136</v>
      </c>
    </row>
    <row r="6054" spans="1:5" ht="14.25" hidden="1" customHeight="1">
      <c r="A6054" s="16">
        <v>32775577</v>
      </c>
      <c r="B6054" s="17" t="s">
        <v>1081</v>
      </c>
      <c r="C6054" s="17" t="s">
        <v>1082</v>
      </c>
      <c r="D6054" s="5" t="s">
        <v>7468</v>
      </c>
      <c r="E6054" s="35">
        <v>41136</v>
      </c>
    </row>
    <row r="6055" spans="1:5" ht="14.25" hidden="1" customHeight="1">
      <c r="A6055" s="16">
        <v>5468956</v>
      </c>
      <c r="B6055" s="17" t="s">
        <v>144</v>
      </c>
      <c r="C6055" s="17" t="s">
        <v>3433</v>
      </c>
      <c r="D6055" s="5" t="s">
        <v>7288</v>
      </c>
      <c r="E6055" s="35">
        <v>41136</v>
      </c>
    </row>
    <row r="6056" spans="1:5" ht="14.25" hidden="1" customHeight="1">
      <c r="A6056" s="16">
        <v>6352626</v>
      </c>
      <c r="B6056" s="17" t="s">
        <v>3603</v>
      </c>
      <c r="C6056" s="17" t="s">
        <v>468</v>
      </c>
      <c r="D6056" s="5" t="s">
        <v>7288</v>
      </c>
      <c r="E6056" s="35">
        <v>41136</v>
      </c>
    </row>
    <row r="6057" spans="1:5" ht="14.25" hidden="1" customHeight="1">
      <c r="A6057" s="16">
        <v>10910039</v>
      </c>
      <c r="B6057" s="17" t="s">
        <v>2460</v>
      </c>
      <c r="C6057" s="17" t="s">
        <v>4509</v>
      </c>
      <c r="D6057" s="5" t="s">
        <v>7288</v>
      </c>
      <c r="E6057" s="35">
        <v>41136</v>
      </c>
    </row>
    <row r="6058" spans="1:5" ht="14.25" hidden="1" customHeight="1">
      <c r="A6058" s="16">
        <v>18465826</v>
      </c>
      <c r="B6058" s="17" t="s">
        <v>1482</v>
      </c>
      <c r="C6058" s="17" t="s">
        <v>876</v>
      </c>
      <c r="D6058" s="5" t="s">
        <v>7288</v>
      </c>
      <c r="E6058" s="35">
        <v>41136</v>
      </c>
    </row>
    <row r="6059" spans="1:5" ht="14.25" hidden="1" customHeight="1">
      <c r="A6059" s="16">
        <v>21327352</v>
      </c>
      <c r="B6059" s="17" t="s">
        <v>7774</v>
      </c>
      <c r="C6059" s="17" t="s">
        <v>3466</v>
      </c>
      <c r="D6059" s="5" t="s">
        <v>7288</v>
      </c>
      <c r="E6059" s="35">
        <v>41136</v>
      </c>
    </row>
    <row r="6060" spans="1:5" ht="14.25" hidden="1" customHeight="1">
      <c r="A6060" s="16">
        <v>23931160</v>
      </c>
      <c r="B6060" s="17" t="s">
        <v>4673</v>
      </c>
      <c r="C6060" s="17" t="s">
        <v>3888</v>
      </c>
      <c r="D6060" s="5" t="s">
        <v>7288</v>
      </c>
      <c r="E6060" s="35">
        <v>41136</v>
      </c>
    </row>
    <row r="6061" spans="1:5" ht="14.25" hidden="1" customHeight="1">
      <c r="A6061" s="16">
        <v>30357304</v>
      </c>
      <c r="B6061" s="17" t="s">
        <v>350</v>
      </c>
      <c r="C6061" s="17" t="s">
        <v>588</v>
      </c>
      <c r="D6061" s="5" t="s">
        <v>7288</v>
      </c>
      <c r="E6061" s="35">
        <v>41136</v>
      </c>
    </row>
    <row r="6062" spans="1:5" ht="14.25" hidden="1" customHeight="1">
      <c r="A6062" s="16">
        <v>33236192</v>
      </c>
      <c r="B6062" s="17" t="s">
        <v>326</v>
      </c>
      <c r="C6062" s="17" t="s">
        <v>2830</v>
      </c>
      <c r="D6062" s="5" t="s">
        <v>7288</v>
      </c>
      <c r="E6062" s="35">
        <v>41136</v>
      </c>
    </row>
    <row r="6063" spans="1:5" ht="14.25" hidden="1" customHeight="1">
      <c r="A6063" s="16">
        <v>20219090</v>
      </c>
      <c r="B6063" s="17" t="s">
        <v>4429</v>
      </c>
      <c r="C6063" s="17" t="s">
        <v>215</v>
      </c>
      <c r="D6063" s="1" t="s">
        <v>7020</v>
      </c>
      <c r="E6063" s="35">
        <v>41136</v>
      </c>
    </row>
    <row r="6064" spans="1:5" ht="14.25" hidden="1" customHeight="1">
      <c r="A6064" s="16">
        <v>20285526</v>
      </c>
      <c r="B6064" s="17" t="s">
        <v>2116</v>
      </c>
      <c r="C6064" s="17" t="s">
        <v>1187</v>
      </c>
      <c r="D6064" s="1" t="s">
        <v>7020</v>
      </c>
      <c r="E6064" s="35">
        <v>41136</v>
      </c>
    </row>
    <row r="6065" spans="1:5" ht="14.25" hidden="1" customHeight="1">
      <c r="A6065" s="16">
        <v>25510655</v>
      </c>
      <c r="B6065" s="17" t="s">
        <v>5589</v>
      </c>
      <c r="C6065" s="17" t="s">
        <v>1103</v>
      </c>
      <c r="D6065" s="1" t="s">
        <v>7020</v>
      </c>
      <c r="E6065" s="35">
        <v>41136</v>
      </c>
    </row>
    <row r="6066" spans="1:5" ht="14.25" hidden="1" customHeight="1">
      <c r="A6066" s="16">
        <v>25542562</v>
      </c>
      <c r="B6066" s="17" t="s">
        <v>3237</v>
      </c>
      <c r="C6066" s="17" t="s">
        <v>7133</v>
      </c>
      <c r="D6066" s="1" t="s">
        <v>7020</v>
      </c>
      <c r="E6066" s="35">
        <v>41136</v>
      </c>
    </row>
    <row r="6067" spans="1:5" ht="14.25" hidden="1" customHeight="1">
      <c r="A6067" s="16">
        <v>27731179</v>
      </c>
      <c r="B6067" s="17" t="s">
        <v>4991</v>
      </c>
      <c r="C6067" s="17" t="s">
        <v>5546</v>
      </c>
      <c r="D6067" s="1" t="s">
        <v>7020</v>
      </c>
      <c r="E6067" s="35">
        <v>41136</v>
      </c>
    </row>
    <row r="6068" spans="1:5" ht="14.25" hidden="1" customHeight="1">
      <c r="A6068" s="16">
        <v>28223546</v>
      </c>
      <c r="B6068" s="17" t="s">
        <v>5064</v>
      </c>
      <c r="C6068" s="17" t="s">
        <v>2587</v>
      </c>
      <c r="D6068" s="1" t="s">
        <v>7020</v>
      </c>
      <c r="E6068" s="35">
        <v>41136</v>
      </c>
    </row>
    <row r="6069" spans="1:5" ht="14.25" hidden="1" customHeight="1">
      <c r="A6069" s="16">
        <v>30497427</v>
      </c>
      <c r="B6069" s="17" t="s">
        <v>662</v>
      </c>
      <c r="C6069" s="17" t="s">
        <v>1074</v>
      </c>
      <c r="D6069" s="1" t="s">
        <v>7020</v>
      </c>
      <c r="E6069" s="35">
        <v>41136</v>
      </c>
    </row>
    <row r="6070" spans="1:5" ht="14.25" hidden="1" customHeight="1">
      <c r="A6070" s="16">
        <v>30539099</v>
      </c>
      <c r="B6070" s="17" t="s">
        <v>905</v>
      </c>
      <c r="C6070" s="17" t="s">
        <v>906</v>
      </c>
      <c r="D6070" s="1" t="s">
        <v>7020</v>
      </c>
      <c r="E6070" s="35">
        <v>41136</v>
      </c>
    </row>
    <row r="6071" spans="1:5" ht="14.25" hidden="1" customHeight="1">
      <c r="A6071" s="16">
        <v>31173872</v>
      </c>
      <c r="B6071" s="17" t="s">
        <v>207</v>
      </c>
      <c r="C6071" s="17" t="s">
        <v>1064</v>
      </c>
      <c r="D6071" s="1" t="s">
        <v>7020</v>
      </c>
      <c r="E6071" s="35">
        <v>41136</v>
      </c>
    </row>
    <row r="6072" spans="1:5" ht="14.25" hidden="1" customHeight="1">
      <c r="A6072" s="16">
        <v>32201380</v>
      </c>
      <c r="B6072" s="17" t="s">
        <v>3860</v>
      </c>
      <c r="C6072" s="17" t="s">
        <v>3861</v>
      </c>
      <c r="D6072" s="1" t="s">
        <v>7020</v>
      </c>
      <c r="E6072" s="35">
        <v>41136</v>
      </c>
    </row>
    <row r="6073" spans="1:5" ht="14.25" hidden="1" customHeight="1">
      <c r="A6073" s="16">
        <v>32629805</v>
      </c>
      <c r="B6073" s="17" t="s">
        <v>592</v>
      </c>
      <c r="C6073" s="17" t="s">
        <v>924</v>
      </c>
      <c r="D6073" s="1" t="s">
        <v>7020</v>
      </c>
      <c r="E6073" s="35">
        <v>41136</v>
      </c>
    </row>
    <row r="6074" spans="1:5" ht="14.25" hidden="1" customHeight="1">
      <c r="A6074" s="16">
        <v>33091683</v>
      </c>
      <c r="B6074" s="17" t="s">
        <v>4991</v>
      </c>
      <c r="C6074" s="17" t="s">
        <v>4992</v>
      </c>
      <c r="D6074" s="1" t="s">
        <v>7020</v>
      </c>
      <c r="E6074" s="35">
        <v>41136</v>
      </c>
    </row>
    <row r="6075" spans="1:5" ht="14.25" hidden="1" customHeight="1">
      <c r="A6075" s="16">
        <v>33541638</v>
      </c>
      <c r="B6075" s="17" t="s">
        <v>2310</v>
      </c>
      <c r="C6075" s="17" t="s">
        <v>30</v>
      </c>
      <c r="D6075" s="1" t="s">
        <v>7020</v>
      </c>
      <c r="E6075" s="35">
        <v>41136</v>
      </c>
    </row>
    <row r="6076" spans="1:5" ht="14.25" hidden="1" customHeight="1">
      <c r="A6076" s="16">
        <v>5468956</v>
      </c>
      <c r="B6076" s="17" t="s">
        <v>144</v>
      </c>
      <c r="C6076" s="17" t="s">
        <v>3433</v>
      </c>
      <c r="D6076" s="5" t="s">
        <v>7018</v>
      </c>
      <c r="E6076" s="35">
        <v>41135</v>
      </c>
    </row>
    <row r="6077" spans="1:5" ht="14.25" hidden="1" customHeight="1">
      <c r="A6077" s="16">
        <v>12597724</v>
      </c>
      <c r="B6077" s="17" t="s">
        <v>760</v>
      </c>
      <c r="C6077" s="17" t="s">
        <v>1707</v>
      </c>
      <c r="D6077" s="5" t="s">
        <v>7018</v>
      </c>
      <c r="E6077" s="35">
        <v>41135</v>
      </c>
    </row>
    <row r="6078" spans="1:5" ht="14.25" hidden="1" customHeight="1">
      <c r="A6078" s="16">
        <v>17614040</v>
      </c>
      <c r="B6078" s="17" t="s">
        <v>5696</v>
      </c>
      <c r="C6078" s="17" t="s">
        <v>5697</v>
      </c>
      <c r="D6078" s="5" t="s">
        <v>7018</v>
      </c>
      <c r="E6078" s="35">
        <v>41135</v>
      </c>
    </row>
    <row r="6079" spans="1:5" ht="14.25" hidden="1" customHeight="1">
      <c r="A6079" s="16">
        <v>17860924</v>
      </c>
      <c r="B6079" s="17" t="s">
        <v>252</v>
      </c>
      <c r="C6079" s="17" t="s">
        <v>7932</v>
      </c>
      <c r="D6079" s="5" t="s">
        <v>7018</v>
      </c>
      <c r="E6079" s="35">
        <v>41135</v>
      </c>
    </row>
    <row r="6080" spans="1:5" ht="14.25" hidden="1" customHeight="1">
      <c r="A6080" s="16">
        <v>20219090</v>
      </c>
      <c r="B6080" s="17" t="s">
        <v>4429</v>
      </c>
      <c r="C6080" s="17" t="s">
        <v>215</v>
      </c>
      <c r="D6080" s="5" t="s">
        <v>7018</v>
      </c>
      <c r="E6080" s="35">
        <v>41135</v>
      </c>
    </row>
    <row r="6081" spans="1:5" ht="14.25" hidden="1" customHeight="1">
      <c r="A6081" s="16">
        <v>25734543</v>
      </c>
      <c r="B6081" s="17" t="s">
        <v>5420</v>
      </c>
      <c r="C6081" s="17" t="s">
        <v>7776</v>
      </c>
      <c r="D6081" s="5" t="s">
        <v>7018</v>
      </c>
      <c r="E6081" s="35">
        <v>41135</v>
      </c>
    </row>
    <row r="6082" spans="1:5" ht="14.25" hidden="1" customHeight="1">
      <c r="A6082" s="16">
        <v>25843050</v>
      </c>
      <c r="B6082" s="17" t="s">
        <v>4033</v>
      </c>
      <c r="C6082" s="17" t="s">
        <v>4034</v>
      </c>
      <c r="D6082" s="5" t="s">
        <v>7018</v>
      </c>
      <c r="E6082" s="35">
        <v>41135</v>
      </c>
    </row>
    <row r="6083" spans="1:5" ht="14.25" hidden="1" customHeight="1">
      <c r="A6083" s="16">
        <v>26028279</v>
      </c>
      <c r="B6083" s="17" t="s">
        <v>5793</v>
      </c>
      <c r="C6083" s="17" t="s">
        <v>6335</v>
      </c>
      <c r="D6083" s="5" t="s">
        <v>7018</v>
      </c>
      <c r="E6083" s="35">
        <v>41135</v>
      </c>
    </row>
    <row r="6084" spans="1:5" ht="14.25" hidden="1" customHeight="1">
      <c r="A6084" s="16">
        <v>27651507</v>
      </c>
      <c r="B6084" s="17" t="s">
        <v>2795</v>
      </c>
      <c r="C6084" s="17" t="s">
        <v>4637</v>
      </c>
      <c r="D6084" s="5" t="s">
        <v>7018</v>
      </c>
      <c r="E6084" s="35">
        <v>41135</v>
      </c>
    </row>
    <row r="6085" spans="1:5" ht="14.25" hidden="1" customHeight="1">
      <c r="A6085" s="16">
        <v>28027003</v>
      </c>
      <c r="B6085" s="25" t="s">
        <v>497</v>
      </c>
      <c r="C6085" s="17" t="s">
        <v>1289</v>
      </c>
      <c r="D6085" s="5" t="s">
        <v>7018</v>
      </c>
      <c r="E6085" s="35">
        <v>41135</v>
      </c>
    </row>
    <row r="6086" spans="1:5" ht="14.25" hidden="1" customHeight="1">
      <c r="A6086" s="16">
        <v>28221525</v>
      </c>
      <c r="B6086" s="17" t="s">
        <v>1248</v>
      </c>
      <c r="C6086" s="17" t="s">
        <v>1249</v>
      </c>
      <c r="D6086" s="5" t="s">
        <v>7018</v>
      </c>
      <c r="E6086" s="35">
        <v>41135</v>
      </c>
    </row>
    <row r="6087" spans="1:5" ht="14.25" hidden="1" customHeight="1">
      <c r="A6087" s="16">
        <v>29532614</v>
      </c>
      <c r="B6087" s="17" t="s">
        <v>4621</v>
      </c>
      <c r="C6087" s="17" t="s">
        <v>1146</v>
      </c>
      <c r="D6087" s="5" t="s">
        <v>7018</v>
      </c>
      <c r="E6087" s="35">
        <v>41135</v>
      </c>
    </row>
    <row r="6088" spans="1:5" ht="14.25" hidden="1" customHeight="1">
      <c r="A6088" s="16">
        <v>29532614</v>
      </c>
      <c r="B6088" s="17" t="s">
        <v>4621</v>
      </c>
      <c r="C6088" s="17" t="s">
        <v>1146</v>
      </c>
      <c r="D6088" s="5" t="s">
        <v>7018</v>
      </c>
      <c r="E6088" s="35">
        <v>41135</v>
      </c>
    </row>
    <row r="6089" spans="1:5" ht="14.25" hidden="1" customHeight="1">
      <c r="A6089" s="16">
        <v>31644846</v>
      </c>
      <c r="B6089" s="17" t="s">
        <v>983</v>
      </c>
      <c r="C6089" s="17" t="s">
        <v>3888</v>
      </c>
      <c r="D6089" s="5" t="s">
        <v>7018</v>
      </c>
      <c r="E6089" s="35">
        <v>41135</v>
      </c>
    </row>
    <row r="6090" spans="1:5" ht="14.25" hidden="1" customHeight="1">
      <c r="A6090" s="16">
        <v>31816834</v>
      </c>
      <c r="B6090" s="17" t="s">
        <v>288</v>
      </c>
      <c r="C6090" s="17" t="s">
        <v>1141</v>
      </c>
      <c r="D6090" s="5" t="s">
        <v>7018</v>
      </c>
      <c r="E6090" s="35">
        <v>41135</v>
      </c>
    </row>
    <row r="6091" spans="1:5" ht="14.25" hidden="1" customHeight="1">
      <c r="A6091" s="16">
        <v>32629805</v>
      </c>
      <c r="B6091" s="17" t="s">
        <v>592</v>
      </c>
      <c r="C6091" s="17" t="s">
        <v>924</v>
      </c>
      <c r="D6091" s="5" t="s">
        <v>7018</v>
      </c>
      <c r="E6091" s="35">
        <v>41135</v>
      </c>
    </row>
    <row r="6092" spans="1:5" ht="14.25" hidden="1" customHeight="1">
      <c r="A6092" s="16">
        <v>32775577</v>
      </c>
      <c r="B6092" s="17" t="s">
        <v>1081</v>
      </c>
      <c r="C6092" s="17" t="s">
        <v>1082</v>
      </c>
      <c r="D6092" s="5" t="s">
        <v>7018</v>
      </c>
      <c r="E6092" s="35">
        <v>41135</v>
      </c>
    </row>
    <row r="6093" spans="1:5" ht="14.25" hidden="1" customHeight="1">
      <c r="A6093" s="16">
        <v>33091683</v>
      </c>
      <c r="B6093" s="17" t="s">
        <v>7931</v>
      </c>
      <c r="C6093" s="17" t="s">
        <v>4992</v>
      </c>
      <c r="D6093" s="5" t="s">
        <v>7018</v>
      </c>
      <c r="E6093" s="35">
        <v>41135</v>
      </c>
    </row>
    <row r="6094" spans="1:5" ht="14.25" hidden="1" customHeight="1">
      <c r="A6094" s="16">
        <v>33236192</v>
      </c>
      <c r="B6094" s="17" t="s">
        <v>326</v>
      </c>
      <c r="C6094" s="17" t="s">
        <v>2830</v>
      </c>
      <c r="D6094" s="5" t="s">
        <v>7018</v>
      </c>
      <c r="E6094" s="35">
        <v>41135</v>
      </c>
    </row>
    <row r="6095" spans="1:5" ht="14.25" hidden="1" customHeight="1">
      <c r="A6095" s="16">
        <v>16541411</v>
      </c>
      <c r="B6095" s="17" t="s">
        <v>4746</v>
      </c>
      <c r="C6095" s="17" t="s">
        <v>4747</v>
      </c>
      <c r="D6095" s="5" t="s">
        <v>7309</v>
      </c>
      <c r="E6095" s="35">
        <v>41134</v>
      </c>
    </row>
    <row r="6096" spans="1:5" ht="14.25" hidden="1" customHeight="1">
      <c r="A6096" s="16">
        <v>16932642</v>
      </c>
      <c r="B6096" s="17" t="s">
        <v>4344</v>
      </c>
      <c r="C6096" s="17" t="s">
        <v>473</v>
      </c>
      <c r="D6096" s="5" t="s">
        <v>7309</v>
      </c>
      <c r="E6096" s="35">
        <v>41134</v>
      </c>
    </row>
    <row r="6097" spans="1:5" ht="14.25" hidden="1" customHeight="1">
      <c r="A6097" s="16">
        <v>17613465</v>
      </c>
      <c r="B6097" s="17" t="s">
        <v>2840</v>
      </c>
      <c r="C6097" s="17" t="s">
        <v>687</v>
      </c>
      <c r="D6097" s="5" t="s">
        <v>7309</v>
      </c>
      <c r="E6097" s="35">
        <v>41134</v>
      </c>
    </row>
    <row r="6098" spans="1:5" ht="14.25" hidden="1" customHeight="1">
      <c r="A6098" s="16">
        <v>18255789</v>
      </c>
      <c r="B6098" s="17" t="s">
        <v>6378</v>
      </c>
      <c r="C6098" s="17" t="s">
        <v>2196</v>
      </c>
      <c r="D6098" s="5" t="s">
        <v>7309</v>
      </c>
      <c r="E6098" s="35">
        <v>41134</v>
      </c>
    </row>
    <row r="6099" spans="1:5" ht="14.25" hidden="1" customHeight="1">
      <c r="A6099" s="156">
        <v>20285264</v>
      </c>
      <c r="B6099" s="172" t="s">
        <v>6433</v>
      </c>
      <c r="C6099" s="172" t="s">
        <v>2102</v>
      </c>
      <c r="D6099" s="194" t="s">
        <v>7309</v>
      </c>
      <c r="E6099" s="200">
        <v>41134</v>
      </c>
    </row>
    <row r="6100" spans="1:5" ht="14.25" hidden="1" customHeight="1">
      <c r="A6100" s="156">
        <v>21609438</v>
      </c>
      <c r="B6100" s="172" t="s">
        <v>377</v>
      </c>
      <c r="C6100" s="172" t="s">
        <v>3032</v>
      </c>
      <c r="D6100" s="194" t="s">
        <v>7309</v>
      </c>
      <c r="E6100" s="200">
        <v>41134</v>
      </c>
    </row>
    <row r="6101" spans="1:5" ht="14.25" hidden="1" customHeight="1">
      <c r="A6101" s="156">
        <v>22612949</v>
      </c>
      <c r="B6101" s="172" t="s">
        <v>226</v>
      </c>
      <c r="C6101" s="172" t="s">
        <v>1974</v>
      </c>
      <c r="D6101" s="194" t="s">
        <v>7309</v>
      </c>
      <c r="E6101" s="200">
        <v>41134</v>
      </c>
    </row>
    <row r="6102" spans="1:5" ht="14.25" hidden="1" customHeight="1">
      <c r="A6102" s="156">
        <v>23020149</v>
      </c>
      <c r="B6102" s="172" t="s">
        <v>2622</v>
      </c>
      <c r="C6102" s="172" t="s">
        <v>4999</v>
      </c>
      <c r="D6102" s="194" t="s">
        <v>7309</v>
      </c>
      <c r="E6102" s="200">
        <v>41134</v>
      </c>
    </row>
    <row r="6103" spans="1:5" ht="14.25" hidden="1" customHeight="1">
      <c r="A6103" s="156">
        <v>23827367</v>
      </c>
      <c r="B6103" s="172" t="s">
        <v>3749</v>
      </c>
      <c r="C6103" s="172" t="s">
        <v>3755</v>
      </c>
      <c r="D6103" s="194" t="s">
        <v>7309</v>
      </c>
      <c r="E6103" s="200">
        <v>41134</v>
      </c>
    </row>
    <row r="6104" spans="1:5" ht="14.25" hidden="1" customHeight="1">
      <c r="A6104" s="156">
        <v>24553770</v>
      </c>
      <c r="B6104" s="172" t="s">
        <v>2923</v>
      </c>
      <c r="C6104" s="172" t="s">
        <v>2924</v>
      </c>
      <c r="D6104" s="194" t="s">
        <v>7309</v>
      </c>
      <c r="E6104" s="200">
        <v>41134</v>
      </c>
    </row>
    <row r="6105" spans="1:5" ht="14.25" hidden="1" customHeight="1">
      <c r="A6105" s="156">
        <v>25800534</v>
      </c>
      <c r="B6105" s="172" t="s">
        <v>4868</v>
      </c>
      <c r="C6105" s="172" t="s">
        <v>4869</v>
      </c>
      <c r="D6105" s="194" t="s">
        <v>7309</v>
      </c>
      <c r="E6105" s="200">
        <v>41134</v>
      </c>
    </row>
    <row r="6106" spans="1:5" ht="14.25" hidden="1" customHeight="1">
      <c r="A6106" s="156">
        <v>25853037</v>
      </c>
      <c r="B6106" s="172" t="s">
        <v>2087</v>
      </c>
      <c r="C6106" s="172" t="s">
        <v>5367</v>
      </c>
      <c r="D6106" s="194" t="s">
        <v>7309</v>
      </c>
      <c r="E6106" s="200">
        <v>41134</v>
      </c>
    </row>
    <row r="6107" spans="1:5" ht="14.25" hidden="1" customHeight="1">
      <c r="A6107" s="156">
        <v>26028279</v>
      </c>
      <c r="B6107" s="172" t="s">
        <v>5793</v>
      </c>
      <c r="C6107" s="172" t="s">
        <v>6335</v>
      </c>
      <c r="D6107" s="194" t="s">
        <v>7309</v>
      </c>
      <c r="E6107" s="200">
        <v>41134</v>
      </c>
    </row>
    <row r="6108" spans="1:5" ht="14.25" hidden="1" customHeight="1">
      <c r="A6108" s="156">
        <v>26455841</v>
      </c>
      <c r="B6108" s="172" t="s">
        <v>608</v>
      </c>
      <c r="C6108" s="172" t="s">
        <v>7933</v>
      </c>
      <c r="D6108" s="194" t="s">
        <v>7309</v>
      </c>
      <c r="E6108" s="200">
        <v>41134</v>
      </c>
    </row>
    <row r="6109" spans="1:5" ht="14.25" hidden="1" customHeight="1">
      <c r="A6109" s="156">
        <v>26981406</v>
      </c>
      <c r="B6109" s="172" t="s">
        <v>2799</v>
      </c>
      <c r="C6109" s="172" t="s">
        <v>2800</v>
      </c>
      <c r="D6109" s="194" t="s">
        <v>7309</v>
      </c>
      <c r="E6109" s="200">
        <v>41134</v>
      </c>
    </row>
    <row r="6110" spans="1:5" ht="14.25" hidden="1" customHeight="1">
      <c r="A6110" s="156">
        <v>27751765</v>
      </c>
      <c r="B6110" s="172" t="s">
        <v>5355</v>
      </c>
      <c r="C6110" s="172" t="s">
        <v>5356</v>
      </c>
      <c r="D6110" s="194" t="s">
        <v>7309</v>
      </c>
      <c r="E6110" s="200">
        <v>41134</v>
      </c>
    </row>
    <row r="6111" spans="1:5" ht="14.25" hidden="1" customHeight="1">
      <c r="A6111" s="156">
        <v>28027003</v>
      </c>
      <c r="B6111" s="172" t="s">
        <v>497</v>
      </c>
      <c r="C6111" s="172" t="s">
        <v>1289</v>
      </c>
      <c r="D6111" s="194" t="s">
        <v>7309</v>
      </c>
      <c r="E6111" s="200">
        <v>41134</v>
      </c>
    </row>
    <row r="6112" spans="1:5" ht="14.25" hidden="1" customHeight="1">
      <c r="A6112" s="156">
        <v>30539099</v>
      </c>
      <c r="B6112" s="172" t="s">
        <v>905</v>
      </c>
      <c r="C6112" s="172" t="s">
        <v>906</v>
      </c>
      <c r="D6112" s="194" t="s">
        <v>7309</v>
      </c>
      <c r="E6112" s="200">
        <v>41134</v>
      </c>
    </row>
    <row r="6113" spans="1:5" ht="14.25" hidden="1" customHeight="1">
      <c r="A6113" s="156">
        <v>31052533</v>
      </c>
      <c r="B6113" s="172" t="s">
        <v>218</v>
      </c>
      <c r="C6113" s="172" t="s">
        <v>1965</v>
      </c>
      <c r="D6113" s="194" t="s">
        <v>7309</v>
      </c>
      <c r="E6113" s="200">
        <v>41134</v>
      </c>
    </row>
    <row r="6114" spans="1:5" ht="14.25" hidden="1" customHeight="1">
      <c r="A6114" s="161">
        <v>2765146</v>
      </c>
      <c r="B6114" s="178" t="s">
        <v>7937</v>
      </c>
      <c r="C6114" s="178" t="s">
        <v>6895</v>
      </c>
      <c r="D6114" s="194" t="s">
        <v>7936</v>
      </c>
      <c r="E6114" s="200">
        <v>41121</v>
      </c>
    </row>
    <row r="6115" spans="1:5" ht="14.25" hidden="1" customHeight="1">
      <c r="A6115" s="161">
        <v>22450043</v>
      </c>
      <c r="B6115" s="178" t="s">
        <v>7934</v>
      </c>
      <c r="C6115" s="178" t="s">
        <v>7935</v>
      </c>
      <c r="D6115" s="194" t="s">
        <v>7936</v>
      </c>
      <c r="E6115" s="200">
        <v>41121</v>
      </c>
    </row>
    <row r="6116" spans="1:5" ht="14.25" hidden="1" customHeight="1">
      <c r="A6116" s="161">
        <v>5779268</v>
      </c>
      <c r="B6116" s="178" t="s">
        <v>7947</v>
      </c>
      <c r="C6116" s="178" t="s">
        <v>7948</v>
      </c>
      <c r="D6116" s="194" t="s">
        <v>7936</v>
      </c>
      <c r="E6116" s="200">
        <v>41120</v>
      </c>
    </row>
    <row r="6117" spans="1:5" ht="14.25" hidden="1" customHeight="1">
      <c r="A6117" s="161">
        <v>10016148</v>
      </c>
      <c r="B6117" s="178" t="s">
        <v>7952</v>
      </c>
      <c r="C6117" s="178" t="s">
        <v>7953</v>
      </c>
      <c r="D6117" s="194" t="s">
        <v>7936</v>
      </c>
      <c r="E6117" s="200">
        <v>41120</v>
      </c>
    </row>
    <row r="6118" spans="1:5" ht="14.25" hidden="1" customHeight="1">
      <c r="A6118" s="161">
        <v>10124122</v>
      </c>
      <c r="B6118" s="178" t="s">
        <v>7499</v>
      </c>
      <c r="C6118" s="178" t="s">
        <v>7951</v>
      </c>
      <c r="D6118" s="194" t="s">
        <v>7936</v>
      </c>
      <c r="E6118" s="200">
        <v>41120</v>
      </c>
    </row>
    <row r="6119" spans="1:5" ht="14.25" hidden="1" customHeight="1">
      <c r="A6119" s="161">
        <v>12597738</v>
      </c>
      <c r="B6119" s="178" t="s">
        <v>7943</v>
      </c>
      <c r="C6119" s="178" t="s">
        <v>7944</v>
      </c>
      <c r="D6119" s="194" t="s">
        <v>7936</v>
      </c>
      <c r="E6119" s="200">
        <v>41120</v>
      </c>
    </row>
    <row r="6120" spans="1:5" ht="14.25" hidden="1" customHeight="1">
      <c r="A6120" s="161">
        <v>17990592</v>
      </c>
      <c r="B6120" s="178" t="s">
        <v>7958</v>
      </c>
      <c r="C6120" s="178" t="s">
        <v>7959</v>
      </c>
      <c r="D6120" s="194" t="s">
        <v>7936</v>
      </c>
      <c r="E6120" s="200">
        <v>41120</v>
      </c>
    </row>
    <row r="6121" spans="1:5" ht="14.25" hidden="1" customHeight="1">
      <c r="A6121" s="161">
        <v>24201000</v>
      </c>
      <c r="B6121" s="178" t="s">
        <v>6904</v>
      </c>
      <c r="C6121" s="178" t="s">
        <v>7946</v>
      </c>
      <c r="D6121" s="194" t="s">
        <v>7936</v>
      </c>
      <c r="E6121" s="200">
        <v>41120</v>
      </c>
    </row>
    <row r="6122" spans="1:5" ht="14.25" hidden="1" customHeight="1">
      <c r="A6122" s="161">
        <v>24622215</v>
      </c>
      <c r="B6122" s="178" t="s">
        <v>7941</v>
      </c>
      <c r="C6122" s="178" t="s">
        <v>7942</v>
      </c>
      <c r="D6122" s="194" t="s">
        <v>7936</v>
      </c>
      <c r="E6122" s="200">
        <v>41120</v>
      </c>
    </row>
    <row r="6123" spans="1:5" ht="14.25" hidden="1" customHeight="1">
      <c r="A6123" s="161">
        <v>25210497</v>
      </c>
      <c r="B6123" s="178" t="s">
        <v>7938</v>
      </c>
      <c r="C6123" s="178" t="s">
        <v>7940</v>
      </c>
      <c r="D6123" s="194" t="s">
        <v>7936</v>
      </c>
      <c r="E6123" s="200">
        <v>41120</v>
      </c>
    </row>
    <row r="6124" spans="1:5" ht="14.25" hidden="1" customHeight="1">
      <c r="A6124" s="161">
        <v>32416702</v>
      </c>
      <c r="B6124" s="178" t="s">
        <v>7938</v>
      </c>
      <c r="C6124" s="178" t="s">
        <v>7939</v>
      </c>
      <c r="D6124" s="194" t="s">
        <v>7936</v>
      </c>
      <c r="E6124" s="200">
        <v>41120</v>
      </c>
    </row>
    <row r="6125" spans="1:5" ht="14.25" hidden="1" customHeight="1">
      <c r="A6125" s="161">
        <v>34287658</v>
      </c>
      <c r="B6125" s="178" t="s">
        <v>7954</v>
      </c>
      <c r="C6125" s="178" t="s">
        <v>7955</v>
      </c>
      <c r="D6125" s="194" t="s">
        <v>7936</v>
      </c>
      <c r="E6125" s="200">
        <v>41120</v>
      </c>
    </row>
    <row r="6126" spans="1:5" ht="14.25" hidden="1" customHeight="1">
      <c r="A6126" s="161">
        <v>37312553</v>
      </c>
      <c r="B6126" s="178" t="s">
        <v>7956</v>
      </c>
      <c r="C6126" s="178" t="s">
        <v>7957</v>
      </c>
      <c r="D6126" s="194" t="s">
        <v>7936</v>
      </c>
      <c r="E6126" s="200">
        <v>41120</v>
      </c>
    </row>
    <row r="6127" spans="1:5" ht="14.25" hidden="1" customHeight="1">
      <c r="A6127" s="161">
        <v>37657524</v>
      </c>
      <c r="B6127" s="178" t="s">
        <v>7615</v>
      </c>
      <c r="C6127" s="178" t="s">
        <v>7945</v>
      </c>
      <c r="D6127" s="194" t="s">
        <v>7936</v>
      </c>
      <c r="E6127" s="200">
        <v>41120</v>
      </c>
    </row>
    <row r="6128" spans="1:5" ht="14.25" hidden="1" customHeight="1">
      <c r="A6128" s="161">
        <v>38245004</v>
      </c>
      <c r="B6128" s="178" t="s">
        <v>6912</v>
      </c>
      <c r="C6128" s="178" t="s">
        <v>7909</v>
      </c>
      <c r="D6128" s="194" t="s">
        <v>7936</v>
      </c>
      <c r="E6128" s="200">
        <v>41120</v>
      </c>
    </row>
    <row r="6129" spans="1:5" ht="14.25" hidden="1" customHeight="1">
      <c r="A6129" s="161">
        <v>92459154</v>
      </c>
      <c r="B6129" s="178" t="s">
        <v>7949</v>
      </c>
      <c r="C6129" s="178" t="s">
        <v>7950</v>
      </c>
      <c r="D6129" s="194" t="s">
        <v>7936</v>
      </c>
      <c r="E6129" s="200">
        <v>41120</v>
      </c>
    </row>
    <row r="6130" spans="1:5" ht="14.25" hidden="1" customHeight="1">
      <c r="A6130" s="156">
        <v>6300617</v>
      </c>
      <c r="B6130" s="172" t="s">
        <v>4036</v>
      </c>
      <c r="C6130" s="172" t="s">
        <v>4037</v>
      </c>
      <c r="D6130" s="194" t="s">
        <v>7800</v>
      </c>
      <c r="E6130" s="200">
        <v>41116</v>
      </c>
    </row>
    <row r="6131" spans="1:5" ht="14.25" hidden="1" customHeight="1">
      <c r="A6131" s="156">
        <v>6352626</v>
      </c>
      <c r="B6131" s="172" t="s">
        <v>3603</v>
      </c>
      <c r="C6131" s="172" t="s">
        <v>468</v>
      </c>
      <c r="D6131" s="194" t="s">
        <v>7800</v>
      </c>
      <c r="E6131" s="200">
        <v>41116</v>
      </c>
    </row>
    <row r="6132" spans="1:5" ht="14.25" hidden="1" customHeight="1">
      <c r="A6132" s="156">
        <v>10013189</v>
      </c>
      <c r="B6132" s="172" t="s">
        <v>595</v>
      </c>
      <c r="C6132" s="172" t="s">
        <v>3644</v>
      </c>
      <c r="D6132" s="194" t="s">
        <v>7800</v>
      </c>
      <c r="E6132" s="200">
        <v>41116</v>
      </c>
    </row>
    <row r="6133" spans="1:5" ht="14.25" hidden="1" customHeight="1">
      <c r="A6133" s="156">
        <v>10910274</v>
      </c>
      <c r="B6133" s="172" t="s">
        <v>6366</v>
      </c>
      <c r="C6133" s="172" t="s">
        <v>6367</v>
      </c>
      <c r="D6133" s="194" t="s">
        <v>7800</v>
      </c>
      <c r="E6133" s="200">
        <v>41116</v>
      </c>
    </row>
    <row r="6134" spans="1:5" ht="14.25" hidden="1" customHeight="1">
      <c r="A6134" s="156">
        <v>11476302</v>
      </c>
      <c r="B6134" s="172" t="s">
        <v>4328</v>
      </c>
      <c r="C6134" s="172" t="s">
        <v>3850</v>
      </c>
      <c r="D6134" s="194" t="s">
        <v>7800</v>
      </c>
      <c r="E6134" s="200">
        <v>41116</v>
      </c>
    </row>
    <row r="6135" spans="1:5" ht="14.25" hidden="1" customHeight="1">
      <c r="A6135" s="156">
        <v>12318129</v>
      </c>
      <c r="B6135" s="172" t="s">
        <v>2952</v>
      </c>
      <c r="C6135" s="172" t="s">
        <v>1023</v>
      </c>
      <c r="D6135" s="194" t="s">
        <v>7800</v>
      </c>
      <c r="E6135" s="200">
        <v>41116</v>
      </c>
    </row>
    <row r="6136" spans="1:5" ht="14.25" hidden="1" customHeight="1">
      <c r="A6136" s="156">
        <v>12387324</v>
      </c>
      <c r="B6136" s="172" t="s">
        <v>2059</v>
      </c>
      <c r="C6136" s="172" t="s">
        <v>4859</v>
      </c>
      <c r="D6136" s="194" t="s">
        <v>7800</v>
      </c>
      <c r="E6136" s="200">
        <v>41116</v>
      </c>
    </row>
    <row r="6137" spans="1:5" ht="14.25" hidden="1" customHeight="1">
      <c r="A6137" s="156">
        <v>12393882</v>
      </c>
      <c r="B6137" s="172" t="s">
        <v>1286</v>
      </c>
      <c r="C6137" s="172" t="s">
        <v>1287</v>
      </c>
      <c r="D6137" s="194" t="s">
        <v>7800</v>
      </c>
      <c r="E6137" s="200">
        <v>41116</v>
      </c>
    </row>
    <row r="6138" spans="1:5" ht="14.25" hidden="1" customHeight="1">
      <c r="A6138" s="156">
        <v>12597997</v>
      </c>
      <c r="B6138" s="172" t="s">
        <v>3657</v>
      </c>
      <c r="C6138" s="172" t="s">
        <v>3658</v>
      </c>
      <c r="D6138" s="194" t="s">
        <v>7800</v>
      </c>
      <c r="E6138" s="200">
        <v>41116</v>
      </c>
    </row>
    <row r="6139" spans="1:5" ht="14.25" hidden="1" customHeight="1">
      <c r="A6139" s="156">
        <v>12918409</v>
      </c>
      <c r="B6139" s="172" t="s">
        <v>3762</v>
      </c>
      <c r="C6139" s="172" t="s">
        <v>3763</v>
      </c>
      <c r="D6139" s="194" t="s">
        <v>7800</v>
      </c>
      <c r="E6139" s="200">
        <v>41116</v>
      </c>
    </row>
    <row r="6140" spans="1:5" ht="14.25" hidden="1" customHeight="1">
      <c r="A6140" s="156">
        <v>13203668</v>
      </c>
      <c r="B6140" s="172" t="s">
        <v>927</v>
      </c>
      <c r="C6140" s="172" t="s">
        <v>1895</v>
      </c>
      <c r="D6140" s="194" t="s">
        <v>7800</v>
      </c>
      <c r="E6140" s="200">
        <v>41116</v>
      </c>
    </row>
    <row r="6141" spans="1:5" ht="14.25" hidden="1" customHeight="1">
      <c r="A6141" s="156">
        <v>13203668</v>
      </c>
      <c r="B6141" s="172" t="s">
        <v>927</v>
      </c>
      <c r="C6141" s="172" t="s">
        <v>1895</v>
      </c>
      <c r="D6141" s="194" t="s">
        <v>7800</v>
      </c>
      <c r="E6141" s="200">
        <v>41116</v>
      </c>
    </row>
    <row r="6142" spans="1:5" ht="14.25" hidden="1" customHeight="1">
      <c r="A6142" s="156">
        <v>13247115</v>
      </c>
      <c r="B6142" s="172" t="s">
        <v>1053</v>
      </c>
      <c r="C6142" s="172" t="s">
        <v>1054</v>
      </c>
      <c r="D6142" s="194" t="s">
        <v>7800</v>
      </c>
      <c r="E6142" s="200">
        <v>41116</v>
      </c>
    </row>
    <row r="6143" spans="1:5" ht="14.25" hidden="1" customHeight="1">
      <c r="A6143" s="156">
        <v>13475945</v>
      </c>
      <c r="B6143" s="172" t="s">
        <v>2129</v>
      </c>
      <c r="C6143" s="172" t="s">
        <v>1061</v>
      </c>
      <c r="D6143" s="194" t="s">
        <v>7800</v>
      </c>
      <c r="E6143" s="200">
        <v>41116</v>
      </c>
    </row>
    <row r="6144" spans="1:5" ht="14.25" hidden="1" customHeight="1">
      <c r="A6144" s="156">
        <v>13475945</v>
      </c>
      <c r="B6144" s="172" t="s">
        <v>2129</v>
      </c>
      <c r="C6144" s="172" t="s">
        <v>1061</v>
      </c>
      <c r="D6144" s="194" t="s">
        <v>7800</v>
      </c>
      <c r="E6144" s="200">
        <v>41116</v>
      </c>
    </row>
    <row r="6145" spans="1:5" ht="14.25" hidden="1" customHeight="1">
      <c r="A6145" s="156">
        <v>13627211</v>
      </c>
      <c r="B6145" s="172" t="s">
        <v>1885</v>
      </c>
      <c r="C6145" s="172" t="s">
        <v>4252</v>
      </c>
      <c r="D6145" s="194" t="s">
        <v>7800</v>
      </c>
      <c r="E6145" s="200">
        <v>41116</v>
      </c>
    </row>
    <row r="6146" spans="1:5" ht="14.25" hidden="1" customHeight="1">
      <c r="A6146" s="156">
        <v>14296958</v>
      </c>
      <c r="B6146" s="172" t="s">
        <v>5838</v>
      </c>
      <c r="C6146" s="172" t="s">
        <v>3202</v>
      </c>
      <c r="D6146" s="194" t="s">
        <v>7800</v>
      </c>
      <c r="E6146" s="200">
        <v>41116</v>
      </c>
    </row>
    <row r="6147" spans="1:5" ht="14.25" hidden="1" customHeight="1">
      <c r="A6147" s="156">
        <v>14359336</v>
      </c>
      <c r="B6147" s="172" t="s">
        <v>3807</v>
      </c>
      <c r="C6147" s="172" t="s">
        <v>1672</v>
      </c>
      <c r="D6147" s="194" t="s">
        <v>7800</v>
      </c>
      <c r="E6147" s="200">
        <v>41116</v>
      </c>
    </row>
    <row r="6148" spans="1:5" ht="14.25" hidden="1" customHeight="1">
      <c r="A6148" s="156">
        <v>14480554</v>
      </c>
      <c r="B6148" s="172" t="s">
        <v>1671</v>
      </c>
      <c r="C6148" s="172" t="s">
        <v>1672</v>
      </c>
      <c r="D6148" s="194" t="s">
        <v>7800</v>
      </c>
      <c r="E6148" s="200">
        <v>41116</v>
      </c>
    </row>
    <row r="6149" spans="1:5" ht="14.25" hidden="1" customHeight="1">
      <c r="A6149" s="156">
        <v>14660494</v>
      </c>
      <c r="B6149" s="172" t="s">
        <v>1280</v>
      </c>
      <c r="C6149" s="172" t="s">
        <v>7962</v>
      </c>
      <c r="D6149" s="194" t="s">
        <v>7800</v>
      </c>
      <c r="E6149" s="200">
        <v>41116</v>
      </c>
    </row>
    <row r="6150" spans="1:5" ht="14.25" hidden="1" customHeight="1">
      <c r="A6150" s="156">
        <v>14936140</v>
      </c>
      <c r="B6150" s="172" t="s">
        <v>1263</v>
      </c>
      <c r="C6150" s="172" t="s">
        <v>1264</v>
      </c>
      <c r="D6150" s="194" t="s">
        <v>7800</v>
      </c>
      <c r="E6150" s="200">
        <v>41116</v>
      </c>
    </row>
    <row r="6151" spans="1:5" ht="14.25" hidden="1" customHeight="1">
      <c r="A6151" s="156">
        <v>16136923</v>
      </c>
      <c r="B6151" s="172" t="s">
        <v>4380</v>
      </c>
      <c r="C6151" s="172" t="s">
        <v>4381</v>
      </c>
      <c r="D6151" s="194" t="s">
        <v>7800</v>
      </c>
      <c r="E6151" s="200">
        <v>41116</v>
      </c>
    </row>
    <row r="6152" spans="1:5" ht="14.25" hidden="1" customHeight="1">
      <c r="A6152" s="156">
        <v>16350757</v>
      </c>
      <c r="B6152" s="172" t="s">
        <v>1152</v>
      </c>
      <c r="C6152" s="172" t="s">
        <v>1153</v>
      </c>
      <c r="D6152" s="194" t="s">
        <v>7800</v>
      </c>
      <c r="E6152" s="200">
        <v>41116</v>
      </c>
    </row>
    <row r="6153" spans="1:5" ht="14.25" hidden="1" customHeight="1">
      <c r="A6153" s="156">
        <v>16845010</v>
      </c>
      <c r="B6153" s="172" t="s">
        <v>3803</v>
      </c>
      <c r="C6153" s="172" t="s">
        <v>3804</v>
      </c>
      <c r="D6153" s="194" t="s">
        <v>7800</v>
      </c>
      <c r="E6153" s="200">
        <v>41116</v>
      </c>
    </row>
    <row r="6154" spans="1:5" ht="14.25" hidden="1" customHeight="1">
      <c r="A6154" s="156">
        <v>16888200</v>
      </c>
      <c r="B6154" s="172" t="s">
        <v>1216</v>
      </c>
      <c r="C6154" s="172" t="s">
        <v>1217</v>
      </c>
      <c r="D6154" s="194" t="s">
        <v>7800</v>
      </c>
      <c r="E6154" s="200">
        <v>41116</v>
      </c>
    </row>
    <row r="6155" spans="1:5" ht="14.25" hidden="1" customHeight="1">
      <c r="A6155" s="156">
        <v>16933151</v>
      </c>
      <c r="B6155" s="172" t="s">
        <v>3839</v>
      </c>
      <c r="C6155" s="172" t="s">
        <v>3840</v>
      </c>
      <c r="D6155" s="194" t="s">
        <v>7800</v>
      </c>
      <c r="E6155" s="200">
        <v>41116</v>
      </c>
    </row>
    <row r="6156" spans="1:5" ht="14.25" hidden="1" customHeight="1">
      <c r="A6156" s="156">
        <v>17268538</v>
      </c>
      <c r="B6156" s="172" t="s">
        <v>1002</v>
      </c>
      <c r="C6156" s="172" t="s">
        <v>1003</v>
      </c>
      <c r="D6156" s="194" t="s">
        <v>7800</v>
      </c>
      <c r="E6156" s="200">
        <v>41116</v>
      </c>
    </row>
    <row r="6157" spans="1:5" ht="14.25" hidden="1" customHeight="1">
      <c r="A6157" s="156">
        <v>17268866</v>
      </c>
      <c r="B6157" s="172" t="s">
        <v>948</v>
      </c>
      <c r="C6157" s="172" t="s">
        <v>952</v>
      </c>
      <c r="D6157" s="194" t="s">
        <v>7800</v>
      </c>
      <c r="E6157" s="200">
        <v>41116</v>
      </c>
    </row>
    <row r="6158" spans="1:5" ht="14.25" hidden="1" customHeight="1">
      <c r="A6158" s="156">
        <v>17268925</v>
      </c>
      <c r="B6158" s="172" t="s">
        <v>311</v>
      </c>
      <c r="C6158" s="172" t="s">
        <v>3592</v>
      </c>
      <c r="D6158" s="194" t="s">
        <v>7800</v>
      </c>
      <c r="E6158" s="200">
        <v>41116</v>
      </c>
    </row>
    <row r="6159" spans="1:5" ht="14.25" hidden="1" customHeight="1">
      <c r="A6159" s="156">
        <v>17270247</v>
      </c>
      <c r="B6159" s="172" t="s">
        <v>5098</v>
      </c>
      <c r="C6159" s="172" t="s">
        <v>1061</v>
      </c>
      <c r="D6159" s="194" t="s">
        <v>7800</v>
      </c>
      <c r="E6159" s="200">
        <v>41116</v>
      </c>
    </row>
    <row r="6160" spans="1:5" ht="14.25" hidden="1" customHeight="1">
      <c r="A6160" s="156">
        <v>17270247</v>
      </c>
      <c r="B6160" s="172" t="s">
        <v>3603</v>
      </c>
      <c r="C6160" s="172" t="s">
        <v>1061</v>
      </c>
      <c r="D6160" s="194" t="s">
        <v>7800</v>
      </c>
      <c r="E6160" s="200">
        <v>41116</v>
      </c>
    </row>
    <row r="6161" spans="1:5" ht="14.25" hidden="1" customHeight="1">
      <c r="A6161" s="156">
        <v>17696974</v>
      </c>
      <c r="B6161" s="172" t="s">
        <v>640</v>
      </c>
      <c r="C6161" s="172" t="s">
        <v>644</v>
      </c>
      <c r="D6161" s="194" t="s">
        <v>7800</v>
      </c>
      <c r="E6161" s="200">
        <v>41116</v>
      </c>
    </row>
    <row r="6162" spans="1:5" ht="14.25" hidden="1" customHeight="1">
      <c r="A6162" s="156">
        <v>17860595</v>
      </c>
      <c r="B6162" s="172" t="s">
        <v>218</v>
      </c>
      <c r="C6162" s="172" t="s">
        <v>7960</v>
      </c>
      <c r="D6162" s="194" t="s">
        <v>7800</v>
      </c>
      <c r="E6162" s="200">
        <v>41116</v>
      </c>
    </row>
    <row r="6163" spans="1:5" ht="14.25" hidden="1" customHeight="1">
      <c r="A6163" s="156">
        <v>18465826</v>
      </c>
      <c r="B6163" s="172" t="s">
        <v>1482</v>
      </c>
      <c r="C6163" s="172" t="s">
        <v>876</v>
      </c>
      <c r="D6163" s="194" t="s">
        <v>7800</v>
      </c>
      <c r="E6163" s="200">
        <v>41116</v>
      </c>
    </row>
    <row r="6164" spans="1:5" ht="14.25" hidden="1" customHeight="1">
      <c r="A6164" s="156">
        <v>18473585</v>
      </c>
      <c r="B6164" s="172" t="s">
        <v>680</v>
      </c>
      <c r="C6164" s="172" t="s">
        <v>681</v>
      </c>
      <c r="D6164" s="194" t="s">
        <v>7800</v>
      </c>
      <c r="E6164" s="200">
        <v>41116</v>
      </c>
    </row>
    <row r="6165" spans="1:5" ht="14.25" hidden="1" customHeight="1">
      <c r="A6165" s="156">
        <v>18501320</v>
      </c>
      <c r="B6165" s="172" t="s">
        <v>1168</v>
      </c>
      <c r="C6165" s="172" t="s">
        <v>571</v>
      </c>
      <c r="D6165" s="194" t="s">
        <v>7800</v>
      </c>
      <c r="E6165" s="200">
        <v>41116</v>
      </c>
    </row>
    <row r="6166" spans="1:5" ht="14.25" hidden="1" customHeight="1">
      <c r="A6166" s="156">
        <v>20803370</v>
      </c>
      <c r="B6166" s="172" t="s">
        <v>1631</v>
      </c>
      <c r="C6166" s="172" t="s">
        <v>1632</v>
      </c>
      <c r="D6166" s="194" t="s">
        <v>7800</v>
      </c>
      <c r="E6166" s="200">
        <v>41116</v>
      </c>
    </row>
    <row r="6167" spans="1:5" ht="14.25" hidden="1" customHeight="1">
      <c r="A6167" s="156">
        <v>21744365</v>
      </c>
      <c r="B6167" s="172" t="s">
        <v>1171</v>
      </c>
      <c r="C6167" s="172" t="s">
        <v>1172</v>
      </c>
      <c r="D6167" s="194" t="s">
        <v>7800</v>
      </c>
      <c r="E6167" s="200">
        <v>41116</v>
      </c>
    </row>
    <row r="6168" spans="1:5" ht="14.25" hidden="1" customHeight="1">
      <c r="A6168" s="156">
        <v>21745921</v>
      </c>
      <c r="B6168" s="172" t="s">
        <v>1112</v>
      </c>
      <c r="C6168" s="172" t="s">
        <v>1113</v>
      </c>
      <c r="D6168" s="194" t="s">
        <v>7800</v>
      </c>
      <c r="E6168" s="200">
        <v>41116</v>
      </c>
    </row>
    <row r="6169" spans="1:5" ht="14.25" hidden="1" customHeight="1">
      <c r="A6169" s="156">
        <v>22031835</v>
      </c>
      <c r="B6169" s="172" t="s">
        <v>273</v>
      </c>
      <c r="C6169" s="172" t="s">
        <v>7961</v>
      </c>
      <c r="D6169" s="194" t="s">
        <v>7800</v>
      </c>
      <c r="E6169" s="200">
        <v>41116</v>
      </c>
    </row>
    <row r="6170" spans="1:5" ht="14.25" hidden="1" customHeight="1">
      <c r="A6170" s="156">
        <v>23167760</v>
      </c>
      <c r="B6170" s="172" t="s">
        <v>1644</v>
      </c>
      <c r="C6170" s="172" t="s">
        <v>106</v>
      </c>
      <c r="D6170" s="194" t="s">
        <v>7800</v>
      </c>
      <c r="E6170" s="200">
        <v>41116</v>
      </c>
    </row>
    <row r="6171" spans="1:5" ht="14.25" hidden="1" customHeight="1">
      <c r="A6171" s="156">
        <v>24005950</v>
      </c>
      <c r="B6171" s="172" t="s">
        <v>428</v>
      </c>
      <c r="C6171" s="172" t="s">
        <v>1202</v>
      </c>
      <c r="D6171" s="194" t="s">
        <v>7800</v>
      </c>
      <c r="E6171" s="200">
        <v>41116</v>
      </c>
    </row>
    <row r="6172" spans="1:5" ht="14.25" hidden="1" customHeight="1">
      <c r="A6172" s="156">
        <v>25758684</v>
      </c>
      <c r="B6172" s="172" t="s">
        <v>428</v>
      </c>
      <c r="C6172" s="172" t="s">
        <v>1208</v>
      </c>
      <c r="D6172" s="194" t="s">
        <v>7800</v>
      </c>
      <c r="E6172" s="200">
        <v>41116</v>
      </c>
    </row>
    <row r="6173" spans="1:5" ht="14.25" hidden="1" customHeight="1">
      <c r="A6173" s="156">
        <v>25843239</v>
      </c>
      <c r="B6173" s="172" t="s">
        <v>4874</v>
      </c>
      <c r="C6173" s="172" t="s">
        <v>1801</v>
      </c>
      <c r="D6173" s="194" t="s">
        <v>7800</v>
      </c>
      <c r="E6173" s="200">
        <v>41116</v>
      </c>
    </row>
    <row r="6174" spans="1:5" ht="14.25" hidden="1" customHeight="1">
      <c r="A6174" s="156">
        <v>27594942</v>
      </c>
      <c r="B6174" s="172" t="s">
        <v>177</v>
      </c>
      <c r="C6174" s="172" t="s">
        <v>178</v>
      </c>
      <c r="D6174" s="194" t="s">
        <v>7800</v>
      </c>
      <c r="E6174" s="200">
        <v>41116</v>
      </c>
    </row>
    <row r="6175" spans="1:5" ht="14.25" hidden="1" customHeight="1">
      <c r="A6175" s="156">
        <v>28027003</v>
      </c>
      <c r="B6175" s="172" t="s">
        <v>497</v>
      </c>
      <c r="C6175" s="172" t="s">
        <v>1289</v>
      </c>
      <c r="D6175" s="194" t="s">
        <v>7800</v>
      </c>
      <c r="E6175" s="200">
        <v>41116</v>
      </c>
    </row>
    <row r="6176" spans="1:5" ht="14.25" hidden="1" customHeight="1">
      <c r="A6176" s="156">
        <v>28884535</v>
      </c>
      <c r="B6176" s="172" t="s">
        <v>146</v>
      </c>
      <c r="C6176" s="172" t="s">
        <v>1672</v>
      </c>
      <c r="D6176" s="194" t="s">
        <v>7800</v>
      </c>
      <c r="E6176" s="200">
        <v>41116</v>
      </c>
    </row>
    <row r="6177" spans="1:5" ht="14.25" hidden="1" customHeight="1">
      <c r="A6177" s="156">
        <v>30497720</v>
      </c>
      <c r="B6177" s="172" t="s">
        <v>2990</v>
      </c>
      <c r="C6177" s="172" t="s">
        <v>6443</v>
      </c>
      <c r="D6177" s="194" t="s">
        <v>7800</v>
      </c>
      <c r="E6177" s="200">
        <v>41116</v>
      </c>
    </row>
    <row r="6178" spans="1:5" ht="14.25" hidden="1" customHeight="1">
      <c r="A6178" s="156">
        <v>31052533</v>
      </c>
      <c r="B6178" s="172" t="s">
        <v>218</v>
      </c>
      <c r="C6178" s="172" t="s">
        <v>1965</v>
      </c>
      <c r="D6178" s="194" t="s">
        <v>7800</v>
      </c>
      <c r="E6178" s="200">
        <v>41116</v>
      </c>
    </row>
    <row r="6179" spans="1:5" ht="14.25" hidden="1" customHeight="1">
      <c r="A6179" s="156">
        <v>31733485</v>
      </c>
      <c r="B6179" s="172" t="s">
        <v>1129</v>
      </c>
      <c r="C6179" s="172" t="s">
        <v>1130</v>
      </c>
      <c r="D6179" s="194" t="s">
        <v>7800</v>
      </c>
      <c r="E6179" s="200">
        <v>41116</v>
      </c>
    </row>
    <row r="6180" spans="1:5" ht="14.25" hidden="1" customHeight="1">
      <c r="A6180" s="156">
        <v>31816834</v>
      </c>
      <c r="B6180" s="172" t="s">
        <v>288</v>
      </c>
      <c r="C6180" s="172" t="s">
        <v>1141</v>
      </c>
      <c r="D6180" s="194" t="s">
        <v>7800</v>
      </c>
      <c r="E6180" s="200">
        <v>41116</v>
      </c>
    </row>
    <row r="6181" spans="1:5" ht="14.25" hidden="1" customHeight="1">
      <c r="A6181" s="156">
        <v>31903485</v>
      </c>
      <c r="B6181" s="172" t="s">
        <v>3686</v>
      </c>
      <c r="C6181" s="172" t="s">
        <v>3687</v>
      </c>
      <c r="D6181" s="194" t="s">
        <v>7800</v>
      </c>
      <c r="E6181" s="200">
        <v>41116</v>
      </c>
    </row>
    <row r="6182" spans="1:5" ht="14.25" hidden="1" customHeight="1">
      <c r="A6182" s="156">
        <v>32201380</v>
      </c>
      <c r="B6182" s="172" t="s">
        <v>3860</v>
      </c>
      <c r="C6182" s="172" t="s">
        <v>3861</v>
      </c>
      <c r="D6182" s="194" t="s">
        <v>7800</v>
      </c>
      <c r="E6182" s="200">
        <v>41116</v>
      </c>
    </row>
    <row r="6183" spans="1:5" ht="14.25" hidden="1" customHeight="1">
      <c r="A6183" s="156">
        <v>32629805</v>
      </c>
      <c r="B6183" s="172" t="s">
        <v>592</v>
      </c>
      <c r="C6183" s="172" t="s">
        <v>924</v>
      </c>
      <c r="D6183" s="194" t="s">
        <v>7800</v>
      </c>
      <c r="E6183" s="200">
        <v>41116</v>
      </c>
    </row>
    <row r="6184" spans="1:5" ht="14.25" hidden="1" customHeight="1">
      <c r="A6184" s="156">
        <v>32775577</v>
      </c>
      <c r="B6184" s="172" t="s">
        <v>1081</v>
      </c>
      <c r="C6184" s="172" t="s">
        <v>1082</v>
      </c>
      <c r="D6184" s="194" t="s">
        <v>7800</v>
      </c>
      <c r="E6184" s="200">
        <v>41116</v>
      </c>
    </row>
    <row r="6185" spans="1:5" ht="14.25" hidden="1" customHeight="1">
      <c r="A6185" s="156">
        <v>33540758</v>
      </c>
      <c r="B6185" s="172" t="s">
        <v>5089</v>
      </c>
      <c r="C6185" s="172" t="s">
        <v>129</v>
      </c>
      <c r="D6185" s="194" t="s">
        <v>7800</v>
      </c>
      <c r="E6185" s="200">
        <v>41116</v>
      </c>
    </row>
    <row r="6186" spans="1:5" ht="14.25" hidden="1" customHeight="1">
      <c r="A6186" s="156">
        <v>34910721</v>
      </c>
      <c r="B6186" s="172" t="s">
        <v>6796</v>
      </c>
      <c r="C6186" s="172" t="s">
        <v>906</v>
      </c>
      <c r="D6186" s="194" t="s">
        <v>7800</v>
      </c>
      <c r="E6186" s="200">
        <v>41116</v>
      </c>
    </row>
    <row r="6187" spans="1:5" ht="14.25" hidden="1" customHeight="1">
      <c r="A6187" s="156">
        <v>92825116</v>
      </c>
      <c r="B6187" s="172" t="s">
        <v>970</v>
      </c>
      <c r="C6187" s="172" t="s">
        <v>968</v>
      </c>
      <c r="D6187" s="194" t="s">
        <v>7800</v>
      </c>
      <c r="E6187" s="200">
        <v>41116</v>
      </c>
    </row>
    <row r="6188" spans="1:5" ht="14.25" hidden="1" customHeight="1">
      <c r="A6188" s="156">
        <v>93262857</v>
      </c>
      <c r="B6188" s="172" t="s">
        <v>236</v>
      </c>
      <c r="C6188" s="172" t="s">
        <v>2359</v>
      </c>
      <c r="D6188" s="194" t="s">
        <v>7800</v>
      </c>
      <c r="E6188" s="200">
        <v>41116</v>
      </c>
    </row>
    <row r="6189" spans="1:5" ht="14.25" hidden="1" customHeight="1">
      <c r="A6189" s="159">
        <v>7628023</v>
      </c>
      <c r="B6189" s="176" t="s">
        <v>7592</v>
      </c>
      <c r="C6189" s="176" t="s">
        <v>8001</v>
      </c>
      <c r="D6189" s="194" t="s">
        <v>7965</v>
      </c>
      <c r="E6189" s="200">
        <v>41075</v>
      </c>
    </row>
    <row r="6190" spans="1:5" ht="14.25" hidden="1" customHeight="1">
      <c r="A6190" s="159">
        <v>10013619</v>
      </c>
      <c r="B6190" s="176" t="s">
        <v>7973</v>
      </c>
      <c r="C6190" s="176" t="s">
        <v>7975</v>
      </c>
      <c r="D6190" s="194" t="s">
        <v>7965</v>
      </c>
      <c r="E6190" s="200">
        <v>41075</v>
      </c>
    </row>
    <row r="6191" spans="1:5" ht="14.25" hidden="1" customHeight="1">
      <c r="A6191" s="159">
        <v>11084567</v>
      </c>
      <c r="B6191" s="176" t="s">
        <v>7981</v>
      </c>
      <c r="C6191" s="176" t="s">
        <v>7982</v>
      </c>
      <c r="D6191" s="194" t="s">
        <v>7965</v>
      </c>
      <c r="E6191" s="200">
        <v>41075</v>
      </c>
    </row>
    <row r="6192" spans="1:5" ht="14.25" hidden="1" customHeight="1">
      <c r="A6192" s="161">
        <v>11463189</v>
      </c>
      <c r="B6192" s="178" t="s">
        <v>7990</v>
      </c>
      <c r="C6192" s="178" t="s">
        <v>7991</v>
      </c>
      <c r="D6192" s="194" t="s">
        <v>7965</v>
      </c>
      <c r="E6192" s="200">
        <v>41075</v>
      </c>
    </row>
    <row r="6193" spans="1:5" ht="14.25" hidden="1" customHeight="1">
      <c r="A6193" s="159">
        <v>12148768</v>
      </c>
      <c r="B6193" s="176" t="s">
        <v>7973</v>
      </c>
      <c r="C6193" s="176" t="s">
        <v>7974</v>
      </c>
      <c r="D6193" s="194" t="s">
        <v>7965</v>
      </c>
      <c r="E6193" s="200">
        <v>41075</v>
      </c>
    </row>
    <row r="6194" spans="1:5" ht="14.25" hidden="1" customHeight="1">
      <c r="A6194" s="159">
        <v>12453703</v>
      </c>
      <c r="B6194" s="176" t="s">
        <v>8004</v>
      </c>
      <c r="C6194" s="176" t="s">
        <v>8005</v>
      </c>
      <c r="D6194" s="194" t="s">
        <v>7965</v>
      </c>
      <c r="E6194" s="200">
        <v>41075</v>
      </c>
    </row>
    <row r="6195" spans="1:5" ht="14.25" hidden="1" customHeight="1">
      <c r="A6195" s="159">
        <v>12622958</v>
      </c>
      <c r="B6195" s="176" t="s">
        <v>7963</v>
      </c>
      <c r="C6195" s="176" t="s">
        <v>7964</v>
      </c>
      <c r="D6195" s="194" t="s">
        <v>7965</v>
      </c>
      <c r="E6195" s="200">
        <v>41075</v>
      </c>
    </row>
    <row r="6196" spans="1:5" ht="14.25" hidden="1" customHeight="1">
      <c r="A6196" s="159">
        <v>13710528</v>
      </c>
      <c r="B6196" s="176" t="s">
        <v>8010</v>
      </c>
      <c r="C6196" s="176" t="s">
        <v>8011</v>
      </c>
      <c r="D6196" s="194" t="s">
        <v>7965</v>
      </c>
      <c r="E6196" s="200">
        <v>41075</v>
      </c>
    </row>
    <row r="6197" spans="1:5" ht="14.25" hidden="1" customHeight="1">
      <c r="A6197" s="161">
        <v>13848910</v>
      </c>
      <c r="B6197" s="178" t="s">
        <v>7985</v>
      </c>
      <c r="C6197" s="178" t="s">
        <v>7986</v>
      </c>
      <c r="D6197" s="194" t="s">
        <v>7965</v>
      </c>
      <c r="E6197" s="200">
        <v>41075</v>
      </c>
    </row>
    <row r="6198" spans="1:5" ht="14.25" hidden="1" customHeight="1">
      <c r="A6198" s="159">
        <v>13950205</v>
      </c>
      <c r="B6198" s="176" t="s">
        <v>7983</v>
      </c>
      <c r="C6198" s="176" t="s">
        <v>7984</v>
      </c>
      <c r="D6198" s="194" t="s">
        <v>7965</v>
      </c>
      <c r="E6198" s="200">
        <v>41075</v>
      </c>
    </row>
    <row r="6199" spans="1:5" ht="14.25" hidden="1" customHeight="1">
      <c r="A6199" s="159">
        <v>14410492</v>
      </c>
      <c r="B6199" s="176" t="s">
        <v>8017</v>
      </c>
      <c r="C6199" s="176" t="s">
        <v>8018</v>
      </c>
      <c r="D6199" s="194" t="s">
        <v>7965</v>
      </c>
      <c r="E6199" s="200">
        <v>41075</v>
      </c>
    </row>
    <row r="6200" spans="1:5" ht="14.25" hidden="1" customHeight="1">
      <c r="A6200" s="161">
        <v>16285775</v>
      </c>
      <c r="B6200" s="178" t="s">
        <v>7976</v>
      </c>
      <c r="C6200" s="178" t="s">
        <v>7914</v>
      </c>
      <c r="D6200" s="194" t="s">
        <v>7965</v>
      </c>
      <c r="E6200" s="200">
        <v>41075</v>
      </c>
    </row>
    <row r="6201" spans="1:5" ht="14.25" hidden="1" customHeight="1">
      <c r="A6201" s="159">
        <v>16292660</v>
      </c>
      <c r="B6201" s="176" t="s">
        <v>7996</v>
      </c>
      <c r="C6201" s="176" t="s">
        <v>7974</v>
      </c>
      <c r="D6201" s="194" t="s">
        <v>7965</v>
      </c>
      <c r="E6201" s="200">
        <v>41075</v>
      </c>
    </row>
    <row r="6202" spans="1:5" ht="14.25" hidden="1" customHeight="1">
      <c r="A6202" s="159">
        <v>16450058</v>
      </c>
      <c r="B6202" s="176" t="s">
        <v>8014</v>
      </c>
      <c r="C6202" s="176" t="s">
        <v>8015</v>
      </c>
      <c r="D6202" s="194" t="s">
        <v>7965</v>
      </c>
      <c r="E6202" s="200">
        <v>41075</v>
      </c>
    </row>
    <row r="6203" spans="1:5" ht="14.25" hidden="1" customHeight="1">
      <c r="A6203" s="159">
        <v>16685410</v>
      </c>
      <c r="B6203" s="176" t="s">
        <v>7482</v>
      </c>
      <c r="C6203" s="176" t="s">
        <v>7579</v>
      </c>
      <c r="D6203" s="194" t="s">
        <v>7965</v>
      </c>
      <c r="E6203" s="200">
        <v>41075</v>
      </c>
    </row>
    <row r="6204" spans="1:5" ht="14.25" hidden="1" customHeight="1">
      <c r="A6204" s="159">
        <v>17270545</v>
      </c>
      <c r="B6204" s="176" t="s">
        <v>7997</v>
      </c>
      <c r="C6204" s="176" t="s">
        <v>7998</v>
      </c>
      <c r="D6204" s="194" t="s">
        <v>7965</v>
      </c>
      <c r="E6204" s="200">
        <v>41075</v>
      </c>
    </row>
    <row r="6205" spans="1:5" ht="14.25" hidden="1" customHeight="1">
      <c r="A6205" s="159">
        <v>17377996</v>
      </c>
      <c r="B6205" s="176" t="s">
        <v>8019</v>
      </c>
      <c r="C6205" s="176" t="s">
        <v>8020</v>
      </c>
      <c r="D6205" s="194" t="s">
        <v>7965</v>
      </c>
      <c r="E6205" s="200">
        <v>41075</v>
      </c>
    </row>
    <row r="6206" spans="1:5" ht="14.25" hidden="1" customHeight="1">
      <c r="A6206" s="159">
        <v>17619257</v>
      </c>
      <c r="B6206" s="176" t="s">
        <v>7999</v>
      </c>
      <c r="C6206" s="176" t="s">
        <v>8000</v>
      </c>
      <c r="D6206" s="194" t="s">
        <v>7965</v>
      </c>
      <c r="E6206" s="200">
        <v>41075</v>
      </c>
    </row>
    <row r="6207" spans="1:5" ht="14.25" hidden="1" customHeight="1">
      <c r="A6207" s="159">
        <v>17990513</v>
      </c>
      <c r="B6207" s="176" t="s">
        <v>7987</v>
      </c>
      <c r="C6207" s="176" t="s">
        <v>7988</v>
      </c>
      <c r="D6207" s="194" t="s">
        <v>7965</v>
      </c>
      <c r="E6207" s="200">
        <v>41075</v>
      </c>
    </row>
    <row r="6208" spans="1:5" ht="14.25" hidden="1" customHeight="1">
      <c r="A6208" s="161">
        <v>17990682</v>
      </c>
      <c r="B6208" s="178" t="s">
        <v>6953</v>
      </c>
      <c r="C6208" s="178" t="s">
        <v>7995</v>
      </c>
      <c r="D6208" s="194" t="s">
        <v>7965</v>
      </c>
      <c r="E6208" s="200">
        <v>41075</v>
      </c>
    </row>
    <row r="6209" spans="1:5" ht="14.25" hidden="1" customHeight="1">
      <c r="A6209" s="159">
        <v>20163307</v>
      </c>
      <c r="B6209" s="176" t="s">
        <v>7969</v>
      </c>
      <c r="C6209" s="176" t="s">
        <v>7970</v>
      </c>
      <c r="D6209" s="194" t="s">
        <v>7965</v>
      </c>
      <c r="E6209" s="200">
        <v>41075</v>
      </c>
    </row>
    <row r="6210" spans="1:5" ht="14.25" hidden="1" customHeight="1">
      <c r="A6210" s="159">
        <v>20178158</v>
      </c>
      <c r="B6210" s="176" t="s">
        <v>7977</v>
      </c>
      <c r="C6210" s="176" t="s">
        <v>7728</v>
      </c>
      <c r="D6210" s="194" t="s">
        <v>7965</v>
      </c>
      <c r="E6210" s="200">
        <v>41075</v>
      </c>
    </row>
    <row r="6211" spans="1:5" ht="14.25" hidden="1" customHeight="1">
      <c r="A6211" s="161">
        <v>20803370</v>
      </c>
      <c r="B6211" s="178" t="s">
        <v>8016</v>
      </c>
      <c r="C6211" s="178" t="s">
        <v>7924</v>
      </c>
      <c r="D6211" s="194" t="s">
        <v>7965</v>
      </c>
      <c r="E6211" s="200">
        <v>41075</v>
      </c>
    </row>
    <row r="6212" spans="1:5" ht="14.25" hidden="1" customHeight="1">
      <c r="A6212" s="159">
        <v>20889207</v>
      </c>
      <c r="B6212" s="176" t="s">
        <v>8019</v>
      </c>
      <c r="C6212" s="176" t="s">
        <v>8021</v>
      </c>
      <c r="D6212" s="194" t="s">
        <v>7965</v>
      </c>
      <c r="E6212" s="200">
        <v>41075</v>
      </c>
    </row>
    <row r="6213" spans="1:5" ht="14.25" hidden="1" customHeight="1">
      <c r="A6213" s="161">
        <v>21746125</v>
      </c>
      <c r="B6213" s="178" t="s">
        <v>7978</v>
      </c>
      <c r="C6213" s="178" t="s">
        <v>7979</v>
      </c>
      <c r="D6213" s="194" t="s">
        <v>7965</v>
      </c>
      <c r="E6213" s="200">
        <v>41075</v>
      </c>
    </row>
    <row r="6214" spans="1:5" ht="14.25" hidden="1" customHeight="1">
      <c r="A6214" s="161">
        <v>22429089</v>
      </c>
      <c r="B6214" s="178" t="s">
        <v>7987</v>
      </c>
      <c r="C6214" s="178" t="s">
        <v>7989</v>
      </c>
      <c r="D6214" s="194" t="s">
        <v>7965</v>
      </c>
      <c r="E6214" s="200">
        <v>41075</v>
      </c>
    </row>
    <row r="6215" spans="1:5" ht="14.25" hidden="1" customHeight="1">
      <c r="A6215" s="161">
        <v>22482864</v>
      </c>
      <c r="B6215" s="178" t="s">
        <v>8002</v>
      </c>
      <c r="C6215" s="178" t="s">
        <v>8003</v>
      </c>
      <c r="D6215" s="194" t="s">
        <v>7965</v>
      </c>
      <c r="E6215" s="200">
        <v>41075</v>
      </c>
    </row>
    <row r="6216" spans="1:5" ht="14.25" hidden="1" customHeight="1">
      <c r="A6216" s="161">
        <v>23117031</v>
      </c>
      <c r="B6216" s="178" t="s">
        <v>7941</v>
      </c>
      <c r="C6216" s="178" t="s">
        <v>7968</v>
      </c>
      <c r="D6216" s="194" t="s">
        <v>7965</v>
      </c>
      <c r="E6216" s="200">
        <v>41075</v>
      </c>
    </row>
    <row r="6217" spans="1:5" ht="14.25" hidden="1" customHeight="1">
      <c r="A6217" s="161">
        <v>23827791</v>
      </c>
      <c r="B6217" s="178" t="s">
        <v>8012</v>
      </c>
      <c r="C6217" s="178" t="s">
        <v>8013</v>
      </c>
      <c r="D6217" s="194" t="s">
        <v>7965</v>
      </c>
      <c r="E6217" s="200">
        <v>41075</v>
      </c>
    </row>
    <row r="6218" spans="1:5" ht="14.25" hidden="1" customHeight="1">
      <c r="A6218" s="159">
        <v>23938495</v>
      </c>
      <c r="B6218" s="176" t="s">
        <v>7865</v>
      </c>
      <c r="C6218" s="176" t="s">
        <v>8009</v>
      </c>
      <c r="D6218" s="194" t="s">
        <v>7965</v>
      </c>
      <c r="E6218" s="200">
        <v>41075</v>
      </c>
    </row>
    <row r="6219" spans="1:5" ht="14.25" hidden="1" customHeight="1">
      <c r="A6219" s="159">
        <v>24622574</v>
      </c>
      <c r="B6219" s="176" t="s">
        <v>6957</v>
      </c>
      <c r="C6219" s="176" t="s">
        <v>5622</v>
      </c>
      <c r="D6219" s="194" t="s">
        <v>7965</v>
      </c>
      <c r="E6219" s="200">
        <v>41075</v>
      </c>
    </row>
    <row r="6220" spans="1:5" ht="14.25" hidden="1" customHeight="1">
      <c r="A6220" s="161">
        <v>25843521</v>
      </c>
      <c r="B6220" s="178" t="s">
        <v>7978</v>
      </c>
      <c r="C6220" s="178" t="s">
        <v>7980</v>
      </c>
      <c r="D6220" s="194" t="s">
        <v>7965</v>
      </c>
      <c r="E6220" s="200">
        <v>41075</v>
      </c>
    </row>
    <row r="6221" spans="1:5" ht="14.25" hidden="1" customHeight="1">
      <c r="A6221" s="161">
        <v>27731336</v>
      </c>
      <c r="B6221" s="178" t="s">
        <v>7992</v>
      </c>
      <c r="C6221" s="178" t="s">
        <v>7993</v>
      </c>
      <c r="D6221" s="194" t="s">
        <v>7965</v>
      </c>
      <c r="E6221" s="200">
        <v>41075</v>
      </c>
    </row>
    <row r="6222" spans="1:5" ht="14.25" hidden="1" customHeight="1">
      <c r="A6222" s="159">
        <v>28885326</v>
      </c>
      <c r="B6222" s="176" t="s">
        <v>7966</v>
      </c>
      <c r="C6222" s="176" t="s">
        <v>7967</v>
      </c>
      <c r="D6222" s="194" t="s">
        <v>7965</v>
      </c>
      <c r="E6222" s="200">
        <v>41075</v>
      </c>
    </row>
    <row r="6223" spans="1:5" ht="14.25" hidden="1" customHeight="1">
      <c r="A6223" s="159">
        <v>29289486</v>
      </c>
      <c r="B6223" s="176" t="s">
        <v>6953</v>
      </c>
      <c r="C6223" s="176" t="s">
        <v>7994</v>
      </c>
      <c r="D6223" s="194" t="s">
        <v>7965</v>
      </c>
      <c r="E6223" s="200">
        <v>41075</v>
      </c>
    </row>
    <row r="6224" spans="1:5" ht="14.25" hidden="1" customHeight="1">
      <c r="A6224" s="161">
        <v>31426299</v>
      </c>
      <c r="B6224" s="178" t="s">
        <v>8007</v>
      </c>
      <c r="C6224" s="178" t="s">
        <v>8008</v>
      </c>
      <c r="D6224" s="194" t="s">
        <v>7965</v>
      </c>
      <c r="E6224" s="200">
        <v>41075</v>
      </c>
    </row>
    <row r="6225" spans="1:5" ht="14.25" hidden="1" customHeight="1">
      <c r="A6225" s="161">
        <v>32143948</v>
      </c>
      <c r="B6225" s="178" t="s">
        <v>7971</v>
      </c>
      <c r="C6225" s="178" t="s">
        <v>7972</v>
      </c>
      <c r="D6225" s="194" t="s">
        <v>7965</v>
      </c>
      <c r="E6225" s="200">
        <v>41075</v>
      </c>
    </row>
    <row r="6226" spans="1:5" ht="14.25" hidden="1" customHeight="1">
      <c r="A6226" s="161">
        <v>32828525</v>
      </c>
      <c r="B6226" s="178" t="s">
        <v>8006</v>
      </c>
      <c r="C6226" s="178" t="s">
        <v>7924</v>
      </c>
      <c r="D6226" s="194" t="s">
        <v>7965</v>
      </c>
      <c r="E6226" s="200">
        <v>41075</v>
      </c>
    </row>
    <row r="6227" spans="1:5" ht="14.25" hidden="1" customHeight="1">
      <c r="A6227" s="161">
        <v>6558499</v>
      </c>
      <c r="B6227" s="178" t="s">
        <v>8039</v>
      </c>
      <c r="C6227" s="178" t="s">
        <v>8040</v>
      </c>
      <c r="D6227" s="194" t="s">
        <v>8023</v>
      </c>
      <c r="E6227" s="200">
        <v>41072</v>
      </c>
    </row>
    <row r="6228" spans="1:5" ht="14.25" hidden="1" customHeight="1">
      <c r="A6228" s="161">
        <v>8099810</v>
      </c>
      <c r="B6228" s="178" t="s">
        <v>8033</v>
      </c>
      <c r="C6228" s="178" t="s">
        <v>584</v>
      </c>
      <c r="D6228" s="194" t="s">
        <v>8023</v>
      </c>
      <c r="E6228" s="200">
        <v>41072</v>
      </c>
    </row>
    <row r="6229" spans="1:5" ht="14.25" hidden="1" customHeight="1">
      <c r="A6229" s="161">
        <v>12161590</v>
      </c>
      <c r="B6229" s="178" t="s">
        <v>4286</v>
      </c>
      <c r="C6229" s="178" t="s">
        <v>4719</v>
      </c>
      <c r="D6229" s="194" t="s">
        <v>8023</v>
      </c>
      <c r="E6229" s="200">
        <v>41072</v>
      </c>
    </row>
    <row r="6230" spans="1:5" ht="14.25" hidden="1" customHeight="1">
      <c r="A6230" s="161">
        <v>12540739</v>
      </c>
      <c r="B6230" s="178" t="s">
        <v>8036</v>
      </c>
      <c r="C6230" s="178" t="s">
        <v>4760</v>
      </c>
      <c r="D6230" s="194" t="s">
        <v>8023</v>
      </c>
      <c r="E6230" s="200">
        <v>41072</v>
      </c>
    </row>
    <row r="6231" spans="1:5" ht="14.25" hidden="1" customHeight="1">
      <c r="A6231" s="161">
        <v>13627719</v>
      </c>
      <c r="B6231" s="178" t="s">
        <v>2275</v>
      </c>
      <c r="C6231" s="178" t="s">
        <v>8041</v>
      </c>
      <c r="D6231" s="194" t="s">
        <v>8023</v>
      </c>
      <c r="E6231" s="200">
        <v>41072</v>
      </c>
    </row>
    <row r="6232" spans="1:5" ht="14.25" hidden="1" customHeight="1">
      <c r="A6232" s="161">
        <v>13950234</v>
      </c>
      <c r="B6232" s="178" t="s">
        <v>5536</v>
      </c>
      <c r="C6232" s="178" t="s">
        <v>8024</v>
      </c>
      <c r="D6232" s="194" t="s">
        <v>8023</v>
      </c>
      <c r="E6232" s="200">
        <v>41072</v>
      </c>
    </row>
    <row r="6233" spans="1:5" ht="14.25" hidden="1" customHeight="1">
      <c r="A6233" s="161">
        <v>14481504</v>
      </c>
      <c r="B6233" s="178" t="s">
        <v>1032</v>
      </c>
      <c r="C6233" s="178" t="s">
        <v>4723</v>
      </c>
      <c r="D6233" s="194" t="s">
        <v>8023</v>
      </c>
      <c r="E6233" s="200">
        <v>41072</v>
      </c>
    </row>
    <row r="6234" spans="1:5" ht="14.25" hidden="1" customHeight="1">
      <c r="A6234" s="161">
        <v>14661452</v>
      </c>
      <c r="B6234" s="178" t="s">
        <v>5804</v>
      </c>
      <c r="C6234" s="178" t="s">
        <v>8043</v>
      </c>
      <c r="D6234" s="194" t="s">
        <v>8023</v>
      </c>
      <c r="E6234" s="200">
        <v>41072</v>
      </c>
    </row>
    <row r="6235" spans="1:5" ht="14.25" hidden="1" customHeight="1">
      <c r="A6235" s="161">
        <v>14661674</v>
      </c>
      <c r="B6235" s="178" t="s">
        <v>547</v>
      </c>
      <c r="C6235" s="178" t="s">
        <v>8042</v>
      </c>
      <c r="D6235" s="194" t="s">
        <v>8023</v>
      </c>
      <c r="E6235" s="200">
        <v>41072</v>
      </c>
    </row>
    <row r="6236" spans="1:5" ht="14.25" hidden="1" customHeight="1">
      <c r="A6236" s="161">
        <v>16216479</v>
      </c>
      <c r="B6236" s="178" t="s">
        <v>5034</v>
      </c>
      <c r="C6236" s="178" t="s">
        <v>3858</v>
      </c>
      <c r="D6236" s="194" t="s">
        <v>8023</v>
      </c>
      <c r="E6236" s="200">
        <v>41072</v>
      </c>
    </row>
    <row r="6237" spans="1:5" ht="14.25" hidden="1" customHeight="1">
      <c r="A6237" s="161">
        <v>16432688</v>
      </c>
      <c r="B6237" s="178" t="s">
        <v>1842</v>
      </c>
      <c r="C6237" s="178" t="s">
        <v>8045</v>
      </c>
      <c r="D6237" s="194" t="s">
        <v>8023</v>
      </c>
      <c r="E6237" s="200">
        <v>41072</v>
      </c>
    </row>
    <row r="6238" spans="1:5" ht="14.25" hidden="1" customHeight="1">
      <c r="A6238" s="161">
        <v>16541257</v>
      </c>
      <c r="B6238" s="178" t="s">
        <v>8029</v>
      </c>
      <c r="C6238" s="178" t="s">
        <v>8030</v>
      </c>
      <c r="D6238" s="194" t="s">
        <v>8023</v>
      </c>
      <c r="E6238" s="200">
        <v>41072</v>
      </c>
    </row>
    <row r="6239" spans="1:5" ht="14.25" hidden="1" customHeight="1">
      <c r="A6239" s="161">
        <v>16541411</v>
      </c>
      <c r="B6239" s="178" t="s">
        <v>4746</v>
      </c>
      <c r="C6239" s="178" t="s">
        <v>4747</v>
      </c>
      <c r="D6239" s="194" t="s">
        <v>8023</v>
      </c>
      <c r="E6239" s="200">
        <v>41072</v>
      </c>
    </row>
    <row r="6240" spans="1:5" ht="14.25" hidden="1" customHeight="1">
      <c r="A6240" s="161">
        <v>17152781</v>
      </c>
      <c r="B6240" s="178" t="s">
        <v>7596</v>
      </c>
      <c r="C6240" s="178" t="s">
        <v>8046</v>
      </c>
      <c r="D6240" s="194" t="s">
        <v>8023</v>
      </c>
      <c r="E6240" s="200">
        <v>41072</v>
      </c>
    </row>
    <row r="6241" spans="1:5" ht="14.25" hidden="1" customHeight="1">
      <c r="A6241" s="161">
        <v>17182507</v>
      </c>
      <c r="B6241" s="178" t="s">
        <v>4795</v>
      </c>
      <c r="C6241" s="178" t="s">
        <v>3472</v>
      </c>
      <c r="D6241" s="194" t="s">
        <v>8023</v>
      </c>
      <c r="E6241" s="200">
        <v>41072</v>
      </c>
    </row>
    <row r="6242" spans="1:5" ht="14.25" hidden="1" customHeight="1">
      <c r="A6242" s="161">
        <v>17562419</v>
      </c>
      <c r="B6242" s="178" t="s">
        <v>4779</v>
      </c>
      <c r="C6242" s="178" t="s">
        <v>1061</v>
      </c>
      <c r="D6242" s="194" t="s">
        <v>8023</v>
      </c>
      <c r="E6242" s="200">
        <v>41072</v>
      </c>
    </row>
    <row r="6243" spans="1:5" ht="14.25" hidden="1" customHeight="1">
      <c r="A6243" s="161">
        <v>17860736</v>
      </c>
      <c r="B6243" s="178" t="s">
        <v>774</v>
      </c>
      <c r="C6243" s="178" t="s">
        <v>8031</v>
      </c>
      <c r="D6243" s="194" t="s">
        <v>8023</v>
      </c>
      <c r="E6243" s="200">
        <v>41072</v>
      </c>
    </row>
    <row r="6244" spans="1:5" ht="14.25" hidden="1" customHeight="1">
      <c r="A6244" s="161">
        <v>21172560</v>
      </c>
      <c r="B6244" s="178" t="s">
        <v>685</v>
      </c>
      <c r="C6244" s="178" t="s">
        <v>8034</v>
      </c>
      <c r="D6244" s="194" t="s">
        <v>8023</v>
      </c>
      <c r="E6244" s="200">
        <v>41072</v>
      </c>
    </row>
    <row r="6245" spans="1:5" ht="14.25" hidden="1" customHeight="1">
      <c r="A6245" s="161">
        <v>21744992</v>
      </c>
      <c r="B6245" s="178" t="s">
        <v>1823</v>
      </c>
      <c r="C6245" s="178" t="s">
        <v>1318</v>
      </c>
      <c r="D6245" s="194" t="s">
        <v>8023</v>
      </c>
      <c r="E6245" s="200">
        <v>41072</v>
      </c>
    </row>
    <row r="6246" spans="1:5" ht="14.25" hidden="1" customHeight="1">
      <c r="A6246" s="161">
        <v>21799132</v>
      </c>
      <c r="B6246" s="178" t="s">
        <v>4716</v>
      </c>
      <c r="C6246" s="178" t="s">
        <v>1153</v>
      </c>
      <c r="D6246" s="194" t="s">
        <v>8023</v>
      </c>
      <c r="E6246" s="200">
        <v>41072</v>
      </c>
    </row>
    <row r="6247" spans="1:5" ht="14.25" hidden="1" customHeight="1">
      <c r="A6247" s="161">
        <v>22073287</v>
      </c>
      <c r="B6247" s="178" t="s">
        <v>4752</v>
      </c>
      <c r="C6247" s="178" t="s">
        <v>2595</v>
      </c>
      <c r="D6247" s="194" t="s">
        <v>8023</v>
      </c>
      <c r="E6247" s="200">
        <v>41072</v>
      </c>
    </row>
    <row r="6248" spans="1:5" ht="14.25" hidden="1" customHeight="1">
      <c r="A6248" s="161">
        <v>22181023</v>
      </c>
      <c r="B6248" s="178" t="s">
        <v>497</v>
      </c>
      <c r="C6248" s="178" t="s">
        <v>3884</v>
      </c>
      <c r="D6248" s="194" t="s">
        <v>8023</v>
      </c>
      <c r="E6248" s="200">
        <v>41072</v>
      </c>
    </row>
    <row r="6249" spans="1:5" ht="14.25" hidden="1" customHeight="1">
      <c r="A6249" s="161">
        <v>22263712</v>
      </c>
      <c r="B6249" s="178" t="s">
        <v>2722</v>
      </c>
      <c r="C6249" s="178" t="s">
        <v>223</v>
      </c>
      <c r="D6249" s="194" t="s">
        <v>8023</v>
      </c>
      <c r="E6249" s="200">
        <v>41072</v>
      </c>
    </row>
    <row r="6250" spans="1:5" ht="14.25" hidden="1" customHeight="1">
      <c r="A6250" s="161">
        <v>22664437</v>
      </c>
      <c r="B6250" s="178" t="s">
        <v>4809</v>
      </c>
      <c r="C6250" s="178" t="s">
        <v>4810</v>
      </c>
      <c r="D6250" s="194" t="s">
        <v>8023</v>
      </c>
      <c r="E6250" s="200">
        <v>41072</v>
      </c>
    </row>
    <row r="6251" spans="1:5" ht="14.25" hidden="1" customHeight="1">
      <c r="A6251" s="161">
        <v>23116299</v>
      </c>
      <c r="B6251" s="178" t="s">
        <v>1793</v>
      </c>
      <c r="C6251" s="178" t="s">
        <v>1082</v>
      </c>
      <c r="D6251" s="194" t="s">
        <v>8023</v>
      </c>
      <c r="E6251" s="200">
        <v>41072</v>
      </c>
    </row>
    <row r="6252" spans="1:5" ht="14.25" hidden="1" customHeight="1">
      <c r="A6252" s="156">
        <v>23518332</v>
      </c>
      <c r="B6252" s="177" t="s">
        <v>8022</v>
      </c>
      <c r="C6252" s="177" t="s">
        <v>3199</v>
      </c>
      <c r="D6252" s="194" t="s">
        <v>8023</v>
      </c>
      <c r="E6252" s="200">
        <v>41072</v>
      </c>
    </row>
    <row r="6253" spans="1:5" ht="14.25" hidden="1" customHeight="1">
      <c r="A6253" s="161">
        <v>23930783</v>
      </c>
      <c r="B6253" s="178" t="s">
        <v>4730</v>
      </c>
      <c r="C6253" s="178" t="s">
        <v>4676</v>
      </c>
      <c r="D6253" s="194" t="s">
        <v>8023</v>
      </c>
      <c r="E6253" s="200">
        <v>41072</v>
      </c>
    </row>
    <row r="6254" spans="1:5" ht="14.25" hidden="1" customHeight="1">
      <c r="A6254" s="161">
        <v>24200921</v>
      </c>
      <c r="B6254" s="178" t="s">
        <v>4784</v>
      </c>
      <c r="C6254" s="178" t="s">
        <v>1085</v>
      </c>
      <c r="D6254" s="194" t="s">
        <v>8023</v>
      </c>
      <c r="E6254" s="200">
        <v>41072</v>
      </c>
    </row>
    <row r="6255" spans="1:5" ht="14.25" hidden="1" customHeight="1">
      <c r="A6255" s="161">
        <v>24888251</v>
      </c>
      <c r="B6255" s="178" t="s">
        <v>1385</v>
      </c>
      <c r="C6255" s="178" t="s">
        <v>4710</v>
      </c>
      <c r="D6255" s="194" t="s">
        <v>8023</v>
      </c>
      <c r="E6255" s="200">
        <v>41072</v>
      </c>
    </row>
    <row r="6256" spans="1:5" ht="14.25" hidden="1" customHeight="1">
      <c r="A6256" s="161">
        <v>24926818</v>
      </c>
      <c r="B6256" s="178" t="s">
        <v>2966</v>
      </c>
      <c r="C6256" s="178" t="s">
        <v>8032</v>
      </c>
      <c r="D6256" s="194" t="s">
        <v>8023</v>
      </c>
      <c r="E6256" s="200">
        <v>41072</v>
      </c>
    </row>
    <row r="6257" spans="1:5" ht="14.25" hidden="1" customHeight="1">
      <c r="A6257" s="161">
        <v>24982877</v>
      </c>
      <c r="B6257" s="178" t="s">
        <v>4775</v>
      </c>
      <c r="C6257" s="178" t="s">
        <v>1353</v>
      </c>
      <c r="D6257" s="194" t="s">
        <v>8023</v>
      </c>
      <c r="E6257" s="200">
        <v>41072</v>
      </c>
    </row>
    <row r="6258" spans="1:5" ht="14.25" hidden="1" customHeight="1">
      <c r="A6258" s="161">
        <v>25844152</v>
      </c>
      <c r="B6258" s="178" t="s">
        <v>4781</v>
      </c>
      <c r="C6258" s="178" t="s">
        <v>8037</v>
      </c>
      <c r="D6258" s="194" t="s">
        <v>8023</v>
      </c>
      <c r="E6258" s="200">
        <v>41072</v>
      </c>
    </row>
    <row r="6259" spans="1:5" ht="14.25" hidden="1" customHeight="1">
      <c r="A6259" s="161">
        <v>25922903</v>
      </c>
      <c r="B6259" s="178" t="s">
        <v>8038</v>
      </c>
      <c r="C6259" s="178" t="s">
        <v>1591</v>
      </c>
      <c r="D6259" s="194" t="s">
        <v>8023</v>
      </c>
      <c r="E6259" s="200">
        <v>41072</v>
      </c>
    </row>
    <row r="6260" spans="1:5" ht="14.25" hidden="1" customHeight="1">
      <c r="A6260" s="161">
        <v>26722198</v>
      </c>
      <c r="B6260" s="178" t="s">
        <v>226</v>
      </c>
      <c r="C6260" s="178" t="s">
        <v>7138</v>
      </c>
      <c r="D6260" s="194" t="s">
        <v>8023</v>
      </c>
      <c r="E6260" s="200">
        <v>41072</v>
      </c>
    </row>
    <row r="6261" spans="1:5" ht="14.25" hidden="1" customHeight="1">
      <c r="A6261" s="161">
        <v>26743222</v>
      </c>
      <c r="B6261" s="178" t="s">
        <v>4170</v>
      </c>
      <c r="C6261" s="178" t="s">
        <v>8044</v>
      </c>
      <c r="D6261" s="194" t="s">
        <v>8023</v>
      </c>
      <c r="E6261" s="200">
        <v>41072</v>
      </c>
    </row>
    <row r="6262" spans="1:5" ht="14.25" hidden="1" customHeight="1">
      <c r="A6262" s="161">
        <v>27651548</v>
      </c>
      <c r="B6262" s="178" t="s">
        <v>8035</v>
      </c>
      <c r="C6262" s="178" t="s">
        <v>5509</v>
      </c>
      <c r="D6262" s="194" t="s">
        <v>8023</v>
      </c>
      <c r="E6262" s="200">
        <v>41072</v>
      </c>
    </row>
    <row r="6263" spans="1:5" ht="14.25" hidden="1" customHeight="1">
      <c r="A6263" s="161">
        <v>29878683</v>
      </c>
      <c r="B6263" s="178" t="s">
        <v>4777</v>
      </c>
      <c r="C6263" s="178" t="s">
        <v>4778</v>
      </c>
      <c r="D6263" s="194" t="s">
        <v>8023</v>
      </c>
      <c r="E6263" s="200">
        <v>41072</v>
      </c>
    </row>
    <row r="6264" spans="1:5" ht="14.25" hidden="1" customHeight="1">
      <c r="A6264" s="161">
        <v>30442558</v>
      </c>
      <c r="B6264" s="178" t="s">
        <v>8025</v>
      </c>
      <c r="C6264" s="178" t="s">
        <v>8026</v>
      </c>
      <c r="D6264" s="194" t="s">
        <v>8023</v>
      </c>
      <c r="E6264" s="200">
        <v>41072</v>
      </c>
    </row>
    <row r="6265" spans="1:5" ht="14.25" hidden="1" customHeight="1">
      <c r="A6265" s="161">
        <v>31030239</v>
      </c>
      <c r="B6265" s="178" t="s">
        <v>1216</v>
      </c>
      <c r="C6265" s="178" t="s">
        <v>4790</v>
      </c>
      <c r="D6265" s="194" t="s">
        <v>8023</v>
      </c>
      <c r="E6265" s="200">
        <v>41072</v>
      </c>
    </row>
    <row r="6266" spans="1:5" ht="14.25" hidden="1" customHeight="1">
      <c r="A6266" s="161"/>
      <c r="B6266" s="178" t="s">
        <v>8027</v>
      </c>
      <c r="C6266" s="178" t="s">
        <v>8028</v>
      </c>
      <c r="D6266" s="194" t="s">
        <v>8023</v>
      </c>
      <c r="E6266" s="200">
        <v>41072</v>
      </c>
    </row>
    <row r="6267" spans="1:5" ht="14.25" hidden="1" customHeight="1">
      <c r="A6267" s="156">
        <v>8477123</v>
      </c>
      <c r="B6267" s="172" t="s">
        <v>6566</v>
      </c>
      <c r="C6267" s="172" t="s">
        <v>8050</v>
      </c>
      <c r="D6267" s="194" t="s">
        <v>8047</v>
      </c>
      <c r="E6267" s="200">
        <v>41052</v>
      </c>
    </row>
    <row r="6268" spans="1:5" ht="14.25" hidden="1" customHeight="1">
      <c r="A6268" s="156">
        <v>10708297</v>
      </c>
      <c r="B6268" s="172" t="s">
        <v>1592</v>
      </c>
      <c r="C6268" s="172" t="s">
        <v>1593</v>
      </c>
      <c r="D6268" s="194" t="s">
        <v>8047</v>
      </c>
      <c r="E6268" s="200">
        <v>41052</v>
      </c>
    </row>
    <row r="6269" spans="1:5" ht="14.25" hidden="1" customHeight="1">
      <c r="A6269" s="156">
        <v>10910039</v>
      </c>
      <c r="B6269" s="172" t="s">
        <v>2460</v>
      </c>
      <c r="C6269" s="172" t="s">
        <v>4509</v>
      </c>
      <c r="D6269" s="194" t="s">
        <v>8047</v>
      </c>
      <c r="E6269" s="200">
        <v>41052</v>
      </c>
    </row>
    <row r="6270" spans="1:5" ht="14.25" hidden="1" customHeight="1">
      <c r="A6270" s="156">
        <v>14709050</v>
      </c>
      <c r="B6270" s="172" t="s">
        <v>6050</v>
      </c>
      <c r="C6270" s="172" t="s">
        <v>215</v>
      </c>
      <c r="D6270" s="194" t="s">
        <v>8047</v>
      </c>
      <c r="E6270" s="200">
        <v>41052</v>
      </c>
    </row>
    <row r="6271" spans="1:5" ht="14.25" hidden="1" customHeight="1">
      <c r="A6271" s="156">
        <v>16314577</v>
      </c>
      <c r="B6271" s="172" t="s">
        <v>377</v>
      </c>
      <c r="C6271" s="172" t="s">
        <v>378</v>
      </c>
      <c r="D6271" s="194" t="s">
        <v>8047</v>
      </c>
      <c r="E6271" s="200">
        <v>41052</v>
      </c>
    </row>
    <row r="6272" spans="1:5" ht="14.25" hidden="1" customHeight="1">
      <c r="A6272" s="156">
        <v>16540820</v>
      </c>
      <c r="B6272" s="172" t="s">
        <v>5082</v>
      </c>
      <c r="C6272" s="172" t="s">
        <v>8048</v>
      </c>
      <c r="D6272" s="194" t="s">
        <v>8047</v>
      </c>
      <c r="E6272" s="200">
        <v>41052</v>
      </c>
    </row>
    <row r="6273" spans="1:5" ht="14.25" hidden="1" customHeight="1">
      <c r="A6273" s="156">
        <v>16686145</v>
      </c>
      <c r="B6273" s="172" t="s">
        <v>7808</v>
      </c>
      <c r="C6273" s="172" t="s">
        <v>8049</v>
      </c>
      <c r="D6273" s="194" t="s">
        <v>8047</v>
      </c>
      <c r="E6273" s="200">
        <v>41052</v>
      </c>
    </row>
    <row r="6274" spans="1:5" ht="14.25" hidden="1" customHeight="1">
      <c r="A6274" s="156">
        <v>17146832</v>
      </c>
      <c r="B6274" s="172" t="s">
        <v>311</v>
      </c>
      <c r="C6274" s="172" t="s">
        <v>312</v>
      </c>
      <c r="D6274" s="194" t="s">
        <v>8047</v>
      </c>
      <c r="E6274" s="200">
        <v>41052</v>
      </c>
    </row>
    <row r="6275" spans="1:5" ht="14.25" hidden="1" customHeight="1">
      <c r="A6275" s="156">
        <v>18465826</v>
      </c>
      <c r="B6275" s="172" t="s">
        <v>1482</v>
      </c>
      <c r="C6275" s="172" t="s">
        <v>876</v>
      </c>
      <c r="D6275" s="194" t="s">
        <v>8047</v>
      </c>
      <c r="E6275" s="200">
        <v>41052</v>
      </c>
    </row>
    <row r="6276" spans="1:5" ht="14.25" hidden="1" customHeight="1">
      <c r="A6276" s="156">
        <v>21327352</v>
      </c>
      <c r="B6276" s="172" t="s">
        <v>7774</v>
      </c>
      <c r="C6276" s="172" t="s">
        <v>3466</v>
      </c>
      <c r="D6276" s="194" t="s">
        <v>8047</v>
      </c>
      <c r="E6276" s="200">
        <v>41052</v>
      </c>
    </row>
    <row r="6277" spans="1:5" ht="14.25" hidden="1" customHeight="1">
      <c r="A6277" s="156">
        <v>25542562</v>
      </c>
      <c r="B6277" s="172" t="s">
        <v>3237</v>
      </c>
      <c r="C6277" s="172" t="s">
        <v>7133</v>
      </c>
      <c r="D6277" s="194" t="s">
        <v>8047</v>
      </c>
      <c r="E6277" s="200">
        <v>41052</v>
      </c>
    </row>
    <row r="6278" spans="1:5" ht="14.25" hidden="1" customHeight="1">
      <c r="A6278" s="156">
        <v>27945367</v>
      </c>
      <c r="B6278" s="172" t="s">
        <v>1599</v>
      </c>
      <c r="C6278" s="172" t="s">
        <v>1600</v>
      </c>
      <c r="D6278" s="194" t="s">
        <v>8047</v>
      </c>
      <c r="E6278" s="200">
        <v>41052</v>
      </c>
    </row>
    <row r="6279" spans="1:5" ht="14.25" hidden="1" customHeight="1">
      <c r="A6279" s="156">
        <v>29430338</v>
      </c>
      <c r="B6279" s="172" t="s">
        <v>1097</v>
      </c>
      <c r="C6279" s="172" t="s">
        <v>1098</v>
      </c>
      <c r="D6279" s="194" t="s">
        <v>8047</v>
      </c>
      <c r="E6279" s="200">
        <v>41052</v>
      </c>
    </row>
    <row r="6280" spans="1:5" ht="14.25" hidden="1" customHeight="1">
      <c r="A6280" s="156">
        <v>30497720</v>
      </c>
      <c r="B6280" s="172" t="s">
        <v>2990</v>
      </c>
      <c r="C6280" s="172" t="s">
        <v>6443</v>
      </c>
      <c r="D6280" s="194" t="s">
        <v>8047</v>
      </c>
      <c r="E6280" s="200">
        <v>41052</v>
      </c>
    </row>
    <row r="6281" spans="1:5" ht="14.25" hidden="1" customHeight="1">
      <c r="A6281" s="156">
        <v>33049000</v>
      </c>
      <c r="B6281" s="172" t="s">
        <v>1700</v>
      </c>
      <c r="C6281" s="172" t="s">
        <v>1701</v>
      </c>
      <c r="D6281" s="194" t="s">
        <v>8047</v>
      </c>
      <c r="E6281" s="200">
        <v>41052</v>
      </c>
    </row>
    <row r="6282" spans="1:5" ht="14.25" hidden="1" customHeight="1">
      <c r="A6282" s="156">
        <v>17859409</v>
      </c>
      <c r="B6282" s="172" t="s">
        <v>8051</v>
      </c>
      <c r="C6282" s="172" t="s">
        <v>8052</v>
      </c>
      <c r="D6282" s="194" t="s">
        <v>7009</v>
      </c>
      <c r="E6282" s="200">
        <v>41051</v>
      </c>
    </row>
    <row r="6283" spans="1:5" ht="14.25" hidden="1" customHeight="1">
      <c r="A6283" s="156">
        <v>17859844</v>
      </c>
      <c r="B6283" s="172" t="s">
        <v>1234</v>
      </c>
      <c r="C6283" s="172" t="s">
        <v>165</v>
      </c>
      <c r="D6283" s="194" t="s">
        <v>7009</v>
      </c>
      <c r="E6283" s="200">
        <v>41051</v>
      </c>
    </row>
    <row r="6284" spans="1:5" ht="14.25" hidden="1" customHeight="1">
      <c r="A6284" s="156">
        <v>17947073</v>
      </c>
      <c r="B6284" s="172" t="s">
        <v>1145</v>
      </c>
      <c r="C6284" s="172" t="s">
        <v>1146</v>
      </c>
      <c r="D6284" s="194" t="s">
        <v>7009</v>
      </c>
      <c r="E6284" s="200">
        <v>41051</v>
      </c>
    </row>
    <row r="6285" spans="1:5" ht="14.25" hidden="1" customHeight="1">
      <c r="A6285" s="156">
        <v>20218903</v>
      </c>
      <c r="B6285" s="172" t="s">
        <v>633</v>
      </c>
      <c r="C6285" s="172" t="s">
        <v>27</v>
      </c>
      <c r="D6285" s="194" t="s">
        <v>7009</v>
      </c>
      <c r="E6285" s="200">
        <v>41051</v>
      </c>
    </row>
    <row r="6286" spans="1:5" ht="14.25" hidden="1" customHeight="1">
      <c r="A6286" s="156">
        <v>20285526</v>
      </c>
      <c r="B6286" s="172" t="s">
        <v>2116</v>
      </c>
      <c r="C6286" s="172" t="s">
        <v>1187</v>
      </c>
      <c r="D6286" s="194" t="s">
        <v>7009</v>
      </c>
      <c r="E6286" s="200">
        <v>41051</v>
      </c>
    </row>
    <row r="6287" spans="1:5" ht="14.25" hidden="1" customHeight="1">
      <c r="A6287" s="156">
        <v>24982872</v>
      </c>
      <c r="B6287" s="172" t="s">
        <v>304</v>
      </c>
      <c r="C6287" s="172" t="s">
        <v>153</v>
      </c>
      <c r="D6287" s="194" t="s">
        <v>7009</v>
      </c>
      <c r="E6287" s="200">
        <v>41051</v>
      </c>
    </row>
    <row r="6288" spans="1:5" ht="14.25" hidden="1" customHeight="1">
      <c r="A6288" s="156">
        <v>24982872</v>
      </c>
      <c r="B6288" s="172" t="s">
        <v>304</v>
      </c>
      <c r="C6288" s="172" t="s">
        <v>153</v>
      </c>
      <c r="D6288" s="194" t="s">
        <v>7009</v>
      </c>
      <c r="E6288" s="200">
        <v>41051</v>
      </c>
    </row>
    <row r="6289" spans="1:5" ht="14.25" hidden="1" customHeight="1">
      <c r="A6289" s="156">
        <v>25211601</v>
      </c>
      <c r="B6289" s="172" t="s">
        <v>1957</v>
      </c>
      <c r="C6289" s="172" t="s">
        <v>1958</v>
      </c>
      <c r="D6289" s="194" t="s">
        <v>7009</v>
      </c>
      <c r="E6289" s="200">
        <v>41051</v>
      </c>
    </row>
    <row r="6290" spans="1:5" ht="14.25" hidden="1" customHeight="1">
      <c r="A6290" s="156">
        <v>25213575</v>
      </c>
      <c r="B6290" s="172" t="s">
        <v>64</v>
      </c>
      <c r="C6290" s="172" t="s">
        <v>1103</v>
      </c>
      <c r="D6290" s="194" t="s">
        <v>7009</v>
      </c>
      <c r="E6290" s="200">
        <v>41051</v>
      </c>
    </row>
    <row r="6291" spans="1:5" ht="14.25" hidden="1" customHeight="1">
      <c r="A6291" s="156">
        <v>25213575</v>
      </c>
      <c r="B6291" s="172" t="s">
        <v>64</v>
      </c>
      <c r="C6291" s="172" t="s">
        <v>1103</v>
      </c>
      <c r="D6291" s="194" t="s">
        <v>7009</v>
      </c>
      <c r="E6291" s="200">
        <v>41051</v>
      </c>
    </row>
    <row r="6292" spans="1:5" ht="14.25" hidden="1" customHeight="1">
      <c r="A6292" s="156">
        <v>25843239</v>
      </c>
      <c r="B6292" s="172" t="s">
        <v>4874</v>
      </c>
      <c r="C6292" s="172" t="s">
        <v>1801</v>
      </c>
      <c r="D6292" s="194" t="s">
        <v>7009</v>
      </c>
      <c r="E6292" s="200">
        <v>41051</v>
      </c>
    </row>
    <row r="6293" spans="1:5" ht="14.25" hidden="1" customHeight="1">
      <c r="A6293" s="156">
        <v>27651109</v>
      </c>
      <c r="B6293" s="172" t="s">
        <v>2231</v>
      </c>
      <c r="C6293" s="172" t="s">
        <v>2232</v>
      </c>
      <c r="D6293" s="194" t="s">
        <v>7009</v>
      </c>
      <c r="E6293" s="200">
        <v>41051</v>
      </c>
    </row>
    <row r="6294" spans="1:5" ht="14.25" hidden="1" customHeight="1">
      <c r="A6294" s="156">
        <v>27651109</v>
      </c>
      <c r="B6294" s="172" t="s">
        <v>2231</v>
      </c>
      <c r="C6294" s="172" t="s">
        <v>2232</v>
      </c>
      <c r="D6294" s="194" t="s">
        <v>7009</v>
      </c>
      <c r="E6294" s="200">
        <v>41051</v>
      </c>
    </row>
    <row r="6295" spans="1:5" ht="14.25" hidden="1" customHeight="1">
      <c r="A6295" s="156">
        <v>27751765</v>
      </c>
      <c r="B6295" s="172" t="s">
        <v>5355</v>
      </c>
      <c r="C6295" s="172" t="s">
        <v>5356</v>
      </c>
      <c r="D6295" s="194" t="s">
        <v>7009</v>
      </c>
      <c r="E6295" s="200">
        <v>41051</v>
      </c>
    </row>
    <row r="6296" spans="1:5" ht="14.25" hidden="1" customHeight="1">
      <c r="A6296" s="156">
        <v>29338236</v>
      </c>
      <c r="B6296" s="172" t="s">
        <v>1148</v>
      </c>
      <c r="C6296" s="172" t="s">
        <v>1149</v>
      </c>
      <c r="D6296" s="194" t="s">
        <v>7009</v>
      </c>
      <c r="E6296" s="200">
        <v>41051</v>
      </c>
    </row>
    <row r="6297" spans="1:5" ht="14.25" hidden="1" customHeight="1">
      <c r="A6297" s="156">
        <v>30539099</v>
      </c>
      <c r="B6297" s="172" t="s">
        <v>905</v>
      </c>
      <c r="C6297" s="172" t="s">
        <v>906</v>
      </c>
      <c r="D6297" s="194" t="s">
        <v>7009</v>
      </c>
      <c r="E6297" s="200">
        <v>41051</v>
      </c>
    </row>
    <row r="6298" spans="1:5" ht="14.25" hidden="1" customHeight="1">
      <c r="A6298" s="156">
        <v>31816834</v>
      </c>
      <c r="B6298" s="172" t="s">
        <v>288</v>
      </c>
      <c r="C6298" s="172" t="s">
        <v>1141</v>
      </c>
      <c r="D6298" s="194" t="s">
        <v>7009</v>
      </c>
      <c r="E6298" s="200">
        <v>41051</v>
      </c>
    </row>
    <row r="6299" spans="1:5" ht="14.25" hidden="1" customHeight="1">
      <c r="A6299" s="156">
        <v>32629805</v>
      </c>
      <c r="B6299" s="172" t="s">
        <v>592</v>
      </c>
      <c r="C6299" s="172" t="s">
        <v>924</v>
      </c>
      <c r="D6299" s="194" t="s">
        <v>7009</v>
      </c>
      <c r="E6299" s="200">
        <v>41051</v>
      </c>
    </row>
    <row r="6300" spans="1:5" ht="14.25" hidden="1" customHeight="1">
      <c r="A6300" s="156">
        <v>32775577</v>
      </c>
      <c r="B6300" s="172" t="s">
        <v>1081</v>
      </c>
      <c r="C6300" s="172" t="s">
        <v>1082</v>
      </c>
      <c r="D6300" s="194" t="s">
        <v>7009</v>
      </c>
      <c r="E6300" s="200">
        <v>41051</v>
      </c>
    </row>
    <row r="6301" spans="1:5" ht="14.25" hidden="1" customHeight="1">
      <c r="A6301" s="156">
        <v>17269004</v>
      </c>
      <c r="B6301" s="172" t="s">
        <v>26</v>
      </c>
      <c r="C6301" s="172" t="s">
        <v>7879</v>
      </c>
      <c r="D6301" s="194" t="s">
        <v>7018</v>
      </c>
      <c r="E6301" s="200">
        <v>41051</v>
      </c>
    </row>
    <row r="6302" spans="1:5" ht="14.25" hidden="1" customHeight="1">
      <c r="A6302" s="156">
        <v>20803370</v>
      </c>
      <c r="B6302" s="172" t="s">
        <v>1631</v>
      </c>
      <c r="C6302" s="172" t="s">
        <v>1632</v>
      </c>
      <c r="D6302" s="194" t="s">
        <v>7018</v>
      </c>
      <c r="E6302" s="200">
        <v>41051</v>
      </c>
    </row>
    <row r="6303" spans="1:5" ht="14.25" hidden="1" customHeight="1">
      <c r="A6303" s="156">
        <v>25213575</v>
      </c>
      <c r="B6303" s="172" t="s">
        <v>64</v>
      </c>
      <c r="C6303" s="172" t="s">
        <v>1103</v>
      </c>
      <c r="D6303" s="194" t="s">
        <v>7018</v>
      </c>
      <c r="E6303" s="200">
        <v>41051</v>
      </c>
    </row>
    <row r="6304" spans="1:5" ht="14.25" hidden="1" customHeight="1">
      <c r="A6304" s="156">
        <v>25213575</v>
      </c>
      <c r="B6304" s="172" t="s">
        <v>64</v>
      </c>
      <c r="C6304" s="172" t="s">
        <v>1103</v>
      </c>
      <c r="D6304" s="194" t="s">
        <v>7018</v>
      </c>
      <c r="E6304" s="200">
        <v>41051</v>
      </c>
    </row>
    <row r="6305" spans="1:5" ht="14.25" hidden="1" customHeight="1">
      <c r="A6305" s="156">
        <v>25542562</v>
      </c>
      <c r="B6305" s="172" t="s">
        <v>3237</v>
      </c>
      <c r="C6305" s="172" t="s">
        <v>7133</v>
      </c>
      <c r="D6305" s="194" t="s">
        <v>7018</v>
      </c>
      <c r="E6305" s="200">
        <v>41051</v>
      </c>
    </row>
    <row r="6306" spans="1:5" ht="14.25" hidden="1" customHeight="1">
      <c r="A6306" s="156">
        <v>25843239</v>
      </c>
      <c r="B6306" s="172" t="s">
        <v>4874</v>
      </c>
      <c r="C6306" s="172" t="s">
        <v>1801</v>
      </c>
      <c r="D6306" s="194" t="s">
        <v>7018</v>
      </c>
      <c r="E6306" s="200">
        <v>41051</v>
      </c>
    </row>
    <row r="6307" spans="1:5" ht="14.25" hidden="1" customHeight="1">
      <c r="A6307" s="156">
        <v>14073571</v>
      </c>
      <c r="B6307" s="172" t="s">
        <v>1190</v>
      </c>
      <c r="C6307" s="172" t="s">
        <v>922</v>
      </c>
      <c r="D6307" s="194" t="s">
        <v>8053</v>
      </c>
      <c r="E6307" s="200">
        <v>41050</v>
      </c>
    </row>
    <row r="6308" spans="1:5" ht="14.25" hidden="1" customHeight="1">
      <c r="A6308" s="156">
        <v>14984007</v>
      </c>
      <c r="B6308" s="172" t="s">
        <v>3742</v>
      </c>
      <c r="C6308" s="172" t="s">
        <v>3743</v>
      </c>
      <c r="D6308" s="194" t="s">
        <v>8053</v>
      </c>
      <c r="E6308" s="200">
        <v>41050</v>
      </c>
    </row>
    <row r="6309" spans="1:5" ht="14.25" hidden="1" customHeight="1">
      <c r="A6309" s="156">
        <v>27364727</v>
      </c>
      <c r="B6309" s="172" t="s">
        <v>1833</v>
      </c>
      <c r="C6309" s="172" t="s">
        <v>1834</v>
      </c>
      <c r="D6309" s="194" t="s">
        <v>8053</v>
      </c>
      <c r="E6309" s="200">
        <v>41050</v>
      </c>
    </row>
    <row r="6310" spans="1:5" ht="14.25" hidden="1" customHeight="1">
      <c r="A6310" s="156">
        <v>30357304</v>
      </c>
      <c r="B6310" s="172" t="s">
        <v>350</v>
      </c>
      <c r="C6310" s="172" t="s">
        <v>588</v>
      </c>
      <c r="D6310" s="194" t="s">
        <v>8053</v>
      </c>
      <c r="E6310" s="200">
        <v>41050</v>
      </c>
    </row>
    <row r="6311" spans="1:5" ht="14.25" hidden="1" customHeight="1">
      <c r="A6311" s="156">
        <v>34287573</v>
      </c>
      <c r="B6311" s="172" t="s">
        <v>218</v>
      </c>
      <c r="C6311" s="172" t="s">
        <v>6155</v>
      </c>
      <c r="D6311" s="194" t="s">
        <v>8053</v>
      </c>
      <c r="E6311" s="200">
        <v>41050</v>
      </c>
    </row>
    <row r="6312" spans="1:5" ht="14.25" hidden="1" customHeight="1">
      <c r="A6312" s="156">
        <v>6546050</v>
      </c>
      <c r="B6312" s="172" t="s">
        <v>4153</v>
      </c>
      <c r="C6312" s="172" t="s">
        <v>4398</v>
      </c>
      <c r="D6312" s="195" t="s">
        <v>7020</v>
      </c>
      <c r="E6312" s="200">
        <v>41050</v>
      </c>
    </row>
    <row r="6313" spans="1:5" ht="14.25" hidden="1" customHeight="1">
      <c r="A6313" s="156">
        <v>8294143</v>
      </c>
      <c r="B6313" s="172" t="s">
        <v>4364</v>
      </c>
      <c r="C6313" s="172" t="s">
        <v>4365</v>
      </c>
      <c r="D6313" s="195" t="s">
        <v>7020</v>
      </c>
      <c r="E6313" s="200">
        <v>41050</v>
      </c>
    </row>
    <row r="6314" spans="1:5" ht="14.25" hidden="1" customHeight="1">
      <c r="A6314" s="156">
        <v>10791578</v>
      </c>
      <c r="B6314" s="172" t="s">
        <v>1216</v>
      </c>
      <c r="C6314" s="172" t="s">
        <v>2236</v>
      </c>
      <c r="D6314" s="195" t="s">
        <v>7020</v>
      </c>
      <c r="E6314" s="200">
        <v>41050</v>
      </c>
    </row>
    <row r="6315" spans="1:5" ht="14.25" hidden="1" customHeight="1">
      <c r="A6315" s="156">
        <v>14353240</v>
      </c>
      <c r="B6315" s="172" t="s">
        <v>3749</v>
      </c>
      <c r="C6315" s="172" t="s">
        <v>414</v>
      </c>
      <c r="D6315" s="195" t="s">
        <v>7020</v>
      </c>
      <c r="E6315" s="200">
        <v>41050</v>
      </c>
    </row>
    <row r="6316" spans="1:5" ht="14.25" hidden="1" customHeight="1">
      <c r="A6316" s="156">
        <v>16039421</v>
      </c>
      <c r="B6316" s="172" t="s">
        <v>4384</v>
      </c>
      <c r="C6316" s="172" t="s">
        <v>4385</v>
      </c>
      <c r="D6316" s="195" t="s">
        <v>7020</v>
      </c>
      <c r="E6316" s="200">
        <v>41050</v>
      </c>
    </row>
    <row r="6317" spans="1:5" ht="14.25" hidden="1" customHeight="1">
      <c r="A6317" s="156">
        <v>18408803</v>
      </c>
      <c r="B6317" s="172" t="s">
        <v>26</v>
      </c>
      <c r="C6317" s="172" t="s">
        <v>1883</v>
      </c>
      <c r="D6317" s="195" t="s">
        <v>7020</v>
      </c>
      <c r="E6317" s="200">
        <v>41050</v>
      </c>
    </row>
    <row r="6318" spans="1:5" ht="14.25" hidden="1" customHeight="1">
      <c r="A6318" s="156">
        <v>23020149</v>
      </c>
      <c r="B6318" s="172" t="s">
        <v>2622</v>
      </c>
      <c r="C6318" s="172" t="s">
        <v>4999</v>
      </c>
      <c r="D6318" s="195" t="s">
        <v>7020</v>
      </c>
      <c r="E6318" s="200">
        <v>41050</v>
      </c>
    </row>
    <row r="6319" spans="1:5" ht="14.25" hidden="1" customHeight="1">
      <c r="A6319" s="156">
        <v>31173872</v>
      </c>
      <c r="B6319" s="172" t="s">
        <v>207</v>
      </c>
      <c r="C6319" s="172" t="s">
        <v>8054</v>
      </c>
      <c r="D6319" s="195" t="s">
        <v>7020</v>
      </c>
      <c r="E6319" s="200">
        <v>41050</v>
      </c>
    </row>
    <row r="6320" spans="1:5" ht="14.25" hidden="1" customHeight="1">
      <c r="A6320" s="156">
        <v>33541638</v>
      </c>
      <c r="B6320" s="172" t="s">
        <v>2310</v>
      </c>
      <c r="C6320" s="172" t="s">
        <v>30</v>
      </c>
      <c r="D6320" s="195" t="s">
        <v>7020</v>
      </c>
      <c r="E6320" s="200">
        <v>41050</v>
      </c>
    </row>
    <row r="6321" spans="1:5" ht="14.25" hidden="1" customHeight="1">
      <c r="A6321" s="156">
        <v>25211601</v>
      </c>
      <c r="B6321" s="172" t="s">
        <v>1957</v>
      </c>
      <c r="C6321" s="172" t="s">
        <v>1958</v>
      </c>
      <c r="D6321" s="194" t="s">
        <v>7770</v>
      </c>
      <c r="E6321" s="200">
        <v>41042</v>
      </c>
    </row>
    <row r="6322" spans="1:5" ht="14.25" hidden="1" customHeight="1">
      <c r="A6322" s="156">
        <v>25211601</v>
      </c>
      <c r="B6322" s="172" t="s">
        <v>1957</v>
      </c>
      <c r="C6322" s="172" t="s">
        <v>1958</v>
      </c>
      <c r="D6322" s="194" t="s">
        <v>7770</v>
      </c>
      <c r="E6322" s="200">
        <v>41042</v>
      </c>
    </row>
    <row r="6323" spans="1:5" ht="14.25" hidden="1" customHeight="1">
      <c r="A6323" s="156">
        <v>33541638</v>
      </c>
      <c r="B6323" s="172" t="s">
        <v>2310</v>
      </c>
      <c r="C6323" s="172" t="s">
        <v>30</v>
      </c>
      <c r="D6323" s="194" t="s">
        <v>7770</v>
      </c>
      <c r="E6323" s="200">
        <v>41042</v>
      </c>
    </row>
    <row r="6324" spans="1:5" ht="14.25" hidden="1" customHeight="1">
      <c r="A6324" s="156">
        <v>10556438</v>
      </c>
      <c r="B6324" s="172" t="s">
        <v>2475</v>
      </c>
      <c r="C6324" s="172" t="s">
        <v>2476</v>
      </c>
      <c r="D6324" s="194" t="s">
        <v>8056</v>
      </c>
      <c r="E6324" s="200">
        <v>41031</v>
      </c>
    </row>
    <row r="6325" spans="1:5" ht="14.25" hidden="1" customHeight="1">
      <c r="A6325" s="156">
        <v>10556438</v>
      </c>
      <c r="B6325" s="172" t="s">
        <v>2475</v>
      </c>
      <c r="C6325" s="172" t="s">
        <v>2476</v>
      </c>
      <c r="D6325" s="194" t="s">
        <v>8056</v>
      </c>
      <c r="E6325" s="200">
        <v>41031</v>
      </c>
    </row>
    <row r="6326" spans="1:5" ht="14.25" hidden="1" customHeight="1">
      <c r="A6326" s="156">
        <v>10645222</v>
      </c>
      <c r="B6326" s="172" t="s">
        <v>3732</v>
      </c>
      <c r="C6326" s="172" t="s">
        <v>2196</v>
      </c>
      <c r="D6326" s="194" t="s">
        <v>8056</v>
      </c>
      <c r="E6326" s="200">
        <v>41031</v>
      </c>
    </row>
    <row r="6327" spans="1:5" ht="14.25" hidden="1" customHeight="1">
      <c r="A6327" s="156">
        <v>10645222</v>
      </c>
      <c r="B6327" s="172" t="s">
        <v>3732</v>
      </c>
      <c r="C6327" s="172" t="s">
        <v>2196</v>
      </c>
      <c r="D6327" s="194" t="s">
        <v>8056</v>
      </c>
      <c r="E6327" s="200">
        <v>41031</v>
      </c>
    </row>
    <row r="6328" spans="1:5" ht="14.25" hidden="1" customHeight="1">
      <c r="A6328" s="156">
        <v>11708174</v>
      </c>
      <c r="B6328" s="177" t="s">
        <v>1628</v>
      </c>
      <c r="C6328" s="177" t="s">
        <v>1629</v>
      </c>
      <c r="D6328" s="194" t="s">
        <v>8056</v>
      </c>
      <c r="E6328" s="200">
        <v>41031</v>
      </c>
    </row>
    <row r="6329" spans="1:5" ht="14.25" hidden="1" customHeight="1">
      <c r="A6329" s="156">
        <v>12161942</v>
      </c>
      <c r="B6329" s="172" t="s">
        <v>4279</v>
      </c>
      <c r="C6329" s="172" t="s">
        <v>4280</v>
      </c>
      <c r="D6329" s="194" t="s">
        <v>8056</v>
      </c>
      <c r="E6329" s="200">
        <v>41031</v>
      </c>
    </row>
    <row r="6330" spans="1:5" ht="14.25" hidden="1" customHeight="1">
      <c r="A6330" s="156">
        <v>12161942</v>
      </c>
      <c r="B6330" s="172" t="s">
        <v>4279</v>
      </c>
      <c r="C6330" s="172" t="s">
        <v>4280</v>
      </c>
      <c r="D6330" s="194" t="s">
        <v>8056</v>
      </c>
      <c r="E6330" s="200">
        <v>41031</v>
      </c>
    </row>
    <row r="6331" spans="1:5" ht="14.25" hidden="1" customHeight="1">
      <c r="A6331" s="156">
        <v>12562167</v>
      </c>
      <c r="B6331" s="172" t="s">
        <v>226</v>
      </c>
      <c r="C6331" s="172" t="s">
        <v>3533</v>
      </c>
      <c r="D6331" s="194" t="s">
        <v>8056</v>
      </c>
      <c r="E6331" s="200">
        <v>41031</v>
      </c>
    </row>
    <row r="6332" spans="1:5" ht="14.25" hidden="1" customHeight="1">
      <c r="A6332" s="156">
        <v>12562167</v>
      </c>
      <c r="B6332" s="172" t="s">
        <v>226</v>
      </c>
      <c r="C6332" s="172" t="s">
        <v>3533</v>
      </c>
      <c r="D6332" s="194" t="s">
        <v>8056</v>
      </c>
      <c r="E6332" s="200">
        <v>41031</v>
      </c>
    </row>
    <row r="6333" spans="1:5" ht="14.25" hidden="1" customHeight="1">
      <c r="A6333" s="156">
        <v>12609312</v>
      </c>
      <c r="B6333" s="172" t="s">
        <v>156</v>
      </c>
      <c r="C6333" s="172" t="s">
        <v>157</v>
      </c>
      <c r="D6333" s="194" t="s">
        <v>8056</v>
      </c>
      <c r="E6333" s="200">
        <v>41031</v>
      </c>
    </row>
    <row r="6334" spans="1:5" ht="14.25" hidden="1" customHeight="1">
      <c r="A6334" s="156">
        <v>12609312</v>
      </c>
      <c r="B6334" s="172" t="s">
        <v>156</v>
      </c>
      <c r="C6334" s="172" t="s">
        <v>157</v>
      </c>
      <c r="D6334" s="194" t="s">
        <v>8056</v>
      </c>
      <c r="E6334" s="200">
        <v>41031</v>
      </c>
    </row>
    <row r="6335" spans="1:5" ht="14.25" hidden="1" customHeight="1">
      <c r="A6335" s="156">
        <v>13475048</v>
      </c>
      <c r="B6335" s="177" t="s">
        <v>499</v>
      </c>
      <c r="C6335" s="177" t="s">
        <v>8058</v>
      </c>
      <c r="D6335" s="194" t="s">
        <v>8056</v>
      </c>
      <c r="E6335" s="200">
        <v>41031</v>
      </c>
    </row>
    <row r="6336" spans="1:5" ht="14.25" hidden="1" customHeight="1">
      <c r="A6336" s="156">
        <v>13628946</v>
      </c>
      <c r="B6336" s="177" t="s">
        <v>652</v>
      </c>
      <c r="C6336" s="177" t="s">
        <v>7173</v>
      </c>
      <c r="D6336" s="194" t="s">
        <v>8056</v>
      </c>
      <c r="E6336" s="200">
        <v>41031</v>
      </c>
    </row>
    <row r="6337" spans="1:5" ht="14.25" hidden="1" customHeight="1">
      <c r="A6337" s="156">
        <v>14226968</v>
      </c>
      <c r="B6337" s="172" t="s">
        <v>2460</v>
      </c>
      <c r="C6337" s="172" t="s">
        <v>351</v>
      </c>
      <c r="D6337" s="194" t="s">
        <v>8056</v>
      </c>
      <c r="E6337" s="200">
        <v>41031</v>
      </c>
    </row>
    <row r="6338" spans="1:5" ht="14.25" hidden="1" customHeight="1">
      <c r="A6338" s="156">
        <v>14226968</v>
      </c>
      <c r="B6338" s="172" t="s">
        <v>2460</v>
      </c>
      <c r="C6338" s="172" t="s">
        <v>351</v>
      </c>
      <c r="D6338" s="194" t="s">
        <v>8056</v>
      </c>
      <c r="E6338" s="200">
        <v>41031</v>
      </c>
    </row>
    <row r="6339" spans="1:5" ht="14.25" hidden="1" customHeight="1">
      <c r="A6339" s="156">
        <v>14661127</v>
      </c>
      <c r="B6339" s="172" t="s">
        <v>2087</v>
      </c>
      <c r="C6339" s="172" t="s">
        <v>2512</v>
      </c>
      <c r="D6339" s="194" t="s">
        <v>8056</v>
      </c>
      <c r="E6339" s="200">
        <v>41031</v>
      </c>
    </row>
    <row r="6340" spans="1:5" ht="14.25" hidden="1" customHeight="1">
      <c r="A6340" s="156">
        <v>14661127</v>
      </c>
      <c r="B6340" s="172" t="s">
        <v>2087</v>
      </c>
      <c r="C6340" s="172" t="s">
        <v>2512</v>
      </c>
      <c r="D6340" s="194" t="s">
        <v>8056</v>
      </c>
      <c r="E6340" s="200">
        <v>41031</v>
      </c>
    </row>
    <row r="6341" spans="1:5" ht="14.25" hidden="1" customHeight="1">
      <c r="A6341" s="156">
        <v>16457626</v>
      </c>
      <c r="B6341" s="177" t="s">
        <v>1885</v>
      </c>
      <c r="C6341" s="177" t="s">
        <v>8055</v>
      </c>
      <c r="D6341" s="194" t="s">
        <v>8056</v>
      </c>
      <c r="E6341" s="200">
        <v>41031</v>
      </c>
    </row>
    <row r="6342" spans="1:5" ht="14.25" hidden="1" customHeight="1">
      <c r="A6342" s="156">
        <v>16457626</v>
      </c>
      <c r="B6342" s="172" t="s">
        <v>4353</v>
      </c>
      <c r="C6342" s="172" t="s">
        <v>4354</v>
      </c>
      <c r="D6342" s="194" t="s">
        <v>8056</v>
      </c>
      <c r="E6342" s="200">
        <v>41031</v>
      </c>
    </row>
    <row r="6343" spans="1:5" ht="14.25" hidden="1" customHeight="1">
      <c r="A6343" s="156">
        <v>16457626</v>
      </c>
      <c r="B6343" s="172" t="s">
        <v>4353</v>
      </c>
      <c r="C6343" s="172" t="s">
        <v>4354</v>
      </c>
      <c r="D6343" s="194" t="s">
        <v>8056</v>
      </c>
      <c r="E6343" s="200">
        <v>41031</v>
      </c>
    </row>
    <row r="6344" spans="1:5" ht="14.25" hidden="1" customHeight="1">
      <c r="A6344" s="156">
        <v>16541821</v>
      </c>
      <c r="B6344" s="172" t="s">
        <v>311</v>
      </c>
      <c r="C6344" s="172" t="s">
        <v>1974</v>
      </c>
      <c r="D6344" s="194" t="s">
        <v>8056</v>
      </c>
      <c r="E6344" s="200">
        <v>41031</v>
      </c>
    </row>
    <row r="6345" spans="1:5" ht="14.25" hidden="1" customHeight="1">
      <c r="A6345" s="156">
        <v>16541821</v>
      </c>
      <c r="B6345" s="172" t="s">
        <v>311</v>
      </c>
      <c r="C6345" s="172" t="s">
        <v>1974</v>
      </c>
      <c r="D6345" s="194" t="s">
        <v>8056</v>
      </c>
      <c r="E6345" s="200">
        <v>41031</v>
      </c>
    </row>
    <row r="6346" spans="1:5" ht="14.25" hidden="1" customHeight="1">
      <c r="A6346" s="156">
        <v>17040565</v>
      </c>
      <c r="B6346" s="172" t="s">
        <v>1665</v>
      </c>
      <c r="C6346" s="172" t="s">
        <v>5808</v>
      </c>
      <c r="D6346" s="194" t="s">
        <v>8056</v>
      </c>
      <c r="E6346" s="200">
        <v>41031</v>
      </c>
    </row>
    <row r="6347" spans="1:5" ht="14.25" hidden="1" customHeight="1">
      <c r="A6347" s="156">
        <v>17040565</v>
      </c>
      <c r="B6347" s="172" t="s">
        <v>1665</v>
      </c>
      <c r="C6347" s="172" t="s">
        <v>5808</v>
      </c>
      <c r="D6347" s="194" t="s">
        <v>8056</v>
      </c>
      <c r="E6347" s="200">
        <v>41031</v>
      </c>
    </row>
    <row r="6348" spans="1:5" ht="14.25" hidden="1" customHeight="1">
      <c r="A6348" s="156">
        <v>17269443</v>
      </c>
      <c r="B6348" s="172" t="s">
        <v>497</v>
      </c>
      <c r="C6348" s="172" t="s">
        <v>4439</v>
      </c>
      <c r="D6348" s="194" t="s">
        <v>8056</v>
      </c>
      <c r="E6348" s="200">
        <v>41031</v>
      </c>
    </row>
    <row r="6349" spans="1:5" ht="14.25" hidden="1" customHeight="1">
      <c r="A6349" s="156">
        <v>17269443</v>
      </c>
      <c r="B6349" s="172" t="s">
        <v>497</v>
      </c>
      <c r="C6349" s="172" t="s">
        <v>4439</v>
      </c>
      <c r="D6349" s="194" t="s">
        <v>8056</v>
      </c>
      <c r="E6349" s="200">
        <v>41031</v>
      </c>
    </row>
    <row r="6350" spans="1:5" ht="14.25" hidden="1" customHeight="1">
      <c r="A6350" s="156">
        <v>17376396</v>
      </c>
      <c r="B6350" s="172" t="s">
        <v>1257</v>
      </c>
      <c r="C6350" s="172" t="s">
        <v>1085</v>
      </c>
      <c r="D6350" s="194" t="s">
        <v>8056</v>
      </c>
      <c r="E6350" s="200">
        <v>41031</v>
      </c>
    </row>
    <row r="6351" spans="1:5" ht="14.25" hidden="1" customHeight="1">
      <c r="A6351" s="156">
        <v>17376396</v>
      </c>
      <c r="B6351" s="172" t="s">
        <v>1257</v>
      </c>
      <c r="C6351" s="172" t="s">
        <v>1085</v>
      </c>
      <c r="D6351" s="194" t="s">
        <v>8056</v>
      </c>
      <c r="E6351" s="200">
        <v>41031</v>
      </c>
    </row>
    <row r="6352" spans="1:5" ht="14.25" hidden="1" customHeight="1">
      <c r="A6352" s="156">
        <v>18473585</v>
      </c>
      <c r="B6352" s="172" t="s">
        <v>680</v>
      </c>
      <c r="C6352" s="172" t="s">
        <v>681</v>
      </c>
      <c r="D6352" s="194" t="s">
        <v>8056</v>
      </c>
      <c r="E6352" s="200">
        <v>41031</v>
      </c>
    </row>
    <row r="6353" spans="1:5" ht="14.25" hidden="1" customHeight="1">
      <c r="A6353" s="156">
        <v>18473585</v>
      </c>
      <c r="B6353" s="172" t="s">
        <v>680</v>
      </c>
      <c r="C6353" s="172" t="s">
        <v>681</v>
      </c>
      <c r="D6353" s="194" t="s">
        <v>8056</v>
      </c>
      <c r="E6353" s="200">
        <v>41031</v>
      </c>
    </row>
    <row r="6354" spans="1:5" ht="14.25" hidden="1" customHeight="1">
      <c r="A6354" s="156">
        <v>20159104</v>
      </c>
      <c r="B6354" s="172" t="s">
        <v>4618</v>
      </c>
      <c r="C6354" s="172" t="s">
        <v>3388</v>
      </c>
      <c r="D6354" s="194" t="s">
        <v>8056</v>
      </c>
      <c r="E6354" s="200">
        <v>41031</v>
      </c>
    </row>
    <row r="6355" spans="1:5" ht="14.25" hidden="1" customHeight="1">
      <c r="A6355" s="156">
        <v>20159104</v>
      </c>
      <c r="B6355" s="172" t="s">
        <v>4618</v>
      </c>
      <c r="C6355" s="172" t="s">
        <v>3388</v>
      </c>
      <c r="D6355" s="194" t="s">
        <v>8056</v>
      </c>
      <c r="E6355" s="200">
        <v>41031</v>
      </c>
    </row>
    <row r="6356" spans="1:5" ht="14.25" hidden="1" customHeight="1">
      <c r="A6356" s="156">
        <v>20219232</v>
      </c>
      <c r="B6356" s="172" t="s">
        <v>4609</v>
      </c>
      <c r="C6356" s="172" t="s">
        <v>2497</v>
      </c>
      <c r="D6356" s="194" t="s">
        <v>8056</v>
      </c>
      <c r="E6356" s="200">
        <v>41031</v>
      </c>
    </row>
    <row r="6357" spans="1:5" ht="14.25" hidden="1" customHeight="1">
      <c r="A6357" s="156">
        <v>20219232</v>
      </c>
      <c r="B6357" s="172" t="s">
        <v>4609</v>
      </c>
      <c r="C6357" s="172" t="s">
        <v>2497</v>
      </c>
      <c r="D6357" s="194" t="s">
        <v>8056</v>
      </c>
      <c r="E6357" s="200">
        <v>41031</v>
      </c>
    </row>
    <row r="6358" spans="1:5" ht="14.25" hidden="1" customHeight="1">
      <c r="A6358" s="156">
        <v>21329190</v>
      </c>
      <c r="B6358" s="172" t="s">
        <v>4301</v>
      </c>
      <c r="C6358" s="172" t="s">
        <v>4302</v>
      </c>
      <c r="D6358" s="194" t="s">
        <v>8056</v>
      </c>
      <c r="E6358" s="200">
        <v>41031</v>
      </c>
    </row>
    <row r="6359" spans="1:5" ht="14.25" hidden="1" customHeight="1">
      <c r="A6359" s="156">
        <v>21329190</v>
      </c>
      <c r="B6359" s="172" t="s">
        <v>4301</v>
      </c>
      <c r="C6359" s="172" t="s">
        <v>4302</v>
      </c>
      <c r="D6359" s="194" t="s">
        <v>8056</v>
      </c>
      <c r="E6359" s="200">
        <v>41031</v>
      </c>
    </row>
    <row r="6360" spans="1:5" ht="14.25" hidden="1" customHeight="1">
      <c r="A6360" s="156">
        <v>21338913</v>
      </c>
      <c r="B6360" s="172" t="s">
        <v>742</v>
      </c>
      <c r="C6360" s="172" t="s">
        <v>74</v>
      </c>
      <c r="D6360" s="194" t="s">
        <v>8056</v>
      </c>
      <c r="E6360" s="200">
        <v>41031</v>
      </c>
    </row>
    <row r="6361" spans="1:5" ht="14.25" hidden="1" customHeight="1">
      <c r="A6361" s="156">
        <v>21338913</v>
      </c>
      <c r="B6361" s="172" t="s">
        <v>742</v>
      </c>
      <c r="C6361" s="172" t="s">
        <v>74</v>
      </c>
      <c r="D6361" s="194" t="s">
        <v>8056</v>
      </c>
      <c r="E6361" s="200">
        <v>41031</v>
      </c>
    </row>
    <row r="6362" spans="1:5" ht="14.25" hidden="1" customHeight="1">
      <c r="A6362" s="156">
        <v>21812664</v>
      </c>
      <c r="B6362" s="176" t="s">
        <v>4053</v>
      </c>
      <c r="C6362" s="176" t="s">
        <v>7944</v>
      </c>
      <c r="D6362" s="194" t="s">
        <v>8056</v>
      </c>
      <c r="E6362" s="200">
        <v>41031</v>
      </c>
    </row>
    <row r="6363" spans="1:5" ht="14.25" hidden="1" customHeight="1">
      <c r="A6363" s="156">
        <v>23167760</v>
      </c>
      <c r="B6363" s="172" t="s">
        <v>1644</v>
      </c>
      <c r="C6363" s="172" t="s">
        <v>106</v>
      </c>
      <c r="D6363" s="194" t="s">
        <v>8056</v>
      </c>
      <c r="E6363" s="200">
        <v>41031</v>
      </c>
    </row>
    <row r="6364" spans="1:5" ht="14.25" hidden="1" customHeight="1">
      <c r="A6364" s="156">
        <v>23167760</v>
      </c>
      <c r="B6364" s="172" t="s">
        <v>1644</v>
      </c>
      <c r="C6364" s="172" t="s">
        <v>106</v>
      </c>
      <c r="D6364" s="194" t="s">
        <v>8056</v>
      </c>
      <c r="E6364" s="200">
        <v>41031</v>
      </c>
    </row>
    <row r="6365" spans="1:5" ht="14.25" hidden="1" customHeight="1">
      <c r="A6365" s="156">
        <v>23257760</v>
      </c>
      <c r="B6365" s="172" t="s">
        <v>199</v>
      </c>
      <c r="C6365" s="172" t="s">
        <v>200</v>
      </c>
      <c r="D6365" s="194" t="s">
        <v>8056</v>
      </c>
      <c r="E6365" s="200">
        <v>41031</v>
      </c>
    </row>
    <row r="6366" spans="1:5" ht="14.25" hidden="1" customHeight="1">
      <c r="A6366" s="156">
        <v>23257760</v>
      </c>
      <c r="B6366" s="172" t="s">
        <v>199</v>
      </c>
      <c r="C6366" s="172" t="s">
        <v>200</v>
      </c>
      <c r="D6366" s="194" t="s">
        <v>8056</v>
      </c>
      <c r="E6366" s="200">
        <v>41031</v>
      </c>
    </row>
    <row r="6367" spans="1:5" ht="14.25" hidden="1" customHeight="1">
      <c r="A6367" s="156">
        <v>23517363</v>
      </c>
      <c r="B6367" s="172" t="s">
        <v>7826</v>
      </c>
      <c r="C6367" s="172" t="s">
        <v>7780</v>
      </c>
      <c r="D6367" s="194" t="s">
        <v>8056</v>
      </c>
      <c r="E6367" s="200">
        <v>41031</v>
      </c>
    </row>
    <row r="6368" spans="1:5" ht="14.25" hidden="1" customHeight="1">
      <c r="A6368" s="156">
        <v>23517363</v>
      </c>
      <c r="B6368" s="172" t="s">
        <v>7826</v>
      </c>
      <c r="C6368" s="172" t="s">
        <v>7780</v>
      </c>
      <c r="D6368" s="194" t="s">
        <v>8056</v>
      </c>
      <c r="E6368" s="200">
        <v>41031</v>
      </c>
    </row>
    <row r="6369" spans="1:5" ht="14.25" hidden="1" customHeight="1">
      <c r="A6369" s="156">
        <v>23517363</v>
      </c>
      <c r="B6369" s="172" t="s">
        <v>7826</v>
      </c>
      <c r="C6369" s="172" t="s">
        <v>7780</v>
      </c>
      <c r="D6369" s="194" t="s">
        <v>8056</v>
      </c>
      <c r="E6369" s="200">
        <v>41031</v>
      </c>
    </row>
    <row r="6370" spans="1:5" ht="14.25" hidden="1" customHeight="1">
      <c r="A6370" s="156">
        <v>24584184</v>
      </c>
      <c r="B6370" s="172" t="s">
        <v>990</v>
      </c>
      <c r="C6370" s="172" t="s">
        <v>991</v>
      </c>
      <c r="D6370" s="194" t="s">
        <v>8056</v>
      </c>
      <c r="E6370" s="200">
        <v>41031</v>
      </c>
    </row>
    <row r="6371" spans="1:5" ht="14.25" hidden="1" customHeight="1">
      <c r="A6371" s="156">
        <v>24584184</v>
      </c>
      <c r="B6371" s="172" t="s">
        <v>990</v>
      </c>
      <c r="C6371" s="172" t="s">
        <v>991</v>
      </c>
      <c r="D6371" s="194" t="s">
        <v>8056</v>
      </c>
      <c r="E6371" s="200">
        <v>41031</v>
      </c>
    </row>
    <row r="6372" spans="1:5" ht="14.25" hidden="1" customHeight="1">
      <c r="A6372" s="156">
        <v>24982570</v>
      </c>
      <c r="B6372" s="172" t="s">
        <v>766</v>
      </c>
      <c r="C6372" s="172" t="s">
        <v>767</v>
      </c>
      <c r="D6372" s="194" t="s">
        <v>8056</v>
      </c>
      <c r="E6372" s="200">
        <v>41031</v>
      </c>
    </row>
    <row r="6373" spans="1:5" ht="14.25" hidden="1" customHeight="1">
      <c r="A6373" s="156">
        <v>24982570</v>
      </c>
      <c r="B6373" s="172" t="s">
        <v>766</v>
      </c>
      <c r="C6373" s="172" t="s">
        <v>767</v>
      </c>
      <c r="D6373" s="194" t="s">
        <v>8056</v>
      </c>
      <c r="E6373" s="200">
        <v>41031</v>
      </c>
    </row>
    <row r="6374" spans="1:5" ht="14.25" hidden="1" customHeight="1">
      <c r="A6374" s="156">
        <v>25255652</v>
      </c>
      <c r="B6374" s="177" t="s">
        <v>315</v>
      </c>
      <c r="C6374" s="177" t="s">
        <v>1542</v>
      </c>
      <c r="D6374" s="194" t="s">
        <v>8056</v>
      </c>
      <c r="E6374" s="200">
        <v>41031</v>
      </c>
    </row>
    <row r="6375" spans="1:5" ht="14.25" hidden="1" customHeight="1">
      <c r="A6375" s="156">
        <v>25498126</v>
      </c>
      <c r="B6375" s="172" t="s">
        <v>3857</v>
      </c>
      <c r="C6375" s="172" t="s">
        <v>3858</v>
      </c>
      <c r="D6375" s="194" t="s">
        <v>8056</v>
      </c>
      <c r="E6375" s="200">
        <v>41031</v>
      </c>
    </row>
    <row r="6376" spans="1:5" ht="14.25" hidden="1" customHeight="1">
      <c r="A6376" s="156">
        <v>25498126</v>
      </c>
      <c r="B6376" s="172" t="s">
        <v>3857</v>
      </c>
      <c r="C6376" s="172" t="s">
        <v>3858</v>
      </c>
      <c r="D6376" s="194" t="s">
        <v>8056</v>
      </c>
      <c r="E6376" s="200">
        <v>41031</v>
      </c>
    </row>
    <row r="6377" spans="1:5" ht="14.25" hidden="1" customHeight="1">
      <c r="A6377" s="156">
        <v>27960534</v>
      </c>
      <c r="B6377" s="172" t="s">
        <v>342</v>
      </c>
      <c r="C6377" s="172" t="s">
        <v>345</v>
      </c>
      <c r="D6377" s="194" t="s">
        <v>8056</v>
      </c>
      <c r="E6377" s="200">
        <v>41031</v>
      </c>
    </row>
    <row r="6378" spans="1:5" ht="14.25" hidden="1" customHeight="1">
      <c r="A6378" s="156">
        <v>27960534</v>
      </c>
      <c r="B6378" s="172" t="s">
        <v>342</v>
      </c>
      <c r="C6378" s="172" t="s">
        <v>345</v>
      </c>
      <c r="D6378" s="194" t="s">
        <v>8056</v>
      </c>
      <c r="E6378" s="200">
        <v>41031</v>
      </c>
    </row>
    <row r="6379" spans="1:5" ht="14.25" hidden="1" customHeight="1">
      <c r="A6379" s="156">
        <v>28222480</v>
      </c>
      <c r="B6379" s="172" t="s">
        <v>8057</v>
      </c>
      <c r="C6379" s="172" t="s">
        <v>1941</v>
      </c>
      <c r="D6379" s="194" t="s">
        <v>8056</v>
      </c>
      <c r="E6379" s="200">
        <v>41031</v>
      </c>
    </row>
    <row r="6380" spans="1:5" ht="14.25" hidden="1" customHeight="1">
      <c r="A6380" s="156">
        <v>28222480</v>
      </c>
      <c r="B6380" s="172" t="s">
        <v>8057</v>
      </c>
      <c r="C6380" s="172" t="s">
        <v>1941</v>
      </c>
      <c r="D6380" s="194" t="s">
        <v>8056</v>
      </c>
      <c r="E6380" s="200">
        <v>41031</v>
      </c>
    </row>
    <row r="6381" spans="1:5" ht="14.25" hidden="1" customHeight="1">
      <c r="A6381" s="156">
        <v>28222480</v>
      </c>
      <c r="B6381" s="172" t="s">
        <v>8057</v>
      </c>
      <c r="C6381" s="172" t="s">
        <v>1941</v>
      </c>
      <c r="D6381" s="194" t="s">
        <v>8056</v>
      </c>
      <c r="E6381" s="200">
        <v>41031</v>
      </c>
    </row>
    <row r="6382" spans="1:5" ht="14.25" hidden="1" customHeight="1">
      <c r="A6382" s="156">
        <v>29310871</v>
      </c>
      <c r="B6382" s="172" t="s">
        <v>1964</v>
      </c>
      <c r="C6382" s="172" t="s">
        <v>4721</v>
      </c>
      <c r="D6382" s="194" t="s">
        <v>8056</v>
      </c>
      <c r="E6382" s="200">
        <v>41031</v>
      </c>
    </row>
    <row r="6383" spans="1:5" ht="14.25" hidden="1" customHeight="1">
      <c r="A6383" s="156">
        <v>29310871</v>
      </c>
      <c r="B6383" s="172" t="s">
        <v>1964</v>
      </c>
      <c r="C6383" s="172" t="s">
        <v>4721</v>
      </c>
      <c r="D6383" s="194" t="s">
        <v>8056</v>
      </c>
      <c r="E6383" s="200">
        <v>41031</v>
      </c>
    </row>
    <row r="6384" spans="1:5" ht="14.25" hidden="1" customHeight="1">
      <c r="A6384" s="156">
        <v>29541006</v>
      </c>
      <c r="B6384" s="172" t="s">
        <v>1552</v>
      </c>
      <c r="C6384" s="172" t="s">
        <v>27</v>
      </c>
      <c r="D6384" s="194" t="s">
        <v>8056</v>
      </c>
      <c r="E6384" s="200">
        <v>41031</v>
      </c>
    </row>
    <row r="6385" spans="1:5" ht="14.25" hidden="1" customHeight="1">
      <c r="A6385" s="156">
        <v>29541006</v>
      </c>
      <c r="B6385" s="172" t="s">
        <v>1552</v>
      </c>
      <c r="C6385" s="172" t="s">
        <v>27</v>
      </c>
      <c r="D6385" s="194" t="s">
        <v>8056</v>
      </c>
      <c r="E6385" s="200">
        <v>41031</v>
      </c>
    </row>
    <row r="6386" spans="1:5" ht="14.25" hidden="1" customHeight="1">
      <c r="A6386" s="156">
        <v>31127710</v>
      </c>
      <c r="B6386" s="172" t="s">
        <v>311</v>
      </c>
      <c r="C6386" s="172" t="s">
        <v>3782</v>
      </c>
      <c r="D6386" s="194" t="s">
        <v>8056</v>
      </c>
      <c r="E6386" s="200">
        <v>41031</v>
      </c>
    </row>
    <row r="6387" spans="1:5" ht="14.25" hidden="1" customHeight="1">
      <c r="A6387" s="156">
        <v>31127710</v>
      </c>
      <c r="B6387" s="172" t="s">
        <v>311</v>
      </c>
      <c r="C6387" s="172" t="s">
        <v>3782</v>
      </c>
      <c r="D6387" s="194" t="s">
        <v>8056</v>
      </c>
      <c r="E6387" s="200">
        <v>41031</v>
      </c>
    </row>
    <row r="6388" spans="1:5" ht="14.25" hidden="1" customHeight="1">
      <c r="A6388" s="156">
        <v>32371793</v>
      </c>
      <c r="B6388" s="172" t="s">
        <v>3364</v>
      </c>
      <c r="C6388" s="172" t="s">
        <v>3365</v>
      </c>
      <c r="D6388" s="194" t="s">
        <v>8056</v>
      </c>
      <c r="E6388" s="200">
        <v>41031</v>
      </c>
    </row>
    <row r="6389" spans="1:5" ht="14.25" hidden="1" customHeight="1">
      <c r="A6389" s="156">
        <v>32371793</v>
      </c>
      <c r="B6389" s="172" t="s">
        <v>3364</v>
      </c>
      <c r="C6389" s="172" t="s">
        <v>3365</v>
      </c>
      <c r="D6389" s="194" t="s">
        <v>8056</v>
      </c>
      <c r="E6389" s="200">
        <v>41031</v>
      </c>
    </row>
    <row r="6390" spans="1:5" ht="14.25" hidden="1" customHeight="1">
      <c r="A6390" s="156">
        <v>32501890</v>
      </c>
      <c r="B6390" s="172" t="s">
        <v>2048</v>
      </c>
      <c r="C6390" s="172" t="s">
        <v>2049</v>
      </c>
      <c r="D6390" s="194" t="s">
        <v>8056</v>
      </c>
      <c r="E6390" s="200">
        <v>41031</v>
      </c>
    </row>
    <row r="6391" spans="1:5" ht="14.25" hidden="1" customHeight="1">
      <c r="A6391" s="156">
        <v>32501890</v>
      </c>
      <c r="B6391" s="172" t="s">
        <v>2048</v>
      </c>
      <c r="C6391" s="172" t="s">
        <v>2049</v>
      </c>
      <c r="D6391" s="194" t="s">
        <v>8056</v>
      </c>
      <c r="E6391" s="200">
        <v>41031</v>
      </c>
    </row>
    <row r="6392" spans="1:5" ht="14.25" hidden="1" customHeight="1">
      <c r="A6392" s="156">
        <v>32501890</v>
      </c>
      <c r="B6392" s="172" t="s">
        <v>2048</v>
      </c>
      <c r="C6392" s="172" t="s">
        <v>2049</v>
      </c>
      <c r="D6392" s="194" t="s">
        <v>8056</v>
      </c>
      <c r="E6392" s="200">
        <v>41031</v>
      </c>
    </row>
    <row r="6393" spans="1:5" ht="14.25" hidden="1" customHeight="1">
      <c r="A6393" s="156">
        <v>32927760</v>
      </c>
      <c r="B6393" s="172" t="s">
        <v>1913</v>
      </c>
      <c r="C6393" s="172" t="s">
        <v>4341</v>
      </c>
      <c r="D6393" s="194" t="s">
        <v>8056</v>
      </c>
      <c r="E6393" s="200">
        <v>41031</v>
      </c>
    </row>
    <row r="6394" spans="1:5" ht="14.25" hidden="1" customHeight="1">
      <c r="A6394" s="156">
        <v>32927760</v>
      </c>
      <c r="B6394" s="172" t="s">
        <v>1913</v>
      </c>
      <c r="C6394" s="172" t="s">
        <v>4341</v>
      </c>
      <c r="D6394" s="194" t="s">
        <v>8056</v>
      </c>
      <c r="E6394" s="200">
        <v>41031</v>
      </c>
    </row>
    <row r="6395" spans="1:5" ht="14.25" hidden="1" customHeight="1">
      <c r="A6395" s="156">
        <v>32927760</v>
      </c>
      <c r="B6395" s="172" t="s">
        <v>1913</v>
      </c>
      <c r="C6395" s="172" t="s">
        <v>4341</v>
      </c>
      <c r="D6395" s="194" t="s">
        <v>8056</v>
      </c>
      <c r="E6395" s="200">
        <v>41031</v>
      </c>
    </row>
    <row r="6396" spans="1:5" ht="14.25" hidden="1" customHeight="1">
      <c r="A6396" s="156">
        <v>11283845</v>
      </c>
      <c r="B6396" s="172" t="s">
        <v>6267</v>
      </c>
      <c r="C6396" s="172" t="s">
        <v>6268</v>
      </c>
      <c r="D6396" s="194" t="s">
        <v>7150</v>
      </c>
      <c r="E6396" s="200">
        <v>41018</v>
      </c>
    </row>
    <row r="6397" spans="1:5" ht="14.25" hidden="1" customHeight="1">
      <c r="A6397" s="156">
        <v>12387324</v>
      </c>
      <c r="B6397" s="172" t="s">
        <v>2059</v>
      </c>
      <c r="C6397" s="172" t="s">
        <v>4859</v>
      </c>
      <c r="D6397" s="194" t="s">
        <v>7150</v>
      </c>
      <c r="E6397" s="200">
        <v>41018</v>
      </c>
    </row>
    <row r="6398" spans="1:5" ht="14.25" hidden="1" customHeight="1">
      <c r="A6398" s="156">
        <v>12505921</v>
      </c>
      <c r="B6398" s="172" t="s">
        <v>2422</v>
      </c>
      <c r="C6398" s="172" t="s">
        <v>2878</v>
      </c>
      <c r="D6398" s="194" t="s">
        <v>7150</v>
      </c>
      <c r="E6398" s="200">
        <v>41018</v>
      </c>
    </row>
    <row r="6399" spans="1:5" ht="14.25" hidden="1" customHeight="1">
      <c r="A6399" s="156">
        <v>12654235</v>
      </c>
      <c r="B6399" s="172" t="s">
        <v>863</v>
      </c>
      <c r="C6399" s="172" t="s">
        <v>4576</v>
      </c>
      <c r="D6399" s="194" t="s">
        <v>7150</v>
      </c>
      <c r="E6399" s="200">
        <v>41018</v>
      </c>
    </row>
    <row r="6400" spans="1:5" ht="14.25" hidden="1" customHeight="1">
      <c r="A6400" s="156">
        <v>13279093</v>
      </c>
      <c r="B6400" s="172" t="s">
        <v>6453</v>
      </c>
      <c r="C6400" s="172" t="s">
        <v>6454</v>
      </c>
      <c r="D6400" s="194" t="s">
        <v>7150</v>
      </c>
      <c r="E6400" s="200">
        <v>41018</v>
      </c>
    </row>
    <row r="6401" spans="1:5" ht="14.25" hidden="1" customHeight="1">
      <c r="A6401" s="156">
        <v>14073492</v>
      </c>
      <c r="B6401" s="172" t="s">
        <v>2183</v>
      </c>
      <c r="C6401" s="172" t="s">
        <v>2184</v>
      </c>
      <c r="D6401" s="194" t="s">
        <v>7150</v>
      </c>
      <c r="E6401" s="200">
        <v>41018</v>
      </c>
    </row>
    <row r="6402" spans="1:5" ht="14.25" hidden="1" customHeight="1">
      <c r="A6402" s="156">
        <v>14073492</v>
      </c>
      <c r="B6402" s="172" t="s">
        <v>2183</v>
      </c>
      <c r="C6402" s="172" t="s">
        <v>2184</v>
      </c>
      <c r="D6402" s="194" t="s">
        <v>7150</v>
      </c>
      <c r="E6402" s="200">
        <v>41018</v>
      </c>
    </row>
    <row r="6403" spans="1:5" ht="14.25" hidden="1" customHeight="1">
      <c r="A6403" s="156">
        <v>14073571</v>
      </c>
      <c r="B6403" s="172" t="s">
        <v>1190</v>
      </c>
      <c r="C6403" s="172" t="s">
        <v>922</v>
      </c>
      <c r="D6403" s="194" t="s">
        <v>7150</v>
      </c>
      <c r="E6403" s="200">
        <v>41018</v>
      </c>
    </row>
    <row r="6404" spans="1:5" ht="14.25" hidden="1" customHeight="1">
      <c r="A6404" s="156">
        <v>14359591</v>
      </c>
      <c r="B6404" s="172" t="s">
        <v>4247</v>
      </c>
      <c r="C6404" s="172" t="s">
        <v>2822</v>
      </c>
      <c r="D6404" s="194" t="s">
        <v>7150</v>
      </c>
      <c r="E6404" s="200">
        <v>41018</v>
      </c>
    </row>
    <row r="6405" spans="1:5" ht="14.25" hidden="1" customHeight="1">
      <c r="A6405" s="156">
        <v>14661637</v>
      </c>
      <c r="B6405" s="172" t="s">
        <v>308</v>
      </c>
      <c r="C6405" s="172" t="s">
        <v>3996</v>
      </c>
      <c r="D6405" s="194" t="s">
        <v>7150</v>
      </c>
      <c r="E6405" s="200">
        <v>41018</v>
      </c>
    </row>
    <row r="6406" spans="1:5" ht="14.25" hidden="1" customHeight="1">
      <c r="A6406" s="156">
        <v>16458164</v>
      </c>
      <c r="B6406" s="172" t="s">
        <v>4706</v>
      </c>
      <c r="C6406" s="172" t="s">
        <v>4818</v>
      </c>
      <c r="D6406" s="194" t="s">
        <v>7150</v>
      </c>
      <c r="E6406" s="200">
        <v>41018</v>
      </c>
    </row>
    <row r="6407" spans="1:5" ht="14.25" hidden="1" customHeight="1">
      <c r="A6407" s="156">
        <v>16685410</v>
      </c>
      <c r="B6407" s="172" t="s">
        <v>5130</v>
      </c>
      <c r="C6407" s="172" t="s">
        <v>5019</v>
      </c>
      <c r="D6407" s="194" t="s">
        <v>7150</v>
      </c>
      <c r="E6407" s="200">
        <v>41018</v>
      </c>
    </row>
    <row r="6408" spans="1:5" ht="14.25" hidden="1" customHeight="1">
      <c r="A6408" s="156">
        <v>16685720</v>
      </c>
      <c r="B6408" s="172" t="s">
        <v>218</v>
      </c>
      <c r="C6408" s="172" t="s">
        <v>2753</v>
      </c>
      <c r="D6408" s="194" t="s">
        <v>7150</v>
      </c>
      <c r="E6408" s="200">
        <v>41018</v>
      </c>
    </row>
    <row r="6409" spans="1:5" ht="14.25" hidden="1" customHeight="1">
      <c r="A6409" s="156">
        <v>16735326</v>
      </c>
      <c r="B6409" s="172" t="s">
        <v>6115</v>
      </c>
      <c r="C6409" s="172" t="s">
        <v>6116</v>
      </c>
      <c r="D6409" s="194" t="s">
        <v>7150</v>
      </c>
      <c r="E6409" s="200">
        <v>41018</v>
      </c>
    </row>
    <row r="6410" spans="1:5" ht="14.25" hidden="1" customHeight="1">
      <c r="A6410" s="156">
        <v>16784411</v>
      </c>
      <c r="B6410" s="172" t="s">
        <v>1145</v>
      </c>
      <c r="C6410" s="172" t="s">
        <v>6239</v>
      </c>
      <c r="D6410" s="194" t="s">
        <v>7150</v>
      </c>
      <c r="E6410" s="200">
        <v>41018</v>
      </c>
    </row>
    <row r="6411" spans="1:5" ht="14.25" hidden="1" customHeight="1">
      <c r="A6411" s="156">
        <v>17376929</v>
      </c>
      <c r="B6411" s="172" t="s">
        <v>342</v>
      </c>
      <c r="C6411" s="172" t="s">
        <v>6300</v>
      </c>
      <c r="D6411" s="194" t="s">
        <v>7150</v>
      </c>
      <c r="E6411" s="200">
        <v>41018</v>
      </c>
    </row>
    <row r="6412" spans="1:5" ht="14.25" hidden="1" customHeight="1">
      <c r="A6412" s="156">
        <v>17376937</v>
      </c>
      <c r="B6412" s="172" t="s">
        <v>1823</v>
      </c>
      <c r="C6412" s="172" t="s">
        <v>462</v>
      </c>
      <c r="D6412" s="194" t="s">
        <v>7150</v>
      </c>
      <c r="E6412" s="200">
        <v>41018</v>
      </c>
    </row>
    <row r="6413" spans="1:5" ht="14.25" hidden="1" customHeight="1">
      <c r="A6413" s="156">
        <v>17377961</v>
      </c>
      <c r="B6413" s="172" t="s">
        <v>6436</v>
      </c>
      <c r="C6413" s="172" t="s">
        <v>6437</v>
      </c>
      <c r="D6413" s="194" t="s">
        <v>7150</v>
      </c>
      <c r="E6413" s="200">
        <v>41018</v>
      </c>
    </row>
    <row r="6414" spans="1:5" ht="14.25" hidden="1" customHeight="1">
      <c r="A6414" s="156">
        <v>17458714</v>
      </c>
      <c r="B6414" s="172" t="s">
        <v>3975</v>
      </c>
      <c r="C6414" s="172" t="s">
        <v>681</v>
      </c>
      <c r="D6414" s="194" t="s">
        <v>7150</v>
      </c>
      <c r="E6414" s="200">
        <v>41018</v>
      </c>
    </row>
    <row r="6415" spans="1:5" ht="14.25" hidden="1" customHeight="1">
      <c r="A6415" s="156">
        <v>18365322</v>
      </c>
      <c r="B6415" s="172" t="s">
        <v>327</v>
      </c>
      <c r="C6415" s="172" t="s">
        <v>1173</v>
      </c>
      <c r="D6415" s="194" t="s">
        <v>7150</v>
      </c>
      <c r="E6415" s="200">
        <v>41018</v>
      </c>
    </row>
    <row r="6416" spans="1:5" ht="14.25" hidden="1" customHeight="1">
      <c r="A6416" s="156">
        <v>20178158</v>
      </c>
      <c r="B6416" s="172" t="s">
        <v>5002</v>
      </c>
      <c r="C6416" s="172" t="s">
        <v>5003</v>
      </c>
      <c r="D6416" s="194" t="s">
        <v>7150</v>
      </c>
      <c r="E6416" s="200">
        <v>41018</v>
      </c>
    </row>
    <row r="6417" spans="1:5" ht="14.25" hidden="1" customHeight="1">
      <c r="A6417" s="156">
        <v>20284560</v>
      </c>
      <c r="B6417" s="172" t="s">
        <v>7563</v>
      </c>
      <c r="C6417" s="172" t="s">
        <v>7564</v>
      </c>
      <c r="D6417" s="194" t="s">
        <v>7150</v>
      </c>
      <c r="E6417" s="200">
        <v>41018</v>
      </c>
    </row>
    <row r="6418" spans="1:5" ht="14.25" hidden="1" customHeight="1">
      <c r="A6418" s="156">
        <v>20285264</v>
      </c>
      <c r="B6418" s="172" t="s">
        <v>6433</v>
      </c>
      <c r="C6418" s="172" t="s">
        <v>1299</v>
      </c>
      <c r="D6418" s="194" t="s">
        <v>7150</v>
      </c>
      <c r="E6418" s="200">
        <v>41018</v>
      </c>
    </row>
    <row r="6419" spans="1:5" ht="14.25" hidden="1" customHeight="1">
      <c r="A6419" s="156">
        <v>20692284</v>
      </c>
      <c r="B6419" s="172" t="s">
        <v>6290</v>
      </c>
      <c r="C6419" s="172" t="s">
        <v>6291</v>
      </c>
      <c r="D6419" s="194" t="s">
        <v>7150</v>
      </c>
      <c r="E6419" s="200">
        <v>41018</v>
      </c>
    </row>
    <row r="6420" spans="1:5" ht="14.25" hidden="1" customHeight="1">
      <c r="A6420" s="156">
        <v>20759438</v>
      </c>
      <c r="B6420" s="172" t="s">
        <v>350</v>
      </c>
      <c r="C6420" s="172" t="s">
        <v>5656</v>
      </c>
      <c r="D6420" s="194" t="s">
        <v>7150</v>
      </c>
      <c r="E6420" s="200">
        <v>41018</v>
      </c>
    </row>
    <row r="6421" spans="1:5" ht="14.25" hidden="1" customHeight="1">
      <c r="A6421" s="156">
        <v>20759580</v>
      </c>
      <c r="B6421" s="172" t="s">
        <v>118</v>
      </c>
      <c r="C6421" s="172" t="s">
        <v>119</v>
      </c>
      <c r="D6421" s="194" t="s">
        <v>7150</v>
      </c>
      <c r="E6421" s="200">
        <v>41018</v>
      </c>
    </row>
    <row r="6422" spans="1:5" ht="14.25" hidden="1" customHeight="1">
      <c r="A6422" s="156">
        <v>21893835</v>
      </c>
      <c r="B6422" s="172" t="s">
        <v>321</v>
      </c>
      <c r="C6422" s="172" t="s">
        <v>322</v>
      </c>
      <c r="D6422" s="194" t="s">
        <v>7150</v>
      </c>
      <c r="E6422" s="200">
        <v>41018</v>
      </c>
    </row>
    <row r="6423" spans="1:5" ht="14.25" hidden="1" customHeight="1">
      <c r="A6423" s="156">
        <v>22429208</v>
      </c>
      <c r="B6423" s="172" t="s">
        <v>5245</v>
      </c>
      <c r="C6423" s="172" t="s">
        <v>5246</v>
      </c>
      <c r="D6423" s="194" t="s">
        <v>7150</v>
      </c>
      <c r="E6423" s="200">
        <v>41018</v>
      </c>
    </row>
    <row r="6424" spans="1:5" ht="14.25" hidden="1" customHeight="1">
      <c r="A6424" s="156">
        <v>22664180</v>
      </c>
      <c r="B6424" s="172" t="s">
        <v>252</v>
      </c>
      <c r="C6424" s="172" t="s">
        <v>2979</v>
      </c>
      <c r="D6424" s="194" t="s">
        <v>7150</v>
      </c>
      <c r="E6424" s="200">
        <v>41018</v>
      </c>
    </row>
    <row r="6425" spans="1:5" ht="14.25" hidden="1" customHeight="1">
      <c r="A6425" s="156">
        <v>23015469</v>
      </c>
      <c r="B6425" s="172" t="s">
        <v>714</v>
      </c>
      <c r="C6425" s="172" t="s">
        <v>7149</v>
      </c>
      <c r="D6425" s="194" t="s">
        <v>7150</v>
      </c>
      <c r="E6425" s="200">
        <v>41018</v>
      </c>
    </row>
    <row r="6426" spans="1:5" ht="14.25" hidden="1" customHeight="1">
      <c r="A6426" s="156">
        <v>23518638</v>
      </c>
      <c r="B6426" s="172" t="s">
        <v>6440</v>
      </c>
      <c r="C6426" s="172" t="s">
        <v>6441</v>
      </c>
      <c r="D6426" s="194" t="s">
        <v>7150</v>
      </c>
      <c r="E6426" s="200">
        <v>41018</v>
      </c>
    </row>
    <row r="6427" spans="1:5" ht="14.25" hidden="1" customHeight="1">
      <c r="A6427" s="156">
        <v>23827324</v>
      </c>
      <c r="B6427" s="172" t="s">
        <v>690</v>
      </c>
      <c r="C6427" s="172" t="s">
        <v>6197</v>
      </c>
      <c r="D6427" s="194" t="s">
        <v>7150</v>
      </c>
      <c r="E6427" s="200">
        <v>41018</v>
      </c>
    </row>
    <row r="6428" spans="1:5" ht="14.25" hidden="1" customHeight="1">
      <c r="A6428" s="156">
        <v>24803211</v>
      </c>
      <c r="B6428" s="172" t="s">
        <v>2579</v>
      </c>
      <c r="C6428" s="172" t="s">
        <v>7874</v>
      </c>
      <c r="D6428" s="194" t="s">
        <v>7150</v>
      </c>
      <c r="E6428" s="200">
        <v>41018</v>
      </c>
    </row>
    <row r="6429" spans="1:5" ht="14.25" hidden="1" customHeight="1">
      <c r="A6429" s="156">
        <v>24981374</v>
      </c>
      <c r="B6429" s="172" t="s">
        <v>652</v>
      </c>
      <c r="C6429" s="172" t="s">
        <v>6105</v>
      </c>
      <c r="D6429" s="194" t="s">
        <v>7150</v>
      </c>
      <c r="E6429" s="200">
        <v>41018</v>
      </c>
    </row>
    <row r="6430" spans="1:5" ht="14.25" hidden="1" customHeight="1">
      <c r="A6430" s="156">
        <v>25498735</v>
      </c>
      <c r="B6430" s="172" t="s">
        <v>4067</v>
      </c>
      <c r="C6430" s="172" t="s">
        <v>6493</v>
      </c>
      <c r="D6430" s="194" t="s">
        <v>7150</v>
      </c>
      <c r="E6430" s="200">
        <v>41018</v>
      </c>
    </row>
    <row r="6431" spans="1:5" ht="14.25" hidden="1" customHeight="1">
      <c r="A6431" s="156">
        <v>25498993</v>
      </c>
      <c r="B6431" s="172" t="s">
        <v>511</v>
      </c>
      <c r="C6431" s="172" t="s">
        <v>5871</v>
      </c>
      <c r="D6431" s="194" t="s">
        <v>7150</v>
      </c>
      <c r="E6431" s="200">
        <v>41018</v>
      </c>
    </row>
    <row r="6432" spans="1:5" ht="14.25" hidden="1" customHeight="1">
      <c r="A6432" s="156">
        <v>25734593</v>
      </c>
      <c r="B6432" s="172" t="s">
        <v>5433</v>
      </c>
      <c r="C6432" s="172" t="s">
        <v>5434</v>
      </c>
      <c r="D6432" s="194" t="s">
        <v>7150</v>
      </c>
      <c r="E6432" s="200">
        <v>41018</v>
      </c>
    </row>
    <row r="6433" spans="1:5" ht="14.25" hidden="1" customHeight="1">
      <c r="A6433" s="156">
        <v>25843618</v>
      </c>
      <c r="B6433" s="172" t="s">
        <v>1823</v>
      </c>
      <c r="C6433" s="172" t="s">
        <v>4410</v>
      </c>
      <c r="D6433" s="194" t="s">
        <v>7150</v>
      </c>
      <c r="E6433" s="200">
        <v>41018</v>
      </c>
    </row>
    <row r="6434" spans="1:5" ht="14.25" hidden="1" customHeight="1">
      <c r="A6434" s="156">
        <v>26028279</v>
      </c>
      <c r="B6434" s="172" t="s">
        <v>5793</v>
      </c>
      <c r="C6434" s="172" t="s">
        <v>6335</v>
      </c>
      <c r="D6434" s="194" t="s">
        <v>7150</v>
      </c>
      <c r="E6434" s="200">
        <v>41018</v>
      </c>
    </row>
    <row r="6435" spans="1:5" ht="14.25" hidden="1" customHeight="1">
      <c r="A6435" s="156">
        <v>26445563</v>
      </c>
      <c r="B6435" s="172" t="s">
        <v>6091</v>
      </c>
      <c r="C6435" s="172" t="s">
        <v>215</v>
      </c>
      <c r="D6435" s="194" t="s">
        <v>7150</v>
      </c>
      <c r="E6435" s="200">
        <v>41018</v>
      </c>
    </row>
    <row r="6436" spans="1:5" ht="14.25" hidden="1" customHeight="1">
      <c r="A6436" s="156">
        <v>27594942</v>
      </c>
      <c r="B6436" s="172" t="s">
        <v>177</v>
      </c>
      <c r="C6436" s="172" t="s">
        <v>178</v>
      </c>
      <c r="D6436" s="194" t="s">
        <v>7150</v>
      </c>
      <c r="E6436" s="200">
        <v>41018</v>
      </c>
    </row>
    <row r="6437" spans="1:5" ht="14.25" hidden="1" customHeight="1">
      <c r="A6437" s="156">
        <v>27886273</v>
      </c>
      <c r="B6437" s="172" t="s">
        <v>226</v>
      </c>
      <c r="C6437" s="172" t="s">
        <v>227</v>
      </c>
      <c r="D6437" s="194" t="s">
        <v>7150</v>
      </c>
      <c r="E6437" s="200">
        <v>41018</v>
      </c>
    </row>
    <row r="6438" spans="1:5" ht="14.25" hidden="1" customHeight="1">
      <c r="A6438" s="156">
        <v>28221010</v>
      </c>
      <c r="B6438" s="172" t="s">
        <v>2966</v>
      </c>
      <c r="C6438" s="172" t="s">
        <v>667</v>
      </c>
      <c r="D6438" s="194" t="s">
        <v>7150</v>
      </c>
      <c r="E6438" s="200">
        <v>41018</v>
      </c>
    </row>
    <row r="6439" spans="1:5" ht="14.25" hidden="1" customHeight="1">
      <c r="A6439" s="156">
        <v>29026236</v>
      </c>
      <c r="B6439" s="172" t="s">
        <v>315</v>
      </c>
      <c r="C6439" s="172" t="s">
        <v>902</v>
      </c>
      <c r="D6439" s="194" t="s">
        <v>7150</v>
      </c>
      <c r="E6439" s="200">
        <v>41018</v>
      </c>
    </row>
    <row r="6440" spans="1:5" ht="14.25" hidden="1" customHeight="1">
      <c r="A6440" s="156">
        <v>29242462</v>
      </c>
      <c r="B6440" s="172" t="s">
        <v>846</v>
      </c>
      <c r="C6440" s="172" t="s">
        <v>2712</v>
      </c>
      <c r="D6440" s="194" t="s">
        <v>7150</v>
      </c>
      <c r="E6440" s="200">
        <v>41018</v>
      </c>
    </row>
    <row r="6441" spans="1:5" ht="14.25" hidden="1" customHeight="1">
      <c r="A6441" s="156">
        <v>30497720</v>
      </c>
      <c r="B6441" s="172" t="s">
        <v>2990</v>
      </c>
      <c r="C6441" s="172" t="s">
        <v>6443</v>
      </c>
      <c r="D6441" s="194" t="s">
        <v>7150</v>
      </c>
      <c r="E6441" s="200">
        <v>41018</v>
      </c>
    </row>
    <row r="6442" spans="1:5" ht="14.25" hidden="1" customHeight="1">
      <c r="A6442" s="156">
        <v>31589704</v>
      </c>
      <c r="B6442" s="172" t="s">
        <v>6304</v>
      </c>
      <c r="C6442" s="172" t="s">
        <v>6305</v>
      </c>
      <c r="D6442" s="194" t="s">
        <v>7150</v>
      </c>
      <c r="E6442" s="200">
        <v>41018</v>
      </c>
    </row>
    <row r="6443" spans="1:5" ht="14.25" hidden="1" customHeight="1">
      <c r="A6443" s="156">
        <v>31842029</v>
      </c>
      <c r="B6443" s="172" t="s">
        <v>7118</v>
      </c>
      <c r="C6443" s="172" t="s">
        <v>7119</v>
      </c>
      <c r="D6443" s="194" t="s">
        <v>7150</v>
      </c>
      <c r="E6443" s="200">
        <v>41018</v>
      </c>
    </row>
    <row r="6444" spans="1:5" ht="14.25" hidden="1" customHeight="1">
      <c r="A6444" s="156">
        <v>32201492</v>
      </c>
      <c r="B6444" s="172" t="s">
        <v>1512</v>
      </c>
      <c r="C6444" s="172" t="s">
        <v>8059</v>
      </c>
      <c r="D6444" s="194" t="s">
        <v>7150</v>
      </c>
      <c r="E6444" s="200">
        <v>41018</v>
      </c>
    </row>
    <row r="6445" spans="1:5" ht="14.25" hidden="1" customHeight="1">
      <c r="A6445" s="156">
        <v>33050647</v>
      </c>
      <c r="B6445" s="172" t="s">
        <v>2579</v>
      </c>
      <c r="C6445" s="172" t="s">
        <v>223</v>
      </c>
      <c r="D6445" s="194" t="s">
        <v>7150</v>
      </c>
      <c r="E6445" s="200">
        <v>41018</v>
      </c>
    </row>
    <row r="6446" spans="1:5" ht="14.25" hidden="1" customHeight="1">
      <c r="A6446" s="156">
        <v>33818840</v>
      </c>
      <c r="B6446" s="177" t="s">
        <v>377</v>
      </c>
      <c r="C6446" s="177" t="s">
        <v>7235</v>
      </c>
      <c r="D6446" s="194" t="s">
        <v>7150</v>
      </c>
      <c r="E6446" s="200">
        <v>41018</v>
      </c>
    </row>
    <row r="6447" spans="1:5" ht="14.25" hidden="1" customHeight="1">
      <c r="A6447" s="156">
        <v>36420915</v>
      </c>
      <c r="B6447" s="172" t="s">
        <v>4213</v>
      </c>
      <c r="C6447" s="172" t="s">
        <v>455</v>
      </c>
      <c r="D6447" s="194" t="s">
        <v>7150</v>
      </c>
      <c r="E6447" s="200">
        <v>41018</v>
      </c>
    </row>
    <row r="6448" spans="1:5" ht="14.25" hidden="1" customHeight="1">
      <c r="A6448" s="156">
        <v>10910039</v>
      </c>
      <c r="B6448" s="172" t="s">
        <v>2460</v>
      </c>
      <c r="C6448" s="172" t="s">
        <v>4509</v>
      </c>
      <c r="D6448" s="194" t="s">
        <v>7797</v>
      </c>
      <c r="E6448" s="200">
        <v>41012</v>
      </c>
    </row>
    <row r="6449" spans="1:5" ht="14.25" hidden="1" customHeight="1">
      <c r="A6449" s="156">
        <v>13847505</v>
      </c>
      <c r="B6449" s="172" t="s">
        <v>1637</v>
      </c>
      <c r="C6449" s="172" t="s">
        <v>1638</v>
      </c>
      <c r="D6449" s="194" t="s">
        <v>7797</v>
      </c>
      <c r="E6449" s="200">
        <v>41012</v>
      </c>
    </row>
    <row r="6450" spans="1:5" ht="14.25" hidden="1" customHeight="1">
      <c r="A6450" s="156">
        <v>14073571</v>
      </c>
      <c r="B6450" s="172" t="s">
        <v>1190</v>
      </c>
      <c r="C6450" s="172" t="s">
        <v>922</v>
      </c>
      <c r="D6450" s="194" t="s">
        <v>7797</v>
      </c>
      <c r="E6450" s="200">
        <v>41012</v>
      </c>
    </row>
    <row r="6451" spans="1:5" ht="14.25" hidden="1" customHeight="1">
      <c r="A6451" s="156">
        <v>14073571</v>
      </c>
      <c r="B6451" s="172" t="s">
        <v>1190</v>
      </c>
      <c r="C6451" s="172" t="s">
        <v>922</v>
      </c>
      <c r="D6451" s="194" t="s">
        <v>7797</v>
      </c>
      <c r="E6451" s="200">
        <v>41012</v>
      </c>
    </row>
    <row r="6452" spans="1:5" ht="14.25" hidden="1" customHeight="1">
      <c r="A6452" s="156">
        <v>14480444</v>
      </c>
      <c r="B6452" s="172" t="s">
        <v>5781</v>
      </c>
      <c r="C6452" s="172" t="s">
        <v>639</v>
      </c>
      <c r="D6452" s="194" t="s">
        <v>7797</v>
      </c>
      <c r="E6452" s="200">
        <v>41012</v>
      </c>
    </row>
    <row r="6453" spans="1:5" ht="14.25" hidden="1" customHeight="1">
      <c r="A6453" s="156">
        <v>14709050</v>
      </c>
      <c r="B6453" s="172" t="s">
        <v>6050</v>
      </c>
      <c r="C6453" s="172" t="s">
        <v>215</v>
      </c>
      <c r="D6453" s="194" t="s">
        <v>7797</v>
      </c>
      <c r="E6453" s="200">
        <v>41012</v>
      </c>
    </row>
    <row r="6454" spans="1:5" ht="14.25" hidden="1" customHeight="1">
      <c r="A6454" s="156">
        <v>16039421</v>
      </c>
      <c r="B6454" s="172" t="s">
        <v>4384</v>
      </c>
      <c r="C6454" s="172" t="s">
        <v>4385</v>
      </c>
      <c r="D6454" s="194" t="s">
        <v>7797</v>
      </c>
      <c r="E6454" s="200">
        <v>41012</v>
      </c>
    </row>
    <row r="6455" spans="1:5" ht="14.25" hidden="1" customHeight="1">
      <c r="A6455" s="156">
        <v>16540820</v>
      </c>
      <c r="B6455" s="172" t="s">
        <v>8060</v>
      </c>
      <c r="C6455" s="172" t="s">
        <v>8048</v>
      </c>
      <c r="D6455" s="194" t="s">
        <v>7797</v>
      </c>
      <c r="E6455" s="200">
        <v>41012</v>
      </c>
    </row>
    <row r="6456" spans="1:5" ht="14.25" hidden="1" customHeight="1">
      <c r="A6456" s="156">
        <v>18465826</v>
      </c>
      <c r="B6456" s="172" t="s">
        <v>1482</v>
      </c>
      <c r="C6456" s="172" t="s">
        <v>876</v>
      </c>
      <c r="D6456" s="194" t="s">
        <v>7797</v>
      </c>
      <c r="E6456" s="200">
        <v>41012</v>
      </c>
    </row>
    <row r="6457" spans="1:5" ht="14.25" hidden="1" customHeight="1">
      <c r="A6457" s="156">
        <v>18593325</v>
      </c>
      <c r="B6457" s="172" t="s">
        <v>4088</v>
      </c>
      <c r="C6457" s="172" t="s">
        <v>5187</v>
      </c>
      <c r="D6457" s="194" t="s">
        <v>7797</v>
      </c>
      <c r="E6457" s="200">
        <v>41012</v>
      </c>
    </row>
    <row r="6458" spans="1:5" ht="14.25" hidden="1" customHeight="1">
      <c r="A6458" s="156">
        <v>18611324</v>
      </c>
      <c r="B6458" s="172" t="s">
        <v>1855</v>
      </c>
      <c r="C6458" s="172" t="s">
        <v>178</v>
      </c>
      <c r="D6458" s="194" t="s">
        <v>7797</v>
      </c>
      <c r="E6458" s="200">
        <v>41012</v>
      </c>
    </row>
    <row r="6459" spans="1:5" ht="14.25" hidden="1" customHeight="1">
      <c r="A6459" s="156">
        <v>20171458</v>
      </c>
      <c r="B6459" s="172" t="s">
        <v>2813</v>
      </c>
      <c r="C6459" s="172" t="s">
        <v>494</v>
      </c>
      <c r="D6459" s="194" t="s">
        <v>7797</v>
      </c>
      <c r="E6459" s="200">
        <v>41012</v>
      </c>
    </row>
    <row r="6460" spans="1:5" ht="14.25" hidden="1" customHeight="1">
      <c r="A6460" s="156">
        <v>20284201</v>
      </c>
      <c r="B6460" s="172" t="s">
        <v>355</v>
      </c>
      <c r="C6460" s="172" t="s">
        <v>2715</v>
      </c>
      <c r="D6460" s="194" t="s">
        <v>7797</v>
      </c>
      <c r="E6460" s="200">
        <v>41012</v>
      </c>
    </row>
    <row r="6461" spans="1:5" ht="14.25" hidden="1" customHeight="1">
      <c r="A6461" s="156">
        <v>20285264</v>
      </c>
      <c r="B6461" s="172" t="s">
        <v>6433</v>
      </c>
      <c r="C6461" s="172" t="s">
        <v>2102</v>
      </c>
      <c r="D6461" s="194" t="s">
        <v>7797</v>
      </c>
      <c r="E6461" s="200">
        <v>41012</v>
      </c>
    </row>
    <row r="6462" spans="1:5" ht="14.25" hidden="1" customHeight="1">
      <c r="A6462" s="156">
        <v>21327352</v>
      </c>
      <c r="B6462" s="172" t="s">
        <v>7774</v>
      </c>
      <c r="C6462" s="172" t="s">
        <v>3466</v>
      </c>
      <c r="D6462" s="194" t="s">
        <v>7797</v>
      </c>
      <c r="E6462" s="200">
        <v>41012</v>
      </c>
    </row>
    <row r="6463" spans="1:5" ht="14.25" hidden="1" customHeight="1">
      <c r="A6463" s="156">
        <v>21329323</v>
      </c>
      <c r="B6463" s="172" t="s">
        <v>4646</v>
      </c>
      <c r="C6463" s="172" t="s">
        <v>2447</v>
      </c>
      <c r="D6463" s="194" t="s">
        <v>7797</v>
      </c>
      <c r="E6463" s="200">
        <v>41012</v>
      </c>
    </row>
    <row r="6464" spans="1:5" ht="14.25" hidden="1" customHeight="1">
      <c r="A6464" s="156">
        <v>21893835</v>
      </c>
      <c r="B6464" s="172" t="s">
        <v>321</v>
      </c>
      <c r="C6464" s="172" t="s">
        <v>322</v>
      </c>
      <c r="D6464" s="194" t="s">
        <v>7797</v>
      </c>
      <c r="E6464" s="200">
        <v>41012</v>
      </c>
    </row>
    <row r="6465" spans="1:5" ht="14.25" hidden="1" customHeight="1">
      <c r="A6465" s="156">
        <v>23141145</v>
      </c>
      <c r="B6465" s="172" t="s">
        <v>226</v>
      </c>
      <c r="C6465" s="172" t="s">
        <v>5026</v>
      </c>
      <c r="D6465" s="194" t="s">
        <v>7797</v>
      </c>
      <c r="E6465" s="200">
        <v>41012</v>
      </c>
    </row>
    <row r="6466" spans="1:5" ht="14.25" hidden="1" customHeight="1">
      <c r="A6466" s="156">
        <v>23238436</v>
      </c>
      <c r="B6466" s="172" t="s">
        <v>1641</v>
      </c>
      <c r="C6466" s="172" t="s">
        <v>1642</v>
      </c>
      <c r="D6466" s="194" t="s">
        <v>7797</v>
      </c>
      <c r="E6466" s="200">
        <v>41012</v>
      </c>
    </row>
    <row r="6467" spans="1:5" ht="14.25" hidden="1" customHeight="1">
      <c r="A6467" s="156">
        <v>23931356</v>
      </c>
      <c r="B6467" s="172" t="s">
        <v>633</v>
      </c>
      <c r="C6467" s="172" t="s">
        <v>223</v>
      </c>
      <c r="D6467" s="194" t="s">
        <v>7797</v>
      </c>
      <c r="E6467" s="200">
        <v>41012</v>
      </c>
    </row>
    <row r="6468" spans="1:5" ht="14.25" hidden="1" customHeight="1">
      <c r="A6468" s="156">
        <v>26445563</v>
      </c>
      <c r="B6468" s="172" t="s">
        <v>6091</v>
      </c>
      <c r="C6468" s="172" t="s">
        <v>215</v>
      </c>
      <c r="D6468" s="194" t="s">
        <v>7797</v>
      </c>
      <c r="E6468" s="200">
        <v>41012</v>
      </c>
    </row>
    <row r="6469" spans="1:5" ht="14.25" hidden="1" customHeight="1">
      <c r="A6469" s="156">
        <v>27945367</v>
      </c>
      <c r="B6469" s="172" t="s">
        <v>1599</v>
      </c>
      <c r="C6469" s="172" t="s">
        <v>1600</v>
      </c>
      <c r="D6469" s="194" t="s">
        <v>7797</v>
      </c>
      <c r="E6469" s="200">
        <v>41012</v>
      </c>
    </row>
    <row r="6470" spans="1:5" ht="14.25" hidden="1" customHeight="1">
      <c r="A6470" s="156">
        <v>28884535</v>
      </c>
      <c r="B6470" s="172" t="s">
        <v>146</v>
      </c>
      <c r="C6470" s="172" t="s">
        <v>1672</v>
      </c>
      <c r="D6470" s="194" t="s">
        <v>7797</v>
      </c>
      <c r="E6470" s="200">
        <v>41012</v>
      </c>
    </row>
    <row r="6471" spans="1:5" ht="14.25" hidden="1" customHeight="1">
      <c r="A6471" s="156">
        <v>29026236</v>
      </c>
      <c r="B6471" s="172" t="s">
        <v>315</v>
      </c>
      <c r="C6471" s="172" t="s">
        <v>902</v>
      </c>
      <c r="D6471" s="194" t="s">
        <v>7797</v>
      </c>
      <c r="E6471" s="200">
        <v>41012</v>
      </c>
    </row>
    <row r="6472" spans="1:5" ht="14.25" hidden="1" customHeight="1">
      <c r="A6472" s="156">
        <v>29242462</v>
      </c>
      <c r="B6472" s="172" t="s">
        <v>846</v>
      </c>
      <c r="C6472" s="172" t="s">
        <v>2712</v>
      </c>
      <c r="D6472" s="194" t="s">
        <v>7797</v>
      </c>
      <c r="E6472" s="200">
        <v>41012</v>
      </c>
    </row>
    <row r="6473" spans="1:5" ht="14.25" hidden="1" customHeight="1">
      <c r="A6473" s="156">
        <v>29430338</v>
      </c>
      <c r="B6473" s="172" t="s">
        <v>1097</v>
      </c>
      <c r="C6473" s="172" t="s">
        <v>1098</v>
      </c>
      <c r="D6473" s="194" t="s">
        <v>7797</v>
      </c>
      <c r="E6473" s="200">
        <v>41012</v>
      </c>
    </row>
    <row r="6474" spans="1:5" ht="14.25" hidden="1" customHeight="1">
      <c r="A6474" s="156">
        <v>29743945</v>
      </c>
      <c r="B6474" s="172" t="s">
        <v>5843</v>
      </c>
      <c r="C6474" s="172" t="s">
        <v>2179</v>
      </c>
      <c r="D6474" s="194" t="s">
        <v>7797</v>
      </c>
      <c r="E6474" s="200">
        <v>41012</v>
      </c>
    </row>
    <row r="6475" spans="1:5" ht="14.25" hidden="1" customHeight="1">
      <c r="A6475" s="156">
        <v>30497720</v>
      </c>
      <c r="B6475" s="172" t="s">
        <v>2990</v>
      </c>
      <c r="C6475" s="172" t="s">
        <v>6443</v>
      </c>
      <c r="D6475" s="194" t="s">
        <v>7797</v>
      </c>
      <c r="E6475" s="200">
        <v>41012</v>
      </c>
    </row>
    <row r="6476" spans="1:5" ht="14.25" hidden="1" customHeight="1">
      <c r="A6476" s="156">
        <v>32852817</v>
      </c>
      <c r="B6476" s="172" t="s">
        <v>3927</v>
      </c>
      <c r="C6476" s="172" t="s">
        <v>3928</v>
      </c>
      <c r="D6476" s="194" t="s">
        <v>7797</v>
      </c>
      <c r="E6476" s="200">
        <v>41012</v>
      </c>
    </row>
    <row r="6477" spans="1:5" ht="14.25" hidden="1" customHeight="1">
      <c r="A6477" s="156">
        <v>32853340</v>
      </c>
      <c r="B6477" s="172" t="s">
        <v>701</v>
      </c>
      <c r="C6477" s="172" t="s">
        <v>702</v>
      </c>
      <c r="D6477" s="194" t="s">
        <v>7797</v>
      </c>
      <c r="E6477" s="200">
        <v>41012</v>
      </c>
    </row>
    <row r="6478" spans="1:5" ht="14.25" hidden="1" customHeight="1">
      <c r="A6478" s="156">
        <v>33049000</v>
      </c>
      <c r="B6478" s="172" t="s">
        <v>1700</v>
      </c>
      <c r="C6478" s="172" t="s">
        <v>1701</v>
      </c>
      <c r="D6478" s="194" t="s">
        <v>7797</v>
      </c>
      <c r="E6478" s="200">
        <v>41012</v>
      </c>
    </row>
    <row r="6479" spans="1:5" ht="14.25" hidden="1" customHeight="1">
      <c r="A6479" s="156">
        <v>11080049</v>
      </c>
      <c r="B6479" s="172" t="s">
        <v>2438</v>
      </c>
      <c r="C6479" s="172" t="s">
        <v>2184</v>
      </c>
      <c r="D6479" s="194" t="s">
        <v>8061</v>
      </c>
      <c r="E6479" s="200">
        <v>41010</v>
      </c>
    </row>
    <row r="6480" spans="1:5" ht="14.25" hidden="1" customHeight="1">
      <c r="A6480" s="156">
        <v>11080049</v>
      </c>
      <c r="B6480" s="172" t="s">
        <v>2438</v>
      </c>
      <c r="C6480" s="172" t="s">
        <v>2184</v>
      </c>
      <c r="D6480" s="194" t="s">
        <v>8061</v>
      </c>
      <c r="E6480" s="200">
        <v>41010</v>
      </c>
    </row>
    <row r="6481" spans="1:5" ht="14.25" hidden="1" customHeight="1">
      <c r="A6481" s="156">
        <v>11708174</v>
      </c>
      <c r="B6481" s="172" t="s">
        <v>1628</v>
      </c>
      <c r="C6481" s="172" t="s">
        <v>1629</v>
      </c>
      <c r="D6481" s="194" t="s">
        <v>8061</v>
      </c>
      <c r="E6481" s="200">
        <v>41010</v>
      </c>
    </row>
    <row r="6482" spans="1:5" ht="14.25" hidden="1" customHeight="1">
      <c r="A6482" s="156">
        <v>11708174</v>
      </c>
      <c r="B6482" s="172" t="s">
        <v>1628</v>
      </c>
      <c r="C6482" s="172" t="s">
        <v>1629</v>
      </c>
      <c r="D6482" s="194" t="s">
        <v>8061</v>
      </c>
      <c r="E6482" s="200">
        <v>41010</v>
      </c>
    </row>
    <row r="6483" spans="1:5" ht="14.25" hidden="1" customHeight="1">
      <c r="A6483" s="156">
        <v>11768665</v>
      </c>
      <c r="B6483" s="172" t="s">
        <v>1910</v>
      </c>
      <c r="C6483" s="172" t="s">
        <v>1748</v>
      </c>
      <c r="D6483" s="194" t="s">
        <v>8061</v>
      </c>
      <c r="E6483" s="200">
        <v>41010</v>
      </c>
    </row>
    <row r="6484" spans="1:5" ht="14.25" hidden="1" customHeight="1">
      <c r="A6484" s="156">
        <v>11768665</v>
      </c>
      <c r="B6484" s="172" t="s">
        <v>1910</v>
      </c>
      <c r="C6484" s="172" t="s">
        <v>1748</v>
      </c>
      <c r="D6484" s="194" t="s">
        <v>8061</v>
      </c>
      <c r="E6484" s="200">
        <v>41010</v>
      </c>
    </row>
    <row r="6485" spans="1:5" ht="14.25" hidden="1" customHeight="1">
      <c r="A6485" s="156">
        <v>11768665</v>
      </c>
      <c r="B6485" s="172" t="s">
        <v>1910</v>
      </c>
      <c r="C6485" s="172" t="s">
        <v>1748</v>
      </c>
      <c r="D6485" s="194" t="s">
        <v>8061</v>
      </c>
      <c r="E6485" s="200">
        <v>41010</v>
      </c>
    </row>
    <row r="6486" spans="1:5" ht="14.25" hidden="1" customHeight="1">
      <c r="A6486" s="156">
        <v>13474822</v>
      </c>
      <c r="B6486" s="172" t="s">
        <v>3133</v>
      </c>
      <c r="C6486" s="172" t="s">
        <v>1965</v>
      </c>
      <c r="D6486" s="194" t="s">
        <v>8061</v>
      </c>
      <c r="E6486" s="200">
        <v>41010</v>
      </c>
    </row>
    <row r="6487" spans="1:5" ht="14.25" hidden="1" customHeight="1">
      <c r="A6487" s="156">
        <v>13474822</v>
      </c>
      <c r="B6487" s="172" t="s">
        <v>3133</v>
      </c>
      <c r="C6487" s="172" t="s">
        <v>1965</v>
      </c>
      <c r="D6487" s="194" t="s">
        <v>8061</v>
      </c>
      <c r="E6487" s="200">
        <v>41010</v>
      </c>
    </row>
    <row r="6488" spans="1:5" ht="14.25" hidden="1" customHeight="1">
      <c r="A6488" s="156">
        <v>13627092</v>
      </c>
      <c r="B6488" s="172" t="s">
        <v>2262</v>
      </c>
      <c r="C6488" s="172" t="s">
        <v>4050</v>
      </c>
      <c r="D6488" s="194" t="s">
        <v>8061</v>
      </c>
      <c r="E6488" s="200">
        <v>41010</v>
      </c>
    </row>
    <row r="6489" spans="1:5" ht="14.25" hidden="1" customHeight="1">
      <c r="A6489" s="156">
        <v>13627092</v>
      </c>
      <c r="B6489" s="172" t="s">
        <v>2262</v>
      </c>
      <c r="C6489" s="172" t="s">
        <v>4050</v>
      </c>
      <c r="D6489" s="194" t="s">
        <v>8061</v>
      </c>
      <c r="E6489" s="200">
        <v>41010</v>
      </c>
    </row>
    <row r="6490" spans="1:5" ht="14.25" hidden="1" customHeight="1">
      <c r="A6490" s="156">
        <v>13877224</v>
      </c>
      <c r="B6490" s="172" t="s">
        <v>3204</v>
      </c>
      <c r="C6490" s="172" t="s">
        <v>3205</v>
      </c>
      <c r="D6490" s="194" t="s">
        <v>8061</v>
      </c>
      <c r="E6490" s="200">
        <v>41010</v>
      </c>
    </row>
    <row r="6491" spans="1:5" ht="14.25" hidden="1" customHeight="1">
      <c r="A6491" s="156">
        <v>13877224</v>
      </c>
      <c r="B6491" s="172" t="s">
        <v>3204</v>
      </c>
      <c r="C6491" s="172" t="s">
        <v>3205</v>
      </c>
      <c r="D6491" s="194" t="s">
        <v>8061</v>
      </c>
      <c r="E6491" s="200">
        <v>41010</v>
      </c>
    </row>
    <row r="6492" spans="1:5" ht="14.25" hidden="1" customHeight="1">
      <c r="A6492" s="156">
        <v>14073031</v>
      </c>
      <c r="B6492" s="177" t="s">
        <v>8062</v>
      </c>
      <c r="C6492" s="177" t="s">
        <v>8063</v>
      </c>
      <c r="D6492" s="194" t="s">
        <v>8061</v>
      </c>
      <c r="E6492" s="200">
        <v>41010</v>
      </c>
    </row>
    <row r="6493" spans="1:5" ht="14.25" hidden="1" customHeight="1">
      <c r="A6493" s="156">
        <v>14073492</v>
      </c>
      <c r="B6493" s="172" t="s">
        <v>7280</v>
      </c>
      <c r="C6493" s="172" t="s">
        <v>2184</v>
      </c>
      <c r="D6493" s="194" t="s">
        <v>8061</v>
      </c>
      <c r="E6493" s="200">
        <v>41010</v>
      </c>
    </row>
    <row r="6494" spans="1:5" ht="14.25" hidden="1" customHeight="1">
      <c r="A6494" s="156">
        <v>14073492</v>
      </c>
      <c r="B6494" s="172" t="s">
        <v>7280</v>
      </c>
      <c r="C6494" s="172" t="s">
        <v>2184</v>
      </c>
      <c r="D6494" s="194" t="s">
        <v>8061</v>
      </c>
      <c r="E6494" s="200">
        <v>41010</v>
      </c>
    </row>
    <row r="6495" spans="1:5" ht="14.25" hidden="1" customHeight="1">
      <c r="A6495" s="156">
        <v>14073492</v>
      </c>
      <c r="B6495" s="172" t="s">
        <v>7280</v>
      </c>
      <c r="C6495" s="172" t="s">
        <v>2184</v>
      </c>
      <c r="D6495" s="194" t="s">
        <v>8061</v>
      </c>
      <c r="E6495" s="200">
        <v>41010</v>
      </c>
    </row>
    <row r="6496" spans="1:5" ht="14.25" hidden="1" customHeight="1">
      <c r="A6496" s="156">
        <v>14073571</v>
      </c>
      <c r="B6496" s="172" t="s">
        <v>1190</v>
      </c>
      <c r="C6496" s="172" t="s">
        <v>922</v>
      </c>
      <c r="D6496" s="194" t="s">
        <v>8061</v>
      </c>
      <c r="E6496" s="200">
        <v>41010</v>
      </c>
    </row>
    <row r="6497" spans="1:5" ht="14.25" hidden="1" customHeight="1">
      <c r="A6497" s="156">
        <v>14073571</v>
      </c>
      <c r="B6497" s="172" t="s">
        <v>1190</v>
      </c>
      <c r="C6497" s="172" t="s">
        <v>922</v>
      </c>
      <c r="D6497" s="194" t="s">
        <v>8061</v>
      </c>
      <c r="E6497" s="200">
        <v>41010</v>
      </c>
    </row>
    <row r="6498" spans="1:5" ht="14.25" hidden="1" customHeight="1">
      <c r="A6498" s="156">
        <v>14073571</v>
      </c>
      <c r="B6498" s="172" t="s">
        <v>1190</v>
      </c>
      <c r="C6498" s="172" t="s">
        <v>922</v>
      </c>
      <c r="D6498" s="194" t="s">
        <v>8061</v>
      </c>
      <c r="E6498" s="200">
        <v>41010</v>
      </c>
    </row>
    <row r="6499" spans="1:5" ht="14.25" hidden="1" customHeight="1">
      <c r="A6499" s="156">
        <v>14660769</v>
      </c>
      <c r="B6499" s="172" t="s">
        <v>47</v>
      </c>
      <c r="C6499" s="172" t="s">
        <v>365</v>
      </c>
      <c r="D6499" s="194" t="s">
        <v>8061</v>
      </c>
      <c r="E6499" s="200">
        <v>41010</v>
      </c>
    </row>
    <row r="6500" spans="1:5" ht="14.25" hidden="1" customHeight="1">
      <c r="A6500" s="156">
        <v>14660769</v>
      </c>
      <c r="B6500" s="172" t="s">
        <v>47</v>
      </c>
      <c r="C6500" s="172" t="s">
        <v>365</v>
      </c>
      <c r="D6500" s="194" t="s">
        <v>8061</v>
      </c>
      <c r="E6500" s="200">
        <v>41010</v>
      </c>
    </row>
    <row r="6501" spans="1:5" ht="14.25" hidden="1" customHeight="1">
      <c r="A6501" s="156">
        <v>14709050</v>
      </c>
      <c r="B6501" s="172" t="s">
        <v>6050</v>
      </c>
      <c r="C6501" s="172" t="s">
        <v>215</v>
      </c>
      <c r="D6501" s="194" t="s">
        <v>8061</v>
      </c>
      <c r="E6501" s="200">
        <v>41010</v>
      </c>
    </row>
    <row r="6502" spans="1:5" ht="14.25" hidden="1" customHeight="1">
      <c r="A6502" s="156">
        <v>14709050</v>
      </c>
      <c r="B6502" s="172" t="s">
        <v>6050</v>
      </c>
      <c r="C6502" s="172" t="s">
        <v>215</v>
      </c>
      <c r="D6502" s="194" t="s">
        <v>8061</v>
      </c>
      <c r="E6502" s="200">
        <v>41010</v>
      </c>
    </row>
    <row r="6503" spans="1:5" ht="14.25" hidden="1" customHeight="1">
      <c r="A6503" s="156">
        <v>16308116</v>
      </c>
      <c r="B6503" s="172" t="s">
        <v>4972</v>
      </c>
      <c r="C6503" s="172" t="s">
        <v>639</v>
      </c>
      <c r="D6503" s="194" t="s">
        <v>8061</v>
      </c>
      <c r="E6503" s="200">
        <v>41010</v>
      </c>
    </row>
    <row r="6504" spans="1:5" ht="14.25" hidden="1" customHeight="1">
      <c r="A6504" s="156">
        <v>16308116</v>
      </c>
      <c r="B6504" s="172" t="s">
        <v>4972</v>
      </c>
      <c r="C6504" s="172" t="s">
        <v>639</v>
      </c>
      <c r="D6504" s="194" t="s">
        <v>8061</v>
      </c>
      <c r="E6504" s="200">
        <v>41010</v>
      </c>
    </row>
    <row r="6505" spans="1:5" ht="14.25" hidden="1" customHeight="1">
      <c r="A6505" s="156">
        <v>16540820</v>
      </c>
      <c r="B6505" s="172" t="s">
        <v>5082</v>
      </c>
      <c r="C6505" s="172" t="s">
        <v>8048</v>
      </c>
      <c r="D6505" s="194" t="s">
        <v>8061</v>
      </c>
      <c r="E6505" s="200">
        <v>41010</v>
      </c>
    </row>
    <row r="6506" spans="1:5" ht="14.25" hidden="1" customHeight="1">
      <c r="A6506" s="156">
        <v>16540820</v>
      </c>
      <c r="B6506" s="172" t="s">
        <v>5082</v>
      </c>
      <c r="C6506" s="172" t="s">
        <v>8048</v>
      </c>
      <c r="D6506" s="194" t="s">
        <v>8061</v>
      </c>
      <c r="E6506" s="200">
        <v>41010</v>
      </c>
    </row>
    <row r="6507" spans="1:5" ht="14.25" hidden="1" customHeight="1">
      <c r="A6507" s="156">
        <v>17123876</v>
      </c>
      <c r="B6507" s="172" t="s">
        <v>2151</v>
      </c>
      <c r="C6507" s="172" t="s">
        <v>1809</v>
      </c>
      <c r="D6507" s="194" t="s">
        <v>8061</v>
      </c>
      <c r="E6507" s="200">
        <v>41010</v>
      </c>
    </row>
    <row r="6508" spans="1:5" ht="14.25" hidden="1" customHeight="1">
      <c r="A6508" s="156">
        <v>17123876</v>
      </c>
      <c r="B6508" s="172" t="s">
        <v>2151</v>
      </c>
      <c r="C6508" s="172" t="s">
        <v>1809</v>
      </c>
      <c r="D6508" s="194" t="s">
        <v>8061</v>
      </c>
      <c r="E6508" s="200">
        <v>41010</v>
      </c>
    </row>
    <row r="6509" spans="1:5" ht="14.25" hidden="1" customHeight="1">
      <c r="A6509" s="156">
        <v>17859700</v>
      </c>
      <c r="B6509" s="177" t="s">
        <v>6424</v>
      </c>
      <c r="C6509" s="177" t="s">
        <v>8064</v>
      </c>
      <c r="D6509" s="194" t="s">
        <v>8061</v>
      </c>
      <c r="E6509" s="200">
        <v>41010</v>
      </c>
    </row>
    <row r="6510" spans="1:5" ht="14.25" hidden="1" customHeight="1">
      <c r="A6510" s="156">
        <v>20171458</v>
      </c>
      <c r="B6510" s="172" t="s">
        <v>2813</v>
      </c>
      <c r="C6510" s="172" t="s">
        <v>494</v>
      </c>
      <c r="D6510" s="194" t="s">
        <v>8061</v>
      </c>
      <c r="E6510" s="200">
        <v>41010</v>
      </c>
    </row>
    <row r="6511" spans="1:5" ht="14.25" hidden="1" customHeight="1">
      <c r="A6511" s="156">
        <v>20171458</v>
      </c>
      <c r="B6511" s="172" t="s">
        <v>2813</v>
      </c>
      <c r="C6511" s="172" t="s">
        <v>494</v>
      </c>
      <c r="D6511" s="194" t="s">
        <v>8061</v>
      </c>
      <c r="E6511" s="200">
        <v>41010</v>
      </c>
    </row>
    <row r="6512" spans="1:5" ht="14.25" hidden="1" customHeight="1">
      <c r="A6512" s="156">
        <v>26638009</v>
      </c>
      <c r="B6512" s="172" t="s">
        <v>5058</v>
      </c>
      <c r="C6512" s="172" t="s">
        <v>1634</v>
      </c>
      <c r="D6512" s="194" t="s">
        <v>8061</v>
      </c>
      <c r="E6512" s="200">
        <v>41010</v>
      </c>
    </row>
    <row r="6513" spans="1:5" ht="14.25" hidden="1" customHeight="1">
      <c r="A6513" s="156">
        <v>26638009</v>
      </c>
      <c r="B6513" s="172" t="s">
        <v>5058</v>
      </c>
      <c r="C6513" s="172" t="s">
        <v>1634</v>
      </c>
      <c r="D6513" s="194" t="s">
        <v>8061</v>
      </c>
      <c r="E6513" s="200">
        <v>41010</v>
      </c>
    </row>
    <row r="6514" spans="1:5" ht="14.25" hidden="1" customHeight="1">
      <c r="A6514" s="156">
        <v>28680958</v>
      </c>
      <c r="B6514" s="172" t="s">
        <v>794</v>
      </c>
      <c r="C6514" s="172" t="s">
        <v>2146</v>
      </c>
      <c r="D6514" s="194" t="s">
        <v>8061</v>
      </c>
      <c r="E6514" s="200">
        <v>41010</v>
      </c>
    </row>
    <row r="6515" spans="1:5" ht="14.25" hidden="1" customHeight="1">
      <c r="A6515" s="156">
        <v>28680958</v>
      </c>
      <c r="B6515" s="172" t="s">
        <v>794</v>
      </c>
      <c r="C6515" s="172" t="s">
        <v>2146</v>
      </c>
      <c r="D6515" s="194" t="s">
        <v>8061</v>
      </c>
      <c r="E6515" s="200">
        <v>41010</v>
      </c>
    </row>
    <row r="6516" spans="1:5" ht="14.25" hidden="1" customHeight="1">
      <c r="A6516" s="159">
        <v>5468956</v>
      </c>
      <c r="B6516" s="176" t="s">
        <v>7291</v>
      </c>
      <c r="C6516" s="176" t="s">
        <v>8067</v>
      </c>
      <c r="D6516" s="194" t="s">
        <v>8065</v>
      </c>
      <c r="E6516" s="200">
        <v>40995</v>
      </c>
    </row>
    <row r="6517" spans="1:5" ht="14.25" hidden="1" customHeight="1">
      <c r="A6517" s="159">
        <v>13628928</v>
      </c>
      <c r="B6517" s="176" t="s">
        <v>6874</v>
      </c>
      <c r="C6517" s="176" t="s">
        <v>8066</v>
      </c>
      <c r="D6517" s="194" t="s">
        <v>8065</v>
      </c>
      <c r="E6517" s="200">
        <v>40995</v>
      </c>
    </row>
    <row r="6518" spans="1:5" ht="14.25" hidden="1" customHeight="1">
      <c r="A6518" s="159">
        <v>25734543</v>
      </c>
      <c r="B6518" s="176" t="s">
        <v>8073</v>
      </c>
      <c r="C6518" s="176" t="s">
        <v>8074</v>
      </c>
      <c r="D6518" s="194" t="s">
        <v>8065</v>
      </c>
      <c r="E6518" s="200">
        <v>40995</v>
      </c>
    </row>
    <row r="6519" spans="1:5" ht="14.25" hidden="1" customHeight="1">
      <c r="A6519" s="159">
        <v>27961528</v>
      </c>
      <c r="B6519" s="176" t="s">
        <v>8068</v>
      </c>
      <c r="C6519" s="176" t="s">
        <v>8069</v>
      </c>
      <c r="D6519" s="194" t="s">
        <v>8065</v>
      </c>
      <c r="E6519" s="200">
        <v>40995</v>
      </c>
    </row>
    <row r="6520" spans="1:5" ht="14.25" hidden="1" customHeight="1">
      <c r="A6520" s="159">
        <v>28221525</v>
      </c>
      <c r="B6520" s="176" t="s">
        <v>8071</v>
      </c>
      <c r="C6520" s="176" t="s">
        <v>8072</v>
      </c>
      <c r="D6520" s="194" t="s">
        <v>8065</v>
      </c>
      <c r="E6520" s="200">
        <v>40995</v>
      </c>
    </row>
    <row r="6521" spans="1:5" ht="14.25" hidden="1" customHeight="1">
      <c r="A6521" s="159">
        <v>31644846</v>
      </c>
      <c r="B6521" s="176" t="s">
        <v>7507</v>
      </c>
      <c r="C6521" s="176" t="s">
        <v>7898</v>
      </c>
      <c r="D6521" s="194" t="s">
        <v>8065</v>
      </c>
      <c r="E6521" s="200">
        <v>40995</v>
      </c>
    </row>
    <row r="6522" spans="1:5" ht="14.25" hidden="1" customHeight="1">
      <c r="A6522" s="159">
        <v>33236192</v>
      </c>
      <c r="B6522" s="176" t="s">
        <v>8070</v>
      </c>
      <c r="C6522" s="176" t="s">
        <v>7756</v>
      </c>
      <c r="D6522" s="194" t="s">
        <v>8065</v>
      </c>
      <c r="E6522" s="200">
        <v>40995</v>
      </c>
    </row>
    <row r="6523" spans="1:5" ht="14.25" hidden="1" customHeight="1">
      <c r="A6523" s="156">
        <v>11103341</v>
      </c>
      <c r="B6523" s="172" t="s">
        <v>1599</v>
      </c>
      <c r="C6523" s="172" t="s">
        <v>3820</v>
      </c>
      <c r="D6523" s="194" t="s">
        <v>7833</v>
      </c>
      <c r="E6523" s="200">
        <v>40995</v>
      </c>
    </row>
    <row r="6524" spans="1:5" ht="14.25" hidden="1" customHeight="1">
      <c r="A6524" s="156">
        <v>11707732</v>
      </c>
      <c r="B6524" s="172" t="s">
        <v>4506</v>
      </c>
      <c r="C6524" s="172" t="s">
        <v>4507</v>
      </c>
      <c r="D6524" s="194" t="s">
        <v>7833</v>
      </c>
      <c r="E6524" s="200">
        <v>40995</v>
      </c>
    </row>
    <row r="6525" spans="1:5" ht="14.25" hidden="1" customHeight="1">
      <c r="A6525" s="156">
        <v>11909679</v>
      </c>
      <c r="B6525" s="172" t="s">
        <v>3357</v>
      </c>
      <c r="C6525" s="172" t="s">
        <v>832</v>
      </c>
      <c r="D6525" s="194" t="s">
        <v>7833</v>
      </c>
      <c r="E6525" s="200">
        <v>40995</v>
      </c>
    </row>
    <row r="6526" spans="1:5" ht="14.25" hidden="1" customHeight="1">
      <c r="A6526" s="156">
        <v>12318129</v>
      </c>
      <c r="B6526" s="172" t="s">
        <v>2952</v>
      </c>
      <c r="C6526" s="172" t="s">
        <v>1023</v>
      </c>
      <c r="D6526" s="194" t="s">
        <v>7833</v>
      </c>
      <c r="E6526" s="200">
        <v>40995</v>
      </c>
    </row>
    <row r="6527" spans="1:5" ht="14.25" hidden="1" customHeight="1">
      <c r="A6527" s="156">
        <v>12414876</v>
      </c>
      <c r="B6527" s="172" t="s">
        <v>311</v>
      </c>
      <c r="C6527" s="172" t="s">
        <v>3383</v>
      </c>
      <c r="D6527" s="194" t="s">
        <v>7833</v>
      </c>
      <c r="E6527" s="200">
        <v>40995</v>
      </c>
    </row>
    <row r="6528" spans="1:5" ht="14.25" hidden="1" customHeight="1">
      <c r="A6528" s="156">
        <v>12654235</v>
      </c>
      <c r="B6528" s="172" t="s">
        <v>863</v>
      </c>
      <c r="C6528" s="172" t="s">
        <v>4576</v>
      </c>
      <c r="D6528" s="194" t="s">
        <v>7833</v>
      </c>
      <c r="E6528" s="200">
        <v>40995</v>
      </c>
    </row>
    <row r="6529" spans="1:5" ht="14.25" hidden="1" customHeight="1">
      <c r="A6529" s="156">
        <v>14324672</v>
      </c>
      <c r="B6529" s="172" t="s">
        <v>5496</v>
      </c>
      <c r="C6529" s="172" t="s">
        <v>5497</v>
      </c>
      <c r="D6529" s="194" t="s">
        <v>7833</v>
      </c>
      <c r="E6529" s="200">
        <v>40995</v>
      </c>
    </row>
    <row r="6530" spans="1:5" ht="14.25" hidden="1" customHeight="1">
      <c r="A6530" s="156">
        <v>14480554</v>
      </c>
      <c r="B6530" s="172" t="s">
        <v>1671</v>
      </c>
      <c r="C6530" s="172" t="s">
        <v>1672</v>
      </c>
      <c r="D6530" s="194" t="s">
        <v>7833</v>
      </c>
      <c r="E6530" s="200">
        <v>40995</v>
      </c>
    </row>
    <row r="6531" spans="1:5" ht="14.25" hidden="1" customHeight="1">
      <c r="A6531" s="156">
        <v>14660769</v>
      </c>
      <c r="B6531" s="172" t="s">
        <v>8075</v>
      </c>
      <c r="C6531" s="172" t="s">
        <v>365</v>
      </c>
      <c r="D6531" s="194" t="s">
        <v>7833</v>
      </c>
      <c r="E6531" s="200">
        <v>40995</v>
      </c>
    </row>
    <row r="6532" spans="1:5" ht="14.25" hidden="1" customHeight="1">
      <c r="A6532" s="156">
        <v>14661637</v>
      </c>
      <c r="B6532" s="172" t="s">
        <v>308</v>
      </c>
      <c r="C6532" s="172" t="s">
        <v>3996</v>
      </c>
      <c r="D6532" s="194" t="s">
        <v>7833</v>
      </c>
      <c r="E6532" s="200">
        <v>40995</v>
      </c>
    </row>
    <row r="6533" spans="1:5" ht="14.25" hidden="1" customHeight="1">
      <c r="A6533" s="156">
        <v>14661799</v>
      </c>
      <c r="B6533" s="172" t="s">
        <v>342</v>
      </c>
      <c r="C6533" s="172" t="s">
        <v>465</v>
      </c>
      <c r="D6533" s="194" t="s">
        <v>7833</v>
      </c>
      <c r="E6533" s="200">
        <v>40995</v>
      </c>
    </row>
    <row r="6534" spans="1:5" ht="14.25" hidden="1" customHeight="1">
      <c r="A6534" s="156">
        <v>16691932</v>
      </c>
      <c r="B6534" s="172" t="s">
        <v>680</v>
      </c>
      <c r="C6534" s="172" t="s">
        <v>6178</v>
      </c>
      <c r="D6534" s="194" t="s">
        <v>7833</v>
      </c>
      <c r="E6534" s="200">
        <v>40995</v>
      </c>
    </row>
    <row r="6535" spans="1:5" ht="14.25" hidden="1" customHeight="1">
      <c r="A6535" s="156">
        <v>17182493</v>
      </c>
      <c r="B6535" s="172" t="s">
        <v>757</v>
      </c>
      <c r="C6535" s="172" t="s">
        <v>758</v>
      </c>
      <c r="D6535" s="194" t="s">
        <v>7833</v>
      </c>
      <c r="E6535" s="200">
        <v>40995</v>
      </c>
    </row>
    <row r="6536" spans="1:5" ht="14.25" hidden="1" customHeight="1">
      <c r="A6536" s="156">
        <v>17270247</v>
      </c>
      <c r="B6536" s="172" t="s">
        <v>5098</v>
      </c>
      <c r="C6536" s="172" t="s">
        <v>1061</v>
      </c>
      <c r="D6536" s="194" t="s">
        <v>7833</v>
      </c>
      <c r="E6536" s="200">
        <v>40995</v>
      </c>
    </row>
    <row r="6537" spans="1:5" ht="14.25" hidden="1" customHeight="1">
      <c r="A6537" s="156">
        <v>17376866</v>
      </c>
      <c r="B6537" s="172" t="s">
        <v>6038</v>
      </c>
      <c r="C6537" s="172" t="s">
        <v>6042</v>
      </c>
      <c r="D6537" s="194" t="s">
        <v>7833</v>
      </c>
      <c r="E6537" s="200">
        <v>40995</v>
      </c>
    </row>
    <row r="6538" spans="1:5" ht="14.25" hidden="1" customHeight="1">
      <c r="A6538" s="156">
        <v>18593325</v>
      </c>
      <c r="B6538" s="172" t="s">
        <v>4088</v>
      </c>
      <c r="C6538" s="172" t="s">
        <v>5187</v>
      </c>
      <c r="D6538" s="194" t="s">
        <v>7833</v>
      </c>
      <c r="E6538" s="200">
        <v>40995</v>
      </c>
    </row>
    <row r="6539" spans="1:5" ht="14.25" hidden="1" customHeight="1">
      <c r="A6539" s="156">
        <v>20218225</v>
      </c>
      <c r="B6539" s="172" t="s">
        <v>3282</v>
      </c>
      <c r="C6539" s="172" t="s">
        <v>3283</v>
      </c>
      <c r="D6539" s="194" t="s">
        <v>7833</v>
      </c>
      <c r="E6539" s="200">
        <v>40995</v>
      </c>
    </row>
    <row r="6540" spans="1:5" ht="14.25" hidden="1" customHeight="1">
      <c r="A6540" s="156">
        <v>25047805</v>
      </c>
      <c r="B6540" s="172" t="s">
        <v>4167</v>
      </c>
      <c r="C6540" s="172" t="s">
        <v>4168</v>
      </c>
      <c r="D6540" s="194" t="s">
        <v>7833</v>
      </c>
      <c r="E6540" s="200">
        <v>40995</v>
      </c>
    </row>
    <row r="6541" spans="1:5" ht="14.25" hidden="1" customHeight="1">
      <c r="A6541" s="156">
        <v>26012478</v>
      </c>
      <c r="B6541" s="172" t="s">
        <v>1455</v>
      </c>
      <c r="C6541" s="172" t="s">
        <v>1456</v>
      </c>
      <c r="D6541" s="194" t="s">
        <v>7833</v>
      </c>
      <c r="E6541" s="200">
        <v>40995</v>
      </c>
    </row>
    <row r="6542" spans="1:5" ht="14.25" hidden="1" customHeight="1">
      <c r="A6542" s="156">
        <v>27364281</v>
      </c>
      <c r="B6542" s="172" t="s">
        <v>3602</v>
      </c>
      <c r="C6542" s="172" t="s">
        <v>2069</v>
      </c>
      <c r="D6542" s="194" t="s">
        <v>7833</v>
      </c>
      <c r="E6542" s="200">
        <v>40995</v>
      </c>
    </row>
    <row r="6543" spans="1:5" ht="14.25" hidden="1" customHeight="1">
      <c r="A6543" s="156">
        <v>27454217</v>
      </c>
      <c r="B6543" s="172" t="s">
        <v>3800</v>
      </c>
      <c r="C6543" s="172" t="s">
        <v>3801</v>
      </c>
      <c r="D6543" s="194" t="s">
        <v>7833</v>
      </c>
      <c r="E6543" s="200">
        <v>40995</v>
      </c>
    </row>
    <row r="6544" spans="1:5" ht="14.25" hidden="1" customHeight="1">
      <c r="A6544" s="159">
        <v>12597724</v>
      </c>
      <c r="B6544" s="176" t="s">
        <v>6864</v>
      </c>
      <c r="C6544" s="176" t="s">
        <v>8085</v>
      </c>
      <c r="D6544" s="194" t="s">
        <v>7020</v>
      </c>
      <c r="E6544" s="200">
        <v>40995</v>
      </c>
    </row>
    <row r="6545" spans="1:5" ht="14.25" hidden="1" customHeight="1">
      <c r="A6545" s="159">
        <v>14084778</v>
      </c>
      <c r="B6545" s="176" t="s">
        <v>8081</v>
      </c>
      <c r="C6545" s="176" t="s">
        <v>8082</v>
      </c>
      <c r="D6545" s="194" t="s">
        <v>7020</v>
      </c>
      <c r="E6545" s="200">
        <v>40995</v>
      </c>
    </row>
    <row r="6546" spans="1:5" ht="14.25" hidden="1" customHeight="1">
      <c r="A6546" s="159">
        <v>20219090</v>
      </c>
      <c r="B6546" s="176" t="s">
        <v>8086</v>
      </c>
      <c r="C6546" s="176" t="s">
        <v>7435</v>
      </c>
      <c r="D6546" s="194" t="s">
        <v>7020</v>
      </c>
      <c r="E6546" s="200">
        <v>40995</v>
      </c>
    </row>
    <row r="6547" spans="1:5" ht="14.25" hidden="1" customHeight="1">
      <c r="A6547" s="159">
        <v>20285526</v>
      </c>
      <c r="B6547" s="176" t="s">
        <v>8083</v>
      </c>
      <c r="C6547" s="176" t="s">
        <v>8084</v>
      </c>
      <c r="D6547" s="194" t="s">
        <v>7020</v>
      </c>
      <c r="E6547" s="200">
        <v>40995</v>
      </c>
    </row>
    <row r="6548" spans="1:5" ht="14.25" hidden="1" customHeight="1">
      <c r="A6548" s="159">
        <v>25510655</v>
      </c>
      <c r="B6548" s="176" t="s">
        <v>7494</v>
      </c>
      <c r="C6548" s="176" t="s">
        <v>8080</v>
      </c>
      <c r="D6548" s="194" t="s">
        <v>7020</v>
      </c>
      <c r="E6548" s="200">
        <v>40995</v>
      </c>
    </row>
    <row r="6549" spans="1:5" ht="14.25" hidden="1" customHeight="1">
      <c r="A6549" s="159">
        <v>27731179</v>
      </c>
      <c r="B6549" s="176" t="s">
        <v>7485</v>
      </c>
      <c r="C6549" s="176" t="s">
        <v>7486</v>
      </c>
      <c r="D6549" s="194" t="s">
        <v>7020</v>
      </c>
      <c r="E6549" s="200">
        <v>40995</v>
      </c>
    </row>
    <row r="6550" spans="1:5" ht="14.25" hidden="1" customHeight="1">
      <c r="A6550" s="159">
        <v>30539099</v>
      </c>
      <c r="B6550" s="176" t="s">
        <v>8076</v>
      </c>
      <c r="C6550" s="176" t="s">
        <v>8077</v>
      </c>
      <c r="D6550" s="194" t="s">
        <v>7020</v>
      </c>
      <c r="E6550" s="200">
        <v>40995</v>
      </c>
    </row>
    <row r="6551" spans="1:5" ht="14.25" hidden="1" customHeight="1">
      <c r="A6551" s="159">
        <v>31173872</v>
      </c>
      <c r="B6551" s="176" t="s">
        <v>8078</v>
      </c>
      <c r="C6551" s="176" t="s">
        <v>8079</v>
      </c>
      <c r="D6551" s="194" t="s">
        <v>7020</v>
      </c>
      <c r="E6551" s="200">
        <v>40995</v>
      </c>
    </row>
    <row r="6552" spans="1:5" ht="14.25" hidden="1" customHeight="1">
      <c r="A6552" s="159">
        <v>33541638</v>
      </c>
      <c r="B6552" s="176" t="s">
        <v>6929</v>
      </c>
      <c r="C6552" s="176" t="s">
        <v>8087</v>
      </c>
      <c r="D6552" s="196" t="s">
        <v>7020</v>
      </c>
      <c r="E6552" s="200">
        <v>40995</v>
      </c>
    </row>
    <row r="6553" spans="1:5" ht="14.25" hidden="1" customHeight="1">
      <c r="A6553" s="159">
        <v>5468956</v>
      </c>
      <c r="B6553" s="176" t="s">
        <v>7291</v>
      </c>
      <c r="C6553" s="176" t="s">
        <v>8067</v>
      </c>
      <c r="D6553" s="196" t="s">
        <v>7288</v>
      </c>
      <c r="E6553" s="200">
        <v>40994</v>
      </c>
    </row>
    <row r="6554" spans="1:5" ht="14.25" hidden="1" customHeight="1">
      <c r="A6554" s="159">
        <v>6352626</v>
      </c>
      <c r="B6554" s="176" t="s">
        <v>8093</v>
      </c>
      <c r="C6554" s="176" t="s">
        <v>8094</v>
      </c>
      <c r="D6554" s="196" t="s">
        <v>7288</v>
      </c>
      <c r="E6554" s="200">
        <v>40994</v>
      </c>
    </row>
    <row r="6555" spans="1:5" ht="14.25" hidden="1" customHeight="1">
      <c r="A6555" s="159">
        <v>10910039</v>
      </c>
      <c r="B6555" s="176" t="s">
        <v>8088</v>
      </c>
      <c r="C6555" s="176" t="s">
        <v>8089</v>
      </c>
      <c r="D6555" s="196" t="s">
        <v>7288</v>
      </c>
      <c r="E6555" s="200">
        <v>40994</v>
      </c>
    </row>
    <row r="6556" spans="1:5" ht="14.25" hidden="1" customHeight="1">
      <c r="A6556" s="159">
        <v>18465826</v>
      </c>
      <c r="B6556" s="176" t="s">
        <v>7526</v>
      </c>
      <c r="C6556" s="176" t="s">
        <v>8090</v>
      </c>
      <c r="D6556" s="196" t="s">
        <v>7288</v>
      </c>
      <c r="E6556" s="200">
        <v>40994</v>
      </c>
    </row>
    <row r="6557" spans="1:5" ht="14.25" hidden="1" customHeight="1">
      <c r="A6557" s="159">
        <v>21327352</v>
      </c>
      <c r="B6557" s="176" t="s">
        <v>4664</v>
      </c>
      <c r="C6557" s="176" t="s">
        <v>7868</v>
      </c>
      <c r="D6557" s="196" t="s">
        <v>7288</v>
      </c>
      <c r="E6557" s="200">
        <v>40994</v>
      </c>
    </row>
    <row r="6558" spans="1:5" ht="14.25" hidden="1" customHeight="1">
      <c r="A6558" s="159">
        <v>23931160</v>
      </c>
      <c r="B6558" s="176" t="s">
        <v>8095</v>
      </c>
      <c r="C6558" s="176" t="s">
        <v>7898</v>
      </c>
      <c r="D6558" s="196" t="s">
        <v>7288</v>
      </c>
      <c r="E6558" s="200">
        <v>40994</v>
      </c>
    </row>
    <row r="6559" spans="1:5" ht="14.25" hidden="1" customHeight="1">
      <c r="A6559" s="159">
        <v>30357304</v>
      </c>
      <c r="B6559" s="176" t="s">
        <v>7301</v>
      </c>
      <c r="C6559" s="176" t="s">
        <v>7302</v>
      </c>
      <c r="D6559" s="196" t="s">
        <v>7288</v>
      </c>
      <c r="E6559" s="200">
        <v>40994</v>
      </c>
    </row>
    <row r="6560" spans="1:5" ht="14.25" hidden="1" customHeight="1">
      <c r="A6560" s="159">
        <v>32412614</v>
      </c>
      <c r="B6560" s="176" t="s">
        <v>8091</v>
      </c>
      <c r="C6560" s="176" t="s">
        <v>8092</v>
      </c>
      <c r="D6560" s="196" t="s">
        <v>7288</v>
      </c>
      <c r="E6560" s="200">
        <v>40994</v>
      </c>
    </row>
    <row r="6561" spans="1:5" ht="14.25" hidden="1" customHeight="1">
      <c r="A6561" s="159">
        <v>33236192</v>
      </c>
      <c r="B6561" s="176" t="s">
        <v>8070</v>
      </c>
      <c r="C6561" s="176" t="s">
        <v>7756</v>
      </c>
      <c r="D6561" s="196" t="s">
        <v>7288</v>
      </c>
      <c r="E6561" s="200">
        <v>40994</v>
      </c>
    </row>
    <row r="6562" spans="1:5" ht="14.25" hidden="1" customHeight="1">
      <c r="A6562" s="156">
        <v>5398210</v>
      </c>
      <c r="B6562" s="172" t="s">
        <v>5364</v>
      </c>
      <c r="C6562" s="172" t="s">
        <v>5365</v>
      </c>
      <c r="D6562" s="194" t="s">
        <v>8096</v>
      </c>
      <c r="E6562" s="200">
        <v>40869</v>
      </c>
    </row>
    <row r="6563" spans="1:5" ht="14.25" hidden="1" customHeight="1">
      <c r="A6563" s="156">
        <v>8477123</v>
      </c>
      <c r="B6563" s="172" t="s">
        <v>6566</v>
      </c>
      <c r="C6563" s="172" t="s">
        <v>8101</v>
      </c>
      <c r="D6563" s="194" t="s">
        <v>8096</v>
      </c>
      <c r="E6563" s="200">
        <v>40869</v>
      </c>
    </row>
    <row r="6564" spans="1:5" ht="14.25" hidden="1" customHeight="1">
      <c r="A6564" s="156">
        <v>10220816</v>
      </c>
      <c r="B6564" s="172" t="s">
        <v>5846</v>
      </c>
      <c r="C6564" s="172" t="s">
        <v>5847</v>
      </c>
      <c r="D6564" s="194" t="s">
        <v>8096</v>
      </c>
      <c r="E6564" s="200">
        <v>40869</v>
      </c>
    </row>
    <row r="6565" spans="1:5" ht="14.25" hidden="1" customHeight="1">
      <c r="A6565" s="156">
        <v>10708218</v>
      </c>
      <c r="B6565" s="172" t="s">
        <v>5037</v>
      </c>
      <c r="C6565" s="172" t="s">
        <v>5038</v>
      </c>
      <c r="D6565" s="194" t="s">
        <v>8096</v>
      </c>
      <c r="E6565" s="200">
        <v>40869</v>
      </c>
    </row>
    <row r="6566" spans="1:5" ht="14.25" hidden="1" customHeight="1">
      <c r="A6566" s="156">
        <v>10708291</v>
      </c>
      <c r="B6566" s="172" t="s">
        <v>734</v>
      </c>
      <c r="C6566" s="172" t="s">
        <v>5103</v>
      </c>
      <c r="D6566" s="194" t="s">
        <v>8096</v>
      </c>
      <c r="E6566" s="200">
        <v>40869</v>
      </c>
    </row>
    <row r="6567" spans="1:5" ht="14.25" hidden="1" customHeight="1">
      <c r="A6567" s="156">
        <v>10728835</v>
      </c>
      <c r="B6567" s="172" t="s">
        <v>3394</v>
      </c>
      <c r="C6567" s="172" t="s">
        <v>3395</v>
      </c>
      <c r="D6567" s="194" t="s">
        <v>8096</v>
      </c>
      <c r="E6567" s="200">
        <v>40869</v>
      </c>
    </row>
    <row r="6568" spans="1:5" ht="14.25" hidden="1" customHeight="1">
      <c r="A6568" s="156">
        <v>11162826</v>
      </c>
      <c r="B6568" s="172" t="s">
        <v>1842</v>
      </c>
      <c r="C6568" s="172" t="s">
        <v>3879</v>
      </c>
      <c r="D6568" s="194" t="s">
        <v>8096</v>
      </c>
      <c r="E6568" s="200">
        <v>40869</v>
      </c>
    </row>
    <row r="6569" spans="1:5" ht="14.25" hidden="1" customHeight="1">
      <c r="A6569" s="156">
        <v>11551761</v>
      </c>
      <c r="B6569" s="172" t="s">
        <v>4085</v>
      </c>
      <c r="C6569" s="172" t="s">
        <v>962</v>
      </c>
      <c r="D6569" s="194" t="s">
        <v>8096</v>
      </c>
      <c r="E6569" s="200">
        <v>40869</v>
      </c>
    </row>
    <row r="6570" spans="1:5" ht="14.25" hidden="1" customHeight="1">
      <c r="A6570" s="156">
        <v>12121169</v>
      </c>
      <c r="B6570" s="172" t="s">
        <v>822</v>
      </c>
      <c r="C6570" s="172" t="s">
        <v>5396</v>
      </c>
      <c r="D6570" s="194" t="s">
        <v>8096</v>
      </c>
      <c r="E6570" s="200">
        <v>40869</v>
      </c>
    </row>
    <row r="6571" spans="1:5" ht="14.25" hidden="1" customHeight="1">
      <c r="A6571" s="156">
        <v>12733089</v>
      </c>
      <c r="B6571" s="172" t="s">
        <v>5257</v>
      </c>
      <c r="C6571" s="172" t="s">
        <v>5258</v>
      </c>
      <c r="D6571" s="194" t="s">
        <v>8096</v>
      </c>
      <c r="E6571" s="200">
        <v>40869</v>
      </c>
    </row>
    <row r="6572" spans="1:5" ht="14.25" hidden="1" customHeight="1">
      <c r="A6572" s="156">
        <v>12919956</v>
      </c>
      <c r="B6572" s="172" t="s">
        <v>4596</v>
      </c>
      <c r="C6572" s="172" t="s">
        <v>4597</v>
      </c>
      <c r="D6572" s="194" t="s">
        <v>8096</v>
      </c>
      <c r="E6572" s="200">
        <v>40869</v>
      </c>
    </row>
    <row r="6573" spans="1:5" ht="14.25" hidden="1" customHeight="1">
      <c r="A6573" s="156">
        <v>13066066</v>
      </c>
      <c r="B6573" s="172" t="s">
        <v>2795</v>
      </c>
      <c r="C6573" s="172" t="s">
        <v>3388</v>
      </c>
      <c r="D6573" s="194" t="s">
        <v>8096</v>
      </c>
      <c r="E6573" s="200">
        <v>40869</v>
      </c>
    </row>
    <row r="6574" spans="1:5" ht="14.25" hidden="1" customHeight="1">
      <c r="A6574" s="156">
        <v>14359662</v>
      </c>
      <c r="B6574" s="172" t="s">
        <v>3770</v>
      </c>
      <c r="C6574" s="172" t="s">
        <v>3771</v>
      </c>
      <c r="D6574" s="194" t="s">
        <v>8096</v>
      </c>
      <c r="E6574" s="200">
        <v>40869</v>
      </c>
    </row>
    <row r="6575" spans="1:5" ht="14.25" hidden="1" customHeight="1">
      <c r="A6575" s="156">
        <v>14480312</v>
      </c>
      <c r="B6575" s="172" t="s">
        <v>1523</v>
      </c>
      <c r="C6575" s="172" t="s">
        <v>6248</v>
      </c>
      <c r="D6575" s="194" t="s">
        <v>8096</v>
      </c>
      <c r="E6575" s="200">
        <v>40869</v>
      </c>
    </row>
    <row r="6576" spans="1:5" ht="14.25" hidden="1" customHeight="1">
      <c r="A6576" s="156">
        <v>16016486</v>
      </c>
      <c r="B6576" s="172" t="s">
        <v>1474</v>
      </c>
      <c r="C6576" s="172" t="s">
        <v>7127</v>
      </c>
      <c r="D6576" s="194" t="s">
        <v>8096</v>
      </c>
      <c r="E6576" s="200">
        <v>40869</v>
      </c>
    </row>
    <row r="6577" spans="1:5" ht="14.25" hidden="1" customHeight="1">
      <c r="A6577" s="156">
        <v>16132250</v>
      </c>
      <c r="B6577" s="172" t="s">
        <v>6064</v>
      </c>
      <c r="C6577" s="172" t="s">
        <v>6065</v>
      </c>
      <c r="D6577" s="194" t="s">
        <v>8096</v>
      </c>
      <c r="E6577" s="200">
        <v>40869</v>
      </c>
    </row>
    <row r="6578" spans="1:5" ht="14.25" hidden="1" customHeight="1">
      <c r="A6578" s="156">
        <v>16541630</v>
      </c>
      <c r="B6578" s="172" t="s">
        <v>3101</v>
      </c>
      <c r="C6578" s="172" t="s">
        <v>3765</v>
      </c>
      <c r="D6578" s="194" t="s">
        <v>8096</v>
      </c>
      <c r="E6578" s="200">
        <v>40869</v>
      </c>
    </row>
    <row r="6579" spans="1:5" ht="14.25" hidden="1" customHeight="1">
      <c r="A6579" s="156">
        <v>17040977</v>
      </c>
      <c r="B6579" s="172" t="s">
        <v>377</v>
      </c>
      <c r="C6579" s="172" t="s">
        <v>2783</v>
      </c>
      <c r="D6579" s="194" t="s">
        <v>8096</v>
      </c>
      <c r="E6579" s="200">
        <v>40869</v>
      </c>
    </row>
    <row r="6580" spans="1:5" ht="14.25" hidden="1" customHeight="1">
      <c r="A6580" s="156">
        <v>17613733</v>
      </c>
      <c r="B6580" s="172" t="s">
        <v>883</v>
      </c>
      <c r="C6580" s="172" t="s">
        <v>1652</v>
      </c>
      <c r="D6580" s="194" t="s">
        <v>8096</v>
      </c>
      <c r="E6580" s="200">
        <v>40869</v>
      </c>
    </row>
    <row r="6581" spans="1:5" ht="14.25" hidden="1" customHeight="1">
      <c r="A6581" s="156">
        <v>18463764</v>
      </c>
      <c r="B6581" s="172" t="s">
        <v>927</v>
      </c>
      <c r="C6581" s="172" t="s">
        <v>928</v>
      </c>
      <c r="D6581" s="194" t="s">
        <v>8096</v>
      </c>
      <c r="E6581" s="200">
        <v>40869</v>
      </c>
    </row>
    <row r="6582" spans="1:5" ht="14.25" hidden="1" customHeight="1">
      <c r="A6582" s="156">
        <v>20171458</v>
      </c>
      <c r="B6582" s="172" t="s">
        <v>2813</v>
      </c>
      <c r="C6582" s="172" t="s">
        <v>494</v>
      </c>
      <c r="D6582" s="194" t="s">
        <v>8096</v>
      </c>
      <c r="E6582" s="200">
        <v>40869</v>
      </c>
    </row>
    <row r="6583" spans="1:5" ht="14.25" hidden="1" customHeight="1">
      <c r="A6583" s="156">
        <v>20285198</v>
      </c>
      <c r="B6583" s="172" t="s">
        <v>218</v>
      </c>
      <c r="C6583" s="172" t="s">
        <v>427</v>
      </c>
      <c r="D6583" s="194" t="s">
        <v>8096</v>
      </c>
      <c r="E6583" s="200">
        <v>40869</v>
      </c>
    </row>
    <row r="6584" spans="1:5" ht="14.25" hidden="1" customHeight="1">
      <c r="A6584" s="156">
        <v>21054719</v>
      </c>
      <c r="B6584" s="172" t="s">
        <v>218</v>
      </c>
      <c r="C6584" s="172" t="s">
        <v>1736</v>
      </c>
      <c r="D6584" s="194" t="s">
        <v>8096</v>
      </c>
      <c r="E6584" s="200">
        <v>40869</v>
      </c>
    </row>
    <row r="6585" spans="1:5" ht="14.25" hidden="1" customHeight="1">
      <c r="A6585" s="156">
        <v>21327352</v>
      </c>
      <c r="B6585" s="172" t="s">
        <v>7774</v>
      </c>
      <c r="C6585" s="172" t="s">
        <v>3466</v>
      </c>
      <c r="D6585" s="194" t="s">
        <v>8096</v>
      </c>
      <c r="E6585" s="200">
        <v>40869</v>
      </c>
    </row>
    <row r="6586" spans="1:5" ht="14.25" hidden="1" customHeight="1">
      <c r="A6586" s="156">
        <v>21329323</v>
      </c>
      <c r="B6586" s="172" t="s">
        <v>4646</v>
      </c>
      <c r="C6586" s="172" t="s">
        <v>2447</v>
      </c>
      <c r="D6586" s="194" t="s">
        <v>8096</v>
      </c>
      <c r="E6586" s="200">
        <v>40869</v>
      </c>
    </row>
    <row r="6587" spans="1:5" ht="14.25" hidden="1" customHeight="1">
      <c r="A6587" s="156">
        <v>22181097</v>
      </c>
      <c r="B6587" s="172" t="s">
        <v>8100</v>
      </c>
      <c r="C6587" s="172" t="s">
        <v>4044</v>
      </c>
      <c r="D6587" s="194" t="s">
        <v>8096</v>
      </c>
      <c r="E6587" s="200">
        <v>40869</v>
      </c>
    </row>
    <row r="6588" spans="1:5" ht="14.25" hidden="1" customHeight="1">
      <c r="A6588" s="156">
        <v>23518638</v>
      </c>
      <c r="B6588" s="172" t="s">
        <v>6440</v>
      </c>
      <c r="C6588" s="172" t="s">
        <v>6441</v>
      </c>
      <c r="D6588" s="194" t="s">
        <v>8096</v>
      </c>
      <c r="E6588" s="200">
        <v>40869</v>
      </c>
    </row>
    <row r="6589" spans="1:5" ht="14.25" hidden="1" customHeight="1">
      <c r="A6589" s="156">
        <v>23519455</v>
      </c>
      <c r="B6589" s="172" t="s">
        <v>4964</v>
      </c>
      <c r="C6589" s="172" t="s">
        <v>4965</v>
      </c>
      <c r="D6589" s="194" t="s">
        <v>8096</v>
      </c>
      <c r="E6589" s="200">
        <v>40869</v>
      </c>
    </row>
    <row r="6590" spans="1:5" ht="14.25" hidden="1" customHeight="1">
      <c r="A6590" s="156">
        <v>23827367</v>
      </c>
      <c r="B6590" s="172" t="s">
        <v>3749</v>
      </c>
      <c r="C6590" s="172" t="s">
        <v>3755</v>
      </c>
      <c r="D6590" s="194" t="s">
        <v>8096</v>
      </c>
      <c r="E6590" s="200">
        <v>40869</v>
      </c>
    </row>
    <row r="6591" spans="1:5" ht="14.25" hidden="1" customHeight="1">
      <c r="A6591" s="156">
        <v>24147391</v>
      </c>
      <c r="B6591" s="172" t="s">
        <v>8098</v>
      </c>
      <c r="C6591" s="172" t="s">
        <v>8099</v>
      </c>
      <c r="D6591" s="194" t="s">
        <v>8096</v>
      </c>
      <c r="E6591" s="200">
        <v>40869</v>
      </c>
    </row>
    <row r="6592" spans="1:5" ht="14.25" hidden="1" customHeight="1">
      <c r="A6592" s="156">
        <v>25021957</v>
      </c>
      <c r="B6592" s="172" t="s">
        <v>1273</v>
      </c>
      <c r="C6592" s="172" t="s">
        <v>6422</v>
      </c>
      <c r="D6592" s="194" t="s">
        <v>8096</v>
      </c>
      <c r="E6592" s="200">
        <v>40869</v>
      </c>
    </row>
    <row r="6593" spans="1:5" ht="14.25" hidden="1" customHeight="1">
      <c r="A6593" s="156">
        <v>25542562</v>
      </c>
      <c r="B6593" s="172" t="s">
        <v>3237</v>
      </c>
      <c r="C6593" s="172" t="s">
        <v>7133</v>
      </c>
      <c r="D6593" s="194" t="s">
        <v>8096</v>
      </c>
      <c r="E6593" s="200">
        <v>40869</v>
      </c>
    </row>
    <row r="6594" spans="1:5" ht="14.25" hidden="1" customHeight="1">
      <c r="A6594" s="156">
        <v>25853037</v>
      </c>
      <c r="B6594" s="172" t="s">
        <v>2087</v>
      </c>
      <c r="C6594" s="172" t="s">
        <v>5367</v>
      </c>
      <c r="D6594" s="194" t="s">
        <v>8096</v>
      </c>
      <c r="E6594" s="200">
        <v>40869</v>
      </c>
    </row>
    <row r="6595" spans="1:5" ht="14.25" hidden="1" customHeight="1">
      <c r="A6595" s="156">
        <v>26783381</v>
      </c>
      <c r="B6595" s="172" t="s">
        <v>2789</v>
      </c>
      <c r="C6595" s="172" t="s">
        <v>6473</v>
      </c>
      <c r="D6595" s="194" t="s">
        <v>8096</v>
      </c>
      <c r="E6595" s="200">
        <v>40869</v>
      </c>
    </row>
    <row r="6596" spans="1:5" ht="14.25" hidden="1" customHeight="1">
      <c r="A6596" s="156">
        <v>27650853</v>
      </c>
      <c r="B6596" s="172" t="s">
        <v>1768</v>
      </c>
      <c r="C6596" s="172" t="s">
        <v>1769</v>
      </c>
      <c r="D6596" s="194" t="s">
        <v>8096</v>
      </c>
      <c r="E6596" s="200">
        <v>40869</v>
      </c>
    </row>
    <row r="6597" spans="1:5" ht="14.25" hidden="1" customHeight="1">
      <c r="A6597" s="156">
        <v>27751639</v>
      </c>
      <c r="B6597" s="172" t="s">
        <v>8097</v>
      </c>
      <c r="C6597" s="172" t="s">
        <v>5061</v>
      </c>
      <c r="D6597" s="194" t="s">
        <v>8096</v>
      </c>
      <c r="E6597" s="200">
        <v>40869</v>
      </c>
    </row>
    <row r="6598" spans="1:5" ht="14.25" hidden="1" customHeight="1">
      <c r="A6598" s="156">
        <v>28093734</v>
      </c>
      <c r="B6598" s="172" t="s">
        <v>6252</v>
      </c>
      <c r="C6598" s="172" t="s">
        <v>571</v>
      </c>
      <c r="D6598" s="194" t="s">
        <v>8096</v>
      </c>
      <c r="E6598" s="200">
        <v>40869</v>
      </c>
    </row>
    <row r="6599" spans="1:5" ht="14.25" hidden="1" customHeight="1">
      <c r="A6599" s="156">
        <v>29838285</v>
      </c>
      <c r="B6599" s="172" t="s">
        <v>5440</v>
      </c>
      <c r="C6599" s="172" t="s">
        <v>5441</v>
      </c>
      <c r="D6599" s="194" t="s">
        <v>8096</v>
      </c>
      <c r="E6599" s="200">
        <v>40869</v>
      </c>
    </row>
    <row r="6600" spans="1:5" ht="14.25" hidden="1" customHeight="1">
      <c r="A6600" s="156">
        <v>30835435</v>
      </c>
      <c r="B6600" s="172" t="s">
        <v>1538</v>
      </c>
      <c r="C6600" s="172" t="s">
        <v>512</v>
      </c>
      <c r="D6600" s="194" t="s">
        <v>8096</v>
      </c>
      <c r="E6600" s="200">
        <v>40869</v>
      </c>
    </row>
    <row r="6601" spans="1:5" ht="14.25" hidden="1" customHeight="1">
      <c r="A6601" s="156">
        <v>31323198</v>
      </c>
      <c r="B6601" s="172" t="s">
        <v>94</v>
      </c>
      <c r="C6601" s="172" t="s">
        <v>95</v>
      </c>
      <c r="D6601" s="194" t="s">
        <v>8096</v>
      </c>
      <c r="E6601" s="200">
        <v>40869</v>
      </c>
    </row>
    <row r="6602" spans="1:5" ht="14.25" hidden="1" customHeight="1">
      <c r="A6602" s="156">
        <v>33050647</v>
      </c>
      <c r="B6602" s="172" t="s">
        <v>2579</v>
      </c>
      <c r="C6602" s="172" t="s">
        <v>223</v>
      </c>
      <c r="D6602" s="194" t="s">
        <v>8096</v>
      </c>
      <c r="E6602" s="200">
        <v>40869</v>
      </c>
    </row>
    <row r="6603" spans="1:5" ht="14.25" hidden="1" customHeight="1">
      <c r="A6603" s="156">
        <v>23546099</v>
      </c>
      <c r="B6603" s="172" t="s">
        <v>288</v>
      </c>
      <c r="C6603" s="172" t="s">
        <v>1138</v>
      </c>
      <c r="D6603" s="195" t="s">
        <v>8102</v>
      </c>
      <c r="E6603" s="200">
        <v>40867</v>
      </c>
    </row>
    <row r="6604" spans="1:5" ht="14.25" hidden="1" customHeight="1">
      <c r="A6604" s="156">
        <v>25596546</v>
      </c>
      <c r="B6604" s="172" t="s">
        <v>921</v>
      </c>
      <c r="C6604" s="172" t="s">
        <v>922</v>
      </c>
      <c r="D6604" s="194" t="s">
        <v>8102</v>
      </c>
      <c r="E6604" s="200">
        <v>40867</v>
      </c>
    </row>
    <row r="6605" spans="1:5" ht="14.25" hidden="1" customHeight="1">
      <c r="A6605" s="156">
        <v>27735827</v>
      </c>
      <c r="B6605" s="172" t="s">
        <v>226</v>
      </c>
      <c r="C6605" s="172" t="s">
        <v>436</v>
      </c>
      <c r="D6605" s="195" t="s">
        <v>8102</v>
      </c>
      <c r="E6605" s="200">
        <v>40867</v>
      </c>
    </row>
    <row r="6606" spans="1:5" ht="14.25" hidden="1" customHeight="1">
      <c r="A6606" s="156">
        <v>28137525</v>
      </c>
      <c r="B6606" s="172" t="s">
        <v>1181</v>
      </c>
      <c r="C6606" s="172" t="s">
        <v>1182</v>
      </c>
      <c r="D6606" s="195" t="s">
        <v>8102</v>
      </c>
      <c r="E6606" s="200">
        <v>40867</v>
      </c>
    </row>
    <row r="6607" spans="1:5" ht="14.25" hidden="1" customHeight="1">
      <c r="A6607" s="156">
        <v>29430664</v>
      </c>
      <c r="B6607" s="172" t="s">
        <v>1078</v>
      </c>
      <c r="C6607" s="172" t="s">
        <v>1079</v>
      </c>
      <c r="D6607" s="195" t="s">
        <v>8102</v>
      </c>
      <c r="E6607" s="200">
        <v>40867</v>
      </c>
    </row>
    <row r="6608" spans="1:5" ht="14.25" hidden="1" customHeight="1">
      <c r="A6608" s="156">
        <v>29457423</v>
      </c>
      <c r="B6608" s="172" t="s">
        <v>1032</v>
      </c>
      <c r="C6608" s="172" t="s">
        <v>1036</v>
      </c>
      <c r="D6608" s="195" t="s">
        <v>8102</v>
      </c>
      <c r="E6608" s="200">
        <v>40867</v>
      </c>
    </row>
    <row r="6609" spans="1:5" ht="14.25" hidden="1" customHeight="1">
      <c r="A6609" s="156">
        <v>29729433</v>
      </c>
      <c r="B6609" s="172" t="s">
        <v>1057</v>
      </c>
      <c r="C6609" s="172" t="s">
        <v>1058</v>
      </c>
      <c r="D6609" s="195" t="s">
        <v>8102</v>
      </c>
      <c r="E6609" s="200">
        <v>40867</v>
      </c>
    </row>
    <row r="6610" spans="1:5" ht="14.25" hidden="1" customHeight="1">
      <c r="A6610" s="156">
        <v>30268079</v>
      </c>
      <c r="B6610" s="172" t="s">
        <v>1067</v>
      </c>
      <c r="C6610" s="172" t="s">
        <v>1068</v>
      </c>
      <c r="D6610" s="195" t="s">
        <v>8102</v>
      </c>
      <c r="E6610" s="200">
        <v>40867</v>
      </c>
    </row>
    <row r="6611" spans="1:5" ht="14.25" hidden="1" customHeight="1">
      <c r="A6611" s="156" t="s">
        <v>1043</v>
      </c>
      <c r="B6611" s="172" t="s">
        <v>1040</v>
      </c>
      <c r="C6611" s="172" t="s">
        <v>1044</v>
      </c>
      <c r="D6611" s="195" t="s">
        <v>8102</v>
      </c>
      <c r="E6611" s="200">
        <v>40867</v>
      </c>
    </row>
    <row r="6612" spans="1:5" ht="14.25" hidden="1" customHeight="1">
      <c r="A6612" s="156" t="s">
        <v>936</v>
      </c>
      <c r="B6612" s="172" t="s">
        <v>937</v>
      </c>
      <c r="C6612" s="172" t="s">
        <v>938</v>
      </c>
      <c r="D6612" s="195" t="s">
        <v>8102</v>
      </c>
      <c r="E6612" s="200">
        <v>40867</v>
      </c>
    </row>
    <row r="6613" spans="1:5" ht="14.25" hidden="1" customHeight="1">
      <c r="A6613" s="156">
        <v>5096960</v>
      </c>
      <c r="B6613" s="172" t="s">
        <v>6075</v>
      </c>
      <c r="C6613" s="172" t="s">
        <v>6076</v>
      </c>
      <c r="D6613" s="195" t="s">
        <v>8103</v>
      </c>
      <c r="E6613" s="200">
        <v>40865</v>
      </c>
    </row>
    <row r="6614" spans="1:5" ht="14.25" hidden="1" customHeight="1">
      <c r="A6614" s="156">
        <v>5151017</v>
      </c>
      <c r="B6614" s="172" t="s">
        <v>6227</v>
      </c>
      <c r="C6614" s="172" t="s">
        <v>1748</v>
      </c>
      <c r="D6614" s="195" t="s">
        <v>8103</v>
      </c>
      <c r="E6614" s="200">
        <v>40865</v>
      </c>
    </row>
    <row r="6615" spans="1:5" ht="14.25" hidden="1" customHeight="1">
      <c r="A6615" s="156">
        <v>8518876</v>
      </c>
      <c r="B6615" s="172" t="s">
        <v>6247</v>
      </c>
      <c r="C6615" s="172" t="s">
        <v>296</v>
      </c>
      <c r="D6615" s="195" t="s">
        <v>8103</v>
      </c>
      <c r="E6615" s="200">
        <v>40865</v>
      </c>
    </row>
    <row r="6616" spans="1:5" ht="14.25" hidden="1" customHeight="1">
      <c r="A6616" s="156">
        <v>10125551</v>
      </c>
      <c r="B6616" s="172" t="s">
        <v>327</v>
      </c>
      <c r="C6616" s="172" t="s">
        <v>584</v>
      </c>
      <c r="D6616" s="195" t="s">
        <v>8103</v>
      </c>
      <c r="E6616" s="200">
        <v>40865</v>
      </c>
    </row>
    <row r="6617" spans="1:5" ht="14.25" hidden="1" customHeight="1">
      <c r="A6617" s="156">
        <v>13848349</v>
      </c>
      <c r="B6617" s="172" t="s">
        <v>652</v>
      </c>
      <c r="C6617" s="172" t="s">
        <v>1895</v>
      </c>
      <c r="D6617" s="195" t="s">
        <v>8103</v>
      </c>
      <c r="E6617" s="200">
        <v>40865</v>
      </c>
    </row>
    <row r="6618" spans="1:5" ht="14.25" hidden="1" customHeight="1">
      <c r="A6618" s="156">
        <v>13950808</v>
      </c>
      <c r="B6618" s="172" t="s">
        <v>128</v>
      </c>
      <c r="C6618" s="172" t="s">
        <v>1649</v>
      </c>
      <c r="D6618" s="195" t="s">
        <v>8103</v>
      </c>
      <c r="E6618" s="200">
        <v>40865</v>
      </c>
    </row>
    <row r="6619" spans="1:5" ht="14.25" hidden="1" customHeight="1">
      <c r="A6619" s="156">
        <v>14296958</v>
      </c>
      <c r="B6619" s="172" t="s">
        <v>5838</v>
      </c>
      <c r="C6619" s="172" t="s">
        <v>5839</v>
      </c>
      <c r="D6619" s="195" t="s">
        <v>8103</v>
      </c>
      <c r="E6619" s="200">
        <v>40865</v>
      </c>
    </row>
    <row r="6620" spans="1:5" ht="14.25" hidden="1" customHeight="1">
      <c r="A6620" s="156">
        <v>14410428</v>
      </c>
      <c r="B6620" s="172" t="s">
        <v>2731</v>
      </c>
      <c r="C6620" s="172" t="s">
        <v>1061</v>
      </c>
      <c r="D6620" s="195" t="s">
        <v>8103</v>
      </c>
      <c r="E6620" s="200">
        <v>40865</v>
      </c>
    </row>
    <row r="6621" spans="1:5" ht="14.25" hidden="1" customHeight="1">
      <c r="A6621" s="156">
        <v>16314645</v>
      </c>
      <c r="B6621" s="172" t="s">
        <v>1950</v>
      </c>
      <c r="C6621" s="172" t="s">
        <v>1974</v>
      </c>
      <c r="D6621" s="195" t="s">
        <v>8103</v>
      </c>
      <c r="E6621" s="200">
        <v>40865</v>
      </c>
    </row>
    <row r="6622" spans="1:5" ht="14.25" hidden="1" customHeight="1">
      <c r="A6622" s="156">
        <v>16784557</v>
      </c>
      <c r="B6622" s="172" t="s">
        <v>1301</v>
      </c>
      <c r="C6622" s="172" t="s">
        <v>6443</v>
      </c>
      <c r="D6622" s="195" t="s">
        <v>8103</v>
      </c>
      <c r="E6622" s="200">
        <v>40865</v>
      </c>
    </row>
    <row r="6623" spans="1:5" ht="14.25" hidden="1" customHeight="1">
      <c r="A6623" s="156">
        <v>17249174</v>
      </c>
      <c r="B6623" s="172" t="s">
        <v>6217</v>
      </c>
      <c r="C6623" s="172" t="s">
        <v>365</v>
      </c>
      <c r="D6623" s="195" t="s">
        <v>8103</v>
      </c>
      <c r="E6623" s="200">
        <v>40865</v>
      </c>
    </row>
    <row r="6624" spans="1:5" ht="14.25" hidden="1" customHeight="1">
      <c r="A6624" s="156">
        <v>17355339</v>
      </c>
      <c r="B6624" s="172" t="s">
        <v>6340</v>
      </c>
      <c r="C6624" s="172" t="s">
        <v>6341</v>
      </c>
      <c r="D6624" s="195" t="s">
        <v>8103</v>
      </c>
      <c r="E6624" s="200">
        <v>40865</v>
      </c>
    </row>
    <row r="6625" spans="1:5" ht="14.25" hidden="1" customHeight="1">
      <c r="A6625" s="156">
        <v>20159202</v>
      </c>
      <c r="B6625" s="172" t="s">
        <v>980</v>
      </c>
      <c r="C6625" s="172" t="s">
        <v>3130</v>
      </c>
      <c r="D6625" s="195" t="s">
        <v>8103</v>
      </c>
      <c r="E6625" s="200">
        <v>40865</v>
      </c>
    </row>
    <row r="6626" spans="1:5" ht="14.25" hidden="1" customHeight="1">
      <c r="A6626" s="156">
        <v>20218614</v>
      </c>
      <c r="B6626" s="172" t="s">
        <v>6147</v>
      </c>
      <c r="C6626" s="172" t="s">
        <v>6148</v>
      </c>
      <c r="D6626" s="195" t="s">
        <v>8103</v>
      </c>
      <c r="E6626" s="200">
        <v>40865</v>
      </c>
    </row>
    <row r="6627" spans="1:5" ht="14.25" hidden="1" customHeight="1">
      <c r="A6627" s="156">
        <v>21829037</v>
      </c>
      <c r="B6627" s="172" t="s">
        <v>207</v>
      </c>
      <c r="C6627" s="172" t="s">
        <v>6123</v>
      </c>
      <c r="D6627" s="195" t="s">
        <v>8103</v>
      </c>
      <c r="E6627" s="200">
        <v>40865</v>
      </c>
    </row>
    <row r="6628" spans="1:5" ht="14.25" hidden="1" customHeight="1">
      <c r="A6628" s="156">
        <v>24059994</v>
      </c>
      <c r="B6628" s="172" t="s">
        <v>5359</v>
      </c>
      <c r="C6628" s="172" t="s">
        <v>1523</v>
      </c>
      <c r="D6628" s="195" t="s">
        <v>8103</v>
      </c>
      <c r="E6628" s="200">
        <v>40865</v>
      </c>
    </row>
    <row r="6629" spans="1:5" ht="14.25" hidden="1" customHeight="1">
      <c r="A6629" s="156">
        <v>24803492</v>
      </c>
      <c r="B6629" s="172" t="s">
        <v>685</v>
      </c>
      <c r="C6629" s="172" t="s">
        <v>6190</v>
      </c>
      <c r="D6629" s="195" t="s">
        <v>8103</v>
      </c>
      <c r="E6629" s="200">
        <v>40865</v>
      </c>
    </row>
    <row r="6630" spans="1:5" ht="14.25" hidden="1" customHeight="1">
      <c r="A6630" s="156">
        <v>25214446</v>
      </c>
      <c r="B6630" s="172" t="s">
        <v>1655</v>
      </c>
      <c r="C6630" s="172" t="s">
        <v>5969</v>
      </c>
      <c r="D6630" s="194" t="s">
        <v>8103</v>
      </c>
      <c r="E6630" s="200">
        <v>40865</v>
      </c>
    </row>
    <row r="6631" spans="1:5" ht="14.25" hidden="1" customHeight="1">
      <c r="A6631" s="156">
        <v>25380568</v>
      </c>
      <c r="B6631" s="172" t="s">
        <v>1823</v>
      </c>
      <c r="C6631" s="172" t="s">
        <v>2753</v>
      </c>
      <c r="D6631" s="195" t="s">
        <v>8103</v>
      </c>
      <c r="E6631" s="200">
        <v>40865</v>
      </c>
    </row>
    <row r="6632" spans="1:5" ht="14.25" hidden="1" customHeight="1">
      <c r="A6632" s="156">
        <v>25735585</v>
      </c>
      <c r="B6632" s="172" t="s">
        <v>6205</v>
      </c>
      <c r="C6632" s="172" t="s">
        <v>1785</v>
      </c>
      <c r="D6632" s="195" t="s">
        <v>8103</v>
      </c>
      <c r="E6632" s="200">
        <v>40865</v>
      </c>
    </row>
    <row r="6633" spans="1:5" ht="14.25" hidden="1" customHeight="1">
      <c r="A6633" s="156">
        <v>25844102</v>
      </c>
      <c r="B6633" s="172" t="s">
        <v>5922</v>
      </c>
      <c r="C6633" s="172" t="s">
        <v>5923</v>
      </c>
      <c r="D6633" s="195" t="s">
        <v>8103</v>
      </c>
      <c r="E6633" s="200">
        <v>40865</v>
      </c>
    </row>
    <row r="6634" spans="1:5" ht="14.25" hidden="1" customHeight="1">
      <c r="A6634" s="156">
        <v>26028024</v>
      </c>
      <c r="B6634" s="172" t="s">
        <v>5376</v>
      </c>
      <c r="C6634" s="172" t="s">
        <v>5377</v>
      </c>
      <c r="D6634" s="195" t="s">
        <v>8103</v>
      </c>
      <c r="E6634" s="200">
        <v>40865</v>
      </c>
    </row>
    <row r="6635" spans="1:5" ht="14.25" hidden="1" customHeight="1">
      <c r="A6635" s="156">
        <v>26029215</v>
      </c>
      <c r="B6635" s="172" t="s">
        <v>5918</v>
      </c>
      <c r="C6635" s="172" t="s">
        <v>274</v>
      </c>
      <c r="D6635" s="195" t="s">
        <v>8103</v>
      </c>
      <c r="E6635" s="200">
        <v>40865</v>
      </c>
    </row>
    <row r="6636" spans="1:5" ht="14.25" hidden="1" customHeight="1">
      <c r="A6636" s="156">
        <v>27016126</v>
      </c>
      <c r="B6636" s="172" t="s">
        <v>327</v>
      </c>
      <c r="C6636" s="172" t="s">
        <v>7099</v>
      </c>
      <c r="D6636" s="195" t="s">
        <v>8103</v>
      </c>
      <c r="E6636" s="200">
        <v>40865</v>
      </c>
    </row>
    <row r="6637" spans="1:5" ht="14.25" hidden="1" customHeight="1">
      <c r="A6637" s="156">
        <v>27732969</v>
      </c>
      <c r="B6637" s="172" t="s">
        <v>8104</v>
      </c>
      <c r="C6637" s="172" t="s">
        <v>5899</v>
      </c>
      <c r="D6637" s="195" t="s">
        <v>8103</v>
      </c>
      <c r="E6637" s="200">
        <v>40865</v>
      </c>
    </row>
    <row r="6638" spans="1:5" ht="14.25" hidden="1" customHeight="1">
      <c r="A6638" s="156">
        <v>28039839</v>
      </c>
      <c r="B6638" s="172" t="s">
        <v>6052</v>
      </c>
      <c r="C6638" s="172" t="s">
        <v>6053</v>
      </c>
      <c r="D6638" s="195" t="s">
        <v>8103</v>
      </c>
      <c r="E6638" s="200">
        <v>40865</v>
      </c>
    </row>
    <row r="6639" spans="1:5" ht="14.25" hidden="1" customHeight="1">
      <c r="A6639" s="156">
        <v>28147332</v>
      </c>
      <c r="B6639" s="172" t="s">
        <v>7107</v>
      </c>
      <c r="C6639" s="172" t="s">
        <v>7108</v>
      </c>
      <c r="D6639" s="195" t="s">
        <v>8103</v>
      </c>
      <c r="E6639" s="200">
        <v>40865</v>
      </c>
    </row>
    <row r="6640" spans="1:5" ht="14.25" hidden="1" customHeight="1">
      <c r="A6640" s="156">
        <v>29026236</v>
      </c>
      <c r="B6640" s="172" t="s">
        <v>1547</v>
      </c>
      <c r="C6640" s="172" t="s">
        <v>902</v>
      </c>
      <c r="D6640" s="195" t="s">
        <v>8103</v>
      </c>
      <c r="E6640" s="200">
        <v>40865</v>
      </c>
    </row>
    <row r="6641" spans="1:5" ht="14.25" hidden="1" customHeight="1">
      <c r="A6641" s="156">
        <v>29060429</v>
      </c>
      <c r="B6641" s="172" t="s">
        <v>6079</v>
      </c>
      <c r="C6641" s="172" t="s">
        <v>6080</v>
      </c>
      <c r="D6641" s="195" t="s">
        <v>8103</v>
      </c>
      <c r="E6641" s="200">
        <v>40865</v>
      </c>
    </row>
    <row r="6642" spans="1:5" ht="14.25" hidden="1" customHeight="1">
      <c r="A6642" s="156">
        <v>31171753</v>
      </c>
      <c r="B6642" s="172" t="s">
        <v>6404</v>
      </c>
      <c r="C6642" s="172" t="s">
        <v>8105</v>
      </c>
      <c r="D6642" s="195" t="s">
        <v>8103</v>
      </c>
      <c r="E6642" s="200">
        <v>40865</v>
      </c>
    </row>
    <row r="6643" spans="1:5" ht="14.25" hidden="1" customHeight="1">
      <c r="A6643" s="156">
        <v>32501411</v>
      </c>
      <c r="B6643" s="172" t="s">
        <v>6296</v>
      </c>
      <c r="C6643" s="172" t="s">
        <v>584</v>
      </c>
      <c r="D6643" s="195" t="s">
        <v>8103</v>
      </c>
      <c r="E6643" s="200">
        <v>40865</v>
      </c>
    </row>
    <row r="6644" spans="1:5" ht="14.25" hidden="1" customHeight="1">
      <c r="A6644" s="156">
        <v>32927371</v>
      </c>
      <c r="B6644" s="172" t="s">
        <v>5381</v>
      </c>
      <c r="C6644" s="172" t="s">
        <v>527</v>
      </c>
      <c r="D6644" s="195" t="s">
        <v>8103</v>
      </c>
      <c r="E6644" s="200">
        <v>40865</v>
      </c>
    </row>
    <row r="6645" spans="1:5" ht="14.25" hidden="1" customHeight="1">
      <c r="A6645" s="156">
        <v>4767556</v>
      </c>
      <c r="B6645" s="172" t="s">
        <v>1798</v>
      </c>
      <c r="C6645" s="172" t="s">
        <v>274</v>
      </c>
      <c r="D6645" s="194" t="s">
        <v>8106</v>
      </c>
      <c r="E6645" s="200">
        <v>40850</v>
      </c>
    </row>
    <row r="6646" spans="1:5" ht="14.25" hidden="1" customHeight="1">
      <c r="A6646" s="156">
        <v>6437113</v>
      </c>
      <c r="B6646" s="172" t="s">
        <v>2026</v>
      </c>
      <c r="C6646" s="172" t="s">
        <v>4310</v>
      </c>
      <c r="D6646" s="194" t="s">
        <v>8106</v>
      </c>
      <c r="E6646" s="200">
        <v>40850</v>
      </c>
    </row>
    <row r="6647" spans="1:5" ht="14.25" hidden="1" customHeight="1">
      <c r="A6647" s="156">
        <v>7884222</v>
      </c>
      <c r="B6647" s="172" t="s">
        <v>2422</v>
      </c>
      <c r="C6647" s="172" t="s">
        <v>3963</v>
      </c>
      <c r="D6647" s="194" t="s">
        <v>8106</v>
      </c>
      <c r="E6647" s="200">
        <v>40850</v>
      </c>
    </row>
    <row r="6648" spans="1:5" ht="14.25" hidden="1" customHeight="1">
      <c r="A6648" s="156">
        <v>10645469</v>
      </c>
      <c r="B6648" s="172" t="s">
        <v>2243</v>
      </c>
      <c r="C6648" s="172" t="s">
        <v>2244</v>
      </c>
      <c r="D6648" s="194" t="s">
        <v>8106</v>
      </c>
      <c r="E6648" s="200">
        <v>40850</v>
      </c>
    </row>
    <row r="6649" spans="1:5" ht="14.25" hidden="1" customHeight="1">
      <c r="A6649" s="156">
        <v>11065353</v>
      </c>
      <c r="B6649" s="172" t="s">
        <v>3779</v>
      </c>
      <c r="C6649" s="172" t="s">
        <v>3780</v>
      </c>
      <c r="D6649" s="194" t="s">
        <v>8106</v>
      </c>
      <c r="E6649" s="200">
        <v>40850</v>
      </c>
    </row>
    <row r="6650" spans="1:5" ht="14.25" hidden="1" customHeight="1">
      <c r="A6650" s="156">
        <v>11551761</v>
      </c>
      <c r="B6650" s="172" t="s">
        <v>8107</v>
      </c>
      <c r="C6650" s="172" t="s">
        <v>962</v>
      </c>
      <c r="D6650" s="194" t="s">
        <v>8106</v>
      </c>
      <c r="E6650" s="200">
        <v>40850</v>
      </c>
    </row>
    <row r="6651" spans="1:5" ht="14.25" hidden="1" customHeight="1">
      <c r="A6651" s="156">
        <v>12919270</v>
      </c>
      <c r="B6651" s="172" t="s">
        <v>8111</v>
      </c>
      <c r="C6651" s="172" t="s">
        <v>8112</v>
      </c>
      <c r="D6651" s="194" t="s">
        <v>8106</v>
      </c>
      <c r="E6651" s="200">
        <v>40850</v>
      </c>
    </row>
    <row r="6652" spans="1:5" ht="14.25" hidden="1" customHeight="1">
      <c r="A6652" s="156">
        <v>13628734</v>
      </c>
      <c r="B6652" s="172" t="s">
        <v>8114</v>
      </c>
      <c r="C6652" s="172" t="s">
        <v>2218</v>
      </c>
      <c r="D6652" s="194" t="s">
        <v>8106</v>
      </c>
      <c r="E6652" s="200">
        <v>40850</v>
      </c>
    </row>
    <row r="6653" spans="1:5" ht="14.25" hidden="1" customHeight="1">
      <c r="A6653" s="156">
        <v>14226130</v>
      </c>
      <c r="B6653" s="172" t="s">
        <v>190</v>
      </c>
      <c r="C6653" s="172" t="s">
        <v>4193</v>
      </c>
      <c r="D6653" s="194" t="s">
        <v>8106</v>
      </c>
      <c r="E6653" s="200">
        <v>40850</v>
      </c>
    </row>
    <row r="6654" spans="1:5" ht="14.25" hidden="1" customHeight="1">
      <c r="A6654" s="156">
        <v>14351976</v>
      </c>
      <c r="B6654" s="172" t="s">
        <v>617</v>
      </c>
      <c r="C6654" s="172" t="s">
        <v>618</v>
      </c>
      <c r="D6654" s="194" t="s">
        <v>8106</v>
      </c>
      <c r="E6654" s="200">
        <v>40850</v>
      </c>
    </row>
    <row r="6655" spans="1:5" ht="14.25" hidden="1" customHeight="1">
      <c r="A6655" s="156">
        <v>14410462</v>
      </c>
      <c r="B6655" s="172" t="s">
        <v>1906</v>
      </c>
      <c r="C6655" s="172" t="s">
        <v>274</v>
      </c>
      <c r="D6655" s="194" t="s">
        <v>8106</v>
      </c>
      <c r="E6655" s="200">
        <v>40850</v>
      </c>
    </row>
    <row r="6656" spans="1:5" ht="14.25" hidden="1" customHeight="1">
      <c r="A6656" s="156">
        <v>16314577</v>
      </c>
      <c r="B6656" s="172" t="s">
        <v>377</v>
      </c>
      <c r="C6656" s="172" t="s">
        <v>378</v>
      </c>
      <c r="D6656" s="194" t="s">
        <v>8106</v>
      </c>
      <c r="E6656" s="200">
        <v>40850</v>
      </c>
    </row>
    <row r="6657" spans="1:5" ht="14.25" hidden="1" customHeight="1">
      <c r="A6657" s="156">
        <v>16685720</v>
      </c>
      <c r="B6657" s="172" t="s">
        <v>218</v>
      </c>
      <c r="C6657" s="172" t="s">
        <v>2753</v>
      </c>
      <c r="D6657" s="194" t="s">
        <v>8106</v>
      </c>
      <c r="E6657" s="200">
        <v>40850</v>
      </c>
    </row>
    <row r="6658" spans="1:5" ht="14.25" hidden="1" customHeight="1">
      <c r="A6658" s="156">
        <v>16859302</v>
      </c>
      <c r="B6658" s="172" t="s">
        <v>1774</v>
      </c>
      <c r="C6658" s="172" t="s">
        <v>4202</v>
      </c>
      <c r="D6658" s="194" t="s">
        <v>8106</v>
      </c>
      <c r="E6658" s="200">
        <v>40850</v>
      </c>
    </row>
    <row r="6659" spans="1:5" ht="14.25" hidden="1" customHeight="1">
      <c r="A6659" s="156">
        <v>16864541</v>
      </c>
      <c r="B6659" s="172" t="s">
        <v>1655</v>
      </c>
      <c r="C6659" s="172" t="s">
        <v>4250</v>
      </c>
      <c r="D6659" s="194" t="s">
        <v>8106</v>
      </c>
      <c r="E6659" s="200">
        <v>40850</v>
      </c>
    </row>
    <row r="6660" spans="1:5" ht="14.25" hidden="1" customHeight="1">
      <c r="A6660" s="156">
        <v>17041215</v>
      </c>
      <c r="B6660" s="172" t="s">
        <v>2856</v>
      </c>
      <c r="C6660" s="172" t="s">
        <v>4535</v>
      </c>
      <c r="D6660" s="194" t="s">
        <v>8106</v>
      </c>
      <c r="E6660" s="200">
        <v>40850</v>
      </c>
    </row>
    <row r="6661" spans="1:5" ht="14.25" hidden="1" customHeight="1">
      <c r="A6661" s="156">
        <v>17376929</v>
      </c>
      <c r="B6661" s="172" t="s">
        <v>342</v>
      </c>
      <c r="C6661" s="172" t="s">
        <v>6300</v>
      </c>
      <c r="D6661" s="194" t="s">
        <v>8106</v>
      </c>
      <c r="E6661" s="200">
        <v>40850</v>
      </c>
    </row>
    <row r="6662" spans="1:5" ht="14.25" hidden="1" customHeight="1">
      <c r="A6662" s="156">
        <v>17376937</v>
      </c>
      <c r="B6662" s="172" t="s">
        <v>8115</v>
      </c>
      <c r="C6662" s="172" t="s">
        <v>462</v>
      </c>
      <c r="D6662" s="194" t="s">
        <v>8106</v>
      </c>
      <c r="E6662" s="200">
        <v>40850</v>
      </c>
    </row>
    <row r="6663" spans="1:5" ht="14.25" hidden="1" customHeight="1">
      <c r="A6663" s="156">
        <v>17377046</v>
      </c>
      <c r="B6663" s="172" t="s">
        <v>2552</v>
      </c>
      <c r="C6663" s="172" t="s">
        <v>2553</v>
      </c>
      <c r="D6663" s="194" t="s">
        <v>8106</v>
      </c>
      <c r="E6663" s="200">
        <v>40850</v>
      </c>
    </row>
    <row r="6664" spans="1:5" ht="14.25" hidden="1" customHeight="1">
      <c r="A6664" s="156">
        <v>17458926</v>
      </c>
      <c r="B6664" s="172" t="s">
        <v>2531</v>
      </c>
      <c r="C6664" s="172" t="s">
        <v>2532</v>
      </c>
      <c r="D6664" s="194" t="s">
        <v>8106</v>
      </c>
      <c r="E6664" s="200">
        <v>40850</v>
      </c>
    </row>
    <row r="6665" spans="1:5" ht="14.25" hidden="1" customHeight="1">
      <c r="A6665" s="156">
        <v>17614178</v>
      </c>
      <c r="B6665" s="172" t="s">
        <v>1787</v>
      </c>
      <c r="C6665" s="172" t="s">
        <v>3592</v>
      </c>
      <c r="D6665" s="194" t="s">
        <v>8106</v>
      </c>
      <c r="E6665" s="200">
        <v>40850</v>
      </c>
    </row>
    <row r="6666" spans="1:5" ht="14.25" hidden="1" customHeight="1">
      <c r="A6666" s="156">
        <v>17614844</v>
      </c>
      <c r="B6666" s="172" t="s">
        <v>1266</v>
      </c>
      <c r="C6666" s="172" t="s">
        <v>215</v>
      </c>
      <c r="D6666" s="194" t="s">
        <v>8106</v>
      </c>
      <c r="E6666" s="200">
        <v>40850</v>
      </c>
    </row>
    <row r="6667" spans="1:5" ht="14.25" hidden="1" customHeight="1">
      <c r="A6667" s="156">
        <v>17696330</v>
      </c>
      <c r="B6667" s="172" t="s">
        <v>2299</v>
      </c>
      <c r="C6667" s="172" t="s">
        <v>747</v>
      </c>
      <c r="D6667" s="194" t="s">
        <v>8106</v>
      </c>
      <c r="E6667" s="200">
        <v>40850</v>
      </c>
    </row>
    <row r="6668" spans="1:5" ht="14.25" hidden="1" customHeight="1">
      <c r="A6668" s="156">
        <v>17866143</v>
      </c>
      <c r="B6668" s="172" t="s">
        <v>4122</v>
      </c>
      <c r="C6668" s="172" t="s">
        <v>4123</v>
      </c>
      <c r="D6668" s="194" t="s">
        <v>8106</v>
      </c>
      <c r="E6668" s="200">
        <v>40850</v>
      </c>
    </row>
    <row r="6669" spans="1:5" ht="14.25" hidden="1" customHeight="1">
      <c r="A6669" s="156">
        <v>18102826</v>
      </c>
      <c r="B6669" s="172" t="s">
        <v>8109</v>
      </c>
      <c r="C6669" s="172" t="s">
        <v>3998</v>
      </c>
      <c r="D6669" s="194" t="s">
        <v>8106</v>
      </c>
      <c r="E6669" s="200">
        <v>40850</v>
      </c>
    </row>
    <row r="6670" spans="1:5" ht="14.25" hidden="1" customHeight="1">
      <c r="A6670" s="156">
        <v>18299635</v>
      </c>
      <c r="B6670" s="172" t="s">
        <v>505</v>
      </c>
      <c r="C6670" s="172" t="s">
        <v>1843</v>
      </c>
      <c r="D6670" s="194" t="s">
        <v>8106</v>
      </c>
      <c r="E6670" s="200">
        <v>40850</v>
      </c>
    </row>
    <row r="6671" spans="1:5" ht="14.25" hidden="1" customHeight="1">
      <c r="A6671" s="156">
        <v>20178767</v>
      </c>
      <c r="B6671" s="172" t="s">
        <v>428</v>
      </c>
      <c r="C6671" s="172" t="s">
        <v>429</v>
      </c>
      <c r="D6671" s="194" t="s">
        <v>8106</v>
      </c>
      <c r="E6671" s="200">
        <v>40850</v>
      </c>
    </row>
    <row r="6672" spans="1:5" ht="14.25" hidden="1" customHeight="1">
      <c r="A6672" s="156">
        <v>20179103</v>
      </c>
      <c r="B6672" s="172" t="s">
        <v>1298</v>
      </c>
      <c r="C6672" s="172" t="s">
        <v>1299</v>
      </c>
      <c r="D6672" s="194" t="s">
        <v>8106</v>
      </c>
      <c r="E6672" s="200">
        <v>40850</v>
      </c>
    </row>
    <row r="6673" spans="1:5" ht="14.25" hidden="1" customHeight="1">
      <c r="A6673" s="156">
        <v>22073108</v>
      </c>
      <c r="B6673" s="172" t="s">
        <v>8109</v>
      </c>
      <c r="C6673" s="172" t="s">
        <v>671</v>
      </c>
      <c r="D6673" s="194" t="s">
        <v>8106</v>
      </c>
      <c r="E6673" s="200">
        <v>40850</v>
      </c>
    </row>
    <row r="6674" spans="1:5" ht="14.25" hidden="1" customHeight="1">
      <c r="A6674" s="156">
        <v>22263073</v>
      </c>
      <c r="B6674" s="172" t="s">
        <v>1858</v>
      </c>
      <c r="C6674" s="172" t="s">
        <v>1523</v>
      </c>
      <c r="D6674" s="194" t="s">
        <v>8106</v>
      </c>
      <c r="E6674" s="200">
        <v>40850</v>
      </c>
    </row>
    <row r="6675" spans="1:5" ht="14.25" hidden="1" customHeight="1">
      <c r="A6675" s="156">
        <v>22740729</v>
      </c>
      <c r="B6675" s="172" t="s">
        <v>4170</v>
      </c>
      <c r="C6675" s="172" t="s">
        <v>4171</v>
      </c>
      <c r="D6675" s="194" t="s">
        <v>8106</v>
      </c>
      <c r="E6675" s="200">
        <v>40850</v>
      </c>
    </row>
    <row r="6676" spans="1:5" ht="14.25" hidden="1" customHeight="1">
      <c r="A6676" s="156">
        <v>23116246</v>
      </c>
      <c r="B6676" s="172" t="s">
        <v>3357</v>
      </c>
      <c r="C6676" s="172" t="s">
        <v>6175</v>
      </c>
      <c r="D6676" s="194" t="s">
        <v>8106</v>
      </c>
      <c r="E6676" s="200">
        <v>40850</v>
      </c>
    </row>
    <row r="6677" spans="1:5" ht="14.25" hidden="1" customHeight="1">
      <c r="A6677" s="156">
        <v>24982815</v>
      </c>
      <c r="B6677" s="172" t="s">
        <v>447</v>
      </c>
      <c r="C6677" s="172" t="s">
        <v>448</v>
      </c>
      <c r="D6677" s="194" t="s">
        <v>8106</v>
      </c>
      <c r="E6677" s="200">
        <v>40850</v>
      </c>
    </row>
    <row r="6678" spans="1:5" ht="14.25" hidden="1" customHeight="1">
      <c r="A6678" s="156">
        <v>25082588</v>
      </c>
      <c r="B6678" s="172" t="s">
        <v>8110</v>
      </c>
      <c r="C6678" s="172" t="s">
        <v>1585</v>
      </c>
      <c r="D6678" s="194" t="s">
        <v>8106</v>
      </c>
      <c r="E6678" s="200">
        <v>40850</v>
      </c>
    </row>
    <row r="6679" spans="1:5" ht="14.25" hidden="1" customHeight="1">
      <c r="A6679" s="156">
        <v>25444260</v>
      </c>
      <c r="B6679" s="172" t="s">
        <v>1655</v>
      </c>
      <c r="C6679" s="172" t="s">
        <v>3627</v>
      </c>
      <c r="D6679" s="194" t="s">
        <v>8106</v>
      </c>
      <c r="E6679" s="200">
        <v>40850</v>
      </c>
    </row>
    <row r="6680" spans="1:5" ht="14.25" hidden="1" customHeight="1">
      <c r="A6680" s="156">
        <v>25735971</v>
      </c>
      <c r="B6680" s="172" t="s">
        <v>8108</v>
      </c>
      <c r="C6680" s="172" t="s">
        <v>1483</v>
      </c>
      <c r="D6680" s="194" t="s">
        <v>8106</v>
      </c>
      <c r="E6680" s="200">
        <v>40850</v>
      </c>
    </row>
    <row r="6681" spans="1:5" ht="14.25" hidden="1" customHeight="1">
      <c r="A6681" s="156">
        <v>26028279</v>
      </c>
      <c r="B6681" s="172" t="s">
        <v>8113</v>
      </c>
      <c r="C6681" s="172" t="s">
        <v>6335</v>
      </c>
      <c r="D6681" s="194" t="s">
        <v>8106</v>
      </c>
      <c r="E6681" s="200">
        <v>40850</v>
      </c>
    </row>
    <row r="6682" spans="1:5" ht="14.25" hidden="1" customHeight="1">
      <c r="A6682" s="156">
        <v>27944383</v>
      </c>
      <c r="B6682" s="172" t="s">
        <v>863</v>
      </c>
      <c r="C6682" s="172" t="s">
        <v>3294</v>
      </c>
      <c r="D6682" s="194" t="s">
        <v>8106</v>
      </c>
      <c r="E6682" s="200">
        <v>40850</v>
      </c>
    </row>
    <row r="6683" spans="1:5" ht="14.25" hidden="1" customHeight="1">
      <c r="A6683" s="156">
        <v>32903447</v>
      </c>
      <c r="B6683" s="172" t="s">
        <v>2622</v>
      </c>
      <c r="C6683" s="172" t="s">
        <v>2623</v>
      </c>
      <c r="D6683" s="194" t="s">
        <v>8106</v>
      </c>
      <c r="E6683" s="200">
        <v>40850</v>
      </c>
    </row>
    <row r="6684" spans="1:5" ht="14.25" hidden="1" customHeight="1">
      <c r="A6684" s="156">
        <v>33050768</v>
      </c>
      <c r="B6684" s="172" t="s">
        <v>4062</v>
      </c>
      <c r="C6684" s="172" t="s">
        <v>4063</v>
      </c>
      <c r="D6684" s="194" t="s">
        <v>8106</v>
      </c>
      <c r="E6684" s="200">
        <v>40850</v>
      </c>
    </row>
    <row r="6685" spans="1:5" ht="14.25" hidden="1" customHeight="1">
      <c r="A6685" s="156">
        <v>5396119</v>
      </c>
      <c r="B6685" s="178" t="s">
        <v>5085</v>
      </c>
      <c r="C6685" s="178" t="s">
        <v>436</v>
      </c>
      <c r="D6685" s="194" t="s">
        <v>8117</v>
      </c>
      <c r="E6685" s="200">
        <v>40848</v>
      </c>
    </row>
    <row r="6686" spans="1:5" ht="14.25" hidden="1" customHeight="1">
      <c r="A6686" s="156">
        <v>5535831</v>
      </c>
      <c r="B6686" s="178" t="s">
        <v>252</v>
      </c>
      <c r="C6686" s="178" t="s">
        <v>8130</v>
      </c>
      <c r="D6686" s="194" t="s">
        <v>8117</v>
      </c>
      <c r="E6686" s="200">
        <v>40848</v>
      </c>
    </row>
    <row r="6687" spans="1:5" ht="14.25" hidden="1" customHeight="1">
      <c r="A6687" s="156">
        <v>8170060</v>
      </c>
      <c r="B6687" s="178" t="s">
        <v>8125</v>
      </c>
      <c r="C6687" s="178" t="s">
        <v>8126</v>
      </c>
      <c r="D6687" s="194" t="s">
        <v>8117</v>
      </c>
      <c r="E6687" s="200">
        <v>40848</v>
      </c>
    </row>
    <row r="6688" spans="1:5" ht="14.25" hidden="1" customHeight="1">
      <c r="A6688" s="156">
        <v>10017247</v>
      </c>
      <c r="B6688" s="178" t="s">
        <v>8120</v>
      </c>
      <c r="C6688" s="178" t="s">
        <v>5941</v>
      </c>
      <c r="D6688" s="194" t="s">
        <v>8117</v>
      </c>
      <c r="E6688" s="200">
        <v>40848</v>
      </c>
    </row>
    <row r="6689" spans="1:5" ht="14.25" hidden="1" customHeight="1">
      <c r="A6689" s="156">
        <v>10467867</v>
      </c>
      <c r="B6689" s="178" t="s">
        <v>2158</v>
      </c>
      <c r="C6689" s="178" t="s">
        <v>962</v>
      </c>
      <c r="D6689" s="194" t="s">
        <v>8117</v>
      </c>
      <c r="E6689" s="200">
        <v>40848</v>
      </c>
    </row>
    <row r="6690" spans="1:5" ht="14.25" hidden="1" customHeight="1">
      <c r="A6690" s="156">
        <v>10950058</v>
      </c>
      <c r="B6690" s="178" t="s">
        <v>8137</v>
      </c>
      <c r="C6690" s="178" t="s">
        <v>198</v>
      </c>
      <c r="D6690" s="194" t="s">
        <v>8117</v>
      </c>
      <c r="E6690" s="200">
        <v>40848</v>
      </c>
    </row>
    <row r="6691" spans="1:5" ht="14.25" hidden="1" customHeight="1">
      <c r="A6691" s="156">
        <v>11063642</v>
      </c>
      <c r="B6691" s="178" t="s">
        <v>2121</v>
      </c>
      <c r="C6691" s="178" t="s">
        <v>8134</v>
      </c>
      <c r="D6691" s="194" t="s">
        <v>8117</v>
      </c>
      <c r="E6691" s="200">
        <v>40848</v>
      </c>
    </row>
    <row r="6692" spans="1:5" ht="14.25" hidden="1" customHeight="1">
      <c r="A6692" s="156">
        <v>11725368</v>
      </c>
      <c r="B6692" s="178" t="s">
        <v>1660</v>
      </c>
      <c r="C6692" s="178" t="s">
        <v>8116</v>
      </c>
      <c r="D6692" s="194" t="s">
        <v>8117</v>
      </c>
      <c r="E6692" s="200">
        <v>40848</v>
      </c>
    </row>
    <row r="6693" spans="1:5" ht="14.25" hidden="1" customHeight="1">
      <c r="A6693" s="156">
        <v>11762272</v>
      </c>
      <c r="B6693" s="178" t="s">
        <v>8131</v>
      </c>
      <c r="C6693" s="178" t="s">
        <v>8132</v>
      </c>
      <c r="D6693" s="194" t="s">
        <v>8117</v>
      </c>
      <c r="E6693" s="200">
        <v>40848</v>
      </c>
    </row>
    <row r="6694" spans="1:5" ht="14.25" hidden="1" customHeight="1">
      <c r="A6694" s="156">
        <v>11915821</v>
      </c>
      <c r="B6694" s="178" t="s">
        <v>1168</v>
      </c>
      <c r="C6694" s="178" t="s">
        <v>8135</v>
      </c>
      <c r="D6694" s="194" t="s">
        <v>8117</v>
      </c>
      <c r="E6694" s="200">
        <v>40848</v>
      </c>
    </row>
    <row r="6695" spans="1:5" ht="14.25" hidden="1" customHeight="1">
      <c r="A6695" s="156">
        <v>12733217</v>
      </c>
      <c r="B6695" s="178" t="s">
        <v>8129</v>
      </c>
      <c r="C6695" s="178" t="s">
        <v>5041</v>
      </c>
      <c r="D6695" s="194" t="s">
        <v>8117</v>
      </c>
      <c r="E6695" s="200">
        <v>40848</v>
      </c>
    </row>
    <row r="6696" spans="1:5" ht="14.25" hidden="1" customHeight="1">
      <c r="A6696" s="156">
        <v>12869592</v>
      </c>
      <c r="B6696" s="178" t="s">
        <v>8121</v>
      </c>
      <c r="C6696" s="178" t="s">
        <v>8122</v>
      </c>
      <c r="D6696" s="194" t="s">
        <v>8117</v>
      </c>
      <c r="E6696" s="200">
        <v>40848</v>
      </c>
    </row>
    <row r="6697" spans="1:5" ht="14.25" hidden="1" customHeight="1">
      <c r="A6697" s="156">
        <v>13950239</v>
      </c>
      <c r="B6697" s="178" t="s">
        <v>8127</v>
      </c>
      <c r="C6697" s="178" t="s">
        <v>8128</v>
      </c>
      <c r="D6697" s="194" t="s">
        <v>8117</v>
      </c>
      <c r="E6697" s="200">
        <v>40848</v>
      </c>
    </row>
    <row r="6698" spans="1:5" ht="14.25" hidden="1" customHeight="1">
      <c r="A6698" s="156">
        <v>14359747</v>
      </c>
      <c r="B6698" s="178" t="s">
        <v>961</v>
      </c>
      <c r="C6698" s="178" t="s">
        <v>8119</v>
      </c>
      <c r="D6698" s="194" t="s">
        <v>8117</v>
      </c>
      <c r="E6698" s="200">
        <v>40848</v>
      </c>
    </row>
    <row r="6699" spans="1:5" ht="14.25" hidden="1" customHeight="1">
      <c r="A6699" s="156">
        <v>16308116</v>
      </c>
      <c r="B6699" s="178" t="s">
        <v>4972</v>
      </c>
      <c r="C6699" s="178" t="s">
        <v>639</v>
      </c>
      <c r="D6699" s="194" t="s">
        <v>8117</v>
      </c>
      <c r="E6699" s="200">
        <v>40848</v>
      </c>
    </row>
    <row r="6700" spans="1:5" ht="14.25" hidden="1" customHeight="1">
      <c r="A6700" s="156">
        <v>17613465</v>
      </c>
      <c r="B6700" s="178" t="s">
        <v>2840</v>
      </c>
      <c r="C6700" s="178" t="s">
        <v>687</v>
      </c>
      <c r="D6700" s="194" t="s">
        <v>8117</v>
      </c>
      <c r="E6700" s="200">
        <v>40848</v>
      </c>
    </row>
    <row r="6701" spans="1:5" ht="14.25" hidden="1" customHeight="1">
      <c r="A6701" s="156">
        <v>17779601</v>
      </c>
      <c r="B6701" s="178" t="s">
        <v>364</v>
      </c>
      <c r="C6701" s="178" t="s">
        <v>2161</v>
      </c>
      <c r="D6701" s="194" t="s">
        <v>8117</v>
      </c>
      <c r="E6701" s="200">
        <v>40848</v>
      </c>
    </row>
    <row r="6702" spans="1:5" ht="14.25" hidden="1" customHeight="1">
      <c r="A6702" s="156">
        <v>20759469</v>
      </c>
      <c r="B6702" s="178" t="s">
        <v>2158</v>
      </c>
      <c r="C6702" s="178" t="s">
        <v>922</v>
      </c>
      <c r="D6702" s="194" t="s">
        <v>8117</v>
      </c>
      <c r="E6702" s="200">
        <v>40848</v>
      </c>
    </row>
    <row r="6703" spans="1:5" ht="14.25" hidden="1" customHeight="1">
      <c r="A6703" s="156">
        <v>22877319</v>
      </c>
      <c r="B6703" s="178" t="s">
        <v>8123</v>
      </c>
      <c r="C6703" s="178" t="s">
        <v>3888</v>
      </c>
      <c r="D6703" s="194" t="s">
        <v>8117</v>
      </c>
      <c r="E6703" s="200">
        <v>40848</v>
      </c>
    </row>
    <row r="6704" spans="1:5" ht="14.25" hidden="1" customHeight="1">
      <c r="A6704" s="156">
        <v>24200654</v>
      </c>
      <c r="B6704" s="178" t="s">
        <v>195</v>
      </c>
      <c r="C6704" s="178" t="s">
        <v>8124</v>
      </c>
      <c r="D6704" s="194" t="s">
        <v>8117</v>
      </c>
      <c r="E6704" s="200">
        <v>40848</v>
      </c>
    </row>
    <row r="6705" spans="1:5" ht="14.25" hidden="1" customHeight="1">
      <c r="A6705" s="156">
        <v>25318644</v>
      </c>
      <c r="B6705" s="178" t="s">
        <v>2121</v>
      </c>
      <c r="C6705" s="178" t="s">
        <v>8133</v>
      </c>
      <c r="D6705" s="194" t="s">
        <v>8117</v>
      </c>
      <c r="E6705" s="200">
        <v>40848</v>
      </c>
    </row>
    <row r="6706" spans="1:5" ht="14.25" hidden="1" customHeight="1">
      <c r="A6706" s="156">
        <v>26638009</v>
      </c>
      <c r="B6706" s="178" t="s">
        <v>5058</v>
      </c>
      <c r="C6706" s="178" t="s">
        <v>1634</v>
      </c>
      <c r="D6706" s="194" t="s">
        <v>8117</v>
      </c>
      <c r="E6706" s="200">
        <v>40848</v>
      </c>
    </row>
    <row r="6707" spans="1:5" ht="14.25" hidden="1" customHeight="1">
      <c r="A6707" s="156">
        <v>27230531</v>
      </c>
      <c r="B6707" s="178" t="s">
        <v>364</v>
      </c>
      <c r="C6707" s="178" t="s">
        <v>8136</v>
      </c>
      <c r="D6707" s="194" t="s">
        <v>8117</v>
      </c>
      <c r="E6707" s="200">
        <v>40848</v>
      </c>
    </row>
    <row r="6708" spans="1:5" ht="14.25" hidden="1" customHeight="1">
      <c r="A6708" s="156">
        <v>29430682</v>
      </c>
      <c r="B6708" s="178" t="s">
        <v>2451</v>
      </c>
      <c r="C6708" s="178" t="s">
        <v>8118</v>
      </c>
      <c r="D6708" s="194" t="s">
        <v>8117</v>
      </c>
      <c r="E6708" s="200">
        <v>40848</v>
      </c>
    </row>
    <row r="6709" spans="1:5" ht="14.25" hidden="1" customHeight="1">
      <c r="A6709" s="156">
        <v>31052417</v>
      </c>
      <c r="B6709" s="178" t="s">
        <v>8138</v>
      </c>
      <c r="C6709" s="178" t="s">
        <v>8139</v>
      </c>
      <c r="D6709" s="194" t="s">
        <v>8117</v>
      </c>
      <c r="E6709" s="200">
        <v>40848</v>
      </c>
    </row>
    <row r="6710" spans="1:5" ht="14.25" hidden="1" customHeight="1">
      <c r="A6710" s="156">
        <v>5396119</v>
      </c>
      <c r="B6710" s="172" t="s">
        <v>5085</v>
      </c>
      <c r="C6710" s="172" t="s">
        <v>5086</v>
      </c>
      <c r="D6710" s="194" t="s">
        <v>8140</v>
      </c>
      <c r="E6710" s="200">
        <v>40844</v>
      </c>
    </row>
    <row r="6711" spans="1:5" ht="14.25" hidden="1" customHeight="1">
      <c r="A6711" s="156">
        <v>6491025</v>
      </c>
      <c r="B6711" s="172" t="s">
        <v>5049</v>
      </c>
      <c r="C6711" s="172" t="s">
        <v>5050</v>
      </c>
      <c r="D6711" s="194" t="s">
        <v>8140</v>
      </c>
      <c r="E6711" s="200">
        <v>40844</v>
      </c>
    </row>
    <row r="6712" spans="1:5" ht="14.25" hidden="1" customHeight="1">
      <c r="A6712" s="156">
        <v>10570275</v>
      </c>
      <c r="B6712" s="177" t="s">
        <v>267</v>
      </c>
      <c r="C6712" s="177" t="s">
        <v>7271</v>
      </c>
      <c r="D6712" s="194" t="s">
        <v>8140</v>
      </c>
      <c r="E6712" s="200">
        <v>40844</v>
      </c>
    </row>
    <row r="6713" spans="1:5" ht="14.25" hidden="1" customHeight="1">
      <c r="A6713" s="156">
        <v>13279968</v>
      </c>
      <c r="B6713" s="177" t="s">
        <v>8143</v>
      </c>
      <c r="C6713" s="177" t="s">
        <v>708</v>
      </c>
      <c r="D6713" s="194" t="s">
        <v>8140</v>
      </c>
      <c r="E6713" s="200">
        <v>40844</v>
      </c>
    </row>
    <row r="6714" spans="1:5" ht="14.25" hidden="1" customHeight="1">
      <c r="A6714" s="156">
        <v>14083292</v>
      </c>
      <c r="B6714" s="172" t="s">
        <v>476</v>
      </c>
      <c r="C6714" s="172" t="s">
        <v>8146</v>
      </c>
      <c r="D6714" s="194" t="s">
        <v>8140</v>
      </c>
      <c r="E6714" s="200">
        <v>40844</v>
      </c>
    </row>
    <row r="6715" spans="1:5" ht="14.25" hidden="1" customHeight="1">
      <c r="A6715" s="156">
        <v>14251117</v>
      </c>
      <c r="B6715" s="172" t="s">
        <v>961</v>
      </c>
      <c r="C6715" s="172" t="s">
        <v>4968</v>
      </c>
      <c r="D6715" s="194" t="s">
        <v>8140</v>
      </c>
      <c r="E6715" s="200">
        <v>40844</v>
      </c>
    </row>
    <row r="6716" spans="1:5" ht="14.25" hidden="1" customHeight="1">
      <c r="A6716" s="156">
        <v>14352877</v>
      </c>
      <c r="B6716" s="172" t="s">
        <v>428</v>
      </c>
      <c r="C6716" s="172" t="s">
        <v>5114</v>
      </c>
      <c r="D6716" s="194" t="s">
        <v>8140</v>
      </c>
      <c r="E6716" s="200">
        <v>40844</v>
      </c>
    </row>
    <row r="6717" spans="1:5" ht="14.25" hidden="1" customHeight="1">
      <c r="A6717" s="156">
        <v>16039421</v>
      </c>
      <c r="B6717" s="172" t="s">
        <v>4384</v>
      </c>
      <c r="C6717" s="172" t="s">
        <v>4385</v>
      </c>
      <c r="D6717" s="194" t="s">
        <v>8140</v>
      </c>
      <c r="E6717" s="200">
        <v>40844</v>
      </c>
    </row>
    <row r="6718" spans="1:5" ht="14.25" hidden="1" customHeight="1">
      <c r="A6718" s="156">
        <v>16308116</v>
      </c>
      <c r="B6718" s="172" t="s">
        <v>4972</v>
      </c>
      <c r="C6718" s="172" t="s">
        <v>639</v>
      </c>
      <c r="D6718" s="194" t="s">
        <v>8140</v>
      </c>
      <c r="E6718" s="200">
        <v>40844</v>
      </c>
    </row>
    <row r="6719" spans="1:5" ht="14.25" hidden="1" customHeight="1">
      <c r="A6719" s="156">
        <v>16932957</v>
      </c>
      <c r="B6719" s="172" t="s">
        <v>50</v>
      </c>
      <c r="C6719" s="172" t="s">
        <v>8142</v>
      </c>
      <c r="D6719" s="194" t="s">
        <v>8140</v>
      </c>
      <c r="E6719" s="200">
        <v>40844</v>
      </c>
    </row>
    <row r="6720" spans="1:5" ht="14.25" hidden="1" customHeight="1">
      <c r="A6720" s="156">
        <v>17440873</v>
      </c>
      <c r="B6720" s="172" t="s">
        <v>5032</v>
      </c>
      <c r="C6720" s="172" t="s">
        <v>1748</v>
      </c>
      <c r="D6720" s="194" t="s">
        <v>8140</v>
      </c>
      <c r="E6720" s="200">
        <v>40844</v>
      </c>
    </row>
    <row r="6721" spans="1:5" ht="14.25" hidden="1" customHeight="1">
      <c r="A6721" s="156">
        <v>17523461</v>
      </c>
      <c r="B6721" s="172" t="s">
        <v>8145</v>
      </c>
      <c r="C6721" s="172" t="s">
        <v>571</v>
      </c>
      <c r="D6721" s="194" t="s">
        <v>8140</v>
      </c>
      <c r="E6721" s="200">
        <v>40844</v>
      </c>
    </row>
    <row r="6722" spans="1:5" ht="14.25" hidden="1" customHeight="1">
      <c r="A6722" s="156">
        <v>18663869</v>
      </c>
      <c r="B6722" s="172" t="s">
        <v>4384</v>
      </c>
      <c r="C6722" s="172" t="s">
        <v>2678</v>
      </c>
      <c r="D6722" s="194" t="s">
        <v>8140</v>
      </c>
      <c r="E6722" s="200">
        <v>40844</v>
      </c>
    </row>
    <row r="6723" spans="1:5" ht="14.25" hidden="1" customHeight="1">
      <c r="A6723" s="156">
        <v>21054719</v>
      </c>
      <c r="B6723" s="172" t="s">
        <v>218</v>
      </c>
      <c r="C6723" s="172" t="s">
        <v>1736</v>
      </c>
      <c r="D6723" s="194" t="s">
        <v>8140</v>
      </c>
      <c r="E6723" s="200">
        <v>40844</v>
      </c>
    </row>
    <row r="6724" spans="1:5" ht="14.25" hidden="1" customHeight="1">
      <c r="A6724" s="156">
        <v>22806056</v>
      </c>
      <c r="B6724" s="172" t="s">
        <v>1793</v>
      </c>
      <c r="C6724" s="172" t="s">
        <v>8144</v>
      </c>
      <c r="D6724" s="194" t="s">
        <v>8140</v>
      </c>
      <c r="E6724" s="200">
        <v>40844</v>
      </c>
    </row>
    <row r="6725" spans="1:5" ht="14.25" hidden="1" customHeight="1">
      <c r="A6725" s="156">
        <v>23020149</v>
      </c>
      <c r="B6725" s="172" t="s">
        <v>2622</v>
      </c>
      <c r="C6725" s="172" t="s">
        <v>7811</v>
      </c>
      <c r="D6725" s="194" t="s">
        <v>8140</v>
      </c>
      <c r="E6725" s="200">
        <v>40844</v>
      </c>
    </row>
    <row r="6726" spans="1:5" ht="14.25" hidden="1" customHeight="1">
      <c r="A6726" s="156">
        <v>23021542</v>
      </c>
      <c r="B6726" s="172" t="s">
        <v>4976</v>
      </c>
      <c r="C6726" s="172" t="s">
        <v>4977</v>
      </c>
      <c r="D6726" s="194" t="s">
        <v>8140</v>
      </c>
      <c r="E6726" s="200">
        <v>40844</v>
      </c>
    </row>
    <row r="6727" spans="1:5" ht="14.25" hidden="1" customHeight="1">
      <c r="A6727" s="156">
        <v>26638009</v>
      </c>
      <c r="B6727" s="177" t="s">
        <v>5058</v>
      </c>
      <c r="C6727" s="177" t="s">
        <v>1634</v>
      </c>
      <c r="D6727" s="194" t="s">
        <v>8140</v>
      </c>
      <c r="E6727" s="200">
        <v>40844</v>
      </c>
    </row>
    <row r="6728" spans="1:5" ht="14.25" hidden="1" customHeight="1">
      <c r="A6728" s="156">
        <v>27960685</v>
      </c>
      <c r="B6728" s="172" t="s">
        <v>5010</v>
      </c>
      <c r="C6728" s="172" t="s">
        <v>8141</v>
      </c>
      <c r="D6728" s="194" t="s">
        <v>8140</v>
      </c>
      <c r="E6728" s="200">
        <v>40844</v>
      </c>
    </row>
    <row r="6729" spans="1:5" ht="14.25" hidden="1" customHeight="1">
      <c r="A6729" s="156">
        <v>29640419</v>
      </c>
      <c r="B6729" s="172" t="s">
        <v>1603</v>
      </c>
      <c r="C6729" s="172" t="s">
        <v>5118</v>
      </c>
      <c r="D6729" s="194" t="s">
        <v>8140</v>
      </c>
      <c r="E6729" s="200">
        <v>40844</v>
      </c>
    </row>
    <row r="6730" spans="1:5" ht="14.25" hidden="1" customHeight="1">
      <c r="A6730" s="156">
        <v>30442895</v>
      </c>
      <c r="B6730" s="177" t="s">
        <v>6450</v>
      </c>
      <c r="C6730" s="177" t="s">
        <v>6451</v>
      </c>
      <c r="D6730" s="194" t="s">
        <v>8140</v>
      </c>
      <c r="E6730" s="200">
        <v>40844</v>
      </c>
    </row>
    <row r="6731" spans="1:5" ht="14.25" hidden="1" customHeight="1">
      <c r="A6731" s="156">
        <v>34286838</v>
      </c>
      <c r="B6731" s="172" t="s">
        <v>304</v>
      </c>
      <c r="C6731" s="172" t="s">
        <v>5061</v>
      </c>
      <c r="D6731" s="194" t="s">
        <v>8140</v>
      </c>
      <c r="E6731" s="200">
        <v>40844</v>
      </c>
    </row>
    <row r="6732" spans="1:5" ht="14.25" hidden="1" customHeight="1">
      <c r="A6732" s="156">
        <v>5398210</v>
      </c>
      <c r="B6732" s="172" t="s">
        <v>8149</v>
      </c>
      <c r="C6732" s="172" t="s">
        <v>8150</v>
      </c>
      <c r="D6732" s="194" t="s">
        <v>7833</v>
      </c>
      <c r="E6732" s="200">
        <v>40833</v>
      </c>
    </row>
    <row r="6733" spans="1:5" ht="14.25" hidden="1" customHeight="1">
      <c r="A6733" s="156">
        <v>5468456</v>
      </c>
      <c r="B6733" s="172" t="s">
        <v>144</v>
      </c>
      <c r="C6733" s="172" t="s">
        <v>3433</v>
      </c>
      <c r="D6733" s="194" t="s">
        <v>7833</v>
      </c>
      <c r="E6733" s="200">
        <v>40833</v>
      </c>
    </row>
    <row r="6734" spans="1:5" ht="14.25" hidden="1" customHeight="1">
      <c r="A6734" s="156">
        <v>6054612</v>
      </c>
      <c r="B6734" s="172" t="s">
        <v>1823</v>
      </c>
      <c r="C6734" s="172" t="s">
        <v>2256</v>
      </c>
      <c r="D6734" s="194" t="s">
        <v>7833</v>
      </c>
      <c r="E6734" s="200">
        <v>40833</v>
      </c>
    </row>
    <row r="6735" spans="1:5" ht="14.25" hidden="1" customHeight="1">
      <c r="A6735" s="156">
        <v>6133918</v>
      </c>
      <c r="B6735" s="172" t="s">
        <v>8151</v>
      </c>
      <c r="C6735" s="172" t="s">
        <v>7810</v>
      </c>
      <c r="D6735" s="194" t="s">
        <v>7833</v>
      </c>
      <c r="E6735" s="200">
        <v>40833</v>
      </c>
    </row>
    <row r="6736" spans="1:5" ht="14.25" hidden="1" customHeight="1">
      <c r="A6736" s="156">
        <v>10012551</v>
      </c>
      <c r="B6736" s="172" t="s">
        <v>327</v>
      </c>
      <c r="C6736" s="172" t="s">
        <v>584</v>
      </c>
      <c r="D6736" s="194" t="s">
        <v>7833</v>
      </c>
      <c r="E6736" s="200">
        <v>40833</v>
      </c>
    </row>
    <row r="6737" spans="1:5" ht="14.25" hidden="1" customHeight="1">
      <c r="A6737" s="156">
        <v>11080049</v>
      </c>
      <c r="B6737" s="172" t="s">
        <v>2438</v>
      </c>
      <c r="C6737" s="172" t="s">
        <v>2184</v>
      </c>
      <c r="D6737" s="194" t="s">
        <v>7833</v>
      </c>
      <c r="E6737" s="200">
        <v>40833</v>
      </c>
    </row>
    <row r="6738" spans="1:5" ht="14.25" hidden="1" customHeight="1">
      <c r="A6738" s="156">
        <v>12352215</v>
      </c>
      <c r="B6738" s="172" t="s">
        <v>2178</v>
      </c>
      <c r="C6738" s="172" t="s">
        <v>2179</v>
      </c>
      <c r="D6738" s="194" t="s">
        <v>7833</v>
      </c>
      <c r="E6738" s="200">
        <v>40833</v>
      </c>
    </row>
    <row r="6739" spans="1:5" ht="14.25" hidden="1" customHeight="1">
      <c r="A6739" s="156">
        <v>12449312</v>
      </c>
      <c r="B6739" s="172" t="s">
        <v>676</v>
      </c>
      <c r="C6739" s="172" t="s">
        <v>677</v>
      </c>
      <c r="D6739" s="194" t="s">
        <v>7833</v>
      </c>
      <c r="E6739" s="200">
        <v>40833</v>
      </c>
    </row>
    <row r="6740" spans="1:5" ht="14.25" hidden="1" customHeight="1">
      <c r="A6740" s="156">
        <v>12919956</v>
      </c>
      <c r="B6740" s="172" t="s">
        <v>4596</v>
      </c>
      <c r="C6740" s="172" t="s">
        <v>8152</v>
      </c>
      <c r="D6740" s="194" t="s">
        <v>7833</v>
      </c>
      <c r="E6740" s="200">
        <v>40833</v>
      </c>
    </row>
    <row r="6741" spans="1:5" ht="14.25" hidden="1" customHeight="1">
      <c r="A6741" s="156">
        <v>12919979</v>
      </c>
      <c r="B6741" s="172" t="s">
        <v>3182</v>
      </c>
      <c r="C6741" s="172" t="s">
        <v>724</v>
      </c>
      <c r="D6741" s="194" t="s">
        <v>7833</v>
      </c>
      <c r="E6741" s="200">
        <v>40833</v>
      </c>
    </row>
    <row r="6742" spans="1:5" ht="14.25" hidden="1" customHeight="1">
      <c r="A6742" s="156">
        <v>13203992</v>
      </c>
      <c r="B6742" s="172" t="s">
        <v>2576</v>
      </c>
      <c r="C6742" s="172" t="s">
        <v>4631</v>
      </c>
      <c r="D6742" s="194" t="s">
        <v>7833</v>
      </c>
      <c r="E6742" s="200">
        <v>40833</v>
      </c>
    </row>
    <row r="6743" spans="1:5" ht="14.25" hidden="1" customHeight="1">
      <c r="A6743" s="156">
        <v>13278971</v>
      </c>
      <c r="B6743" s="172" t="s">
        <v>1625</v>
      </c>
      <c r="C6743" s="172" t="s">
        <v>1626</v>
      </c>
      <c r="D6743" s="194" t="s">
        <v>7833</v>
      </c>
      <c r="E6743" s="200">
        <v>40833</v>
      </c>
    </row>
    <row r="6744" spans="1:5" ht="14.25" hidden="1" customHeight="1">
      <c r="A6744" s="156">
        <v>13338251</v>
      </c>
      <c r="B6744" s="172" t="s">
        <v>252</v>
      </c>
      <c r="C6744" s="172" t="s">
        <v>2069</v>
      </c>
      <c r="D6744" s="194" t="s">
        <v>7833</v>
      </c>
      <c r="E6744" s="200">
        <v>40833</v>
      </c>
    </row>
    <row r="6745" spans="1:5" ht="14.25" hidden="1" customHeight="1">
      <c r="A6745" s="156">
        <v>13474822</v>
      </c>
      <c r="B6745" s="172" t="s">
        <v>3133</v>
      </c>
      <c r="C6745" s="172" t="s">
        <v>1965</v>
      </c>
      <c r="D6745" s="194" t="s">
        <v>7833</v>
      </c>
      <c r="E6745" s="200">
        <v>40833</v>
      </c>
    </row>
    <row r="6746" spans="1:5" ht="14.25" hidden="1" customHeight="1">
      <c r="A6746" s="156">
        <v>13848130</v>
      </c>
      <c r="B6746" s="172" t="s">
        <v>3233</v>
      </c>
      <c r="C6746" s="172" t="s">
        <v>3234</v>
      </c>
      <c r="D6746" s="194" t="s">
        <v>7833</v>
      </c>
      <c r="E6746" s="200">
        <v>40833</v>
      </c>
    </row>
    <row r="6747" spans="1:5" ht="14.25" hidden="1" customHeight="1">
      <c r="A6747" s="156">
        <v>14023732</v>
      </c>
      <c r="B6747" s="172" t="s">
        <v>6026</v>
      </c>
      <c r="C6747" s="172" t="s">
        <v>1672</v>
      </c>
      <c r="D6747" s="194" t="s">
        <v>7833</v>
      </c>
      <c r="E6747" s="200">
        <v>40833</v>
      </c>
    </row>
    <row r="6748" spans="1:5" ht="14.25" hidden="1" customHeight="1">
      <c r="A6748" s="156">
        <v>14073492</v>
      </c>
      <c r="B6748" s="172" t="s">
        <v>7280</v>
      </c>
      <c r="C6748" s="172" t="s">
        <v>2184</v>
      </c>
      <c r="D6748" s="194" t="s">
        <v>7833</v>
      </c>
      <c r="E6748" s="200">
        <v>40833</v>
      </c>
    </row>
    <row r="6749" spans="1:5" ht="14.25" hidden="1" customHeight="1">
      <c r="A6749" s="156">
        <v>14073571</v>
      </c>
      <c r="B6749" s="172" t="s">
        <v>1190</v>
      </c>
      <c r="C6749" s="172" t="s">
        <v>922</v>
      </c>
      <c r="D6749" s="194" t="s">
        <v>7833</v>
      </c>
      <c r="E6749" s="200">
        <v>40833</v>
      </c>
    </row>
    <row r="6750" spans="1:5" ht="14.25" hidden="1" customHeight="1">
      <c r="A6750" s="156">
        <v>14352896</v>
      </c>
      <c r="B6750" s="172" t="s">
        <v>3428</v>
      </c>
      <c r="C6750" s="172" t="s">
        <v>3429</v>
      </c>
      <c r="D6750" s="194" t="s">
        <v>7833</v>
      </c>
      <c r="E6750" s="200">
        <v>40833</v>
      </c>
    </row>
    <row r="6751" spans="1:5" ht="14.25" hidden="1" customHeight="1">
      <c r="A6751" s="156">
        <v>14481830</v>
      </c>
      <c r="B6751" s="172" t="s">
        <v>8147</v>
      </c>
      <c r="C6751" s="172" t="s">
        <v>8148</v>
      </c>
      <c r="D6751" s="194" t="s">
        <v>7833</v>
      </c>
      <c r="E6751" s="200">
        <v>40833</v>
      </c>
    </row>
    <row r="6752" spans="1:5" ht="14.25" hidden="1" customHeight="1">
      <c r="A6752" s="156">
        <v>14660801</v>
      </c>
      <c r="B6752" s="172" t="s">
        <v>680</v>
      </c>
      <c r="C6752" s="172" t="s">
        <v>2702</v>
      </c>
      <c r="D6752" s="194" t="s">
        <v>7833</v>
      </c>
      <c r="E6752" s="200">
        <v>40833</v>
      </c>
    </row>
    <row r="6753" spans="1:5" ht="14.25" hidden="1" customHeight="1">
      <c r="A6753" s="156">
        <v>14709050</v>
      </c>
      <c r="B6753" s="172" t="s">
        <v>6050</v>
      </c>
      <c r="C6753" s="172" t="s">
        <v>215</v>
      </c>
      <c r="D6753" s="194" t="s">
        <v>7833</v>
      </c>
      <c r="E6753" s="200">
        <v>40833</v>
      </c>
    </row>
    <row r="6754" spans="1:5" ht="14.25" hidden="1" customHeight="1">
      <c r="A6754" s="156">
        <v>16686145</v>
      </c>
      <c r="B6754" s="172" t="s">
        <v>8153</v>
      </c>
      <c r="C6754" s="172" t="s">
        <v>8049</v>
      </c>
      <c r="D6754" s="194" t="s">
        <v>7833</v>
      </c>
      <c r="E6754" s="200">
        <v>40833</v>
      </c>
    </row>
    <row r="6755" spans="1:5" ht="14.25" hidden="1" customHeight="1">
      <c r="A6755" s="156">
        <v>16784411</v>
      </c>
      <c r="B6755" s="172" t="s">
        <v>1145</v>
      </c>
      <c r="C6755" s="172" t="s">
        <v>6239</v>
      </c>
      <c r="D6755" s="194" t="s">
        <v>7833</v>
      </c>
      <c r="E6755" s="200">
        <v>40833</v>
      </c>
    </row>
    <row r="6756" spans="1:5" ht="14.25" hidden="1" customHeight="1">
      <c r="A6756" s="156">
        <v>17041215</v>
      </c>
      <c r="B6756" s="172" t="s">
        <v>2856</v>
      </c>
      <c r="C6756" s="172" t="s">
        <v>4535</v>
      </c>
      <c r="D6756" s="194" t="s">
        <v>7833</v>
      </c>
      <c r="E6756" s="200">
        <v>40833</v>
      </c>
    </row>
    <row r="6757" spans="1:5" ht="14.25" hidden="1" customHeight="1">
      <c r="A6757" s="156">
        <v>17268866</v>
      </c>
      <c r="B6757" s="172" t="s">
        <v>948</v>
      </c>
      <c r="C6757" s="172" t="s">
        <v>3506</v>
      </c>
      <c r="D6757" s="194" t="s">
        <v>7833</v>
      </c>
      <c r="E6757" s="200">
        <v>40833</v>
      </c>
    </row>
    <row r="6758" spans="1:5" ht="14.25" hidden="1" customHeight="1">
      <c r="A6758" s="156">
        <v>17696485</v>
      </c>
      <c r="B6758" s="172" t="s">
        <v>4282</v>
      </c>
      <c r="C6758" s="172" t="s">
        <v>4283</v>
      </c>
      <c r="D6758" s="194" t="s">
        <v>7833</v>
      </c>
      <c r="E6758" s="200">
        <v>40833</v>
      </c>
    </row>
    <row r="6759" spans="1:5" ht="14.25" hidden="1" customHeight="1">
      <c r="A6759" s="156">
        <v>17858391</v>
      </c>
      <c r="B6759" s="172" t="s">
        <v>4389</v>
      </c>
      <c r="C6759" s="172" t="s">
        <v>6019</v>
      </c>
      <c r="D6759" s="194" t="s">
        <v>7833</v>
      </c>
      <c r="E6759" s="200">
        <v>40833</v>
      </c>
    </row>
    <row r="6760" spans="1:5" ht="14.25" hidden="1" customHeight="1">
      <c r="A6760" s="156">
        <v>17859592</v>
      </c>
      <c r="B6760" s="172" t="s">
        <v>124</v>
      </c>
      <c r="C6760" s="172" t="s">
        <v>125</v>
      </c>
      <c r="D6760" s="194" t="s">
        <v>7833</v>
      </c>
      <c r="E6760" s="200">
        <v>40833</v>
      </c>
    </row>
    <row r="6761" spans="1:5" ht="14.25" hidden="1" customHeight="1">
      <c r="A6761" s="156">
        <v>20159005</v>
      </c>
      <c r="B6761" s="172" t="s">
        <v>3213</v>
      </c>
      <c r="C6761" s="172" t="s">
        <v>427</v>
      </c>
      <c r="D6761" s="194" t="s">
        <v>7833</v>
      </c>
      <c r="E6761" s="200">
        <v>40833</v>
      </c>
    </row>
    <row r="6762" spans="1:5" ht="14.25" hidden="1" customHeight="1">
      <c r="A6762" s="156">
        <v>20218678</v>
      </c>
      <c r="B6762" s="172" t="s">
        <v>6397</v>
      </c>
      <c r="C6762" s="172" t="s">
        <v>928</v>
      </c>
      <c r="D6762" s="194" t="s">
        <v>7833</v>
      </c>
      <c r="E6762" s="200">
        <v>40833</v>
      </c>
    </row>
    <row r="6763" spans="1:5" ht="14.25" hidden="1" customHeight="1">
      <c r="A6763" s="156">
        <v>20218683</v>
      </c>
      <c r="B6763" s="172" t="s">
        <v>2469</v>
      </c>
      <c r="C6763" s="172" t="s">
        <v>365</v>
      </c>
      <c r="D6763" s="194" t="s">
        <v>7833</v>
      </c>
      <c r="E6763" s="200">
        <v>40833</v>
      </c>
    </row>
    <row r="6764" spans="1:5" ht="14.25" hidden="1" customHeight="1">
      <c r="A6764" s="156">
        <v>20311140</v>
      </c>
      <c r="B6764" s="172" t="s">
        <v>1298</v>
      </c>
      <c r="C6764" s="172" t="s">
        <v>1649</v>
      </c>
      <c r="D6764" s="194" t="s">
        <v>7833</v>
      </c>
      <c r="E6764" s="200">
        <v>40833</v>
      </c>
    </row>
    <row r="6765" spans="1:5" ht="14.25" hidden="1" customHeight="1">
      <c r="A6765" s="156">
        <v>20422928</v>
      </c>
      <c r="B6765" s="172" t="s">
        <v>8156</v>
      </c>
      <c r="C6765" s="172" t="s">
        <v>483</v>
      </c>
      <c r="D6765" s="194" t="s">
        <v>7833</v>
      </c>
      <c r="E6765" s="200">
        <v>40833</v>
      </c>
    </row>
    <row r="6766" spans="1:5" ht="14.25" hidden="1" customHeight="1">
      <c r="A6766" s="156">
        <v>20803370</v>
      </c>
      <c r="B6766" s="172" t="s">
        <v>1631</v>
      </c>
      <c r="C6766" s="172" t="s">
        <v>1632</v>
      </c>
      <c r="D6766" s="194" t="s">
        <v>7833</v>
      </c>
      <c r="E6766" s="200">
        <v>40833</v>
      </c>
    </row>
    <row r="6767" spans="1:5" ht="14.25" hidden="1" customHeight="1">
      <c r="A6767" s="156">
        <v>21328472</v>
      </c>
      <c r="B6767" s="172" t="s">
        <v>4653</v>
      </c>
      <c r="C6767" s="172" t="s">
        <v>4654</v>
      </c>
      <c r="D6767" s="194" t="s">
        <v>7833</v>
      </c>
      <c r="E6767" s="200">
        <v>40833</v>
      </c>
    </row>
    <row r="6768" spans="1:5" ht="14.25" hidden="1" customHeight="1">
      <c r="A6768" s="156">
        <v>21329323</v>
      </c>
      <c r="B6768" s="172" t="s">
        <v>8155</v>
      </c>
      <c r="C6768" s="172" t="s">
        <v>2447</v>
      </c>
      <c r="D6768" s="194" t="s">
        <v>7833</v>
      </c>
      <c r="E6768" s="200">
        <v>40833</v>
      </c>
    </row>
    <row r="6769" spans="1:5" ht="14.25" hidden="1" customHeight="1">
      <c r="A6769" s="156">
        <v>22073496</v>
      </c>
      <c r="B6769" s="172" t="s">
        <v>1558</v>
      </c>
      <c r="C6769" s="172" t="s">
        <v>1559</v>
      </c>
      <c r="D6769" s="194" t="s">
        <v>7833</v>
      </c>
      <c r="E6769" s="200">
        <v>40833</v>
      </c>
    </row>
    <row r="6770" spans="1:5" ht="14.25" hidden="1" customHeight="1">
      <c r="A6770" s="156">
        <v>22877690</v>
      </c>
      <c r="B6770" s="172" t="s">
        <v>4566</v>
      </c>
      <c r="C6770" s="172" t="s">
        <v>2065</v>
      </c>
      <c r="D6770" s="194" t="s">
        <v>7833</v>
      </c>
      <c r="E6770" s="200">
        <v>40833</v>
      </c>
    </row>
    <row r="6771" spans="1:5" ht="14.25" hidden="1" customHeight="1">
      <c r="A6771" s="156">
        <v>22877863</v>
      </c>
      <c r="B6771" s="172" t="s">
        <v>2053</v>
      </c>
      <c r="C6771" s="172" t="s">
        <v>97</v>
      </c>
      <c r="D6771" s="194" t="s">
        <v>7833</v>
      </c>
      <c r="E6771" s="200">
        <v>40833</v>
      </c>
    </row>
    <row r="6772" spans="1:5" ht="14.25" hidden="1" customHeight="1">
      <c r="A6772" s="156">
        <v>23519455</v>
      </c>
      <c r="B6772" s="172" t="s">
        <v>4964</v>
      </c>
      <c r="C6772" s="172" t="s">
        <v>4965</v>
      </c>
      <c r="D6772" s="194" t="s">
        <v>7833</v>
      </c>
      <c r="E6772" s="200">
        <v>40833</v>
      </c>
    </row>
    <row r="6773" spans="1:5" ht="14.25" hidden="1" customHeight="1">
      <c r="A6773" s="156">
        <v>24059996</v>
      </c>
      <c r="B6773" s="172" t="s">
        <v>5359</v>
      </c>
      <c r="C6773" s="172" t="s">
        <v>1523</v>
      </c>
      <c r="D6773" s="194" t="s">
        <v>7833</v>
      </c>
      <c r="E6773" s="200">
        <v>40833</v>
      </c>
    </row>
    <row r="6774" spans="1:5" ht="14.25" hidden="1" customHeight="1">
      <c r="A6774" s="156">
        <v>25444253</v>
      </c>
      <c r="B6774" s="172" t="s">
        <v>4847</v>
      </c>
      <c r="C6774" s="172" t="s">
        <v>6127</v>
      </c>
      <c r="D6774" s="194" t="s">
        <v>7833</v>
      </c>
      <c r="E6774" s="200">
        <v>40833</v>
      </c>
    </row>
    <row r="6775" spans="1:5" ht="14.25" hidden="1" customHeight="1">
      <c r="A6775" s="156">
        <v>25542562</v>
      </c>
      <c r="B6775" s="172" t="s">
        <v>3237</v>
      </c>
      <c r="C6775" s="172" t="s">
        <v>7133</v>
      </c>
      <c r="D6775" s="194" t="s">
        <v>7833</v>
      </c>
      <c r="E6775" s="200">
        <v>40833</v>
      </c>
    </row>
    <row r="6776" spans="1:5" ht="14.25" hidden="1" customHeight="1">
      <c r="A6776" s="156">
        <v>25735939</v>
      </c>
      <c r="B6776" s="172" t="s">
        <v>5018</v>
      </c>
      <c r="C6776" s="172" t="s">
        <v>5019</v>
      </c>
      <c r="D6776" s="194" t="s">
        <v>7833</v>
      </c>
      <c r="E6776" s="200">
        <v>40833</v>
      </c>
    </row>
    <row r="6777" spans="1:5" ht="14.25" hidden="1" customHeight="1">
      <c r="A6777" s="156">
        <v>26485355</v>
      </c>
      <c r="B6777" s="172" t="s">
        <v>1950</v>
      </c>
      <c r="C6777" s="172" t="s">
        <v>832</v>
      </c>
      <c r="D6777" s="194" t="s">
        <v>7833</v>
      </c>
      <c r="E6777" s="200">
        <v>40833</v>
      </c>
    </row>
    <row r="6778" spans="1:5" ht="14.25" hidden="1" customHeight="1">
      <c r="A6778" s="156">
        <v>26898681</v>
      </c>
      <c r="B6778" s="172" t="s">
        <v>1538</v>
      </c>
      <c r="C6778" s="172" t="s">
        <v>1539</v>
      </c>
      <c r="D6778" s="194" t="s">
        <v>7833</v>
      </c>
      <c r="E6778" s="200">
        <v>40833</v>
      </c>
    </row>
    <row r="6779" spans="1:5" ht="14.25" hidden="1" customHeight="1">
      <c r="A6779" s="156">
        <v>27016351</v>
      </c>
      <c r="B6779" s="172" t="s">
        <v>2026</v>
      </c>
      <c r="C6779" s="172" t="s">
        <v>3662</v>
      </c>
      <c r="D6779" s="194" t="s">
        <v>7833</v>
      </c>
      <c r="E6779" s="200">
        <v>40833</v>
      </c>
    </row>
    <row r="6780" spans="1:5" ht="14.25" hidden="1" customHeight="1">
      <c r="A6780" s="156">
        <v>27944383</v>
      </c>
      <c r="B6780" s="172" t="s">
        <v>863</v>
      </c>
      <c r="C6780" s="172" t="s">
        <v>3294</v>
      </c>
      <c r="D6780" s="194" t="s">
        <v>7833</v>
      </c>
      <c r="E6780" s="200">
        <v>40833</v>
      </c>
    </row>
    <row r="6781" spans="1:5" ht="14.25" hidden="1" customHeight="1">
      <c r="A6781" s="156">
        <v>27945367</v>
      </c>
      <c r="B6781" s="172" t="s">
        <v>1599</v>
      </c>
      <c r="C6781" s="172" t="s">
        <v>8154</v>
      </c>
      <c r="D6781" s="194" t="s">
        <v>7833</v>
      </c>
      <c r="E6781" s="200">
        <v>40833</v>
      </c>
    </row>
    <row r="6782" spans="1:5" ht="14.25" hidden="1" customHeight="1">
      <c r="A6782" s="156">
        <v>28680958</v>
      </c>
      <c r="B6782" s="172" t="s">
        <v>794</v>
      </c>
      <c r="C6782" s="172" t="s">
        <v>2146</v>
      </c>
      <c r="D6782" s="194" t="s">
        <v>7833</v>
      </c>
      <c r="E6782" s="200">
        <v>40833</v>
      </c>
    </row>
    <row r="6783" spans="1:5" ht="14.25" hidden="1" customHeight="1">
      <c r="A6783" s="156">
        <v>6437113</v>
      </c>
      <c r="B6783" s="172" t="s">
        <v>2026</v>
      </c>
      <c r="C6783" s="172" t="s">
        <v>4310</v>
      </c>
      <c r="D6783" s="194" t="s">
        <v>8157</v>
      </c>
      <c r="E6783" s="200">
        <v>40807</v>
      </c>
    </row>
    <row r="6784" spans="1:5" ht="14.25" hidden="1" customHeight="1">
      <c r="A6784" s="156">
        <v>6558388</v>
      </c>
      <c r="B6784" s="172" t="s">
        <v>6254</v>
      </c>
      <c r="C6784" s="172" t="s">
        <v>6255</v>
      </c>
      <c r="D6784" s="194" t="s">
        <v>8157</v>
      </c>
      <c r="E6784" s="200">
        <v>40807</v>
      </c>
    </row>
    <row r="6785" spans="1:5" ht="14.25" hidden="1" customHeight="1">
      <c r="A6785" s="156">
        <v>8036660</v>
      </c>
      <c r="B6785" s="172" t="s">
        <v>1572</v>
      </c>
      <c r="C6785" s="172" t="s">
        <v>8160</v>
      </c>
      <c r="D6785" s="194" t="s">
        <v>8157</v>
      </c>
      <c r="E6785" s="200">
        <v>40807</v>
      </c>
    </row>
    <row r="6786" spans="1:5" ht="14.25" hidden="1" customHeight="1">
      <c r="A6786" s="156">
        <v>10218763</v>
      </c>
      <c r="B6786" s="172" t="s">
        <v>428</v>
      </c>
      <c r="C6786" s="172" t="s">
        <v>6349</v>
      </c>
      <c r="D6786" s="194" t="s">
        <v>8157</v>
      </c>
      <c r="E6786" s="200">
        <v>40807</v>
      </c>
    </row>
    <row r="6787" spans="1:5" ht="14.25" hidden="1" customHeight="1">
      <c r="A6787" s="156">
        <v>12148667</v>
      </c>
      <c r="B6787" s="172" t="s">
        <v>3504</v>
      </c>
      <c r="C6787" s="172" t="s">
        <v>1185</v>
      </c>
      <c r="D6787" s="194" t="s">
        <v>8157</v>
      </c>
      <c r="E6787" s="200">
        <v>40807</v>
      </c>
    </row>
    <row r="6788" spans="1:5" ht="14.25" hidden="1" customHeight="1">
      <c r="A6788" s="156">
        <v>12387323</v>
      </c>
      <c r="B6788" s="172" t="s">
        <v>2059</v>
      </c>
      <c r="C6788" s="172" t="s">
        <v>3454</v>
      </c>
      <c r="D6788" s="194" t="s">
        <v>8157</v>
      </c>
      <c r="E6788" s="200">
        <v>40807</v>
      </c>
    </row>
    <row r="6789" spans="1:5" ht="14.25" hidden="1" customHeight="1">
      <c r="A6789" s="156">
        <v>14083828</v>
      </c>
      <c r="B6789" s="172" t="s">
        <v>3435</v>
      </c>
      <c r="C6789" s="172" t="s">
        <v>3436</v>
      </c>
      <c r="D6789" s="194" t="s">
        <v>8157</v>
      </c>
      <c r="E6789" s="200">
        <v>40807</v>
      </c>
    </row>
    <row r="6790" spans="1:5" ht="14.25" hidden="1" customHeight="1">
      <c r="A6790" s="156">
        <v>14352423</v>
      </c>
      <c r="B6790" s="172" t="s">
        <v>3497</v>
      </c>
      <c r="C6790" s="172" t="s">
        <v>365</v>
      </c>
      <c r="D6790" s="194" t="s">
        <v>8157</v>
      </c>
      <c r="E6790" s="200">
        <v>40807</v>
      </c>
    </row>
    <row r="6791" spans="1:5" ht="14.25" hidden="1" customHeight="1">
      <c r="A6791" s="156">
        <v>14352896</v>
      </c>
      <c r="B6791" s="172" t="s">
        <v>3428</v>
      </c>
      <c r="C6791" s="172" t="s">
        <v>3429</v>
      </c>
      <c r="D6791" s="194" t="s">
        <v>8157</v>
      </c>
      <c r="E6791" s="200">
        <v>40807</v>
      </c>
    </row>
    <row r="6792" spans="1:5" ht="14.25" hidden="1" customHeight="1">
      <c r="A6792" s="156">
        <v>14358274</v>
      </c>
      <c r="B6792" s="172" t="s">
        <v>335</v>
      </c>
      <c r="C6792" s="172" t="s">
        <v>3472</v>
      </c>
      <c r="D6792" s="194" t="s">
        <v>8157</v>
      </c>
      <c r="E6792" s="200">
        <v>40807</v>
      </c>
    </row>
    <row r="6793" spans="1:5" ht="14.25" hidden="1" customHeight="1">
      <c r="A6793" s="156">
        <v>14660764</v>
      </c>
      <c r="B6793" s="172" t="s">
        <v>2121</v>
      </c>
      <c r="C6793" s="172" t="s">
        <v>3469</v>
      </c>
      <c r="D6793" s="194" t="s">
        <v>8157</v>
      </c>
      <c r="E6793" s="200">
        <v>40807</v>
      </c>
    </row>
    <row r="6794" spans="1:5" ht="14.25" hidden="1" customHeight="1">
      <c r="A6794" s="156">
        <v>14754883</v>
      </c>
      <c r="B6794" s="177" t="s">
        <v>8164</v>
      </c>
      <c r="C6794" s="172" t="s">
        <v>3477</v>
      </c>
      <c r="D6794" s="194" t="s">
        <v>8157</v>
      </c>
      <c r="E6794" s="200">
        <v>40807</v>
      </c>
    </row>
    <row r="6795" spans="1:5" ht="14.25" hidden="1" customHeight="1">
      <c r="A6795" s="156">
        <v>16457626</v>
      </c>
      <c r="B6795" s="172" t="s">
        <v>8163</v>
      </c>
      <c r="C6795" s="172" t="s">
        <v>4354</v>
      </c>
      <c r="D6795" s="194" t="s">
        <v>8157</v>
      </c>
      <c r="E6795" s="200">
        <v>40807</v>
      </c>
    </row>
    <row r="6796" spans="1:5" ht="14.25" hidden="1" customHeight="1">
      <c r="A6796" s="156">
        <v>16617264</v>
      </c>
      <c r="B6796" s="172" t="s">
        <v>3461</v>
      </c>
      <c r="C6796" s="172" t="s">
        <v>3462</v>
      </c>
      <c r="D6796" s="194" t="s">
        <v>8157</v>
      </c>
      <c r="E6796" s="200">
        <v>40807</v>
      </c>
    </row>
    <row r="6797" spans="1:5" ht="14.25" hidden="1" customHeight="1">
      <c r="A6797" s="156">
        <v>16811181</v>
      </c>
      <c r="B6797" s="172" t="s">
        <v>774</v>
      </c>
      <c r="C6797" s="172" t="s">
        <v>3450</v>
      </c>
      <c r="D6797" s="194" t="s">
        <v>8157</v>
      </c>
      <c r="E6797" s="200">
        <v>40807</v>
      </c>
    </row>
    <row r="6798" spans="1:5" ht="14.25" hidden="1" customHeight="1">
      <c r="A6798" s="156">
        <v>16932642</v>
      </c>
      <c r="B6798" s="172" t="s">
        <v>4344</v>
      </c>
      <c r="C6798" s="172" t="s">
        <v>767</v>
      </c>
      <c r="D6798" s="194" t="s">
        <v>8157</v>
      </c>
      <c r="E6798" s="200">
        <v>40807</v>
      </c>
    </row>
    <row r="6799" spans="1:5" ht="14.25" hidden="1" customHeight="1">
      <c r="A6799" s="156">
        <v>17182294</v>
      </c>
      <c r="B6799" s="172" t="s">
        <v>3452</v>
      </c>
      <c r="C6799" s="172" t="s">
        <v>274</v>
      </c>
      <c r="D6799" s="194" t="s">
        <v>8157</v>
      </c>
      <c r="E6799" s="200">
        <v>40807</v>
      </c>
    </row>
    <row r="6800" spans="1:5" ht="14.25" hidden="1" customHeight="1">
      <c r="A6800" s="156">
        <v>17269462</v>
      </c>
      <c r="B6800" s="172" t="s">
        <v>3474</v>
      </c>
      <c r="C6800" s="172" t="s">
        <v>8162</v>
      </c>
      <c r="D6800" s="194" t="s">
        <v>8157</v>
      </c>
      <c r="E6800" s="200">
        <v>40807</v>
      </c>
    </row>
    <row r="6801" spans="1:5" ht="14.25" hidden="1" customHeight="1">
      <c r="A6801" s="156">
        <v>20218675</v>
      </c>
      <c r="B6801" s="172" t="s">
        <v>734</v>
      </c>
      <c r="C6801" s="172" t="s">
        <v>8165</v>
      </c>
      <c r="D6801" s="194" t="s">
        <v>8157</v>
      </c>
      <c r="E6801" s="200">
        <v>40807</v>
      </c>
    </row>
    <row r="6802" spans="1:5" ht="14.25" hidden="1" customHeight="1">
      <c r="A6802" s="156">
        <v>20219773</v>
      </c>
      <c r="B6802" s="172" t="s">
        <v>8166</v>
      </c>
      <c r="C6802" s="172" t="s">
        <v>3492</v>
      </c>
      <c r="D6802" s="194" t="s">
        <v>8157</v>
      </c>
      <c r="E6802" s="200">
        <v>40807</v>
      </c>
    </row>
    <row r="6803" spans="1:5" ht="14.25" hidden="1" customHeight="1">
      <c r="A6803" s="156">
        <v>21328426</v>
      </c>
      <c r="B6803" s="172" t="s">
        <v>3444</v>
      </c>
      <c r="C6803" s="172" t="s">
        <v>571</v>
      </c>
      <c r="D6803" s="194" t="s">
        <v>8157</v>
      </c>
      <c r="E6803" s="200">
        <v>40807</v>
      </c>
    </row>
    <row r="6804" spans="1:5" ht="14.25" hidden="1" customHeight="1">
      <c r="A6804" s="156">
        <v>21328579</v>
      </c>
      <c r="B6804" s="172" t="s">
        <v>3489</v>
      </c>
      <c r="C6804" s="172" t="s">
        <v>3490</v>
      </c>
      <c r="D6804" s="194" t="s">
        <v>8157</v>
      </c>
      <c r="E6804" s="200">
        <v>40807</v>
      </c>
    </row>
    <row r="6805" spans="1:5" ht="14.25" hidden="1" customHeight="1">
      <c r="A6805" s="156">
        <v>23116246</v>
      </c>
      <c r="B6805" s="172" t="s">
        <v>3357</v>
      </c>
      <c r="C6805" s="172" t="s">
        <v>8161</v>
      </c>
      <c r="D6805" s="194" t="s">
        <v>8157</v>
      </c>
      <c r="E6805" s="200">
        <v>40807</v>
      </c>
    </row>
    <row r="6806" spans="1:5" ht="14.25" hidden="1" customHeight="1">
      <c r="A6806" s="156">
        <v>24200474</v>
      </c>
      <c r="B6806" s="172" t="s">
        <v>218</v>
      </c>
      <c r="C6806" s="177" t="s">
        <v>3152</v>
      </c>
      <c r="D6806" s="194" t="s">
        <v>8157</v>
      </c>
      <c r="E6806" s="200">
        <v>40807</v>
      </c>
    </row>
    <row r="6807" spans="1:5" ht="14.25" hidden="1" customHeight="1">
      <c r="A6807" s="156">
        <v>25542406</v>
      </c>
      <c r="B6807" s="172" t="s">
        <v>8158</v>
      </c>
      <c r="C6807" s="172" t="s">
        <v>8159</v>
      </c>
      <c r="D6807" s="194" t="s">
        <v>8157</v>
      </c>
      <c r="E6807" s="200">
        <v>40807</v>
      </c>
    </row>
    <row r="6808" spans="1:5" ht="14.25" hidden="1" customHeight="1">
      <c r="A6808" s="156">
        <v>27364370</v>
      </c>
      <c r="B6808" s="172" t="s">
        <v>3502</v>
      </c>
      <c r="C6808" s="172" t="s">
        <v>3503</v>
      </c>
      <c r="D6808" s="194" t="s">
        <v>8157</v>
      </c>
      <c r="E6808" s="200">
        <v>40807</v>
      </c>
    </row>
    <row r="6809" spans="1:5" ht="14.25" hidden="1" customHeight="1">
      <c r="A6809" s="156">
        <v>28039503</v>
      </c>
      <c r="B6809" s="172" t="s">
        <v>983</v>
      </c>
      <c r="C6809" s="172" t="s">
        <v>4273</v>
      </c>
      <c r="D6809" s="194" t="s">
        <v>8157</v>
      </c>
      <c r="E6809" s="200">
        <v>40807</v>
      </c>
    </row>
    <row r="6810" spans="1:5" ht="14.25" hidden="1" customHeight="1">
      <c r="A6810" s="156">
        <v>29666606</v>
      </c>
      <c r="B6810" s="172" t="s">
        <v>3485</v>
      </c>
      <c r="C6810" s="172" t="s">
        <v>106</v>
      </c>
      <c r="D6810" s="194" t="s">
        <v>8157</v>
      </c>
      <c r="E6810" s="200">
        <v>40807</v>
      </c>
    </row>
    <row r="6811" spans="1:5" ht="14.25" hidden="1" customHeight="1">
      <c r="A6811" s="156">
        <v>29666713</v>
      </c>
      <c r="B6811" s="172" t="s">
        <v>3487</v>
      </c>
      <c r="C6811" s="172" t="s">
        <v>27</v>
      </c>
      <c r="D6811" s="194" t="s">
        <v>8157</v>
      </c>
      <c r="E6811" s="200">
        <v>40807</v>
      </c>
    </row>
    <row r="6812" spans="1:5" ht="14.25" hidden="1" customHeight="1">
      <c r="A6812" s="156">
        <v>32077522</v>
      </c>
      <c r="B6812" s="172" t="s">
        <v>3456</v>
      </c>
      <c r="C6812" s="172" t="s">
        <v>3457</v>
      </c>
      <c r="D6812" s="194" t="s">
        <v>8157</v>
      </c>
      <c r="E6812" s="200">
        <v>40807</v>
      </c>
    </row>
    <row r="6813" spans="1:5" ht="14.25" hidden="1" customHeight="1">
      <c r="A6813" s="156">
        <v>6054376</v>
      </c>
      <c r="B6813" s="172" t="s">
        <v>4580</v>
      </c>
      <c r="C6813" s="172" t="s">
        <v>116</v>
      </c>
      <c r="D6813" s="195" t="s">
        <v>8167</v>
      </c>
      <c r="E6813" s="200">
        <v>40798</v>
      </c>
    </row>
    <row r="6814" spans="1:5" ht="14.25" hidden="1" customHeight="1">
      <c r="A6814" s="156">
        <v>10349270</v>
      </c>
      <c r="B6814" s="172" t="s">
        <v>5536</v>
      </c>
      <c r="C6814" s="172" t="s">
        <v>5537</v>
      </c>
      <c r="D6814" s="195" t="s">
        <v>8167</v>
      </c>
      <c r="E6814" s="200">
        <v>40798</v>
      </c>
    </row>
    <row r="6815" spans="1:5" ht="14.25" hidden="1" customHeight="1">
      <c r="A6815" s="156">
        <v>12148606</v>
      </c>
      <c r="B6815" s="172" t="s">
        <v>5576</v>
      </c>
      <c r="C6815" s="172" t="s">
        <v>5577</v>
      </c>
      <c r="D6815" s="195" t="s">
        <v>8167</v>
      </c>
      <c r="E6815" s="200">
        <v>40798</v>
      </c>
    </row>
    <row r="6816" spans="1:5" ht="14.25" hidden="1" customHeight="1">
      <c r="A6816" s="156">
        <v>12308110</v>
      </c>
      <c r="B6816" s="172" t="s">
        <v>5533</v>
      </c>
      <c r="C6816" s="172" t="s">
        <v>8169</v>
      </c>
      <c r="D6816" s="195" t="s">
        <v>8167</v>
      </c>
      <c r="E6816" s="200">
        <v>40798</v>
      </c>
    </row>
    <row r="6817" spans="1:5" ht="14.25" hidden="1" customHeight="1">
      <c r="A6817" s="156">
        <v>13292819</v>
      </c>
      <c r="B6817" s="172" t="s">
        <v>327</v>
      </c>
      <c r="C6817" s="172" t="s">
        <v>5650</v>
      </c>
      <c r="D6817" s="195" t="s">
        <v>8167</v>
      </c>
      <c r="E6817" s="200">
        <v>40798</v>
      </c>
    </row>
    <row r="6818" spans="1:5" ht="14.25" hidden="1" customHeight="1">
      <c r="A6818" s="156">
        <v>13474822</v>
      </c>
      <c r="B6818" s="172" t="s">
        <v>3133</v>
      </c>
      <c r="C6818" s="172" t="s">
        <v>1965</v>
      </c>
      <c r="D6818" s="195" t="s">
        <v>8167</v>
      </c>
      <c r="E6818" s="200">
        <v>40798</v>
      </c>
    </row>
    <row r="6819" spans="1:5" ht="14.25" hidden="1" customHeight="1">
      <c r="A6819" s="156">
        <v>14661962</v>
      </c>
      <c r="B6819" s="172" t="s">
        <v>190</v>
      </c>
      <c r="C6819" s="172" t="s">
        <v>5550</v>
      </c>
      <c r="D6819" s="195" t="s">
        <v>8167</v>
      </c>
      <c r="E6819" s="200">
        <v>40798</v>
      </c>
    </row>
    <row r="6820" spans="1:5" ht="14.25" hidden="1" customHeight="1">
      <c r="A6820" s="156">
        <v>17584975</v>
      </c>
      <c r="B6820" s="172" t="s">
        <v>5726</v>
      </c>
      <c r="C6820" s="172" t="s">
        <v>74</v>
      </c>
      <c r="D6820" s="195" t="s">
        <v>8167</v>
      </c>
      <c r="E6820" s="200">
        <v>40798</v>
      </c>
    </row>
    <row r="6821" spans="1:5" ht="14.25" hidden="1" customHeight="1">
      <c r="A6821" s="156">
        <v>18723274</v>
      </c>
      <c r="B6821" s="172" t="s">
        <v>5526</v>
      </c>
      <c r="C6821" s="172" t="s">
        <v>5527</v>
      </c>
      <c r="D6821" s="195" t="s">
        <v>8167</v>
      </c>
      <c r="E6821" s="200">
        <v>40798</v>
      </c>
    </row>
    <row r="6822" spans="1:5" ht="14.25" hidden="1" customHeight="1">
      <c r="A6822" s="156">
        <v>20759991</v>
      </c>
      <c r="B6822" s="172" t="s">
        <v>1613</v>
      </c>
      <c r="C6822" s="172" t="s">
        <v>5708</v>
      </c>
      <c r="D6822" s="195" t="s">
        <v>8167</v>
      </c>
      <c r="E6822" s="200">
        <v>40798</v>
      </c>
    </row>
    <row r="6823" spans="1:5" ht="14.25" hidden="1" customHeight="1">
      <c r="A6823" s="156">
        <v>21336721</v>
      </c>
      <c r="B6823" s="177" t="s">
        <v>1793</v>
      </c>
      <c r="C6823" s="177" t="s">
        <v>708</v>
      </c>
      <c r="D6823" s="195" t="s">
        <v>8167</v>
      </c>
      <c r="E6823" s="200">
        <v>40798</v>
      </c>
    </row>
    <row r="6824" spans="1:5" ht="14.25" hidden="1" customHeight="1">
      <c r="A6824" s="156">
        <v>23931889</v>
      </c>
      <c r="B6824" s="172" t="s">
        <v>5651</v>
      </c>
      <c r="C6824" s="172" t="s">
        <v>5652</v>
      </c>
      <c r="D6824" s="195" t="s">
        <v>8167</v>
      </c>
      <c r="E6824" s="200">
        <v>40798</v>
      </c>
    </row>
    <row r="6825" spans="1:5" ht="14.25" hidden="1" customHeight="1">
      <c r="A6825" s="156">
        <v>23984466</v>
      </c>
      <c r="B6825" s="172" t="s">
        <v>5611</v>
      </c>
      <c r="C6825" s="172" t="s">
        <v>215</v>
      </c>
      <c r="D6825" s="195" t="s">
        <v>8167</v>
      </c>
      <c r="E6825" s="200">
        <v>40798</v>
      </c>
    </row>
    <row r="6826" spans="1:5" ht="14.25" hidden="1" customHeight="1">
      <c r="A6826" s="156">
        <v>25213575</v>
      </c>
      <c r="B6826" s="177" t="s">
        <v>64</v>
      </c>
      <c r="C6826" s="177" t="s">
        <v>1103</v>
      </c>
      <c r="D6826" s="195" t="s">
        <v>8167</v>
      </c>
      <c r="E6826" s="200">
        <v>40798</v>
      </c>
    </row>
    <row r="6827" spans="1:5" ht="14.25" hidden="1" customHeight="1">
      <c r="A6827" s="156">
        <v>25213575</v>
      </c>
      <c r="B6827" s="177" t="s">
        <v>64</v>
      </c>
      <c r="C6827" s="177" t="s">
        <v>1103</v>
      </c>
      <c r="D6827" s="195" t="s">
        <v>8167</v>
      </c>
      <c r="E6827" s="200">
        <v>40798</v>
      </c>
    </row>
    <row r="6828" spans="1:5" ht="14.25" hidden="1" customHeight="1">
      <c r="A6828" s="156">
        <v>26013613</v>
      </c>
      <c r="B6828" s="172" t="s">
        <v>5536</v>
      </c>
      <c r="C6828" s="172" t="s">
        <v>5539</v>
      </c>
      <c r="D6828" s="195" t="s">
        <v>8167</v>
      </c>
      <c r="E6828" s="200">
        <v>40798</v>
      </c>
    </row>
    <row r="6829" spans="1:5" ht="14.25" hidden="1" customHeight="1">
      <c r="A6829" s="156">
        <v>26408527</v>
      </c>
      <c r="B6829" s="172" t="s">
        <v>734</v>
      </c>
      <c r="C6829" s="172" t="s">
        <v>5684</v>
      </c>
      <c r="D6829" s="195" t="s">
        <v>8167</v>
      </c>
      <c r="E6829" s="200">
        <v>40798</v>
      </c>
    </row>
    <row r="6830" spans="1:5" ht="14.25" hidden="1" customHeight="1">
      <c r="A6830" s="156">
        <v>26805803</v>
      </c>
      <c r="B6830" s="172" t="s">
        <v>326</v>
      </c>
      <c r="C6830" s="172" t="s">
        <v>1208</v>
      </c>
      <c r="D6830" s="195" t="s">
        <v>8167</v>
      </c>
      <c r="E6830" s="200">
        <v>40798</v>
      </c>
    </row>
    <row r="6831" spans="1:5" ht="14.25" hidden="1" customHeight="1">
      <c r="A6831" s="156">
        <v>27689687</v>
      </c>
      <c r="B6831" s="177" t="s">
        <v>8168</v>
      </c>
      <c r="C6831" s="177" t="s">
        <v>7679</v>
      </c>
      <c r="D6831" s="195" t="s">
        <v>8167</v>
      </c>
      <c r="E6831" s="200">
        <v>40798</v>
      </c>
    </row>
    <row r="6832" spans="1:5" ht="14.25" hidden="1" customHeight="1">
      <c r="A6832" s="156">
        <v>30497078</v>
      </c>
      <c r="B6832" s="172" t="s">
        <v>4991</v>
      </c>
      <c r="C6832" s="172" t="s">
        <v>2430</v>
      </c>
      <c r="D6832" s="195" t="s">
        <v>8167</v>
      </c>
      <c r="E6832" s="200">
        <v>40798</v>
      </c>
    </row>
    <row r="6833" spans="1:5" ht="14.25" hidden="1" customHeight="1">
      <c r="A6833" s="156">
        <v>34766217</v>
      </c>
      <c r="B6833" s="172" t="s">
        <v>315</v>
      </c>
      <c r="C6833" s="172" t="s">
        <v>5620</v>
      </c>
      <c r="D6833" s="195" t="s">
        <v>8167</v>
      </c>
      <c r="E6833" s="200">
        <v>40798</v>
      </c>
    </row>
    <row r="6834" spans="1:5" ht="14.25" hidden="1" customHeight="1">
      <c r="A6834" s="156">
        <v>4998711</v>
      </c>
      <c r="B6834" s="172" t="s">
        <v>6137</v>
      </c>
      <c r="C6834" s="172" t="s">
        <v>6138</v>
      </c>
      <c r="D6834" s="194" t="s">
        <v>8170</v>
      </c>
      <c r="E6834" s="200">
        <v>40793</v>
      </c>
    </row>
    <row r="6835" spans="1:5" ht="14.25" hidden="1" customHeight="1">
      <c r="A6835" s="156">
        <v>5727424</v>
      </c>
      <c r="B6835" s="172" t="s">
        <v>3557</v>
      </c>
      <c r="C6835" s="172" t="s">
        <v>3558</v>
      </c>
      <c r="D6835" s="194" t="s">
        <v>8170</v>
      </c>
      <c r="E6835" s="200">
        <v>40793</v>
      </c>
    </row>
    <row r="6836" spans="1:5" ht="14.25" hidden="1" customHeight="1">
      <c r="A6836" s="156">
        <v>7884825</v>
      </c>
      <c r="B6836" s="172" t="s">
        <v>4615</v>
      </c>
      <c r="C6836" s="172" t="s">
        <v>4616</v>
      </c>
      <c r="D6836" s="194" t="s">
        <v>8170</v>
      </c>
      <c r="E6836" s="200">
        <v>40793</v>
      </c>
    </row>
    <row r="6837" spans="1:5" ht="14.25" hidden="1" customHeight="1">
      <c r="A6837" s="156">
        <v>13278971</v>
      </c>
      <c r="B6837" s="172" t="s">
        <v>8174</v>
      </c>
      <c r="C6837" s="172" t="s">
        <v>1626</v>
      </c>
      <c r="D6837" s="194" t="s">
        <v>8170</v>
      </c>
      <c r="E6837" s="200">
        <v>40793</v>
      </c>
    </row>
    <row r="6838" spans="1:5" ht="14.25" hidden="1" customHeight="1">
      <c r="A6838" s="156">
        <v>13278977</v>
      </c>
      <c r="B6838" s="172" t="s">
        <v>6038</v>
      </c>
      <c r="C6838" s="172" t="s">
        <v>6039</v>
      </c>
      <c r="D6838" s="194" t="s">
        <v>8170</v>
      </c>
      <c r="E6838" s="200">
        <v>40793</v>
      </c>
    </row>
    <row r="6839" spans="1:5" ht="14.25" hidden="1" customHeight="1">
      <c r="A6839" s="156">
        <v>13985936</v>
      </c>
      <c r="B6839" s="172" t="s">
        <v>197</v>
      </c>
      <c r="C6839" s="172" t="s">
        <v>6088</v>
      </c>
      <c r="D6839" s="194" t="s">
        <v>8170</v>
      </c>
      <c r="E6839" s="200">
        <v>40793</v>
      </c>
    </row>
    <row r="6840" spans="1:5" ht="14.25" hidden="1" customHeight="1">
      <c r="A6840" s="156">
        <v>14225169</v>
      </c>
      <c r="B6840" s="172" t="s">
        <v>1833</v>
      </c>
      <c r="C6840" s="172" t="s">
        <v>2102</v>
      </c>
      <c r="D6840" s="194" t="s">
        <v>8170</v>
      </c>
      <c r="E6840" s="200">
        <v>40793</v>
      </c>
    </row>
    <row r="6841" spans="1:5" ht="14.25" hidden="1" customHeight="1">
      <c r="A6841" s="156">
        <v>14298098</v>
      </c>
      <c r="B6841" s="172" t="s">
        <v>4779</v>
      </c>
      <c r="C6841" s="172" t="s">
        <v>5401</v>
      </c>
      <c r="D6841" s="194" t="s">
        <v>8170</v>
      </c>
      <c r="E6841" s="200">
        <v>40793</v>
      </c>
    </row>
    <row r="6842" spans="1:5" ht="14.25" hidden="1" customHeight="1">
      <c r="A6842" s="156">
        <v>14359524</v>
      </c>
      <c r="B6842" s="172" t="s">
        <v>1750</v>
      </c>
      <c r="C6842" s="172" t="s">
        <v>1751</v>
      </c>
      <c r="D6842" s="194" t="s">
        <v>8170</v>
      </c>
      <c r="E6842" s="200">
        <v>40793</v>
      </c>
    </row>
    <row r="6843" spans="1:5" ht="14.25" hidden="1" customHeight="1">
      <c r="A6843" s="156">
        <v>14387575</v>
      </c>
      <c r="B6843" s="172" t="s">
        <v>1596</v>
      </c>
      <c r="C6843" s="172" t="s">
        <v>1597</v>
      </c>
      <c r="D6843" s="194" t="s">
        <v>8170</v>
      </c>
      <c r="E6843" s="200">
        <v>40793</v>
      </c>
    </row>
    <row r="6844" spans="1:5" ht="14.25" hidden="1" customHeight="1">
      <c r="A6844" s="156">
        <v>17613733</v>
      </c>
      <c r="B6844" s="172" t="s">
        <v>883</v>
      </c>
      <c r="C6844" s="172" t="s">
        <v>1652</v>
      </c>
      <c r="D6844" s="194" t="s">
        <v>8170</v>
      </c>
      <c r="E6844" s="200">
        <v>40793</v>
      </c>
    </row>
    <row r="6845" spans="1:5" ht="14.25" hidden="1" customHeight="1">
      <c r="A6845" s="156">
        <v>20159202</v>
      </c>
      <c r="B6845" s="172" t="s">
        <v>3129</v>
      </c>
      <c r="C6845" s="172" t="s">
        <v>8171</v>
      </c>
      <c r="D6845" s="194" t="s">
        <v>8170</v>
      </c>
      <c r="E6845" s="200">
        <v>40793</v>
      </c>
    </row>
    <row r="6846" spans="1:5" ht="14.25" hidden="1" customHeight="1">
      <c r="A6846" s="156">
        <v>20219951</v>
      </c>
      <c r="B6846" s="172" t="s">
        <v>3693</v>
      </c>
      <c r="C6846" s="172" t="s">
        <v>3694</v>
      </c>
      <c r="D6846" s="194" t="s">
        <v>8170</v>
      </c>
      <c r="E6846" s="200">
        <v>40793</v>
      </c>
    </row>
    <row r="6847" spans="1:5" ht="14.25" hidden="1" customHeight="1">
      <c r="A6847" s="156">
        <v>20284849</v>
      </c>
      <c r="B6847" s="172" t="s">
        <v>3759</v>
      </c>
      <c r="C6847" s="172" t="s">
        <v>1061</v>
      </c>
      <c r="D6847" s="194" t="s">
        <v>8170</v>
      </c>
      <c r="E6847" s="200">
        <v>40793</v>
      </c>
    </row>
    <row r="6848" spans="1:5" ht="14.25" hidden="1" customHeight="1">
      <c r="A6848" s="156">
        <v>21329143</v>
      </c>
      <c r="B6848" s="172" t="s">
        <v>511</v>
      </c>
      <c r="C6848" s="172" t="s">
        <v>2830</v>
      </c>
      <c r="D6848" s="194" t="s">
        <v>8170</v>
      </c>
      <c r="E6848" s="200">
        <v>40793</v>
      </c>
    </row>
    <row r="6849" spans="1:5" ht="14.25" hidden="1" customHeight="1">
      <c r="A6849" s="156">
        <v>21329323</v>
      </c>
      <c r="B6849" s="172" t="s">
        <v>4646</v>
      </c>
      <c r="C6849" s="172" t="s">
        <v>2447</v>
      </c>
      <c r="D6849" s="194" t="s">
        <v>8170</v>
      </c>
      <c r="E6849" s="200">
        <v>40793</v>
      </c>
    </row>
    <row r="6850" spans="1:5" ht="14.25" hidden="1" customHeight="1">
      <c r="A6850" s="156">
        <v>22073198</v>
      </c>
      <c r="B6850" s="172" t="s">
        <v>6008</v>
      </c>
      <c r="C6850" s="172" t="s">
        <v>131</v>
      </c>
      <c r="D6850" s="194" t="s">
        <v>8170</v>
      </c>
      <c r="E6850" s="200">
        <v>40793</v>
      </c>
    </row>
    <row r="6851" spans="1:5" ht="14.25" hidden="1" customHeight="1">
      <c r="A6851" s="156">
        <v>22799483</v>
      </c>
      <c r="B6851" s="172" t="s">
        <v>5902</v>
      </c>
      <c r="C6851" s="172" t="s">
        <v>8173</v>
      </c>
      <c r="D6851" s="194" t="s">
        <v>8170</v>
      </c>
      <c r="E6851" s="200">
        <v>40793</v>
      </c>
    </row>
    <row r="6852" spans="1:5" ht="14.25" hidden="1" customHeight="1">
      <c r="A6852" s="156">
        <v>22877820</v>
      </c>
      <c r="B6852" s="172" t="s">
        <v>6137</v>
      </c>
      <c r="C6852" s="172" t="s">
        <v>283</v>
      </c>
      <c r="D6852" s="194" t="s">
        <v>8170</v>
      </c>
      <c r="E6852" s="200">
        <v>40793</v>
      </c>
    </row>
    <row r="6853" spans="1:5" ht="14.25" hidden="1" customHeight="1">
      <c r="A6853" s="156">
        <v>24875863</v>
      </c>
      <c r="B6853" s="172" t="s">
        <v>1817</v>
      </c>
      <c r="C6853" s="172" t="s">
        <v>1818</v>
      </c>
      <c r="D6853" s="194" t="s">
        <v>8170</v>
      </c>
      <c r="E6853" s="200">
        <v>40793</v>
      </c>
    </row>
    <row r="6854" spans="1:5" ht="14.25" hidden="1" customHeight="1">
      <c r="A6854" s="156">
        <v>25380568</v>
      </c>
      <c r="B6854" s="172" t="s">
        <v>8115</v>
      </c>
      <c r="C6854" s="172" t="s">
        <v>1739</v>
      </c>
      <c r="D6854" s="194" t="s">
        <v>8170</v>
      </c>
      <c r="E6854" s="200">
        <v>40793</v>
      </c>
    </row>
    <row r="6855" spans="1:5" ht="14.25" hidden="1" customHeight="1">
      <c r="A6855" s="156">
        <v>28884535</v>
      </c>
      <c r="B6855" s="172" t="s">
        <v>8172</v>
      </c>
      <c r="C6855" s="172" t="s">
        <v>1672</v>
      </c>
      <c r="D6855" s="194" t="s">
        <v>8170</v>
      </c>
      <c r="E6855" s="200">
        <v>40793</v>
      </c>
    </row>
    <row r="6856" spans="1:5" ht="14.25" hidden="1" customHeight="1">
      <c r="A6856" s="156">
        <v>31001288</v>
      </c>
      <c r="B6856" s="172" t="s">
        <v>4706</v>
      </c>
      <c r="C6856" s="172" t="s">
        <v>4707</v>
      </c>
      <c r="D6856" s="194" t="s">
        <v>8170</v>
      </c>
      <c r="E6856" s="200">
        <v>40793</v>
      </c>
    </row>
    <row r="6857" spans="1:5" ht="14.25" hidden="1" customHeight="1">
      <c r="A6857" s="156"/>
      <c r="B6857" s="172" t="s">
        <v>4779</v>
      </c>
      <c r="C6857" s="172" t="s">
        <v>671</v>
      </c>
      <c r="D6857" s="194" t="s">
        <v>8170</v>
      </c>
      <c r="E6857" s="200">
        <v>40793</v>
      </c>
    </row>
    <row r="6858" spans="1:5" ht="14.25" hidden="1" customHeight="1">
      <c r="A6858" s="156">
        <v>2398210</v>
      </c>
      <c r="B6858" s="172" t="s">
        <v>8149</v>
      </c>
      <c r="C6858" s="172" t="s">
        <v>8160</v>
      </c>
      <c r="D6858" s="194" t="s">
        <v>8176</v>
      </c>
      <c r="E6858" s="200">
        <v>40792</v>
      </c>
    </row>
    <row r="6859" spans="1:5" ht="14.25" hidden="1" customHeight="1">
      <c r="A6859" s="156">
        <v>5260641</v>
      </c>
      <c r="B6859" s="172" t="s">
        <v>428</v>
      </c>
      <c r="C6859" s="172" t="s">
        <v>8190</v>
      </c>
      <c r="D6859" s="194" t="s">
        <v>8176</v>
      </c>
      <c r="E6859" s="200">
        <v>40792</v>
      </c>
    </row>
    <row r="6860" spans="1:5" ht="14.25" hidden="1" customHeight="1">
      <c r="A6860" s="156">
        <v>5398210</v>
      </c>
      <c r="B6860" s="172" t="s">
        <v>1160</v>
      </c>
      <c r="C6860" s="172" t="s">
        <v>1161</v>
      </c>
      <c r="D6860" s="194" t="s">
        <v>8176</v>
      </c>
      <c r="E6860" s="200">
        <v>40792</v>
      </c>
    </row>
    <row r="6861" spans="1:5" ht="14.25" hidden="1" customHeight="1">
      <c r="A6861" s="156">
        <v>8084502</v>
      </c>
      <c r="B6861" s="172" t="s">
        <v>4384</v>
      </c>
      <c r="C6861" s="172" t="s">
        <v>4385</v>
      </c>
      <c r="D6861" s="194" t="s">
        <v>8176</v>
      </c>
      <c r="E6861" s="200">
        <v>40792</v>
      </c>
    </row>
    <row r="6862" spans="1:5" ht="14.25" hidden="1" customHeight="1">
      <c r="A6862" s="156">
        <v>10645222</v>
      </c>
      <c r="B6862" s="172" t="s">
        <v>4830</v>
      </c>
      <c r="C6862" s="172" t="s">
        <v>4831</v>
      </c>
      <c r="D6862" s="194" t="s">
        <v>8176</v>
      </c>
      <c r="E6862" s="200">
        <v>40792</v>
      </c>
    </row>
    <row r="6863" spans="1:5" ht="14.25" hidden="1" customHeight="1">
      <c r="A6863" s="156">
        <v>11915728</v>
      </c>
      <c r="B6863" s="172" t="s">
        <v>3975</v>
      </c>
      <c r="C6863" s="172" t="s">
        <v>8191</v>
      </c>
      <c r="D6863" s="194" t="s">
        <v>8176</v>
      </c>
      <c r="E6863" s="200">
        <v>40792</v>
      </c>
    </row>
    <row r="6864" spans="1:5" ht="14.25" hidden="1" customHeight="1">
      <c r="A6864" s="156">
        <v>12318129</v>
      </c>
      <c r="B6864" s="172" t="s">
        <v>1512</v>
      </c>
      <c r="C6864" s="172" t="s">
        <v>1513</v>
      </c>
      <c r="D6864" s="194" t="s">
        <v>8176</v>
      </c>
      <c r="E6864" s="200">
        <v>40792</v>
      </c>
    </row>
    <row r="6865" spans="1:5" ht="14.25" hidden="1" customHeight="1">
      <c r="A6865" s="156">
        <v>12413073</v>
      </c>
      <c r="B6865" s="172" t="s">
        <v>1999</v>
      </c>
      <c r="C6865" s="172" t="s">
        <v>2000</v>
      </c>
      <c r="D6865" s="194" t="s">
        <v>8176</v>
      </c>
      <c r="E6865" s="200">
        <v>40792</v>
      </c>
    </row>
    <row r="6866" spans="1:5" ht="14.25" hidden="1" customHeight="1">
      <c r="A6866" s="156">
        <v>12414512</v>
      </c>
      <c r="B6866" s="172" t="s">
        <v>499</v>
      </c>
      <c r="C6866" s="172" t="s">
        <v>2986</v>
      </c>
      <c r="D6866" s="194" t="s">
        <v>8176</v>
      </c>
      <c r="E6866" s="200">
        <v>40792</v>
      </c>
    </row>
    <row r="6867" spans="1:5" ht="14.25" hidden="1" customHeight="1">
      <c r="A6867" s="156">
        <v>13115427</v>
      </c>
      <c r="B6867" s="172" t="s">
        <v>927</v>
      </c>
      <c r="C6867" s="172" t="s">
        <v>8178</v>
      </c>
      <c r="D6867" s="194" t="s">
        <v>8176</v>
      </c>
      <c r="E6867" s="200">
        <v>40792</v>
      </c>
    </row>
    <row r="6868" spans="1:5" ht="14.25" hidden="1" customHeight="1">
      <c r="A6868" s="156">
        <v>13279176</v>
      </c>
      <c r="B6868" s="177" t="s">
        <v>3732</v>
      </c>
      <c r="C6868" s="172" t="s">
        <v>2196</v>
      </c>
      <c r="D6868" s="194" t="s">
        <v>8176</v>
      </c>
      <c r="E6868" s="200">
        <v>40792</v>
      </c>
    </row>
    <row r="6869" spans="1:5" ht="14.25" hidden="1" customHeight="1">
      <c r="A6869" s="156">
        <v>14073571</v>
      </c>
      <c r="B6869" s="172" t="s">
        <v>4646</v>
      </c>
      <c r="C6869" s="172" t="s">
        <v>2447</v>
      </c>
      <c r="D6869" s="194" t="s">
        <v>8176</v>
      </c>
      <c r="E6869" s="200">
        <v>40792</v>
      </c>
    </row>
    <row r="6870" spans="1:5" ht="14.25" hidden="1" customHeight="1">
      <c r="A6870" s="156">
        <v>14234802</v>
      </c>
      <c r="B6870" s="172" t="s">
        <v>2990</v>
      </c>
      <c r="C6870" s="172" t="s">
        <v>7084</v>
      </c>
      <c r="D6870" s="194" t="s">
        <v>8176</v>
      </c>
      <c r="E6870" s="200">
        <v>40792</v>
      </c>
    </row>
    <row r="6871" spans="1:5" ht="14.25" hidden="1" customHeight="1">
      <c r="A6871" s="156">
        <v>14500277</v>
      </c>
      <c r="B6871" s="172" t="s">
        <v>1022</v>
      </c>
      <c r="C6871" s="172" t="s">
        <v>1023</v>
      </c>
      <c r="D6871" s="194" t="s">
        <v>8176</v>
      </c>
      <c r="E6871" s="200">
        <v>40792</v>
      </c>
    </row>
    <row r="6872" spans="1:5" ht="14.25" hidden="1" customHeight="1">
      <c r="A6872" s="156">
        <v>16039421</v>
      </c>
      <c r="B6872" s="172" t="s">
        <v>8180</v>
      </c>
      <c r="C6872" s="172" t="s">
        <v>3254</v>
      </c>
      <c r="D6872" s="194" t="s">
        <v>8176</v>
      </c>
      <c r="E6872" s="200">
        <v>40792</v>
      </c>
    </row>
    <row r="6873" spans="1:5" ht="14.25" hidden="1" customHeight="1">
      <c r="A6873" s="156">
        <v>16314577</v>
      </c>
      <c r="B6873" s="172" t="s">
        <v>1190</v>
      </c>
      <c r="C6873" s="172" t="s">
        <v>922</v>
      </c>
      <c r="D6873" s="194" t="s">
        <v>8176</v>
      </c>
      <c r="E6873" s="200">
        <v>40792</v>
      </c>
    </row>
    <row r="6874" spans="1:5" ht="14.25" hidden="1" customHeight="1">
      <c r="A6874" s="156">
        <v>16685790</v>
      </c>
      <c r="B6874" s="172" t="s">
        <v>5855</v>
      </c>
      <c r="C6874" s="172" t="s">
        <v>5434</v>
      </c>
      <c r="D6874" s="194" t="s">
        <v>8176</v>
      </c>
      <c r="E6874" s="200">
        <v>40792</v>
      </c>
    </row>
    <row r="6875" spans="1:5" ht="14.25" hidden="1" customHeight="1">
      <c r="A6875" s="156">
        <v>16811869</v>
      </c>
      <c r="B6875" s="172" t="s">
        <v>236</v>
      </c>
      <c r="C6875" s="172" t="s">
        <v>237</v>
      </c>
      <c r="D6875" s="194" t="s">
        <v>8176</v>
      </c>
      <c r="E6875" s="200">
        <v>40792</v>
      </c>
    </row>
    <row r="6876" spans="1:5" ht="14.25" hidden="1" customHeight="1">
      <c r="A6876" s="156">
        <v>16811869</v>
      </c>
      <c r="B6876" s="172" t="s">
        <v>3734</v>
      </c>
      <c r="C6876" s="172" t="s">
        <v>8185</v>
      </c>
      <c r="D6876" s="194" t="s">
        <v>8176</v>
      </c>
      <c r="E6876" s="200">
        <v>40792</v>
      </c>
    </row>
    <row r="6877" spans="1:5" ht="14.25" hidden="1" customHeight="1">
      <c r="A6877" s="156">
        <v>17458714</v>
      </c>
      <c r="B6877" s="172" t="s">
        <v>124</v>
      </c>
      <c r="C6877" s="172" t="s">
        <v>125</v>
      </c>
      <c r="D6877" s="194" t="s">
        <v>8176</v>
      </c>
      <c r="E6877" s="200">
        <v>40792</v>
      </c>
    </row>
    <row r="6878" spans="1:5" ht="14.25" hidden="1" customHeight="1">
      <c r="A6878" s="156">
        <v>17859592</v>
      </c>
      <c r="B6878" s="172" t="s">
        <v>493</v>
      </c>
      <c r="C6878" s="172" t="s">
        <v>494</v>
      </c>
      <c r="D6878" s="194" t="s">
        <v>8176</v>
      </c>
      <c r="E6878" s="200">
        <v>40792</v>
      </c>
    </row>
    <row r="6879" spans="1:5" ht="14.25" hidden="1" customHeight="1">
      <c r="A6879" s="156">
        <v>20171458</v>
      </c>
      <c r="B6879" s="172" t="s">
        <v>8187</v>
      </c>
      <c r="C6879" s="172" t="s">
        <v>274</v>
      </c>
      <c r="D6879" s="194" t="s">
        <v>8176</v>
      </c>
      <c r="E6879" s="200">
        <v>40792</v>
      </c>
    </row>
    <row r="6880" spans="1:5" ht="14.25" hidden="1" customHeight="1">
      <c r="A6880" s="156">
        <v>20399229</v>
      </c>
      <c r="B6880" s="172" t="s">
        <v>999</v>
      </c>
      <c r="C6880" s="172" t="s">
        <v>1000</v>
      </c>
      <c r="D6880" s="194" t="s">
        <v>8176</v>
      </c>
      <c r="E6880" s="200">
        <v>40792</v>
      </c>
    </row>
    <row r="6881" spans="1:5" ht="14.25" hidden="1" customHeight="1">
      <c r="A6881" s="156">
        <v>20803370</v>
      </c>
      <c r="B6881" s="172" t="s">
        <v>3016</v>
      </c>
      <c r="C6881" s="172" t="s">
        <v>3017</v>
      </c>
      <c r="D6881" s="194" t="s">
        <v>8176</v>
      </c>
      <c r="E6881" s="200">
        <v>40792</v>
      </c>
    </row>
    <row r="6882" spans="1:5" ht="14.25" hidden="1" customHeight="1">
      <c r="A6882" s="156">
        <v>21026697</v>
      </c>
      <c r="B6882" s="172" t="s">
        <v>2087</v>
      </c>
      <c r="C6882" s="172" t="s">
        <v>8186</v>
      </c>
      <c r="D6882" s="194" t="s">
        <v>8176</v>
      </c>
      <c r="E6882" s="200">
        <v>40792</v>
      </c>
    </row>
    <row r="6883" spans="1:5" ht="14.25" hidden="1" customHeight="1">
      <c r="A6883" s="156">
        <v>21329323</v>
      </c>
      <c r="B6883" s="172" t="s">
        <v>8177</v>
      </c>
      <c r="C6883" s="172" t="s">
        <v>7273</v>
      </c>
      <c r="D6883" s="194" t="s">
        <v>8176</v>
      </c>
      <c r="E6883" s="200">
        <v>40792</v>
      </c>
    </row>
    <row r="6884" spans="1:5" ht="14.25" hidden="1" customHeight="1">
      <c r="A6884" s="156">
        <v>22031835</v>
      </c>
      <c r="B6884" s="172" t="s">
        <v>3634</v>
      </c>
      <c r="C6884" s="172" t="s">
        <v>8175</v>
      </c>
      <c r="D6884" s="194" t="s">
        <v>8176</v>
      </c>
      <c r="E6884" s="200">
        <v>40792</v>
      </c>
    </row>
    <row r="6885" spans="1:5" ht="14.25" hidden="1" customHeight="1">
      <c r="A6885" s="156">
        <v>22264125</v>
      </c>
      <c r="B6885" s="172" t="s">
        <v>218</v>
      </c>
      <c r="C6885" s="172" t="s">
        <v>219</v>
      </c>
      <c r="D6885" s="194" t="s">
        <v>8176</v>
      </c>
      <c r="E6885" s="200">
        <v>40792</v>
      </c>
    </row>
    <row r="6886" spans="1:5" ht="14.25" hidden="1" customHeight="1">
      <c r="A6886" s="156">
        <v>23238427</v>
      </c>
      <c r="B6886" s="172" t="s">
        <v>640</v>
      </c>
      <c r="C6886" s="172" t="s">
        <v>8183</v>
      </c>
      <c r="D6886" s="194" t="s">
        <v>8176</v>
      </c>
      <c r="E6886" s="200">
        <v>40792</v>
      </c>
    </row>
    <row r="6887" spans="1:5" ht="14.25" hidden="1" customHeight="1">
      <c r="A6887" s="156">
        <v>23894358</v>
      </c>
      <c r="B6887" s="172" t="s">
        <v>2813</v>
      </c>
      <c r="C6887" s="172" t="s">
        <v>3881</v>
      </c>
      <c r="D6887" s="194" t="s">
        <v>8176</v>
      </c>
      <c r="E6887" s="200">
        <v>40792</v>
      </c>
    </row>
    <row r="6888" spans="1:5" ht="14.25" hidden="1" customHeight="1">
      <c r="A6888" s="156">
        <v>24005950</v>
      </c>
      <c r="B6888" s="172" t="s">
        <v>8181</v>
      </c>
      <c r="C6888" s="172" t="s">
        <v>1061</v>
      </c>
      <c r="D6888" s="194" t="s">
        <v>8176</v>
      </c>
      <c r="E6888" s="200">
        <v>40792</v>
      </c>
    </row>
    <row r="6889" spans="1:5" ht="14.25" hidden="1" customHeight="1">
      <c r="A6889" s="156">
        <v>25653571</v>
      </c>
      <c r="B6889" s="172" t="s">
        <v>3867</v>
      </c>
      <c r="C6889" s="172" t="s">
        <v>4958</v>
      </c>
      <c r="D6889" s="194" t="s">
        <v>8176</v>
      </c>
      <c r="E6889" s="200">
        <v>40792</v>
      </c>
    </row>
    <row r="6890" spans="1:5" ht="14.25" hidden="1" customHeight="1">
      <c r="A6890" s="156">
        <v>25734593</v>
      </c>
      <c r="B6890" s="172" t="s">
        <v>321</v>
      </c>
      <c r="C6890" s="172" t="s">
        <v>322</v>
      </c>
      <c r="D6890" s="194" t="s">
        <v>8176</v>
      </c>
      <c r="E6890" s="200">
        <v>40792</v>
      </c>
    </row>
    <row r="6891" spans="1:5" ht="14.25" hidden="1" customHeight="1">
      <c r="A6891" s="156">
        <v>27961455</v>
      </c>
      <c r="B6891" s="172" t="s">
        <v>6502</v>
      </c>
      <c r="C6891" s="172" t="s">
        <v>8184</v>
      </c>
      <c r="D6891" s="194" t="s">
        <v>8176</v>
      </c>
      <c r="E6891" s="200">
        <v>40792</v>
      </c>
    </row>
    <row r="6892" spans="1:5" ht="14.25" hidden="1" customHeight="1">
      <c r="A6892" s="156">
        <v>28212023</v>
      </c>
      <c r="B6892" s="172" t="s">
        <v>2576</v>
      </c>
      <c r="C6892" s="172" t="s">
        <v>2577</v>
      </c>
      <c r="D6892" s="194" t="s">
        <v>8176</v>
      </c>
      <c r="E6892" s="200">
        <v>40792</v>
      </c>
    </row>
    <row r="6893" spans="1:5" ht="14.25" hidden="1" customHeight="1">
      <c r="A6893" s="156">
        <v>29430338</v>
      </c>
      <c r="B6893" s="172" t="s">
        <v>195</v>
      </c>
      <c r="C6893" s="172" t="s">
        <v>8182</v>
      </c>
      <c r="D6893" s="194" t="s">
        <v>8176</v>
      </c>
      <c r="E6893" s="200">
        <v>40792</v>
      </c>
    </row>
    <row r="6894" spans="1:5" ht="14.25" hidden="1" customHeight="1">
      <c r="A6894" s="156">
        <v>29430338</v>
      </c>
      <c r="B6894" s="172" t="s">
        <v>1097</v>
      </c>
      <c r="C6894" s="172" t="s">
        <v>1098</v>
      </c>
      <c r="D6894" s="194" t="s">
        <v>8176</v>
      </c>
      <c r="E6894" s="200">
        <v>40792</v>
      </c>
    </row>
    <row r="6895" spans="1:5" ht="14.25" hidden="1" customHeight="1">
      <c r="A6895" s="156">
        <v>30268063</v>
      </c>
      <c r="B6895" s="172" t="s">
        <v>8188</v>
      </c>
      <c r="C6895" s="172" t="s">
        <v>8189</v>
      </c>
      <c r="D6895" s="194" t="s">
        <v>8176</v>
      </c>
      <c r="E6895" s="200">
        <v>40792</v>
      </c>
    </row>
    <row r="6896" spans="1:5" ht="14.25" hidden="1" customHeight="1">
      <c r="A6896" s="156">
        <v>30268063</v>
      </c>
      <c r="B6896" s="172" t="s">
        <v>1631</v>
      </c>
      <c r="C6896" s="172" t="s">
        <v>1632</v>
      </c>
      <c r="D6896" s="194" t="s">
        <v>8176</v>
      </c>
      <c r="E6896" s="200">
        <v>40792</v>
      </c>
    </row>
    <row r="6897" spans="1:5" ht="14.25" hidden="1" customHeight="1">
      <c r="A6897" s="156">
        <v>30497720</v>
      </c>
      <c r="B6897" s="172" t="s">
        <v>5381</v>
      </c>
      <c r="C6897" s="172" t="s">
        <v>527</v>
      </c>
      <c r="D6897" s="194" t="s">
        <v>8176</v>
      </c>
      <c r="E6897" s="200">
        <v>40792</v>
      </c>
    </row>
    <row r="6898" spans="1:5" ht="14.25" hidden="1" customHeight="1">
      <c r="A6898" s="156">
        <v>32201492</v>
      </c>
      <c r="B6898" s="172" t="s">
        <v>5529</v>
      </c>
      <c r="C6898" s="172" t="s">
        <v>1681</v>
      </c>
      <c r="D6898" s="194" t="s">
        <v>8176</v>
      </c>
      <c r="E6898" s="200">
        <v>40792</v>
      </c>
    </row>
    <row r="6899" spans="1:5" ht="14.25" hidden="1" customHeight="1">
      <c r="A6899" s="156">
        <v>32927371</v>
      </c>
      <c r="B6899" s="172" t="s">
        <v>5846</v>
      </c>
      <c r="C6899" s="172" t="s">
        <v>378</v>
      </c>
      <c r="D6899" s="194" t="s">
        <v>8176</v>
      </c>
      <c r="E6899" s="200">
        <v>40792</v>
      </c>
    </row>
    <row r="6900" spans="1:5" ht="14.25" hidden="1" customHeight="1">
      <c r="A6900" s="156">
        <v>93262857</v>
      </c>
      <c r="B6900" s="172" t="s">
        <v>7046</v>
      </c>
      <c r="C6900" s="172" t="s">
        <v>8179</v>
      </c>
      <c r="D6900" s="194" t="s">
        <v>8176</v>
      </c>
      <c r="E6900" s="200">
        <v>40792</v>
      </c>
    </row>
    <row r="6901" spans="1:5" ht="14.25" hidden="1" customHeight="1">
      <c r="A6901" s="156"/>
      <c r="B6901" s="172" t="s">
        <v>940</v>
      </c>
      <c r="C6901" s="172" t="s">
        <v>941</v>
      </c>
      <c r="D6901" s="194" t="s">
        <v>8176</v>
      </c>
      <c r="E6901" s="200">
        <v>40792</v>
      </c>
    </row>
    <row r="6902" spans="1:5" ht="14.25" hidden="1" customHeight="1">
      <c r="A6902" s="156">
        <v>5148908</v>
      </c>
      <c r="B6902" s="172" t="s">
        <v>4323</v>
      </c>
      <c r="C6902" s="172" t="s">
        <v>922</v>
      </c>
      <c r="D6902" s="194" t="s">
        <v>8192</v>
      </c>
      <c r="E6902" s="200">
        <v>40784</v>
      </c>
    </row>
    <row r="6903" spans="1:5" ht="14.25" hidden="1" customHeight="1">
      <c r="A6903" s="156">
        <v>5192178</v>
      </c>
      <c r="B6903" s="172" t="s">
        <v>1519</v>
      </c>
      <c r="C6903" s="172" t="s">
        <v>1520</v>
      </c>
      <c r="D6903" s="194" t="s">
        <v>8192</v>
      </c>
      <c r="E6903" s="200">
        <v>40784</v>
      </c>
    </row>
    <row r="6904" spans="1:5" ht="14.25" hidden="1" customHeight="1">
      <c r="A6904" s="156">
        <v>10013189</v>
      </c>
      <c r="B6904" s="172" t="s">
        <v>8193</v>
      </c>
      <c r="C6904" s="172" t="s">
        <v>3644</v>
      </c>
      <c r="D6904" s="194" t="s">
        <v>8192</v>
      </c>
      <c r="E6904" s="200">
        <v>40784</v>
      </c>
    </row>
    <row r="6905" spans="1:5" ht="14.25" hidden="1" customHeight="1">
      <c r="A6905" s="156">
        <v>10910039</v>
      </c>
      <c r="B6905" s="172" t="s">
        <v>2460</v>
      </c>
      <c r="C6905" s="172" t="s">
        <v>4509</v>
      </c>
      <c r="D6905" s="194" t="s">
        <v>8192</v>
      </c>
      <c r="E6905" s="200">
        <v>40784</v>
      </c>
    </row>
    <row r="6906" spans="1:5" ht="14.25" hidden="1" customHeight="1">
      <c r="A6906" s="156">
        <v>11463189</v>
      </c>
      <c r="B6906" s="172" t="s">
        <v>5045</v>
      </c>
      <c r="C6906" s="172" t="s">
        <v>5046</v>
      </c>
      <c r="D6906" s="194" t="s">
        <v>8192</v>
      </c>
      <c r="E6906" s="200">
        <v>40784</v>
      </c>
    </row>
    <row r="6907" spans="1:5" ht="14.25" hidden="1" customHeight="1">
      <c r="A6907" s="156">
        <v>11707732</v>
      </c>
      <c r="B6907" s="172" t="s">
        <v>4506</v>
      </c>
      <c r="C6907" s="172" t="s">
        <v>8194</v>
      </c>
      <c r="D6907" s="194" t="s">
        <v>8192</v>
      </c>
      <c r="E6907" s="200">
        <v>40784</v>
      </c>
    </row>
    <row r="6908" spans="1:5" ht="14.25" hidden="1" customHeight="1">
      <c r="A6908" s="156">
        <v>12598870</v>
      </c>
      <c r="B6908" s="172" t="s">
        <v>1603</v>
      </c>
      <c r="C6908" s="172" t="s">
        <v>1604</v>
      </c>
      <c r="D6908" s="194" t="s">
        <v>8192</v>
      </c>
      <c r="E6908" s="200">
        <v>40784</v>
      </c>
    </row>
    <row r="6909" spans="1:5" ht="14.25" hidden="1" customHeight="1">
      <c r="A6909" s="156">
        <v>12674864</v>
      </c>
      <c r="B6909" s="172" t="s">
        <v>811</v>
      </c>
      <c r="C6909" s="172" t="s">
        <v>812</v>
      </c>
      <c r="D6909" s="194" t="s">
        <v>8192</v>
      </c>
      <c r="E6909" s="200">
        <v>40784</v>
      </c>
    </row>
    <row r="6910" spans="1:5" ht="14.25" hidden="1" customHeight="1">
      <c r="A6910" s="156">
        <v>12733486</v>
      </c>
      <c r="B6910" s="172" t="s">
        <v>4057</v>
      </c>
      <c r="C6910" s="172" t="s">
        <v>962</v>
      </c>
      <c r="D6910" s="194" t="s">
        <v>8192</v>
      </c>
      <c r="E6910" s="200">
        <v>40784</v>
      </c>
    </row>
    <row r="6911" spans="1:5" ht="14.25" hidden="1" customHeight="1">
      <c r="A6911" s="156">
        <v>12918409</v>
      </c>
      <c r="B6911" s="172" t="s">
        <v>3762</v>
      </c>
      <c r="C6911" s="172" t="s">
        <v>3763</v>
      </c>
      <c r="D6911" s="194" t="s">
        <v>8192</v>
      </c>
      <c r="E6911" s="200">
        <v>40784</v>
      </c>
    </row>
    <row r="6912" spans="1:5" ht="14.25" hidden="1" customHeight="1">
      <c r="A6912" s="156">
        <v>13278971</v>
      </c>
      <c r="B6912" s="172" t="s">
        <v>1625</v>
      </c>
      <c r="C6912" s="172" t="s">
        <v>1626</v>
      </c>
      <c r="D6912" s="194" t="s">
        <v>8192</v>
      </c>
      <c r="E6912" s="200">
        <v>40784</v>
      </c>
    </row>
    <row r="6913" spans="1:5" ht="14.25" hidden="1" customHeight="1">
      <c r="A6913" s="156">
        <v>13317745</v>
      </c>
      <c r="B6913" s="172" t="s">
        <v>3178</v>
      </c>
      <c r="C6913" s="172" t="s">
        <v>3179</v>
      </c>
      <c r="D6913" s="194" t="s">
        <v>8192</v>
      </c>
      <c r="E6913" s="200">
        <v>40784</v>
      </c>
    </row>
    <row r="6914" spans="1:5" ht="14.25" hidden="1" customHeight="1">
      <c r="A6914" s="156">
        <v>13627989</v>
      </c>
      <c r="B6914" s="172" t="s">
        <v>2956</v>
      </c>
      <c r="C6914" s="172" t="s">
        <v>825</v>
      </c>
      <c r="D6914" s="194" t="s">
        <v>8192</v>
      </c>
      <c r="E6914" s="200">
        <v>40784</v>
      </c>
    </row>
    <row r="6915" spans="1:5" ht="14.25" hidden="1" customHeight="1">
      <c r="A6915" s="156">
        <v>13715942</v>
      </c>
      <c r="B6915" s="172" t="s">
        <v>8204</v>
      </c>
      <c r="C6915" s="172" t="s">
        <v>4661</v>
      </c>
      <c r="D6915" s="194" t="s">
        <v>8192</v>
      </c>
      <c r="E6915" s="200">
        <v>40784</v>
      </c>
    </row>
    <row r="6916" spans="1:5" ht="14.25" hidden="1" customHeight="1">
      <c r="A6916" s="156">
        <v>13848349</v>
      </c>
      <c r="B6916" s="172" t="s">
        <v>652</v>
      </c>
      <c r="C6916" s="172" t="s">
        <v>465</v>
      </c>
      <c r="D6916" s="194" t="s">
        <v>8192</v>
      </c>
      <c r="E6916" s="200">
        <v>40784</v>
      </c>
    </row>
    <row r="6917" spans="1:5" ht="14.25" hidden="1" customHeight="1">
      <c r="A6917" s="156">
        <v>14083292</v>
      </c>
      <c r="B6917" s="172" t="s">
        <v>476</v>
      </c>
      <c r="C6917" s="172" t="s">
        <v>8146</v>
      </c>
      <c r="D6917" s="194" t="s">
        <v>8192</v>
      </c>
      <c r="E6917" s="200">
        <v>40784</v>
      </c>
    </row>
    <row r="6918" spans="1:5" ht="14.25" hidden="1" customHeight="1">
      <c r="A6918" s="156">
        <v>14359591</v>
      </c>
      <c r="B6918" s="172" t="s">
        <v>4247</v>
      </c>
      <c r="C6918" s="172" t="s">
        <v>2822</v>
      </c>
      <c r="D6918" s="194" t="s">
        <v>8192</v>
      </c>
      <c r="E6918" s="200">
        <v>40784</v>
      </c>
    </row>
    <row r="6919" spans="1:5" ht="14.25" hidden="1" customHeight="1">
      <c r="A6919" s="156">
        <v>14359850</v>
      </c>
      <c r="B6919" s="172" t="s">
        <v>5663</v>
      </c>
      <c r="C6919" s="172" t="s">
        <v>5664</v>
      </c>
      <c r="D6919" s="194" t="s">
        <v>8192</v>
      </c>
      <c r="E6919" s="200">
        <v>40784</v>
      </c>
    </row>
    <row r="6920" spans="1:5" ht="14.25" hidden="1" customHeight="1">
      <c r="A6920" s="156">
        <v>14410631</v>
      </c>
      <c r="B6920" s="172" t="s">
        <v>242</v>
      </c>
      <c r="C6920" s="172" t="s">
        <v>243</v>
      </c>
      <c r="D6920" s="194" t="s">
        <v>8192</v>
      </c>
      <c r="E6920" s="200">
        <v>40784</v>
      </c>
    </row>
    <row r="6921" spans="1:5" ht="14.25" hidden="1" customHeight="1">
      <c r="A6921" s="156">
        <v>14480566</v>
      </c>
      <c r="B6921" s="172" t="s">
        <v>1168</v>
      </c>
      <c r="C6921" s="172" t="s">
        <v>6294</v>
      </c>
      <c r="D6921" s="194" t="s">
        <v>8192</v>
      </c>
      <c r="E6921" s="200">
        <v>40784</v>
      </c>
    </row>
    <row r="6922" spans="1:5" ht="14.25" hidden="1" customHeight="1">
      <c r="A6922" s="156">
        <v>14481504</v>
      </c>
      <c r="B6922" s="172" t="s">
        <v>1032</v>
      </c>
      <c r="C6922" s="172" t="s">
        <v>4723</v>
      </c>
      <c r="D6922" s="194" t="s">
        <v>8192</v>
      </c>
      <c r="E6922" s="200">
        <v>40784</v>
      </c>
    </row>
    <row r="6923" spans="1:5" ht="14.25" hidden="1" customHeight="1">
      <c r="A6923" s="156">
        <v>16045046</v>
      </c>
      <c r="B6923" s="172" t="s">
        <v>476</v>
      </c>
      <c r="C6923" s="172" t="s">
        <v>2605</v>
      </c>
      <c r="D6923" s="194" t="s">
        <v>8192</v>
      </c>
      <c r="E6923" s="200">
        <v>40784</v>
      </c>
    </row>
    <row r="6924" spans="1:5" ht="14.25" hidden="1" customHeight="1">
      <c r="A6924" s="156">
        <v>16425482</v>
      </c>
      <c r="B6924" s="172" t="s">
        <v>1906</v>
      </c>
      <c r="C6924" s="172" t="s">
        <v>95</v>
      </c>
      <c r="D6924" s="194" t="s">
        <v>8192</v>
      </c>
      <c r="E6924" s="200">
        <v>40784</v>
      </c>
    </row>
    <row r="6925" spans="1:5" ht="14.25" hidden="1" customHeight="1">
      <c r="A6925" s="156">
        <v>16541411</v>
      </c>
      <c r="B6925" s="172" t="s">
        <v>4746</v>
      </c>
      <c r="C6925" s="172" t="s">
        <v>4747</v>
      </c>
      <c r="D6925" s="194" t="s">
        <v>8192</v>
      </c>
      <c r="E6925" s="200">
        <v>40784</v>
      </c>
    </row>
    <row r="6926" spans="1:5" ht="14.25" hidden="1" customHeight="1">
      <c r="A6926" s="156">
        <v>16617590</v>
      </c>
      <c r="B6926" s="172" t="s">
        <v>4011</v>
      </c>
      <c r="C6926" s="172" t="s">
        <v>4012</v>
      </c>
      <c r="D6926" s="194" t="s">
        <v>8192</v>
      </c>
      <c r="E6926" s="200">
        <v>40784</v>
      </c>
    </row>
    <row r="6927" spans="1:5" ht="14.25" hidden="1" customHeight="1">
      <c r="A6927" s="156">
        <v>16933363</v>
      </c>
      <c r="B6927" s="172" t="s">
        <v>5508</v>
      </c>
      <c r="C6927" s="172" t="s">
        <v>5509</v>
      </c>
      <c r="D6927" s="194" t="s">
        <v>8192</v>
      </c>
      <c r="E6927" s="200">
        <v>40784</v>
      </c>
    </row>
    <row r="6928" spans="1:5" ht="14.25" hidden="1" customHeight="1">
      <c r="A6928" s="156">
        <v>17040933</v>
      </c>
      <c r="B6928" s="172" t="s">
        <v>8200</v>
      </c>
      <c r="C6928" s="172" t="s">
        <v>819</v>
      </c>
      <c r="D6928" s="194" t="s">
        <v>8192</v>
      </c>
      <c r="E6928" s="200">
        <v>40784</v>
      </c>
    </row>
    <row r="6929" spans="1:5" ht="14.25" hidden="1" customHeight="1">
      <c r="A6929" s="156">
        <v>17268324</v>
      </c>
      <c r="B6929" s="172" t="s">
        <v>4441</v>
      </c>
      <c r="C6929" s="172" t="s">
        <v>4442</v>
      </c>
      <c r="D6929" s="194" t="s">
        <v>8192</v>
      </c>
      <c r="E6929" s="200">
        <v>40784</v>
      </c>
    </row>
    <row r="6930" spans="1:5" ht="14.25" hidden="1" customHeight="1">
      <c r="A6930" s="156">
        <v>17268415</v>
      </c>
      <c r="B6930" s="172" t="s">
        <v>218</v>
      </c>
      <c r="C6930" s="172" t="s">
        <v>6152</v>
      </c>
      <c r="D6930" s="194" t="s">
        <v>8192</v>
      </c>
      <c r="E6930" s="200">
        <v>40784</v>
      </c>
    </row>
    <row r="6931" spans="1:5" ht="14.25" hidden="1" customHeight="1">
      <c r="A6931" s="156">
        <v>17615047</v>
      </c>
      <c r="B6931" s="172" t="s">
        <v>2966</v>
      </c>
      <c r="C6931" s="172" t="s">
        <v>6143</v>
      </c>
      <c r="D6931" s="194" t="s">
        <v>8192</v>
      </c>
      <c r="E6931" s="200">
        <v>40784</v>
      </c>
    </row>
    <row r="6932" spans="1:5" ht="14.25" hidden="1" customHeight="1">
      <c r="A6932" s="156">
        <v>17858381</v>
      </c>
      <c r="B6932" s="172" t="s">
        <v>1190</v>
      </c>
      <c r="C6932" s="172" t="s">
        <v>8203</v>
      </c>
      <c r="D6932" s="194" t="s">
        <v>8192</v>
      </c>
      <c r="E6932" s="200">
        <v>40784</v>
      </c>
    </row>
    <row r="6933" spans="1:5" ht="14.25" hidden="1" customHeight="1">
      <c r="A6933" s="156">
        <v>17860924</v>
      </c>
      <c r="B6933" s="172" t="s">
        <v>252</v>
      </c>
      <c r="C6933" s="172" t="s">
        <v>2975</v>
      </c>
      <c r="D6933" s="194" t="s">
        <v>8192</v>
      </c>
      <c r="E6933" s="200">
        <v>40784</v>
      </c>
    </row>
    <row r="6934" spans="1:5" ht="14.25" hidden="1" customHeight="1">
      <c r="A6934" s="156">
        <v>17973047</v>
      </c>
      <c r="B6934" s="172" t="s">
        <v>279</v>
      </c>
      <c r="C6934" s="172" t="s">
        <v>283</v>
      </c>
      <c r="D6934" s="194" t="s">
        <v>8192</v>
      </c>
      <c r="E6934" s="200">
        <v>40784</v>
      </c>
    </row>
    <row r="6935" spans="1:5" ht="14.25" hidden="1" customHeight="1">
      <c r="A6935" s="156">
        <v>18229240</v>
      </c>
      <c r="B6935" s="172" t="s">
        <v>3465</v>
      </c>
      <c r="C6935" s="172" t="s">
        <v>3466</v>
      </c>
      <c r="D6935" s="194" t="s">
        <v>8192</v>
      </c>
      <c r="E6935" s="200">
        <v>40784</v>
      </c>
    </row>
    <row r="6936" spans="1:5" ht="14.25" hidden="1" customHeight="1">
      <c r="A6936" s="156">
        <v>18465826</v>
      </c>
      <c r="B6936" s="172" t="s">
        <v>1482</v>
      </c>
      <c r="C6936" s="172" t="s">
        <v>876</v>
      </c>
      <c r="D6936" s="194" t="s">
        <v>8192</v>
      </c>
      <c r="E6936" s="200">
        <v>40784</v>
      </c>
    </row>
    <row r="6937" spans="1:5" ht="14.25" hidden="1" customHeight="1">
      <c r="A6937" s="156">
        <v>18591917</v>
      </c>
      <c r="B6937" s="172" t="s">
        <v>1155</v>
      </c>
      <c r="C6937" s="172" t="s">
        <v>1156</v>
      </c>
      <c r="D6937" s="194" t="s">
        <v>8192</v>
      </c>
      <c r="E6937" s="200">
        <v>40784</v>
      </c>
    </row>
    <row r="6938" spans="1:5" ht="14.25" hidden="1" customHeight="1">
      <c r="A6938" s="156">
        <v>20219773</v>
      </c>
      <c r="B6938" s="172" t="s">
        <v>1283</v>
      </c>
      <c r="C6938" s="172" t="s">
        <v>3492</v>
      </c>
      <c r="D6938" s="194" t="s">
        <v>8192</v>
      </c>
      <c r="E6938" s="200">
        <v>40784</v>
      </c>
    </row>
    <row r="6939" spans="1:5" ht="14.25" hidden="1" customHeight="1">
      <c r="A6939" s="156">
        <v>20803370</v>
      </c>
      <c r="B6939" s="172" t="s">
        <v>1631</v>
      </c>
      <c r="C6939" s="172" t="s">
        <v>1632</v>
      </c>
      <c r="D6939" s="194" t="s">
        <v>8192</v>
      </c>
      <c r="E6939" s="200">
        <v>40784</v>
      </c>
    </row>
    <row r="6940" spans="1:5" ht="14.25" hidden="1" customHeight="1">
      <c r="A6940" s="156">
        <v>21327352</v>
      </c>
      <c r="B6940" s="172" t="s">
        <v>7774</v>
      </c>
      <c r="C6940" s="172" t="s">
        <v>3466</v>
      </c>
      <c r="D6940" s="194" t="s">
        <v>8192</v>
      </c>
      <c r="E6940" s="200">
        <v>40784</v>
      </c>
    </row>
    <row r="6941" spans="1:5" ht="14.25" hidden="1" customHeight="1">
      <c r="A6941" s="156">
        <v>21329323</v>
      </c>
      <c r="B6941" s="172" t="s">
        <v>4646</v>
      </c>
      <c r="C6941" s="172" t="s">
        <v>2447</v>
      </c>
      <c r="D6941" s="194" t="s">
        <v>8192</v>
      </c>
      <c r="E6941" s="200">
        <v>40784</v>
      </c>
    </row>
    <row r="6942" spans="1:5" ht="14.25" hidden="1" customHeight="1">
      <c r="A6942" s="156">
        <v>22664180</v>
      </c>
      <c r="B6942" s="172" t="s">
        <v>252</v>
      </c>
      <c r="C6942" s="172" t="s">
        <v>8199</v>
      </c>
      <c r="D6942" s="194" t="s">
        <v>8192</v>
      </c>
      <c r="E6942" s="200">
        <v>40784</v>
      </c>
    </row>
    <row r="6943" spans="1:5" ht="14.25" hidden="1" customHeight="1">
      <c r="A6943" s="156">
        <v>23116246</v>
      </c>
      <c r="B6943" s="172" t="s">
        <v>3357</v>
      </c>
      <c r="C6943" s="172" t="s">
        <v>8161</v>
      </c>
      <c r="D6943" s="194" t="s">
        <v>8192</v>
      </c>
      <c r="E6943" s="200">
        <v>40784</v>
      </c>
    </row>
    <row r="6944" spans="1:5" ht="14.25" hidden="1" customHeight="1">
      <c r="A6944" s="156">
        <v>23931160</v>
      </c>
      <c r="B6944" s="172" t="s">
        <v>4673</v>
      </c>
      <c r="C6944" s="172" t="s">
        <v>3888</v>
      </c>
      <c r="D6944" s="194" t="s">
        <v>8192</v>
      </c>
      <c r="E6944" s="200">
        <v>40784</v>
      </c>
    </row>
    <row r="6945" spans="1:5" ht="14.25" hidden="1" customHeight="1">
      <c r="A6945" s="156">
        <v>24200474</v>
      </c>
      <c r="B6945" s="172" t="s">
        <v>218</v>
      </c>
      <c r="C6945" s="172" t="s">
        <v>5349</v>
      </c>
      <c r="D6945" s="194" t="s">
        <v>8192</v>
      </c>
      <c r="E6945" s="200">
        <v>40784</v>
      </c>
    </row>
    <row r="6946" spans="1:5" ht="14.25" hidden="1" customHeight="1">
      <c r="A6946" s="156">
        <v>24803550</v>
      </c>
      <c r="B6946" s="172" t="s">
        <v>3201</v>
      </c>
      <c r="C6946" s="172" t="s">
        <v>3202</v>
      </c>
      <c r="D6946" s="194" t="s">
        <v>8192</v>
      </c>
      <c r="E6946" s="200">
        <v>40784</v>
      </c>
    </row>
    <row r="6947" spans="1:5" ht="14.25" hidden="1" customHeight="1">
      <c r="A6947" s="156">
        <v>24981076</v>
      </c>
      <c r="B6947" s="172" t="s">
        <v>1273</v>
      </c>
      <c r="C6947" s="172" t="s">
        <v>1634</v>
      </c>
      <c r="D6947" s="194" t="s">
        <v>8192</v>
      </c>
      <c r="E6947" s="200">
        <v>40784</v>
      </c>
    </row>
    <row r="6948" spans="1:5" ht="14.25" hidden="1" customHeight="1">
      <c r="A6948" s="156">
        <v>26684869</v>
      </c>
      <c r="B6948" s="172" t="s">
        <v>4769</v>
      </c>
      <c r="C6948" s="172" t="s">
        <v>1736</v>
      </c>
      <c r="D6948" s="194" t="s">
        <v>8192</v>
      </c>
      <c r="E6948" s="200">
        <v>40784</v>
      </c>
    </row>
    <row r="6949" spans="1:5" ht="14.25" hidden="1" customHeight="1">
      <c r="A6949" s="156">
        <v>26834035</v>
      </c>
      <c r="B6949" s="172" t="s">
        <v>2248</v>
      </c>
      <c r="C6949" s="172" t="s">
        <v>2249</v>
      </c>
      <c r="D6949" s="194" t="s">
        <v>8192</v>
      </c>
      <c r="E6949" s="200">
        <v>40784</v>
      </c>
    </row>
    <row r="6950" spans="1:5" ht="14.25" hidden="1" customHeight="1">
      <c r="A6950" s="156">
        <v>27210481</v>
      </c>
      <c r="B6950" s="172" t="s">
        <v>4562</v>
      </c>
      <c r="C6950" s="172" t="s">
        <v>4563</v>
      </c>
      <c r="D6950" s="194" t="s">
        <v>8192</v>
      </c>
      <c r="E6950" s="200">
        <v>40784</v>
      </c>
    </row>
    <row r="6951" spans="1:5" ht="14.25" hidden="1" customHeight="1">
      <c r="A6951" s="156">
        <v>27651817</v>
      </c>
      <c r="B6951" s="172" t="s">
        <v>359</v>
      </c>
      <c r="C6951" s="172" t="s">
        <v>3797</v>
      </c>
      <c r="D6951" s="194" t="s">
        <v>8192</v>
      </c>
      <c r="E6951" s="200">
        <v>40784</v>
      </c>
    </row>
    <row r="6952" spans="1:5" ht="14.25" hidden="1" customHeight="1">
      <c r="A6952" s="156">
        <v>27886273</v>
      </c>
      <c r="B6952" s="172" t="s">
        <v>226</v>
      </c>
      <c r="C6952" s="172" t="s">
        <v>227</v>
      </c>
      <c r="D6952" s="194" t="s">
        <v>8192</v>
      </c>
      <c r="E6952" s="200">
        <v>40784</v>
      </c>
    </row>
    <row r="6953" spans="1:5" ht="14.25" hidden="1" customHeight="1">
      <c r="A6953" s="156">
        <v>28147332</v>
      </c>
      <c r="B6953" s="172" t="s">
        <v>8201</v>
      </c>
      <c r="C6953" s="172" t="s">
        <v>8202</v>
      </c>
      <c r="D6953" s="194" t="s">
        <v>8192</v>
      </c>
      <c r="E6953" s="200">
        <v>40784</v>
      </c>
    </row>
    <row r="6954" spans="1:5" ht="14.25" hidden="1" customHeight="1">
      <c r="A6954" s="156">
        <v>28290473</v>
      </c>
      <c r="B6954" s="172" t="s">
        <v>190</v>
      </c>
      <c r="C6954" s="172" t="s">
        <v>191</v>
      </c>
      <c r="D6954" s="194" t="s">
        <v>8192</v>
      </c>
      <c r="E6954" s="200">
        <v>40784</v>
      </c>
    </row>
    <row r="6955" spans="1:5" ht="14.25" hidden="1" customHeight="1">
      <c r="A6955" s="156">
        <v>28884535</v>
      </c>
      <c r="B6955" s="172" t="s">
        <v>146</v>
      </c>
      <c r="C6955" s="172" t="s">
        <v>8195</v>
      </c>
      <c r="D6955" s="194" t="s">
        <v>8192</v>
      </c>
      <c r="E6955" s="200">
        <v>40784</v>
      </c>
    </row>
    <row r="6956" spans="1:5" ht="14.25" hidden="1" customHeight="1">
      <c r="A6956" s="156">
        <v>28884614</v>
      </c>
      <c r="B6956" s="172" t="s">
        <v>3006</v>
      </c>
      <c r="C6956" s="172" t="s">
        <v>3007</v>
      </c>
      <c r="D6956" s="194" t="s">
        <v>8192</v>
      </c>
      <c r="E6956" s="200">
        <v>40784</v>
      </c>
    </row>
    <row r="6957" spans="1:5" ht="14.25" hidden="1" customHeight="1">
      <c r="A6957" s="156">
        <v>29555986</v>
      </c>
      <c r="B6957" s="172" t="s">
        <v>5893</v>
      </c>
      <c r="C6957" s="172" t="s">
        <v>5894</v>
      </c>
      <c r="D6957" s="194" t="s">
        <v>8192</v>
      </c>
      <c r="E6957" s="200">
        <v>40784</v>
      </c>
    </row>
    <row r="6958" spans="1:5" ht="14.25" hidden="1" customHeight="1">
      <c r="A6958" s="156">
        <v>30090802</v>
      </c>
      <c r="B6958" s="172" t="s">
        <v>5012</v>
      </c>
      <c r="C6958" s="172" t="s">
        <v>5013</v>
      </c>
      <c r="D6958" s="194" t="s">
        <v>8192</v>
      </c>
      <c r="E6958" s="200">
        <v>40784</v>
      </c>
    </row>
    <row r="6959" spans="1:5" ht="14.25" hidden="1" customHeight="1">
      <c r="A6959" s="156">
        <v>30497720</v>
      </c>
      <c r="B6959" s="172" t="s">
        <v>2990</v>
      </c>
      <c r="C6959" s="172" t="s">
        <v>7084</v>
      </c>
      <c r="D6959" s="194" t="s">
        <v>8192</v>
      </c>
      <c r="E6959" s="200">
        <v>40784</v>
      </c>
    </row>
    <row r="6960" spans="1:5" ht="14.25" hidden="1" customHeight="1">
      <c r="A6960" s="156">
        <v>31030239</v>
      </c>
      <c r="B6960" s="172" t="s">
        <v>1216</v>
      </c>
      <c r="C6960" s="172" t="s">
        <v>4790</v>
      </c>
      <c r="D6960" s="194" t="s">
        <v>8192</v>
      </c>
      <c r="E6960" s="200">
        <v>40784</v>
      </c>
    </row>
    <row r="6961" spans="1:5" ht="14.25" hidden="1" customHeight="1">
      <c r="A6961" s="156">
        <v>31425208</v>
      </c>
      <c r="B6961" s="172" t="s">
        <v>2785</v>
      </c>
      <c r="C6961" s="172" t="s">
        <v>6119</v>
      </c>
      <c r="D6961" s="194" t="s">
        <v>8192</v>
      </c>
      <c r="E6961" s="200">
        <v>40784</v>
      </c>
    </row>
    <row r="6962" spans="1:5" ht="14.25" hidden="1" customHeight="1">
      <c r="A6962" s="156">
        <v>33391774</v>
      </c>
      <c r="B6962" s="172" t="s">
        <v>3965</v>
      </c>
      <c r="C6962" s="172" t="s">
        <v>3966</v>
      </c>
      <c r="D6962" s="194" t="s">
        <v>8192</v>
      </c>
      <c r="E6962" s="200">
        <v>40784</v>
      </c>
    </row>
    <row r="6963" spans="1:5" ht="14.25" hidden="1" customHeight="1">
      <c r="A6963" s="156">
        <v>33703823</v>
      </c>
      <c r="B6963" s="172" t="s">
        <v>7085</v>
      </c>
      <c r="C6963" s="172" t="s">
        <v>902</v>
      </c>
      <c r="D6963" s="194" t="s">
        <v>8192</v>
      </c>
      <c r="E6963" s="200">
        <v>40784</v>
      </c>
    </row>
    <row r="6964" spans="1:5" ht="14.25" hidden="1" customHeight="1">
      <c r="A6964" s="156">
        <v>36583992</v>
      </c>
      <c r="B6964" s="172" t="s">
        <v>315</v>
      </c>
      <c r="C6964" s="172" t="s">
        <v>395</v>
      </c>
      <c r="D6964" s="194" t="s">
        <v>8192</v>
      </c>
      <c r="E6964" s="200">
        <v>40784</v>
      </c>
    </row>
    <row r="6965" spans="1:5" ht="14.25" hidden="1" customHeight="1">
      <c r="A6965" s="156"/>
      <c r="B6965" s="172" t="s">
        <v>8196</v>
      </c>
      <c r="C6965" s="172" t="s">
        <v>612</v>
      </c>
      <c r="D6965" s="194" t="s">
        <v>8192</v>
      </c>
      <c r="E6965" s="200">
        <v>40784</v>
      </c>
    </row>
    <row r="6966" spans="1:5" ht="14.25" hidden="1" customHeight="1">
      <c r="A6966" s="156"/>
      <c r="B6966" s="172" t="s">
        <v>8197</v>
      </c>
      <c r="C6966" s="172" t="s">
        <v>8198</v>
      </c>
      <c r="D6966" s="194" t="s">
        <v>8192</v>
      </c>
      <c r="E6966" s="200">
        <v>40784</v>
      </c>
    </row>
    <row r="6967" spans="1:5" ht="14.25" hidden="1" customHeight="1">
      <c r="A6967" s="156">
        <v>14709050</v>
      </c>
      <c r="B6967" s="172" t="s">
        <v>8208</v>
      </c>
      <c r="C6967" s="172" t="s">
        <v>215</v>
      </c>
      <c r="D6967" s="194" t="s">
        <v>8206</v>
      </c>
      <c r="E6967" s="200">
        <v>40784</v>
      </c>
    </row>
    <row r="6968" spans="1:5" ht="14.25" hidden="1" customHeight="1">
      <c r="A6968" s="156">
        <v>20284201</v>
      </c>
      <c r="B6968" s="172" t="s">
        <v>8211</v>
      </c>
      <c r="C6968" s="172" t="s">
        <v>8212</v>
      </c>
      <c r="D6968" s="194" t="s">
        <v>8206</v>
      </c>
      <c r="E6968" s="200">
        <v>40784</v>
      </c>
    </row>
    <row r="6969" spans="1:5" ht="14.25" hidden="1" customHeight="1">
      <c r="A6969" s="156">
        <v>20310540</v>
      </c>
      <c r="B6969" s="172" t="s">
        <v>8209</v>
      </c>
      <c r="C6969" s="172" t="s">
        <v>8210</v>
      </c>
      <c r="D6969" s="194" t="s">
        <v>8206</v>
      </c>
      <c r="E6969" s="200">
        <v>40784</v>
      </c>
    </row>
    <row r="6970" spans="1:5" ht="14.25" hidden="1" customHeight="1">
      <c r="A6970" s="156">
        <v>23141145</v>
      </c>
      <c r="B6970" s="172" t="s">
        <v>1102</v>
      </c>
      <c r="C6970" s="172" t="s">
        <v>7173</v>
      </c>
      <c r="D6970" s="194" t="s">
        <v>8206</v>
      </c>
      <c r="E6970" s="200">
        <v>40784</v>
      </c>
    </row>
    <row r="6971" spans="1:5" ht="14.25" hidden="1" customHeight="1">
      <c r="A6971" s="156">
        <v>24553486</v>
      </c>
      <c r="B6971" s="172" t="s">
        <v>8205</v>
      </c>
      <c r="C6971" s="172" t="s">
        <v>427</v>
      </c>
      <c r="D6971" s="194" t="s">
        <v>8206</v>
      </c>
      <c r="E6971" s="200">
        <v>40784</v>
      </c>
    </row>
    <row r="6972" spans="1:5" ht="14.25" hidden="1" customHeight="1">
      <c r="A6972" s="156">
        <v>26445563</v>
      </c>
      <c r="B6972" s="177" t="s">
        <v>6091</v>
      </c>
      <c r="C6972" s="172" t="s">
        <v>215</v>
      </c>
      <c r="D6972" s="194" t="s">
        <v>8206</v>
      </c>
      <c r="E6972" s="200">
        <v>40784</v>
      </c>
    </row>
    <row r="6973" spans="1:5" ht="14.25" hidden="1" customHeight="1">
      <c r="A6973" s="156">
        <v>29242462</v>
      </c>
      <c r="B6973" s="172" t="s">
        <v>8207</v>
      </c>
      <c r="C6973" s="172" t="s">
        <v>2712</v>
      </c>
      <c r="D6973" s="194" t="s">
        <v>8206</v>
      </c>
      <c r="E6973" s="200">
        <v>40784</v>
      </c>
    </row>
    <row r="6974" spans="1:5" ht="14.25" hidden="1" customHeight="1">
      <c r="A6974" s="156">
        <v>31589537</v>
      </c>
      <c r="B6974" s="172" t="s">
        <v>4987</v>
      </c>
      <c r="C6974" s="172" t="s">
        <v>4988</v>
      </c>
      <c r="D6974" s="194" t="s">
        <v>8206</v>
      </c>
      <c r="E6974" s="200">
        <v>40784</v>
      </c>
    </row>
    <row r="6975" spans="1:5" ht="14.25" hidden="1" customHeight="1">
      <c r="A6975" s="156">
        <v>34286888</v>
      </c>
      <c r="B6975" s="172" t="s">
        <v>5063</v>
      </c>
      <c r="C6975" s="172" t="s">
        <v>5061</v>
      </c>
      <c r="D6975" s="194" t="s">
        <v>8206</v>
      </c>
      <c r="E6975" s="200">
        <v>40784</v>
      </c>
    </row>
    <row r="6976" spans="1:5" ht="14.25" hidden="1" customHeight="1">
      <c r="A6976" s="156">
        <v>5260641</v>
      </c>
      <c r="B6976" s="172" t="s">
        <v>5529</v>
      </c>
      <c r="C6976" s="172" t="s">
        <v>1681</v>
      </c>
      <c r="D6976" s="194" t="s">
        <v>8213</v>
      </c>
      <c r="E6976" s="200">
        <v>40772</v>
      </c>
    </row>
    <row r="6977" spans="1:5" ht="14.25" hidden="1" customHeight="1">
      <c r="A6977" s="156">
        <v>8099455</v>
      </c>
      <c r="B6977" s="172" t="s">
        <v>8216</v>
      </c>
      <c r="C6977" s="172" t="s">
        <v>8217</v>
      </c>
      <c r="D6977" s="194" t="s">
        <v>8213</v>
      </c>
      <c r="E6977" s="200">
        <v>40772</v>
      </c>
    </row>
    <row r="6978" spans="1:5" ht="14.25" hidden="1" customHeight="1">
      <c r="A6978" s="156">
        <v>10645222</v>
      </c>
      <c r="B6978" s="172" t="s">
        <v>3732</v>
      </c>
      <c r="C6978" s="172" t="s">
        <v>2196</v>
      </c>
      <c r="D6978" s="194" t="s">
        <v>8213</v>
      </c>
      <c r="E6978" s="200">
        <v>40772</v>
      </c>
    </row>
    <row r="6979" spans="1:5" ht="14.25" hidden="1" customHeight="1">
      <c r="A6979" s="156">
        <v>10728835</v>
      </c>
      <c r="B6979" s="172" t="s">
        <v>3394</v>
      </c>
      <c r="C6979" s="172" t="s">
        <v>3395</v>
      </c>
      <c r="D6979" s="194" t="s">
        <v>8213</v>
      </c>
      <c r="E6979" s="200">
        <v>40772</v>
      </c>
    </row>
    <row r="6980" spans="1:5" ht="14.25" hidden="1" customHeight="1">
      <c r="A6980" s="156">
        <v>11475132</v>
      </c>
      <c r="B6980" s="172" t="s">
        <v>5034</v>
      </c>
      <c r="C6980" s="172" t="s">
        <v>6492</v>
      </c>
      <c r="D6980" s="194" t="s">
        <v>8213</v>
      </c>
      <c r="E6980" s="200">
        <v>40772</v>
      </c>
    </row>
    <row r="6981" spans="1:5" ht="14.25" hidden="1" customHeight="1">
      <c r="A6981" s="156">
        <v>11915728</v>
      </c>
      <c r="B6981" s="172" t="s">
        <v>218</v>
      </c>
      <c r="C6981" s="172" t="s">
        <v>1688</v>
      </c>
      <c r="D6981" s="194" t="s">
        <v>8213</v>
      </c>
      <c r="E6981" s="200">
        <v>40772</v>
      </c>
    </row>
    <row r="6982" spans="1:5" ht="14.25" hidden="1" customHeight="1">
      <c r="A6982" s="156">
        <v>12413509</v>
      </c>
      <c r="B6982" s="172" t="s">
        <v>1637</v>
      </c>
      <c r="C6982" s="172" t="s">
        <v>2625</v>
      </c>
      <c r="D6982" s="194" t="s">
        <v>8213</v>
      </c>
      <c r="E6982" s="200">
        <v>40772</v>
      </c>
    </row>
    <row r="6983" spans="1:5" ht="14.25" hidden="1" customHeight="1">
      <c r="A6983" s="156">
        <v>12414462</v>
      </c>
      <c r="B6983" s="172" t="s">
        <v>1973</v>
      </c>
      <c r="C6983" s="172" t="s">
        <v>7225</v>
      </c>
      <c r="D6983" s="194" t="s">
        <v>8213</v>
      </c>
      <c r="E6983" s="200">
        <v>40772</v>
      </c>
    </row>
    <row r="6984" spans="1:5" ht="14.25" hidden="1" customHeight="1">
      <c r="A6984" s="156">
        <v>13475945</v>
      </c>
      <c r="B6984" s="172" t="s">
        <v>2129</v>
      </c>
      <c r="C6984" s="172" t="s">
        <v>8219</v>
      </c>
      <c r="D6984" s="194" t="s">
        <v>8213</v>
      </c>
      <c r="E6984" s="200">
        <v>40772</v>
      </c>
    </row>
    <row r="6985" spans="1:5" ht="14.25" hidden="1" customHeight="1">
      <c r="A6985" s="156">
        <v>13627572</v>
      </c>
      <c r="B6985" s="172" t="s">
        <v>428</v>
      </c>
      <c r="C6985" s="172" t="s">
        <v>584</v>
      </c>
      <c r="D6985" s="194" t="s">
        <v>8213</v>
      </c>
      <c r="E6985" s="200">
        <v>40772</v>
      </c>
    </row>
    <row r="6986" spans="1:5" ht="14.25" hidden="1" customHeight="1">
      <c r="A6986" s="156">
        <v>14353035</v>
      </c>
      <c r="B6986" s="172" t="s">
        <v>1574</v>
      </c>
      <c r="C6986" s="172" t="s">
        <v>1790</v>
      </c>
      <c r="D6986" s="194" t="s">
        <v>8213</v>
      </c>
      <c r="E6986" s="200">
        <v>40772</v>
      </c>
    </row>
    <row r="6987" spans="1:5" ht="14.25" hidden="1" customHeight="1">
      <c r="A6987" s="156">
        <v>16314577</v>
      </c>
      <c r="B6987" s="172" t="s">
        <v>377</v>
      </c>
      <c r="C6987" s="172" t="s">
        <v>378</v>
      </c>
      <c r="D6987" s="194" t="s">
        <v>8213</v>
      </c>
      <c r="E6987" s="200">
        <v>40772</v>
      </c>
    </row>
    <row r="6988" spans="1:5" ht="14.25" hidden="1" customHeight="1">
      <c r="A6988" s="156">
        <v>16954394</v>
      </c>
      <c r="B6988" s="172" t="s">
        <v>6498</v>
      </c>
      <c r="C6988" s="172" t="s">
        <v>6499</v>
      </c>
      <c r="D6988" s="194" t="s">
        <v>8213</v>
      </c>
      <c r="E6988" s="200">
        <v>40772</v>
      </c>
    </row>
    <row r="6989" spans="1:5" ht="14.25" hidden="1" customHeight="1">
      <c r="A6989" s="156">
        <v>17376866</v>
      </c>
      <c r="B6989" s="172" t="s">
        <v>6038</v>
      </c>
      <c r="C6989" s="172" t="s">
        <v>6042</v>
      </c>
      <c r="D6989" s="194" t="s">
        <v>8213</v>
      </c>
      <c r="E6989" s="200">
        <v>40772</v>
      </c>
    </row>
    <row r="6990" spans="1:5" ht="14.25" hidden="1" customHeight="1">
      <c r="A6990" s="156">
        <v>17458714</v>
      </c>
      <c r="B6990" s="172" t="s">
        <v>3975</v>
      </c>
      <c r="C6990" s="172" t="s">
        <v>681</v>
      </c>
      <c r="D6990" s="194" t="s">
        <v>8213</v>
      </c>
      <c r="E6990" s="200">
        <v>40772</v>
      </c>
    </row>
    <row r="6991" spans="1:5" ht="14.25" hidden="1" customHeight="1">
      <c r="A6991" s="156">
        <v>18187738</v>
      </c>
      <c r="B6991" s="172" t="s">
        <v>195</v>
      </c>
      <c r="C6991" s="172" t="s">
        <v>2959</v>
      </c>
      <c r="D6991" s="194" t="s">
        <v>8213</v>
      </c>
      <c r="E6991" s="200">
        <v>40772</v>
      </c>
    </row>
    <row r="6992" spans="1:5" ht="14.25" hidden="1" customHeight="1">
      <c r="A6992" s="156">
        <v>20285526</v>
      </c>
      <c r="B6992" s="172" t="s">
        <v>2116</v>
      </c>
      <c r="C6992" s="172" t="s">
        <v>1187</v>
      </c>
      <c r="D6992" s="194" t="s">
        <v>8213</v>
      </c>
      <c r="E6992" s="200">
        <v>40772</v>
      </c>
    </row>
    <row r="6993" spans="1:5" ht="14.25" hidden="1" customHeight="1">
      <c r="A6993" s="156">
        <v>21744058</v>
      </c>
      <c r="B6993" s="172" t="s">
        <v>1823</v>
      </c>
      <c r="C6993" s="177" t="s">
        <v>1138</v>
      </c>
      <c r="D6993" s="194" t="s">
        <v>8213</v>
      </c>
      <c r="E6993" s="200">
        <v>40772</v>
      </c>
    </row>
    <row r="6994" spans="1:5" ht="14.25" hidden="1" customHeight="1">
      <c r="A6994" s="156">
        <v>22031835</v>
      </c>
      <c r="B6994" s="172" t="s">
        <v>8187</v>
      </c>
      <c r="C6994" s="172" t="s">
        <v>274</v>
      </c>
      <c r="D6994" s="194" t="s">
        <v>8213</v>
      </c>
      <c r="E6994" s="200">
        <v>40772</v>
      </c>
    </row>
    <row r="6995" spans="1:5" ht="14.25" hidden="1" customHeight="1">
      <c r="A6995" s="156">
        <v>22181023</v>
      </c>
      <c r="B6995" s="172" t="s">
        <v>497</v>
      </c>
      <c r="C6995" s="172" t="s">
        <v>3884</v>
      </c>
      <c r="D6995" s="194" t="s">
        <v>8213</v>
      </c>
      <c r="E6995" s="200">
        <v>40772</v>
      </c>
    </row>
    <row r="6996" spans="1:5" ht="14.25" hidden="1" customHeight="1">
      <c r="A6996" s="156">
        <v>23116378</v>
      </c>
      <c r="B6996" s="172" t="s">
        <v>5194</v>
      </c>
      <c r="C6996" s="172" t="s">
        <v>5195</v>
      </c>
      <c r="D6996" s="194" t="s">
        <v>8213</v>
      </c>
      <c r="E6996" s="200">
        <v>40772</v>
      </c>
    </row>
    <row r="6997" spans="1:5" ht="14.25" hidden="1" customHeight="1">
      <c r="A6997" s="156">
        <v>23519007</v>
      </c>
      <c r="B6997" s="172" t="s">
        <v>3863</v>
      </c>
      <c r="C6997" s="172" t="s">
        <v>3864</v>
      </c>
      <c r="D6997" s="194" t="s">
        <v>8213</v>
      </c>
      <c r="E6997" s="200">
        <v>40772</v>
      </c>
    </row>
    <row r="6998" spans="1:5" ht="14.25" hidden="1" customHeight="1">
      <c r="A6998" s="156">
        <v>23930783</v>
      </c>
      <c r="B6998" s="172" t="s">
        <v>4730</v>
      </c>
      <c r="C6998" s="172" t="s">
        <v>4676</v>
      </c>
      <c r="D6998" s="194" t="s">
        <v>8213</v>
      </c>
      <c r="E6998" s="200">
        <v>40772</v>
      </c>
    </row>
    <row r="6999" spans="1:5" ht="14.25" hidden="1" customHeight="1">
      <c r="A6999" s="156">
        <v>23931889</v>
      </c>
      <c r="B6999" s="172" t="s">
        <v>5651</v>
      </c>
      <c r="C6999" s="172" t="s">
        <v>5652</v>
      </c>
      <c r="D6999" s="194" t="s">
        <v>8213</v>
      </c>
      <c r="E6999" s="200">
        <v>40772</v>
      </c>
    </row>
    <row r="7000" spans="1:5" ht="14.25" hidden="1" customHeight="1">
      <c r="A7000" s="156">
        <v>23984466</v>
      </c>
      <c r="B7000" s="172" t="s">
        <v>5611</v>
      </c>
      <c r="C7000" s="172" t="s">
        <v>4436</v>
      </c>
      <c r="D7000" s="194" t="s">
        <v>8213</v>
      </c>
      <c r="E7000" s="200">
        <v>40772</v>
      </c>
    </row>
    <row r="7001" spans="1:5" ht="14.25" hidden="1" customHeight="1">
      <c r="A7001" s="156">
        <v>25003911</v>
      </c>
      <c r="B7001" s="172" t="s">
        <v>4900</v>
      </c>
      <c r="C7001" s="172" t="s">
        <v>4875</v>
      </c>
      <c r="D7001" s="194" t="s">
        <v>8213</v>
      </c>
      <c r="E7001" s="200">
        <v>40772</v>
      </c>
    </row>
    <row r="7002" spans="1:5" ht="14.25" hidden="1" customHeight="1">
      <c r="A7002" s="156">
        <v>25380616</v>
      </c>
      <c r="B7002" s="172" t="s">
        <v>288</v>
      </c>
      <c r="C7002" s="172" t="s">
        <v>3581</v>
      </c>
      <c r="D7002" s="194" t="s">
        <v>8213</v>
      </c>
      <c r="E7002" s="200">
        <v>40772</v>
      </c>
    </row>
    <row r="7003" spans="1:5" ht="14.25" hidden="1" customHeight="1">
      <c r="A7003" s="156">
        <v>25843239</v>
      </c>
      <c r="B7003" s="172" t="s">
        <v>4112</v>
      </c>
      <c r="C7003" s="172" t="s">
        <v>8215</v>
      </c>
      <c r="D7003" s="194" t="s">
        <v>8213</v>
      </c>
      <c r="E7003" s="200">
        <v>40772</v>
      </c>
    </row>
    <row r="7004" spans="1:5" ht="14.25" hidden="1" customHeight="1">
      <c r="A7004" s="156">
        <v>25992830</v>
      </c>
      <c r="B7004" s="172" t="s">
        <v>195</v>
      </c>
      <c r="C7004" s="172" t="s">
        <v>8214</v>
      </c>
      <c r="D7004" s="194" t="s">
        <v>8213</v>
      </c>
      <c r="E7004" s="200">
        <v>40772</v>
      </c>
    </row>
    <row r="7005" spans="1:5" ht="14.25" hidden="1" customHeight="1">
      <c r="A7005" s="156">
        <v>32412614</v>
      </c>
      <c r="B7005" s="172" t="s">
        <v>4580</v>
      </c>
      <c r="C7005" s="172" t="s">
        <v>4581</v>
      </c>
      <c r="D7005" s="194" t="s">
        <v>8213</v>
      </c>
      <c r="E7005" s="200">
        <v>40772</v>
      </c>
    </row>
    <row r="7006" spans="1:5" ht="14.25" hidden="1" customHeight="1">
      <c r="A7006" s="156">
        <v>32525926</v>
      </c>
      <c r="B7006" s="172" t="s">
        <v>6003</v>
      </c>
      <c r="C7006" s="172" t="s">
        <v>1353</v>
      </c>
      <c r="D7006" s="194" t="s">
        <v>8213</v>
      </c>
      <c r="E7006" s="200">
        <v>40772</v>
      </c>
    </row>
    <row r="7007" spans="1:5" ht="14.25" hidden="1" customHeight="1">
      <c r="A7007" s="156">
        <v>33050608</v>
      </c>
      <c r="B7007" s="172" t="s">
        <v>760</v>
      </c>
      <c r="C7007" s="172" t="s">
        <v>6430</v>
      </c>
      <c r="D7007" s="194" t="s">
        <v>8213</v>
      </c>
      <c r="E7007" s="200">
        <v>40772</v>
      </c>
    </row>
    <row r="7008" spans="1:5" ht="14.25" hidden="1" customHeight="1">
      <c r="A7008" s="156"/>
      <c r="B7008" s="172" t="s">
        <v>3958</v>
      </c>
      <c r="C7008" s="172" t="s">
        <v>3959</v>
      </c>
      <c r="D7008" s="194" t="s">
        <v>8213</v>
      </c>
      <c r="E7008" s="200">
        <v>40772</v>
      </c>
    </row>
    <row r="7009" spans="1:5" ht="14.25" hidden="1" customHeight="1">
      <c r="A7009" s="156"/>
      <c r="B7009" s="172" t="s">
        <v>983</v>
      </c>
      <c r="C7009" s="172" t="s">
        <v>3888</v>
      </c>
      <c r="D7009" s="194" t="s">
        <v>8213</v>
      </c>
      <c r="E7009" s="200">
        <v>40772</v>
      </c>
    </row>
    <row r="7010" spans="1:5" ht="14.25" hidden="1" customHeight="1">
      <c r="A7010" s="156"/>
      <c r="B7010" s="172" t="s">
        <v>8218</v>
      </c>
      <c r="C7010" s="172" t="s">
        <v>1801</v>
      </c>
      <c r="D7010" s="194" t="s">
        <v>8213</v>
      </c>
      <c r="E7010" s="200">
        <v>40772</v>
      </c>
    </row>
    <row r="7011" spans="1:5" ht="14.25" hidden="1" customHeight="1">
      <c r="A7011" s="156"/>
      <c r="B7011" s="172" t="s">
        <v>4874</v>
      </c>
      <c r="C7011" s="172" t="s">
        <v>1801</v>
      </c>
      <c r="D7011" s="194" t="s">
        <v>8213</v>
      </c>
      <c r="E7011" s="200">
        <v>40772</v>
      </c>
    </row>
    <row r="7012" spans="1:5" ht="14.25" hidden="1" customHeight="1">
      <c r="A7012" s="156">
        <v>4256432</v>
      </c>
      <c r="B7012" s="172" t="s">
        <v>6193</v>
      </c>
      <c r="C7012" s="172" t="s">
        <v>6194</v>
      </c>
      <c r="D7012" s="194" t="s">
        <v>7309</v>
      </c>
      <c r="E7012" s="200">
        <v>40765</v>
      </c>
    </row>
    <row r="7013" spans="1:5" ht="14.25" hidden="1" customHeight="1">
      <c r="A7013" s="156">
        <v>6054662</v>
      </c>
      <c r="B7013" s="172" t="s">
        <v>6202</v>
      </c>
      <c r="C7013" s="172" t="s">
        <v>6203</v>
      </c>
      <c r="D7013" s="194" t="s">
        <v>7309</v>
      </c>
      <c r="E7013" s="200">
        <v>40765</v>
      </c>
    </row>
    <row r="7014" spans="1:5" ht="14.25" hidden="1" customHeight="1">
      <c r="A7014" s="156">
        <v>8057007</v>
      </c>
      <c r="B7014" s="172" t="s">
        <v>197</v>
      </c>
      <c r="C7014" s="172" t="s">
        <v>198</v>
      </c>
      <c r="D7014" s="194" t="s">
        <v>7309</v>
      </c>
      <c r="E7014" s="200">
        <v>40765</v>
      </c>
    </row>
    <row r="7015" spans="1:5" ht="14.25" hidden="1" customHeight="1">
      <c r="A7015" s="156">
        <v>11463963</v>
      </c>
      <c r="B7015" s="172" t="s">
        <v>288</v>
      </c>
      <c r="C7015" s="172" t="s">
        <v>289</v>
      </c>
      <c r="D7015" s="194" t="s">
        <v>7309</v>
      </c>
      <c r="E7015" s="200">
        <v>40765</v>
      </c>
    </row>
    <row r="7016" spans="1:5" ht="14.25" hidden="1" customHeight="1">
      <c r="A7016" s="156">
        <v>12597950</v>
      </c>
      <c r="B7016" s="172" t="s">
        <v>1184</v>
      </c>
      <c r="C7016" s="172" t="s">
        <v>1185</v>
      </c>
      <c r="D7016" s="194" t="s">
        <v>7309</v>
      </c>
      <c r="E7016" s="200">
        <v>40765</v>
      </c>
    </row>
    <row r="7017" spans="1:5" ht="14.25" hidden="1" customHeight="1">
      <c r="A7017" s="156">
        <v>12597950</v>
      </c>
      <c r="B7017" s="172" t="s">
        <v>8228</v>
      </c>
      <c r="C7017" s="172" t="s">
        <v>504</v>
      </c>
      <c r="D7017" s="194" t="s">
        <v>7309</v>
      </c>
      <c r="E7017" s="200">
        <v>40765</v>
      </c>
    </row>
    <row r="7018" spans="1:5" ht="14.25" hidden="1" customHeight="1">
      <c r="A7018" s="156">
        <v>12598819</v>
      </c>
      <c r="B7018" s="186" t="s">
        <v>8229</v>
      </c>
      <c r="C7018" s="193" t="s">
        <v>8230</v>
      </c>
      <c r="D7018" s="194" t="s">
        <v>7309</v>
      </c>
      <c r="E7018" s="200">
        <v>40765</v>
      </c>
    </row>
    <row r="7019" spans="1:5" ht="14.25" hidden="1" customHeight="1">
      <c r="A7019" s="156">
        <v>13279176</v>
      </c>
      <c r="B7019" s="172" t="s">
        <v>8222</v>
      </c>
      <c r="C7019" s="172" t="s">
        <v>1061</v>
      </c>
      <c r="D7019" s="194" t="s">
        <v>7309</v>
      </c>
      <c r="E7019" s="200">
        <v>40765</v>
      </c>
    </row>
    <row r="7020" spans="1:5" ht="14.25" hidden="1" customHeight="1">
      <c r="A7020" s="156">
        <v>13378143</v>
      </c>
      <c r="B7020" s="172" t="s">
        <v>1040</v>
      </c>
      <c r="C7020" s="172" t="s">
        <v>2783</v>
      </c>
      <c r="D7020" s="194" t="s">
        <v>7309</v>
      </c>
      <c r="E7020" s="200">
        <v>40765</v>
      </c>
    </row>
    <row r="7021" spans="1:5" ht="14.25" hidden="1" customHeight="1">
      <c r="A7021" s="156">
        <v>13627484</v>
      </c>
      <c r="B7021" s="172" t="s">
        <v>4065</v>
      </c>
      <c r="C7021" s="172" t="s">
        <v>4066</v>
      </c>
      <c r="D7021" s="194" t="s">
        <v>7309</v>
      </c>
      <c r="E7021" s="200">
        <v>40765</v>
      </c>
    </row>
    <row r="7022" spans="1:5" ht="14.25" hidden="1" customHeight="1">
      <c r="A7022" s="156">
        <v>13628928</v>
      </c>
      <c r="B7022" s="172" t="s">
        <v>996</v>
      </c>
      <c r="C7022" s="172" t="s">
        <v>8221</v>
      </c>
      <c r="D7022" s="194" t="s">
        <v>7309</v>
      </c>
      <c r="E7022" s="200">
        <v>40765</v>
      </c>
    </row>
    <row r="7023" spans="1:5" ht="14.25" hidden="1" customHeight="1">
      <c r="A7023" s="156">
        <v>14083292</v>
      </c>
      <c r="B7023" s="172" t="s">
        <v>476</v>
      </c>
      <c r="C7023" s="172" t="s">
        <v>8227</v>
      </c>
      <c r="D7023" s="194" t="s">
        <v>7309</v>
      </c>
      <c r="E7023" s="200">
        <v>40765</v>
      </c>
    </row>
    <row r="7024" spans="1:5" ht="14.25" hidden="1" customHeight="1">
      <c r="A7024" s="156">
        <v>14661637</v>
      </c>
      <c r="B7024" s="172" t="s">
        <v>308</v>
      </c>
      <c r="C7024" s="172" t="s">
        <v>3996</v>
      </c>
      <c r="D7024" s="194" t="s">
        <v>7309</v>
      </c>
      <c r="E7024" s="200">
        <v>40765</v>
      </c>
    </row>
    <row r="7025" spans="1:5" ht="14.25" hidden="1" customHeight="1">
      <c r="A7025" s="156">
        <v>14661832</v>
      </c>
      <c r="B7025" s="172" t="s">
        <v>1890</v>
      </c>
      <c r="C7025" s="172" t="s">
        <v>1891</v>
      </c>
      <c r="D7025" s="194" t="s">
        <v>7309</v>
      </c>
      <c r="E7025" s="200">
        <v>40765</v>
      </c>
    </row>
    <row r="7026" spans="1:5" ht="14.25" hidden="1" customHeight="1">
      <c r="A7026" s="156">
        <v>16314645</v>
      </c>
      <c r="B7026" s="172" t="s">
        <v>1950</v>
      </c>
      <c r="C7026" s="172" t="s">
        <v>1974</v>
      </c>
      <c r="D7026" s="194" t="s">
        <v>7309</v>
      </c>
      <c r="E7026" s="200">
        <v>40765</v>
      </c>
    </row>
    <row r="7027" spans="1:5" ht="14.25" hidden="1" customHeight="1">
      <c r="A7027" s="156">
        <v>16314870</v>
      </c>
      <c r="B7027" s="172" t="s">
        <v>3822</v>
      </c>
      <c r="C7027" s="172" t="s">
        <v>1813</v>
      </c>
      <c r="D7027" s="194" t="s">
        <v>7309</v>
      </c>
      <c r="E7027" s="200">
        <v>40765</v>
      </c>
    </row>
    <row r="7028" spans="1:5" ht="14.25" hidden="1" customHeight="1">
      <c r="A7028" s="156">
        <v>16685969</v>
      </c>
      <c r="B7028" s="172" t="s">
        <v>2187</v>
      </c>
      <c r="C7028" s="172" t="s">
        <v>2188</v>
      </c>
      <c r="D7028" s="194" t="s">
        <v>7309</v>
      </c>
      <c r="E7028" s="200">
        <v>40765</v>
      </c>
    </row>
    <row r="7029" spans="1:5" ht="14.25" hidden="1" customHeight="1">
      <c r="A7029" s="156">
        <v>17270116</v>
      </c>
      <c r="B7029" s="172" t="s">
        <v>315</v>
      </c>
      <c r="C7029" s="172" t="s">
        <v>257</v>
      </c>
      <c r="D7029" s="194" t="s">
        <v>7309</v>
      </c>
      <c r="E7029" s="200">
        <v>40765</v>
      </c>
    </row>
    <row r="7030" spans="1:5" ht="14.25" hidden="1" customHeight="1">
      <c r="A7030" s="156">
        <v>17779601</v>
      </c>
      <c r="B7030" s="172" t="s">
        <v>7175</v>
      </c>
      <c r="C7030" s="172" t="s">
        <v>2161</v>
      </c>
      <c r="D7030" s="194" t="s">
        <v>7309</v>
      </c>
      <c r="E7030" s="200">
        <v>40765</v>
      </c>
    </row>
    <row r="7031" spans="1:5" ht="14.25" hidden="1" customHeight="1">
      <c r="A7031" s="156">
        <v>20171073</v>
      </c>
      <c r="B7031" s="172" t="s">
        <v>4970</v>
      </c>
      <c r="C7031" s="172" t="s">
        <v>4971</v>
      </c>
      <c r="D7031" s="194" t="s">
        <v>7309</v>
      </c>
      <c r="E7031" s="200">
        <v>40765</v>
      </c>
    </row>
    <row r="7032" spans="1:5" ht="14.25" hidden="1" customHeight="1">
      <c r="A7032" s="156">
        <v>20284192</v>
      </c>
      <c r="B7032" s="172" t="s">
        <v>8225</v>
      </c>
      <c r="C7032" s="172" t="s">
        <v>8226</v>
      </c>
      <c r="D7032" s="194" t="s">
        <v>7309</v>
      </c>
      <c r="E7032" s="200">
        <v>40765</v>
      </c>
    </row>
    <row r="7033" spans="1:5" ht="14.25" hidden="1" customHeight="1">
      <c r="A7033" s="156">
        <v>20661724</v>
      </c>
      <c r="B7033" s="172" t="s">
        <v>5846</v>
      </c>
      <c r="C7033" s="172" t="s">
        <v>6320</v>
      </c>
      <c r="D7033" s="194" t="s">
        <v>7309</v>
      </c>
      <c r="E7033" s="200">
        <v>40765</v>
      </c>
    </row>
    <row r="7034" spans="1:5" ht="14.25" hidden="1" customHeight="1">
      <c r="A7034" s="156">
        <v>21028992</v>
      </c>
      <c r="B7034" s="172" t="s">
        <v>2503</v>
      </c>
      <c r="C7034" s="172" t="s">
        <v>3858</v>
      </c>
      <c r="D7034" s="194" t="s">
        <v>7309</v>
      </c>
      <c r="E7034" s="200">
        <v>40765</v>
      </c>
    </row>
    <row r="7035" spans="1:5" ht="14.25" hidden="1" customHeight="1">
      <c r="A7035" s="156">
        <v>24059175</v>
      </c>
      <c r="B7035" s="172" t="s">
        <v>3380</v>
      </c>
      <c r="C7035" s="172" t="s">
        <v>8224</v>
      </c>
      <c r="D7035" s="194" t="s">
        <v>7309</v>
      </c>
      <c r="E7035" s="200">
        <v>40765</v>
      </c>
    </row>
    <row r="7036" spans="1:5" ht="14.25" hidden="1" customHeight="1">
      <c r="A7036" s="156">
        <v>25741308</v>
      </c>
      <c r="B7036" s="172" t="s">
        <v>4528</v>
      </c>
      <c r="C7036" s="172" t="s">
        <v>4529</v>
      </c>
      <c r="D7036" s="194" t="s">
        <v>7309</v>
      </c>
      <c r="E7036" s="200">
        <v>40765</v>
      </c>
    </row>
    <row r="7037" spans="1:5" ht="14.25" hidden="1" customHeight="1">
      <c r="A7037" s="156">
        <v>26455841</v>
      </c>
      <c r="B7037" s="172" t="s">
        <v>6730</v>
      </c>
      <c r="C7037" s="172" t="s">
        <v>8220</v>
      </c>
      <c r="D7037" s="194" t="s">
        <v>7309</v>
      </c>
      <c r="E7037" s="200">
        <v>40765</v>
      </c>
    </row>
    <row r="7038" spans="1:5" ht="14.25" hidden="1" customHeight="1">
      <c r="A7038" s="156">
        <v>26783381</v>
      </c>
      <c r="B7038" s="172" t="s">
        <v>2789</v>
      </c>
      <c r="C7038" s="172" t="s">
        <v>2790</v>
      </c>
      <c r="D7038" s="194" t="s">
        <v>7309</v>
      </c>
      <c r="E7038" s="200">
        <v>40765</v>
      </c>
    </row>
    <row r="7039" spans="1:5" ht="14.25" hidden="1" customHeight="1">
      <c r="A7039" s="156">
        <v>27016351</v>
      </c>
      <c r="B7039" s="172" t="s">
        <v>2026</v>
      </c>
      <c r="C7039" s="172" t="s">
        <v>3662</v>
      </c>
      <c r="D7039" s="194" t="s">
        <v>7309</v>
      </c>
      <c r="E7039" s="200">
        <v>40765</v>
      </c>
    </row>
    <row r="7040" spans="1:5" ht="14.25" hidden="1" customHeight="1">
      <c r="A7040" s="156">
        <v>27595246</v>
      </c>
      <c r="B7040" s="172" t="s">
        <v>6312</v>
      </c>
      <c r="C7040" s="172" t="s">
        <v>328</v>
      </c>
      <c r="D7040" s="194" t="s">
        <v>7309</v>
      </c>
      <c r="E7040" s="200">
        <v>40765</v>
      </c>
    </row>
    <row r="7041" spans="1:5" ht="14.25" hidden="1" customHeight="1">
      <c r="A7041" s="156">
        <v>27961455</v>
      </c>
      <c r="B7041" s="172" t="s">
        <v>940</v>
      </c>
      <c r="C7041" s="172" t="s">
        <v>941</v>
      </c>
      <c r="D7041" s="194" t="s">
        <v>7309</v>
      </c>
      <c r="E7041" s="200">
        <v>40765</v>
      </c>
    </row>
    <row r="7042" spans="1:5" ht="14.25" hidden="1" customHeight="1">
      <c r="A7042" s="156">
        <v>27961528</v>
      </c>
      <c r="B7042" s="172" t="s">
        <v>8223</v>
      </c>
      <c r="C7042" s="172" t="s">
        <v>527</v>
      </c>
      <c r="D7042" s="194" t="s">
        <v>7309</v>
      </c>
      <c r="E7042" s="200">
        <v>40765</v>
      </c>
    </row>
    <row r="7043" spans="1:5" ht="14.25" hidden="1" customHeight="1">
      <c r="A7043" s="166">
        <v>28681864</v>
      </c>
      <c r="B7043" s="185" t="s">
        <v>2642</v>
      </c>
      <c r="C7043" s="177" t="s">
        <v>2643</v>
      </c>
      <c r="D7043" s="194" t="s">
        <v>7309</v>
      </c>
      <c r="E7043" s="200">
        <v>40765</v>
      </c>
    </row>
    <row r="7044" spans="1:5" ht="14.25" hidden="1" customHeight="1">
      <c r="A7044" s="156">
        <v>30357304</v>
      </c>
      <c r="B7044" s="172" t="s">
        <v>350</v>
      </c>
      <c r="C7044" s="172" t="s">
        <v>588</v>
      </c>
      <c r="D7044" s="194" t="s">
        <v>7309</v>
      </c>
      <c r="E7044" s="200">
        <v>40765</v>
      </c>
    </row>
    <row r="7045" spans="1:5" ht="14.25" hidden="1" customHeight="1">
      <c r="A7045" s="156">
        <v>33391774</v>
      </c>
      <c r="B7045" s="172" t="s">
        <v>3965</v>
      </c>
      <c r="C7045" s="172" t="s">
        <v>3966</v>
      </c>
      <c r="D7045" s="194" t="s">
        <v>7309</v>
      </c>
      <c r="E7045" s="200">
        <v>40765</v>
      </c>
    </row>
    <row r="7046" spans="1:5" ht="14.25" hidden="1" customHeight="1">
      <c r="A7046" s="156">
        <v>17268866</v>
      </c>
      <c r="B7046" s="172" t="s">
        <v>948</v>
      </c>
      <c r="C7046" s="172" t="s">
        <v>3506</v>
      </c>
      <c r="D7046" s="194" t="s">
        <v>7009</v>
      </c>
      <c r="E7046" s="200">
        <v>40765</v>
      </c>
    </row>
    <row r="7047" spans="1:5" ht="14.25" hidden="1" customHeight="1">
      <c r="A7047" s="156">
        <v>18465826</v>
      </c>
      <c r="B7047" s="172" t="s">
        <v>8108</v>
      </c>
      <c r="C7047" s="172" t="s">
        <v>876</v>
      </c>
      <c r="D7047" s="194" t="s">
        <v>7009</v>
      </c>
      <c r="E7047" s="200">
        <v>40765</v>
      </c>
    </row>
    <row r="7048" spans="1:5" ht="14.25" hidden="1" customHeight="1">
      <c r="A7048" s="156">
        <v>18505921</v>
      </c>
      <c r="B7048" s="172" t="s">
        <v>3377</v>
      </c>
      <c r="C7048" s="172" t="s">
        <v>2878</v>
      </c>
      <c r="D7048" s="194" t="s">
        <v>7009</v>
      </c>
      <c r="E7048" s="200">
        <v>40765</v>
      </c>
    </row>
    <row r="7049" spans="1:5" ht="14.25" hidden="1" customHeight="1">
      <c r="A7049" s="156">
        <v>18591917</v>
      </c>
      <c r="B7049" s="172" t="s">
        <v>1155</v>
      </c>
      <c r="C7049" s="172" t="s">
        <v>1156</v>
      </c>
      <c r="D7049" s="199" t="s">
        <v>7009</v>
      </c>
      <c r="E7049" s="200">
        <v>40765</v>
      </c>
    </row>
    <row r="7050" spans="1:5" ht="14.25" hidden="1" customHeight="1">
      <c r="A7050" s="156">
        <v>21327352</v>
      </c>
      <c r="B7050" s="172" t="s">
        <v>8238</v>
      </c>
      <c r="C7050" s="172" t="s">
        <v>3466</v>
      </c>
      <c r="D7050" s="194" t="s">
        <v>7009</v>
      </c>
      <c r="E7050" s="200">
        <v>40765</v>
      </c>
    </row>
    <row r="7051" spans="1:5" ht="14.25" hidden="1" customHeight="1">
      <c r="A7051" s="156">
        <v>23931160</v>
      </c>
      <c r="B7051" s="172" t="s">
        <v>8239</v>
      </c>
      <c r="C7051" s="172" t="s">
        <v>8240</v>
      </c>
      <c r="D7051" s="194" t="s">
        <v>7009</v>
      </c>
      <c r="E7051" s="200">
        <v>40765</v>
      </c>
    </row>
    <row r="7052" spans="1:5" ht="14.25" hidden="1" customHeight="1">
      <c r="A7052" s="166">
        <v>25884992</v>
      </c>
      <c r="B7052" s="185" t="s">
        <v>415</v>
      </c>
      <c r="C7052" s="177" t="s">
        <v>8236</v>
      </c>
      <c r="D7052" s="199" t="s">
        <v>7009</v>
      </c>
      <c r="E7052" s="200">
        <v>40765</v>
      </c>
    </row>
    <row r="7053" spans="1:5" ht="14.25" hidden="1" customHeight="1">
      <c r="A7053" s="166">
        <v>26685498</v>
      </c>
      <c r="B7053" s="185" t="s">
        <v>8237</v>
      </c>
      <c r="C7053" s="172"/>
      <c r="D7053" s="199" t="s">
        <v>7009</v>
      </c>
      <c r="E7053" s="200">
        <v>40765</v>
      </c>
    </row>
    <row r="7054" spans="1:5" ht="14.25" hidden="1" customHeight="1">
      <c r="A7054" s="156">
        <v>27210973</v>
      </c>
      <c r="B7054" s="172" t="s">
        <v>1525</v>
      </c>
      <c r="C7054" s="172" t="s">
        <v>1526</v>
      </c>
      <c r="D7054" s="194" t="s">
        <v>7009</v>
      </c>
      <c r="E7054" s="200">
        <v>40765</v>
      </c>
    </row>
    <row r="7055" spans="1:5" ht="14.25" hidden="1" customHeight="1">
      <c r="A7055" s="156">
        <v>27370049</v>
      </c>
      <c r="B7055" s="172" t="s">
        <v>1547</v>
      </c>
      <c r="C7055" s="172" t="s">
        <v>6259</v>
      </c>
      <c r="D7055" s="194" t="s">
        <v>7009</v>
      </c>
      <c r="E7055" s="200">
        <v>40765</v>
      </c>
    </row>
    <row r="7056" spans="1:5" ht="14.25" hidden="1" customHeight="1">
      <c r="A7056" s="156">
        <v>28221282</v>
      </c>
      <c r="B7056" s="172" t="s">
        <v>8234</v>
      </c>
      <c r="C7056" s="172" t="s">
        <v>8235</v>
      </c>
      <c r="D7056" s="194" t="s">
        <v>7009</v>
      </c>
      <c r="E7056" s="200">
        <v>40765</v>
      </c>
    </row>
    <row r="7057" spans="1:5" ht="14.25" hidden="1" customHeight="1">
      <c r="A7057" s="156">
        <v>28646507</v>
      </c>
      <c r="B7057" s="172" t="s">
        <v>1060</v>
      </c>
      <c r="C7057" s="172" t="s">
        <v>1061</v>
      </c>
      <c r="D7057" s="194" t="s">
        <v>7009</v>
      </c>
      <c r="E7057" s="200">
        <v>40765</v>
      </c>
    </row>
    <row r="7058" spans="1:5" ht="14.25" hidden="1" customHeight="1">
      <c r="A7058" s="156">
        <v>28883174</v>
      </c>
      <c r="B7058" s="172" t="s">
        <v>1122</v>
      </c>
      <c r="C7058" s="172" t="s">
        <v>1123</v>
      </c>
      <c r="D7058" s="194" t="s">
        <v>7009</v>
      </c>
      <c r="E7058" s="200">
        <v>40765</v>
      </c>
    </row>
    <row r="7059" spans="1:5" ht="14.25" hidden="1" customHeight="1">
      <c r="A7059" s="156">
        <v>29997979</v>
      </c>
      <c r="B7059" s="172" t="s">
        <v>7809</v>
      </c>
      <c r="C7059" s="172" t="s">
        <v>527</v>
      </c>
      <c r="D7059" s="194" t="s">
        <v>7009</v>
      </c>
      <c r="E7059" s="200">
        <v>40765</v>
      </c>
    </row>
    <row r="7060" spans="1:5" ht="14.25" hidden="1" customHeight="1">
      <c r="A7060" s="156">
        <v>30069677</v>
      </c>
      <c r="B7060" s="172" t="s">
        <v>2612</v>
      </c>
      <c r="C7060" s="172" t="s">
        <v>2613</v>
      </c>
      <c r="D7060" s="194" t="s">
        <v>7009</v>
      </c>
      <c r="E7060" s="200">
        <v>40765</v>
      </c>
    </row>
    <row r="7061" spans="1:5" ht="14.25" hidden="1" customHeight="1">
      <c r="A7061" s="166">
        <v>31429914</v>
      </c>
      <c r="B7061" s="185" t="s">
        <v>8233</v>
      </c>
      <c r="C7061" s="172"/>
      <c r="D7061" s="199" t="s">
        <v>7009</v>
      </c>
      <c r="E7061" s="200">
        <v>40765</v>
      </c>
    </row>
    <row r="7062" spans="1:5" ht="14.25" hidden="1" customHeight="1">
      <c r="A7062" s="166">
        <v>32501409</v>
      </c>
      <c r="B7062" s="186" t="s">
        <v>8231</v>
      </c>
      <c r="C7062" s="193" t="s">
        <v>8232</v>
      </c>
      <c r="D7062" s="199" t="s">
        <v>7009</v>
      </c>
      <c r="E7062" s="200">
        <v>40765</v>
      </c>
    </row>
    <row r="7063" spans="1:5" ht="14.25" hidden="1" customHeight="1">
      <c r="A7063" s="156">
        <v>17494803</v>
      </c>
      <c r="B7063" s="172" t="s">
        <v>734</v>
      </c>
      <c r="C7063" s="177" t="s">
        <v>735</v>
      </c>
      <c r="D7063" s="194" t="s">
        <v>7309</v>
      </c>
      <c r="E7063" s="200">
        <v>40763</v>
      </c>
    </row>
    <row r="7064" spans="1:5" ht="14.25" hidden="1" customHeight="1">
      <c r="A7064" s="156">
        <v>18186212</v>
      </c>
      <c r="B7064" s="172" t="s">
        <v>5981</v>
      </c>
      <c r="C7064" s="172" t="s">
        <v>5982</v>
      </c>
      <c r="D7064" s="194" t="s">
        <v>7309</v>
      </c>
      <c r="E7064" s="200">
        <v>40763</v>
      </c>
    </row>
    <row r="7065" spans="1:5" ht="14.25" hidden="1" customHeight="1">
      <c r="A7065" s="156">
        <v>4256432</v>
      </c>
      <c r="B7065" s="172" t="s">
        <v>6193</v>
      </c>
      <c r="C7065" s="172" t="s">
        <v>8248</v>
      </c>
      <c r="D7065" s="194" t="s">
        <v>7018</v>
      </c>
      <c r="E7065" s="200">
        <v>40763</v>
      </c>
    </row>
    <row r="7066" spans="1:5" ht="14.25" hidden="1" customHeight="1">
      <c r="A7066" s="166">
        <v>6184204</v>
      </c>
      <c r="B7066" s="185" t="s">
        <v>8231</v>
      </c>
      <c r="C7066" s="178" t="s">
        <v>8244</v>
      </c>
      <c r="D7066" s="199" t="s">
        <v>8065</v>
      </c>
      <c r="E7066" s="200">
        <v>40763</v>
      </c>
    </row>
    <row r="7067" spans="1:5" ht="14.25" hidden="1" customHeight="1">
      <c r="A7067" s="156">
        <v>10645299</v>
      </c>
      <c r="B7067" s="172" t="s">
        <v>1531</v>
      </c>
      <c r="C7067" s="172" t="s">
        <v>8247</v>
      </c>
      <c r="D7067" s="194" t="s">
        <v>7018</v>
      </c>
      <c r="E7067" s="200">
        <v>40763</v>
      </c>
    </row>
    <row r="7068" spans="1:5" ht="14.25" hidden="1" customHeight="1">
      <c r="A7068" s="166">
        <v>12148032</v>
      </c>
      <c r="B7068" s="185" t="s">
        <v>8229</v>
      </c>
      <c r="C7068" s="178" t="s">
        <v>8065</v>
      </c>
      <c r="D7068" s="194" t="s">
        <v>8065</v>
      </c>
      <c r="E7068" s="200">
        <v>40763</v>
      </c>
    </row>
    <row r="7069" spans="1:5" ht="14.25" hidden="1" customHeight="1">
      <c r="A7069" s="156">
        <v>14708835</v>
      </c>
      <c r="B7069" s="172" t="s">
        <v>911</v>
      </c>
      <c r="C7069" s="172" t="s">
        <v>912</v>
      </c>
      <c r="D7069" s="194" t="s">
        <v>7018</v>
      </c>
      <c r="E7069" s="200">
        <v>40763</v>
      </c>
    </row>
    <row r="7070" spans="1:5" ht="14.25" hidden="1" customHeight="1">
      <c r="A7070" s="156">
        <v>17268324</v>
      </c>
      <c r="B7070" s="172" t="s">
        <v>4441</v>
      </c>
      <c r="C7070" s="172" t="s">
        <v>4442</v>
      </c>
      <c r="D7070" s="194" t="s">
        <v>7018</v>
      </c>
      <c r="E7070" s="200">
        <v>40763</v>
      </c>
    </row>
    <row r="7071" spans="1:5" ht="14.25" hidden="1" customHeight="1">
      <c r="A7071" s="156">
        <v>17615047</v>
      </c>
      <c r="B7071" s="172" t="s">
        <v>2966</v>
      </c>
      <c r="C7071" s="172" t="s">
        <v>6143</v>
      </c>
      <c r="D7071" s="194" t="s">
        <v>7018</v>
      </c>
      <c r="E7071" s="200">
        <v>40763</v>
      </c>
    </row>
    <row r="7072" spans="1:5" ht="14.25" hidden="1" customHeight="1">
      <c r="A7072" s="156">
        <v>17859844</v>
      </c>
      <c r="B7072" s="172" t="s">
        <v>1234</v>
      </c>
      <c r="C7072" s="172" t="s">
        <v>400</v>
      </c>
      <c r="D7072" s="194" t="s">
        <v>7018</v>
      </c>
      <c r="E7072" s="200">
        <v>40763</v>
      </c>
    </row>
    <row r="7073" spans="1:5" ht="14.25" hidden="1" customHeight="1">
      <c r="A7073" s="156">
        <v>17961115</v>
      </c>
      <c r="B7073" s="172" t="s">
        <v>4538</v>
      </c>
      <c r="C7073" s="172" t="s">
        <v>2880</v>
      </c>
      <c r="D7073" s="194" t="s">
        <v>7018</v>
      </c>
      <c r="E7073" s="200">
        <v>40763</v>
      </c>
    </row>
    <row r="7074" spans="1:5" ht="14.25" hidden="1" customHeight="1">
      <c r="A7074" s="156">
        <v>18505921</v>
      </c>
      <c r="B7074" s="172" t="s">
        <v>2422</v>
      </c>
      <c r="C7074" s="172" t="s">
        <v>2878</v>
      </c>
      <c r="D7074" s="194" t="s">
        <v>7018</v>
      </c>
      <c r="E7074" s="200">
        <v>40763</v>
      </c>
    </row>
    <row r="7075" spans="1:5" ht="14.25" hidden="1" customHeight="1">
      <c r="A7075" s="156">
        <v>18546331</v>
      </c>
      <c r="B7075" s="172" t="s">
        <v>144</v>
      </c>
      <c r="C7075" s="172" t="s">
        <v>922</v>
      </c>
      <c r="D7075" s="194" t="s">
        <v>7018</v>
      </c>
      <c r="E7075" s="200">
        <v>40763</v>
      </c>
    </row>
    <row r="7076" spans="1:5" ht="14.25" hidden="1" customHeight="1">
      <c r="A7076" s="156">
        <v>18591917</v>
      </c>
      <c r="B7076" s="172" t="s">
        <v>1155</v>
      </c>
      <c r="C7076" s="172" t="s">
        <v>1156</v>
      </c>
      <c r="D7076" s="199" t="s">
        <v>7018</v>
      </c>
      <c r="E7076" s="200">
        <v>40763</v>
      </c>
    </row>
    <row r="7077" spans="1:5" ht="14.25" hidden="1" customHeight="1">
      <c r="A7077" s="156">
        <v>20171458</v>
      </c>
      <c r="B7077" s="172" t="s">
        <v>8252</v>
      </c>
      <c r="C7077" s="172" t="s">
        <v>494</v>
      </c>
      <c r="D7077" s="194" t="s">
        <v>7018</v>
      </c>
      <c r="E7077" s="200">
        <v>40763</v>
      </c>
    </row>
    <row r="7078" spans="1:5" ht="14.25" hidden="1" customHeight="1">
      <c r="A7078" s="156">
        <v>20171458</v>
      </c>
      <c r="B7078" s="172" t="s">
        <v>493</v>
      </c>
      <c r="C7078" s="172" t="s">
        <v>5808</v>
      </c>
      <c r="D7078" s="194" t="s">
        <v>7018</v>
      </c>
      <c r="E7078" s="200">
        <v>40763</v>
      </c>
    </row>
    <row r="7079" spans="1:5" ht="14.25" hidden="1" customHeight="1">
      <c r="A7079" s="156">
        <v>20284201</v>
      </c>
      <c r="B7079" s="172" t="s">
        <v>8211</v>
      </c>
      <c r="C7079" s="172" t="s">
        <v>2715</v>
      </c>
      <c r="D7079" s="194" t="s">
        <v>7018</v>
      </c>
      <c r="E7079" s="200">
        <v>40763</v>
      </c>
    </row>
    <row r="7080" spans="1:5" ht="14.25" hidden="1" customHeight="1">
      <c r="A7080" s="156">
        <v>20285526</v>
      </c>
      <c r="B7080" s="172" t="s">
        <v>2116</v>
      </c>
      <c r="C7080" s="172" t="s">
        <v>1187</v>
      </c>
      <c r="D7080" s="194" t="s">
        <v>7018</v>
      </c>
      <c r="E7080" s="200">
        <v>40763</v>
      </c>
    </row>
    <row r="7081" spans="1:5" ht="14.25" hidden="1" customHeight="1">
      <c r="A7081" s="156">
        <v>20803370</v>
      </c>
      <c r="B7081" s="172" t="s">
        <v>1631</v>
      </c>
      <c r="C7081" s="172" t="s">
        <v>1632</v>
      </c>
      <c r="D7081" s="194" t="s">
        <v>7018</v>
      </c>
      <c r="E7081" s="200">
        <v>40763</v>
      </c>
    </row>
    <row r="7082" spans="1:5" ht="14.25" hidden="1" customHeight="1">
      <c r="A7082" s="156">
        <v>21829290</v>
      </c>
      <c r="B7082" s="172" t="s">
        <v>2521</v>
      </c>
      <c r="C7082" s="172" t="s">
        <v>2522</v>
      </c>
      <c r="D7082" s="194" t="s">
        <v>7018</v>
      </c>
      <c r="E7082" s="200">
        <v>40763</v>
      </c>
    </row>
    <row r="7083" spans="1:5" ht="14.25" hidden="1" customHeight="1">
      <c r="A7083" s="156">
        <v>23019235</v>
      </c>
      <c r="B7083" s="172" t="s">
        <v>2856</v>
      </c>
      <c r="C7083" s="172" t="s">
        <v>8245</v>
      </c>
      <c r="D7083" s="194" t="s">
        <v>7018</v>
      </c>
      <c r="E7083" s="200">
        <v>40763</v>
      </c>
    </row>
    <row r="7084" spans="1:5" ht="14.25" hidden="1" customHeight="1">
      <c r="A7084" s="156">
        <v>23519455</v>
      </c>
      <c r="B7084" s="172" t="s">
        <v>8241</v>
      </c>
      <c r="C7084" s="172" t="s">
        <v>4965</v>
      </c>
      <c r="D7084" s="194" t="s">
        <v>7018</v>
      </c>
      <c r="E7084" s="200">
        <v>40763</v>
      </c>
    </row>
    <row r="7085" spans="1:5" ht="14.25" hidden="1" customHeight="1">
      <c r="A7085" s="156">
        <v>24098848</v>
      </c>
      <c r="B7085" s="172" t="s">
        <v>4830</v>
      </c>
      <c r="C7085" s="172" t="s">
        <v>4831</v>
      </c>
      <c r="D7085" s="194" t="s">
        <v>7018</v>
      </c>
      <c r="E7085" s="200">
        <v>40763</v>
      </c>
    </row>
    <row r="7086" spans="1:5" ht="14.25" hidden="1" customHeight="1">
      <c r="A7086" s="156">
        <v>24503602</v>
      </c>
      <c r="B7086" s="172" t="s">
        <v>394</v>
      </c>
      <c r="C7086" s="172" t="s">
        <v>2873</v>
      </c>
      <c r="D7086" s="194" t="s">
        <v>7018</v>
      </c>
      <c r="E7086" s="200">
        <v>40763</v>
      </c>
    </row>
    <row r="7087" spans="1:5" ht="14.25" hidden="1" customHeight="1">
      <c r="A7087" s="156">
        <v>24553486</v>
      </c>
      <c r="B7087" s="172" t="s">
        <v>94</v>
      </c>
      <c r="C7087" s="172" t="s">
        <v>427</v>
      </c>
      <c r="D7087" s="194" t="s">
        <v>7018</v>
      </c>
      <c r="E7087" s="200">
        <v>40763</v>
      </c>
    </row>
    <row r="7088" spans="1:5" ht="14.25" hidden="1" customHeight="1">
      <c r="A7088" s="156">
        <v>25741308</v>
      </c>
      <c r="B7088" s="172" t="s">
        <v>4528</v>
      </c>
      <c r="C7088" s="172" t="s">
        <v>4529</v>
      </c>
      <c r="D7088" s="194" t="s">
        <v>7018</v>
      </c>
      <c r="E7088" s="200">
        <v>40763</v>
      </c>
    </row>
    <row r="7089" spans="1:5" ht="14.25" hidden="1" customHeight="1">
      <c r="A7089" s="156">
        <v>25843239</v>
      </c>
      <c r="B7089" s="172" t="s">
        <v>7353</v>
      </c>
      <c r="C7089" s="172" t="s">
        <v>1801</v>
      </c>
      <c r="D7089" s="194" t="s">
        <v>7018</v>
      </c>
      <c r="E7089" s="200">
        <v>40763</v>
      </c>
    </row>
    <row r="7090" spans="1:5" ht="14.25" hidden="1" customHeight="1">
      <c r="A7090" s="156">
        <v>26445563</v>
      </c>
      <c r="B7090" s="172" t="s">
        <v>6091</v>
      </c>
      <c r="C7090" s="172" t="s">
        <v>215</v>
      </c>
      <c r="D7090" s="194" t="s">
        <v>7018</v>
      </c>
      <c r="E7090" s="200">
        <v>40763</v>
      </c>
    </row>
    <row r="7091" spans="1:5" ht="14.25" hidden="1" customHeight="1">
      <c r="A7091" s="156">
        <v>26783381</v>
      </c>
      <c r="B7091" s="172" t="s">
        <v>8246</v>
      </c>
      <c r="C7091" s="172" t="s">
        <v>2790</v>
      </c>
      <c r="D7091" s="194" t="s">
        <v>7018</v>
      </c>
      <c r="E7091" s="200">
        <v>40763</v>
      </c>
    </row>
    <row r="7092" spans="1:5" ht="14.25" hidden="1" customHeight="1">
      <c r="A7092" s="156">
        <v>27595246</v>
      </c>
      <c r="B7092" s="172" t="s">
        <v>8249</v>
      </c>
      <c r="C7092" s="172" t="s">
        <v>328</v>
      </c>
      <c r="D7092" s="194" t="s">
        <v>7018</v>
      </c>
      <c r="E7092" s="200">
        <v>40763</v>
      </c>
    </row>
    <row r="7093" spans="1:5" ht="14.25" hidden="1" customHeight="1">
      <c r="A7093" s="166">
        <v>27651109</v>
      </c>
      <c r="B7093" s="186" t="s">
        <v>7863</v>
      </c>
      <c r="C7093" s="193" t="s">
        <v>8250</v>
      </c>
      <c r="D7093" s="194" t="s">
        <v>7018</v>
      </c>
      <c r="E7093" s="200">
        <v>40763</v>
      </c>
    </row>
    <row r="7094" spans="1:5" ht="14.25" hidden="1" customHeight="1">
      <c r="A7094" s="156">
        <v>27651542</v>
      </c>
      <c r="B7094" s="172" t="s">
        <v>8251</v>
      </c>
      <c r="C7094" s="172" t="s">
        <v>5856</v>
      </c>
      <c r="D7094" s="194" t="s">
        <v>7018</v>
      </c>
      <c r="E7094" s="200">
        <v>40763</v>
      </c>
    </row>
    <row r="7095" spans="1:5" ht="14.25" hidden="1" customHeight="1">
      <c r="A7095" s="156">
        <v>28223196</v>
      </c>
      <c r="B7095" s="172" t="s">
        <v>1295</v>
      </c>
      <c r="C7095" s="172" t="s">
        <v>1296</v>
      </c>
      <c r="D7095" s="194" t="s">
        <v>7018</v>
      </c>
      <c r="E7095" s="200">
        <v>40763</v>
      </c>
    </row>
    <row r="7096" spans="1:5" ht="14.25" hidden="1" customHeight="1">
      <c r="A7096" s="156">
        <v>30069677</v>
      </c>
      <c r="B7096" s="172" t="s">
        <v>2612</v>
      </c>
      <c r="C7096" s="172" t="s">
        <v>2613</v>
      </c>
      <c r="D7096" s="194" t="s">
        <v>7018</v>
      </c>
      <c r="E7096" s="201">
        <v>40763</v>
      </c>
    </row>
    <row r="7097" spans="1:5" ht="14.25" hidden="1" customHeight="1">
      <c r="A7097" s="156">
        <v>30090802</v>
      </c>
      <c r="B7097" s="172" t="s">
        <v>5012</v>
      </c>
      <c r="C7097" s="172" t="s">
        <v>5013</v>
      </c>
      <c r="D7097" s="194" t="s">
        <v>7018</v>
      </c>
      <c r="E7097" s="200">
        <v>40763</v>
      </c>
    </row>
    <row r="7098" spans="1:5" ht="14.25" hidden="1" customHeight="1">
      <c r="A7098" s="156">
        <v>31030930</v>
      </c>
      <c r="B7098" s="172" t="s">
        <v>5988</v>
      </c>
      <c r="C7098" s="172" t="s">
        <v>1208</v>
      </c>
      <c r="D7098" s="194" t="s">
        <v>7018</v>
      </c>
      <c r="E7098" s="200">
        <v>40763</v>
      </c>
    </row>
    <row r="7099" spans="1:5" ht="14.25" hidden="1" customHeight="1">
      <c r="A7099" s="156">
        <v>31810199</v>
      </c>
      <c r="B7099" s="172" t="s">
        <v>6502</v>
      </c>
      <c r="C7099" s="172" t="s">
        <v>8184</v>
      </c>
      <c r="D7099" s="194" t="s">
        <v>7018</v>
      </c>
      <c r="E7099" s="200">
        <v>40763</v>
      </c>
    </row>
    <row r="7100" spans="1:5" ht="14.25" hidden="1" customHeight="1">
      <c r="A7100" s="156">
        <v>31842349</v>
      </c>
      <c r="B7100" s="172" t="s">
        <v>476</v>
      </c>
      <c r="C7100" s="172" t="s">
        <v>4416</v>
      </c>
      <c r="D7100" s="194" t="s">
        <v>7018</v>
      </c>
      <c r="E7100" s="200">
        <v>40763</v>
      </c>
    </row>
    <row r="7101" spans="1:5" ht="14.25" hidden="1" customHeight="1">
      <c r="A7101" s="166">
        <v>32501409</v>
      </c>
      <c r="B7101" s="186" t="s">
        <v>8242</v>
      </c>
      <c r="C7101" s="193" t="s">
        <v>8243</v>
      </c>
      <c r="D7101" s="199" t="s">
        <v>8065</v>
      </c>
      <c r="E7101" s="200">
        <v>40763</v>
      </c>
    </row>
    <row r="7102" spans="1:5" ht="14.25" hidden="1" customHeight="1">
      <c r="A7102" s="156">
        <v>4256432</v>
      </c>
      <c r="B7102" s="172" t="s">
        <v>6193</v>
      </c>
      <c r="C7102" s="172" t="s">
        <v>6194</v>
      </c>
      <c r="D7102" s="194" t="s">
        <v>7020</v>
      </c>
      <c r="E7102" s="200">
        <v>40763</v>
      </c>
    </row>
    <row r="7103" spans="1:5" ht="14.25" hidden="1" customHeight="1">
      <c r="A7103" s="156">
        <v>5772320</v>
      </c>
      <c r="B7103" s="172" t="s">
        <v>8255</v>
      </c>
      <c r="C7103" s="172" t="s">
        <v>241</v>
      </c>
      <c r="D7103" s="195" t="s">
        <v>7020</v>
      </c>
      <c r="E7103" s="200">
        <v>40763</v>
      </c>
    </row>
    <row r="7104" spans="1:5" ht="14.25" hidden="1" customHeight="1">
      <c r="A7104" s="156">
        <v>11475984</v>
      </c>
      <c r="B7104" s="172" t="s">
        <v>3041</v>
      </c>
      <c r="C7104" s="172" t="s">
        <v>783</v>
      </c>
      <c r="D7104" s="195" t="s">
        <v>7020</v>
      </c>
      <c r="E7104" s="200">
        <v>40763</v>
      </c>
    </row>
    <row r="7105" spans="1:5" ht="14.25" hidden="1" customHeight="1">
      <c r="A7105" s="156">
        <v>11707732</v>
      </c>
      <c r="B7105" s="172" t="s">
        <v>4506</v>
      </c>
      <c r="C7105" s="172" t="s">
        <v>4507</v>
      </c>
      <c r="D7105" s="195" t="s">
        <v>7020</v>
      </c>
      <c r="E7105" s="200">
        <v>40763</v>
      </c>
    </row>
    <row r="7106" spans="1:5" ht="14.25" hidden="1" customHeight="1">
      <c r="A7106" s="156">
        <v>12598819</v>
      </c>
      <c r="B7106" s="172" t="s">
        <v>2262</v>
      </c>
      <c r="C7106" s="172" t="s">
        <v>6379</v>
      </c>
      <c r="D7106" s="195" t="s">
        <v>7020</v>
      </c>
      <c r="E7106" s="200">
        <v>40763</v>
      </c>
    </row>
    <row r="7107" spans="1:5" ht="14.25" hidden="1" customHeight="1">
      <c r="A7107" s="156">
        <v>17268324</v>
      </c>
      <c r="B7107" s="172" t="s">
        <v>4441</v>
      </c>
      <c r="C7107" s="172" t="s">
        <v>4442</v>
      </c>
      <c r="D7107" s="195" t="s">
        <v>7020</v>
      </c>
      <c r="E7107" s="200">
        <v>40763</v>
      </c>
    </row>
    <row r="7108" spans="1:5" ht="14.25" hidden="1" customHeight="1">
      <c r="A7108" s="156">
        <v>17377961</v>
      </c>
      <c r="B7108" s="172" t="s">
        <v>6436</v>
      </c>
      <c r="C7108" s="172" t="s">
        <v>6437</v>
      </c>
      <c r="D7108" s="195" t="s">
        <v>7020</v>
      </c>
      <c r="E7108" s="200">
        <v>40763</v>
      </c>
    </row>
    <row r="7109" spans="1:5" ht="14.25" hidden="1" customHeight="1">
      <c r="A7109" s="156">
        <v>17961115</v>
      </c>
      <c r="B7109" s="172" t="s">
        <v>4538</v>
      </c>
      <c r="C7109" s="172" t="s">
        <v>2880</v>
      </c>
      <c r="D7109" s="195" t="s">
        <v>7020</v>
      </c>
      <c r="E7109" s="200">
        <v>40763</v>
      </c>
    </row>
    <row r="7110" spans="1:5" ht="14.25" hidden="1" customHeight="1">
      <c r="A7110" s="156">
        <v>18186212</v>
      </c>
      <c r="B7110" s="172" t="s">
        <v>5981</v>
      </c>
      <c r="C7110" s="172" t="s">
        <v>5982</v>
      </c>
      <c r="D7110" s="195" t="s">
        <v>7020</v>
      </c>
      <c r="E7110" s="200">
        <v>40763</v>
      </c>
    </row>
    <row r="7111" spans="1:5" ht="14.25" hidden="1" customHeight="1">
      <c r="A7111" s="156">
        <v>18187225</v>
      </c>
      <c r="B7111" s="172" t="s">
        <v>2248</v>
      </c>
      <c r="C7111" s="172" t="s">
        <v>8256</v>
      </c>
      <c r="D7111" s="195" t="s">
        <v>7020</v>
      </c>
      <c r="E7111" s="200">
        <v>40763</v>
      </c>
    </row>
    <row r="7112" spans="1:5" ht="14.25" hidden="1" customHeight="1">
      <c r="A7112" s="156">
        <v>20418286</v>
      </c>
      <c r="B7112" s="172" t="s">
        <v>4357</v>
      </c>
      <c r="C7112" s="172" t="s">
        <v>4358</v>
      </c>
      <c r="D7112" s="194" t="s">
        <v>7020</v>
      </c>
      <c r="E7112" s="200">
        <v>40763</v>
      </c>
    </row>
    <row r="7113" spans="1:5" ht="14.25" hidden="1" customHeight="1">
      <c r="A7113" s="156">
        <v>20759580</v>
      </c>
      <c r="B7113" s="172" t="s">
        <v>118</v>
      </c>
      <c r="C7113" s="172" t="s">
        <v>278</v>
      </c>
      <c r="D7113" s="194" t="s">
        <v>7020</v>
      </c>
      <c r="E7113" s="200">
        <v>40763</v>
      </c>
    </row>
    <row r="7114" spans="1:5" ht="14.25" hidden="1" customHeight="1">
      <c r="A7114" s="156">
        <v>21893835</v>
      </c>
      <c r="B7114" s="172" t="s">
        <v>321</v>
      </c>
      <c r="C7114" s="172" t="s">
        <v>783</v>
      </c>
      <c r="D7114" s="194" t="s">
        <v>7020</v>
      </c>
      <c r="E7114" s="200">
        <v>40763</v>
      </c>
    </row>
    <row r="7115" spans="1:5" ht="14.25" hidden="1" customHeight="1">
      <c r="A7115" s="156">
        <v>23519455</v>
      </c>
      <c r="B7115" s="172" t="s">
        <v>8253</v>
      </c>
      <c r="C7115" s="172" t="s">
        <v>8254</v>
      </c>
      <c r="D7115" s="195" t="s">
        <v>7020</v>
      </c>
      <c r="E7115" s="200">
        <v>40763</v>
      </c>
    </row>
    <row r="7116" spans="1:5" ht="14.25" hidden="1" customHeight="1">
      <c r="A7116" s="156">
        <v>25741308</v>
      </c>
      <c r="B7116" s="172" t="s">
        <v>4528</v>
      </c>
      <c r="C7116" s="172" t="s">
        <v>4529</v>
      </c>
      <c r="D7116" s="194" t="s">
        <v>7020</v>
      </c>
      <c r="E7116" s="200">
        <v>40763</v>
      </c>
    </row>
    <row r="7117" spans="1:5" ht="14.25" hidden="1" customHeight="1">
      <c r="A7117" s="156">
        <v>28418227</v>
      </c>
      <c r="B7117" s="172" t="s">
        <v>2121</v>
      </c>
      <c r="C7117" s="172" t="s">
        <v>3098</v>
      </c>
      <c r="D7117" s="195" t="s">
        <v>7020</v>
      </c>
      <c r="E7117" s="200">
        <v>40763</v>
      </c>
    </row>
    <row r="7118" spans="1:5" ht="14.25" hidden="1" customHeight="1">
      <c r="A7118" s="156">
        <v>28884614</v>
      </c>
      <c r="B7118" s="172" t="s">
        <v>3006</v>
      </c>
      <c r="C7118" s="172" t="s">
        <v>3007</v>
      </c>
      <c r="D7118" s="195" t="s">
        <v>7020</v>
      </c>
      <c r="E7118" s="200">
        <v>40763</v>
      </c>
    </row>
    <row r="7119" spans="1:5" ht="14.25" hidden="1" customHeight="1">
      <c r="A7119" s="156">
        <v>30539099</v>
      </c>
      <c r="B7119" s="172" t="s">
        <v>905</v>
      </c>
      <c r="C7119" s="172" t="s">
        <v>906</v>
      </c>
      <c r="D7119" s="195" t="s">
        <v>7020</v>
      </c>
      <c r="E7119" s="201">
        <v>40763</v>
      </c>
    </row>
    <row r="7120" spans="1:5" ht="14.25" hidden="1" customHeight="1">
      <c r="A7120" s="156">
        <v>11116542</v>
      </c>
      <c r="B7120" s="172" t="s">
        <v>8264</v>
      </c>
      <c r="C7120" s="172" t="s">
        <v>1185</v>
      </c>
      <c r="D7120" s="194" t="s">
        <v>8257</v>
      </c>
      <c r="E7120" s="200">
        <v>40714</v>
      </c>
    </row>
    <row r="7121" spans="1:5" ht="14.25" hidden="1" customHeight="1">
      <c r="A7121" s="156">
        <v>11762457</v>
      </c>
      <c r="B7121" s="172" t="s">
        <v>2091</v>
      </c>
      <c r="C7121" s="172" t="s">
        <v>2092</v>
      </c>
      <c r="D7121" s="194" t="s">
        <v>8257</v>
      </c>
      <c r="E7121" s="200">
        <v>40714</v>
      </c>
    </row>
    <row r="7122" spans="1:5" ht="14.25" hidden="1" customHeight="1">
      <c r="A7122" s="156">
        <v>11768665</v>
      </c>
      <c r="B7122" s="172" t="s">
        <v>1910</v>
      </c>
      <c r="C7122" s="172" t="s">
        <v>1911</v>
      </c>
      <c r="D7122" s="194" t="s">
        <v>8257</v>
      </c>
      <c r="E7122" s="200">
        <v>40714</v>
      </c>
    </row>
    <row r="7123" spans="1:5" ht="14.25" hidden="1" customHeight="1">
      <c r="A7123" s="156">
        <v>12869490</v>
      </c>
      <c r="B7123" s="172" t="s">
        <v>2071</v>
      </c>
      <c r="C7123" s="172" t="s">
        <v>1200</v>
      </c>
      <c r="D7123" s="194" t="s">
        <v>8257</v>
      </c>
      <c r="E7123" s="200">
        <v>40714</v>
      </c>
    </row>
    <row r="7124" spans="1:5" ht="14.25" hidden="1" customHeight="1">
      <c r="A7124" s="156">
        <v>13710711</v>
      </c>
      <c r="B7124" s="172" t="s">
        <v>2134</v>
      </c>
      <c r="C7124" s="172" t="s">
        <v>8268</v>
      </c>
      <c r="D7124" s="194" t="s">
        <v>8257</v>
      </c>
      <c r="E7124" s="200">
        <v>40714</v>
      </c>
    </row>
    <row r="7125" spans="1:5" ht="14.25" hidden="1" customHeight="1">
      <c r="A7125" s="156">
        <v>13784794</v>
      </c>
      <c r="B7125" s="172" t="s">
        <v>4112</v>
      </c>
      <c r="C7125" s="172" t="s">
        <v>8266</v>
      </c>
      <c r="D7125" s="194" t="s">
        <v>8257</v>
      </c>
      <c r="E7125" s="200">
        <v>40714</v>
      </c>
    </row>
    <row r="7126" spans="1:5" ht="14.25" hidden="1" customHeight="1">
      <c r="A7126" s="156">
        <v>14073492</v>
      </c>
      <c r="B7126" s="172" t="s">
        <v>2183</v>
      </c>
      <c r="C7126" s="172" t="s">
        <v>2184</v>
      </c>
      <c r="D7126" s="194" t="s">
        <v>8257</v>
      </c>
      <c r="E7126" s="200">
        <v>40714</v>
      </c>
    </row>
    <row r="7127" spans="1:5" ht="14.25" hidden="1" customHeight="1">
      <c r="A7127" s="156">
        <v>16309960</v>
      </c>
      <c r="B7127" s="172" t="s">
        <v>288</v>
      </c>
      <c r="C7127" s="172" t="s">
        <v>2880</v>
      </c>
      <c r="D7127" s="194" t="s">
        <v>8257</v>
      </c>
      <c r="E7127" s="200">
        <v>40714</v>
      </c>
    </row>
    <row r="7128" spans="1:5" ht="14.25" hidden="1" customHeight="1">
      <c r="A7128" s="156">
        <v>17947952</v>
      </c>
      <c r="B7128" s="172" t="s">
        <v>115</v>
      </c>
      <c r="C7128" s="172" t="s">
        <v>1931</v>
      </c>
      <c r="D7128" s="194" t="s">
        <v>8257</v>
      </c>
      <c r="E7128" s="200">
        <v>40714</v>
      </c>
    </row>
    <row r="7129" spans="1:5" ht="14.25" hidden="1" customHeight="1">
      <c r="A7129" s="156">
        <v>17973047</v>
      </c>
      <c r="B7129" s="172" t="s">
        <v>8267</v>
      </c>
      <c r="C7129" s="172" t="s">
        <v>283</v>
      </c>
      <c r="D7129" s="194" t="s">
        <v>8257</v>
      </c>
      <c r="E7129" s="200">
        <v>40714</v>
      </c>
    </row>
    <row r="7130" spans="1:5" ht="14.25" hidden="1" customHeight="1">
      <c r="A7130" s="156">
        <v>21948337</v>
      </c>
      <c r="B7130" s="172" t="s">
        <v>685</v>
      </c>
      <c r="C7130" s="172" t="s">
        <v>2074</v>
      </c>
      <c r="D7130" s="194" t="s">
        <v>8257</v>
      </c>
      <c r="E7130" s="200">
        <v>40714</v>
      </c>
    </row>
    <row r="7131" spans="1:5" ht="14.25" hidden="1" customHeight="1">
      <c r="A7131" s="156">
        <v>22073026</v>
      </c>
      <c r="B7131" s="177" t="s">
        <v>2195</v>
      </c>
      <c r="C7131" s="177" t="s">
        <v>8269</v>
      </c>
      <c r="D7131" s="194" t="s">
        <v>8257</v>
      </c>
      <c r="E7131" s="200">
        <v>40714</v>
      </c>
    </row>
    <row r="7132" spans="1:5" ht="14.25" hidden="1" customHeight="1">
      <c r="A7132" s="156">
        <v>22332445</v>
      </c>
      <c r="B7132" s="172" t="s">
        <v>8260</v>
      </c>
      <c r="C7132" s="172" t="s">
        <v>8261</v>
      </c>
      <c r="D7132" s="194" t="s">
        <v>8257</v>
      </c>
      <c r="E7132" s="200">
        <v>40714</v>
      </c>
    </row>
    <row r="7133" spans="1:5" ht="14.25" hidden="1" customHeight="1">
      <c r="A7133" s="156">
        <v>22877863</v>
      </c>
      <c r="B7133" s="172" t="s">
        <v>2053</v>
      </c>
      <c r="C7133" s="172" t="s">
        <v>97</v>
      </c>
      <c r="D7133" s="194" t="s">
        <v>8257</v>
      </c>
      <c r="E7133" s="200">
        <v>40714</v>
      </c>
    </row>
    <row r="7134" spans="1:5" ht="14.25" hidden="1" customHeight="1">
      <c r="A7134" s="156">
        <v>23377039</v>
      </c>
      <c r="B7134" s="172" t="s">
        <v>1119</v>
      </c>
      <c r="C7134" s="172" t="s">
        <v>2078</v>
      </c>
      <c r="D7134" s="194" t="s">
        <v>8257</v>
      </c>
      <c r="E7134" s="200">
        <v>40714</v>
      </c>
    </row>
    <row r="7135" spans="1:5" ht="14.25" hidden="1" customHeight="1">
      <c r="A7135" s="156">
        <v>23518411</v>
      </c>
      <c r="B7135" s="172" t="s">
        <v>8258</v>
      </c>
      <c r="C7135" s="172" t="s">
        <v>1172</v>
      </c>
      <c r="D7135" s="194" t="s">
        <v>8257</v>
      </c>
      <c r="E7135" s="200">
        <v>40714</v>
      </c>
    </row>
    <row r="7136" spans="1:5" ht="14.25" hidden="1" customHeight="1">
      <c r="A7136" s="156">
        <v>23519447</v>
      </c>
      <c r="B7136" s="177" t="s">
        <v>2195</v>
      </c>
      <c r="C7136" s="177" t="s">
        <v>2198</v>
      </c>
      <c r="D7136" s="194" t="s">
        <v>8257</v>
      </c>
      <c r="E7136" s="200">
        <v>40714</v>
      </c>
    </row>
    <row r="7137" spans="1:5" ht="14.25" hidden="1" customHeight="1">
      <c r="A7137" s="156">
        <v>25211601</v>
      </c>
      <c r="B7137" s="172" t="s">
        <v>8259</v>
      </c>
      <c r="C7137" s="172" t="s">
        <v>1958</v>
      </c>
      <c r="D7137" s="194" t="s">
        <v>8257</v>
      </c>
      <c r="E7137" s="200">
        <v>40714</v>
      </c>
    </row>
    <row r="7138" spans="1:5" ht="14.25" hidden="1" customHeight="1">
      <c r="A7138" s="156">
        <v>25844148</v>
      </c>
      <c r="B7138" s="172" t="s">
        <v>199</v>
      </c>
      <c r="C7138" s="172" t="s">
        <v>2005</v>
      </c>
      <c r="D7138" s="194" t="s">
        <v>8257</v>
      </c>
      <c r="E7138" s="200">
        <v>40714</v>
      </c>
    </row>
    <row r="7139" spans="1:5" ht="14.25" hidden="1" customHeight="1">
      <c r="A7139" s="156">
        <v>26501156</v>
      </c>
      <c r="B7139" s="172" t="s">
        <v>2163</v>
      </c>
      <c r="C7139" s="172" t="s">
        <v>579</v>
      </c>
      <c r="D7139" s="194" t="s">
        <v>8257</v>
      </c>
      <c r="E7139" s="200">
        <v>40714</v>
      </c>
    </row>
    <row r="7140" spans="1:5" ht="14.25" hidden="1" customHeight="1">
      <c r="A7140" s="156">
        <v>28151197</v>
      </c>
      <c r="B7140" s="172" t="s">
        <v>8262</v>
      </c>
      <c r="C7140" s="172" t="s">
        <v>8263</v>
      </c>
      <c r="D7140" s="194" t="s">
        <v>8257</v>
      </c>
      <c r="E7140" s="200">
        <v>40714</v>
      </c>
    </row>
    <row r="7141" spans="1:5" ht="14.25" hidden="1" customHeight="1">
      <c r="A7141" s="156">
        <v>28222480</v>
      </c>
      <c r="B7141" s="172" t="s">
        <v>1482</v>
      </c>
      <c r="C7141" s="172" t="s">
        <v>1941</v>
      </c>
      <c r="D7141" s="194" t="s">
        <v>8257</v>
      </c>
      <c r="E7141" s="200">
        <v>40714</v>
      </c>
    </row>
    <row r="7142" spans="1:5" ht="14.25" hidden="1" customHeight="1">
      <c r="A7142" s="156">
        <v>31323020</v>
      </c>
      <c r="B7142" s="172" t="s">
        <v>8265</v>
      </c>
      <c r="C7142" s="172" t="s">
        <v>2013</v>
      </c>
      <c r="D7142" s="194" t="s">
        <v>8257</v>
      </c>
      <c r="E7142" s="200">
        <v>40714</v>
      </c>
    </row>
    <row r="7143" spans="1:5" ht="14.25" hidden="1" customHeight="1">
      <c r="A7143" s="156">
        <v>36583992</v>
      </c>
      <c r="B7143" s="172" t="s">
        <v>1547</v>
      </c>
      <c r="C7143" s="172" t="s">
        <v>395</v>
      </c>
      <c r="D7143" s="194" t="s">
        <v>8257</v>
      </c>
      <c r="E7143" s="200">
        <v>40714</v>
      </c>
    </row>
    <row r="7144" spans="1:5" ht="14.25" hidden="1" customHeight="1">
      <c r="A7144" s="156">
        <v>5576652</v>
      </c>
      <c r="B7144" s="172" t="s">
        <v>918</v>
      </c>
      <c r="C7144" s="172" t="s">
        <v>919</v>
      </c>
      <c r="D7144" s="194" t="s">
        <v>7288</v>
      </c>
      <c r="E7144" s="200">
        <v>40709</v>
      </c>
    </row>
    <row r="7145" spans="1:5" ht="14.25" hidden="1" customHeight="1">
      <c r="A7145" s="156">
        <v>6352626</v>
      </c>
      <c r="B7145" s="172" t="s">
        <v>3603</v>
      </c>
      <c r="C7145" s="172" t="s">
        <v>468</v>
      </c>
      <c r="D7145" s="194" t="s">
        <v>7288</v>
      </c>
      <c r="E7145" s="200">
        <v>40709</v>
      </c>
    </row>
    <row r="7146" spans="1:5" ht="14.25" hidden="1" customHeight="1">
      <c r="A7146" s="156">
        <v>14352615</v>
      </c>
      <c r="B7146" s="172" t="s">
        <v>690</v>
      </c>
      <c r="C7146" s="172" t="s">
        <v>33</v>
      </c>
      <c r="D7146" s="194" t="s">
        <v>7288</v>
      </c>
      <c r="E7146" s="200">
        <v>40709</v>
      </c>
    </row>
    <row r="7147" spans="1:5" ht="14.25" hidden="1" customHeight="1">
      <c r="A7147" s="156">
        <v>17696974</v>
      </c>
      <c r="B7147" s="172" t="s">
        <v>8270</v>
      </c>
      <c r="C7147" s="172" t="s">
        <v>8271</v>
      </c>
      <c r="D7147" s="194" t="s">
        <v>7288</v>
      </c>
      <c r="E7147" s="200">
        <v>40709</v>
      </c>
    </row>
    <row r="7148" spans="1:5" ht="14.25" hidden="1" customHeight="1">
      <c r="A7148" s="156">
        <v>17860595</v>
      </c>
      <c r="B7148" s="172" t="s">
        <v>1093</v>
      </c>
      <c r="C7148" s="172" t="s">
        <v>7960</v>
      </c>
      <c r="D7148" s="194" t="s">
        <v>7288</v>
      </c>
      <c r="E7148" s="200">
        <v>40709</v>
      </c>
    </row>
    <row r="7149" spans="1:5" ht="14.25" hidden="1" customHeight="1">
      <c r="A7149" s="156">
        <v>20219232</v>
      </c>
      <c r="B7149" s="172" t="s">
        <v>4609</v>
      </c>
      <c r="C7149" s="172" t="s">
        <v>2497</v>
      </c>
      <c r="D7149" s="194" t="s">
        <v>7288</v>
      </c>
      <c r="E7149" s="200">
        <v>40709</v>
      </c>
    </row>
    <row r="7150" spans="1:5" ht="14.25" hidden="1" customHeight="1">
      <c r="A7150" s="156">
        <v>20219592</v>
      </c>
      <c r="B7150" s="172" t="s">
        <v>4639</v>
      </c>
      <c r="C7150" s="172" t="s">
        <v>4640</v>
      </c>
      <c r="D7150" s="194" t="s">
        <v>7288</v>
      </c>
      <c r="E7150" s="200">
        <v>40709</v>
      </c>
    </row>
    <row r="7151" spans="1:5" ht="14.25" hidden="1" customHeight="1">
      <c r="A7151" s="156">
        <v>23496107</v>
      </c>
      <c r="B7151" s="172" t="s">
        <v>4067</v>
      </c>
      <c r="C7151" s="172" t="s">
        <v>33</v>
      </c>
      <c r="D7151" s="194" t="s">
        <v>7288</v>
      </c>
      <c r="E7151" s="200">
        <v>40709</v>
      </c>
    </row>
    <row r="7152" spans="1:5" ht="14.25" hidden="1" customHeight="1">
      <c r="A7152" s="156">
        <v>25003911</v>
      </c>
      <c r="B7152" s="172" t="s">
        <v>8272</v>
      </c>
      <c r="C7152" s="172" t="s">
        <v>4875</v>
      </c>
      <c r="D7152" s="194" t="s">
        <v>7288</v>
      </c>
      <c r="E7152" s="200">
        <v>40709</v>
      </c>
    </row>
    <row r="7153" spans="1:5" ht="14.25" hidden="1" customHeight="1">
      <c r="A7153" s="156">
        <v>27364727</v>
      </c>
      <c r="B7153" s="172" t="s">
        <v>1833</v>
      </c>
      <c r="C7153" s="172" t="s">
        <v>1834</v>
      </c>
      <c r="D7153" s="194" t="s">
        <v>7288</v>
      </c>
      <c r="E7153" s="200">
        <v>40709</v>
      </c>
    </row>
    <row r="7154" spans="1:5" ht="14.25" hidden="1" customHeight="1">
      <c r="A7154" s="156">
        <v>27595246</v>
      </c>
      <c r="B7154" s="172" t="s">
        <v>8249</v>
      </c>
      <c r="C7154" s="172" t="s">
        <v>328</v>
      </c>
      <c r="D7154" s="194" t="s">
        <v>7288</v>
      </c>
      <c r="E7154" s="200">
        <v>40709</v>
      </c>
    </row>
    <row r="7155" spans="1:5" ht="14.25" hidden="1" customHeight="1">
      <c r="A7155" s="156">
        <v>28221282</v>
      </c>
      <c r="B7155" s="172" t="s">
        <v>4349</v>
      </c>
      <c r="C7155" s="172" t="s">
        <v>4350</v>
      </c>
      <c r="D7155" s="194" t="s">
        <v>7288</v>
      </c>
      <c r="E7155" s="200">
        <v>40709</v>
      </c>
    </row>
    <row r="7156" spans="1:5" ht="14.25" hidden="1" customHeight="1">
      <c r="A7156" s="156">
        <v>30539099</v>
      </c>
      <c r="B7156" s="172" t="s">
        <v>905</v>
      </c>
      <c r="C7156" s="172" t="s">
        <v>906</v>
      </c>
      <c r="D7156" s="194" t="s">
        <v>7288</v>
      </c>
      <c r="E7156" s="200">
        <v>40709</v>
      </c>
    </row>
    <row r="7157" spans="1:5" ht="14.25" hidden="1" customHeight="1">
      <c r="A7157" s="156">
        <v>32501409</v>
      </c>
      <c r="B7157" s="172" t="s">
        <v>2466</v>
      </c>
      <c r="C7157" s="172" t="s">
        <v>1632</v>
      </c>
      <c r="D7157" s="194" t="s">
        <v>7288</v>
      </c>
      <c r="E7157" s="200">
        <v>40709</v>
      </c>
    </row>
    <row r="7158" spans="1:5" ht="14.25" hidden="1" customHeight="1">
      <c r="A7158" s="156">
        <v>32684771</v>
      </c>
      <c r="B7158" s="172" t="s">
        <v>986</v>
      </c>
      <c r="C7158" s="172" t="s">
        <v>987</v>
      </c>
      <c r="D7158" s="194" t="s">
        <v>7288</v>
      </c>
      <c r="E7158" s="200">
        <v>40709</v>
      </c>
    </row>
    <row r="7159" spans="1:5" ht="14.25" hidden="1" customHeight="1">
      <c r="A7159" s="161">
        <v>1260777</v>
      </c>
      <c r="B7159" s="177" t="s">
        <v>7851</v>
      </c>
      <c r="C7159" s="177" t="s">
        <v>363</v>
      </c>
      <c r="D7159" s="194" t="s">
        <v>7185</v>
      </c>
      <c r="E7159" s="200">
        <v>40700</v>
      </c>
    </row>
    <row r="7160" spans="1:5" ht="14.25" hidden="1" customHeight="1">
      <c r="A7160" s="161">
        <v>5419259</v>
      </c>
      <c r="B7160" s="172" t="s">
        <v>7863</v>
      </c>
      <c r="C7160" s="172" t="s">
        <v>8346</v>
      </c>
      <c r="D7160" s="194" t="s">
        <v>7185</v>
      </c>
      <c r="E7160" s="200">
        <v>40700</v>
      </c>
    </row>
    <row r="7161" spans="1:5" ht="14.25" hidden="1" customHeight="1">
      <c r="A7161" s="161">
        <v>11080049</v>
      </c>
      <c r="B7161" s="172" t="s">
        <v>8273</v>
      </c>
      <c r="C7161" s="172" t="s">
        <v>8274</v>
      </c>
      <c r="D7161" s="194" t="s">
        <v>7185</v>
      </c>
      <c r="E7161" s="200">
        <v>40700</v>
      </c>
    </row>
    <row r="7162" spans="1:5" ht="14.25" hidden="1" customHeight="1">
      <c r="A7162" s="161">
        <v>11475984</v>
      </c>
      <c r="B7162" s="172" t="s">
        <v>8359</v>
      </c>
      <c r="C7162" s="172" t="s">
        <v>8360</v>
      </c>
      <c r="D7162" s="194" t="s">
        <v>7185</v>
      </c>
      <c r="E7162" s="200">
        <v>40700</v>
      </c>
    </row>
    <row r="7163" spans="1:5" ht="14.25" hidden="1" customHeight="1">
      <c r="A7163" s="161">
        <v>11476731</v>
      </c>
      <c r="B7163" s="172" t="s">
        <v>8318</v>
      </c>
      <c r="C7163" s="172" t="s">
        <v>8319</v>
      </c>
      <c r="D7163" s="194" t="s">
        <v>7185</v>
      </c>
      <c r="E7163" s="200">
        <v>40700</v>
      </c>
    </row>
    <row r="7164" spans="1:5" ht="14.25" hidden="1" customHeight="1">
      <c r="A7164" s="161">
        <v>11708174</v>
      </c>
      <c r="B7164" s="172" t="s">
        <v>8356</v>
      </c>
      <c r="C7164" s="172" t="s">
        <v>8357</v>
      </c>
      <c r="D7164" s="194" t="s">
        <v>7185</v>
      </c>
      <c r="E7164" s="200">
        <v>40700</v>
      </c>
    </row>
    <row r="7165" spans="1:5" ht="14.25" hidden="1" customHeight="1">
      <c r="A7165" s="161">
        <v>11910796</v>
      </c>
      <c r="B7165" s="172" t="s">
        <v>8342</v>
      </c>
      <c r="C7165" s="172" t="s">
        <v>8343</v>
      </c>
      <c r="D7165" s="194" t="s">
        <v>7185</v>
      </c>
      <c r="E7165" s="200">
        <v>40700</v>
      </c>
    </row>
    <row r="7166" spans="1:5" ht="14.25" hidden="1" customHeight="1">
      <c r="A7166" s="161">
        <v>11915728</v>
      </c>
      <c r="B7166" s="172" t="s">
        <v>6904</v>
      </c>
      <c r="C7166" s="172" t="s">
        <v>8317</v>
      </c>
      <c r="D7166" s="194" t="s">
        <v>7185</v>
      </c>
      <c r="E7166" s="200">
        <v>40700</v>
      </c>
    </row>
    <row r="7167" spans="1:5" ht="14.25" hidden="1" customHeight="1">
      <c r="A7167" s="161">
        <v>12318129</v>
      </c>
      <c r="B7167" s="172" t="s">
        <v>8296</v>
      </c>
      <c r="C7167" s="172" t="s">
        <v>8297</v>
      </c>
      <c r="D7167" s="194" t="s">
        <v>7185</v>
      </c>
      <c r="E7167" s="200">
        <v>40700</v>
      </c>
    </row>
    <row r="7168" spans="1:5" ht="14.25" hidden="1" customHeight="1">
      <c r="A7168" s="161">
        <v>12449120</v>
      </c>
      <c r="B7168" s="172" t="s">
        <v>8280</v>
      </c>
      <c r="C7168" s="172" t="s">
        <v>8281</v>
      </c>
      <c r="D7168" s="194" t="s">
        <v>7185</v>
      </c>
      <c r="E7168" s="200">
        <v>40700</v>
      </c>
    </row>
    <row r="7169" spans="1:5" ht="14.25" hidden="1" customHeight="1">
      <c r="A7169" s="161">
        <v>12607164</v>
      </c>
      <c r="B7169" s="172" t="s">
        <v>8305</v>
      </c>
      <c r="C7169" s="172" t="s">
        <v>8306</v>
      </c>
      <c r="D7169" s="194" t="s">
        <v>7185</v>
      </c>
      <c r="E7169" s="200">
        <v>40700</v>
      </c>
    </row>
    <row r="7170" spans="1:5" ht="14.25" hidden="1" customHeight="1">
      <c r="A7170" s="161">
        <v>13115427</v>
      </c>
      <c r="B7170" s="172" t="s">
        <v>8302</v>
      </c>
      <c r="C7170" s="172" t="s">
        <v>8303</v>
      </c>
      <c r="D7170" s="194" t="s">
        <v>7185</v>
      </c>
      <c r="E7170" s="200">
        <v>40700</v>
      </c>
    </row>
    <row r="7171" spans="1:5" ht="14.25" hidden="1" customHeight="1">
      <c r="A7171" s="161">
        <v>13629751</v>
      </c>
      <c r="B7171" s="172" t="s">
        <v>7983</v>
      </c>
      <c r="C7171" s="172" t="s">
        <v>8309</v>
      </c>
      <c r="D7171" s="194" t="s">
        <v>7185</v>
      </c>
      <c r="E7171" s="200">
        <v>40700</v>
      </c>
    </row>
    <row r="7172" spans="1:5" ht="14.25" hidden="1" customHeight="1">
      <c r="A7172" s="161">
        <v>13950808</v>
      </c>
      <c r="B7172" s="172" t="s">
        <v>8282</v>
      </c>
      <c r="C7172" s="172" t="s">
        <v>8283</v>
      </c>
      <c r="D7172" s="194" t="s">
        <v>7185</v>
      </c>
      <c r="E7172" s="200">
        <v>40700</v>
      </c>
    </row>
    <row r="7173" spans="1:5" ht="14.25" hidden="1" customHeight="1">
      <c r="A7173" s="161">
        <v>14358186</v>
      </c>
      <c r="B7173" s="172" t="s">
        <v>8289</v>
      </c>
      <c r="C7173" s="172" t="s">
        <v>8290</v>
      </c>
      <c r="D7173" s="194" t="s">
        <v>7185</v>
      </c>
      <c r="E7173" s="200">
        <v>40700</v>
      </c>
    </row>
    <row r="7174" spans="1:5" ht="14.25" hidden="1" customHeight="1">
      <c r="A7174" s="161">
        <v>14387767</v>
      </c>
      <c r="B7174" s="172" t="s">
        <v>8337</v>
      </c>
      <c r="C7174" s="172" t="s">
        <v>8338</v>
      </c>
      <c r="D7174" s="194" t="s">
        <v>7185</v>
      </c>
      <c r="E7174" s="200">
        <v>40700</v>
      </c>
    </row>
    <row r="7175" spans="1:5" ht="14.25" hidden="1" customHeight="1">
      <c r="A7175" s="161">
        <v>14410631</v>
      </c>
      <c r="B7175" s="172" t="s">
        <v>8320</v>
      </c>
      <c r="C7175" s="172" t="s">
        <v>8321</v>
      </c>
      <c r="D7175" s="194" t="s">
        <v>7185</v>
      </c>
      <c r="E7175" s="200">
        <v>40700</v>
      </c>
    </row>
    <row r="7176" spans="1:5" ht="14.25" hidden="1" customHeight="1">
      <c r="A7176" s="161">
        <v>14660417</v>
      </c>
      <c r="B7176" s="172" t="s">
        <v>7615</v>
      </c>
      <c r="C7176" s="172" t="s">
        <v>8315</v>
      </c>
      <c r="D7176" s="194" t="s">
        <v>7185</v>
      </c>
      <c r="E7176" s="200">
        <v>40700</v>
      </c>
    </row>
    <row r="7177" spans="1:5" ht="14.25" hidden="1" customHeight="1">
      <c r="A7177" s="161">
        <v>16132794</v>
      </c>
      <c r="B7177" s="172" t="s">
        <v>8307</v>
      </c>
      <c r="C7177" s="172" t="s">
        <v>8308</v>
      </c>
      <c r="D7177" s="194" t="s">
        <v>7185</v>
      </c>
      <c r="E7177" s="200">
        <v>40700</v>
      </c>
    </row>
    <row r="7178" spans="1:5" ht="14.25" hidden="1" customHeight="1">
      <c r="A7178" s="161">
        <v>16314577</v>
      </c>
      <c r="B7178" s="172" t="s">
        <v>7499</v>
      </c>
      <c r="C7178" s="172" t="s">
        <v>8339</v>
      </c>
      <c r="D7178" s="194" t="s">
        <v>7185</v>
      </c>
      <c r="E7178" s="200">
        <v>40700</v>
      </c>
    </row>
    <row r="7179" spans="1:5" ht="14.25" hidden="1" customHeight="1">
      <c r="A7179" s="161">
        <v>16617513</v>
      </c>
      <c r="B7179" s="172" t="s">
        <v>7456</v>
      </c>
      <c r="C7179" s="172" t="s">
        <v>8352</v>
      </c>
      <c r="D7179" s="194" t="s">
        <v>7185</v>
      </c>
      <c r="E7179" s="200">
        <v>40700</v>
      </c>
    </row>
    <row r="7180" spans="1:5" ht="14.25" hidden="1" customHeight="1">
      <c r="A7180" s="161">
        <v>16617543</v>
      </c>
      <c r="B7180" s="172" t="s">
        <v>8365</v>
      </c>
      <c r="C7180" s="172" t="s">
        <v>8366</v>
      </c>
      <c r="D7180" s="194" t="s">
        <v>7185</v>
      </c>
      <c r="E7180" s="200">
        <v>40700</v>
      </c>
    </row>
    <row r="7181" spans="1:5" ht="14.25" hidden="1" customHeight="1">
      <c r="A7181" s="161">
        <v>16735326</v>
      </c>
      <c r="B7181" s="172" t="s">
        <v>7426</v>
      </c>
      <c r="C7181" s="172" t="s">
        <v>8310</v>
      </c>
      <c r="D7181" s="194" t="s">
        <v>7185</v>
      </c>
      <c r="E7181" s="200">
        <v>40700</v>
      </c>
    </row>
    <row r="7182" spans="1:5" ht="14.25" hidden="1" customHeight="1">
      <c r="A7182" s="161">
        <v>16784557</v>
      </c>
      <c r="B7182" s="172" t="s">
        <v>8375</v>
      </c>
      <c r="C7182" s="172" t="s">
        <v>8376</v>
      </c>
      <c r="D7182" s="194" t="s">
        <v>7185</v>
      </c>
      <c r="E7182" s="200">
        <v>40700</v>
      </c>
    </row>
    <row r="7183" spans="1:5" ht="14.25" hidden="1" customHeight="1">
      <c r="A7183" s="161">
        <v>17376929</v>
      </c>
      <c r="B7183" s="172" t="s">
        <v>7476</v>
      </c>
      <c r="C7183" s="172" t="s">
        <v>8335</v>
      </c>
      <c r="D7183" s="194" t="s">
        <v>7185</v>
      </c>
      <c r="E7183" s="200">
        <v>40700</v>
      </c>
    </row>
    <row r="7184" spans="1:5" ht="14.25" hidden="1" customHeight="1">
      <c r="A7184" s="161">
        <v>17859997</v>
      </c>
      <c r="B7184" s="172" t="s">
        <v>8311</v>
      </c>
      <c r="C7184" s="172" t="s">
        <v>8312</v>
      </c>
      <c r="D7184" s="194" t="s">
        <v>7185</v>
      </c>
      <c r="E7184" s="200">
        <v>40700</v>
      </c>
    </row>
    <row r="7185" spans="1:5" ht="14.25" hidden="1" customHeight="1">
      <c r="A7185" s="161">
        <v>17973047</v>
      </c>
      <c r="B7185" s="172" t="s">
        <v>8327</v>
      </c>
      <c r="C7185" s="172" t="s">
        <v>8328</v>
      </c>
      <c r="D7185" s="194" t="s">
        <v>7185</v>
      </c>
      <c r="E7185" s="200">
        <v>40700</v>
      </c>
    </row>
    <row r="7186" spans="1:5" ht="14.25" hidden="1" customHeight="1">
      <c r="A7186" s="161">
        <v>18546331</v>
      </c>
      <c r="B7186" s="172" t="s">
        <v>7291</v>
      </c>
      <c r="C7186" s="172" t="s">
        <v>8284</v>
      </c>
      <c r="D7186" s="194" t="s">
        <v>7185</v>
      </c>
      <c r="E7186" s="200">
        <v>40700</v>
      </c>
    </row>
    <row r="7187" spans="1:5" ht="14.25" hidden="1" customHeight="1">
      <c r="A7187" s="161">
        <v>18608143</v>
      </c>
      <c r="B7187" s="172" t="s">
        <v>6943</v>
      </c>
      <c r="C7187" s="172" t="s">
        <v>8331</v>
      </c>
      <c r="D7187" s="194" t="s">
        <v>7185</v>
      </c>
      <c r="E7187" s="200">
        <v>40700</v>
      </c>
    </row>
    <row r="7188" spans="1:5" ht="14.25" hidden="1" customHeight="1">
      <c r="A7188" s="161">
        <v>20218614</v>
      </c>
      <c r="B7188" s="172" t="s">
        <v>8313</v>
      </c>
      <c r="C7188" s="172" t="s">
        <v>8314</v>
      </c>
      <c r="D7188" s="194" t="s">
        <v>7185</v>
      </c>
      <c r="E7188" s="200">
        <v>40700</v>
      </c>
    </row>
    <row r="7189" spans="1:5" ht="14.25" hidden="1" customHeight="1">
      <c r="A7189" s="161">
        <v>20218903</v>
      </c>
      <c r="B7189" s="172" t="s">
        <v>8293</v>
      </c>
      <c r="C7189" s="172" t="s">
        <v>8294</v>
      </c>
      <c r="D7189" s="194" t="s">
        <v>7185</v>
      </c>
      <c r="E7189" s="200">
        <v>40700</v>
      </c>
    </row>
    <row r="7190" spans="1:5" ht="14.25" hidden="1" customHeight="1">
      <c r="A7190" s="161">
        <v>20218903</v>
      </c>
      <c r="B7190" s="177" t="s">
        <v>8293</v>
      </c>
      <c r="C7190" s="177" t="s">
        <v>8295</v>
      </c>
      <c r="D7190" s="194" t="s">
        <v>7185</v>
      </c>
      <c r="E7190" s="200">
        <v>40700</v>
      </c>
    </row>
    <row r="7191" spans="1:5" ht="14.25" hidden="1" customHeight="1">
      <c r="A7191" s="161">
        <v>21329143</v>
      </c>
      <c r="B7191" s="172" t="s">
        <v>7438</v>
      </c>
      <c r="C7191" s="172" t="s">
        <v>8322</v>
      </c>
      <c r="D7191" s="194" t="s">
        <v>7185</v>
      </c>
      <c r="E7191" s="200">
        <v>40700</v>
      </c>
    </row>
    <row r="7192" spans="1:5" ht="14.25" hidden="1" customHeight="1">
      <c r="A7192" s="161">
        <v>21745791</v>
      </c>
      <c r="B7192" s="172" t="s">
        <v>8340</v>
      </c>
      <c r="C7192" s="172" t="s">
        <v>8341</v>
      </c>
      <c r="D7192" s="194" t="s">
        <v>7185</v>
      </c>
      <c r="E7192" s="200">
        <v>40700</v>
      </c>
    </row>
    <row r="7193" spans="1:5" ht="14.25" hidden="1" customHeight="1">
      <c r="A7193" s="161">
        <v>21746881</v>
      </c>
      <c r="B7193" s="172" t="s">
        <v>8373</v>
      </c>
      <c r="C7193" s="172" t="s">
        <v>8374</v>
      </c>
      <c r="D7193" s="194" t="s">
        <v>7185</v>
      </c>
      <c r="E7193" s="200">
        <v>40700</v>
      </c>
    </row>
    <row r="7194" spans="1:5" ht="14.25" hidden="1" customHeight="1">
      <c r="A7194" s="161">
        <v>22031835</v>
      </c>
      <c r="B7194" s="172" t="s">
        <v>8323</v>
      </c>
      <c r="C7194" s="172" t="s">
        <v>8324</v>
      </c>
      <c r="D7194" s="194" t="s">
        <v>7185</v>
      </c>
      <c r="E7194" s="200">
        <v>40700</v>
      </c>
    </row>
    <row r="7195" spans="1:5" ht="14.25" hidden="1" customHeight="1">
      <c r="A7195" s="161">
        <v>22264814</v>
      </c>
      <c r="B7195" s="172" t="s">
        <v>8363</v>
      </c>
      <c r="C7195" s="172" t="s">
        <v>8364</v>
      </c>
      <c r="D7195" s="194" t="s">
        <v>7185</v>
      </c>
      <c r="E7195" s="200">
        <v>40700</v>
      </c>
    </row>
    <row r="7196" spans="1:5" ht="14.25" hidden="1" customHeight="1">
      <c r="A7196" s="161">
        <v>23021542</v>
      </c>
      <c r="B7196" s="172" t="s">
        <v>8278</v>
      </c>
      <c r="C7196" s="172" t="s">
        <v>8279</v>
      </c>
      <c r="D7196" s="194" t="s">
        <v>7185</v>
      </c>
      <c r="E7196" s="200">
        <v>40700</v>
      </c>
    </row>
    <row r="7197" spans="1:5" ht="14.25" hidden="1" customHeight="1">
      <c r="A7197" s="161">
        <v>23116496</v>
      </c>
      <c r="B7197" s="172" t="s">
        <v>8012</v>
      </c>
      <c r="C7197" s="172" t="s">
        <v>8358</v>
      </c>
      <c r="D7197" s="194" t="s">
        <v>7185</v>
      </c>
      <c r="E7197" s="200">
        <v>40700</v>
      </c>
    </row>
    <row r="7198" spans="1:5" ht="14.25" hidden="1" customHeight="1">
      <c r="A7198" s="161">
        <v>23292244</v>
      </c>
      <c r="B7198" s="172" t="s">
        <v>8371</v>
      </c>
      <c r="C7198" s="172" t="s">
        <v>8372</v>
      </c>
      <c r="D7198" s="194" t="s">
        <v>7185</v>
      </c>
      <c r="E7198" s="200">
        <v>40700</v>
      </c>
    </row>
    <row r="7199" spans="1:5" ht="14.25" hidden="1" customHeight="1">
      <c r="A7199" s="161">
        <v>23518171</v>
      </c>
      <c r="B7199" s="172" t="s">
        <v>8344</v>
      </c>
      <c r="C7199" s="172" t="s">
        <v>8345</v>
      </c>
      <c r="D7199" s="194" t="s">
        <v>7185</v>
      </c>
      <c r="E7199" s="200">
        <v>40700</v>
      </c>
    </row>
    <row r="7200" spans="1:5" ht="14.25" hidden="1" customHeight="1">
      <c r="A7200" s="161">
        <v>23518638</v>
      </c>
      <c r="B7200" s="172" t="s">
        <v>7870</v>
      </c>
      <c r="C7200" s="172" t="s">
        <v>8370</v>
      </c>
      <c r="D7200" s="194" t="s">
        <v>7185</v>
      </c>
      <c r="E7200" s="200">
        <v>40700</v>
      </c>
    </row>
    <row r="7201" spans="1:5" ht="14.25" hidden="1" customHeight="1">
      <c r="A7201" s="161">
        <v>23931014</v>
      </c>
      <c r="B7201" s="172" t="s">
        <v>8369</v>
      </c>
      <c r="C7201" s="172" t="s">
        <v>8314</v>
      </c>
      <c r="D7201" s="194" t="s">
        <v>7185</v>
      </c>
      <c r="E7201" s="200">
        <v>40700</v>
      </c>
    </row>
    <row r="7202" spans="1:5" ht="14.25" hidden="1" customHeight="1">
      <c r="A7202" s="161">
        <v>24098848</v>
      </c>
      <c r="B7202" s="172" t="s">
        <v>4830</v>
      </c>
      <c r="C7202" s="172" t="s">
        <v>4831</v>
      </c>
      <c r="D7202" s="194" t="s">
        <v>7185</v>
      </c>
      <c r="E7202" s="200">
        <v>40700</v>
      </c>
    </row>
    <row r="7203" spans="1:5" ht="14.25" hidden="1" customHeight="1">
      <c r="A7203" s="161">
        <v>24553486</v>
      </c>
      <c r="B7203" s="172" t="s">
        <v>8275</v>
      </c>
      <c r="C7203" s="172" t="s">
        <v>8276</v>
      </c>
      <c r="D7203" s="194" t="s">
        <v>7185</v>
      </c>
      <c r="E7203" s="200">
        <v>40700</v>
      </c>
    </row>
    <row r="7204" spans="1:5" ht="14.25" hidden="1" customHeight="1">
      <c r="A7204" s="161">
        <v>24803550</v>
      </c>
      <c r="B7204" s="172" t="s">
        <v>8298</v>
      </c>
      <c r="C7204" s="172" t="s">
        <v>8299</v>
      </c>
      <c r="D7204" s="194" t="s">
        <v>7185</v>
      </c>
      <c r="E7204" s="200">
        <v>40700</v>
      </c>
    </row>
    <row r="7205" spans="1:5" ht="14.25" hidden="1" customHeight="1">
      <c r="A7205" s="161">
        <v>24982907</v>
      </c>
      <c r="B7205" s="172" t="s">
        <v>8354</v>
      </c>
      <c r="C7205" s="172" t="s">
        <v>8355</v>
      </c>
      <c r="D7205" s="194" t="s">
        <v>7185</v>
      </c>
      <c r="E7205" s="200">
        <v>40700</v>
      </c>
    </row>
    <row r="7206" spans="1:5" ht="14.25" hidden="1" customHeight="1">
      <c r="A7206" s="161">
        <v>25255652</v>
      </c>
      <c r="B7206" s="172" t="s">
        <v>7999</v>
      </c>
      <c r="C7206" s="172" t="s">
        <v>8332</v>
      </c>
      <c r="D7206" s="194" t="s">
        <v>7185</v>
      </c>
      <c r="E7206" s="200">
        <v>40700</v>
      </c>
    </row>
    <row r="7207" spans="1:5" ht="14.25" hidden="1" customHeight="1">
      <c r="A7207" s="161">
        <v>25380568</v>
      </c>
      <c r="B7207" s="172" t="s">
        <v>7865</v>
      </c>
      <c r="C7207" s="172" t="s">
        <v>8351</v>
      </c>
      <c r="D7207" s="194" t="s">
        <v>7185</v>
      </c>
      <c r="E7207" s="200">
        <v>40700</v>
      </c>
    </row>
    <row r="7208" spans="1:5" ht="14.25" hidden="1" customHeight="1">
      <c r="A7208" s="161">
        <v>25734593</v>
      </c>
      <c r="B7208" s="172" t="s">
        <v>8367</v>
      </c>
      <c r="C7208" s="172" t="s">
        <v>8368</v>
      </c>
      <c r="D7208" s="194" t="s">
        <v>7185</v>
      </c>
      <c r="E7208" s="200">
        <v>40700</v>
      </c>
    </row>
    <row r="7209" spans="1:5" ht="14.25" hidden="1" customHeight="1">
      <c r="A7209" s="161">
        <v>27751639</v>
      </c>
      <c r="B7209" s="172" t="s">
        <v>8325</v>
      </c>
      <c r="C7209" s="172" t="s">
        <v>8326</v>
      </c>
      <c r="D7209" s="194" t="s">
        <v>7185</v>
      </c>
      <c r="E7209" s="200">
        <v>40700</v>
      </c>
    </row>
    <row r="7210" spans="1:5" ht="14.25" hidden="1" customHeight="1">
      <c r="A7210" s="161">
        <v>27944383</v>
      </c>
      <c r="B7210" s="172" t="s">
        <v>8329</v>
      </c>
      <c r="C7210" s="172" t="s">
        <v>8330</v>
      </c>
      <c r="D7210" s="194" t="s">
        <v>7185</v>
      </c>
      <c r="E7210" s="200">
        <v>40700</v>
      </c>
    </row>
    <row r="7211" spans="1:5" ht="14.25" hidden="1" customHeight="1">
      <c r="A7211" s="161">
        <v>27960534</v>
      </c>
      <c r="B7211" s="172" t="s">
        <v>7476</v>
      </c>
      <c r="C7211" s="172" t="s">
        <v>8336</v>
      </c>
      <c r="D7211" s="194" t="s">
        <v>7185</v>
      </c>
      <c r="E7211" s="200">
        <v>40700</v>
      </c>
    </row>
    <row r="7212" spans="1:5" ht="14.25" hidden="1" customHeight="1">
      <c r="A7212" s="161">
        <v>28221525</v>
      </c>
      <c r="B7212" s="172" t="s">
        <v>8071</v>
      </c>
      <c r="C7212" s="172" t="s">
        <v>8353</v>
      </c>
      <c r="D7212" s="194" t="s">
        <v>7185</v>
      </c>
      <c r="E7212" s="200">
        <v>40700</v>
      </c>
    </row>
    <row r="7213" spans="1:5" ht="14.25" hidden="1" customHeight="1">
      <c r="A7213" s="161">
        <v>28290473</v>
      </c>
      <c r="B7213" s="172" t="s">
        <v>7785</v>
      </c>
      <c r="C7213" s="172" t="s">
        <v>8304</v>
      </c>
      <c r="D7213" s="194" t="s">
        <v>7185</v>
      </c>
      <c r="E7213" s="200">
        <v>40700</v>
      </c>
    </row>
    <row r="7214" spans="1:5" ht="14.25" hidden="1" customHeight="1">
      <c r="A7214" s="161">
        <v>29060073</v>
      </c>
      <c r="B7214" s="172" t="s">
        <v>8300</v>
      </c>
      <c r="C7214" s="172" t="s">
        <v>8301</v>
      </c>
      <c r="D7214" s="194" t="s">
        <v>7185</v>
      </c>
      <c r="E7214" s="200">
        <v>40700</v>
      </c>
    </row>
    <row r="7215" spans="1:5" ht="14.25" hidden="1" customHeight="1">
      <c r="A7215" s="161">
        <v>29060415</v>
      </c>
      <c r="B7215" s="172" t="s">
        <v>8275</v>
      </c>
      <c r="C7215" s="172" t="s">
        <v>8277</v>
      </c>
      <c r="D7215" s="194" t="s">
        <v>7185</v>
      </c>
      <c r="E7215" s="200">
        <v>40700</v>
      </c>
    </row>
    <row r="7216" spans="1:5" ht="14.25" hidden="1" customHeight="1">
      <c r="A7216" s="161">
        <v>29242462</v>
      </c>
      <c r="B7216" s="172" t="s">
        <v>8287</v>
      </c>
      <c r="C7216" s="172" t="s">
        <v>8288</v>
      </c>
      <c r="D7216" s="194" t="s">
        <v>7185</v>
      </c>
      <c r="E7216" s="200">
        <v>40700</v>
      </c>
    </row>
    <row r="7217" spans="1:5" ht="14.25" hidden="1" customHeight="1">
      <c r="A7217" s="161">
        <v>29997496</v>
      </c>
      <c r="B7217" s="172" t="s">
        <v>8291</v>
      </c>
      <c r="C7217" s="172" t="s">
        <v>8292</v>
      </c>
      <c r="D7217" s="194" t="s">
        <v>7185</v>
      </c>
      <c r="E7217" s="200">
        <v>40700</v>
      </c>
    </row>
    <row r="7218" spans="1:5" ht="14.25" hidden="1" customHeight="1">
      <c r="A7218" s="161">
        <v>31171753</v>
      </c>
      <c r="B7218" s="172" t="s">
        <v>8361</v>
      </c>
      <c r="C7218" s="172" t="s">
        <v>8362</v>
      </c>
      <c r="D7218" s="194" t="s">
        <v>7185</v>
      </c>
      <c r="E7218" s="200">
        <v>40700</v>
      </c>
    </row>
    <row r="7219" spans="1:5" ht="14.25" hidden="1" customHeight="1">
      <c r="A7219" s="161">
        <v>31589261</v>
      </c>
      <c r="B7219" s="172" t="s">
        <v>8285</v>
      </c>
      <c r="C7219" s="172" t="s">
        <v>8286</v>
      </c>
      <c r="D7219" s="194" t="s">
        <v>7185</v>
      </c>
      <c r="E7219" s="200">
        <v>40700</v>
      </c>
    </row>
    <row r="7220" spans="1:5" ht="14.25" hidden="1" customHeight="1">
      <c r="A7220" s="161">
        <v>32501411</v>
      </c>
      <c r="B7220" s="172" t="s">
        <v>8333</v>
      </c>
      <c r="C7220" s="172" t="s">
        <v>8334</v>
      </c>
      <c r="D7220" s="194" t="s">
        <v>7185</v>
      </c>
      <c r="E7220" s="200">
        <v>40700</v>
      </c>
    </row>
    <row r="7221" spans="1:5" ht="14.25" hidden="1" customHeight="1">
      <c r="A7221" s="161">
        <v>33050647</v>
      </c>
      <c r="B7221" s="172" t="s">
        <v>8347</v>
      </c>
      <c r="C7221" s="172" t="s">
        <v>8348</v>
      </c>
      <c r="D7221" s="194" t="s">
        <v>7185</v>
      </c>
      <c r="E7221" s="200">
        <v>40700</v>
      </c>
    </row>
    <row r="7222" spans="1:5" ht="14.25" hidden="1" customHeight="1">
      <c r="A7222" s="161">
        <v>33540642</v>
      </c>
      <c r="B7222" s="172" t="s">
        <v>8349</v>
      </c>
      <c r="C7222" s="172" t="s">
        <v>8350</v>
      </c>
      <c r="D7222" s="194" t="s">
        <v>7185</v>
      </c>
      <c r="E7222" s="200">
        <v>40700</v>
      </c>
    </row>
    <row r="7223" spans="1:5" ht="14.25" hidden="1" customHeight="1">
      <c r="A7223" s="161">
        <v>34287573</v>
      </c>
      <c r="B7223" s="172" t="s">
        <v>6904</v>
      </c>
      <c r="C7223" s="172" t="s">
        <v>8316</v>
      </c>
      <c r="D7223" s="194" t="s">
        <v>7185</v>
      </c>
      <c r="E7223" s="200">
        <v>40700</v>
      </c>
    </row>
    <row r="7224" spans="1:5" ht="14.25" hidden="1" customHeight="1">
      <c r="A7224" s="161">
        <v>36420915</v>
      </c>
      <c r="B7224" s="172" t="s">
        <v>7544</v>
      </c>
      <c r="C7224" s="172" t="s">
        <v>8277</v>
      </c>
      <c r="D7224" s="194" t="s">
        <v>7185</v>
      </c>
      <c r="E7224" s="200">
        <v>40700</v>
      </c>
    </row>
    <row r="7225" spans="1:5" ht="14.25" hidden="1" customHeight="1">
      <c r="A7225" s="156">
        <v>14709050</v>
      </c>
      <c r="B7225" s="172" t="s">
        <v>6050</v>
      </c>
      <c r="C7225" s="172" t="s">
        <v>215</v>
      </c>
      <c r="D7225" s="194" t="s">
        <v>8377</v>
      </c>
      <c r="E7225" s="200">
        <v>40679</v>
      </c>
    </row>
    <row r="7226" spans="1:5" ht="14.25" hidden="1" customHeight="1">
      <c r="A7226" s="156">
        <v>17269491</v>
      </c>
      <c r="B7226" s="172" t="s">
        <v>156</v>
      </c>
      <c r="C7226" s="172" t="s">
        <v>1924</v>
      </c>
      <c r="D7226" s="194" t="s">
        <v>8377</v>
      </c>
      <c r="E7226" s="200">
        <v>40679</v>
      </c>
    </row>
    <row r="7227" spans="1:5" ht="14.25" hidden="1" customHeight="1">
      <c r="A7227" s="156">
        <v>20284201</v>
      </c>
      <c r="B7227" s="172" t="s">
        <v>355</v>
      </c>
      <c r="C7227" s="172" t="s">
        <v>2715</v>
      </c>
      <c r="D7227" s="194" t="s">
        <v>8377</v>
      </c>
      <c r="E7227" s="200">
        <v>40679</v>
      </c>
    </row>
    <row r="7228" spans="1:5" ht="14.25" hidden="1" customHeight="1">
      <c r="A7228" s="156">
        <v>20310540</v>
      </c>
      <c r="B7228" s="172" t="s">
        <v>5075</v>
      </c>
      <c r="C7228" s="172" t="s">
        <v>5076</v>
      </c>
      <c r="D7228" s="194" t="s">
        <v>8377</v>
      </c>
      <c r="E7228" s="200">
        <v>40679</v>
      </c>
    </row>
    <row r="7229" spans="1:5" ht="14.25" hidden="1" customHeight="1">
      <c r="A7229" s="156">
        <v>23141145</v>
      </c>
      <c r="B7229" s="172" t="s">
        <v>226</v>
      </c>
      <c r="C7229" s="172" t="s">
        <v>5026</v>
      </c>
      <c r="D7229" s="194" t="s">
        <v>8377</v>
      </c>
      <c r="E7229" s="200">
        <v>40679</v>
      </c>
    </row>
    <row r="7230" spans="1:5" ht="14.25" hidden="1" customHeight="1">
      <c r="A7230" s="156">
        <v>24553486</v>
      </c>
      <c r="B7230" s="172" t="s">
        <v>94</v>
      </c>
      <c r="C7230" s="172" t="s">
        <v>427</v>
      </c>
      <c r="D7230" s="194" t="s">
        <v>8377</v>
      </c>
      <c r="E7230" s="200">
        <v>40679</v>
      </c>
    </row>
    <row r="7231" spans="1:5" ht="14.25" hidden="1" customHeight="1">
      <c r="A7231" s="156">
        <v>26445563</v>
      </c>
      <c r="B7231" s="172" t="s">
        <v>6091</v>
      </c>
      <c r="C7231" s="172" t="s">
        <v>215</v>
      </c>
      <c r="D7231" s="194" t="s">
        <v>8377</v>
      </c>
      <c r="E7231" s="200">
        <v>40679</v>
      </c>
    </row>
    <row r="7232" spans="1:5" ht="14.25" hidden="1" customHeight="1">
      <c r="A7232" s="156">
        <v>26638009</v>
      </c>
      <c r="B7232" s="172" t="s">
        <v>5058</v>
      </c>
      <c r="C7232" s="172" t="s">
        <v>1634</v>
      </c>
      <c r="D7232" s="194" t="s">
        <v>8377</v>
      </c>
      <c r="E7232" s="200">
        <v>40679</v>
      </c>
    </row>
    <row r="7233" spans="1:5" ht="14.25" hidden="1" customHeight="1">
      <c r="A7233" s="156">
        <v>29242462</v>
      </c>
      <c r="B7233" s="172" t="s">
        <v>846</v>
      </c>
      <c r="C7233" s="172" t="s">
        <v>2712</v>
      </c>
      <c r="D7233" s="194" t="s">
        <v>8377</v>
      </c>
      <c r="E7233" s="200">
        <v>40679</v>
      </c>
    </row>
    <row r="7234" spans="1:5" ht="14.25" hidden="1" customHeight="1">
      <c r="A7234" s="156">
        <v>23546099</v>
      </c>
      <c r="B7234" s="178" t="s">
        <v>6953</v>
      </c>
      <c r="C7234" s="172" t="s">
        <v>7766</v>
      </c>
      <c r="D7234" s="194" t="s">
        <v>8380</v>
      </c>
      <c r="E7234" s="200">
        <v>40651</v>
      </c>
    </row>
    <row r="7235" spans="1:5" ht="14.25" hidden="1" customHeight="1">
      <c r="A7235" s="156">
        <v>25596546</v>
      </c>
      <c r="B7235" s="178" t="s">
        <v>8378</v>
      </c>
      <c r="C7235" s="172" t="s">
        <v>8379</v>
      </c>
      <c r="D7235" s="194" t="s">
        <v>8380</v>
      </c>
      <c r="E7235" s="200">
        <v>40651</v>
      </c>
    </row>
    <row r="7236" spans="1:5" ht="14.25" hidden="1" customHeight="1">
      <c r="A7236" s="156">
        <v>27735827</v>
      </c>
      <c r="B7236" s="178" t="s">
        <v>7492</v>
      </c>
      <c r="C7236" s="172" t="s">
        <v>7415</v>
      </c>
      <c r="D7236" s="194" t="s">
        <v>8380</v>
      </c>
      <c r="E7236" s="200">
        <v>40651</v>
      </c>
    </row>
    <row r="7237" spans="1:5" ht="14.25" hidden="1" customHeight="1">
      <c r="A7237" s="156">
        <v>28137525</v>
      </c>
      <c r="B7237" s="178" t="s">
        <v>8394</v>
      </c>
      <c r="C7237" s="172" t="s">
        <v>8395</v>
      </c>
      <c r="D7237" s="194" t="s">
        <v>8380</v>
      </c>
      <c r="E7237" s="200">
        <v>40651</v>
      </c>
    </row>
    <row r="7238" spans="1:5" ht="14.25" hidden="1" customHeight="1">
      <c r="A7238" s="156">
        <v>29430664</v>
      </c>
      <c r="B7238" s="178" t="s">
        <v>7985</v>
      </c>
      <c r="C7238" s="172" t="s">
        <v>8392</v>
      </c>
      <c r="D7238" s="194" t="s">
        <v>8380</v>
      </c>
      <c r="E7238" s="200">
        <v>40651</v>
      </c>
    </row>
    <row r="7239" spans="1:5" ht="14.25" hidden="1" customHeight="1">
      <c r="A7239" s="156">
        <v>29457423</v>
      </c>
      <c r="B7239" s="178" t="s">
        <v>7422</v>
      </c>
      <c r="C7239" s="172" t="s">
        <v>8384</v>
      </c>
      <c r="D7239" s="194" t="s">
        <v>8380</v>
      </c>
      <c r="E7239" s="200">
        <v>40651</v>
      </c>
    </row>
    <row r="7240" spans="1:5" ht="14.25" hidden="1" customHeight="1">
      <c r="A7240" s="156">
        <v>29729433</v>
      </c>
      <c r="B7240" s="178" t="s">
        <v>8388</v>
      </c>
      <c r="C7240" s="172" t="s">
        <v>8389</v>
      </c>
      <c r="D7240" s="194" t="s">
        <v>8380</v>
      </c>
      <c r="E7240" s="200">
        <v>40651</v>
      </c>
    </row>
    <row r="7241" spans="1:5" ht="14.25" hidden="1" customHeight="1">
      <c r="A7241" s="156">
        <v>30268079</v>
      </c>
      <c r="B7241" s="178" t="s">
        <v>8390</v>
      </c>
      <c r="C7241" s="172" t="s">
        <v>8391</v>
      </c>
      <c r="D7241" s="194" t="s">
        <v>8380</v>
      </c>
      <c r="E7241" s="200">
        <v>40651</v>
      </c>
    </row>
    <row r="7242" spans="1:5" ht="14.25" hidden="1" customHeight="1">
      <c r="A7242" s="156" t="s">
        <v>8385</v>
      </c>
      <c r="B7242" s="178" t="s">
        <v>8386</v>
      </c>
      <c r="C7242" s="172" t="s">
        <v>8387</v>
      </c>
      <c r="D7242" s="194" t="s">
        <v>8380</v>
      </c>
      <c r="E7242" s="200">
        <v>40651</v>
      </c>
    </row>
    <row r="7243" spans="1:5" ht="14.25" hidden="1" customHeight="1">
      <c r="A7243" s="156" t="s">
        <v>8381</v>
      </c>
      <c r="B7243" s="178" t="s">
        <v>8382</v>
      </c>
      <c r="C7243" s="172" t="s">
        <v>8383</v>
      </c>
      <c r="D7243" s="194" t="s">
        <v>8380</v>
      </c>
      <c r="E7243" s="200">
        <v>40651</v>
      </c>
    </row>
    <row r="7244" spans="1:5" ht="14.25" hidden="1" customHeight="1">
      <c r="A7244" s="156"/>
      <c r="B7244" s="178" t="s">
        <v>8393</v>
      </c>
      <c r="C7244" s="172" t="s">
        <v>7567</v>
      </c>
      <c r="D7244" s="194" t="s">
        <v>8380</v>
      </c>
      <c r="E7244" s="200">
        <v>40651</v>
      </c>
    </row>
    <row r="7245" spans="1:5" ht="14.25" hidden="1" customHeight="1">
      <c r="A7245" s="156">
        <v>8004828</v>
      </c>
      <c r="B7245" s="172" t="s">
        <v>1244</v>
      </c>
      <c r="C7245" s="172" t="s">
        <v>1672</v>
      </c>
      <c r="D7245" s="194" t="s">
        <v>8396</v>
      </c>
      <c r="E7245" s="200">
        <v>40641</v>
      </c>
    </row>
    <row r="7246" spans="1:5" ht="14.25" hidden="1" customHeight="1">
      <c r="A7246" s="156">
        <v>8004828</v>
      </c>
      <c r="B7246" s="177" t="s">
        <v>1244</v>
      </c>
      <c r="C7246" s="177" t="s">
        <v>1672</v>
      </c>
      <c r="D7246" s="194" t="s">
        <v>8396</v>
      </c>
      <c r="E7246" s="200">
        <v>40641</v>
      </c>
    </row>
    <row r="7247" spans="1:5" ht="14.25" hidden="1" customHeight="1">
      <c r="A7247" s="156">
        <v>8056932</v>
      </c>
      <c r="B7247" s="172" t="s">
        <v>1032</v>
      </c>
      <c r="C7247" s="172" t="s">
        <v>153</v>
      </c>
      <c r="D7247" s="194" t="s">
        <v>8396</v>
      </c>
      <c r="E7247" s="200">
        <v>40641</v>
      </c>
    </row>
    <row r="7248" spans="1:5" ht="14.25" hidden="1" customHeight="1">
      <c r="A7248" s="156">
        <v>8089814</v>
      </c>
      <c r="B7248" s="172" t="s">
        <v>3237</v>
      </c>
      <c r="C7248" s="172" t="s">
        <v>3238</v>
      </c>
      <c r="D7248" s="194" t="s">
        <v>8396</v>
      </c>
      <c r="E7248" s="200">
        <v>40641</v>
      </c>
    </row>
    <row r="7249" spans="1:5" ht="14.25" hidden="1" customHeight="1">
      <c r="A7249" s="156">
        <v>8564573</v>
      </c>
      <c r="B7249" s="172" t="s">
        <v>364</v>
      </c>
      <c r="C7249" s="172" t="s">
        <v>3254</v>
      </c>
      <c r="D7249" s="194" t="s">
        <v>8396</v>
      </c>
      <c r="E7249" s="200">
        <v>40641</v>
      </c>
    </row>
    <row r="7250" spans="1:5" ht="14.25" hidden="1" customHeight="1">
      <c r="A7250" s="156">
        <v>11475213</v>
      </c>
      <c r="B7250" s="172" t="s">
        <v>428</v>
      </c>
      <c r="C7250" s="172" t="s">
        <v>3269</v>
      </c>
      <c r="D7250" s="194" t="s">
        <v>8396</v>
      </c>
      <c r="E7250" s="200">
        <v>40641</v>
      </c>
    </row>
    <row r="7251" spans="1:5" ht="14.25" hidden="1" customHeight="1">
      <c r="A7251" s="156">
        <v>12622742</v>
      </c>
      <c r="B7251" s="172" t="s">
        <v>128</v>
      </c>
      <c r="C7251" s="172" t="s">
        <v>3184</v>
      </c>
      <c r="D7251" s="194" t="s">
        <v>8396</v>
      </c>
      <c r="E7251" s="200">
        <v>40641</v>
      </c>
    </row>
    <row r="7252" spans="1:5" ht="14.25" hidden="1" customHeight="1">
      <c r="A7252" s="156">
        <v>13317745</v>
      </c>
      <c r="B7252" s="172" t="s">
        <v>3178</v>
      </c>
      <c r="C7252" s="172" t="s">
        <v>3179</v>
      </c>
      <c r="D7252" s="194" t="s">
        <v>8396</v>
      </c>
      <c r="E7252" s="200">
        <v>40641</v>
      </c>
    </row>
    <row r="7253" spans="1:5" ht="14.25" hidden="1" customHeight="1">
      <c r="A7253" s="156">
        <v>13847477</v>
      </c>
      <c r="B7253" s="172" t="s">
        <v>311</v>
      </c>
      <c r="C7253" s="172" t="s">
        <v>922</v>
      </c>
      <c r="D7253" s="194" t="s">
        <v>8396</v>
      </c>
      <c r="E7253" s="200">
        <v>40641</v>
      </c>
    </row>
    <row r="7254" spans="1:5" ht="14.25" hidden="1" customHeight="1">
      <c r="A7254" s="156">
        <v>14352938</v>
      </c>
      <c r="B7254" s="172" t="s">
        <v>2956</v>
      </c>
      <c r="C7254" s="172" t="s">
        <v>3199</v>
      </c>
      <c r="D7254" s="194" t="s">
        <v>8396</v>
      </c>
      <c r="E7254" s="200">
        <v>40641</v>
      </c>
    </row>
    <row r="7255" spans="1:5" ht="14.25" hidden="1" customHeight="1">
      <c r="A7255" s="156">
        <v>16132869</v>
      </c>
      <c r="B7255" s="177" t="s">
        <v>1887</v>
      </c>
      <c r="C7255" s="177" t="s">
        <v>584</v>
      </c>
      <c r="D7255" s="194" t="s">
        <v>8396</v>
      </c>
      <c r="E7255" s="200">
        <v>40641</v>
      </c>
    </row>
    <row r="7256" spans="1:5" ht="14.25" hidden="1" customHeight="1">
      <c r="A7256" s="156">
        <v>17377880</v>
      </c>
      <c r="B7256" s="172" t="s">
        <v>2825</v>
      </c>
      <c r="C7256" s="172" t="s">
        <v>3257</v>
      </c>
      <c r="D7256" s="194" t="s">
        <v>8396</v>
      </c>
      <c r="E7256" s="200">
        <v>40641</v>
      </c>
    </row>
    <row r="7257" spans="1:5" ht="14.25" hidden="1" customHeight="1">
      <c r="A7257" s="156">
        <v>17859997</v>
      </c>
      <c r="B7257" s="172" t="s">
        <v>3220</v>
      </c>
      <c r="C7257" s="172" t="s">
        <v>7264</v>
      </c>
      <c r="D7257" s="194" t="s">
        <v>8396</v>
      </c>
      <c r="E7257" s="200">
        <v>40641</v>
      </c>
    </row>
    <row r="7258" spans="1:5" ht="14.25" hidden="1" customHeight="1">
      <c r="A7258" s="156">
        <v>17990689</v>
      </c>
      <c r="B7258" s="172" t="s">
        <v>128</v>
      </c>
      <c r="C7258" s="172" t="s">
        <v>3186</v>
      </c>
      <c r="D7258" s="194" t="s">
        <v>8396</v>
      </c>
      <c r="E7258" s="200">
        <v>40641</v>
      </c>
    </row>
    <row r="7259" spans="1:5" ht="14.25" hidden="1" customHeight="1">
      <c r="A7259" s="156">
        <v>18482300</v>
      </c>
      <c r="B7259" s="172" t="s">
        <v>342</v>
      </c>
      <c r="C7259" s="172" t="s">
        <v>3247</v>
      </c>
      <c r="D7259" s="194" t="s">
        <v>8396</v>
      </c>
      <c r="E7259" s="200">
        <v>40641</v>
      </c>
    </row>
    <row r="7260" spans="1:5" ht="14.25" hidden="1" customHeight="1">
      <c r="A7260" s="156">
        <v>18546331</v>
      </c>
      <c r="B7260" s="172" t="s">
        <v>144</v>
      </c>
      <c r="C7260" s="172" t="s">
        <v>922</v>
      </c>
      <c r="D7260" s="194" t="s">
        <v>8396</v>
      </c>
      <c r="E7260" s="200">
        <v>40641</v>
      </c>
    </row>
    <row r="7261" spans="1:5" ht="14.25" hidden="1" customHeight="1">
      <c r="A7261" s="156">
        <v>18617184</v>
      </c>
      <c r="B7261" s="172" t="s">
        <v>184</v>
      </c>
      <c r="C7261" s="172" t="s">
        <v>3212</v>
      </c>
      <c r="D7261" s="194" t="s">
        <v>8396</v>
      </c>
      <c r="E7261" s="200">
        <v>40641</v>
      </c>
    </row>
    <row r="7262" spans="1:5" ht="14.25" hidden="1" customHeight="1">
      <c r="A7262" s="156">
        <v>20178389</v>
      </c>
      <c r="B7262" s="172" t="s">
        <v>8398</v>
      </c>
      <c r="C7262" s="172" t="s">
        <v>97</v>
      </c>
      <c r="D7262" s="194" t="s">
        <v>8396</v>
      </c>
      <c r="E7262" s="200">
        <v>40641</v>
      </c>
    </row>
    <row r="7263" spans="1:5" ht="14.25" hidden="1" customHeight="1">
      <c r="A7263" s="156">
        <v>20433777</v>
      </c>
      <c r="B7263" s="172" t="s">
        <v>3258</v>
      </c>
      <c r="C7263" s="172" t="s">
        <v>1061</v>
      </c>
      <c r="D7263" s="194" t="s">
        <v>8396</v>
      </c>
      <c r="E7263" s="200">
        <v>40641</v>
      </c>
    </row>
    <row r="7264" spans="1:5" ht="14.25" hidden="1" customHeight="1">
      <c r="A7264" s="156">
        <v>21026566</v>
      </c>
      <c r="B7264" s="172" t="s">
        <v>144</v>
      </c>
      <c r="C7264" s="172" t="s">
        <v>2587</v>
      </c>
      <c r="D7264" s="194" t="s">
        <v>8396</v>
      </c>
      <c r="E7264" s="200">
        <v>40641</v>
      </c>
    </row>
    <row r="7265" spans="1:5" ht="14.25" hidden="1" customHeight="1">
      <c r="A7265" s="156">
        <v>21745971</v>
      </c>
      <c r="B7265" s="177" t="s">
        <v>3264</v>
      </c>
      <c r="C7265" s="177" t="s">
        <v>223</v>
      </c>
      <c r="D7265" s="194" t="s">
        <v>8396</v>
      </c>
      <c r="E7265" s="200">
        <v>40641</v>
      </c>
    </row>
    <row r="7266" spans="1:5" ht="14.25" hidden="1" customHeight="1">
      <c r="A7266" s="156">
        <v>22211664</v>
      </c>
      <c r="B7266" s="172" t="s">
        <v>5551</v>
      </c>
      <c r="C7266" s="172" t="s">
        <v>1172</v>
      </c>
      <c r="D7266" s="194" t="s">
        <v>8396</v>
      </c>
      <c r="E7266" s="200">
        <v>40641</v>
      </c>
    </row>
    <row r="7267" spans="1:5" ht="14.25" hidden="1" customHeight="1">
      <c r="A7267" s="156">
        <v>23117288</v>
      </c>
      <c r="B7267" s="172" t="s">
        <v>3208</v>
      </c>
      <c r="C7267" s="172" t="s">
        <v>3209</v>
      </c>
      <c r="D7267" s="194" t="s">
        <v>8396</v>
      </c>
      <c r="E7267" s="200">
        <v>40641</v>
      </c>
    </row>
    <row r="7268" spans="1:5" ht="14.25" hidden="1" customHeight="1">
      <c r="A7268" s="156">
        <v>23117341</v>
      </c>
      <c r="B7268" s="172" t="s">
        <v>3220</v>
      </c>
      <c r="C7268" s="172" t="s">
        <v>3224</v>
      </c>
      <c r="D7268" s="194" t="s">
        <v>8396</v>
      </c>
      <c r="E7268" s="200">
        <v>40641</v>
      </c>
    </row>
    <row r="7269" spans="1:5" ht="14.25" hidden="1" customHeight="1">
      <c r="A7269" s="156">
        <v>25542020</v>
      </c>
      <c r="B7269" s="172" t="s">
        <v>3189</v>
      </c>
      <c r="C7269" s="172" t="s">
        <v>455</v>
      </c>
      <c r="D7269" s="194" t="s">
        <v>8396</v>
      </c>
      <c r="E7269" s="200">
        <v>40641</v>
      </c>
    </row>
    <row r="7270" spans="1:5" ht="14.25" hidden="1" customHeight="1">
      <c r="A7270" s="156">
        <v>27016649</v>
      </c>
      <c r="B7270" s="172" t="s">
        <v>3172</v>
      </c>
      <c r="C7270" s="172" t="s">
        <v>8397</v>
      </c>
      <c r="D7270" s="194" t="s">
        <v>8396</v>
      </c>
      <c r="E7270" s="200">
        <v>40641</v>
      </c>
    </row>
    <row r="7271" spans="1:5" ht="14.25" hidden="1" customHeight="1">
      <c r="A7271" s="156">
        <v>29541101</v>
      </c>
      <c r="B7271" s="172" t="s">
        <v>128</v>
      </c>
      <c r="C7271" s="172" t="s">
        <v>5013</v>
      </c>
      <c r="D7271" s="194" t="s">
        <v>8396</v>
      </c>
      <c r="E7271" s="200">
        <v>40641</v>
      </c>
    </row>
    <row r="7272" spans="1:5" ht="14.25" hidden="1" customHeight="1">
      <c r="A7272" s="156">
        <v>29640332</v>
      </c>
      <c r="B7272" s="172" t="s">
        <v>3261</v>
      </c>
      <c r="C7272" s="172" t="s">
        <v>3262</v>
      </c>
      <c r="D7272" s="194" t="s">
        <v>8396</v>
      </c>
      <c r="E7272" s="200">
        <v>40641</v>
      </c>
    </row>
    <row r="7273" spans="1:5" ht="14.25" hidden="1" customHeight="1">
      <c r="A7273" s="156">
        <v>93274870</v>
      </c>
      <c r="B7273" s="172" t="s">
        <v>1887</v>
      </c>
      <c r="C7273" s="172" t="s">
        <v>3165</v>
      </c>
      <c r="D7273" s="194" t="s">
        <v>8396</v>
      </c>
      <c r="E7273" s="200">
        <v>40641</v>
      </c>
    </row>
    <row r="7274" spans="1:5" ht="14.25" hidden="1" customHeight="1">
      <c r="A7274" s="156"/>
      <c r="B7274" s="172" t="s">
        <v>2825</v>
      </c>
      <c r="C7274" s="172" t="s">
        <v>8399</v>
      </c>
      <c r="D7274" s="194" t="s">
        <v>8396</v>
      </c>
      <c r="E7274" s="200">
        <v>40641</v>
      </c>
    </row>
    <row r="7275" spans="1:5" ht="14.25" hidden="1" customHeight="1">
      <c r="A7275" s="156">
        <v>5396878</v>
      </c>
      <c r="B7275" s="172" t="s">
        <v>5425</v>
      </c>
      <c r="C7275" s="172" t="s">
        <v>5019</v>
      </c>
      <c r="D7275" s="194" t="s">
        <v>7289</v>
      </c>
      <c r="E7275" s="200">
        <v>40640</v>
      </c>
    </row>
    <row r="7276" spans="1:5" ht="14.25" hidden="1" customHeight="1">
      <c r="A7276" s="156">
        <v>5468956</v>
      </c>
      <c r="B7276" s="172" t="s">
        <v>144</v>
      </c>
      <c r="C7276" s="172" t="s">
        <v>3433</v>
      </c>
      <c r="D7276" s="194" t="s">
        <v>7289</v>
      </c>
      <c r="E7276" s="200">
        <v>40640</v>
      </c>
    </row>
    <row r="7277" spans="1:5" ht="14.25" hidden="1" customHeight="1">
      <c r="A7277" s="156">
        <v>6054612</v>
      </c>
      <c r="B7277" s="172" t="s">
        <v>1823</v>
      </c>
      <c r="C7277" s="172" t="s">
        <v>2256</v>
      </c>
      <c r="D7277" s="194" t="s">
        <v>7289</v>
      </c>
      <c r="E7277" s="200">
        <v>40640</v>
      </c>
    </row>
    <row r="7278" spans="1:5" ht="14.25" hidden="1" customHeight="1">
      <c r="A7278" s="156">
        <v>6133918</v>
      </c>
      <c r="B7278" s="172" t="s">
        <v>2422</v>
      </c>
      <c r="C7278" s="172" t="s">
        <v>1736</v>
      </c>
      <c r="D7278" s="194" t="s">
        <v>7289</v>
      </c>
      <c r="E7278" s="200">
        <v>40640</v>
      </c>
    </row>
    <row r="7279" spans="1:5" ht="14.25" hidden="1" customHeight="1">
      <c r="A7279" s="156">
        <v>10221705</v>
      </c>
      <c r="B7279" s="172" t="s">
        <v>226</v>
      </c>
      <c r="C7279" s="172" t="s">
        <v>3257</v>
      </c>
      <c r="D7279" s="194" t="s">
        <v>7289</v>
      </c>
      <c r="E7279" s="200">
        <v>40640</v>
      </c>
    </row>
    <row r="7280" spans="1:5" ht="14.25" hidden="1" customHeight="1">
      <c r="A7280" s="156">
        <v>10645299</v>
      </c>
      <c r="B7280" s="172" t="s">
        <v>1531</v>
      </c>
      <c r="C7280" s="172" t="s">
        <v>1532</v>
      </c>
      <c r="D7280" s="194" t="s">
        <v>7289</v>
      </c>
      <c r="E7280" s="200">
        <v>40640</v>
      </c>
    </row>
    <row r="7281" spans="1:5" ht="14.25" hidden="1" customHeight="1">
      <c r="A7281" s="156">
        <v>11238117</v>
      </c>
      <c r="B7281" s="172" t="s">
        <v>1815</v>
      </c>
      <c r="C7281" s="172" t="s">
        <v>962</v>
      </c>
      <c r="D7281" s="194" t="s">
        <v>7289</v>
      </c>
      <c r="E7281" s="200">
        <v>40640</v>
      </c>
    </row>
    <row r="7282" spans="1:5" ht="14.25" hidden="1" customHeight="1">
      <c r="A7282" s="156">
        <v>11708174</v>
      </c>
      <c r="B7282" s="172" t="s">
        <v>1628</v>
      </c>
      <c r="C7282" s="172" t="s">
        <v>1629</v>
      </c>
      <c r="D7282" s="194" t="s">
        <v>7289</v>
      </c>
      <c r="E7282" s="200">
        <v>40640</v>
      </c>
    </row>
    <row r="7283" spans="1:5" ht="14.25" hidden="1" customHeight="1">
      <c r="A7283" s="156">
        <v>11915728</v>
      </c>
      <c r="B7283" s="172" t="s">
        <v>218</v>
      </c>
      <c r="C7283" s="172" t="s">
        <v>219</v>
      </c>
      <c r="D7283" s="194" t="s">
        <v>7289</v>
      </c>
      <c r="E7283" s="200">
        <v>40640</v>
      </c>
    </row>
    <row r="7284" spans="1:5" ht="14.25" hidden="1" customHeight="1">
      <c r="A7284" s="156">
        <v>12540739</v>
      </c>
      <c r="B7284" s="172" t="s">
        <v>4759</v>
      </c>
      <c r="C7284" s="172" t="s">
        <v>4760</v>
      </c>
      <c r="D7284" s="194" t="s">
        <v>7289</v>
      </c>
      <c r="E7284" s="200">
        <v>40640</v>
      </c>
    </row>
    <row r="7285" spans="1:5" ht="14.25" hidden="1" customHeight="1">
      <c r="A7285" s="156">
        <v>12609312</v>
      </c>
      <c r="B7285" s="172" t="s">
        <v>156</v>
      </c>
      <c r="C7285" s="172" t="s">
        <v>162</v>
      </c>
      <c r="D7285" s="194" t="s">
        <v>7289</v>
      </c>
      <c r="E7285" s="200">
        <v>40640</v>
      </c>
    </row>
    <row r="7286" spans="1:5" ht="14.25" hidden="1" customHeight="1">
      <c r="A7286" s="156">
        <v>12825116</v>
      </c>
      <c r="B7286" s="177" t="s">
        <v>8402</v>
      </c>
      <c r="C7286" s="177" t="s">
        <v>968</v>
      </c>
      <c r="D7286" s="194" t="s">
        <v>7289</v>
      </c>
      <c r="E7286" s="200">
        <v>40640</v>
      </c>
    </row>
    <row r="7287" spans="1:5" ht="14.25" hidden="1" customHeight="1">
      <c r="A7287" s="156">
        <v>13066434</v>
      </c>
      <c r="B7287" s="172" t="s">
        <v>1565</v>
      </c>
      <c r="C7287" s="172" t="s">
        <v>758</v>
      </c>
      <c r="D7287" s="194" t="s">
        <v>7289</v>
      </c>
      <c r="E7287" s="200">
        <v>40640</v>
      </c>
    </row>
    <row r="7288" spans="1:5" ht="14.25" hidden="1" customHeight="1">
      <c r="A7288" s="156">
        <v>13066715</v>
      </c>
      <c r="B7288" s="172" t="s">
        <v>4593</v>
      </c>
      <c r="C7288" s="172" t="s">
        <v>4594</v>
      </c>
      <c r="D7288" s="194" t="s">
        <v>7289</v>
      </c>
      <c r="E7288" s="200">
        <v>40640</v>
      </c>
    </row>
    <row r="7289" spans="1:5" ht="14.25" hidden="1" customHeight="1">
      <c r="A7289" s="156">
        <v>13338251</v>
      </c>
      <c r="B7289" s="172" t="s">
        <v>252</v>
      </c>
      <c r="C7289" s="172" t="s">
        <v>3850</v>
      </c>
      <c r="D7289" s="194" t="s">
        <v>7289</v>
      </c>
      <c r="E7289" s="200">
        <v>40640</v>
      </c>
    </row>
    <row r="7290" spans="1:5" ht="14.25" hidden="1" customHeight="1">
      <c r="A7290" s="156">
        <v>13338781</v>
      </c>
      <c r="B7290" s="172" t="s">
        <v>5389</v>
      </c>
      <c r="C7290" s="172" t="s">
        <v>5390</v>
      </c>
      <c r="D7290" s="194" t="s">
        <v>7289</v>
      </c>
      <c r="E7290" s="200">
        <v>40640</v>
      </c>
    </row>
    <row r="7291" spans="1:5" ht="14.25" hidden="1" customHeight="1">
      <c r="A7291" s="156">
        <v>13627211</v>
      </c>
      <c r="B7291" s="172" t="s">
        <v>8400</v>
      </c>
      <c r="C7291" s="172" t="s">
        <v>8049</v>
      </c>
      <c r="D7291" s="194" t="s">
        <v>7289</v>
      </c>
      <c r="E7291" s="200">
        <v>40640</v>
      </c>
    </row>
    <row r="7292" spans="1:5" ht="14.25" hidden="1" customHeight="1">
      <c r="A7292" s="156">
        <v>13848739</v>
      </c>
      <c r="B7292" s="172" t="s">
        <v>232</v>
      </c>
      <c r="C7292" s="172" t="s">
        <v>233</v>
      </c>
      <c r="D7292" s="194" t="s">
        <v>7289</v>
      </c>
      <c r="E7292" s="200">
        <v>40640</v>
      </c>
    </row>
    <row r="7293" spans="1:5" ht="14.25" hidden="1" customHeight="1">
      <c r="A7293" s="156">
        <v>14083362</v>
      </c>
      <c r="B7293" s="172" t="s">
        <v>734</v>
      </c>
      <c r="C7293" s="172" t="s">
        <v>4629</v>
      </c>
      <c r="D7293" s="194" t="s">
        <v>7289</v>
      </c>
      <c r="E7293" s="200">
        <v>40640</v>
      </c>
    </row>
    <row r="7294" spans="1:5" ht="14.25" hidden="1" customHeight="1">
      <c r="A7294" s="156">
        <v>14084324</v>
      </c>
      <c r="B7294" s="172" t="s">
        <v>1119</v>
      </c>
      <c r="C7294" s="172" t="s">
        <v>1061</v>
      </c>
      <c r="D7294" s="194" t="s">
        <v>7289</v>
      </c>
      <c r="E7294" s="200">
        <v>40640</v>
      </c>
    </row>
    <row r="7295" spans="1:5" ht="14.25" hidden="1" customHeight="1">
      <c r="A7295" s="156">
        <v>14352615</v>
      </c>
      <c r="B7295" s="172" t="s">
        <v>2508</v>
      </c>
      <c r="C7295" s="172" t="s">
        <v>33</v>
      </c>
      <c r="D7295" s="194" t="s">
        <v>7289</v>
      </c>
      <c r="E7295" s="200">
        <v>40640</v>
      </c>
    </row>
    <row r="7296" spans="1:5" ht="14.25" hidden="1" customHeight="1">
      <c r="A7296" s="156">
        <v>14359977</v>
      </c>
      <c r="B7296" s="172" t="s">
        <v>335</v>
      </c>
      <c r="C7296" s="172" t="s">
        <v>336</v>
      </c>
      <c r="D7296" s="194" t="s">
        <v>7289</v>
      </c>
      <c r="E7296" s="200">
        <v>40640</v>
      </c>
    </row>
    <row r="7297" spans="1:5" ht="14.25" hidden="1" customHeight="1">
      <c r="A7297" s="156">
        <v>14480478</v>
      </c>
      <c r="B7297" s="172" t="s">
        <v>4603</v>
      </c>
      <c r="C7297" s="172" t="s">
        <v>708</v>
      </c>
      <c r="D7297" s="194" t="s">
        <v>7289</v>
      </c>
      <c r="E7297" s="200">
        <v>40640</v>
      </c>
    </row>
    <row r="7298" spans="1:5" ht="14.25" hidden="1" customHeight="1">
      <c r="A7298" s="156">
        <v>14661458</v>
      </c>
      <c r="B7298" s="172" t="s">
        <v>1885</v>
      </c>
      <c r="C7298" s="172" t="s">
        <v>4255</v>
      </c>
      <c r="D7298" s="194" t="s">
        <v>7289</v>
      </c>
      <c r="E7298" s="200">
        <v>40640</v>
      </c>
    </row>
    <row r="7299" spans="1:5" ht="14.25" hidden="1" customHeight="1">
      <c r="A7299" s="156">
        <v>14936140</v>
      </c>
      <c r="B7299" s="172" t="s">
        <v>1263</v>
      </c>
      <c r="C7299" s="172" t="s">
        <v>1264</v>
      </c>
      <c r="D7299" s="194" t="s">
        <v>7289</v>
      </c>
      <c r="E7299" s="200">
        <v>40640</v>
      </c>
    </row>
    <row r="7300" spans="1:5" ht="14.25" hidden="1" customHeight="1">
      <c r="A7300" s="156">
        <v>16132794</v>
      </c>
      <c r="B7300" s="172" t="s">
        <v>3343</v>
      </c>
      <c r="C7300" s="172" t="s">
        <v>3344</v>
      </c>
      <c r="D7300" s="194" t="s">
        <v>7289</v>
      </c>
      <c r="E7300" s="200">
        <v>40640</v>
      </c>
    </row>
    <row r="7301" spans="1:5" ht="14.25" hidden="1" customHeight="1">
      <c r="A7301" s="156">
        <v>16617498</v>
      </c>
      <c r="B7301" s="172" t="s">
        <v>5314</v>
      </c>
      <c r="C7301" s="172" t="s">
        <v>5315</v>
      </c>
      <c r="D7301" s="194" t="s">
        <v>7289</v>
      </c>
      <c r="E7301" s="200">
        <v>40640</v>
      </c>
    </row>
    <row r="7302" spans="1:5" ht="14.25" hidden="1" customHeight="1">
      <c r="A7302" s="156">
        <v>16845010</v>
      </c>
      <c r="B7302" s="177" t="s">
        <v>3803</v>
      </c>
      <c r="C7302" s="177" t="s">
        <v>8403</v>
      </c>
      <c r="D7302" s="194" t="s">
        <v>7289</v>
      </c>
      <c r="E7302" s="200">
        <v>40640</v>
      </c>
    </row>
    <row r="7303" spans="1:5" ht="14.25" hidden="1" customHeight="1">
      <c r="A7303" s="156">
        <v>16888200</v>
      </c>
      <c r="B7303" s="172" t="s">
        <v>1817</v>
      </c>
      <c r="C7303" s="172" t="s">
        <v>1217</v>
      </c>
      <c r="D7303" s="194" t="s">
        <v>7289</v>
      </c>
      <c r="E7303" s="200">
        <v>40640</v>
      </c>
    </row>
    <row r="7304" spans="1:5" ht="14.25" hidden="1" customHeight="1">
      <c r="A7304" s="156">
        <v>16932640</v>
      </c>
      <c r="B7304" s="172" t="s">
        <v>6113</v>
      </c>
      <c r="C7304" s="172" t="s">
        <v>6114</v>
      </c>
      <c r="D7304" s="194" t="s">
        <v>7289</v>
      </c>
      <c r="E7304" s="200">
        <v>40640</v>
      </c>
    </row>
    <row r="7305" spans="1:5" ht="14.25" hidden="1" customHeight="1">
      <c r="A7305" s="156">
        <v>17040933</v>
      </c>
      <c r="B7305" s="172" t="s">
        <v>8200</v>
      </c>
      <c r="C7305" s="172" t="s">
        <v>819</v>
      </c>
      <c r="D7305" s="194" t="s">
        <v>7289</v>
      </c>
      <c r="E7305" s="200">
        <v>40640</v>
      </c>
    </row>
    <row r="7306" spans="1:5" ht="14.25" hidden="1" customHeight="1">
      <c r="A7306" s="156">
        <v>17268538</v>
      </c>
      <c r="B7306" s="172" t="s">
        <v>1002</v>
      </c>
      <c r="C7306" s="172" t="s">
        <v>1003</v>
      </c>
      <c r="D7306" s="194" t="s">
        <v>7289</v>
      </c>
      <c r="E7306" s="200">
        <v>40640</v>
      </c>
    </row>
    <row r="7307" spans="1:5" ht="14.25" hidden="1" customHeight="1">
      <c r="A7307" s="156">
        <v>17268925</v>
      </c>
      <c r="B7307" s="172" t="s">
        <v>311</v>
      </c>
      <c r="C7307" s="172" t="s">
        <v>3592</v>
      </c>
      <c r="D7307" s="194" t="s">
        <v>7289</v>
      </c>
      <c r="E7307" s="200">
        <v>40640</v>
      </c>
    </row>
    <row r="7308" spans="1:5" ht="14.25" hidden="1" customHeight="1">
      <c r="A7308" s="156">
        <v>17377961</v>
      </c>
      <c r="B7308" s="172" t="s">
        <v>6436</v>
      </c>
      <c r="C7308" s="172" t="s">
        <v>6437</v>
      </c>
      <c r="D7308" s="194" t="s">
        <v>7289</v>
      </c>
      <c r="E7308" s="200">
        <v>40640</v>
      </c>
    </row>
    <row r="7309" spans="1:5" ht="14.25" hidden="1" customHeight="1">
      <c r="A7309" s="156">
        <v>17458283</v>
      </c>
      <c r="B7309" s="172" t="s">
        <v>1163</v>
      </c>
      <c r="C7309" s="172" t="s">
        <v>1164</v>
      </c>
      <c r="D7309" s="194" t="s">
        <v>7289</v>
      </c>
      <c r="E7309" s="200">
        <v>40640</v>
      </c>
    </row>
    <row r="7310" spans="1:5" ht="14.25" hidden="1" customHeight="1">
      <c r="A7310" s="156">
        <v>17696974</v>
      </c>
      <c r="B7310" s="177" t="s">
        <v>640</v>
      </c>
      <c r="C7310" s="177" t="s">
        <v>644</v>
      </c>
      <c r="D7310" s="194" t="s">
        <v>7289</v>
      </c>
      <c r="E7310" s="200">
        <v>40640</v>
      </c>
    </row>
    <row r="7311" spans="1:5" ht="14.25" hidden="1" customHeight="1">
      <c r="A7311" s="156">
        <v>17860595</v>
      </c>
      <c r="B7311" s="177" t="s">
        <v>218</v>
      </c>
      <c r="C7311" s="177" t="s">
        <v>7960</v>
      </c>
      <c r="D7311" s="194" t="s">
        <v>7289</v>
      </c>
      <c r="E7311" s="200">
        <v>40640</v>
      </c>
    </row>
    <row r="7312" spans="1:5" ht="14.25" hidden="1" customHeight="1">
      <c r="A7312" s="156">
        <v>18230668</v>
      </c>
      <c r="B7312" s="172" t="s">
        <v>2375</v>
      </c>
      <c r="C7312" s="172" t="s">
        <v>1585</v>
      </c>
      <c r="D7312" s="194" t="s">
        <v>7289</v>
      </c>
      <c r="E7312" s="200">
        <v>40640</v>
      </c>
    </row>
    <row r="7313" spans="1:5" ht="14.25" hidden="1" customHeight="1">
      <c r="A7313" s="156">
        <v>18464655</v>
      </c>
      <c r="B7313" s="172" t="s">
        <v>247</v>
      </c>
      <c r="C7313" s="172" t="s">
        <v>248</v>
      </c>
      <c r="D7313" s="194" t="s">
        <v>7289</v>
      </c>
      <c r="E7313" s="200">
        <v>40640</v>
      </c>
    </row>
    <row r="7314" spans="1:5" ht="14.25" hidden="1" customHeight="1">
      <c r="A7314" s="156">
        <v>18465826</v>
      </c>
      <c r="B7314" s="172" t="s">
        <v>1482</v>
      </c>
      <c r="C7314" s="172" t="s">
        <v>876</v>
      </c>
      <c r="D7314" s="194" t="s">
        <v>7289</v>
      </c>
      <c r="E7314" s="200">
        <v>40640</v>
      </c>
    </row>
    <row r="7315" spans="1:5" ht="14.25" hidden="1" customHeight="1">
      <c r="A7315" s="156">
        <v>18501320</v>
      </c>
      <c r="B7315" s="177" t="s">
        <v>1168</v>
      </c>
      <c r="C7315" s="177" t="s">
        <v>6148</v>
      </c>
      <c r="D7315" s="194" t="s">
        <v>7289</v>
      </c>
      <c r="E7315" s="200">
        <v>40640</v>
      </c>
    </row>
    <row r="7316" spans="1:5" ht="14.25" hidden="1" customHeight="1">
      <c r="A7316" s="156">
        <v>18591917</v>
      </c>
      <c r="B7316" s="172" t="s">
        <v>1155</v>
      </c>
      <c r="C7316" s="172" t="s">
        <v>1156</v>
      </c>
      <c r="D7316" s="194" t="s">
        <v>7289</v>
      </c>
      <c r="E7316" s="200">
        <v>40640</v>
      </c>
    </row>
    <row r="7317" spans="1:5" ht="14.25" hidden="1" customHeight="1">
      <c r="A7317" s="156">
        <v>18622383</v>
      </c>
      <c r="B7317" s="172" t="s">
        <v>6298</v>
      </c>
      <c r="C7317" s="172" t="s">
        <v>6299</v>
      </c>
      <c r="D7317" s="194" t="s">
        <v>7289</v>
      </c>
      <c r="E7317" s="200">
        <v>40640</v>
      </c>
    </row>
    <row r="7318" spans="1:5" ht="14.25" hidden="1" customHeight="1">
      <c r="A7318" s="156">
        <v>20163258</v>
      </c>
      <c r="B7318" s="172" t="s">
        <v>2035</v>
      </c>
      <c r="C7318" s="172" t="s">
        <v>681</v>
      </c>
      <c r="D7318" s="194" t="s">
        <v>7289</v>
      </c>
      <c r="E7318" s="200">
        <v>40640</v>
      </c>
    </row>
    <row r="7319" spans="1:5" ht="14.25" hidden="1" customHeight="1">
      <c r="A7319" s="156">
        <v>20218614</v>
      </c>
      <c r="B7319" s="172" t="s">
        <v>6147</v>
      </c>
      <c r="C7319" s="172" t="s">
        <v>6148</v>
      </c>
      <c r="D7319" s="194" t="s">
        <v>7289</v>
      </c>
      <c r="E7319" s="200">
        <v>40640</v>
      </c>
    </row>
    <row r="7320" spans="1:5" ht="14.25" hidden="1" customHeight="1">
      <c r="A7320" s="156">
        <v>20219222</v>
      </c>
      <c r="B7320" s="172" t="s">
        <v>214</v>
      </c>
      <c r="C7320" s="172" t="s">
        <v>7649</v>
      </c>
      <c r="D7320" s="194" t="s">
        <v>7289</v>
      </c>
      <c r="E7320" s="200">
        <v>40640</v>
      </c>
    </row>
    <row r="7321" spans="1:5" ht="14.25" hidden="1" customHeight="1">
      <c r="A7321" s="156">
        <v>20284192</v>
      </c>
      <c r="B7321" s="172" t="s">
        <v>8225</v>
      </c>
      <c r="C7321" s="172" t="s">
        <v>8226</v>
      </c>
      <c r="D7321" s="194" t="s">
        <v>7289</v>
      </c>
      <c r="E7321" s="200">
        <v>40640</v>
      </c>
    </row>
    <row r="7322" spans="1:5" ht="14.25" hidden="1" customHeight="1">
      <c r="A7322" s="156">
        <v>20803370</v>
      </c>
      <c r="B7322" s="172" t="s">
        <v>1631</v>
      </c>
      <c r="C7322" s="172" t="s">
        <v>1632</v>
      </c>
      <c r="D7322" s="194" t="s">
        <v>7289</v>
      </c>
      <c r="E7322" s="200">
        <v>40640</v>
      </c>
    </row>
    <row r="7323" spans="1:5" ht="14.25" hidden="1" customHeight="1">
      <c r="A7323" s="156">
        <v>20857513</v>
      </c>
      <c r="B7323" s="172" t="s">
        <v>7088</v>
      </c>
      <c r="C7323" s="172" t="s">
        <v>7089</v>
      </c>
      <c r="D7323" s="194" t="s">
        <v>7289</v>
      </c>
      <c r="E7323" s="200">
        <v>40640</v>
      </c>
    </row>
    <row r="7324" spans="1:5" ht="14.25" hidden="1" customHeight="1">
      <c r="A7324" s="156">
        <v>21744365</v>
      </c>
      <c r="B7324" s="172" t="s">
        <v>1171</v>
      </c>
      <c r="C7324" s="172" t="s">
        <v>1172</v>
      </c>
      <c r="D7324" s="194" t="s">
        <v>7289</v>
      </c>
      <c r="E7324" s="200">
        <v>40640</v>
      </c>
    </row>
    <row r="7325" spans="1:5" ht="14.25" hidden="1" customHeight="1">
      <c r="A7325" s="156">
        <v>21745921</v>
      </c>
      <c r="B7325" s="172" t="s">
        <v>1112</v>
      </c>
      <c r="C7325" s="172" t="s">
        <v>1113</v>
      </c>
      <c r="D7325" s="194" t="s">
        <v>7289</v>
      </c>
      <c r="E7325" s="200">
        <v>40640</v>
      </c>
    </row>
    <row r="7326" spans="1:5" ht="14.25" hidden="1" customHeight="1">
      <c r="A7326" s="156">
        <v>22058809</v>
      </c>
      <c r="B7326" s="172" t="s">
        <v>595</v>
      </c>
      <c r="C7326" s="172" t="s">
        <v>2929</v>
      </c>
      <c r="D7326" s="194" t="s">
        <v>7289</v>
      </c>
      <c r="E7326" s="200">
        <v>40640</v>
      </c>
    </row>
    <row r="7327" spans="1:5" ht="14.25" hidden="1" customHeight="1">
      <c r="A7327" s="156">
        <v>24059179</v>
      </c>
      <c r="B7327" s="172" t="s">
        <v>3380</v>
      </c>
      <c r="C7327" s="172" t="s">
        <v>5274</v>
      </c>
      <c r="D7327" s="194" t="s">
        <v>7289</v>
      </c>
      <c r="E7327" s="200">
        <v>40640</v>
      </c>
    </row>
    <row r="7328" spans="1:5" ht="14.25" hidden="1" customHeight="1">
      <c r="A7328" s="156">
        <v>24200208</v>
      </c>
      <c r="B7328" s="172" t="s">
        <v>622</v>
      </c>
      <c r="C7328" s="172" t="s">
        <v>623</v>
      </c>
      <c r="D7328" s="194" t="s">
        <v>7289</v>
      </c>
      <c r="E7328" s="200">
        <v>40640</v>
      </c>
    </row>
    <row r="7329" spans="1:5" ht="14.25" hidden="1" customHeight="1">
      <c r="A7329" s="156">
        <v>24803875</v>
      </c>
      <c r="B7329" s="172" t="s">
        <v>5251</v>
      </c>
      <c r="C7329" s="172" t="s">
        <v>6170</v>
      </c>
      <c r="D7329" s="194" t="s">
        <v>7289</v>
      </c>
      <c r="E7329" s="200">
        <v>40640</v>
      </c>
    </row>
    <row r="7330" spans="1:5" ht="14.25" hidden="1" customHeight="1">
      <c r="A7330" s="156">
        <v>25076465</v>
      </c>
      <c r="B7330" s="172" t="s">
        <v>4289</v>
      </c>
      <c r="C7330" s="172" t="s">
        <v>4290</v>
      </c>
      <c r="D7330" s="194" t="s">
        <v>7289</v>
      </c>
      <c r="E7330" s="200">
        <v>40640</v>
      </c>
    </row>
    <row r="7331" spans="1:5" ht="14.25" hidden="1" customHeight="1">
      <c r="A7331" s="156">
        <v>25503354</v>
      </c>
      <c r="B7331" s="172" t="s">
        <v>742</v>
      </c>
      <c r="C7331" s="172" t="s">
        <v>5698</v>
      </c>
      <c r="D7331" s="194" t="s">
        <v>7289</v>
      </c>
      <c r="E7331" s="200">
        <v>40640</v>
      </c>
    </row>
    <row r="7332" spans="1:5" ht="14.25" hidden="1" customHeight="1">
      <c r="A7332" s="156">
        <v>25741308</v>
      </c>
      <c r="B7332" s="172" t="s">
        <v>4528</v>
      </c>
      <c r="C7332" s="172" t="s">
        <v>4529</v>
      </c>
      <c r="D7332" s="194" t="s">
        <v>7289</v>
      </c>
      <c r="E7332" s="200">
        <v>40640</v>
      </c>
    </row>
    <row r="7333" spans="1:5" ht="14.25" hidden="1" customHeight="1">
      <c r="A7333" s="156">
        <v>26684708</v>
      </c>
      <c r="B7333" s="177" t="s">
        <v>8404</v>
      </c>
      <c r="C7333" s="177" t="s">
        <v>8405</v>
      </c>
      <c r="D7333" s="194" t="s">
        <v>7289</v>
      </c>
      <c r="E7333" s="200">
        <v>40640</v>
      </c>
    </row>
    <row r="7334" spans="1:5" ht="14.25" hidden="1" customHeight="1">
      <c r="A7334" s="156">
        <v>27400260</v>
      </c>
      <c r="B7334" s="172" t="s">
        <v>3958</v>
      </c>
      <c r="C7334" s="172" t="s">
        <v>4956</v>
      </c>
      <c r="D7334" s="194" t="s">
        <v>7289</v>
      </c>
      <c r="E7334" s="200">
        <v>40640</v>
      </c>
    </row>
    <row r="7335" spans="1:5" ht="14.25" hidden="1" customHeight="1">
      <c r="A7335" s="156">
        <v>27595246</v>
      </c>
      <c r="B7335" s="172" t="s">
        <v>6312</v>
      </c>
      <c r="C7335" s="172" t="s">
        <v>328</v>
      </c>
      <c r="D7335" s="194" t="s">
        <v>7289</v>
      </c>
      <c r="E7335" s="200">
        <v>40640</v>
      </c>
    </row>
    <row r="7336" spans="1:5" ht="14.25" hidden="1" customHeight="1">
      <c r="A7336" s="156">
        <v>27791579</v>
      </c>
      <c r="B7336" s="172" t="s">
        <v>742</v>
      </c>
      <c r="C7336" s="172" t="s">
        <v>743</v>
      </c>
      <c r="D7336" s="194" t="s">
        <v>7289</v>
      </c>
      <c r="E7336" s="200">
        <v>40640</v>
      </c>
    </row>
    <row r="7337" spans="1:5" ht="14.25" hidden="1" customHeight="1">
      <c r="A7337" s="156">
        <v>31030239</v>
      </c>
      <c r="B7337" s="172" t="s">
        <v>1216</v>
      </c>
      <c r="C7337" s="172" t="s">
        <v>4790</v>
      </c>
      <c r="D7337" s="194" t="s">
        <v>7289</v>
      </c>
      <c r="E7337" s="200">
        <v>40640</v>
      </c>
    </row>
    <row r="7338" spans="1:5" ht="14.25" hidden="1" customHeight="1">
      <c r="A7338" s="156">
        <v>31254271</v>
      </c>
      <c r="B7338" s="172" t="s">
        <v>6074</v>
      </c>
      <c r="C7338" s="172" t="s">
        <v>2924</v>
      </c>
      <c r="D7338" s="194" t="s">
        <v>7289</v>
      </c>
      <c r="E7338" s="200">
        <v>40640</v>
      </c>
    </row>
    <row r="7339" spans="1:5" ht="14.25" hidden="1" customHeight="1">
      <c r="A7339" s="156">
        <v>31323421</v>
      </c>
      <c r="B7339" s="172" t="s">
        <v>2045</v>
      </c>
      <c r="C7339" s="172" t="s">
        <v>2046</v>
      </c>
      <c r="D7339" s="194" t="s">
        <v>7289</v>
      </c>
      <c r="E7339" s="200">
        <v>40640</v>
      </c>
    </row>
    <row r="7340" spans="1:5" ht="14.25" hidden="1" customHeight="1">
      <c r="A7340" s="156">
        <v>32201492</v>
      </c>
      <c r="B7340" s="172" t="s">
        <v>1512</v>
      </c>
      <c r="C7340" s="172" t="s">
        <v>1513</v>
      </c>
      <c r="D7340" s="194" t="s">
        <v>7289</v>
      </c>
      <c r="E7340" s="200">
        <v>40640</v>
      </c>
    </row>
    <row r="7341" spans="1:5" ht="14.25" hidden="1" customHeight="1">
      <c r="A7341" s="156">
        <v>32460682</v>
      </c>
      <c r="B7341" s="172" t="s">
        <v>1244</v>
      </c>
      <c r="C7341" s="172" t="s">
        <v>351</v>
      </c>
      <c r="D7341" s="194" t="s">
        <v>7289</v>
      </c>
      <c r="E7341" s="200">
        <v>40640</v>
      </c>
    </row>
    <row r="7342" spans="1:5" ht="14.25" hidden="1" customHeight="1">
      <c r="A7342" s="156">
        <v>32927840</v>
      </c>
      <c r="B7342" s="172" t="s">
        <v>1512</v>
      </c>
      <c r="C7342" s="172" t="s">
        <v>8401</v>
      </c>
      <c r="D7342" s="194" t="s">
        <v>7289</v>
      </c>
      <c r="E7342" s="200">
        <v>40640</v>
      </c>
    </row>
    <row r="7343" spans="1:5" ht="14.25" hidden="1" customHeight="1">
      <c r="A7343" s="156">
        <v>34287573</v>
      </c>
      <c r="B7343" s="172" t="s">
        <v>218</v>
      </c>
      <c r="C7343" s="177" t="s">
        <v>6155</v>
      </c>
      <c r="D7343" s="194" t="s">
        <v>7289</v>
      </c>
      <c r="E7343" s="200">
        <v>40640</v>
      </c>
    </row>
    <row r="7344" spans="1:5" ht="14.25" hidden="1" customHeight="1">
      <c r="A7344" s="156">
        <v>92825116</v>
      </c>
      <c r="B7344" s="172" t="s">
        <v>970</v>
      </c>
      <c r="C7344" s="172" t="s">
        <v>968</v>
      </c>
      <c r="D7344" s="194" t="s">
        <v>7289</v>
      </c>
      <c r="E7344" s="200">
        <v>40640</v>
      </c>
    </row>
    <row r="7345" spans="1:5" ht="14.25" hidden="1" customHeight="1">
      <c r="A7345" s="156">
        <v>5665687</v>
      </c>
      <c r="B7345" s="172" t="s">
        <v>2972</v>
      </c>
      <c r="C7345" s="172" t="s">
        <v>2973</v>
      </c>
      <c r="D7345" s="194" t="s">
        <v>8406</v>
      </c>
      <c r="E7345" s="200">
        <v>40640</v>
      </c>
    </row>
    <row r="7346" spans="1:5" ht="14.25" hidden="1" customHeight="1">
      <c r="A7346" s="156">
        <v>6054662</v>
      </c>
      <c r="B7346" s="172" t="s">
        <v>6202</v>
      </c>
      <c r="C7346" s="172" t="s">
        <v>6203</v>
      </c>
      <c r="D7346" s="194" t="s">
        <v>8406</v>
      </c>
      <c r="E7346" s="200">
        <v>40640</v>
      </c>
    </row>
    <row r="7347" spans="1:5" ht="14.25" hidden="1" customHeight="1">
      <c r="A7347" s="156">
        <v>12393882</v>
      </c>
      <c r="B7347" s="172" t="s">
        <v>1286</v>
      </c>
      <c r="C7347" s="172" t="s">
        <v>1287</v>
      </c>
      <c r="D7347" s="194" t="s">
        <v>8406</v>
      </c>
      <c r="E7347" s="200">
        <v>40640</v>
      </c>
    </row>
    <row r="7348" spans="1:5" ht="14.25" hidden="1" customHeight="1">
      <c r="A7348" s="156">
        <v>12414512</v>
      </c>
      <c r="B7348" s="172" t="s">
        <v>640</v>
      </c>
      <c r="C7348" s="172" t="s">
        <v>641</v>
      </c>
      <c r="D7348" s="194" t="s">
        <v>8406</v>
      </c>
      <c r="E7348" s="200">
        <v>40640</v>
      </c>
    </row>
    <row r="7349" spans="1:5" ht="14.25" hidden="1" customHeight="1">
      <c r="A7349" s="156">
        <v>14225505</v>
      </c>
      <c r="B7349" s="172" t="s">
        <v>260</v>
      </c>
      <c r="C7349" s="172" t="s">
        <v>261</v>
      </c>
      <c r="D7349" s="194" t="s">
        <v>8406</v>
      </c>
      <c r="E7349" s="200">
        <v>40640</v>
      </c>
    </row>
    <row r="7350" spans="1:5" ht="14.25" hidden="1" customHeight="1">
      <c r="A7350" s="156">
        <v>14296958</v>
      </c>
      <c r="B7350" s="172" t="s">
        <v>5838</v>
      </c>
      <c r="C7350" s="172" t="s">
        <v>5839</v>
      </c>
      <c r="D7350" s="194" t="s">
        <v>8406</v>
      </c>
      <c r="E7350" s="200">
        <v>40640</v>
      </c>
    </row>
    <row r="7351" spans="1:5" ht="14.25" hidden="1" customHeight="1">
      <c r="A7351" s="156">
        <v>14660494</v>
      </c>
      <c r="B7351" s="172" t="s">
        <v>8407</v>
      </c>
      <c r="C7351" s="172" t="s">
        <v>7962</v>
      </c>
      <c r="D7351" s="194" t="s">
        <v>8406</v>
      </c>
      <c r="E7351" s="200">
        <v>40640</v>
      </c>
    </row>
    <row r="7352" spans="1:5" ht="14.25" hidden="1" customHeight="1">
      <c r="A7352" s="156">
        <v>16314095</v>
      </c>
      <c r="B7352" s="172" t="s">
        <v>760</v>
      </c>
      <c r="C7352" s="172" t="s">
        <v>761</v>
      </c>
      <c r="D7352" s="194" t="s">
        <v>8406</v>
      </c>
      <c r="E7352" s="200">
        <v>40640</v>
      </c>
    </row>
    <row r="7353" spans="1:5" ht="14.25" hidden="1" customHeight="1">
      <c r="A7353" s="156">
        <v>16845010</v>
      </c>
      <c r="B7353" s="172" t="s">
        <v>3803</v>
      </c>
      <c r="C7353" s="172" t="s">
        <v>296</v>
      </c>
      <c r="D7353" s="194" t="s">
        <v>8406</v>
      </c>
      <c r="E7353" s="200">
        <v>40640</v>
      </c>
    </row>
    <row r="7354" spans="1:5" ht="14.25" hidden="1" customHeight="1">
      <c r="A7354" s="156">
        <v>17270247</v>
      </c>
      <c r="B7354" s="172" t="s">
        <v>5098</v>
      </c>
      <c r="C7354" s="172" t="s">
        <v>1061</v>
      </c>
      <c r="D7354" s="194" t="s">
        <v>8406</v>
      </c>
      <c r="E7354" s="200">
        <v>40640</v>
      </c>
    </row>
    <row r="7355" spans="1:5" ht="14.25" hidden="1" customHeight="1">
      <c r="A7355" s="156">
        <v>18501320</v>
      </c>
      <c r="B7355" s="172" t="s">
        <v>1168</v>
      </c>
      <c r="C7355" s="172" t="s">
        <v>6148</v>
      </c>
      <c r="D7355" s="194" t="s">
        <v>8406</v>
      </c>
      <c r="E7355" s="200">
        <v>40640</v>
      </c>
    </row>
    <row r="7356" spans="1:5" ht="14.25" hidden="1" customHeight="1">
      <c r="A7356" s="156">
        <v>25758684</v>
      </c>
      <c r="B7356" s="177" t="s">
        <v>428</v>
      </c>
      <c r="C7356" s="177" t="s">
        <v>1208</v>
      </c>
      <c r="D7356" s="194" t="s">
        <v>8406</v>
      </c>
      <c r="E7356" s="200">
        <v>40640</v>
      </c>
    </row>
    <row r="7357" spans="1:5" ht="14.25" hidden="1" customHeight="1">
      <c r="A7357" s="156">
        <v>27364281</v>
      </c>
      <c r="B7357" s="172" t="s">
        <v>8408</v>
      </c>
      <c r="C7357" s="172" t="s">
        <v>2069</v>
      </c>
      <c r="D7357" s="194" t="s">
        <v>8406</v>
      </c>
      <c r="E7357" s="200">
        <v>40640</v>
      </c>
    </row>
    <row r="7358" spans="1:5" ht="14.25" hidden="1" customHeight="1">
      <c r="A7358" s="156">
        <v>29640889</v>
      </c>
      <c r="B7358" s="172" t="s">
        <v>954</v>
      </c>
      <c r="C7358" s="172" t="s">
        <v>955</v>
      </c>
      <c r="D7358" s="194" t="s">
        <v>8406</v>
      </c>
      <c r="E7358" s="200">
        <v>40640</v>
      </c>
    </row>
    <row r="7359" spans="1:5" ht="14.25" hidden="1" customHeight="1">
      <c r="A7359" s="156">
        <v>11463189</v>
      </c>
      <c r="B7359" s="172" t="s">
        <v>2087</v>
      </c>
      <c r="C7359" s="172" t="s">
        <v>5046</v>
      </c>
      <c r="D7359" s="194" t="s">
        <v>8409</v>
      </c>
      <c r="E7359" s="200">
        <v>40638</v>
      </c>
    </row>
    <row r="7360" spans="1:5" ht="14.25" hidden="1" customHeight="1">
      <c r="A7360" s="156">
        <v>14023915</v>
      </c>
      <c r="B7360" s="177" t="s">
        <v>181</v>
      </c>
      <c r="C7360" s="177" t="s">
        <v>223</v>
      </c>
      <c r="D7360" s="194" t="s">
        <v>8409</v>
      </c>
      <c r="E7360" s="200">
        <v>40638</v>
      </c>
    </row>
    <row r="7361" spans="1:5" ht="14.25" hidden="1" customHeight="1">
      <c r="A7361" s="156">
        <v>16932640</v>
      </c>
      <c r="B7361" s="172" t="s">
        <v>6113</v>
      </c>
      <c r="C7361" s="172" t="s">
        <v>6114</v>
      </c>
      <c r="D7361" s="194" t="s">
        <v>8409</v>
      </c>
      <c r="E7361" s="200">
        <v>40638</v>
      </c>
    </row>
    <row r="7362" spans="1:5" ht="14.25" hidden="1" customHeight="1">
      <c r="A7362" s="156">
        <v>18185007</v>
      </c>
      <c r="B7362" s="172" t="s">
        <v>1040</v>
      </c>
      <c r="C7362" s="172" t="s">
        <v>5776</v>
      </c>
      <c r="D7362" s="194" t="s">
        <v>8409</v>
      </c>
      <c r="E7362" s="200">
        <v>40638</v>
      </c>
    </row>
    <row r="7363" spans="1:5" ht="14.25" hidden="1" customHeight="1">
      <c r="A7363" s="156">
        <v>23116496</v>
      </c>
      <c r="B7363" s="172" t="s">
        <v>476</v>
      </c>
      <c r="C7363" s="172" t="s">
        <v>2723</v>
      </c>
      <c r="D7363" s="194" t="s">
        <v>8409</v>
      </c>
      <c r="E7363" s="200">
        <v>40638</v>
      </c>
    </row>
    <row r="7364" spans="1:5" ht="14.25" hidden="1" customHeight="1">
      <c r="A7364" s="156">
        <v>23518171</v>
      </c>
      <c r="B7364" s="172" t="s">
        <v>2228</v>
      </c>
      <c r="C7364" s="172" t="s">
        <v>1535</v>
      </c>
      <c r="D7364" s="194" t="s">
        <v>8409</v>
      </c>
      <c r="E7364" s="200">
        <v>40638</v>
      </c>
    </row>
    <row r="7365" spans="1:5" ht="14.25" hidden="1" customHeight="1">
      <c r="A7365" s="156">
        <v>24059175</v>
      </c>
      <c r="B7365" s="172" t="s">
        <v>3380</v>
      </c>
      <c r="C7365" s="172" t="s">
        <v>135</v>
      </c>
      <c r="D7365" s="194" t="s">
        <v>8409</v>
      </c>
      <c r="E7365" s="200">
        <v>40638</v>
      </c>
    </row>
    <row r="7366" spans="1:5" ht="14.25" hidden="1" customHeight="1">
      <c r="A7366" s="156">
        <v>24803011</v>
      </c>
      <c r="B7366" s="172" t="s">
        <v>1568</v>
      </c>
      <c r="C7366" s="172" t="s">
        <v>97</v>
      </c>
      <c r="D7366" s="194" t="s">
        <v>8409</v>
      </c>
      <c r="E7366" s="200">
        <v>40638</v>
      </c>
    </row>
    <row r="7367" spans="1:5" ht="14.25" hidden="1" customHeight="1">
      <c r="A7367" s="156">
        <v>25503354</v>
      </c>
      <c r="B7367" s="172" t="s">
        <v>742</v>
      </c>
      <c r="C7367" s="172" t="s">
        <v>5698</v>
      </c>
      <c r="D7367" s="194" t="s">
        <v>8409</v>
      </c>
      <c r="E7367" s="200">
        <v>40638</v>
      </c>
    </row>
    <row r="7368" spans="1:5" ht="14.25" hidden="1" customHeight="1">
      <c r="A7368" s="156">
        <v>26028746</v>
      </c>
      <c r="B7368" s="172" t="s">
        <v>4289</v>
      </c>
      <c r="C7368" s="172" t="s">
        <v>6060</v>
      </c>
      <c r="D7368" s="194" t="s">
        <v>8409</v>
      </c>
      <c r="E7368" s="200">
        <v>40638</v>
      </c>
    </row>
    <row r="7369" spans="1:5" ht="14.25" hidden="1" customHeight="1">
      <c r="A7369" s="156">
        <v>27751579</v>
      </c>
      <c r="B7369" s="172" t="s">
        <v>742</v>
      </c>
      <c r="C7369" s="172" t="s">
        <v>743</v>
      </c>
      <c r="D7369" s="194" t="s">
        <v>8409</v>
      </c>
      <c r="E7369" s="200">
        <v>40638</v>
      </c>
    </row>
    <row r="7370" spans="1:5" ht="14.25" hidden="1" customHeight="1">
      <c r="A7370" s="156">
        <v>36584493</v>
      </c>
      <c r="B7370" s="177" t="s">
        <v>288</v>
      </c>
      <c r="C7370" s="177" t="s">
        <v>8412</v>
      </c>
      <c r="D7370" s="194" t="s">
        <v>8409</v>
      </c>
      <c r="E7370" s="200">
        <v>40638</v>
      </c>
    </row>
    <row r="7371" spans="1:5" ht="14.25" hidden="1" customHeight="1">
      <c r="A7371" s="156">
        <v>37725171</v>
      </c>
      <c r="B7371" s="177" t="s">
        <v>8410</v>
      </c>
      <c r="C7371" s="177" t="s">
        <v>7130</v>
      </c>
      <c r="D7371" s="194" t="s">
        <v>8409</v>
      </c>
      <c r="E7371" s="200">
        <v>40638</v>
      </c>
    </row>
    <row r="7372" spans="1:5" ht="14.25" hidden="1" customHeight="1">
      <c r="A7372" s="156">
        <v>39477404</v>
      </c>
      <c r="B7372" s="177" t="s">
        <v>8411</v>
      </c>
      <c r="C7372" s="177" t="s">
        <v>108</v>
      </c>
      <c r="D7372" s="194" t="s">
        <v>8409</v>
      </c>
      <c r="E7372" s="200">
        <v>40638</v>
      </c>
    </row>
    <row r="7373" spans="1:5" ht="14.25" hidden="1" customHeight="1">
      <c r="A7373" s="156">
        <v>17041883</v>
      </c>
      <c r="B7373" s="172" t="s">
        <v>171</v>
      </c>
      <c r="C7373" s="172" t="s">
        <v>1061</v>
      </c>
      <c r="D7373" s="194" t="s">
        <v>8413</v>
      </c>
      <c r="E7373" s="200">
        <v>40638</v>
      </c>
    </row>
    <row r="7374" spans="1:5" ht="14.25" hidden="1" customHeight="1">
      <c r="A7374" s="156">
        <v>17376464</v>
      </c>
      <c r="B7374" s="172" t="s">
        <v>1823</v>
      </c>
      <c r="C7374" s="172" t="s">
        <v>8416</v>
      </c>
      <c r="D7374" s="194" t="s">
        <v>8413</v>
      </c>
      <c r="E7374" s="200">
        <v>40638</v>
      </c>
    </row>
    <row r="7375" spans="1:5" ht="14.25" hidden="1" customHeight="1">
      <c r="A7375" s="156">
        <v>18187225</v>
      </c>
      <c r="B7375" s="172" t="s">
        <v>8415</v>
      </c>
      <c r="C7375" s="172" t="s">
        <v>8256</v>
      </c>
      <c r="D7375" s="194" t="s">
        <v>8413</v>
      </c>
      <c r="E7375" s="200">
        <v>40638</v>
      </c>
    </row>
    <row r="7376" spans="1:5" ht="14.25" hidden="1" customHeight="1">
      <c r="A7376" s="156">
        <v>20285526</v>
      </c>
      <c r="B7376" s="172" t="s">
        <v>8414</v>
      </c>
      <c r="C7376" s="172" t="s">
        <v>1068</v>
      </c>
      <c r="D7376" s="194" t="s">
        <v>8413</v>
      </c>
      <c r="E7376" s="200">
        <v>40638</v>
      </c>
    </row>
    <row r="7377" spans="1:5" ht="14.25" hidden="1" customHeight="1">
      <c r="A7377" s="156">
        <v>22759404</v>
      </c>
      <c r="B7377" s="172" t="s">
        <v>5689</v>
      </c>
      <c r="C7377" s="172" t="s">
        <v>5690</v>
      </c>
      <c r="D7377" s="194" t="s">
        <v>8413</v>
      </c>
      <c r="E7377" s="200">
        <v>40638</v>
      </c>
    </row>
    <row r="7378" spans="1:5" ht="14.25" hidden="1" customHeight="1">
      <c r="A7378" s="156">
        <v>26484383</v>
      </c>
      <c r="B7378" s="172" t="s">
        <v>5716</v>
      </c>
      <c r="C7378" s="172" t="s">
        <v>1353</v>
      </c>
      <c r="D7378" s="194" t="s">
        <v>8413</v>
      </c>
      <c r="E7378" s="200">
        <v>40638</v>
      </c>
    </row>
    <row r="7379" spans="1:5" ht="14.25" hidden="1" customHeight="1">
      <c r="A7379" s="156">
        <v>27148834</v>
      </c>
      <c r="B7379" s="172" t="s">
        <v>226</v>
      </c>
      <c r="C7379" s="172" t="s">
        <v>783</v>
      </c>
      <c r="D7379" s="194" t="s">
        <v>8413</v>
      </c>
      <c r="E7379" s="200">
        <v>40638</v>
      </c>
    </row>
    <row r="7380" spans="1:5" ht="14.25" hidden="1" customHeight="1">
      <c r="A7380" s="156">
        <v>27322439</v>
      </c>
      <c r="B7380" s="172" t="s">
        <v>5727</v>
      </c>
      <c r="C7380" s="172" t="s">
        <v>296</v>
      </c>
      <c r="D7380" s="194" t="s">
        <v>8413</v>
      </c>
      <c r="E7380" s="200">
        <v>40638</v>
      </c>
    </row>
    <row r="7381" spans="1:5" ht="14.25" hidden="1" customHeight="1">
      <c r="A7381" s="156">
        <v>28290152</v>
      </c>
      <c r="B7381" s="172" t="s">
        <v>1547</v>
      </c>
      <c r="C7381" s="172" t="s">
        <v>5708</v>
      </c>
      <c r="D7381" s="194" t="s">
        <v>8413</v>
      </c>
      <c r="E7381" s="200">
        <v>40638</v>
      </c>
    </row>
    <row r="7382" spans="1:5" ht="14.25" hidden="1" customHeight="1">
      <c r="A7382" s="156">
        <v>29338521</v>
      </c>
      <c r="B7382" s="172" t="s">
        <v>5563</v>
      </c>
      <c r="C7382" s="172" t="s">
        <v>30</v>
      </c>
      <c r="D7382" s="194" t="s">
        <v>8413</v>
      </c>
      <c r="E7382" s="200">
        <v>40638</v>
      </c>
    </row>
    <row r="7383" spans="1:5" ht="14.25" hidden="1" customHeight="1">
      <c r="A7383" s="156">
        <v>29624719</v>
      </c>
      <c r="B7383" s="172" t="s">
        <v>2091</v>
      </c>
      <c r="C7383" s="172" t="s">
        <v>527</v>
      </c>
      <c r="D7383" s="194" t="s">
        <v>8413</v>
      </c>
      <c r="E7383" s="200">
        <v>40638</v>
      </c>
    </row>
    <row r="7384" spans="1:5" ht="14.25" hidden="1" customHeight="1">
      <c r="A7384" s="156">
        <v>30759960</v>
      </c>
      <c r="B7384" s="172" t="s">
        <v>5505</v>
      </c>
      <c r="C7384" s="172" t="s">
        <v>671</v>
      </c>
      <c r="D7384" s="194" t="s">
        <v>8413</v>
      </c>
      <c r="E7384" s="200">
        <v>40638</v>
      </c>
    </row>
    <row r="7385" spans="1:5" ht="14.25" hidden="1" customHeight="1">
      <c r="A7385" s="156">
        <v>31588739</v>
      </c>
      <c r="B7385" s="172" t="s">
        <v>5633</v>
      </c>
      <c r="C7385" s="172" t="s">
        <v>3662</v>
      </c>
      <c r="D7385" s="194" t="s">
        <v>8413</v>
      </c>
      <c r="E7385" s="200">
        <v>40638</v>
      </c>
    </row>
    <row r="7386" spans="1:5" ht="14.25" hidden="1" customHeight="1">
      <c r="A7386" s="156">
        <v>32601881</v>
      </c>
      <c r="B7386" s="172" t="s">
        <v>5693</v>
      </c>
      <c r="C7386" s="172" t="s">
        <v>5694</v>
      </c>
      <c r="D7386" s="194" t="s">
        <v>8413</v>
      </c>
      <c r="E7386" s="200">
        <v>40638</v>
      </c>
    </row>
    <row r="7387" spans="1:5" ht="14.25" hidden="1" customHeight="1">
      <c r="A7387" s="156">
        <v>5335925</v>
      </c>
      <c r="B7387" s="172" t="s">
        <v>730</v>
      </c>
      <c r="C7387" s="172" t="s">
        <v>2176</v>
      </c>
      <c r="D7387" s="195" t="s">
        <v>7020</v>
      </c>
      <c r="E7387" s="200">
        <v>40623</v>
      </c>
    </row>
    <row r="7388" spans="1:5" ht="14.25" hidden="1" customHeight="1">
      <c r="A7388" s="156">
        <v>13629751</v>
      </c>
      <c r="B7388" s="172" t="s">
        <v>652</v>
      </c>
      <c r="C7388" s="172" t="s">
        <v>2024</v>
      </c>
      <c r="D7388" s="195" t="s">
        <v>7020</v>
      </c>
      <c r="E7388" s="200">
        <v>40623</v>
      </c>
    </row>
    <row r="7389" spans="1:5" ht="14.25" hidden="1" customHeight="1">
      <c r="A7389" s="156">
        <v>14661832</v>
      </c>
      <c r="B7389" s="172" t="s">
        <v>1890</v>
      </c>
      <c r="C7389" s="172" t="s">
        <v>1891</v>
      </c>
      <c r="D7389" s="195" t="s">
        <v>7020</v>
      </c>
      <c r="E7389" s="200">
        <v>40623</v>
      </c>
    </row>
    <row r="7390" spans="1:5" ht="14.25" hidden="1" customHeight="1">
      <c r="A7390" s="156">
        <v>20171342</v>
      </c>
      <c r="B7390" s="172" t="s">
        <v>394</v>
      </c>
      <c r="C7390" s="172" t="s">
        <v>8417</v>
      </c>
      <c r="D7390" s="195" t="s">
        <v>7020</v>
      </c>
      <c r="E7390" s="200">
        <v>40623</v>
      </c>
    </row>
    <row r="7391" spans="1:5" ht="14.25" hidden="1" customHeight="1">
      <c r="A7391" s="156">
        <v>3724605</v>
      </c>
      <c r="B7391" s="172" t="s">
        <v>6369</v>
      </c>
      <c r="C7391" s="172" t="s">
        <v>783</v>
      </c>
      <c r="D7391" s="194" t="s">
        <v>8418</v>
      </c>
      <c r="E7391" s="200">
        <v>40616</v>
      </c>
    </row>
    <row r="7392" spans="1:5" ht="14.25" hidden="1" customHeight="1">
      <c r="A7392" s="156">
        <v>10220069</v>
      </c>
      <c r="B7392" s="172" t="s">
        <v>994</v>
      </c>
      <c r="C7392" s="172" t="s">
        <v>365</v>
      </c>
      <c r="D7392" s="194" t="s">
        <v>8418</v>
      </c>
      <c r="E7392" s="200">
        <v>40616</v>
      </c>
    </row>
    <row r="7393" spans="1:5" ht="14.25" hidden="1" customHeight="1">
      <c r="A7393" s="156">
        <v>13279577</v>
      </c>
      <c r="B7393" s="172" t="s">
        <v>948</v>
      </c>
      <c r="C7393" s="172" t="s">
        <v>949</v>
      </c>
      <c r="D7393" s="194" t="s">
        <v>8418</v>
      </c>
      <c r="E7393" s="200">
        <v>40616</v>
      </c>
    </row>
    <row r="7394" spans="1:5" ht="14.25" hidden="1" customHeight="1">
      <c r="A7394" s="156">
        <v>22877708</v>
      </c>
      <c r="B7394" s="172" t="s">
        <v>2709</v>
      </c>
      <c r="C7394" s="172" t="s">
        <v>2102</v>
      </c>
      <c r="D7394" s="194" t="s">
        <v>8418</v>
      </c>
      <c r="E7394" s="200">
        <v>40616</v>
      </c>
    </row>
    <row r="7395" spans="1:5" ht="14.25" hidden="1" customHeight="1">
      <c r="A7395" s="156">
        <v>25331402</v>
      </c>
      <c r="B7395" s="172" t="s">
        <v>996</v>
      </c>
      <c r="C7395" s="172" t="s">
        <v>876</v>
      </c>
      <c r="D7395" s="194" t="s">
        <v>8418</v>
      </c>
      <c r="E7395" s="200">
        <v>40616</v>
      </c>
    </row>
    <row r="7396" spans="1:5" ht="14.25" hidden="1" customHeight="1">
      <c r="A7396" s="156">
        <v>12475984</v>
      </c>
      <c r="B7396" s="172" t="s">
        <v>3041</v>
      </c>
      <c r="C7396" s="172" t="s">
        <v>783</v>
      </c>
      <c r="D7396" s="194" t="s">
        <v>7009</v>
      </c>
      <c r="E7396" s="200">
        <v>40502</v>
      </c>
    </row>
    <row r="7397" spans="1:5" ht="14.25" hidden="1" customHeight="1">
      <c r="A7397" s="156">
        <v>18114974</v>
      </c>
      <c r="B7397" s="172" t="s">
        <v>1011</v>
      </c>
      <c r="C7397" s="172" t="s">
        <v>8420</v>
      </c>
      <c r="D7397" s="194" t="s">
        <v>7009</v>
      </c>
      <c r="E7397" s="200">
        <v>40502</v>
      </c>
    </row>
    <row r="7398" spans="1:5" ht="14.25" hidden="1" customHeight="1">
      <c r="A7398" s="156">
        <v>23117524</v>
      </c>
      <c r="B7398" s="172" t="s">
        <v>4451</v>
      </c>
      <c r="C7398" s="172" t="s">
        <v>8422</v>
      </c>
      <c r="D7398" s="194" t="s">
        <v>7009</v>
      </c>
      <c r="E7398" s="200">
        <v>40502</v>
      </c>
    </row>
    <row r="7399" spans="1:5" ht="14.25" hidden="1" customHeight="1">
      <c r="A7399" s="156">
        <v>25758684</v>
      </c>
      <c r="B7399" s="172" t="s">
        <v>6922</v>
      </c>
      <c r="C7399" s="172" t="s">
        <v>1208</v>
      </c>
      <c r="D7399" s="194" t="s">
        <v>7009</v>
      </c>
      <c r="E7399" s="200">
        <v>40502</v>
      </c>
    </row>
    <row r="7400" spans="1:5" ht="14.25" hidden="1" customHeight="1">
      <c r="A7400" s="156">
        <v>26454632</v>
      </c>
      <c r="B7400" s="172" t="s">
        <v>394</v>
      </c>
      <c r="C7400" s="172" t="s">
        <v>8421</v>
      </c>
      <c r="D7400" s="194" t="s">
        <v>7009</v>
      </c>
      <c r="E7400" s="200">
        <v>40502</v>
      </c>
    </row>
    <row r="7401" spans="1:5" ht="14.25" hidden="1" customHeight="1">
      <c r="A7401" s="156">
        <v>27016126</v>
      </c>
      <c r="B7401" s="172" t="s">
        <v>327</v>
      </c>
      <c r="C7401" s="172" t="s">
        <v>2885</v>
      </c>
      <c r="D7401" s="194" t="s">
        <v>7009</v>
      </c>
      <c r="E7401" s="200">
        <v>40502</v>
      </c>
    </row>
    <row r="7402" spans="1:5" ht="14.25" hidden="1" customHeight="1">
      <c r="A7402" s="156">
        <v>27400661</v>
      </c>
      <c r="B7402" s="172" t="s">
        <v>1102</v>
      </c>
      <c r="C7402" s="172" t="s">
        <v>1302</v>
      </c>
      <c r="D7402" s="194" t="s">
        <v>7009</v>
      </c>
      <c r="E7402" s="200">
        <v>40502</v>
      </c>
    </row>
    <row r="7403" spans="1:5" ht="14.25" hidden="1" customHeight="1">
      <c r="A7403" s="156">
        <v>32115802</v>
      </c>
      <c r="B7403" s="172" t="s">
        <v>2718</v>
      </c>
      <c r="C7403" s="172" t="s">
        <v>8419</v>
      </c>
      <c r="D7403" s="194" t="s">
        <v>7009</v>
      </c>
      <c r="E7403" s="200">
        <v>40502</v>
      </c>
    </row>
    <row r="7404" spans="1:5" ht="14.25" hidden="1" customHeight="1">
      <c r="A7404" s="156"/>
      <c r="B7404" s="172" t="s">
        <v>2952</v>
      </c>
      <c r="C7404" s="172" t="s">
        <v>6150</v>
      </c>
      <c r="D7404" s="194" t="s">
        <v>7009</v>
      </c>
      <c r="E7404" s="200">
        <v>40502</v>
      </c>
    </row>
    <row r="7405" spans="1:5" ht="14.25" hidden="1" customHeight="1">
      <c r="A7405" s="156">
        <v>11708174</v>
      </c>
      <c r="B7405" s="172" t="s">
        <v>1628</v>
      </c>
      <c r="C7405" s="172" t="s">
        <v>1629</v>
      </c>
      <c r="D7405" s="194" t="s">
        <v>7309</v>
      </c>
      <c r="E7405" s="200">
        <v>40487</v>
      </c>
    </row>
    <row r="7406" spans="1:5" ht="14.25" hidden="1" customHeight="1">
      <c r="A7406" s="156">
        <v>14410492</v>
      </c>
      <c r="B7406" s="172" t="s">
        <v>5147</v>
      </c>
      <c r="C7406" s="172" t="s">
        <v>5148</v>
      </c>
      <c r="D7406" s="194" t="s">
        <v>7309</v>
      </c>
      <c r="E7406" s="200">
        <v>40487</v>
      </c>
    </row>
    <row r="7407" spans="1:5" ht="14.25" hidden="1" customHeight="1">
      <c r="A7407" s="156">
        <v>20692216</v>
      </c>
      <c r="B7407" s="172" t="s">
        <v>484</v>
      </c>
      <c r="C7407" s="172" t="s">
        <v>27</v>
      </c>
      <c r="D7407" s="194" t="s">
        <v>7309</v>
      </c>
      <c r="E7407" s="200">
        <v>40487</v>
      </c>
    </row>
    <row r="7408" spans="1:5" ht="14.25" hidden="1" customHeight="1">
      <c r="A7408" s="156">
        <v>26454669</v>
      </c>
      <c r="B7408" s="172" t="s">
        <v>6428</v>
      </c>
      <c r="C7408" s="172" t="s">
        <v>6429</v>
      </c>
      <c r="D7408" s="194" t="s">
        <v>7309</v>
      </c>
      <c r="E7408" s="200">
        <v>40487</v>
      </c>
    </row>
    <row r="7409" spans="1:5" ht="14.25" hidden="1" customHeight="1">
      <c r="A7409" s="156">
        <v>26684708</v>
      </c>
      <c r="B7409" s="172" t="s">
        <v>8404</v>
      </c>
      <c r="C7409" s="172" t="s">
        <v>1068</v>
      </c>
      <c r="D7409" s="194" t="s">
        <v>7309</v>
      </c>
      <c r="E7409" s="200">
        <v>40487</v>
      </c>
    </row>
    <row r="7410" spans="1:5" ht="14.25" hidden="1" customHeight="1">
      <c r="A7410" s="156">
        <v>5072905</v>
      </c>
      <c r="B7410" s="172" t="s">
        <v>1637</v>
      </c>
      <c r="C7410" s="172" t="s">
        <v>6426</v>
      </c>
      <c r="D7410" s="195" t="s">
        <v>7020</v>
      </c>
      <c r="E7410" s="200">
        <v>40485</v>
      </c>
    </row>
    <row r="7411" spans="1:5" ht="14.25" hidden="1" customHeight="1">
      <c r="A7411" s="156">
        <v>10220216</v>
      </c>
      <c r="B7411" s="172" t="s">
        <v>1216</v>
      </c>
      <c r="C7411" s="172" t="s">
        <v>2244</v>
      </c>
      <c r="D7411" s="195" t="s">
        <v>7020</v>
      </c>
      <c r="E7411" s="200">
        <v>40485</v>
      </c>
    </row>
    <row r="7412" spans="1:5" ht="14.25" hidden="1" customHeight="1">
      <c r="A7412" s="156">
        <v>12597724</v>
      </c>
      <c r="B7412" s="172" t="s">
        <v>760</v>
      </c>
      <c r="C7412" s="172" t="s">
        <v>8424</v>
      </c>
      <c r="D7412" s="195" t="s">
        <v>7020</v>
      </c>
      <c r="E7412" s="200">
        <v>40485</v>
      </c>
    </row>
    <row r="7413" spans="1:5" ht="14.25" hidden="1" customHeight="1">
      <c r="A7413" s="156">
        <v>14226057</v>
      </c>
      <c r="B7413" s="172" t="s">
        <v>5793</v>
      </c>
      <c r="C7413" s="172" t="s">
        <v>5794</v>
      </c>
      <c r="D7413" s="195" t="s">
        <v>7020</v>
      </c>
      <c r="E7413" s="200">
        <v>40485</v>
      </c>
    </row>
    <row r="7414" spans="1:5" ht="14.25" hidden="1" customHeight="1">
      <c r="A7414" s="156">
        <v>25498735</v>
      </c>
      <c r="B7414" s="172" t="s">
        <v>8423</v>
      </c>
      <c r="C7414" s="172" t="s">
        <v>6493</v>
      </c>
      <c r="D7414" s="195" t="s">
        <v>7020</v>
      </c>
      <c r="E7414" s="200">
        <v>40485</v>
      </c>
    </row>
    <row r="7415" spans="1:5" ht="14.25" hidden="1" customHeight="1">
      <c r="A7415" s="156">
        <v>32200378</v>
      </c>
      <c r="B7415" s="172" t="s">
        <v>2248</v>
      </c>
      <c r="C7415" s="172" t="s">
        <v>3106</v>
      </c>
      <c r="D7415" s="195" t="s">
        <v>7020</v>
      </c>
      <c r="E7415" s="200">
        <v>40485</v>
      </c>
    </row>
    <row r="7416" spans="1:5" ht="14.25" hidden="1" customHeight="1">
      <c r="A7416" s="156">
        <v>5772320</v>
      </c>
      <c r="B7416" s="172" t="s">
        <v>4566</v>
      </c>
      <c r="C7416" s="172" t="s">
        <v>241</v>
      </c>
      <c r="D7416" s="194" t="s">
        <v>7082</v>
      </c>
      <c r="E7416" s="200">
        <v>40471</v>
      </c>
    </row>
    <row r="7417" spans="1:5" ht="14.25" hidden="1" customHeight="1">
      <c r="A7417" s="156">
        <v>7628733</v>
      </c>
      <c r="B7417" s="172" t="s">
        <v>1027</v>
      </c>
      <c r="C7417" s="172" t="s">
        <v>27</v>
      </c>
      <c r="D7417" s="194" t="s">
        <v>7082</v>
      </c>
      <c r="E7417" s="200">
        <v>40471</v>
      </c>
    </row>
    <row r="7418" spans="1:5" ht="14.25" hidden="1" customHeight="1">
      <c r="A7418" s="156">
        <v>7838665</v>
      </c>
      <c r="B7418" s="172" t="s">
        <v>685</v>
      </c>
      <c r="C7418" s="172" t="s">
        <v>686</v>
      </c>
      <c r="D7418" s="194" t="s">
        <v>7082</v>
      </c>
      <c r="E7418" s="200">
        <v>40471</v>
      </c>
    </row>
    <row r="7419" spans="1:5" ht="14.25" hidden="1" customHeight="1">
      <c r="A7419" s="156">
        <v>11084627</v>
      </c>
      <c r="B7419" s="172" t="s">
        <v>2302</v>
      </c>
      <c r="C7419" s="172" t="s">
        <v>3981</v>
      </c>
      <c r="D7419" s="194" t="s">
        <v>7082</v>
      </c>
      <c r="E7419" s="200">
        <v>40471</v>
      </c>
    </row>
    <row r="7420" spans="1:5" ht="14.25" hidden="1" customHeight="1">
      <c r="A7420" s="156">
        <v>11084903</v>
      </c>
      <c r="B7420" s="172" t="s">
        <v>226</v>
      </c>
      <c r="C7420" s="172" t="s">
        <v>6160</v>
      </c>
      <c r="D7420" s="194" t="s">
        <v>7082</v>
      </c>
      <c r="E7420" s="200">
        <v>40471</v>
      </c>
    </row>
    <row r="7421" spans="1:5" ht="14.25" hidden="1" customHeight="1">
      <c r="A7421" s="156">
        <v>11463289</v>
      </c>
      <c r="B7421" s="172" t="s">
        <v>1842</v>
      </c>
      <c r="C7421" s="172" t="s">
        <v>1843</v>
      </c>
      <c r="D7421" s="194" t="s">
        <v>7082</v>
      </c>
      <c r="E7421" s="200">
        <v>40471</v>
      </c>
    </row>
    <row r="7422" spans="1:5" ht="14.25" hidden="1" customHeight="1">
      <c r="A7422" s="156">
        <v>11475247</v>
      </c>
      <c r="B7422" s="172" t="s">
        <v>1610</v>
      </c>
      <c r="C7422" s="172" t="s">
        <v>1611</v>
      </c>
      <c r="D7422" s="194" t="s">
        <v>7082</v>
      </c>
      <c r="E7422" s="200">
        <v>40471</v>
      </c>
    </row>
    <row r="7423" spans="1:5" ht="14.25" hidden="1" customHeight="1">
      <c r="A7423" s="156">
        <v>11551761</v>
      </c>
      <c r="B7423" s="172" t="s">
        <v>4085</v>
      </c>
      <c r="C7423" s="172" t="s">
        <v>8428</v>
      </c>
      <c r="D7423" s="194" t="s">
        <v>7082</v>
      </c>
      <c r="E7423" s="200">
        <v>40471</v>
      </c>
    </row>
    <row r="7424" spans="1:5" ht="14.25" hidden="1" customHeight="1">
      <c r="A7424" s="156">
        <v>11605505</v>
      </c>
      <c r="B7424" s="172" t="s">
        <v>980</v>
      </c>
      <c r="C7424" s="172" t="s">
        <v>981</v>
      </c>
      <c r="D7424" s="194" t="s">
        <v>7082</v>
      </c>
      <c r="E7424" s="200">
        <v>40471</v>
      </c>
    </row>
    <row r="7425" spans="1:5" ht="14.25" hidden="1" customHeight="1">
      <c r="A7425" s="156">
        <v>11795038</v>
      </c>
      <c r="B7425" s="172" t="s">
        <v>3728</v>
      </c>
      <c r="C7425" s="172" t="s">
        <v>3729</v>
      </c>
      <c r="D7425" s="194" t="s">
        <v>7082</v>
      </c>
      <c r="E7425" s="200">
        <v>40471</v>
      </c>
    </row>
    <row r="7426" spans="1:5" ht="14.25" hidden="1" customHeight="1">
      <c r="A7426" s="156">
        <v>11915728</v>
      </c>
      <c r="B7426" s="172" t="s">
        <v>8432</v>
      </c>
      <c r="C7426" s="172" t="s">
        <v>219</v>
      </c>
      <c r="D7426" s="194" t="s">
        <v>7082</v>
      </c>
      <c r="E7426" s="200">
        <v>40471</v>
      </c>
    </row>
    <row r="7427" spans="1:5" ht="14.25" hidden="1" customHeight="1">
      <c r="A7427" s="156">
        <v>12080430</v>
      </c>
      <c r="B7427" s="172" t="s">
        <v>8439</v>
      </c>
      <c r="C7427" s="172" t="s">
        <v>5282</v>
      </c>
      <c r="D7427" s="194" t="s">
        <v>7082</v>
      </c>
      <c r="E7427" s="200">
        <v>40471</v>
      </c>
    </row>
    <row r="7428" spans="1:5" ht="14.25" hidden="1" customHeight="1">
      <c r="A7428" s="156">
        <v>12149654</v>
      </c>
      <c r="B7428" s="172" t="s">
        <v>394</v>
      </c>
      <c r="C7428" s="172" t="s">
        <v>395</v>
      </c>
      <c r="D7428" s="194" t="s">
        <v>7082</v>
      </c>
      <c r="E7428" s="200">
        <v>40471</v>
      </c>
    </row>
    <row r="7429" spans="1:5" ht="14.25" hidden="1" customHeight="1">
      <c r="A7429" s="156">
        <v>12373522</v>
      </c>
      <c r="B7429" s="172" t="s">
        <v>1538</v>
      </c>
      <c r="C7429" s="172" t="s">
        <v>1771</v>
      </c>
      <c r="D7429" s="194" t="s">
        <v>7082</v>
      </c>
      <c r="E7429" s="200">
        <v>40471</v>
      </c>
    </row>
    <row r="7430" spans="1:5" ht="14.25" hidden="1" customHeight="1">
      <c r="A7430" s="156">
        <v>13550747</v>
      </c>
      <c r="B7430" s="172" t="s">
        <v>8433</v>
      </c>
      <c r="C7430" s="172" t="s">
        <v>7330</v>
      </c>
      <c r="D7430" s="194" t="s">
        <v>7082</v>
      </c>
      <c r="E7430" s="200">
        <v>40471</v>
      </c>
    </row>
    <row r="7431" spans="1:5" ht="14.25" hidden="1" customHeight="1">
      <c r="A7431" s="156">
        <v>13710024</v>
      </c>
      <c r="B7431" s="172" t="s">
        <v>8440</v>
      </c>
      <c r="C7431" s="172" t="s">
        <v>427</v>
      </c>
      <c r="D7431" s="194" t="s">
        <v>7082</v>
      </c>
      <c r="E7431" s="200">
        <v>40471</v>
      </c>
    </row>
    <row r="7432" spans="1:5" ht="14.25" hidden="1" customHeight="1">
      <c r="A7432" s="156">
        <v>14073031</v>
      </c>
      <c r="B7432" s="172" t="s">
        <v>541</v>
      </c>
      <c r="C7432" s="172" t="s">
        <v>2382</v>
      </c>
      <c r="D7432" s="194" t="s">
        <v>7082</v>
      </c>
      <c r="E7432" s="200">
        <v>40471</v>
      </c>
    </row>
    <row r="7433" spans="1:5" ht="14.25" hidden="1" customHeight="1">
      <c r="A7433" s="156">
        <v>16122254</v>
      </c>
      <c r="B7433" s="172" t="s">
        <v>914</v>
      </c>
      <c r="C7433" s="172" t="s">
        <v>8427</v>
      </c>
      <c r="D7433" s="194" t="s">
        <v>7082</v>
      </c>
      <c r="E7433" s="200">
        <v>40471</v>
      </c>
    </row>
    <row r="7434" spans="1:5" ht="14.25" hidden="1" customHeight="1">
      <c r="A7434" s="156">
        <v>16314577</v>
      </c>
      <c r="B7434" s="172" t="s">
        <v>1588</v>
      </c>
      <c r="C7434" s="172" t="s">
        <v>378</v>
      </c>
      <c r="D7434" s="194" t="s">
        <v>7082</v>
      </c>
      <c r="E7434" s="200">
        <v>40471</v>
      </c>
    </row>
    <row r="7435" spans="1:5" ht="14.25" hidden="1" customHeight="1">
      <c r="A7435" s="156">
        <v>17021738</v>
      </c>
      <c r="B7435" s="172" t="s">
        <v>8434</v>
      </c>
      <c r="C7435" s="172" t="s">
        <v>8435</v>
      </c>
      <c r="D7435" s="194" t="s">
        <v>7082</v>
      </c>
      <c r="E7435" s="200">
        <v>40471</v>
      </c>
    </row>
    <row r="7436" spans="1:5" ht="14.25" hidden="1" customHeight="1">
      <c r="A7436" s="156">
        <v>17041215</v>
      </c>
      <c r="B7436" s="172" t="s">
        <v>2856</v>
      </c>
      <c r="C7436" s="172" t="s">
        <v>4535</v>
      </c>
      <c r="D7436" s="194" t="s">
        <v>7082</v>
      </c>
      <c r="E7436" s="200">
        <v>40471</v>
      </c>
    </row>
    <row r="7437" spans="1:5" ht="14.25" hidden="1" customHeight="1">
      <c r="A7437" s="156">
        <v>17268237</v>
      </c>
      <c r="B7437" s="172" t="s">
        <v>6015</v>
      </c>
      <c r="C7437" s="172" t="s">
        <v>6016</v>
      </c>
      <c r="D7437" s="194" t="s">
        <v>7082</v>
      </c>
      <c r="E7437" s="200">
        <v>40471</v>
      </c>
    </row>
    <row r="7438" spans="1:5" ht="14.25" hidden="1" customHeight="1">
      <c r="A7438" s="156">
        <v>17376756</v>
      </c>
      <c r="B7438" s="172" t="s">
        <v>944</v>
      </c>
      <c r="C7438" s="172" t="s">
        <v>945</v>
      </c>
      <c r="D7438" s="194" t="s">
        <v>7082</v>
      </c>
      <c r="E7438" s="200">
        <v>40471</v>
      </c>
    </row>
    <row r="7439" spans="1:5" ht="14.25" hidden="1" customHeight="1">
      <c r="A7439" s="156">
        <v>17376937</v>
      </c>
      <c r="B7439" s="172" t="s">
        <v>461</v>
      </c>
      <c r="C7439" s="172" t="s">
        <v>462</v>
      </c>
      <c r="D7439" s="194" t="s">
        <v>7082</v>
      </c>
      <c r="E7439" s="200">
        <v>40471</v>
      </c>
    </row>
    <row r="7440" spans="1:5" ht="14.25" hidden="1" customHeight="1">
      <c r="A7440" s="156">
        <v>17458714</v>
      </c>
      <c r="B7440" s="172" t="s">
        <v>3975</v>
      </c>
      <c r="C7440" s="172" t="s">
        <v>681</v>
      </c>
      <c r="D7440" s="194" t="s">
        <v>7082</v>
      </c>
      <c r="E7440" s="200">
        <v>40471</v>
      </c>
    </row>
    <row r="7441" spans="1:5" ht="14.25" hidden="1" customHeight="1">
      <c r="A7441" s="156">
        <v>17619333</v>
      </c>
      <c r="B7441" s="172" t="s">
        <v>1538</v>
      </c>
      <c r="C7441" s="172" t="s">
        <v>3850</v>
      </c>
      <c r="D7441" s="194" t="s">
        <v>7082</v>
      </c>
      <c r="E7441" s="200">
        <v>40471</v>
      </c>
    </row>
    <row r="7442" spans="1:5" ht="14.25" hidden="1" customHeight="1">
      <c r="A7442" s="156">
        <v>21329323</v>
      </c>
      <c r="B7442" s="172" t="s">
        <v>4646</v>
      </c>
      <c r="C7442" s="172" t="s">
        <v>2447</v>
      </c>
      <c r="D7442" s="194" t="s">
        <v>7082</v>
      </c>
      <c r="E7442" s="200">
        <v>40471</v>
      </c>
    </row>
    <row r="7443" spans="1:5" ht="14.25" hidden="1" customHeight="1">
      <c r="A7443" s="156">
        <v>21747531</v>
      </c>
      <c r="B7443" s="172" t="s">
        <v>4566</v>
      </c>
      <c r="C7443" s="172" t="s">
        <v>4567</v>
      </c>
      <c r="D7443" s="194" t="s">
        <v>7082</v>
      </c>
      <c r="E7443" s="200">
        <v>40471</v>
      </c>
    </row>
    <row r="7444" spans="1:5" ht="14.25" hidden="1" customHeight="1">
      <c r="A7444" s="156">
        <v>22181386</v>
      </c>
      <c r="B7444" s="172" t="s">
        <v>2547</v>
      </c>
      <c r="C7444" s="172" t="s">
        <v>2548</v>
      </c>
      <c r="D7444" s="194" t="s">
        <v>7082</v>
      </c>
      <c r="E7444" s="200">
        <v>40471</v>
      </c>
    </row>
    <row r="7445" spans="1:5" ht="14.25" hidden="1" customHeight="1">
      <c r="A7445" s="156">
        <v>22429990</v>
      </c>
      <c r="B7445" s="172" t="s">
        <v>2844</v>
      </c>
      <c r="C7445" s="172" t="s">
        <v>363</v>
      </c>
      <c r="D7445" s="194" t="s">
        <v>7082</v>
      </c>
      <c r="E7445" s="200">
        <v>40471</v>
      </c>
    </row>
    <row r="7446" spans="1:5" ht="14.25" hidden="1" customHeight="1">
      <c r="A7446" s="156">
        <v>23116496</v>
      </c>
      <c r="B7446" s="172" t="s">
        <v>476</v>
      </c>
      <c r="C7446" s="172" t="s">
        <v>8438</v>
      </c>
      <c r="D7446" s="194" t="s">
        <v>7082</v>
      </c>
      <c r="E7446" s="200">
        <v>40471</v>
      </c>
    </row>
    <row r="7447" spans="1:5" ht="14.25" hidden="1" customHeight="1">
      <c r="A7447" s="156">
        <v>23931160</v>
      </c>
      <c r="B7447" s="172" t="s">
        <v>4673</v>
      </c>
      <c r="C7447" s="172" t="s">
        <v>8441</v>
      </c>
      <c r="D7447" s="194" t="s">
        <v>7082</v>
      </c>
      <c r="E7447" s="200">
        <v>40471</v>
      </c>
    </row>
    <row r="7448" spans="1:5" ht="14.25" hidden="1" customHeight="1">
      <c r="A7448" s="156">
        <v>24200608</v>
      </c>
      <c r="B7448" s="172" t="s">
        <v>622</v>
      </c>
      <c r="C7448" s="172" t="s">
        <v>623</v>
      </c>
      <c r="D7448" s="194" t="s">
        <v>7082</v>
      </c>
      <c r="E7448" s="200">
        <v>40471</v>
      </c>
    </row>
    <row r="7449" spans="1:5" ht="14.25" hidden="1" customHeight="1">
      <c r="A7449" s="156">
        <v>25543368</v>
      </c>
      <c r="B7449" s="172" t="s">
        <v>2622</v>
      </c>
      <c r="C7449" s="172" t="s">
        <v>4220</v>
      </c>
      <c r="D7449" s="194" t="s">
        <v>7082</v>
      </c>
      <c r="E7449" s="200">
        <v>40471</v>
      </c>
    </row>
    <row r="7450" spans="1:5" ht="14.25" hidden="1" customHeight="1">
      <c r="A7450" s="156">
        <v>25709455</v>
      </c>
      <c r="B7450" s="172" t="s">
        <v>5643</v>
      </c>
      <c r="C7450" s="172" t="s">
        <v>5644</v>
      </c>
      <c r="D7450" s="194" t="s">
        <v>7082</v>
      </c>
      <c r="E7450" s="200">
        <v>40471</v>
      </c>
    </row>
    <row r="7451" spans="1:5" ht="14.25" hidden="1" customHeight="1">
      <c r="A7451" s="156">
        <v>25843275</v>
      </c>
      <c r="B7451" s="172" t="s">
        <v>4199</v>
      </c>
      <c r="C7451" s="172" t="s">
        <v>1591</v>
      </c>
      <c r="D7451" s="194" t="s">
        <v>7082</v>
      </c>
      <c r="E7451" s="200">
        <v>40471</v>
      </c>
    </row>
    <row r="7452" spans="1:5" ht="14.25" hidden="1" customHeight="1">
      <c r="A7452" s="156">
        <v>26638536</v>
      </c>
      <c r="B7452" s="172" t="s">
        <v>901</v>
      </c>
      <c r="C7452" s="172" t="s">
        <v>7100</v>
      </c>
      <c r="D7452" s="194" t="s">
        <v>7082</v>
      </c>
      <c r="E7452" s="200">
        <v>40471</v>
      </c>
    </row>
    <row r="7453" spans="1:5" ht="14.25" hidden="1" customHeight="1">
      <c r="A7453" s="156">
        <v>26722770</v>
      </c>
      <c r="B7453" s="172" t="s">
        <v>1588</v>
      </c>
      <c r="C7453" s="172" t="s">
        <v>1591</v>
      </c>
      <c r="D7453" s="194" t="s">
        <v>7082</v>
      </c>
      <c r="E7453" s="200">
        <v>40471</v>
      </c>
    </row>
    <row r="7454" spans="1:5" ht="14.25" hidden="1" customHeight="1">
      <c r="A7454" s="156">
        <v>27016351</v>
      </c>
      <c r="B7454" s="172" t="s">
        <v>2026</v>
      </c>
      <c r="C7454" s="172" t="s">
        <v>8431</v>
      </c>
      <c r="D7454" s="194" t="s">
        <v>7082</v>
      </c>
      <c r="E7454" s="200">
        <v>40471</v>
      </c>
    </row>
    <row r="7455" spans="1:5" ht="14.25" hidden="1" customHeight="1">
      <c r="A7455" s="156">
        <v>27364281</v>
      </c>
      <c r="B7455" s="172" t="s">
        <v>3602</v>
      </c>
      <c r="C7455" s="172" t="s">
        <v>2069</v>
      </c>
      <c r="D7455" s="194" t="s">
        <v>7082</v>
      </c>
      <c r="E7455" s="200">
        <v>40471</v>
      </c>
    </row>
    <row r="7456" spans="1:5" ht="14.25" hidden="1" customHeight="1">
      <c r="A7456" s="156">
        <v>27400661</v>
      </c>
      <c r="B7456" s="172" t="s">
        <v>226</v>
      </c>
      <c r="C7456" s="172" t="s">
        <v>1302</v>
      </c>
      <c r="D7456" s="194" t="s">
        <v>7082</v>
      </c>
      <c r="E7456" s="200">
        <v>40471</v>
      </c>
    </row>
    <row r="7457" spans="1:5" ht="14.25" hidden="1" customHeight="1">
      <c r="A7457" s="156">
        <v>27651817</v>
      </c>
      <c r="B7457" s="172" t="s">
        <v>359</v>
      </c>
      <c r="C7457" s="172" t="s">
        <v>3797</v>
      </c>
      <c r="D7457" s="194" t="s">
        <v>7082</v>
      </c>
      <c r="E7457" s="200">
        <v>40471</v>
      </c>
    </row>
    <row r="7458" spans="1:5" ht="14.25" hidden="1" customHeight="1">
      <c r="A7458" s="156">
        <v>27751579</v>
      </c>
      <c r="B7458" s="172" t="s">
        <v>742</v>
      </c>
      <c r="C7458" s="172" t="s">
        <v>8437</v>
      </c>
      <c r="D7458" s="194" t="s">
        <v>7082</v>
      </c>
      <c r="E7458" s="200">
        <v>40471</v>
      </c>
    </row>
    <row r="7459" spans="1:5" ht="14.25" hidden="1" customHeight="1">
      <c r="A7459" s="156">
        <v>27944383</v>
      </c>
      <c r="B7459" s="172" t="s">
        <v>863</v>
      </c>
      <c r="C7459" s="172" t="s">
        <v>3294</v>
      </c>
      <c r="D7459" s="194" t="s">
        <v>7082</v>
      </c>
      <c r="E7459" s="200">
        <v>40471</v>
      </c>
    </row>
    <row r="7460" spans="1:5" ht="14.25" hidden="1" customHeight="1">
      <c r="A7460" s="156">
        <v>30090802</v>
      </c>
      <c r="B7460" s="172" t="s">
        <v>8430</v>
      </c>
      <c r="C7460" s="172" t="s">
        <v>5013</v>
      </c>
      <c r="D7460" s="194" t="s">
        <v>7082</v>
      </c>
      <c r="E7460" s="200">
        <v>40471</v>
      </c>
    </row>
    <row r="7461" spans="1:5" ht="14.25" hidden="1" customHeight="1">
      <c r="A7461" s="156">
        <v>31323198</v>
      </c>
      <c r="B7461" s="172" t="s">
        <v>94</v>
      </c>
      <c r="C7461" s="172" t="s">
        <v>95</v>
      </c>
      <c r="D7461" s="194" t="s">
        <v>7082</v>
      </c>
      <c r="E7461" s="200">
        <v>40471</v>
      </c>
    </row>
    <row r="7462" spans="1:5" ht="14.25" hidden="1" customHeight="1">
      <c r="A7462" s="156">
        <v>32115802</v>
      </c>
      <c r="B7462" s="172" t="s">
        <v>2718</v>
      </c>
      <c r="C7462" s="172" t="s">
        <v>8426</v>
      </c>
      <c r="D7462" s="194" t="s">
        <v>7082</v>
      </c>
      <c r="E7462" s="200">
        <v>40471</v>
      </c>
    </row>
    <row r="7463" spans="1:5" ht="14.25" hidden="1" customHeight="1">
      <c r="A7463" s="156">
        <v>32115934</v>
      </c>
      <c r="B7463" s="172" t="s">
        <v>8436</v>
      </c>
      <c r="C7463" s="172" t="s">
        <v>1801</v>
      </c>
      <c r="D7463" s="194" t="s">
        <v>7082</v>
      </c>
      <c r="E7463" s="200">
        <v>40471</v>
      </c>
    </row>
    <row r="7464" spans="1:5" ht="14.25" hidden="1" customHeight="1">
      <c r="A7464" s="156">
        <v>33541845</v>
      </c>
      <c r="B7464" s="172" t="s">
        <v>2718</v>
      </c>
      <c r="C7464" s="172" t="s">
        <v>5966</v>
      </c>
      <c r="D7464" s="194" t="s">
        <v>7082</v>
      </c>
      <c r="E7464" s="200">
        <v>40471</v>
      </c>
    </row>
    <row r="7465" spans="1:5" ht="14.25" hidden="1" customHeight="1">
      <c r="A7465" s="156">
        <v>34958061</v>
      </c>
      <c r="B7465" s="172" t="s">
        <v>3213</v>
      </c>
      <c r="C7465" s="172" t="s">
        <v>8429</v>
      </c>
      <c r="D7465" s="194" t="s">
        <v>7082</v>
      </c>
      <c r="E7465" s="200">
        <v>40471</v>
      </c>
    </row>
    <row r="7466" spans="1:5" ht="14.25" hidden="1" customHeight="1">
      <c r="A7466" s="156"/>
      <c r="B7466" s="172" t="s">
        <v>8425</v>
      </c>
      <c r="C7466" s="172" t="s">
        <v>157</v>
      </c>
      <c r="D7466" s="194" t="s">
        <v>7082</v>
      </c>
      <c r="E7466" s="200">
        <v>40471</v>
      </c>
    </row>
    <row r="7467" spans="1:5" ht="14.25" hidden="1" customHeight="1">
      <c r="A7467" s="156">
        <v>5192175</v>
      </c>
      <c r="B7467" s="172" t="s">
        <v>629</v>
      </c>
      <c r="C7467" s="172" t="s">
        <v>427</v>
      </c>
      <c r="D7467" s="194" t="s">
        <v>8442</v>
      </c>
      <c r="E7467" s="200">
        <v>40465</v>
      </c>
    </row>
    <row r="7468" spans="1:5" ht="14.25" hidden="1" customHeight="1">
      <c r="A7468" s="156">
        <v>7653009</v>
      </c>
      <c r="B7468" s="172" t="s">
        <v>850</v>
      </c>
      <c r="C7468" s="172" t="s">
        <v>365</v>
      </c>
      <c r="D7468" s="194" t="s">
        <v>8442</v>
      </c>
      <c r="E7468" s="200">
        <v>40465</v>
      </c>
    </row>
    <row r="7469" spans="1:5" ht="14.25" hidden="1" customHeight="1">
      <c r="A7469" s="156">
        <v>11463679</v>
      </c>
      <c r="B7469" s="172" t="s">
        <v>707</v>
      </c>
      <c r="C7469" s="172" t="s">
        <v>8449</v>
      </c>
      <c r="D7469" s="194" t="s">
        <v>8442</v>
      </c>
      <c r="E7469" s="200">
        <v>40465</v>
      </c>
    </row>
    <row r="7470" spans="1:5" ht="14.25" hidden="1" customHeight="1">
      <c r="A7470" s="156">
        <v>12607777</v>
      </c>
      <c r="B7470" s="172" t="s">
        <v>2514</v>
      </c>
      <c r="C7470" s="172" t="s">
        <v>2516</v>
      </c>
      <c r="D7470" s="194" t="s">
        <v>8442</v>
      </c>
      <c r="E7470" s="200">
        <v>40465</v>
      </c>
    </row>
    <row r="7471" spans="1:5" ht="14.25" hidden="1" customHeight="1">
      <c r="A7471" s="156">
        <v>12654235</v>
      </c>
      <c r="B7471" s="172" t="s">
        <v>863</v>
      </c>
      <c r="C7471" s="172" t="s">
        <v>4576</v>
      </c>
      <c r="D7471" s="194" t="s">
        <v>8442</v>
      </c>
      <c r="E7471" s="200">
        <v>40465</v>
      </c>
    </row>
    <row r="7472" spans="1:5" ht="14.25" hidden="1" customHeight="1">
      <c r="A7472" s="156">
        <v>12800073</v>
      </c>
      <c r="B7472" s="172" t="s">
        <v>218</v>
      </c>
      <c r="C7472" s="172" t="s">
        <v>8446</v>
      </c>
      <c r="D7472" s="194" t="s">
        <v>8442</v>
      </c>
      <c r="E7472" s="200">
        <v>40465</v>
      </c>
    </row>
    <row r="7473" spans="1:5" ht="14.25" hidden="1" customHeight="1">
      <c r="A7473" s="156">
        <v>13278971</v>
      </c>
      <c r="B7473" s="172" t="s">
        <v>1625</v>
      </c>
      <c r="C7473" s="172" t="s">
        <v>1626</v>
      </c>
      <c r="D7473" s="194" t="s">
        <v>8442</v>
      </c>
      <c r="E7473" s="200">
        <v>40465</v>
      </c>
    </row>
    <row r="7474" spans="1:5" ht="14.25" hidden="1" customHeight="1">
      <c r="A7474" s="156">
        <v>13715942</v>
      </c>
      <c r="B7474" s="172" t="s">
        <v>8204</v>
      </c>
      <c r="C7474" s="172" t="s">
        <v>4661</v>
      </c>
      <c r="D7474" s="194" t="s">
        <v>8442</v>
      </c>
      <c r="E7474" s="200">
        <v>40465</v>
      </c>
    </row>
    <row r="7475" spans="1:5" ht="14.25" hidden="1" customHeight="1">
      <c r="A7475" s="156">
        <v>14410631</v>
      </c>
      <c r="B7475" s="172" t="s">
        <v>8447</v>
      </c>
      <c r="C7475" s="172" t="s">
        <v>8448</v>
      </c>
      <c r="D7475" s="194" t="s">
        <v>8442</v>
      </c>
      <c r="E7475" s="200">
        <v>40465</v>
      </c>
    </row>
    <row r="7476" spans="1:5" ht="14.25" hidden="1" customHeight="1">
      <c r="A7476" s="156">
        <v>14660417</v>
      </c>
      <c r="B7476" s="172" t="s">
        <v>218</v>
      </c>
      <c r="C7476" s="172" t="s">
        <v>2268</v>
      </c>
      <c r="D7476" s="194" t="s">
        <v>8442</v>
      </c>
      <c r="E7476" s="200">
        <v>40465</v>
      </c>
    </row>
    <row r="7477" spans="1:5" ht="14.25" hidden="1" customHeight="1">
      <c r="A7477" s="156">
        <v>14660801</v>
      </c>
      <c r="B7477" s="177" t="s">
        <v>680</v>
      </c>
      <c r="C7477" s="177" t="s">
        <v>2702</v>
      </c>
      <c r="D7477" s="194" t="s">
        <v>8442</v>
      </c>
      <c r="E7477" s="200">
        <v>40465</v>
      </c>
    </row>
    <row r="7478" spans="1:5" ht="14.25" hidden="1" customHeight="1">
      <c r="A7478" s="156">
        <v>17376756</v>
      </c>
      <c r="B7478" s="172" t="s">
        <v>944</v>
      </c>
      <c r="C7478" s="172" t="s">
        <v>945</v>
      </c>
      <c r="D7478" s="194" t="s">
        <v>8442</v>
      </c>
      <c r="E7478" s="200">
        <v>40465</v>
      </c>
    </row>
    <row r="7479" spans="1:5" ht="14.25" hidden="1" customHeight="1">
      <c r="A7479" s="156">
        <v>17619333</v>
      </c>
      <c r="B7479" s="172" t="s">
        <v>288</v>
      </c>
      <c r="C7479" s="172" t="s">
        <v>3850</v>
      </c>
      <c r="D7479" s="194" t="s">
        <v>8442</v>
      </c>
      <c r="E7479" s="200">
        <v>40465</v>
      </c>
    </row>
    <row r="7480" spans="1:5" ht="14.25" hidden="1" customHeight="1">
      <c r="A7480" s="156">
        <v>18185663</v>
      </c>
      <c r="B7480" s="172" t="s">
        <v>26</v>
      </c>
      <c r="C7480" s="172" t="s">
        <v>5759</v>
      </c>
      <c r="D7480" s="194" t="s">
        <v>8442</v>
      </c>
      <c r="E7480" s="200">
        <v>40465</v>
      </c>
    </row>
    <row r="7481" spans="1:5" ht="14.25" hidden="1" customHeight="1">
      <c r="A7481" s="156">
        <v>18433635</v>
      </c>
      <c r="B7481" s="177" t="s">
        <v>1849</v>
      </c>
      <c r="C7481" s="177" t="s">
        <v>1850</v>
      </c>
      <c r="D7481" s="194" t="s">
        <v>8442</v>
      </c>
      <c r="E7481" s="200">
        <v>40465</v>
      </c>
    </row>
    <row r="7482" spans="1:5" ht="14.25" hidden="1" customHeight="1">
      <c r="A7482" s="156">
        <v>20218903</v>
      </c>
      <c r="B7482" s="172" t="s">
        <v>633</v>
      </c>
      <c r="C7482" s="172" t="s">
        <v>27</v>
      </c>
      <c r="D7482" s="194" t="s">
        <v>8442</v>
      </c>
      <c r="E7482" s="200">
        <v>40465</v>
      </c>
    </row>
    <row r="7483" spans="1:5" ht="14.25" hidden="1" customHeight="1">
      <c r="A7483" s="156">
        <v>20222813</v>
      </c>
      <c r="B7483" s="172" t="s">
        <v>4320</v>
      </c>
      <c r="C7483" s="172" t="s">
        <v>4318</v>
      </c>
      <c r="D7483" s="194" t="s">
        <v>8442</v>
      </c>
      <c r="E7483" s="200">
        <v>40465</v>
      </c>
    </row>
    <row r="7484" spans="1:5" ht="14.25" hidden="1" customHeight="1">
      <c r="A7484" s="156">
        <v>20418524</v>
      </c>
      <c r="B7484" s="172" t="s">
        <v>2422</v>
      </c>
      <c r="C7484" s="172" t="s">
        <v>7098</v>
      </c>
      <c r="D7484" s="194" t="s">
        <v>8442</v>
      </c>
      <c r="E7484" s="200">
        <v>40465</v>
      </c>
    </row>
    <row r="7485" spans="1:5" ht="14.25" hidden="1" customHeight="1">
      <c r="A7485" s="156">
        <v>20692453</v>
      </c>
      <c r="B7485" s="172" t="s">
        <v>7629</v>
      </c>
      <c r="C7485" s="172" t="s">
        <v>8443</v>
      </c>
      <c r="D7485" s="194" t="s">
        <v>8442</v>
      </c>
      <c r="E7485" s="200">
        <v>40465</v>
      </c>
    </row>
    <row r="7486" spans="1:5" ht="14.25" hidden="1" customHeight="1">
      <c r="A7486" s="156">
        <v>21948337</v>
      </c>
      <c r="B7486" s="172" t="s">
        <v>685</v>
      </c>
      <c r="C7486" s="172" t="s">
        <v>2074</v>
      </c>
      <c r="D7486" s="194" t="s">
        <v>8442</v>
      </c>
      <c r="E7486" s="200">
        <v>40465</v>
      </c>
    </row>
    <row r="7487" spans="1:5" ht="14.25" hidden="1" customHeight="1">
      <c r="A7487" s="156">
        <v>22073287</v>
      </c>
      <c r="B7487" s="172" t="s">
        <v>4752</v>
      </c>
      <c r="C7487" s="172" t="s">
        <v>2595</v>
      </c>
      <c r="D7487" s="194" t="s">
        <v>8442</v>
      </c>
      <c r="E7487" s="200">
        <v>40465</v>
      </c>
    </row>
    <row r="7488" spans="1:5" ht="14.25" hidden="1" customHeight="1">
      <c r="A7488" s="156">
        <v>22263816</v>
      </c>
      <c r="B7488" s="172" t="s">
        <v>1613</v>
      </c>
      <c r="C7488" s="172" t="s">
        <v>3852</v>
      </c>
      <c r="D7488" s="194" t="s">
        <v>8442</v>
      </c>
      <c r="E7488" s="200">
        <v>40465</v>
      </c>
    </row>
    <row r="7489" spans="1:5" ht="14.25" hidden="1" customHeight="1">
      <c r="A7489" s="156">
        <v>22664180</v>
      </c>
      <c r="B7489" s="172" t="s">
        <v>252</v>
      </c>
      <c r="C7489" s="172" t="s">
        <v>8199</v>
      </c>
      <c r="D7489" s="194" t="s">
        <v>8442</v>
      </c>
      <c r="E7489" s="200">
        <v>40465</v>
      </c>
    </row>
    <row r="7490" spans="1:5" ht="14.25" hidden="1" customHeight="1">
      <c r="A7490" s="156">
        <v>22806056</v>
      </c>
      <c r="B7490" s="172" t="s">
        <v>1793</v>
      </c>
      <c r="C7490" s="172" t="s">
        <v>8144</v>
      </c>
      <c r="D7490" s="194" t="s">
        <v>8442</v>
      </c>
      <c r="E7490" s="200">
        <v>40465</v>
      </c>
    </row>
    <row r="7491" spans="1:5" ht="14.25" hidden="1" customHeight="1">
      <c r="A7491" s="156">
        <v>22877708</v>
      </c>
      <c r="B7491" s="172" t="s">
        <v>2709</v>
      </c>
      <c r="C7491" s="172" t="s">
        <v>2710</v>
      </c>
      <c r="D7491" s="194" t="s">
        <v>8442</v>
      </c>
      <c r="E7491" s="200">
        <v>40465</v>
      </c>
    </row>
    <row r="7492" spans="1:5" ht="14.25" hidden="1" customHeight="1">
      <c r="A7492" s="156">
        <v>23116597</v>
      </c>
      <c r="B7492" s="172" t="s">
        <v>5670</v>
      </c>
      <c r="C7492" s="172" t="s">
        <v>5671</v>
      </c>
      <c r="D7492" s="194" t="s">
        <v>8442</v>
      </c>
      <c r="E7492" s="200">
        <v>40465</v>
      </c>
    </row>
    <row r="7493" spans="1:5" ht="14.25" hidden="1" customHeight="1">
      <c r="A7493" s="156">
        <v>23238427</v>
      </c>
      <c r="B7493" s="172" t="s">
        <v>3734</v>
      </c>
      <c r="C7493" s="172" t="s">
        <v>8185</v>
      </c>
      <c r="D7493" s="194" t="s">
        <v>8442</v>
      </c>
      <c r="E7493" s="200">
        <v>40465</v>
      </c>
    </row>
    <row r="7494" spans="1:5" ht="14.25" hidden="1" customHeight="1">
      <c r="A7494" s="156">
        <v>24059277</v>
      </c>
      <c r="B7494" s="172" t="s">
        <v>8444</v>
      </c>
      <c r="C7494" s="172" t="s">
        <v>95</v>
      </c>
      <c r="D7494" s="194" t="s">
        <v>8442</v>
      </c>
      <c r="E7494" s="200">
        <v>40465</v>
      </c>
    </row>
    <row r="7495" spans="1:5" ht="14.25" hidden="1" customHeight="1">
      <c r="A7495" s="156">
        <v>24355788</v>
      </c>
      <c r="B7495" s="172" t="s">
        <v>4395</v>
      </c>
      <c r="C7495" s="172" t="s">
        <v>4396</v>
      </c>
      <c r="D7495" s="194" t="s">
        <v>8442</v>
      </c>
      <c r="E7495" s="200">
        <v>40465</v>
      </c>
    </row>
    <row r="7496" spans="1:5" ht="14.25" hidden="1" customHeight="1">
      <c r="A7496" s="156">
        <v>24803211</v>
      </c>
      <c r="B7496" s="172" t="s">
        <v>2579</v>
      </c>
      <c r="C7496" s="172" t="s">
        <v>7874</v>
      </c>
      <c r="D7496" s="194" t="s">
        <v>8442</v>
      </c>
      <c r="E7496" s="200">
        <v>40465</v>
      </c>
    </row>
    <row r="7497" spans="1:5" ht="14.25" hidden="1" customHeight="1">
      <c r="A7497" s="156">
        <v>27886273</v>
      </c>
      <c r="B7497" s="172" t="s">
        <v>226</v>
      </c>
      <c r="C7497" s="172" t="s">
        <v>227</v>
      </c>
      <c r="D7497" s="194" t="s">
        <v>8442</v>
      </c>
      <c r="E7497" s="200">
        <v>40465</v>
      </c>
    </row>
    <row r="7498" spans="1:5" ht="14.25" hidden="1" customHeight="1">
      <c r="A7498" s="156">
        <v>28290473</v>
      </c>
      <c r="B7498" s="172" t="s">
        <v>190</v>
      </c>
      <c r="C7498" s="172" t="s">
        <v>191</v>
      </c>
      <c r="D7498" s="194" t="s">
        <v>8442</v>
      </c>
      <c r="E7498" s="200">
        <v>40465</v>
      </c>
    </row>
    <row r="7499" spans="1:5" ht="14.25" hidden="1" customHeight="1">
      <c r="A7499" s="156">
        <v>31842029</v>
      </c>
      <c r="B7499" s="172" t="s">
        <v>7118</v>
      </c>
      <c r="C7499" s="172" t="s">
        <v>7119</v>
      </c>
      <c r="D7499" s="194" t="s">
        <v>8442</v>
      </c>
      <c r="E7499" s="200">
        <v>40465</v>
      </c>
    </row>
    <row r="7500" spans="1:5" ht="14.25" hidden="1" customHeight="1">
      <c r="A7500" s="156">
        <v>32413134</v>
      </c>
      <c r="B7500" s="172" t="s">
        <v>3182</v>
      </c>
      <c r="C7500" s="172" t="s">
        <v>6473</v>
      </c>
      <c r="D7500" s="194" t="s">
        <v>8442</v>
      </c>
      <c r="E7500" s="200">
        <v>40465</v>
      </c>
    </row>
    <row r="7501" spans="1:5" ht="14.25" hidden="1" customHeight="1">
      <c r="A7501" s="156">
        <v>32459349</v>
      </c>
      <c r="B7501" s="172" t="s">
        <v>2844</v>
      </c>
      <c r="C7501" s="172" t="s">
        <v>8445</v>
      </c>
      <c r="D7501" s="194" t="s">
        <v>8442</v>
      </c>
      <c r="E7501" s="200">
        <v>40465</v>
      </c>
    </row>
    <row r="7502" spans="1:5" ht="14.25" hidden="1" customHeight="1">
      <c r="A7502" s="156">
        <v>7653009</v>
      </c>
      <c r="B7502" s="172" t="s">
        <v>850</v>
      </c>
      <c r="C7502" s="172" t="s">
        <v>365</v>
      </c>
      <c r="D7502" s="194" t="s">
        <v>8450</v>
      </c>
      <c r="E7502" s="200">
        <v>40465</v>
      </c>
    </row>
    <row r="7503" spans="1:5" ht="14.25" hidden="1" customHeight="1">
      <c r="A7503" s="156">
        <v>8036660</v>
      </c>
      <c r="B7503" s="172" t="s">
        <v>1106</v>
      </c>
      <c r="C7503" s="172" t="s">
        <v>8150</v>
      </c>
      <c r="D7503" s="194" t="s">
        <v>8450</v>
      </c>
      <c r="E7503" s="200">
        <v>40465</v>
      </c>
    </row>
    <row r="7504" spans="1:5" ht="14.25" hidden="1" customHeight="1">
      <c r="A7504" s="156">
        <v>12607777</v>
      </c>
      <c r="B7504" s="172" t="s">
        <v>2514</v>
      </c>
      <c r="C7504" s="172" t="s">
        <v>2516</v>
      </c>
      <c r="D7504" s="194" t="s">
        <v>8450</v>
      </c>
      <c r="E7504" s="200">
        <v>40465</v>
      </c>
    </row>
    <row r="7505" spans="1:5" ht="14.25" hidden="1" customHeight="1">
      <c r="A7505" s="156">
        <v>12654235</v>
      </c>
      <c r="B7505" s="172" t="s">
        <v>863</v>
      </c>
      <c r="C7505" s="172" t="s">
        <v>4576</v>
      </c>
      <c r="D7505" s="194" t="s">
        <v>8450</v>
      </c>
      <c r="E7505" s="200">
        <v>40465</v>
      </c>
    </row>
    <row r="7506" spans="1:5" ht="14.25" hidden="1" customHeight="1">
      <c r="A7506" s="156">
        <v>12800073</v>
      </c>
      <c r="B7506" s="172" t="s">
        <v>218</v>
      </c>
      <c r="C7506" s="172" t="s">
        <v>8446</v>
      </c>
      <c r="D7506" s="194" t="s">
        <v>8450</v>
      </c>
      <c r="E7506" s="200">
        <v>40465</v>
      </c>
    </row>
    <row r="7507" spans="1:5" ht="14.25" hidden="1" customHeight="1">
      <c r="A7507" s="156">
        <v>13278971</v>
      </c>
      <c r="B7507" s="172" t="s">
        <v>1625</v>
      </c>
      <c r="C7507" s="172" t="s">
        <v>1626</v>
      </c>
      <c r="D7507" s="194" t="s">
        <v>8450</v>
      </c>
      <c r="E7507" s="200">
        <v>40465</v>
      </c>
    </row>
    <row r="7508" spans="1:5" ht="14.25" hidden="1" customHeight="1">
      <c r="A7508" s="156">
        <v>13715942</v>
      </c>
      <c r="B7508" s="172" t="s">
        <v>8204</v>
      </c>
      <c r="C7508" s="172" t="s">
        <v>4661</v>
      </c>
      <c r="D7508" s="194" t="s">
        <v>8450</v>
      </c>
      <c r="E7508" s="200">
        <v>40465</v>
      </c>
    </row>
    <row r="7509" spans="1:5" ht="14.25" hidden="1" customHeight="1">
      <c r="A7509" s="156">
        <v>14410631</v>
      </c>
      <c r="B7509" s="172" t="s">
        <v>8447</v>
      </c>
      <c r="C7509" s="172" t="s">
        <v>8448</v>
      </c>
      <c r="D7509" s="194" t="s">
        <v>8450</v>
      </c>
      <c r="E7509" s="200">
        <v>40465</v>
      </c>
    </row>
    <row r="7510" spans="1:5" ht="14.25" hidden="1" customHeight="1">
      <c r="A7510" s="156">
        <v>18185663</v>
      </c>
      <c r="B7510" s="172" t="s">
        <v>26</v>
      </c>
      <c r="C7510" s="172" t="s">
        <v>5759</v>
      </c>
      <c r="D7510" s="194" t="s">
        <v>8450</v>
      </c>
      <c r="E7510" s="200">
        <v>40465</v>
      </c>
    </row>
    <row r="7511" spans="1:5" ht="14.25" hidden="1" customHeight="1">
      <c r="A7511" s="156">
        <v>18433635</v>
      </c>
      <c r="B7511" s="172" t="s">
        <v>1849</v>
      </c>
      <c r="C7511" s="172" t="s">
        <v>1850</v>
      </c>
      <c r="D7511" s="194" t="s">
        <v>8450</v>
      </c>
      <c r="E7511" s="200">
        <v>40465</v>
      </c>
    </row>
    <row r="7512" spans="1:5" ht="14.25" hidden="1" customHeight="1">
      <c r="A7512" s="156">
        <v>20418524</v>
      </c>
      <c r="B7512" s="172" t="s">
        <v>2422</v>
      </c>
      <c r="C7512" s="172" t="s">
        <v>7098</v>
      </c>
      <c r="D7512" s="194" t="s">
        <v>8450</v>
      </c>
      <c r="E7512" s="200">
        <v>40465</v>
      </c>
    </row>
    <row r="7513" spans="1:5" ht="14.25" hidden="1" customHeight="1">
      <c r="A7513" s="156">
        <v>20692453</v>
      </c>
      <c r="B7513" s="172" t="s">
        <v>7629</v>
      </c>
      <c r="C7513" s="172" t="s">
        <v>8443</v>
      </c>
      <c r="D7513" s="194" t="s">
        <v>8450</v>
      </c>
      <c r="E7513" s="200">
        <v>40465</v>
      </c>
    </row>
    <row r="7514" spans="1:5" ht="14.25" hidden="1" customHeight="1">
      <c r="A7514" s="156">
        <v>22263816</v>
      </c>
      <c r="B7514" s="172" t="s">
        <v>1613</v>
      </c>
      <c r="C7514" s="172" t="s">
        <v>3852</v>
      </c>
      <c r="D7514" s="194" t="s">
        <v>8450</v>
      </c>
      <c r="E7514" s="200">
        <v>40465</v>
      </c>
    </row>
    <row r="7515" spans="1:5" ht="14.25" hidden="1" customHeight="1">
      <c r="A7515" s="156">
        <v>22664180</v>
      </c>
      <c r="B7515" s="172" t="s">
        <v>252</v>
      </c>
      <c r="C7515" s="172" t="s">
        <v>8199</v>
      </c>
      <c r="D7515" s="194" t="s">
        <v>8450</v>
      </c>
      <c r="E7515" s="200">
        <v>40465</v>
      </c>
    </row>
    <row r="7516" spans="1:5" ht="14.25" hidden="1" customHeight="1">
      <c r="A7516" s="156">
        <v>22806056</v>
      </c>
      <c r="B7516" s="172" t="s">
        <v>1793</v>
      </c>
      <c r="C7516" s="172" t="s">
        <v>8144</v>
      </c>
      <c r="D7516" s="194" t="s">
        <v>8450</v>
      </c>
      <c r="E7516" s="200">
        <v>40465</v>
      </c>
    </row>
    <row r="7517" spans="1:5" ht="14.25" hidden="1" customHeight="1">
      <c r="A7517" s="156">
        <v>24059277</v>
      </c>
      <c r="B7517" s="172" t="s">
        <v>8444</v>
      </c>
      <c r="C7517" s="172" t="s">
        <v>95</v>
      </c>
      <c r="D7517" s="194" t="s">
        <v>8450</v>
      </c>
      <c r="E7517" s="200">
        <v>40465</v>
      </c>
    </row>
    <row r="7518" spans="1:5" ht="14.25" hidden="1" customHeight="1">
      <c r="A7518" s="156">
        <v>28290473</v>
      </c>
      <c r="B7518" s="172" t="s">
        <v>190</v>
      </c>
      <c r="C7518" s="172" t="s">
        <v>191</v>
      </c>
      <c r="D7518" s="194" t="s">
        <v>8450</v>
      </c>
      <c r="E7518" s="200">
        <v>40465</v>
      </c>
    </row>
    <row r="7519" spans="1:5" ht="14.25" hidden="1" customHeight="1">
      <c r="A7519" s="156">
        <v>29878683</v>
      </c>
      <c r="B7519" s="172" t="s">
        <v>4777</v>
      </c>
      <c r="C7519" s="172" t="s">
        <v>4778</v>
      </c>
      <c r="D7519" s="194" t="s">
        <v>8450</v>
      </c>
      <c r="E7519" s="200">
        <v>40465</v>
      </c>
    </row>
    <row r="7520" spans="1:5" ht="14.25" hidden="1" customHeight="1">
      <c r="A7520" s="156">
        <v>31842029</v>
      </c>
      <c r="B7520" s="172" t="s">
        <v>7118</v>
      </c>
      <c r="C7520" s="172" t="s">
        <v>7119</v>
      </c>
      <c r="D7520" s="194" t="s">
        <v>8450</v>
      </c>
      <c r="E7520" s="200">
        <v>40465</v>
      </c>
    </row>
    <row r="7521" spans="1:5" ht="14.25" hidden="1" customHeight="1">
      <c r="A7521" s="156">
        <v>32413134</v>
      </c>
      <c r="B7521" s="172" t="s">
        <v>3182</v>
      </c>
      <c r="C7521" s="172" t="s">
        <v>6473</v>
      </c>
      <c r="D7521" s="194" t="s">
        <v>8450</v>
      </c>
      <c r="E7521" s="200">
        <v>40465</v>
      </c>
    </row>
    <row r="7522" spans="1:5" ht="14.25" hidden="1" customHeight="1">
      <c r="A7522" s="156">
        <v>32459349</v>
      </c>
      <c r="B7522" s="172" t="s">
        <v>2844</v>
      </c>
      <c r="C7522" s="172" t="s">
        <v>8445</v>
      </c>
      <c r="D7522" s="194" t="s">
        <v>8450</v>
      </c>
      <c r="E7522" s="200">
        <v>40465</v>
      </c>
    </row>
    <row r="7523" spans="1:5" ht="14.25" hidden="1" customHeight="1">
      <c r="A7523" s="156">
        <v>5398210</v>
      </c>
      <c r="B7523" s="172" t="s">
        <v>8149</v>
      </c>
      <c r="C7523" s="172" t="s">
        <v>5365</v>
      </c>
      <c r="D7523" s="194" t="s">
        <v>8257</v>
      </c>
      <c r="E7523" s="200">
        <v>40456</v>
      </c>
    </row>
    <row r="7524" spans="1:5" ht="14.25" hidden="1" customHeight="1">
      <c r="A7524" s="156">
        <v>10220323</v>
      </c>
      <c r="B7524" s="172" t="s">
        <v>3651</v>
      </c>
      <c r="C7524" s="172" t="s">
        <v>3652</v>
      </c>
      <c r="D7524" s="194" t="s">
        <v>8257</v>
      </c>
      <c r="E7524" s="200">
        <v>40456</v>
      </c>
    </row>
    <row r="7525" spans="1:5" ht="14.25" hidden="1" customHeight="1">
      <c r="A7525" s="156">
        <v>10556181</v>
      </c>
      <c r="B7525" s="172" t="s">
        <v>1795</v>
      </c>
      <c r="C7525" s="172" t="s">
        <v>1796</v>
      </c>
      <c r="D7525" s="194" t="s">
        <v>8257</v>
      </c>
      <c r="E7525" s="200">
        <v>40456</v>
      </c>
    </row>
    <row r="7526" spans="1:5" ht="14.25" hidden="1" customHeight="1">
      <c r="A7526" s="156">
        <v>11708292</v>
      </c>
      <c r="B7526" s="172" t="s">
        <v>207</v>
      </c>
      <c r="C7526" s="172" t="s">
        <v>4594</v>
      </c>
      <c r="D7526" s="194" t="s">
        <v>8257</v>
      </c>
      <c r="E7526" s="200">
        <v>40456</v>
      </c>
    </row>
    <row r="7527" spans="1:5" ht="14.25" hidden="1" customHeight="1">
      <c r="A7527" s="156">
        <v>12121169</v>
      </c>
      <c r="B7527" s="172" t="s">
        <v>822</v>
      </c>
      <c r="C7527" s="172" t="s">
        <v>5396</v>
      </c>
      <c r="D7527" s="194" t="s">
        <v>8257</v>
      </c>
      <c r="E7527" s="200">
        <v>40456</v>
      </c>
    </row>
    <row r="7528" spans="1:5" ht="14.25" hidden="1" customHeight="1">
      <c r="A7528" s="156">
        <v>12318780</v>
      </c>
      <c r="B7528" s="172" t="s">
        <v>2586</v>
      </c>
      <c r="C7528" s="172" t="s">
        <v>2587</v>
      </c>
      <c r="D7528" s="194" t="s">
        <v>8257</v>
      </c>
      <c r="E7528" s="200">
        <v>40456</v>
      </c>
    </row>
    <row r="7529" spans="1:5" ht="14.25" hidden="1" customHeight="1">
      <c r="A7529" s="156">
        <v>12449120</v>
      </c>
      <c r="B7529" s="172" t="s">
        <v>115</v>
      </c>
      <c r="C7529" s="172" t="s">
        <v>8452</v>
      </c>
      <c r="D7529" s="194" t="s">
        <v>8257</v>
      </c>
      <c r="E7529" s="200">
        <v>40456</v>
      </c>
    </row>
    <row r="7530" spans="1:5" ht="14.25" hidden="1" customHeight="1">
      <c r="A7530" s="156">
        <v>12674864</v>
      </c>
      <c r="B7530" s="172" t="s">
        <v>811</v>
      </c>
      <c r="C7530" s="172" t="s">
        <v>8456</v>
      </c>
      <c r="D7530" s="194" t="s">
        <v>8257</v>
      </c>
      <c r="E7530" s="200">
        <v>40456</v>
      </c>
    </row>
    <row r="7531" spans="1:5" ht="14.25" hidden="1" customHeight="1">
      <c r="A7531" s="156">
        <v>13847302</v>
      </c>
      <c r="B7531" s="172" t="s">
        <v>629</v>
      </c>
      <c r="C7531" s="172" t="s">
        <v>8453</v>
      </c>
      <c r="D7531" s="194" t="s">
        <v>8257</v>
      </c>
      <c r="E7531" s="200">
        <v>40456</v>
      </c>
    </row>
    <row r="7532" spans="1:5" ht="14.25" hidden="1" customHeight="1">
      <c r="A7532" s="156">
        <v>14359033</v>
      </c>
      <c r="B7532" s="172" t="s">
        <v>350</v>
      </c>
      <c r="C7532" s="172" t="s">
        <v>1777</v>
      </c>
      <c r="D7532" s="194" t="s">
        <v>8257</v>
      </c>
      <c r="E7532" s="200">
        <v>40456</v>
      </c>
    </row>
    <row r="7533" spans="1:5" ht="14.25" hidden="1" customHeight="1">
      <c r="A7533" s="156">
        <v>16314577</v>
      </c>
      <c r="B7533" s="172" t="s">
        <v>377</v>
      </c>
      <c r="C7533" s="172" t="s">
        <v>378</v>
      </c>
      <c r="D7533" s="194" t="s">
        <v>8257</v>
      </c>
      <c r="E7533" s="200">
        <v>40456</v>
      </c>
    </row>
    <row r="7534" spans="1:5" ht="14.25" hidden="1" customHeight="1">
      <c r="A7534" s="156">
        <v>16314588</v>
      </c>
      <c r="B7534" s="172" t="s">
        <v>3563</v>
      </c>
      <c r="C7534" s="172" t="s">
        <v>3564</v>
      </c>
      <c r="D7534" s="194" t="s">
        <v>8257</v>
      </c>
      <c r="E7534" s="200">
        <v>40456</v>
      </c>
    </row>
    <row r="7535" spans="1:5" ht="14.25" hidden="1" customHeight="1">
      <c r="A7535" s="156">
        <v>16458525</v>
      </c>
      <c r="B7535" s="172" t="s">
        <v>327</v>
      </c>
      <c r="C7535" s="172" t="s">
        <v>2882</v>
      </c>
      <c r="D7535" s="194" t="s">
        <v>8257</v>
      </c>
      <c r="E7535" s="200">
        <v>40456</v>
      </c>
    </row>
    <row r="7536" spans="1:5" ht="14.25" hidden="1" customHeight="1">
      <c r="A7536" s="156">
        <v>17376937</v>
      </c>
      <c r="B7536" s="172" t="s">
        <v>1823</v>
      </c>
      <c r="C7536" s="172" t="s">
        <v>462</v>
      </c>
      <c r="D7536" s="194" t="s">
        <v>8257</v>
      </c>
      <c r="E7536" s="200">
        <v>40456</v>
      </c>
    </row>
    <row r="7537" spans="1:5" ht="14.25" hidden="1" customHeight="1">
      <c r="A7537" s="156">
        <v>17422012</v>
      </c>
      <c r="B7537" s="172" t="s">
        <v>327</v>
      </c>
      <c r="C7537" s="172" t="s">
        <v>331</v>
      </c>
      <c r="D7537" s="194" t="s">
        <v>8257</v>
      </c>
      <c r="E7537" s="200">
        <v>40456</v>
      </c>
    </row>
    <row r="7538" spans="1:5" ht="14.25" hidden="1" customHeight="1">
      <c r="A7538" s="156">
        <v>17979674</v>
      </c>
      <c r="B7538" s="172" t="s">
        <v>1821</v>
      </c>
      <c r="C7538" s="172" t="s">
        <v>1898</v>
      </c>
      <c r="D7538" s="194" t="s">
        <v>8257</v>
      </c>
      <c r="E7538" s="200">
        <v>40456</v>
      </c>
    </row>
    <row r="7539" spans="1:5" ht="14.25" hidden="1" customHeight="1">
      <c r="A7539" s="156">
        <v>18299635</v>
      </c>
      <c r="B7539" s="172" t="s">
        <v>505</v>
      </c>
      <c r="C7539" s="172" t="s">
        <v>1843</v>
      </c>
      <c r="D7539" s="194" t="s">
        <v>8257</v>
      </c>
      <c r="E7539" s="200">
        <v>40456</v>
      </c>
    </row>
    <row r="7540" spans="1:5" ht="14.25" hidden="1" customHeight="1">
      <c r="A7540" s="156">
        <v>18523250</v>
      </c>
      <c r="B7540" s="172" t="s">
        <v>8454</v>
      </c>
      <c r="C7540" s="172" t="s">
        <v>1876</v>
      </c>
      <c r="D7540" s="194" t="s">
        <v>8257</v>
      </c>
      <c r="E7540" s="200">
        <v>40456</v>
      </c>
    </row>
    <row r="7541" spans="1:5" ht="14.25" hidden="1" customHeight="1">
      <c r="A7541" s="156">
        <v>23019235</v>
      </c>
      <c r="B7541" s="172" t="s">
        <v>2856</v>
      </c>
      <c r="C7541" s="172" t="s">
        <v>2857</v>
      </c>
      <c r="D7541" s="194" t="s">
        <v>8257</v>
      </c>
      <c r="E7541" s="200">
        <v>40456</v>
      </c>
    </row>
    <row r="7542" spans="1:5" ht="14.25" hidden="1" customHeight="1">
      <c r="A7542" s="156">
        <v>23163670</v>
      </c>
      <c r="B7542" s="172" t="s">
        <v>499</v>
      </c>
      <c r="C7542" s="172" t="s">
        <v>1853</v>
      </c>
      <c r="D7542" s="194" t="s">
        <v>8257</v>
      </c>
      <c r="E7542" s="200">
        <v>40456</v>
      </c>
    </row>
    <row r="7543" spans="1:5" ht="14.25" hidden="1" customHeight="1">
      <c r="A7543" s="156">
        <v>23271081</v>
      </c>
      <c r="B7543" s="172" t="s">
        <v>207</v>
      </c>
      <c r="C7543" s="172" t="s">
        <v>1734</v>
      </c>
      <c r="D7543" s="194" t="s">
        <v>8257</v>
      </c>
      <c r="E7543" s="200">
        <v>40456</v>
      </c>
    </row>
    <row r="7544" spans="1:5" ht="14.25" hidden="1" customHeight="1">
      <c r="A7544" s="156">
        <v>23310064</v>
      </c>
      <c r="B7544" s="172" t="s">
        <v>342</v>
      </c>
      <c r="C7544" s="172" t="s">
        <v>2870</v>
      </c>
      <c r="D7544" s="194" t="s">
        <v>8257</v>
      </c>
      <c r="E7544" s="200">
        <v>40456</v>
      </c>
    </row>
    <row r="7545" spans="1:5" ht="14.25" hidden="1" customHeight="1">
      <c r="A7545" s="156">
        <v>24200474</v>
      </c>
      <c r="B7545" s="172" t="s">
        <v>218</v>
      </c>
      <c r="C7545" s="172" t="s">
        <v>5349</v>
      </c>
      <c r="D7545" s="194" t="s">
        <v>8257</v>
      </c>
      <c r="E7545" s="200">
        <v>40456</v>
      </c>
    </row>
    <row r="7546" spans="1:5" ht="14.25" hidden="1" customHeight="1">
      <c r="A7546" s="156">
        <v>24503602</v>
      </c>
      <c r="B7546" s="172" t="s">
        <v>394</v>
      </c>
      <c r="C7546" s="172" t="s">
        <v>2873</v>
      </c>
      <c r="D7546" s="194" t="s">
        <v>8257</v>
      </c>
      <c r="E7546" s="200">
        <v>40456</v>
      </c>
    </row>
    <row r="7547" spans="1:5" ht="14.25" hidden="1" customHeight="1">
      <c r="A7547" s="156">
        <v>25255367</v>
      </c>
      <c r="B7547" s="172" t="s">
        <v>394</v>
      </c>
      <c r="C7547" s="172" t="s">
        <v>3809</v>
      </c>
      <c r="D7547" s="194" t="s">
        <v>8257</v>
      </c>
      <c r="E7547" s="200">
        <v>40456</v>
      </c>
    </row>
    <row r="7548" spans="1:5" ht="14.25" hidden="1" customHeight="1">
      <c r="A7548" s="156">
        <v>25542406</v>
      </c>
      <c r="B7548" s="172" t="s">
        <v>8158</v>
      </c>
      <c r="C7548" s="172" t="s">
        <v>7138</v>
      </c>
      <c r="D7548" s="194" t="s">
        <v>8257</v>
      </c>
      <c r="E7548" s="200">
        <v>40456</v>
      </c>
    </row>
    <row r="7549" spans="1:5" ht="14.25" hidden="1" customHeight="1">
      <c r="A7549" s="156">
        <v>25542562</v>
      </c>
      <c r="B7549" s="172" t="s">
        <v>3237</v>
      </c>
      <c r="C7549" s="172" t="s">
        <v>7133</v>
      </c>
      <c r="D7549" s="194" t="s">
        <v>8257</v>
      </c>
      <c r="E7549" s="200">
        <v>40456</v>
      </c>
    </row>
    <row r="7550" spans="1:5" ht="14.25" hidden="1" customHeight="1">
      <c r="A7550" s="156">
        <v>26137864</v>
      </c>
      <c r="B7550" s="172" t="s">
        <v>5098</v>
      </c>
      <c r="C7550" s="172" t="s">
        <v>6317</v>
      </c>
      <c r="D7550" s="194" t="s">
        <v>8257</v>
      </c>
      <c r="E7550" s="200">
        <v>40456</v>
      </c>
    </row>
    <row r="7551" spans="1:5" ht="14.25" hidden="1" customHeight="1">
      <c r="A7551" s="156">
        <v>26736021</v>
      </c>
      <c r="B7551" s="172" t="s">
        <v>359</v>
      </c>
      <c r="C7551" s="172" t="s">
        <v>8458</v>
      </c>
      <c r="D7551" s="194" t="s">
        <v>8257</v>
      </c>
      <c r="E7551" s="200">
        <v>40456</v>
      </c>
    </row>
    <row r="7552" spans="1:5" ht="14.25" hidden="1" customHeight="1">
      <c r="A7552" s="156">
        <v>27650853</v>
      </c>
      <c r="B7552" s="172" t="s">
        <v>1768</v>
      </c>
      <c r="C7552" s="172" t="s">
        <v>8457</v>
      </c>
      <c r="D7552" s="194" t="s">
        <v>8257</v>
      </c>
      <c r="E7552" s="200">
        <v>40456</v>
      </c>
    </row>
    <row r="7553" spans="1:5" ht="14.25" hidden="1" customHeight="1">
      <c r="A7553" s="156">
        <v>27944383</v>
      </c>
      <c r="B7553" s="172" t="s">
        <v>863</v>
      </c>
      <c r="C7553" s="172" t="s">
        <v>3294</v>
      </c>
      <c r="D7553" s="194" t="s">
        <v>8257</v>
      </c>
      <c r="E7553" s="200">
        <v>40456</v>
      </c>
    </row>
    <row r="7554" spans="1:5" ht="14.25" hidden="1" customHeight="1">
      <c r="A7554" s="156">
        <v>28223716</v>
      </c>
      <c r="B7554" s="172" t="s">
        <v>8455</v>
      </c>
      <c r="C7554" s="172" t="s">
        <v>2678</v>
      </c>
      <c r="D7554" s="194" t="s">
        <v>8257</v>
      </c>
      <c r="E7554" s="200">
        <v>40456</v>
      </c>
    </row>
    <row r="7555" spans="1:5" ht="14.25" hidden="1" customHeight="1">
      <c r="A7555" s="156">
        <v>29310871</v>
      </c>
      <c r="B7555" s="172" t="s">
        <v>1964</v>
      </c>
      <c r="C7555" s="172" t="s">
        <v>4721</v>
      </c>
      <c r="D7555" s="194" t="s">
        <v>8257</v>
      </c>
      <c r="E7555" s="200">
        <v>40456</v>
      </c>
    </row>
    <row r="7556" spans="1:5" ht="14.25" hidden="1" customHeight="1">
      <c r="A7556" s="156">
        <v>29877721</v>
      </c>
      <c r="B7556" s="172" t="s">
        <v>1765</v>
      </c>
      <c r="C7556" s="172" t="s">
        <v>1766</v>
      </c>
      <c r="D7556" s="194" t="s">
        <v>8257</v>
      </c>
      <c r="E7556" s="200">
        <v>40456</v>
      </c>
    </row>
    <row r="7557" spans="1:5" ht="14.25" hidden="1" customHeight="1">
      <c r="A7557" s="156">
        <v>29997496</v>
      </c>
      <c r="B7557" s="172" t="s">
        <v>5318</v>
      </c>
      <c r="C7557" s="172" t="s">
        <v>5319</v>
      </c>
      <c r="D7557" s="194" t="s">
        <v>8257</v>
      </c>
      <c r="E7557" s="200">
        <v>40456</v>
      </c>
    </row>
    <row r="7558" spans="1:5" ht="14.25" hidden="1" customHeight="1">
      <c r="A7558" s="156">
        <v>29999714</v>
      </c>
      <c r="B7558" s="172" t="s">
        <v>2576</v>
      </c>
      <c r="C7558" s="172" t="s">
        <v>8459</v>
      </c>
      <c r="D7558" s="194" t="s">
        <v>8257</v>
      </c>
      <c r="E7558" s="200">
        <v>40456</v>
      </c>
    </row>
    <row r="7559" spans="1:5" ht="14.25" hidden="1" customHeight="1">
      <c r="A7559" s="156">
        <v>30069005</v>
      </c>
      <c r="B7559" s="172" t="s">
        <v>144</v>
      </c>
      <c r="C7559" s="172" t="s">
        <v>1703</v>
      </c>
      <c r="D7559" s="194" t="s">
        <v>8257</v>
      </c>
      <c r="E7559" s="200">
        <v>40456</v>
      </c>
    </row>
    <row r="7560" spans="1:5" ht="14.25" hidden="1" customHeight="1">
      <c r="A7560" s="156">
        <v>30069677</v>
      </c>
      <c r="B7560" s="172" t="s">
        <v>2612</v>
      </c>
      <c r="C7560" s="172" t="s">
        <v>2613</v>
      </c>
      <c r="D7560" s="194" t="s">
        <v>8257</v>
      </c>
      <c r="E7560" s="200">
        <v>40456</v>
      </c>
    </row>
    <row r="7561" spans="1:5" ht="14.25" hidden="1" customHeight="1">
      <c r="A7561" s="156">
        <v>31127710</v>
      </c>
      <c r="B7561" s="172" t="s">
        <v>311</v>
      </c>
      <c r="C7561" s="172" t="s">
        <v>3782</v>
      </c>
      <c r="D7561" s="194" t="s">
        <v>8257</v>
      </c>
      <c r="E7561" s="200">
        <v>40456</v>
      </c>
    </row>
    <row r="7562" spans="1:5" ht="14.25" hidden="1" customHeight="1">
      <c r="A7562" s="156">
        <v>31193114</v>
      </c>
      <c r="B7562" s="172" t="s">
        <v>2549</v>
      </c>
      <c r="C7562" s="172" t="s">
        <v>2550</v>
      </c>
      <c r="D7562" s="194" t="s">
        <v>8257</v>
      </c>
      <c r="E7562" s="200">
        <v>40456</v>
      </c>
    </row>
    <row r="7563" spans="1:5" ht="14.25" hidden="1" customHeight="1">
      <c r="A7563" s="156">
        <v>31425584</v>
      </c>
      <c r="B7563" s="172" t="s">
        <v>1655</v>
      </c>
      <c r="C7563" s="172" t="s">
        <v>1656</v>
      </c>
      <c r="D7563" s="194" t="s">
        <v>8257</v>
      </c>
      <c r="E7563" s="200">
        <v>40456</v>
      </c>
    </row>
    <row r="7564" spans="1:5" ht="14.25" hidden="1" customHeight="1">
      <c r="A7564" s="156">
        <v>32077522</v>
      </c>
      <c r="B7564" s="172" t="s">
        <v>3456</v>
      </c>
      <c r="C7564" s="172" t="s">
        <v>436</v>
      </c>
      <c r="D7564" s="194" t="s">
        <v>8257</v>
      </c>
      <c r="E7564" s="200">
        <v>40456</v>
      </c>
    </row>
    <row r="7565" spans="1:5" ht="14.25" hidden="1" customHeight="1">
      <c r="A7565" s="156">
        <v>32460930</v>
      </c>
      <c r="B7565" s="172" t="s">
        <v>4643</v>
      </c>
      <c r="C7565" s="172" t="s">
        <v>1029</v>
      </c>
      <c r="D7565" s="194" t="s">
        <v>8257</v>
      </c>
      <c r="E7565" s="200">
        <v>40456</v>
      </c>
    </row>
    <row r="7566" spans="1:5" ht="14.25" hidden="1" customHeight="1">
      <c r="A7566" s="156">
        <v>32501409</v>
      </c>
      <c r="B7566" s="172" t="s">
        <v>2466</v>
      </c>
      <c r="C7566" s="172" t="s">
        <v>7076</v>
      </c>
      <c r="D7566" s="194" t="s">
        <v>8257</v>
      </c>
      <c r="E7566" s="200">
        <v>40456</v>
      </c>
    </row>
    <row r="7567" spans="1:5" ht="14.25" hidden="1" customHeight="1">
      <c r="A7567" s="156">
        <v>32903447</v>
      </c>
      <c r="B7567" s="172" t="s">
        <v>2622</v>
      </c>
      <c r="C7567" s="172" t="s">
        <v>2623</v>
      </c>
      <c r="D7567" s="194" t="s">
        <v>8257</v>
      </c>
      <c r="E7567" s="200">
        <v>40456</v>
      </c>
    </row>
    <row r="7568" spans="1:5" ht="14.25" hidden="1" customHeight="1">
      <c r="A7568" s="156">
        <v>33703738</v>
      </c>
      <c r="B7568" s="172" t="s">
        <v>8451</v>
      </c>
      <c r="C7568" s="172" t="s">
        <v>5721</v>
      </c>
      <c r="D7568" s="194" t="s">
        <v>8257</v>
      </c>
      <c r="E7568" s="200">
        <v>40456</v>
      </c>
    </row>
    <row r="7569" spans="1:5" ht="14.25" hidden="1" customHeight="1">
      <c r="A7569" s="156">
        <v>33756688</v>
      </c>
      <c r="B7569" s="172" t="s">
        <v>1745</v>
      </c>
      <c r="C7569" s="172" t="s">
        <v>97</v>
      </c>
      <c r="D7569" s="194" t="s">
        <v>8257</v>
      </c>
      <c r="E7569" s="200">
        <v>40456</v>
      </c>
    </row>
    <row r="7570" spans="1:5" ht="14.25" hidden="1" customHeight="1">
      <c r="A7570" s="156">
        <v>34133476</v>
      </c>
      <c r="B7570" s="172" t="s">
        <v>2518</v>
      </c>
      <c r="C7570" s="172" t="s">
        <v>2519</v>
      </c>
      <c r="D7570" s="194" t="s">
        <v>8257</v>
      </c>
      <c r="E7570" s="200">
        <v>40456</v>
      </c>
    </row>
    <row r="7571" spans="1:5" ht="14.25" hidden="1" customHeight="1">
      <c r="A7571" s="156">
        <v>34285035</v>
      </c>
      <c r="B7571" s="172" t="s">
        <v>2592</v>
      </c>
      <c r="C7571" s="172" t="s">
        <v>8460</v>
      </c>
      <c r="D7571" s="194" t="s">
        <v>8257</v>
      </c>
      <c r="E7571" s="200">
        <v>40456</v>
      </c>
    </row>
    <row r="7572" spans="1:5" ht="14.25" hidden="1" customHeight="1">
      <c r="A7572" s="156">
        <v>4284639</v>
      </c>
      <c r="B7572" s="172" t="s">
        <v>5388</v>
      </c>
      <c r="C7572" s="172" t="s">
        <v>3907</v>
      </c>
      <c r="D7572" s="194" t="s">
        <v>8461</v>
      </c>
      <c r="E7572" s="200">
        <v>40452</v>
      </c>
    </row>
    <row r="7573" spans="1:5" ht="14.25" hidden="1" customHeight="1">
      <c r="A7573" s="156">
        <v>5398210</v>
      </c>
      <c r="B7573" s="172" t="s">
        <v>8149</v>
      </c>
      <c r="C7573" s="172" t="s">
        <v>5365</v>
      </c>
      <c r="D7573" s="194" t="s">
        <v>8461</v>
      </c>
      <c r="E7573" s="200">
        <v>40452</v>
      </c>
    </row>
    <row r="7574" spans="1:5" ht="14.25" hidden="1" customHeight="1">
      <c r="A7574" s="156">
        <v>6184002</v>
      </c>
      <c r="B7574" s="172" t="s">
        <v>5429</v>
      </c>
      <c r="C7574" s="172" t="s">
        <v>5430</v>
      </c>
      <c r="D7574" s="194" t="s">
        <v>8461</v>
      </c>
      <c r="E7574" s="200">
        <v>40452</v>
      </c>
    </row>
    <row r="7575" spans="1:5" ht="14.25" hidden="1" customHeight="1">
      <c r="A7575" s="156">
        <v>11238659</v>
      </c>
      <c r="B7575" s="172" t="s">
        <v>5324</v>
      </c>
      <c r="C7575" s="172" t="s">
        <v>5325</v>
      </c>
      <c r="D7575" s="194" t="s">
        <v>8461</v>
      </c>
      <c r="E7575" s="200">
        <v>40452</v>
      </c>
    </row>
    <row r="7576" spans="1:5" ht="14.25" hidden="1" customHeight="1">
      <c r="A7576" s="156">
        <v>11708292</v>
      </c>
      <c r="B7576" s="172" t="s">
        <v>207</v>
      </c>
      <c r="C7576" s="172" t="s">
        <v>4594</v>
      </c>
      <c r="D7576" s="194" t="s">
        <v>8461</v>
      </c>
      <c r="E7576" s="200">
        <v>40452</v>
      </c>
    </row>
    <row r="7577" spans="1:5" ht="14.25" hidden="1" customHeight="1">
      <c r="A7577" s="156">
        <v>11915074</v>
      </c>
      <c r="B7577" s="172" t="s">
        <v>1283</v>
      </c>
      <c r="C7577" s="172" t="s">
        <v>5431</v>
      </c>
      <c r="D7577" s="194" t="s">
        <v>8461</v>
      </c>
      <c r="E7577" s="200">
        <v>40452</v>
      </c>
    </row>
    <row r="7578" spans="1:5" ht="14.25" hidden="1" customHeight="1">
      <c r="A7578" s="156">
        <v>12121169</v>
      </c>
      <c r="B7578" s="172" t="s">
        <v>822</v>
      </c>
      <c r="C7578" s="172" t="s">
        <v>5396</v>
      </c>
      <c r="D7578" s="194" t="s">
        <v>8461</v>
      </c>
      <c r="E7578" s="200">
        <v>40452</v>
      </c>
    </row>
    <row r="7579" spans="1:5" ht="14.25" hidden="1" customHeight="1">
      <c r="A7579" s="156">
        <v>13338781</v>
      </c>
      <c r="B7579" s="172" t="s">
        <v>5389</v>
      </c>
      <c r="C7579" s="172" t="s">
        <v>8463</v>
      </c>
      <c r="D7579" s="194" t="s">
        <v>8461</v>
      </c>
      <c r="E7579" s="200">
        <v>40452</v>
      </c>
    </row>
    <row r="7580" spans="1:5" ht="14.25" hidden="1" customHeight="1">
      <c r="A7580" s="156">
        <v>16458525</v>
      </c>
      <c r="B7580" s="172" t="s">
        <v>327</v>
      </c>
      <c r="C7580" s="172" t="s">
        <v>8462</v>
      </c>
      <c r="D7580" s="194" t="s">
        <v>8461</v>
      </c>
      <c r="E7580" s="200">
        <v>40452</v>
      </c>
    </row>
    <row r="7581" spans="1:5" ht="14.25" hidden="1" customHeight="1">
      <c r="A7581" s="156">
        <v>16617498</v>
      </c>
      <c r="B7581" s="172" t="s">
        <v>5314</v>
      </c>
      <c r="C7581" s="172" t="s">
        <v>5315</v>
      </c>
      <c r="D7581" s="194" t="s">
        <v>8461</v>
      </c>
      <c r="E7581" s="200">
        <v>40452</v>
      </c>
    </row>
    <row r="7582" spans="1:5" ht="14.25" hidden="1" customHeight="1">
      <c r="A7582" s="156">
        <v>18433501</v>
      </c>
      <c r="B7582" s="172" t="s">
        <v>2859</v>
      </c>
      <c r="C7582" s="172" t="s">
        <v>2860</v>
      </c>
      <c r="D7582" s="194" t="s">
        <v>8461</v>
      </c>
      <c r="E7582" s="200">
        <v>40452</v>
      </c>
    </row>
    <row r="7583" spans="1:5" ht="14.25" hidden="1" customHeight="1">
      <c r="A7583" s="156">
        <v>20284144</v>
      </c>
      <c r="B7583" s="172" t="s">
        <v>497</v>
      </c>
      <c r="C7583" s="172" t="s">
        <v>5437</v>
      </c>
      <c r="D7583" s="194" t="s">
        <v>8461</v>
      </c>
      <c r="E7583" s="200">
        <v>40452</v>
      </c>
    </row>
    <row r="7584" spans="1:5" ht="14.25" hidden="1" customHeight="1">
      <c r="A7584" s="156">
        <v>20692375</v>
      </c>
      <c r="B7584" s="172" t="s">
        <v>2859</v>
      </c>
      <c r="C7584" s="172" t="s">
        <v>548</v>
      </c>
      <c r="D7584" s="194" t="s">
        <v>8461</v>
      </c>
      <c r="E7584" s="200">
        <v>40452</v>
      </c>
    </row>
    <row r="7585" spans="1:5" ht="14.25" hidden="1" customHeight="1">
      <c r="A7585" s="156">
        <v>20884030</v>
      </c>
      <c r="B7585" s="172" t="s">
        <v>2876</v>
      </c>
      <c r="C7585" s="172" t="s">
        <v>27</v>
      </c>
      <c r="D7585" s="194" t="s">
        <v>8461</v>
      </c>
      <c r="E7585" s="200">
        <v>40452</v>
      </c>
    </row>
    <row r="7586" spans="1:5" ht="14.25" hidden="1" customHeight="1">
      <c r="A7586" s="156">
        <v>23019235</v>
      </c>
      <c r="B7586" s="172" t="s">
        <v>2856</v>
      </c>
      <c r="C7586" s="172" t="s">
        <v>8245</v>
      </c>
      <c r="D7586" s="194" t="s">
        <v>8461</v>
      </c>
      <c r="E7586" s="200">
        <v>40452</v>
      </c>
    </row>
    <row r="7587" spans="1:5" ht="14.25" hidden="1" customHeight="1">
      <c r="A7587" s="156">
        <v>23310064</v>
      </c>
      <c r="B7587" s="172" t="s">
        <v>342</v>
      </c>
      <c r="C7587" s="172" t="s">
        <v>2870</v>
      </c>
      <c r="D7587" s="194" t="s">
        <v>8461</v>
      </c>
      <c r="E7587" s="200">
        <v>40452</v>
      </c>
    </row>
    <row r="7588" spans="1:5" ht="14.25" hidden="1" customHeight="1">
      <c r="A7588" s="156">
        <v>23498695</v>
      </c>
      <c r="B7588" s="172" t="s">
        <v>2862</v>
      </c>
      <c r="C7588" s="172" t="s">
        <v>2863</v>
      </c>
      <c r="D7588" s="194" t="s">
        <v>8461</v>
      </c>
      <c r="E7588" s="200">
        <v>40452</v>
      </c>
    </row>
    <row r="7589" spans="1:5" ht="14.25" hidden="1" customHeight="1">
      <c r="A7589" s="156">
        <v>24200474</v>
      </c>
      <c r="B7589" s="172" t="s">
        <v>8432</v>
      </c>
      <c r="C7589" s="172" t="s">
        <v>5349</v>
      </c>
      <c r="D7589" s="194" t="s">
        <v>8461</v>
      </c>
      <c r="E7589" s="200">
        <v>40452</v>
      </c>
    </row>
    <row r="7590" spans="1:5" ht="14.25" hidden="1" customHeight="1">
      <c r="A7590" s="156">
        <v>24503602</v>
      </c>
      <c r="B7590" s="172" t="s">
        <v>394</v>
      </c>
      <c r="C7590" s="172" t="s">
        <v>5784</v>
      </c>
      <c r="D7590" s="194" t="s">
        <v>8461</v>
      </c>
      <c r="E7590" s="200">
        <v>40452</v>
      </c>
    </row>
    <row r="7591" spans="1:5" ht="14.25" hidden="1" customHeight="1">
      <c r="A7591" s="156">
        <v>24553341</v>
      </c>
      <c r="B7591" s="172" t="s">
        <v>5436</v>
      </c>
      <c r="C7591" s="172" t="s">
        <v>2123</v>
      </c>
      <c r="D7591" s="194" t="s">
        <v>8461</v>
      </c>
      <c r="E7591" s="200">
        <v>40452</v>
      </c>
    </row>
    <row r="7592" spans="1:5" ht="14.25" hidden="1" customHeight="1">
      <c r="A7592" s="156">
        <v>25735991</v>
      </c>
      <c r="B7592" s="172" t="s">
        <v>5308</v>
      </c>
      <c r="C7592" s="172" t="s">
        <v>5309</v>
      </c>
      <c r="D7592" s="194" t="s">
        <v>8461</v>
      </c>
      <c r="E7592" s="200">
        <v>40452</v>
      </c>
    </row>
    <row r="7593" spans="1:5" ht="14.25" hidden="1" customHeight="1">
      <c r="A7593" s="156">
        <v>28223716</v>
      </c>
      <c r="B7593" s="172" t="s">
        <v>2865</v>
      </c>
      <c r="C7593" s="172" t="s">
        <v>2678</v>
      </c>
      <c r="D7593" s="194" t="s">
        <v>8461</v>
      </c>
      <c r="E7593" s="200">
        <v>40452</v>
      </c>
    </row>
    <row r="7594" spans="1:5" ht="14.25" hidden="1" customHeight="1">
      <c r="A7594" s="156">
        <v>29997496</v>
      </c>
      <c r="B7594" s="172" t="s">
        <v>5318</v>
      </c>
      <c r="C7594" s="172" t="s">
        <v>5319</v>
      </c>
      <c r="D7594" s="194" t="s">
        <v>8461</v>
      </c>
      <c r="E7594" s="200">
        <v>40452</v>
      </c>
    </row>
    <row r="7595" spans="1:5" ht="14.25" hidden="1" customHeight="1">
      <c r="A7595" s="156">
        <v>33703738</v>
      </c>
      <c r="B7595" s="172" t="s">
        <v>8451</v>
      </c>
      <c r="C7595" s="172" t="s">
        <v>5721</v>
      </c>
      <c r="D7595" s="194" t="s">
        <v>8461</v>
      </c>
      <c r="E7595" s="200">
        <v>40452</v>
      </c>
    </row>
    <row r="7596" spans="1:5" ht="14.25" hidden="1" customHeight="1">
      <c r="A7596" s="156"/>
      <c r="B7596" s="172" t="s">
        <v>359</v>
      </c>
      <c r="C7596" s="172" t="s">
        <v>27</v>
      </c>
      <c r="D7596" s="194" t="s">
        <v>8461</v>
      </c>
      <c r="E7596" s="200">
        <v>40452</v>
      </c>
    </row>
    <row r="7597" spans="1:5" ht="14.25" hidden="1" customHeight="1">
      <c r="A7597" s="156">
        <v>6054524</v>
      </c>
      <c r="B7597" s="172" t="s">
        <v>1509</v>
      </c>
      <c r="C7597" s="172" t="s">
        <v>600</v>
      </c>
      <c r="D7597" s="194" t="s">
        <v>7185</v>
      </c>
      <c r="E7597" s="200">
        <v>40452</v>
      </c>
    </row>
    <row r="7598" spans="1:5" ht="14.25" hidden="1" customHeight="1">
      <c r="A7598" s="156">
        <v>10645299</v>
      </c>
      <c r="B7598" s="172" t="s">
        <v>1531</v>
      </c>
      <c r="C7598" s="172" t="s">
        <v>1532</v>
      </c>
      <c r="D7598" s="194" t="s">
        <v>7185</v>
      </c>
      <c r="E7598" s="200">
        <v>40452</v>
      </c>
    </row>
    <row r="7599" spans="1:5" ht="14.25" hidden="1" customHeight="1">
      <c r="A7599" s="156">
        <v>10910039</v>
      </c>
      <c r="B7599" s="172" t="s">
        <v>2460</v>
      </c>
      <c r="C7599" s="172" t="s">
        <v>4509</v>
      </c>
      <c r="D7599" s="194" t="s">
        <v>7185</v>
      </c>
      <c r="E7599" s="200">
        <v>40452</v>
      </c>
    </row>
    <row r="7600" spans="1:5" ht="14.25" hidden="1" customHeight="1">
      <c r="A7600" s="156">
        <v>11551761</v>
      </c>
      <c r="B7600" s="172" t="s">
        <v>4085</v>
      </c>
      <c r="C7600" s="172" t="s">
        <v>8428</v>
      </c>
      <c r="D7600" s="194" t="s">
        <v>7185</v>
      </c>
      <c r="E7600" s="200">
        <v>40452</v>
      </c>
    </row>
    <row r="7601" spans="1:5" ht="14.25" hidden="1" customHeight="1">
      <c r="A7601" s="156">
        <v>11656861</v>
      </c>
      <c r="B7601" s="172" t="s">
        <v>4377</v>
      </c>
      <c r="C7601" s="172" t="s">
        <v>4378</v>
      </c>
      <c r="D7601" s="194" t="s">
        <v>7185</v>
      </c>
      <c r="E7601" s="200">
        <v>40452</v>
      </c>
    </row>
    <row r="7602" spans="1:5" ht="14.25" hidden="1" customHeight="1">
      <c r="A7602" s="156">
        <v>12080430</v>
      </c>
      <c r="B7602" s="172" t="s">
        <v>8439</v>
      </c>
      <c r="C7602" s="172" t="s">
        <v>5282</v>
      </c>
      <c r="D7602" s="194" t="s">
        <v>7185</v>
      </c>
      <c r="E7602" s="200">
        <v>40452</v>
      </c>
    </row>
    <row r="7603" spans="1:5" ht="14.25" hidden="1" customHeight="1">
      <c r="A7603" s="156">
        <v>12918653</v>
      </c>
      <c r="B7603" s="172" t="s">
        <v>2239</v>
      </c>
      <c r="C7603" s="172" t="s">
        <v>2240</v>
      </c>
      <c r="D7603" s="194" t="s">
        <v>7185</v>
      </c>
      <c r="E7603" s="200">
        <v>40452</v>
      </c>
    </row>
    <row r="7604" spans="1:5" ht="14.25" hidden="1" customHeight="1">
      <c r="A7604" s="156">
        <v>13338251</v>
      </c>
      <c r="B7604" s="172" t="s">
        <v>252</v>
      </c>
      <c r="C7604" s="172" t="s">
        <v>2069</v>
      </c>
      <c r="D7604" s="194" t="s">
        <v>7185</v>
      </c>
      <c r="E7604" s="200">
        <v>40452</v>
      </c>
    </row>
    <row r="7605" spans="1:5" ht="14.25" hidden="1" customHeight="1">
      <c r="A7605" s="156">
        <v>13550747</v>
      </c>
      <c r="B7605" s="172" t="s">
        <v>8433</v>
      </c>
      <c r="C7605" s="172" t="s">
        <v>7330</v>
      </c>
      <c r="D7605" s="194" t="s">
        <v>7185</v>
      </c>
      <c r="E7605" s="200">
        <v>40452</v>
      </c>
    </row>
    <row r="7606" spans="1:5" ht="14.25" hidden="1" customHeight="1">
      <c r="A7606" s="156">
        <v>13627211</v>
      </c>
      <c r="B7606" s="172" t="s">
        <v>1885</v>
      </c>
      <c r="C7606" s="172" t="s">
        <v>8049</v>
      </c>
      <c r="D7606" s="194" t="s">
        <v>7185</v>
      </c>
      <c r="E7606" s="200">
        <v>40452</v>
      </c>
    </row>
    <row r="7607" spans="1:5" ht="14.25" hidden="1" customHeight="1">
      <c r="A7607" s="156">
        <v>13629751</v>
      </c>
      <c r="B7607" s="172" t="s">
        <v>8466</v>
      </c>
      <c r="C7607" s="172" t="s">
        <v>2024</v>
      </c>
      <c r="D7607" s="194" t="s">
        <v>7185</v>
      </c>
      <c r="E7607" s="200">
        <v>40452</v>
      </c>
    </row>
    <row r="7608" spans="1:5" ht="14.25" hidden="1" customHeight="1">
      <c r="A7608" s="156">
        <v>14073031</v>
      </c>
      <c r="B7608" s="172" t="s">
        <v>541</v>
      </c>
      <c r="C7608" s="172" t="s">
        <v>2382</v>
      </c>
      <c r="D7608" s="194" t="s">
        <v>7185</v>
      </c>
      <c r="E7608" s="200">
        <v>40452</v>
      </c>
    </row>
    <row r="7609" spans="1:5" ht="14.25" hidden="1" customHeight="1">
      <c r="A7609" s="156">
        <v>14073571</v>
      </c>
      <c r="B7609" s="172" t="s">
        <v>8471</v>
      </c>
      <c r="C7609" s="172" t="s">
        <v>8472</v>
      </c>
      <c r="D7609" s="194" t="s">
        <v>7185</v>
      </c>
      <c r="E7609" s="200">
        <v>40452</v>
      </c>
    </row>
    <row r="7610" spans="1:5" ht="14.25" hidden="1" customHeight="1">
      <c r="A7610" s="156">
        <v>14410500</v>
      </c>
      <c r="B7610" s="172" t="s">
        <v>1554</v>
      </c>
      <c r="C7610" s="172" t="s">
        <v>1555</v>
      </c>
      <c r="D7610" s="194" t="s">
        <v>7185</v>
      </c>
      <c r="E7610" s="200">
        <v>40452</v>
      </c>
    </row>
    <row r="7611" spans="1:5" ht="14.25" hidden="1" customHeight="1">
      <c r="A7611" s="156">
        <v>14466103</v>
      </c>
      <c r="B7611" s="172" t="s">
        <v>4161</v>
      </c>
      <c r="C7611" s="172" t="s">
        <v>4162</v>
      </c>
      <c r="D7611" s="194" t="s">
        <v>7185</v>
      </c>
      <c r="E7611" s="200">
        <v>40452</v>
      </c>
    </row>
    <row r="7612" spans="1:5" ht="14.25" hidden="1" customHeight="1">
      <c r="A7612" s="156">
        <v>14661458</v>
      </c>
      <c r="B7612" s="172" t="s">
        <v>1885</v>
      </c>
      <c r="C7612" s="172" t="s">
        <v>7357</v>
      </c>
      <c r="D7612" s="194" t="s">
        <v>7185</v>
      </c>
      <c r="E7612" s="200">
        <v>40452</v>
      </c>
    </row>
    <row r="7613" spans="1:5" ht="14.25" hidden="1" customHeight="1">
      <c r="A7613" s="156">
        <v>16314577</v>
      </c>
      <c r="B7613" s="172" t="s">
        <v>5846</v>
      </c>
      <c r="C7613" s="172" t="s">
        <v>378</v>
      </c>
      <c r="D7613" s="194" t="s">
        <v>7185</v>
      </c>
      <c r="E7613" s="200">
        <v>40452</v>
      </c>
    </row>
    <row r="7614" spans="1:5" ht="14.25" hidden="1" customHeight="1">
      <c r="A7614" s="156">
        <v>16314870</v>
      </c>
      <c r="B7614" s="172" t="s">
        <v>1194</v>
      </c>
      <c r="C7614" s="172" t="s">
        <v>1813</v>
      </c>
      <c r="D7614" s="194" t="s">
        <v>7185</v>
      </c>
      <c r="E7614" s="200">
        <v>40452</v>
      </c>
    </row>
    <row r="7615" spans="1:5" ht="14.25" hidden="1" customHeight="1">
      <c r="A7615" s="156">
        <v>16541537</v>
      </c>
      <c r="B7615" s="172" t="s">
        <v>4643</v>
      </c>
      <c r="C7615" s="172" t="s">
        <v>8473</v>
      </c>
      <c r="D7615" s="194" t="s">
        <v>7185</v>
      </c>
      <c r="E7615" s="200">
        <v>40452</v>
      </c>
    </row>
    <row r="7616" spans="1:5" ht="14.25" hidden="1" customHeight="1">
      <c r="A7616" s="156">
        <v>16686145</v>
      </c>
      <c r="B7616" s="172" t="s">
        <v>1793</v>
      </c>
      <c r="C7616" s="172" t="s">
        <v>5406</v>
      </c>
      <c r="D7616" s="194" t="s">
        <v>7185</v>
      </c>
      <c r="E7616" s="200">
        <v>40452</v>
      </c>
    </row>
    <row r="7617" spans="1:5" ht="14.25" hidden="1" customHeight="1">
      <c r="A7617" s="156">
        <v>16859596</v>
      </c>
      <c r="B7617" s="172" t="s">
        <v>4275</v>
      </c>
      <c r="C7617" s="172" t="s">
        <v>612</v>
      </c>
      <c r="D7617" s="194" t="s">
        <v>7185</v>
      </c>
      <c r="E7617" s="200">
        <v>40452</v>
      </c>
    </row>
    <row r="7618" spans="1:5" ht="14.25" hidden="1" customHeight="1">
      <c r="A7618" s="156">
        <v>17021738</v>
      </c>
      <c r="B7618" s="172" t="s">
        <v>8434</v>
      </c>
      <c r="C7618" s="172" t="s">
        <v>8435</v>
      </c>
      <c r="D7618" s="194" t="s">
        <v>7185</v>
      </c>
      <c r="E7618" s="200">
        <v>40452</v>
      </c>
    </row>
    <row r="7619" spans="1:5" ht="14.25" hidden="1" customHeight="1">
      <c r="A7619" s="156">
        <v>17041215</v>
      </c>
      <c r="B7619" s="172" t="s">
        <v>2856</v>
      </c>
      <c r="C7619" s="172" t="s">
        <v>4535</v>
      </c>
      <c r="D7619" s="194" t="s">
        <v>7185</v>
      </c>
      <c r="E7619" s="200">
        <v>40452</v>
      </c>
    </row>
    <row r="7620" spans="1:5" ht="14.25" hidden="1" customHeight="1">
      <c r="A7620" s="156">
        <v>17041215</v>
      </c>
      <c r="B7620" s="172" t="s">
        <v>2856</v>
      </c>
      <c r="C7620" s="172" t="s">
        <v>4535</v>
      </c>
      <c r="D7620" s="194" t="s">
        <v>7185</v>
      </c>
      <c r="E7620" s="200">
        <v>40452</v>
      </c>
    </row>
    <row r="7621" spans="1:5" ht="14.25" hidden="1" customHeight="1">
      <c r="A7621" s="156">
        <v>17376756</v>
      </c>
      <c r="B7621" s="172" t="s">
        <v>944</v>
      </c>
      <c r="C7621" s="172" t="s">
        <v>945</v>
      </c>
      <c r="D7621" s="194" t="s">
        <v>7185</v>
      </c>
      <c r="E7621" s="200">
        <v>40452</v>
      </c>
    </row>
    <row r="7622" spans="1:5" ht="14.25" hidden="1" customHeight="1">
      <c r="A7622" s="156">
        <v>17376937</v>
      </c>
      <c r="B7622" s="172" t="s">
        <v>461</v>
      </c>
      <c r="C7622" s="172" t="s">
        <v>462</v>
      </c>
      <c r="D7622" s="194" t="s">
        <v>7185</v>
      </c>
      <c r="E7622" s="200">
        <v>40452</v>
      </c>
    </row>
    <row r="7623" spans="1:5" ht="14.25" hidden="1" customHeight="1">
      <c r="A7623" s="156">
        <v>17458714</v>
      </c>
      <c r="B7623" s="172" t="s">
        <v>3975</v>
      </c>
      <c r="C7623" s="172" t="s">
        <v>681</v>
      </c>
      <c r="D7623" s="194" t="s">
        <v>7185</v>
      </c>
      <c r="E7623" s="200">
        <v>40452</v>
      </c>
    </row>
    <row r="7624" spans="1:5" ht="14.25" hidden="1" customHeight="1">
      <c r="A7624" s="156">
        <v>17613698</v>
      </c>
      <c r="B7624" s="172" t="s">
        <v>983</v>
      </c>
      <c r="C7624" s="172" t="s">
        <v>984</v>
      </c>
      <c r="D7624" s="194" t="s">
        <v>7185</v>
      </c>
      <c r="E7624" s="200">
        <v>40452</v>
      </c>
    </row>
    <row r="7625" spans="1:5" ht="14.25" hidden="1" customHeight="1">
      <c r="A7625" s="156">
        <v>17614844</v>
      </c>
      <c r="B7625" s="172" t="s">
        <v>879</v>
      </c>
      <c r="C7625" s="172" t="s">
        <v>215</v>
      </c>
      <c r="D7625" s="194" t="s">
        <v>7185</v>
      </c>
      <c r="E7625" s="200">
        <v>40452</v>
      </c>
    </row>
    <row r="7626" spans="1:5" ht="14.25" hidden="1" customHeight="1">
      <c r="A7626" s="156">
        <v>17619333</v>
      </c>
      <c r="B7626" s="172" t="s">
        <v>1538</v>
      </c>
      <c r="C7626" s="172" t="s">
        <v>3850</v>
      </c>
      <c r="D7626" s="194" t="s">
        <v>7185</v>
      </c>
      <c r="E7626" s="200">
        <v>40452</v>
      </c>
    </row>
    <row r="7627" spans="1:5" ht="14.25" hidden="1" customHeight="1">
      <c r="A7627" s="156">
        <v>17858381</v>
      </c>
      <c r="B7627" s="172" t="s">
        <v>8471</v>
      </c>
      <c r="C7627" s="172" t="s">
        <v>8463</v>
      </c>
      <c r="D7627" s="194" t="s">
        <v>7185</v>
      </c>
      <c r="E7627" s="200">
        <v>40452</v>
      </c>
    </row>
    <row r="7628" spans="1:5" ht="14.25" hidden="1" customHeight="1">
      <c r="A7628" s="156">
        <v>18433911</v>
      </c>
      <c r="B7628" s="172" t="s">
        <v>497</v>
      </c>
      <c r="C7628" s="172" t="s">
        <v>764</v>
      </c>
      <c r="D7628" s="194" t="s">
        <v>7185</v>
      </c>
      <c r="E7628" s="200">
        <v>40452</v>
      </c>
    </row>
    <row r="7629" spans="1:5" ht="14.25" hidden="1" customHeight="1">
      <c r="A7629" s="156">
        <v>18465826</v>
      </c>
      <c r="B7629" s="172" t="s">
        <v>1482</v>
      </c>
      <c r="C7629" s="172" t="s">
        <v>8465</v>
      </c>
      <c r="D7629" s="194" t="s">
        <v>7185</v>
      </c>
      <c r="E7629" s="200">
        <v>40452</v>
      </c>
    </row>
    <row r="7630" spans="1:5" ht="14.25" hidden="1" customHeight="1">
      <c r="A7630" s="156">
        <v>20284849</v>
      </c>
      <c r="B7630" s="172" t="s">
        <v>3759</v>
      </c>
      <c r="C7630" s="172" t="s">
        <v>420</v>
      </c>
      <c r="D7630" s="194" t="s">
        <v>7185</v>
      </c>
      <c r="E7630" s="200">
        <v>40452</v>
      </c>
    </row>
    <row r="7631" spans="1:5" ht="14.25" hidden="1" customHeight="1">
      <c r="A7631" s="156">
        <v>20759580</v>
      </c>
      <c r="B7631" s="172" t="s">
        <v>118</v>
      </c>
      <c r="C7631" s="172" t="s">
        <v>8464</v>
      </c>
      <c r="D7631" s="194" t="s">
        <v>7185</v>
      </c>
      <c r="E7631" s="200">
        <v>40452</v>
      </c>
    </row>
    <row r="7632" spans="1:5" ht="14.25" hidden="1" customHeight="1">
      <c r="A7632" s="156">
        <v>21327352</v>
      </c>
      <c r="B7632" s="172" t="s">
        <v>7774</v>
      </c>
      <c r="C7632" s="172" t="s">
        <v>6766</v>
      </c>
      <c r="D7632" s="194" t="s">
        <v>7185</v>
      </c>
      <c r="E7632" s="200">
        <v>40452</v>
      </c>
    </row>
    <row r="7633" spans="1:5" ht="14.25" hidden="1" customHeight="1">
      <c r="A7633" s="156">
        <v>21329323</v>
      </c>
      <c r="B7633" s="172" t="s">
        <v>4646</v>
      </c>
      <c r="C7633" s="172" t="s">
        <v>2447</v>
      </c>
      <c r="D7633" s="194" t="s">
        <v>7185</v>
      </c>
      <c r="E7633" s="200">
        <v>40452</v>
      </c>
    </row>
    <row r="7634" spans="1:5" ht="14.25" hidden="1" customHeight="1">
      <c r="A7634" s="156">
        <v>21829290</v>
      </c>
      <c r="B7634" s="172" t="s">
        <v>2521</v>
      </c>
      <c r="C7634" s="172" t="s">
        <v>2522</v>
      </c>
      <c r="D7634" s="194" t="s">
        <v>7185</v>
      </c>
      <c r="E7634" s="200">
        <v>40452</v>
      </c>
    </row>
    <row r="7635" spans="1:5" ht="14.25" hidden="1" customHeight="1">
      <c r="A7635" s="156">
        <v>21893835</v>
      </c>
      <c r="B7635" s="172" t="s">
        <v>321</v>
      </c>
      <c r="C7635" s="172" t="s">
        <v>322</v>
      </c>
      <c r="D7635" s="194" t="s">
        <v>7185</v>
      </c>
      <c r="E7635" s="200">
        <v>40452</v>
      </c>
    </row>
    <row r="7636" spans="1:5" ht="14.25" hidden="1" customHeight="1">
      <c r="A7636" s="156">
        <v>22263073</v>
      </c>
      <c r="B7636" s="172" t="s">
        <v>7372</v>
      </c>
      <c r="C7636" s="172" t="s">
        <v>8474</v>
      </c>
      <c r="D7636" s="194" t="s">
        <v>7185</v>
      </c>
      <c r="E7636" s="200">
        <v>40452</v>
      </c>
    </row>
    <row r="7637" spans="1:5" ht="14.25" hidden="1" customHeight="1">
      <c r="A7637" s="156">
        <v>22877863</v>
      </c>
      <c r="B7637" s="172" t="s">
        <v>8467</v>
      </c>
      <c r="C7637" s="172" t="s">
        <v>97</v>
      </c>
      <c r="D7637" s="194" t="s">
        <v>7185</v>
      </c>
      <c r="E7637" s="200">
        <v>40452</v>
      </c>
    </row>
    <row r="7638" spans="1:5" ht="14.25" hidden="1" customHeight="1">
      <c r="A7638" s="156">
        <v>22877868</v>
      </c>
      <c r="B7638" s="172" t="s">
        <v>4257</v>
      </c>
      <c r="C7638" s="172" t="s">
        <v>959</v>
      </c>
      <c r="D7638" s="194" t="s">
        <v>7185</v>
      </c>
      <c r="E7638" s="200">
        <v>40452</v>
      </c>
    </row>
    <row r="7639" spans="1:5" ht="14.25" hidden="1" customHeight="1">
      <c r="A7639" s="156">
        <v>23015469</v>
      </c>
      <c r="B7639" s="172" t="s">
        <v>714</v>
      </c>
      <c r="C7639" s="172" t="s">
        <v>8468</v>
      </c>
      <c r="D7639" s="194" t="s">
        <v>7185</v>
      </c>
      <c r="E7639" s="200">
        <v>40452</v>
      </c>
    </row>
    <row r="7640" spans="1:5" ht="14.25" hidden="1" customHeight="1">
      <c r="A7640" s="156">
        <v>23117818</v>
      </c>
      <c r="B7640" s="172" t="s">
        <v>394</v>
      </c>
      <c r="C7640" s="172" t="s">
        <v>1582</v>
      </c>
      <c r="D7640" s="194" t="s">
        <v>7185</v>
      </c>
      <c r="E7640" s="200">
        <v>40452</v>
      </c>
    </row>
    <row r="7641" spans="1:5" ht="14.25" hidden="1" customHeight="1">
      <c r="A7641" s="156">
        <v>23238026</v>
      </c>
      <c r="B7641" s="172" t="s">
        <v>4893</v>
      </c>
      <c r="C7641" s="172" t="s">
        <v>1535</v>
      </c>
      <c r="D7641" s="194" t="s">
        <v>7185</v>
      </c>
      <c r="E7641" s="200">
        <v>40452</v>
      </c>
    </row>
    <row r="7642" spans="1:5" ht="14.25" hidden="1" customHeight="1">
      <c r="A7642" s="156">
        <v>23519447</v>
      </c>
      <c r="B7642" s="172" t="s">
        <v>2195</v>
      </c>
      <c r="C7642" s="172" t="s">
        <v>8470</v>
      </c>
      <c r="D7642" s="194" t="s">
        <v>7185</v>
      </c>
      <c r="E7642" s="200">
        <v>40452</v>
      </c>
    </row>
    <row r="7643" spans="1:5" ht="14.25" hidden="1" customHeight="1">
      <c r="A7643" s="156">
        <v>23931160</v>
      </c>
      <c r="B7643" s="172" t="s">
        <v>4673</v>
      </c>
      <c r="C7643" s="172" t="s">
        <v>8441</v>
      </c>
      <c r="D7643" s="194" t="s">
        <v>7185</v>
      </c>
      <c r="E7643" s="200">
        <v>40452</v>
      </c>
    </row>
    <row r="7644" spans="1:5" ht="14.25" hidden="1" customHeight="1">
      <c r="A7644" s="156">
        <v>24147391</v>
      </c>
      <c r="B7644" s="172" t="s">
        <v>1565</v>
      </c>
      <c r="C7644" s="172" t="s">
        <v>8099</v>
      </c>
      <c r="D7644" s="194" t="s">
        <v>7185</v>
      </c>
      <c r="E7644" s="200">
        <v>40452</v>
      </c>
    </row>
    <row r="7645" spans="1:5" ht="14.25" hidden="1" customHeight="1">
      <c r="A7645" s="156">
        <v>24802284</v>
      </c>
      <c r="B7645" s="172" t="s">
        <v>1613</v>
      </c>
      <c r="C7645" s="172" t="s">
        <v>2418</v>
      </c>
      <c r="D7645" s="194" t="s">
        <v>7185</v>
      </c>
      <c r="E7645" s="200">
        <v>40452</v>
      </c>
    </row>
    <row r="7646" spans="1:5" ht="14.25" hidden="1" customHeight="1">
      <c r="A7646" s="156">
        <v>25543368</v>
      </c>
      <c r="B7646" s="172" t="s">
        <v>2622</v>
      </c>
      <c r="C7646" s="172" t="s">
        <v>4220</v>
      </c>
      <c r="D7646" s="194" t="s">
        <v>7185</v>
      </c>
      <c r="E7646" s="200">
        <v>40452</v>
      </c>
    </row>
    <row r="7647" spans="1:5" ht="14.25" hidden="1" customHeight="1">
      <c r="A7647" s="156">
        <v>25843618</v>
      </c>
      <c r="B7647" s="172" t="s">
        <v>1823</v>
      </c>
      <c r="C7647" s="172" t="s">
        <v>4410</v>
      </c>
      <c r="D7647" s="194" t="s">
        <v>7185</v>
      </c>
      <c r="E7647" s="200">
        <v>40452</v>
      </c>
    </row>
    <row r="7648" spans="1:5" ht="14.25" hidden="1" customHeight="1">
      <c r="A7648" s="156">
        <v>26029937</v>
      </c>
      <c r="B7648" s="172" t="s">
        <v>327</v>
      </c>
      <c r="C7648" s="172" t="s">
        <v>8469</v>
      </c>
      <c r="D7648" s="194" t="s">
        <v>7185</v>
      </c>
      <c r="E7648" s="200">
        <v>40452</v>
      </c>
    </row>
    <row r="7649" spans="1:5" ht="14.25" hidden="1" customHeight="1">
      <c r="A7649" s="156">
        <v>26638536</v>
      </c>
      <c r="B7649" s="172" t="s">
        <v>901</v>
      </c>
      <c r="C7649" s="172" t="s">
        <v>7100</v>
      </c>
      <c r="D7649" s="194" t="s">
        <v>7185</v>
      </c>
      <c r="E7649" s="200">
        <v>40452</v>
      </c>
    </row>
    <row r="7650" spans="1:5" ht="14.25" hidden="1" customHeight="1">
      <c r="A7650" s="156">
        <v>27016351</v>
      </c>
      <c r="B7650" s="172" t="s">
        <v>2026</v>
      </c>
      <c r="C7650" s="172" t="s">
        <v>8431</v>
      </c>
      <c r="D7650" s="194" t="s">
        <v>7185</v>
      </c>
      <c r="E7650" s="200">
        <v>40452</v>
      </c>
    </row>
    <row r="7651" spans="1:5" ht="14.25" hidden="1" customHeight="1">
      <c r="A7651" s="156">
        <v>27016620</v>
      </c>
      <c r="B7651" s="172" t="s">
        <v>1538</v>
      </c>
      <c r="C7651" s="172" t="s">
        <v>33</v>
      </c>
      <c r="D7651" s="194" t="s">
        <v>7185</v>
      </c>
      <c r="E7651" s="200">
        <v>40452</v>
      </c>
    </row>
    <row r="7652" spans="1:5" ht="14.25" hidden="1" customHeight="1">
      <c r="A7652" s="156">
        <v>27364281</v>
      </c>
      <c r="B7652" s="172" t="s">
        <v>3602</v>
      </c>
      <c r="C7652" s="172" t="s">
        <v>2069</v>
      </c>
      <c r="D7652" s="194" t="s">
        <v>7185</v>
      </c>
      <c r="E7652" s="200">
        <v>40452</v>
      </c>
    </row>
    <row r="7653" spans="1:5" ht="14.25" hidden="1" customHeight="1">
      <c r="A7653" s="156">
        <v>27400661</v>
      </c>
      <c r="B7653" s="172" t="s">
        <v>226</v>
      </c>
      <c r="C7653" s="172" t="s">
        <v>1302</v>
      </c>
      <c r="D7653" s="194" t="s">
        <v>7185</v>
      </c>
      <c r="E7653" s="200">
        <v>40452</v>
      </c>
    </row>
    <row r="7654" spans="1:5" ht="14.25" hidden="1" customHeight="1">
      <c r="A7654" s="156">
        <v>27595015</v>
      </c>
      <c r="B7654" s="172" t="s">
        <v>2248</v>
      </c>
      <c r="C7654" s="172" t="s">
        <v>4403</v>
      </c>
      <c r="D7654" s="194" t="s">
        <v>7185</v>
      </c>
      <c r="E7654" s="200">
        <v>40452</v>
      </c>
    </row>
    <row r="7655" spans="1:5" ht="14.25" hidden="1" customHeight="1">
      <c r="A7655" s="156">
        <v>27751892</v>
      </c>
      <c r="B7655" s="172" t="s">
        <v>461</v>
      </c>
      <c r="C7655" s="172" t="s">
        <v>1621</v>
      </c>
      <c r="D7655" s="194" t="s">
        <v>7185</v>
      </c>
      <c r="E7655" s="200">
        <v>40452</v>
      </c>
    </row>
    <row r="7656" spans="1:5" ht="14.25" hidden="1" customHeight="1">
      <c r="A7656" s="156">
        <v>27944383</v>
      </c>
      <c r="B7656" s="172" t="s">
        <v>863</v>
      </c>
      <c r="C7656" s="172" t="s">
        <v>3294</v>
      </c>
      <c r="D7656" s="194" t="s">
        <v>7185</v>
      </c>
      <c r="E7656" s="200">
        <v>40452</v>
      </c>
    </row>
    <row r="7657" spans="1:5" ht="14.25" hidden="1" customHeight="1">
      <c r="A7657" s="156">
        <v>29878052</v>
      </c>
      <c r="B7657" s="172" t="s">
        <v>167</v>
      </c>
      <c r="C7657" s="172" t="s">
        <v>33</v>
      </c>
      <c r="D7657" s="194" t="s">
        <v>7185</v>
      </c>
      <c r="E7657" s="200">
        <v>40452</v>
      </c>
    </row>
    <row r="7658" spans="1:5" ht="14.25" hidden="1" customHeight="1">
      <c r="A7658" s="156">
        <v>30090802</v>
      </c>
      <c r="B7658" s="172" t="s">
        <v>8430</v>
      </c>
      <c r="C7658" s="172" t="s">
        <v>5013</v>
      </c>
      <c r="D7658" s="194" t="s">
        <v>7185</v>
      </c>
      <c r="E7658" s="200">
        <v>40452</v>
      </c>
    </row>
    <row r="7659" spans="1:5" ht="14.25" hidden="1" customHeight="1">
      <c r="A7659" s="156">
        <v>31842821</v>
      </c>
      <c r="B7659" s="172" t="s">
        <v>7136</v>
      </c>
      <c r="C7659" s="172" t="s">
        <v>7137</v>
      </c>
      <c r="D7659" s="194" t="s">
        <v>7185</v>
      </c>
      <c r="E7659" s="200">
        <v>40452</v>
      </c>
    </row>
    <row r="7660" spans="1:5" ht="14.25" hidden="1" customHeight="1">
      <c r="A7660" s="156">
        <v>32115802</v>
      </c>
      <c r="B7660" s="172" t="s">
        <v>2718</v>
      </c>
      <c r="C7660" s="172" t="s">
        <v>8426</v>
      </c>
      <c r="D7660" s="194" t="s">
        <v>7185</v>
      </c>
      <c r="E7660" s="200">
        <v>40452</v>
      </c>
    </row>
    <row r="7661" spans="1:5" ht="14.25" hidden="1" customHeight="1">
      <c r="A7661" s="156">
        <v>32115934</v>
      </c>
      <c r="B7661" s="172" t="s">
        <v>8436</v>
      </c>
      <c r="C7661" s="172" t="s">
        <v>1801</v>
      </c>
      <c r="D7661" s="194" t="s">
        <v>7185</v>
      </c>
      <c r="E7661" s="200">
        <v>40452</v>
      </c>
    </row>
    <row r="7662" spans="1:5" ht="14.25" hidden="1" customHeight="1">
      <c r="A7662" s="156">
        <v>32201492</v>
      </c>
      <c r="B7662" s="172" t="s">
        <v>1512</v>
      </c>
      <c r="C7662" s="172" t="s">
        <v>1513</v>
      </c>
      <c r="D7662" s="194" t="s">
        <v>7185</v>
      </c>
      <c r="E7662" s="200">
        <v>40452</v>
      </c>
    </row>
    <row r="7663" spans="1:5" ht="14.25" hidden="1" customHeight="1">
      <c r="A7663" s="156">
        <v>34958061</v>
      </c>
      <c r="B7663" s="172" t="s">
        <v>3213</v>
      </c>
      <c r="C7663" s="172" t="s">
        <v>8429</v>
      </c>
      <c r="D7663" s="194" t="s">
        <v>7185</v>
      </c>
      <c r="E7663" s="200">
        <v>40452</v>
      </c>
    </row>
    <row r="7664" spans="1:5" ht="14.25" hidden="1" customHeight="1">
      <c r="A7664" s="156"/>
      <c r="B7664" s="172" t="s">
        <v>8425</v>
      </c>
      <c r="C7664" s="172" t="s">
        <v>157</v>
      </c>
      <c r="D7664" s="194" t="s">
        <v>7185</v>
      </c>
      <c r="E7664" s="200">
        <v>40452</v>
      </c>
    </row>
    <row r="7665" spans="1:5" ht="14.25" hidden="1" customHeight="1">
      <c r="A7665" s="156">
        <v>12352665</v>
      </c>
      <c r="B7665" s="172" t="s">
        <v>3591</v>
      </c>
      <c r="C7665" s="172" t="s">
        <v>832</v>
      </c>
      <c r="D7665" s="194" t="s">
        <v>7309</v>
      </c>
      <c r="E7665" s="200">
        <v>40426</v>
      </c>
    </row>
    <row r="7666" spans="1:5" ht="14.25" hidden="1" customHeight="1">
      <c r="A7666" s="156">
        <v>17442012</v>
      </c>
      <c r="B7666" s="172" t="s">
        <v>327</v>
      </c>
      <c r="C7666" s="172" t="s">
        <v>331</v>
      </c>
      <c r="D7666" s="194" t="s">
        <v>7309</v>
      </c>
      <c r="E7666" s="200">
        <v>40426</v>
      </c>
    </row>
    <row r="7667" spans="1:5" ht="14.25" hidden="1" customHeight="1">
      <c r="A7667" s="156">
        <v>18187225</v>
      </c>
      <c r="B7667" s="172" t="s">
        <v>8415</v>
      </c>
      <c r="C7667" s="172" t="s">
        <v>8256</v>
      </c>
      <c r="D7667" s="194" t="s">
        <v>7309</v>
      </c>
      <c r="E7667" s="200">
        <v>40426</v>
      </c>
    </row>
    <row r="7668" spans="1:5" ht="14.25" hidden="1" customHeight="1">
      <c r="A7668" s="156">
        <v>21327490</v>
      </c>
      <c r="B7668" s="172" t="s">
        <v>374</v>
      </c>
      <c r="C7668" s="172" t="s">
        <v>8475</v>
      </c>
      <c r="D7668" s="194" t="s">
        <v>7309</v>
      </c>
      <c r="E7668" s="200">
        <v>40426</v>
      </c>
    </row>
    <row r="7669" spans="1:5" ht="14.25" hidden="1" customHeight="1">
      <c r="A7669" s="156">
        <v>22387948</v>
      </c>
      <c r="B7669" s="172" t="s">
        <v>1160</v>
      </c>
      <c r="C7669" s="172" t="s">
        <v>1575</v>
      </c>
      <c r="D7669" s="194" t="s">
        <v>7309</v>
      </c>
      <c r="E7669" s="200">
        <v>40426</v>
      </c>
    </row>
    <row r="7670" spans="1:5" ht="14.25" hidden="1" customHeight="1">
      <c r="A7670" s="156">
        <v>31030289</v>
      </c>
      <c r="B7670" s="172" t="s">
        <v>1216</v>
      </c>
      <c r="C7670" s="172" t="s">
        <v>4790</v>
      </c>
      <c r="D7670" s="194" t="s">
        <v>7309</v>
      </c>
      <c r="E7670" s="200">
        <v>40426</v>
      </c>
    </row>
    <row r="7671" spans="1:5" ht="14.25" hidden="1" customHeight="1">
      <c r="A7671" s="156">
        <v>6054547</v>
      </c>
      <c r="B7671" s="172" t="s">
        <v>7642</v>
      </c>
      <c r="C7671" s="172" t="s">
        <v>7624</v>
      </c>
      <c r="D7671" s="194" t="s">
        <v>8257</v>
      </c>
      <c r="E7671" s="200">
        <v>40422</v>
      </c>
    </row>
    <row r="7672" spans="1:5" ht="14.25" hidden="1" customHeight="1">
      <c r="A7672" s="156">
        <v>10645299</v>
      </c>
      <c r="B7672" s="172" t="s">
        <v>2077</v>
      </c>
      <c r="C7672" s="172" t="s">
        <v>1532</v>
      </c>
      <c r="D7672" s="194" t="s">
        <v>8257</v>
      </c>
      <c r="E7672" s="200">
        <v>40422</v>
      </c>
    </row>
    <row r="7673" spans="1:5" ht="14.25" hidden="1" customHeight="1">
      <c r="A7673" s="156">
        <v>10910039</v>
      </c>
      <c r="B7673" s="172" t="s">
        <v>2460</v>
      </c>
      <c r="C7673" s="172" t="s">
        <v>4509</v>
      </c>
      <c r="D7673" s="194" t="s">
        <v>8257</v>
      </c>
      <c r="E7673" s="200">
        <v>40422</v>
      </c>
    </row>
    <row r="7674" spans="1:5" ht="14.25" hidden="1" customHeight="1">
      <c r="A7674" s="156">
        <v>11080049</v>
      </c>
      <c r="B7674" s="172" t="s">
        <v>2438</v>
      </c>
      <c r="C7674" s="172" t="s">
        <v>2184</v>
      </c>
      <c r="D7674" s="194" t="s">
        <v>8257</v>
      </c>
      <c r="E7674" s="200">
        <v>40422</v>
      </c>
    </row>
    <row r="7675" spans="1:5" ht="14.25" hidden="1" customHeight="1">
      <c r="A7675" s="156">
        <v>11708174</v>
      </c>
      <c r="B7675" s="172" t="s">
        <v>1628</v>
      </c>
      <c r="C7675" s="172" t="s">
        <v>1629</v>
      </c>
      <c r="D7675" s="194" t="s">
        <v>8257</v>
      </c>
      <c r="E7675" s="200">
        <v>40422</v>
      </c>
    </row>
    <row r="7676" spans="1:5" ht="14.25" hidden="1" customHeight="1">
      <c r="A7676" s="156">
        <v>12148946</v>
      </c>
      <c r="B7676" s="172" t="s">
        <v>2544</v>
      </c>
      <c r="C7676" s="172" t="s">
        <v>427</v>
      </c>
      <c r="D7676" s="194" t="s">
        <v>8257</v>
      </c>
      <c r="E7676" s="200">
        <v>40422</v>
      </c>
    </row>
    <row r="7677" spans="1:5" ht="14.25" hidden="1" customHeight="1">
      <c r="A7677" s="156">
        <v>12540739</v>
      </c>
      <c r="B7677" s="172" t="s">
        <v>4759</v>
      </c>
      <c r="C7677" s="172" t="s">
        <v>4760</v>
      </c>
      <c r="D7677" s="194" t="s">
        <v>8257</v>
      </c>
      <c r="E7677" s="200">
        <v>40422</v>
      </c>
    </row>
    <row r="7678" spans="1:5" ht="14.25" hidden="1" customHeight="1">
      <c r="A7678" s="156">
        <v>12597724</v>
      </c>
      <c r="B7678" s="172" t="s">
        <v>760</v>
      </c>
      <c r="C7678" s="172" t="s">
        <v>4424</v>
      </c>
      <c r="D7678" s="194" t="s">
        <v>8257</v>
      </c>
      <c r="E7678" s="200">
        <v>40422</v>
      </c>
    </row>
    <row r="7679" spans="1:5" ht="14.25" hidden="1" customHeight="1">
      <c r="A7679" s="156">
        <v>12606235</v>
      </c>
      <c r="B7679" s="172" t="s">
        <v>499</v>
      </c>
      <c r="C7679" s="172" t="s">
        <v>500</v>
      </c>
      <c r="D7679" s="194" t="s">
        <v>8257</v>
      </c>
      <c r="E7679" s="200">
        <v>40422</v>
      </c>
    </row>
    <row r="7680" spans="1:5" ht="14.25" hidden="1" customHeight="1">
      <c r="A7680" s="156">
        <v>12609312</v>
      </c>
      <c r="B7680" s="172" t="s">
        <v>156</v>
      </c>
      <c r="C7680" s="172" t="s">
        <v>157</v>
      </c>
      <c r="D7680" s="194" t="s">
        <v>8257</v>
      </c>
      <c r="E7680" s="200">
        <v>40422</v>
      </c>
    </row>
    <row r="7681" spans="1:5" ht="14.25" hidden="1" customHeight="1">
      <c r="A7681" s="156">
        <v>12654235</v>
      </c>
      <c r="B7681" s="172" t="s">
        <v>863</v>
      </c>
      <c r="C7681" s="172" t="s">
        <v>5286</v>
      </c>
      <c r="D7681" s="194" t="s">
        <v>8257</v>
      </c>
      <c r="E7681" s="200">
        <v>40422</v>
      </c>
    </row>
    <row r="7682" spans="1:5" ht="14.25" hidden="1" customHeight="1">
      <c r="A7682" s="156">
        <v>13115427</v>
      </c>
      <c r="B7682" s="172" t="s">
        <v>1999</v>
      </c>
      <c r="C7682" s="172" t="s">
        <v>2000</v>
      </c>
      <c r="D7682" s="194" t="s">
        <v>8257</v>
      </c>
      <c r="E7682" s="200">
        <v>40422</v>
      </c>
    </row>
    <row r="7683" spans="1:5" ht="14.25" hidden="1" customHeight="1">
      <c r="A7683" s="156">
        <v>13203992</v>
      </c>
      <c r="B7683" s="172" t="s">
        <v>2576</v>
      </c>
      <c r="C7683" s="172" t="s">
        <v>4631</v>
      </c>
      <c r="D7683" s="194" t="s">
        <v>8257</v>
      </c>
      <c r="E7683" s="200">
        <v>40422</v>
      </c>
    </row>
    <row r="7684" spans="1:5" ht="14.25" hidden="1" customHeight="1">
      <c r="A7684" s="156">
        <v>13848349</v>
      </c>
      <c r="B7684" s="172" t="s">
        <v>6109</v>
      </c>
      <c r="C7684" s="172" t="s">
        <v>465</v>
      </c>
      <c r="D7684" s="194" t="s">
        <v>8257</v>
      </c>
      <c r="E7684" s="200">
        <v>40422</v>
      </c>
    </row>
    <row r="7685" spans="1:5" ht="14.25" hidden="1" customHeight="1">
      <c r="A7685" s="156">
        <v>14073031</v>
      </c>
      <c r="B7685" s="172" t="s">
        <v>8484</v>
      </c>
      <c r="C7685" s="172" t="s">
        <v>2382</v>
      </c>
      <c r="D7685" s="194" t="s">
        <v>8257</v>
      </c>
      <c r="E7685" s="200">
        <v>40422</v>
      </c>
    </row>
    <row r="7686" spans="1:5" ht="14.25" hidden="1" customHeight="1">
      <c r="A7686" s="156">
        <v>14073571</v>
      </c>
      <c r="B7686" s="172" t="s">
        <v>8471</v>
      </c>
      <c r="C7686" s="172" t="s">
        <v>8472</v>
      </c>
      <c r="D7686" s="194" t="s">
        <v>8257</v>
      </c>
      <c r="E7686" s="200">
        <v>40422</v>
      </c>
    </row>
    <row r="7687" spans="1:5" ht="14.25" hidden="1" customHeight="1">
      <c r="A7687" s="156">
        <v>14312881</v>
      </c>
      <c r="B7687" s="172" t="s">
        <v>694</v>
      </c>
      <c r="C7687" s="172" t="s">
        <v>695</v>
      </c>
      <c r="D7687" s="194" t="s">
        <v>8257</v>
      </c>
      <c r="E7687" s="200">
        <v>40422</v>
      </c>
    </row>
    <row r="7688" spans="1:5" ht="14.25" hidden="1" customHeight="1">
      <c r="A7688" s="156">
        <v>14358737</v>
      </c>
      <c r="B7688" s="172" t="s">
        <v>3456</v>
      </c>
      <c r="C7688" s="172" t="s">
        <v>5390</v>
      </c>
      <c r="D7688" s="194" t="s">
        <v>8257</v>
      </c>
      <c r="E7688" s="200">
        <v>40422</v>
      </c>
    </row>
    <row r="7689" spans="1:5" ht="14.25" hidden="1" customHeight="1">
      <c r="A7689" s="156">
        <v>14359977</v>
      </c>
      <c r="B7689" s="172" t="s">
        <v>335</v>
      </c>
      <c r="C7689" s="172" t="s">
        <v>336</v>
      </c>
      <c r="D7689" s="194" t="s">
        <v>8257</v>
      </c>
      <c r="E7689" s="200">
        <v>40422</v>
      </c>
    </row>
    <row r="7690" spans="1:5" ht="14.25" hidden="1" customHeight="1">
      <c r="A7690" s="156">
        <v>16541411</v>
      </c>
      <c r="B7690" s="172" t="s">
        <v>4746</v>
      </c>
      <c r="C7690" s="172" t="s">
        <v>4747</v>
      </c>
      <c r="D7690" s="194" t="s">
        <v>8257</v>
      </c>
      <c r="E7690" s="200">
        <v>40422</v>
      </c>
    </row>
    <row r="7691" spans="1:5" ht="14.25" hidden="1" customHeight="1">
      <c r="A7691" s="156">
        <v>16541537</v>
      </c>
      <c r="B7691" s="172" t="s">
        <v>4643</v>
      </c>
      <c r="C7691" s="172" t="s">
        <v>4644</v>
      </c>
      <c r="D7691" s="194" t="s">
        <v>8257</v>
      </c>
      <c r="E7691" s="200">
        <v>40422</v>
      </c>
    </row>
    <row r="7692" spans="1:5" ht="14.25" hidden="1" customHeight="1">
      <c r="A7692" s="156">
        <v>17269759</v>
      </c>
      <c r="B7692" s="172" t="s">
        <v>3182</v>
      </c>
      <c r="C7692" s="172" t="s">
        <v>2244</v>
      </c>
      <c r="D7692" s="194" t="s">
        <v>8257</v>
      </c>
      <c r="E7692" s="200">
        <v>40422</v>
      </c>
    </row>
    <row r="7693" spans="1:5" ht="14.25" hidden="1" customHeight="1">
      <c r="A7693" s="156">
        <v>17377046</v>
      </c>
      <c r="B7693" s="172" t="s">
        <v>8483</v>
      </c>
      <c r="C7693" s="172" t="s">
        <v>2553</v>
      </c>
      <c r="D7693" s="194" t="s">
        <v>8257</v>
      </c>
      <c r="E7693" s="200">
        <v>40422</v>
      </c>
    </row>
    <row r="7694" spans="1:5" ht="14.25" hidden="1" customHeight="1">
      <c r="A7694" s="156">
        <v>17574485</v>
      </c>
      <c r="B7694" s="172" t="s">
        <v>638</v>
      </c>
      <c r="C7694" s="172" t="s">
        <v>639</v>
      </c>
      <c r="D7694" s="194" t="s">
        <v>8257</v>
      </c>
      <c r="E7694" s="200">
        <v>40422</v>
      </c>
    </row>
    <row r="7695" spans="1:5" ht="14.25" hidden="1" customHeight="1">
      <c r="A7695" s="156">
        <v>18230668</v>
      </c>
      <c r="B7695" s="172" t="s">
        <v>2375</v>
      </c>
      <c r="C7695" s="172" t="s">
        <v>1585</v>
      </c>
      <c r="D7695" s="194" t="s">
        <v>8257</v>
      </c>
      <c r="E7695" s="200">
        <v>40422</v>
      </c>
    </row>
    <row r="7696" spans="1:5" ht="14.25" hidden="1" customHeight="1">
      <c r="A7696" s="156">
        <v>18408803</v>
      </c>
      <c r="B7696" s="172" t="s">
        <v>26</v>
      </c>
      <c r="C7696" s="172" t="s">
        <v>1883</v>
      </c>
      <c r="D7696" s="194" t="s">
        <v>8257</v>
      </c>
      <c r="E7696" s="200">
        <v>40422</v>
      </c>
    </row>
    <row r="7697" spans="1:5" ht="14.25" hidden="1" customHeight="1">
      <c r="A7697" s="156">
        <v>18464655</v>
      </c>
      <c r="B7697" s="172" t="s">
        <v>247</v>
      </c>
      <c r="C7697" s="172" t="s">
        <v>248</v>
      </c>
      <c r="D7697" s="194" t="s">
        <v>8257</v>
      </c>
      <c r="E7697" s="200">
        <v>40422</v>
      </c>
    </row>
    <row r="7698" spans="1:5" ht="14.25" hidden="1" customHeight="1">
      <c r="A7698" s="156">
        <v>18465826</v>
      </c>
      <c r="B7698" s="172" t="s">
        <v>1482</v>
      </c>
      <c r="C7698" s="172" t="s">
        <v>8476</v>
      </c>
      <c r="D7698" s="194" t="s">
        <v>8257</v>
      </c>
      <c r="E7698" s="200">
        <v>40422</v>
      </c>
    </row>
    <row r="7699" spans="1:5" ht="14.25" hidden="1" customHeight="1">
      <c r="A7699" s="156">
        <v>20171342</v>
      </c>
      <c r="B7699" s="172" t="s">
        <v>394</v>
      </c>
      <c r="C7699" s="172" t="s">
        <v>2173</v>
      </c>
      <c r="D7699" s="194" t="s">
        <v>8257</v>
      </c>
      <c r="E7699" s="200">
        <v>40422</v>
      </c>
    </row>
    <row r="7700" spans="1:5" ht="14.25" hidden="1" customHeight="1">
      <c r="A7700" s="156">
        <v>20218683</v>
      </c>
      <c r="B7700" s="172" t="s">
        <v>2469</v>
      </c>
      <c r="C7700" s="172" t="s">
        <v>3498</v>
      </c>
      <c r="D7700" s="194" t="s">
        <v>8257</v>
      </c>
      <c r="E7700" s="200">
        <v>40422</v>
      </c>
    </row>
    <row r="7701" spans="1:5" ht="14.25" hidden="1" customHeight="1">
      <c r="A7701" s="156">
        <v>20219222</v>
      </c>
      <c r="B7701" s="172" t="s">
        <v>214</v>
      </c>
      <c r="C7701" s="172" t="s">
        <v>7649</v>
      </c>
      <c r="D7701" s="194" t="s">
        <v>8257</v>
      </c>
      <c r="E7701" s="200">
        <v>40422</v>
      </c>
    </row>
    <row r="7702" spans="1:5" ht="14.25" hidden="1" customHeight="1">
      <c r="A7702" s="156">
        <v>20284560</v>
      </c>
      <c r="B7702" s="172" t="s">
        <v>7563</v>
      </c>
      <c r="C7702" s="172" t="s">
        <v>7564</v>
      </c>
      <c r="D7702" s="194" t="s">
        <v>8257</v>
      </c>
      <c r="E7702" s="200">
        <v>40422</v>
      </c>
    </row>
    <row r="7703" spans="1:5" ht="14.25" hidden="1" customHeight="1">
      <c r="A7703" s="156">
        <v>20311140</v>
      </c>
      <c r="B7703" s="172" t="s">
        <v>1298</v>
      </c>
      <c r="C7703" s="172" t="s">
        <v>1649</v>
      </c>
      <c r="D7703" s="194" t="s">
        <v>8257</v>
      </c>
      <c r="E7703" s="200">
        <v>40422</v>
      </c>
    </row>
    <row r="7704" spans="1:5" ht="14.25" hidden="1" customHeight="1">
      <c r="A7704" s="156">
        <v>20433790</v>
      </c>
      <c r="B7704" s="172" t="s">
        <v>425</v>
      </c>
      <c r="C7704" s="172" t="s">
        <v>1299</v>
      </c>
      <c r="D7704" s="194" t="s">
        <v>8257</v>
      </c>
      <c r="E7704" s="200">
        <v>40422</v>
      </c>
    </row>
    <row r="7705" spans="1:5" ht="14.25" hidden="1" customHeight="1">
      <c r="A7705" s="156">
        <v>20758707</v>
      </c>
      <c r="B7705" s="172" t="s">
        <v>622</v>
      </c>
      <c r="C7705" s="172" t="s">
        <v>1459</v>
      </c>
      <c r="D7705" s="194" t="s">
        <v>8257</v>
      </c>
      <c r="E7705" s="200">
        <v>40422</v>
      </c>
    </row>
    <row r="7706" spans="1:5" ht="14.25" hidden="1" customHeight="1">
      <c r="A7706" s="156">
        <v>21054719</v>
      </c>
      <c r="B7706" s="172" t="s">
        <v>218</v>
      </c>
      <c r="C7706" s="172" t="s">
        <v>8480</v>
      </c>
      <c r="D7706" s="194" t="s">
        <v>8257</v>
      </c>
      <c r="E7706" s="200">
        <v>40422</v>
      </c>
    </row>
    <row r="7707" spans="1:5" ht="14.25" hidden="1" customHeight="1">
      <c r="A7707" s="156">
        <v>21327352</v>
      </c>
      <c r="B7707" s="172" t="s">
        <v>7774</v>
      </c>
      <c r="C7707" s="172" t="s">
        <v>3466</v>
      </c>
      <c r="D7707" s="194" t="s">
        <v>8257</v>
      </c>
      <c r="E7707" s="200">
        <v>40422</v>
      </c>
    </row>
    <row r="7708" spans="1:5" ht="14.25" hidden="1" customHeight="1">
      <c r="A7708" s="156">
        <v>21328472</v>
      </c>
      <c r="B7708" s="172" t="s">
        <v>4653</v>
      </c>
      <c r="C7708" s="172" t="s">
        <v>8486</v>
      </c>
      <c r="D7708" s="194" t="s">
        <v>8257</v>
      </c>
      <c r="E7708" s="200">
        <v>40422</v>
      </c>
    </row>
    <row r="7709" spans="1:5" ht="14.25" hidden="1" customHeight="1">
      <c r="A7709" s="156">
        <v>21329323</v>
      </c>
      <c r="B7709" s="172" t="s">
        <v>4646</v>
      </c>
      <c r="C7709" s="172" t="s">
        <v>7389</v>
      </c>
      <c r="D7709" s="194" t="s">
        <v>8257</v>
      </c>
      <c r="E7709" s="200">
        <v>40422</v>
      </c>
    </row>
    <row r="7710" spans="1:5" ht="14.25" hidden="1" customHeight="1">
      <c r="A7710" s="156">
        <v>22031835</v>
      </c>
      <c r="B7710" s="172" t="s">
        <v>8187</v>
      </c>
      <c r="C7710" s="172" t="s">
        <v>274</v>
      </c>
      <c r="D7710" s="194" t="s">
        <v>8257</v>
      </c>
      <c r="E7710" s="200">
        <v>40422</v>
      </c>
    </row>
    <row r="7711" spans="1:5" ht="14.25" hidden="1" customHeight="1">
      <c r="A7711" s="156">
        <v>22414917</v>
      </c>
      <c r="B7711" s="172" t="s">
        <v>1102</v>
      </c>
      <c r="C7711" s="172" t="s">
        <v>2507</v>
      </c>
      <c r="D7711" s="194" t="s">
        <v>8257</v>
      </c>
      <c r="E7711" s="200">
        <v>40422</v>
      </c>
    </row>
    <row r="7712" spans="1:5" ht="14.25" hidden="1" customHeight="1">
      <c r="A7712" s="156">
        <v>23015469</v>
      </c>
      <c r="B7712" s="172" t="s">
        <v>714</v>
      </c>
      <c r="C7712" s="172" t="s">
        <v>8482</v>
      </c>
      <c r="D7712" s="194" t="s">
        <v>8257</v>
      </c>
      <c r="E7712" s="200">
        <v>40422</v>
      </c>
    </row>
    <row r="7713" spans="1:5" ht="14.25" hidden="1" customHeight="1">
      <c r="A7713" s="156">
        <v>23116307</v>
      </c>
      <c r="B7713" s="172" t="s">
        <v>1547</v>
      </c>
      <c r="C7713" s="172" t="s">
        <v>1353</v>
      </c>
      <c r="D7713" s="194" t="s">
        <v>8257</v>
      </c>
      <c r="E7713" s="200">
        <v>40422</v>
      </c>
    </row>
    <row r="7714" spans="1:5" ht="14.25" hidden="1" customHeight="1">
      <c r="A7714" s="156">
        <v>23518638</v>
      </c>
      <c r="B7714" s="172" t="s">
        <v>6440</v>
      </c>
      <c r="C7714" s="172" t="s">
        <v>6441</v>
      </c>
      <c r="D7714" s="194" t="s">
        <v>8257</v>
      </c>
      <c r="E7714" s="200">
        <v>40422</v>
      </c>
    </row>
    <row r="7715" spans="1:5" ht="14.25" hidden="1" customHeight="1">
      <c r="A7715" s="156">
        <v>23930278</v>
      </c>
      <c r="B7715" s="172" t="s">
        <v>218</v>
      </c>
      <c r="C7715" s="172" t="s">
        <v>2501</v>
      </c>
      <c r="D7715" s="194" t="s">
        <v>8257</v>
      </c>
      <c r="E7715" s="200">
        <v>40422</v>
      </c>
    </row>
    <row r="7716" spans="1:5" ht="14.25" hidden="1" customHeight="1">
      <c r="A7716" s="156">
        <v>23931160</v>
      </c>
      <c r="B7716" s="172" t="s">
        <v>4673</v>
      </c>
      <c r="C7716" s="172" t="s">
        <v>3888</v>
      </c>
      <c r="D7716" s="194" t="s">
        <v>8257</v>
      </c>
      <c r="E7716" s="200">
        <v>40422</v>
      </c>
    </row>
    <row r="7717" spans="1:5" ht="14.25" hidden="1" customHeight="1">
      <c r="A7717" s="156">
        <v>23931356</v>
      </c>
      <c r="B7717" s="172" t="s">
        <v>633</v>
      </c>
      <c r="C7717" s="172" t="s">
        <v>223</v>
      </c>
      <c r="D7717" s="194" t="s">
        <v>8257</v>
      </c>
      <c r="E7717" s="200">
        <v>40422</v>
      </c>
    </row>
    <row r="7718" spans="1:5" ht="14.25" hidden="1" customHeight="1">
      <c r="A7718" s="156">
        <v>24803141</v>
      </c>
      <c r="B7718" s="172" t="s">
        <v>6421</v>
      </c>
      <c r="C7718" s="172" t="s">
        <v>365</v>
      </c>
      <c r="D7718" s="194" t="s">
        <v>8257</v>
      </c>
      <c r="E7718" s="200">
        <v>40422</v>
      </c>
    </row>
    <row r="7719" spans="1:5" ht="14.25" hidden="1" customHeight="1">
      <c r="A7719" s="156">
        <v>24803211</v>
      </c>
      <c r="B7719" s="172" t="s">
        <v>2579</v>
      </c>
      <c r="C7719" s="172" t="s">
        <v>8485</v>
      </c>
      <c r="D7719" s="194" t="s">
        <v>8257</v>
      </c>
      <c r="E7719" s="200">
        <v>40422</v>
      </c>
    </row>
    <row r="7720" spans="1:5" ht="14.25" hidden="1" customHeight="1">
      <c r="A7720" s="156">
        <v>25082588</v>
      </c>
      <c r="B7720" s="172" t="s">
        <v>2488</v>
      </c>
      <c r="C7720" s="172" t="s">
        <v>1585</v>
      </c>
      <c r="D7720" s="194" t="s">
        <v>8257</v>
      </c>
      <c r="E7720" s="200">
        <v>40422</v>
      </c>
    </row>
    <row r="7721" spans="1:5" ht="14.25" hidden="1" customHeight="1">
      <c r="A7721" s="156">
        <v>25211295</v>
      </c>
      <c r="B7721" s="172" t="s">
        <v>1953</v>
      </c>
      <c r="C7721" s="172" t="s">
        <v>1954</v>
      </c>
      <c r="D7721" s="194" t="s">
        <v>8257</v>
      </c>
      <c r="E7721" s="200">
        <v>40422</v>
      </c>
    </row>
    <row r="7722" spans="1:5" ht="14.25" hidden="1" customHeight="1">
      <c r="A7722" s="156">
        <v>25255652</v>
      </c>
      <c r="B7722" s="172" t="s">
        <v>1547</v>
      </c>
      <c r="C7722" s="172" t="s">
        <v>1542</v>
      </c>
      <c r="D7722" s="194" t="s">
        <v>8257</v>
      </c>
      <c r="E7722" s="200">
        <v>40422</v>
      </c>
    </row>
    <row r="7723" spans="1:5" ht="14.25" hidden="1" customHeight="1">
      <c r="A7723" s="156">
        <v>25543368</v>
      </c>
      <c r="B7723" s="172" t="s">
        <v>2622</v>
      </c>
      <c r="C7723" s="172" t="s">
        <v>4220</v>
      </c>
      <c r="D7723" s="194" t="s">
        <v>8257</v>
      </c>
      <c r="E7723" s="200">
        <v>40422</v>
      </c>
    </row>
    <row r="7724" spans="1:5" ht="14.25" hidden="1" customHeight="1">
      <c r="A7724" s="156">
        <v>25734593</v>
      </c>
      <c r="B7724" s="172" t="s">
        <v>5433</v>
      </c>
      <c r="C7724" s="172" t="s">
        <v>5434</v>
      </c>
      <c r="D7724" s="194" t="s">
        <v>8257</v>
      </c>
      <c r="E7724" s="200">
        <v>40422</v>
      </c>
    </row>
    <row r="7725" spans="1:5" ht="14.25" hidden="1" customHeight="1">
      <c r="A7725" s="156">
        <v>25843618</v>
      </c>
      <c r="B7725" s="172" t="s">
        <v>1823</v>
      </c>
      <c r="C7725" s="172" t="s">
        <v>4410</v>
      </c>
      <c r="D7725" s="194" t="s">
        <v>8257</v>
      </c>
      <c r="E7725" s="200">
        <v>40422</v>
      </c>
    </row>
    <row r="7726" spans="1:5" ht="14.25" hidden="1" customHeight="1">
      <c r="A7726" s="156">
        <v>25950071</v>
      </c>
      <c r="B7726" s="172" t="s">
        <v>476</v>
      </c>
      <c r="C7726" s="172" t="s">
        <v>6396</v>
      </c>
      <c r="D7726" s="194" t="s">
        <v>8257</v>
      </c>
      <c r="E7726" s="200">
        <v>40422</v>
      </c>
    </row>
    <row r="7727" spans="1:5" ht="14.25" hidden="1" customHeight="1">
      <c r="A7727" s="156">
        <v>26408498</v>
      </c>
      <c r="B7727" s="172" t="s">
        <v>207</v>
      </c>
      <c r="C7727" s="172" t="s">
        <v>2684</v>
      </c>
      <c r="D7727" s="194" t="s">
        <v>8257</v>
      </c>
      <c r="E7727" s="200">
        <v>40422</v>
      </c>
    </row>
    <row r="7728" spans="1:5" ht="14.25" hidden="1" customHeight="1">
      <c r="A7728" s="156">
        <v>26618665</v>
      </c>
      <c r="B7728" s="172" t="s">
        <v>3037</v>
      </c>
      <c r="C7728" s="172" t="s">
        <v>1103</v>
      </c>
      <c r="D7728" s="194" t="s">
        <v>8257</v>
      </c>
      <c r="E7728" s="200">
        <v>40422</v>
      </c>
    </row>
    <row r="7729" spans="1:5" ht="14.25" hidden="1" customHeight="1">
      <c r="A7729" s="156">
        <v>26743740</v>
      </c>
      <c r="B7729" s="172" t="s">
        <v>794</v>
      </c>
      <c r="C7729" s="172" t="s">
        <v>8481</v>
      </c>
      <c r="D7729" s="194" t="s">
        <v>8257</v>
      </c>
      <c r="E7729" s="200">
        <v>40422</v>
      </c>
    </row>
    <row r="7730" spans="1:5" ht="14.25" hidden="1" customHeight="1">
      <c r="A7730" s="156">
        <v>26834035</v>
      </c>
      <c r="B7730" s="172" t="s">
        <v>2248</v>
      </c>
      <c r="C7730" s="172" t="s">
        <v>2249</v>
      </c>
      <c r="D7730" s="194" t="s">
        <v>8257</v>
      </c>
      <c r="E7730" s="200">
        <v>40422</v>
      </c>
    </row>
    <row r="7731" spans="1:5" ht="14.25" hidden="1" customHeight="1">
      <c r="A7731" s="156">
        <v>27364281</v>
      </c>
      <c r="B7731" s="172" t="s">
        <v>3602</v>
      </c>
      <c r="C7731" s="172" t="s">
        <v>2069</v>
      </c>
      <c r="D7731" s="194" t="s">
        <v>8257</v>
      </c>
      <c r="E7731" s="200">
        <v>40422</v>
      </c>
    </row>
    <row r="7732" spans="1:5" ht="14.25" hidden="1" customHeight="1">
      <c r="A7732" s="156">
        <v>27364727</v>
      </c>
      <c r="B7732" s="172" t="s">
        <v>1833</v>
      </c>
      <c r="C7732" s="172" t="s">
        <v>1834</v>
      </c>
      <c r="D7732" s="194" t="s">
        <v>8257</v>
      </c>
      <c r="E7732" s="200">
        <v>40422</v>
      </c>
    </row>
    <row r="7733" spans="1:5" ht="14.25" hidden="1" customHeight="1">
      <c r="A7733" s="156">
        <v>27960534</v>
      </c>
      <c r="B7733" s="172" t="s">
        <v>342</v>
      </c>
      <c r="C7733" s="172" t="s">
        <v>345</v>
      </c>
      <c r="D7733" s="194" t="s">
        <v>8257</v>
      </c>
      <c r="E7733" s="200">
        <v>40422</v>
      </c>
    </row>
    <row r="7734" spans="1:5" ht="14.25" hidden="1" customHeight="1">
      <c r="A7734" s="156">
        <v>27961528</v>
      </c>
      <c r="B7734" s="172" t="s">
        <v>8478</v>
      </c>
      <c r="C7734" s="172" t="s">
        <v>527</v>
      </c>
      <c r="D7734" s="194" t="s">
        <v>8257</v>
      </c>
      <c r="E7734" s="200">
        <v>40422</v>
      </c>
    </row>
    <row r="7735" spans="1:5" ht="14.25" hidden="1" customHeight="1">
      <c r="A7735" s="156">
        <v>28221525</v>
      </c>
      <c r="B7735" s="172" t="s">
        <v>1248</v>
      </c>
      <c r="C7735" s="172" t="s">
        <v>1688</v>
      </c>
      <c r="D7735" s="194" t="s">
        <v>8257</v>
      </c>
      <c r="E7735" s="200">
        <v>40422</v>
      </c>
    </row>
    <row r="7736" spans="1:5" ht="14.25" hidden="1" customHeight="1">
      <c r="A7736" s="156">
        <v>28681110</v>
      </c>
      <c r="B7736" s="172" t="s">
        <v>218</v>
      </c>
      <c r="C7736" s="172" t="s">
        <v>4200</v>
      </c>
      <c r="D7736" s="194" t="s">
        <v>8257</v>
      </c>
      <c r="E7736" s="200">
        <v>40422</v>
      </c>
    </row>
    <row r="7737" spans="1:5" ht="14.25" hidden="1" customHeight="1">
      <c r="A7737" s="156">
        <v>29026236</v>
      </c>
      <c r="B7737" s="172" t="s">
        <v>1547</v>
      </c>
      <c r="C7737" s="172" t="s">
        <v>902</v>
      </c>
      <c r="D7737" s="194" t="s">
        <v>8257</v>
      </c>
      <c r="E7737" s="200">
        <v>40422</v>
      </c>
    </row>
    <row r="7738" spans="1:5" ht="14.25" hidden="1" customHeight="1">
      <c r="A7738" s="156">
        <v>29640419</v>
      </c>
      <c r="B7738" s="172" t="s">
        <v>6922</v>
      </c>
      <c r="C7738" s="172" t="s">
        <v>5118</v>
      </c>
      <c r="D7738" s="194" t="s">
        <v>8257</v>
      </c>
      <c r="E7738" s="200">
        <v>40422</v>
      </c>
    </row>
    <row r="7739" spans="1:5" ht="14.25" hidden="1" customHeight="1">
      <c r="A7739" s="156">
        <v>29743945</v>
      </c>
      <c r="B7739" s="172" t="s">
        <v>5843</v>
      </c>
      <c r="C7739" s="172" t="s">
        <v>8479</v>
      </c>
      <c r="D7739" s="194" t="s">
        <v>8257</v>
      </c>
      <c r="E7739" s="200">
        <v>40422</v>
      </c>
    </row>
    <row r="7740" spans="1:5" ht="14.25" hidden="1" customHeight="1">
      <c r="A7740" s="156">
        <v>31030239</v>
      </c>
      <c r="B7740" s="172" t="s">
        <v>1817</v>
      </c>
      <c r="C7740" s="172" t="s">
        <v>4790</v>
      </c>
      <c r="D7740" s="194" t="s">
        <v>8257</v>
      </c>
      <c r="E7740" s="200">
        <v>40422</v>
      </c>
    </row>
    <row r="7741" spans="1:5" ht="14.25" hidden="1" customHeight="1">
      <c r="A7741" s="156">
        <v>31430248</v>
      </c>
      <c r="B7741" s="172" t="s">
        <v>472</v>
      </c>
      <c r="C7741" s="172" t="s">
        <v>2266</v>
      </c>
      <c r="D7741" s="194" t="s">
        <v>8257</v>
      </c>
      <c r="E7741" s="200">
        <v>40422</v>
      </c>
    </row>
    <row r="7742" spans="1:5" ht="14.25" hidden="1" customHeight="1">
      <c r="A7742" s="156">
        <v>31842029</v>
      </c>
      <c r="B7742" s="172" t="s">
        <v>7118</v>
      </c>
      <c r="C7742" s="172" t="s">
        <v>7119</v>
      </c>
      <c r="D7742" s="194" t="s">
        <v>8257</v>
      </c>
      <c r="E7742" s="200">
        <v>40422</v>
      </c>
    </row>
    <row r="7743" spans="1:5" ht="14.25" hidden="1" customHeight="1">
      <c r="A7743" s="156">
        <v>32201492</v>
      </c>
      <c r="B7743" s="172" t="s">
        <v>1512</v>
      </c>
      <c r="C7743" s="172" t="s">
        <v>8477</v>
      </c>
      <c r="D7743" s="194" t="s">
        <v>8257</v>
      </c>
      <c r="E7743" s="200">
        <v>40422</v>
      </c>
    </row>
    <row r="7744" spans="1:5" ht="14.25" hidden="1" customHeight="1">
      <c r="A7744" s="156">
        <v>32501411</v>
      </c>
      <c r="B7744" s="172" t="s">
        <v>6296</v>
      </c>
      <c r="C7744" s="172" t="s">
        <v>584</v>
      </c>
      <c r="D7744" s="194" t="s">
        <v>8257</v>
      </c>
      <c r="E7744" s="200">
        <v>40422</v>
      </c>
    </row>
    <row r="7745" spans="1:5" ht="14.25" hidden="1" customHeight="1">
      <c r="A7745" s="156">
        <v>33050608</v>
      </c>
      <c r="B7745" s="172" t="s">
        <v>760</v>
      </c>
      <c r="C7745" s="172" t="s">
        <v>6430</v>
      </c>
      <c r="D7745" s="194" t="s">
        <v>8257</v>
      </c>
      <c r="E7745" s="200">
        <v>40422</v>
      </c>
    </row>
    <row r="7746" spans="1:5" ht="14.25" hidden="1" customHeight="1">
      <c r="A7746" s="156">
        <v>33050647</v>
      </c>
      <c r="B7746" s="172" t="s">
        <v>2579</v>
      </c>
      <c r="C7746" s="172" t="s">
        <v>223</v>
      </c>
      <c r="D7746" s="194" t="s">
        <v>8257</v>
      </c>
      <c r="E7746" s="200">
        <v>40422</v>
      </c>
    </row>
    <row r="7747" spans="1:5" ht="14.25" hidden="1" customHeight="1">
      <c r="A7747" s="156">
        <v>33391774</v>
      </c>
      <c r="B7747" s="172" t="s">
        <v>3965</v>
      </c>
      <c r="C7747" s="172" t="s">
        <v>1688</v>
      </c>
      <c r="D7747" s="194" t="s">
        <v>8257</v>
      </c>
      <c r="E7747" s="200">
        <v>40422</v>
      </c>
    </row>
    <row r="7748" spans="1:5" ht="14.25" hidden="1" customHeight="1">
      <c r="A7748" s="156">
        <v>34287573</v>
      </c>
      <c r="B7748" s="172" t="s">
        <v>218</v>
      </c>
      <c r="C7748" s="172" t="s">
        <v>6155</v>
      </c>
      <c r="D7748" s="194" t="s">
        <v>8257</v>
      </c>
      <c r="E7748" s="200">
        <v>40422</v>
      </c>
    </row>
    <row r="7749" spans="1:5" ht="14.25" hidden="1" customHeight="1">
      <c r="A7749" s="156">
        <v>61874068</v>
      </c>
      <c r="B7749" s="172" t="s">
        <v>2586</v>
      </c>
      <c r="C7749" s="172" t="s">
        <v>2591</v>
      </c>
      <c r="D7749" s="194" t="s">
        <v>8257</v>
      </c>
      <c r="E7749" s="200">
        <v>40422</v>
      </c>
    </row>
    <row r="7750" spans="1:5" ht="14.25" hidden="1" customHeight="1">
      <c r="A7750" s="156"/>
      <c r="B7750" s="172" t="s">
        <v>4769</v>
      </c>
      <c r="C7750" s="172" t="s">
        <v>1736</v>
      </c>
      <c r="D7750" s="194" t="s">
        <v>8257</v>
      </c>
      <c r="E7750" s="200">
        <v>40422</v>
      </c>
    </row>
    <row r="7751" spans="1:5" ht="14.25" hidden="1" customHeight="1">
      <c r="A7751" s="156"/>
      <c r="B7751" s="172" t="s">
        <v>4603</v>
      </c>
      <c r="C7751" s="172" t="s">
        <v>708</v>
      </c>
      <c r="D7751" s="194" t="s">
        <v>8257</v>
      </c>
      <c r="E7751" s="200">
        <v>40422</v>
      </c>
    </row>
    <row r="7752" spans="1:5" ht="14.25" hidden="1" customHeight="1">
      <c r="A7752" s="156">
        <v>11915728</v>
      </c>
      <c r="B7752" s="172" t="s">
        <v>218</v>
      </c>
      <c r="C7752" s="172" t="s">
        <v>219</v>
      </c>
      <c r="D7752" s="194" t="s">
        <v>7018</v>
      </c>
      <c r="E7752" s="200">
        <v>40412</v>
      </c>
    </row>
    <row r="7753" spans="1:5" ht="14.25" hidden="1" customHeight="1">
      <c r="A7753" s="156">
        <v>13848739</v>
      </c>
      <c r="B7753" s="172" t="s">
        <v>3357</v>
      </c>
      <c r="C7753" s="172" t="s">
        <v>8040</v>
      </c>
      <c r="D7753" s="194" t="s">
        <v>7018</v>
      </c>
      <c r="E7753" s="200">
        <v>40412</v>
      </c>
    </row>
    <row r="7754" spans="1:5" ht="14.25" hidden="1" customHeight="1">
      <c r="A7754" s="156">
        <v>14226009</v>
      </c>
      <c r="B7754" s="172" t="s">
        <v>1038</v>
      </c>
      <c r="C7754" s="172" t="s">
        <v>165</v>
      </c>
      <c r="D7754" s="194" t="s">
        <v>7018</v>
      </c>
      <c r="E7754" s="200">
        <v>40412</v>
      </c>
    </row>
    <row r="7755" spans="1:5" ht="14.25" hidden="1" customHeight="1">
      <c r="A7755" s="156">
        <v>16314939</v>
      </c>
      <c r="B7755" s="172" t="s">
        <v>1102</v>
      </c>
      <c r="C7755" s="172" t="s">
        <v>8491</v>
      </c>
      <c r="D7755" s="194" t="s">
        <v>7018</v>
      </c>
      <c r="E7755" s="200">
        <v>40412</v>
      </c>
    </row>
    <row r="7756" spans="1:5" ht="14.25" hidden="1" customHeight="1">
      <c r="A7756" s="156">
        <v>23931356</v>
      </c>
      <c r="B7756" s="172" t="s">
        <v>8487</v>
      </c>
      <c r="C7756" s="172" t="s">
        <v>8488</v>
      </c>
      <c r="D7756" s="194" t="s">
        <v>7018</v>
      </c>
      <c r="E7756" s="200">
        <v>40412</v>
      </c>
    </row>
    <row r="7757" spans="1:5" ht="14.25" hidden="1" customHeight="1">
      <c r="A7757" s="156">
        <v>26408498</v>
      </c>
      <c r="B7757" s="172" t="s">
        <v>207</v>
      </c>
      <c r="C7757" s="172" t="s">
        <v>4548</v>
      </c>
      <c r="D7757" s="194" t="s">
        <v>7018</v>
      </c>
      <c r="E7757" s="200">
        <v>40412</v>
      </c>
    </row>
    <row r="7758" spans="1:5" ht="14.25" hidden="1" customHeight="1">
      <c r="A7758" s="156">
        <v>26914408</v>
      </c>
      <c r="B7758" s="172" t="s">
        <v>184</v>
      </c>
      <c r="C7758" s="172" t="s">
        <v>455</v>
      </c>
      <c r="D7758" s="194" t="s">
        <v>7018</v>
      </c>
      <c r="E7758" s="200">
        <v>40412</v>
      </c>
    </row>
    <row r="7759" spans="1:5" ht="14.25" hidden="1" customHeight="1">
      <c r="A7759" s="156">
        <v>27400661</v>
      </c>
      <c r="B7759" s="172" t="s">
        <v>1102</v>
      </c>
      <c r="C7759" s="172" t="s">
        <v>1302</v>
      </c>
      <c r="D7759" s="194" t="s">
        <v>7018</v>
      </c>
      <c r="E7759" s="200">
        <v>40412</v>
      </c>
    </row>
    <row r="7760" spans="1:5" ht="14.25" hidden="1" customHeight="1">
      <c r="A7760" s="156">
        <v>29878019</v>
      </c>
      <c r="B7760" s="172" t="s">
        <v>8489</v>
      </c>
      <c r="C7760" s="172" t="s">
        <v>8490</v>
      </c>
      <c r="D7760" s="194" t="s">
        <v>7018</v>
      </c>
      <c r="E7760" s="200">
        <v>40412</v>
      </c>
    </row>
    <row r="7761" spans="1:5" ht="14.25" hidden="1" customHeight="1">
      <c r="A7761" s="156">
        <v>31254271</v>
      </c>
      <c r="B7761" s="172" t="s">
        <v>6074</v>
      </c>
      <c r="C7761" s="172" t="s">
        <v>2924</v>
      </c>
      <c r="D7761" s="194" t="s">
        <v>7018</v>
      </c>
      <c r="E7761" s="200">
        <v>40412</v>
      </c>
    </row>
    <row r="7762" spans="1:5" ht="14.25" hidden="1" customHeight="1">
      <c r="A7762" s="156">
        <v>34287573</v>
      </c>
      <c r="B7762" s="172" t="s">
        <v>8432</v>
      </c>
      <c r="C7762" s="172" t="s">
        <v>6155</v>
      </c>
      <c r="D7762" s="194" t="s">
        <v>7018</v>
      </c>
      <c r="E7762" s="200">
        <v>40412</v>
      </c>
    </row>
    <row r="7763" spans="1:5" ht="14.25" hidden="1" customHeight="1">
      <c r="A7763" s="156"/>
      <c r="B7763" s="172" t="s">
        <v>256</v>
      </c>
      <c r="C7763" s="172" t="s">
        <v>1523</v>
      </c>
      <c r="D7763" s="194" t="s">
        <v>7018</v>
      </c>
      <c r="E7763" s="200">
        <v>40412</v>
      </c>
    </row>
    <row r="7764" spans="1:5" ht="14.25" hidden="1" customHeight="1">
      <c r="A7764" s="156">
        <v>10645299</v>
      </c>
      <c r="B7764" s="172" t="s">
        <v>2077</v>
      </c>
      <c r="C7764" s="172" t="s">
        <v>8247</v>
      </c>
      <c r="D7764" s="194" t="s">
        <v>7309</v>
      </c>
      <c r="E7764" s="200">
        <v>40395</v>
      </c>
    </row>
    <row r="7765" spans="1:5" ht="14.25" hidden="1" customHeight="1">
      <c r="A7765" s="156">
        <v>10748414</v>
      </c>
      <c r="B7765" s="172" t="s">
        <v>1549</v>
      </c>
      <c r="C7765" s="172" t="s">
        <v>3003</v>
      </c>
      <c r="D7765" s="194" t="s">
        <v>7309</v>
      </c>
      <c r="E7765" s="200">
        <v>40395</v>
      </c>
    </row>
    <row r="7766" spans="1:5" ht="14.25" hidden="1" customHeight="1">
      <c r="A7766" s="156">
        <v>12540739</v>
      </c>
      <c r="B7766" s="172" t="s">
        <v>4759</v>
      </c>
      <c r="C7766" s="172" t="s">
        <v>8494</v>
      </c>
      <c r="D7766" s="194" t="s">
        <v>7309</v>
      </c>
      <c r="E7766" s="200">
        <v>40395</v>
      </c>
    </row>
    <row r="7767" spans="1:5" ht="14.25" hidden="1" customHeight="1">
      <c r="A7767" s="156">
        <v>18266992</v>
      </c>
      <c r="B7767" s="172" t="s">
        <v>5381</v>
      </c>
      <c r="C7767" s="172" t="s">
        <v>6208</v>
      </c>
      <c r="D7767" s="194" t="s">
        <v>7309</v>
      </c>
      <c r="E7767" s="200">
        <v>40395</v>
      </c>
    </row>
    <row r="7768" spans="1:5" ht="14.25" hidden="1" customHeight="1">
      <c r="A7768" s="156">
        <v>18591917</v>
      </c>
      <c r="B7768" s="172" t="s">
        <v>1155</v>
      </c>
      <c r="C7768" s="172" t="s">
        <v>1420</v>
      </c>
      <c r="D7768" s="194" t="s">
        <v>7309</v>
      </c>
      <c r="E7768" s="200">
        <v>40395</v>
      </c>
    </row>
    <row r="7769" spans="1:5" ht="14.25" hidden="1" customHeight="1">
      <c r="A7769" s="156">
        <v>20662321</v>
      </c>
      <c r="B7769" s="172" t="s">
        <v>8492</v>
      </c>
      <c r="C7769" s="172" t="s">
        <v>8493</v>
      </c>
      <c r="D7769" s="194" t="s">
        <v>7309</v>
      </c>
      <c r="E7769" s="200">
        <v>40395</v>
      </c>
    </row>
    <row r="7770" spans="1:5" ht="14.25" hidden="1" customHeight="1">
      <c r="A7770" s="156">
        <v>23984466</v>
      </c>
      <c r="B7770" s="172" t="s">
        <v>5611</v>
      </c>
      <c r="C7770" s="172" t="s">
        <v>215</v>
      </c>
      <c r="D7770" s="194" t="s">
        <v>7309</v>
      </c>
      <c r="E7770" s="200">
        <v>40395</v>
      </c>
    </row>
    <row r="7771" spans="1:5" ht="14.25" hidden="1" customHeight="1">
      <c r="A7771" s="156">
        <v>25026913</v>
      </c>
      <c r="B7771" s="172" t="s">
        <v>5034</v>
      </c>
      <c r="C7771" s="172" t="s">
        <v>2376</v>
      </c>
      <c r="D7771" s="194" t="s">
        <v>7309</v>
      </c>
      <c r="E7771" s="200">
        <v>40395</v>
      </c>
    </row>
    <row r="7772" spans="1:5" ht="14.25" hidden="1" customHeight="1">
      <c r="A7772" s="156">
        <v>26684469</v>
      </c>
      <c r="B7772" s="172" t="s">
        <v>4772</v>
      </c>
      <c r="C7772" s="172" t="s">
        <v>1736</v>
      </c>
      <c r="D7772" s="194" t="s">
        <v>7309</v>
      </c>
      <c r="E7772" s="200">
        <v>40395</v>
      </c>
    </row>
    <row r="7773" spans="1:5" ht="14.25" hidden="1" customHeight="1">
      <c r="A7773" s="156">
        <v>27364743</v>
      </c>
      <c r="B7773" s="172" t="s">
        <v>304</v>
      </c>
      <c r="C7773" s="172" t="s">
        <v>1143</v>
      </c>
      <c r="D7773" s="194" t="s">
        <v>7309</v>
      </c>
      <c r="E7773" s="200">
        <v>40395</v>
      </c>
    </row>
    <row r="7774" spans="1:5" ht="14.25" hidden="1" customHeight="1">
      <c r="A7774" s="156">
        <v>31425208</v>
      </c>
      <c r="B7774" s="172" t="s">
        <v>2785</v>
      </c>
      <c r="C7774" s="172" t="s">
        <v>7375</v>
      </c>
      <c r="D7774" s="194" t="s">
        <v>7309</v>
      </c>
      <c r="E7774" s="200">
        <v>40395</v>
      </c>
    </row>
    <row r="7775" spans="1:5" ht="14.25" hidden="1" customHeight="1">
      <c r="A7775" s="156">
        <v>31588755</v>
      </c>
      <c r="B7775" s="172" t="s">
        <v>1547</v>
      </c>
      <c r="C7775" s="172" t="s">
        <v>6266</v>
      </c>
      <c r="D7775" s="194" t="s">
        <v>7309</v>
      </c>
      <c r="E7775" s="200">
        <v>40395</v>
      </c>
    </row>
    <row r="7776" spans="1:5" ht="14.25" hidden="1" customHeight="1">
      <c r="A7776" s="156">
        <v>10402357</v>
      </c>
      <c r="B7776" s="172" t="s">
        <v>8496</v>
      </c>
      <c r="C7776" s="172" t="s">
        <v>8497</v>
      </c>
      <c r="D7776" s="194" t="s">
        <v>7018</v>
      </c>
      <c r="E7776" s="200">
        <v>40341</v>
      </c>
    </row>
    <row r="7777" spans="1:5" ht="14.25" hidden="1" customHeight="1">
      <c r="A7777" s="156">
        <v>13627472</v>
      </c>
      <c r="B7777" s="172" t="s">
        <v>948</v>
      </c>
      <c r="C7777" s="172" t="s">
        <v>5993</v>
      </c>
      <c r="D7777" s="194" t="s">
        <v>7018</v>
      </c>
      <c r="E7777" s="200">
        <v>40341</v>
      </c>
    </row>
    <row r="7778" spans="1:5" ht="14.25" hidden="1" customHeight="1">
      <c r="A7778" s="156">
        <v>18114974</v>
      </c>
      <c r="B7778" s="172" t="s">
        <v>1011</v>
      </c>
      <c r="C7778" s="172" t="s">
        <v>8420</v>
      </c>
      <c r="D7778" s="194" t="s">
        <v>7018</v>
      </c>
      <c r="E7778" s="200">
        <v>40341</v>
      </c>
    </row>
    <row r="7779" spans="1:5" ht="14.25" hidden="1" customHeight="1">
      <c r="A7779" s="156">
        <v>20496904</v>
      </c>
      <c r="B7779" s="172" t="s">
        <v>164</v>
      </c>
      <c r="C7779" s="172" t="s">
        <v>8500</v>
      </c>
      <c r="D7779" s="194" t="s">
        <v>7018</v>
      </c>
      <c r="E7779" s="200">
        <v>40341</v>
      </c>
    </row>
    <row r="7780" spans="1:5" ht="14.25" hidden="1" customHeight="1">
      <c r="A7780" s="156">
        <v>23116558</v>
      </c>
      <c r="B7780" s="172" t="s">
        <v>8498</v>
      </c>
      <c r="C7780" s="172" t="s">
        <v>1501</v>
      </c>
      <c r="D7780" s="194" t="s">
        <v>7018</v>
      </c>
      <c r="E7780" s="200">
        <v>40341</v>
      </c>
    </row>
    <row r="7781" spans="1:5" ht="14.25" hidden="1" customHeight="1">
      <c r="A7781" s="156">
        <v>24864426</v>
      </c>
      <c r="B7781" s="172" t="s">
        <v>1504</v>
      </c>
      <c r="C7781" s="172" t="s">
        <v>1505</v>
      </c>
      <c r="D7781" s="194" t="s">
        <v>7018</v>
      </c>
      <c r="E7781" s="200">
        <v>40341</v>
      </c>
    </row>
    <row r="7782" spans="1:5" ht="14.25" hidden="1" customHeight="1">
      <c r="A7782" s="156">
        <v>25076465</v>
      </c>
      <c r="B7782" s="172" t="s">
        <v>4289</v>
      </c>
      <c r="C7782" s="172" t="s">
        <v>8499</v>
      </c>
      <c r="D7782" s="194" t="s">
        <v>7018</v>
      </c>
      <c r="E7782" s="200">
        <v>40341</v>
      </c>
    </row>
    <row r="7783" spans="1:5" ht="14.25" hidden="1" customHeight="1">
      <c r="A7783" s="156">
        <v>27961455</v>
      </c>
      <c r="B7783" s="172" t="s">
        <v>1665</v>
      </c>
      <c r="C7783" s="172" t="s">
        <v>941</v>
      </c>
      <c r="D7783" s="194" t="s">
        <v>7018</v>
      </c>
      <c r="E7783" s="200">
        <v>40341</v>
      </c>
    </row>
    <row r="7784" spans="1:5" ht="14.25" hidden="1" customHeight="1">
      <c r="A7784" s="156">
        <v>32115802</v>
      </c>
      <c r="B7784" s="172" t="s">
        <v>2718</v>
      </c>
      <c r="C7784" s="172" t="s">
        <v>8495</v>
      </c>
      <c r="D7784" s="194" t="s">
        <v>7018</v>
      </c>
      <c r="E7784" s="200">
        <v>40341</v>
      </c>
    </row>
    <row r="7785" spans="1:5" ht="14.25" hidden="1" customHeight="1">
      <c r="A7785" s="156">
        <v>32201492</v>
      </c>
      <c r="B7785" s="172" t="s">
        <v>1512</v>
      </c>
      <c r="C7785" s="172" t="s">
        <v>1513</v>
      </c>
      <c r="D7785" s="194" t="s">
        <v>7018</v>
      </c>
      <c r="E7785" s="200">
        <v>40341</v>
      </c>
    </row>
    <row r="7786" spans="1:5" ht="14.25" hidden="1" customHeight="1">
      <c r="A7786" s="156">
        <v>12475984</v>
      </c>
      <c r="B7786" s="172" t="s">
        <v>3041</v>
      </c>
      <c r="C7786" s="172" t="s">
        <v>783</v>
      </c>
      <c r="D7786" s="194" t="s">
        <v>7018</v>
      </c>
      <c r="E7786" s="200">
        <v>40320</v>
      </c>
    </row>
    <row r="7787" spans="1:5" ht="14.25" hidden="1" customHeight="1">
      <c r="A7787" s="156">
        <v>12475984</v>
      </c>
      <c r="B7787" s="172" t="s">
        <v>3041</v>
      </c>
      <c r="C7787" s="172" t="s">
        <v>783</v>
      </c>
      <c r="D7787" s="194" t="s">
        <v>7018</v>
      </c>
      <c r="E7787" s="200">
        <v>40320</v>
      </c>
    </row>
    <row r="7788" spans="1:5" ht="14.25" hidden="1" customHeight="1">
      <c r="A7788" s="156">
        <v>13203992</v>
      </c>
      <c r="B7788" s="172" t="s">
        <v>2576</v>
      </c>
      <c r="C7788" s="172" t="s">
        <v>4631</v>
      </c>
      <c r="D7788" s="194" t="s">
        <v>7018</v>
      </c>
      <c r="E7788" s="200">
        <v>40320</v>
      </c>
    </row>
    <row r="7789" spans="1:5" ht="14.25" hidden="1" customHeight="1">
      <c r="A7789" s="156">
        <v>13278971</v>
      </c>
      <c r="B7789" s="172" t="s">
        <v>8505</v>
      </c>
      <c r="C7789" s="172" t="s">
        <v>1626</v>
      </c>
      <c r="D7789" s="194" t="s">
        <v>7018</v>
      </c>
      <c r="E7789" s="200">
        <v>40320</v>
      </c>
    </row>
    <row r="7790" spans="1:5" ht="14.25" hidden="1" customHeight="1">
      <c r="A7790" s="156">
        <v>16541537</v>
      </c>
      <c r="B7790" s="172" t="s">
        <v>4643</v>
      </c>
      <c r="C7790" s="172" t="s">
        <v>8473</v>
      </c>
      <c r="D7790" s="194" t="s">
        <v>7018</v>
      </c>
      <c r="E7790" s="200">
        <v>40320</v>
      </c>
    </row>
    <row r="7791" spans="1:5" ht="14.25" hidden="1" customHeight="1">
      <c r="A7791" s="156">
        <v>16558597</v>
      </c>
      <c r="B7791" s="172" t="s">
        <v>2576</v>
      </c>
      <c r="C7791" s="172" t="s">
        <v>1974</v>
      </c>
      <c r="D7791" s="194" t="s">
        <v>7018</v>
      </c>
      <c r="E7791" s="200">
        <v>40320</v>
      </c>
    </row>
    <row r="7792" spans="1:5" ht="14.25" hidden="1" customHeight="1">
      <c r="A7792" s="156">
        <v>16617513</v>
      </c>
      <c r="B7792" s="172" t="s">
        <v>1236</v>
      </c>
      <c r="C7792" s="172" t="s">
        <v>1237</v>
      </c>
      <c r="D7792" s="194" t="s">
        <v>7018</v>
      </c>
      <c r="E7792" s="200">
        <v>40320</v>
      </c>
    </row>
    <row r="7793" spans="1:5" ht="14.25" hidden="1" customHeight="1">
      <c r="A7793" s="156">
        <v>17858381</v>
      </c>
      <c r="B7793" s="172" t="s">
        <v>8471</v>
      </c>
      <c r="C7793" s="172" t="s">
        <v>5390</v>
      </c>
      <c r="D7793" s="194" t="s">
        <v>7018</v>
      </c>
      <c r="E7793" s="200">
        <v>40320</v>
      </c>
    </row>
    <row r="7794" spans="1:5" ht="14.25" hidden="1" customHeight="1">
      <c r="A7794" s="156">
        <v>22263937</v>
      </c>
      <c r="B7794" s="172" t="s">
        <v>419</v>
      </c>
      <c r="C7794" s="172" t="s">
        <v>1061</v>
      </c>
      <c r="D7794" s="194" t="s">
        <v>7018</v>
      </c>
      <c r="E7794" s="200">
        <v>40320</v>
      </c>
    </row>
    <row r="7795" spans="1:5" ht="14.25" hidden="1" customHeight="1">
      <c r="A7795" s="156">
        <v>22263937</v>
      </c>
      <c r="B7795" s="172" t="s">
        <v>419</v>
      </c>
      <c r="C7795" s="172" t="s">
        <v>1061</v>
      </c>
      <c r="D7795" s="194" t="s">
        <v>7018</v>
      </c>
      <c r="E7795" s="200">
        <v>40320</v>
      </c>
    </row>
    <row r="7796" spans="1:5" ht="14.25" hidden="1" customHeight="1">
      <c r="A7796" s="156">
        <v>25498735</v>
      </c>
      <c r="B7796" s="172" t="s">
        <v>4067</v>
      </c>
      <c r="C7796" s="172" t="s">
        <v>6493</v>
      </c>
      <c r="D7796" s="194" t="s">
        <v>7018</v>
      </c>
      <c r="E7796" s="200">
        <v>40320</v>
      </c>
    </row>
    <row r="7797" spans="1:5" ht="14.25" hidden="1" customHeight="1">
      <c r="A7797" s="156">
        <v>25542771</v>
      </c>
      <c r="B7797" s="172" t="s">
        <v>5804</v>
      </c>
      <c r="C7797" s="172" t="s">
        <v>5805</v>
      </c>
      <c r="D7797" s="194" t="s">
        <v>7018</v>
      </c>
      <c r="E7797" s="200">
        <v>40320</v>
      </c>
    </row>
    <row r="7798" spans="1:5" ht="14.25" hidden="1" customHeight="1">
      <c r="A7798" s="156">
        <v>27364727</v>
      </c>
      <c r="B7798" s="172" t="s">
        <v>8503</v>
      </c>
      <c r="C7798" s="172" t="s">
        <v>8504</v>
      </c>
      <c r="D7798" s="194" t="s">
        <v>7018</v>
      </c>
      <c r="E7798" s="200">
        <v>40320</v>
      </c>
    </row>
    <row r="7799" spans="1:5" ht="14.25" hidden="1" customHeight="1">
      <c r="A7799" s="156">
        <v>28681864</v>
      </c>
      <c r="B7799" s="172" t="s">
        <v>2642</v>
      </c>
      <c r="C7799" s="172" t="s">
        <v>2643</v>
      </c>
      <c r="D7799" s="194" t="s">
        <v>7018</v>
      </c>
      <c r="E7799" s="200">
        <v>40320</v>
      </c>
    </row>
    <row r="7800" spans="1:5" ht="14.25" hidden="1" customHeight="1">
      <c r="A7800" s="156">
        <v>32115934</v>
      </c>
      <c r="B7800" s="172" t="s">
        <v>8501</v>
      </c>
      <c r="C7800" s="172" t="s">
        <v>8502</v>
      </c>
      <c r="D7800" s="194" t="s">
        <v>7018</v>
      </c>
      <c r="E7800" s="200">
        <v>40320</v>
      </c>
    </row>
    <row r="7801" spans="1:5" ht="14.25" hidden="1" customHeight="1">
      <c r="A7801" s="156">
        <v>32200378</v>
      </c>
      <c r="B7801" s="172" t="s">
        <v>2248</v>
      </c>
      <c r="C7801" s="172" t="s">
        <v>3106</v>
      </c>
      <c r="D7801" s="194" t="s">
        <v>7018</v>
      </c>
      <c r="E7801" s="200">
        <v>40320</v>
      </c>
    </row>
    <row r="7802" spans="1:5" ht="14.25" hidden="1" customHeight="1">
      <c r="A7802" s="156"/>
      <c r="B7802" s="172" t="s">
        <v>8404</v>
      </c>
      <c r="C7802" s="172" t="s">
        <v>1068</v>
      </c>
      <c r="D7802" s="194" t="s">
        <v>7018</v>
      </c>
      <c r="E7802" s="200">
        <v>40320</v>
      </c>
    </row>
    <row r="7803" spans="1:5" ht="14.25" hidden="1" customHeight="1">
      <c r="A7803" s="156">
        <v>476737</v>
      </c>
      <c r="B7803" s="172" t="s">
        <v>2231</v>
      </c>
      <c r="C7803" s="172" t="s">
        <v>959</v>
      </c>
      <c r="D7803" s="194" t="s">
        <v>8418</v>
      </c>
      <c r="E7803" s="200">
        <v>40303</v>
      </c>
    </row>
    <row r="7804" spans="1:5" ht="14.25" hidden="1" customHeight="1">
      <c r="A7804" s="156">
        <v>1070804</v>
      </c>
      <c r="B7804" s="172" t="s">
        <v>1283</v>
      </c>
      <c r="C7804" s="172" t="s">
        <v>27</v>
      </c>
      <c r="D7804" s="194" t="s">
        <v>8418</v>
      </c>
      <c r="E7804" s="200">
        <v>40303</v>
      </c>
    </row>
    <row r="7805" spans="1:5" ht="14.25" hidden="1" customHeight="1">
      <c r="A7805" s="156">
        <v>5727588</v>
      </c>
      <c r="B7805" s="172" t="s">
        <v>2259</v>
      </c>
      <c r="C7805" s="172" t="s">
        <v>2260</v>
      </c>
      <c r="D7805" s="194" t="s">
        <v>8418</v>
      </c>
      <c r="E7805" s="200">
        <v>40303</v>
      </c>
    </row>
    <row r="7806" spans="1:5" ht="14.25" hidden="1" customHeight="1">
      <c r="A7806" s="156">
        <v>5779059</v>
      </c>
      <c r="B7806" s="172" t="s">
        <v>1823</v>
      </c>
      <c r="C7806" s="172" t="s">
        <v>6373</v>
      </c>
      <c r="D7806" s="194" t="s">
        <v>8418</v>
      </c>
      <c r="E7806" s="200">
        <v>40303</v>
      </c>
    </row>
    <row r="7807" spans="1:5" ht="14.25" hidden="1" customHeight="1">
      <c r="A7807" s="156">
        <v>6039413</v>
      </c>
      <c r="B7807" s="172" t="s">
        <v>6179</v>
      </c>
      <c r="C7807" s="172" t="s">
        <v>6180</v>
      </c>
      <c r="D7807" s="194" t="s">
        <v>8418</v>
      </c>
      <c r="E7807" s="200">
        <v>40303</v>
      </c>
    </row>
    <row r="7808" spans="1:5" ht="14.25" hidden="1" customHeight="1">
      <c r="A7808" s="156">
        <v>6298688</v>
      </c>
      <c r="B7808" s="172" t="s">
        <v>2138</v>
      </c>
      <c r="C7808" s="172" t="s">
        <v>2139</v>
      </c>
      <c r="D7808" s="194" t="s">
        <v>8418</v>
      </c>
      <c r="E7808" s="200">
        <v>40303</v>
      </c>
    </row>
    <row r="7809" spans="1:5" ht="14.25" hidden="1" customHeight="1">
      <c r="A7809" s="156">
        <v>7072606</v>
      </c>
      <c r="B7809" s="172" t="s">
        <v>240</v>
      </c>
      <c r="C7809" s="172" t="s">
        <v>2062</v>
      </c>
      <c r="D7809" s="194" t="s">
        <v>8418</v>
      </c>
      <c r="E7809" s="200">
        <v>40303</v>
      </c>
    </row>
    <row r="7810" spans="1:5" ht="14.25" hidden="1" customHeight="1">
      <c r="A7810" s="156">
        <v>8093179</v>
      </c>
      <c r="B7810" s="172" t="s">
        <v>26</v>
      </c>
      <c r="C7810" s="172" t="s">
        <v>27</v>
      </c>
      <c r="D7810" s="194" t="s">
        <v>8418</v>
      </c>
      <c r="E7810" s="200">
        <v>40303</v>
      </c>
    </row>
    <row r="7811" spans="1:5" ht="14.25" hidden="1" customHeight="1">
      <c r="A7811" s="156">
        <v>8395767</v>
      </c>
      <c r="B7811" s="172" t="s">
        <v>146</v>
      </c>
      <c r="C7811" s="172" t="s">
        <v>1704</v>
      </c>
      <c r="D7811" s="194" t="s">
        <v>8418</v>
      </c>
      <c r="E7811" s="200">
        <v>40303</v>
      </c>
    </row>
    <row r="7812" spans="1:5" ht="14.25" hidden="1" customHeight="1">
      <c r="A7812" s="156">
        <v>10012417</v>
      </c>
      <c r="B7812" s="172" t="s">
        <v>1126</v>
      </c>
      <c r="C7812" s="172" t="s">
        <v>1127</v>
      </c>
      <c r="D7812" s="194" t="s">
        <v>8418</v>
      </c>
      <c r="E7812" s="200">
        <v>40303</v>
      </c>
    </row>
    <row r="7813" spans="1:5" ht="14.25" hidden="1" customHeight="1">
      <c r="A7813" s="156">
        <v>10429165</v>
      </c>
      <c r="B7813" s="172" t="s">
        <v>811</v>
      </c>
      <c r="C7813" s="172" t="s">
        <v>465</v>
      </c>
      <c r="D7813" s="194" t="s">
        <v>8418</v>
      </c>
      <c r="E7813" s="200">
        <v>40303</v>
      </c>
    </row>
    <row r="7814" spans="1:5" ht="14.25" hidden="1" customHeight="1">
      <c r="A7814" s="156">
        <v>10582171</v>
      </c>
      <c r="B7814" s="172" t="s">
        <v>44</v>
      </c>
      <c r="C7814" s="172" t="s">
        <v>7691</v>
      </c>
      <c r="D7814" s="194" t="s">
        <v>8418</v>
      </c>
      <c r="E7814" s="200">
        <v>40303</v>
      </c>
    </row>
    <row r="7815" spans="1:5" ht="14.25" hidden="1" customHeight="1">
      <c r="A7815" s="156">
        <v>11084917</v>
      </c>
      <c r="B7815" s="172" t="s">
        <v>6315</v>
      </c>
      <c r="C7815" s="172" t="s">
        <v>6316</v>
      </c>
      <c r="D7815" s="194" t="s">
        <v>8418</v>
      </c>
      <c r="E7815" s="200">
        <v>40303</v>
      </c>
    </row>
    <row r="7816" spans="1:5" ht="14.25" hidden="1" customHeight="1">
      <c r="A7816" s="156">
        <v>11238117</v>
      </c>
      <c r="B7816" s="172" t="s">
        <v>428</v>
      </c>
      <c r="C7816" s="172" t="s">
        <v>962</v>
      </c>
      <c r="D7816" s="194" t="s">
        <v>8418</v>
      </c>
      <c r="E7816" s="200">
        <v>40303</v>
      </c>
    </row>
    <row r="7817" spans="1:5" ht="14.25" hidden="1" customHeight="1">
      <c r="A7817" s="156">
        <v>11475297</v>
      </c>
      <c r="B7817" s="172" t="s">
        <v>3425</v>
      </c>
      <c r="C7817" s="172" t="s">
        <v>8506</v>
      </c>
      <c r="D7817" s="194" t="s">
        <v>8418</v>
      </c>
      <c r="E7817" s="200">
        <v>40303</v>
      </c>
    </row>
    <row r="7818" spans="1:5" ht="14.25" hidden="1" customHeight="1">
      <c r="A7818" s="156">
        <v>12336328</v>
      </c>
      <c r="B7818" s="172" t="s">
        <v>1032</v>
      </c>
      <c r="C7818" s="172" t="s">
        <v>6070</v>
      </c>
      <c r="D7818" s="194" t="s">
        <v>8418</v>
      </c>
      <c r="E7818" s="200">
        <v>40303</v>
      </c>
    </row>
    <row r="7819" spans="1:5" ht="14.25" hidden="1" customHeight="1">
      <c r="A7819" s="156">
        <v>12674864</v>
      </c>
      <c r="B7819" s="172" t="s">
        <v>811</v>
      </c>
      <c r="C7819" s="172" t="s">
        <v>8509</v>
      </c>
      <c r="D7819" s="194" t="s">
        <v>8418</v>
      </c>
      <c r="E7819" s="200">
        <v>40303</v>
      </c>
    </row>
    <row r="7820" spans="1:5" ht="14.25" hidden="1" customHeight="1">
      <c r="A7820" s="156">
        <v>13338251</v>
      </c>
      <c r="B7820" s="172" t="s">
        <v>252</v>
      </c>
      <c r="C7820" s="172" t="s">
        <v>3850</v>
      </c>
      <c r="D7820" s="194" t="s">
        <v>8418</v>
      </c>
      <c r="E7820" s="200">
        <v>40303</v>
      </c>
    </row>
    <row r="7821" spans="1:5" ht="14.25" hidden="1" customHeight="1">
      <c r="A7821" s="156">
        <v>13422251</v>
      </c>
      <c r="B7821" s="172" t="s">
        <v>861</v>
      </c>
      <c r="C7821" s="172" t="s">
        <v>862</v>
      </c>
      <c r="D7821" s="194" t="s">
        <v>8418</v>
      </c>
      <c r="E7821" s="200">
        <v>40303</v>
      </c>
    </row>
    <row r="7822" spans="1:5" ht="14.25" hidden="1" customHeight="1">
      <c r="A7822" s="156">
        <v>13877224</v>
      </c>
      <c r="B7822" s="172" t="s">
        <v>3204</v>
      </c>
      <c r="C7822" s="172" t="s">
        <v>3205</v>
      </c>
      <c r="D7822" s="194" t="s">
        <v>8418</v>
      </c>
      <c r="E7822" s="200">
        <v>40303</v>
      </c>
    </row>
    <row r="7823" spans="1:5" ht="14.25" hidden="1" customHeight="1">
      <c r="A7823" s="156">
        <v>14083332</v>
      </c>
      <c r="B7823" s="172" t="s">
        <v>6457</v>
      </c>
      <c r="C7823" s="172" t="s">
        <v>6458</v>
      </c>
      <c r="D7823" s="194" t="s">
        <v>8418</v>
      </c>
      <c r="E7823" s="200">
        <v>40303</v>
      </c>
    </row>
    <row r="7824" spans="1:5" ht="14.25" hidden="1" customHeight="1">
      <c r="A7824" s="156">
        <v>16314939</v>
      </c>
      <c r="B7824" s="172" t="s">
        <v>1102</v>
      </c>
      <c r="C7824" s="172" t="s">
        <v>8491</v>
      </c>
      <c r="D7824" s="194" t="s">
        <v>8418</v>
      </c>
      <c r="E7824" s="200">
        <v>40303</v>
      </c>
    </row>
    <row r="7825" spans="1:5" ht="14.25" hidden="1" customHeight="1">
      <c r="A7825" s="156">
        <v>16932642</v>
      </c>
      <c r="B7825" s="172" t="s">
        <v>4344</v>
      </c>
      <c r="C7825" s="172" t="s">
        <v>473</v>
      </c>
      <c r="D7825" s="194" t="s">
        <v>8418</v>
      </c>
      <c r="E7825" s="200">
        <v>40303</v>
      </c>
    </row>
    <row r="7826" spans="1:5" ht="14.25" hidden="1" customHeight="1">
      <c r="A7826" s="156">
        <v>17041043</v>
      </c>
      <c r="B7826" s="172" t="s">
        <v>574</v>
      </c>
      <c r="C7826" s="172" t="s">
        <v>1353</v>
      </c>
      <c r="D7826" s="194" t="s">
        <v>8418</v>
      </c>
      <c r="E7826" s="200">
        <v>40303</v>
      </c>
    </row>
    <row r="7827" spans="1:5" ht="14.25" hidden="1" customHeight="1">
      <c r="A7827" s="156">
        <v>17269677</v>
      </c>
      <c r="B7827" s="172" t="s">
        <v>374</v>
      </c>
      <c r="C7827" s="172" t="s">
        <v>584</v>
      </c>
      <c r="D7827" s="194" t="s">
        <v>8418</v>
      </c>
      <c r="E7827" s="200">
        <v>40303</v>
      </c>
    </row>
    <row r="7828" spans="1:5" ht="14.25" hidden="1" customHeight="1">
      <c r="A7828" s="156">
        <v>17270116</v>
      </c>
      <c r="B7828" s="172" t="s">
        <v>1547</v>
      </c>
      <c r="C7828" s="172" t="s">
        <v>257</v>
      </c>
      <c r="D7828" s="194" t="s">
        <v>8418</v>
      </c>
      <c r="E7828" s="200">
        <v>40303</v>
      </c>
    </row>
    <row r="7829" spans="1:5" ht="14.25" hidden="1" customHeight="1">
      <c r="A7829" s="156">
        <v>20392278</v>
      </c>
      <c r="B7829" s="172" t="s">
        <v>5559</v>
      </c>
      <c r="C7829" s="172" t="s">
        <v>5560</v>
      </c>
      <c r="D7829" s="194" t="s">
        <v>8418</v>
      </c>
      <c r="E7829" s="200">
        <v>40303</v>
      </c>
    </row>
    <row r="7830" spans="1:5" ht="14.25" hidden="1" customHeight="1">
      <c r="A7830" s="156">
        <v>20433540</v>
      </c>
      <c r="B7830" s="172" t="s">
        <v>1028</v>
      </c>
      <c r="C7830" s="172" t="s">
        <v>1029</v>
      </c>
      <c r="D7830" s="194" t="s">
        <v>8418</v>
      </c>
      <c r="E7830" s="200">
        <v>40303</v>
      </c>
    </row>
    <row r="7831" spans="1:5" ht="14.25" hidden="1" customHeight="1">
      <c r="A7831" s="156">
        <v>22264787</v>
      </c>
      <c r="B7831" s="172" t="s">
        <v>3229</v>
      </c>
      <c r="C7831" s="172" t="s">
        <v>3230</v>
      </c>
      <c r="D7831" s="194" t="s">
        <v>8418</v>
      </c>
      <c r="E7831" s="200">
        <v>40303</v>
      </c>
    </row>
    <row r="7832" spans="1:5" ht="14.25" hidden="1" customHeight="1">
      <c r="A7832" s="156">
        <v>25498735</v>
      </c>
      <c r="B7832" s="172" t="s">
        <v>4067</v>
      </c>
      <c r="C7832" s="172" t="s">
        <v>6493</v>
      </c>
      <c r="D7832" s="194" t="s">
        <v>8418</v>
      </c>
      <c r="E7832" s="200">
        <v>40303</v>
      </c>
    </row>
    <row r="7833" spans="1:5" ht="14.25" hidden="1" customHeight="1">
      <c r="A7833" s="156">
        <v>28721474</v>
      </c>
      <c r="B7833" s="172" t="s">
        <v>595</v>
      </c>
      <c r="C7833" s="172" t="s">
        <v>1496</v>
      </c>
      <c r="D7833" s="194" t="s">
        <v>8418</v>
      </c>
      <c r="E7833" s="200">
        <v>40303</v>
      </c>
    </row>
    <row r="7834" spans="1:5" ht="14.25" hidden="1" customHeight="1">
      <c r="A7834" s="156">
        <v>29997678</v>
      </c>
      <c r="B7834" s="172" t="s">
        <v>6347</v>
      </c>
      <c r="C7834" s="172" t="s">
        <v>1853</v>
      </c>
      <c r="D7834" s="194" t="s">
        <v>8418</v>
      </c>
      <c r="E7834" s="200">
        <v>40303</v>
      </c>
    </row>
    <row r="7835" spans="1:5" ht="14.25" hidden="1" customHeight="1">
      <c r="A7835" s="156">
        <v>30117862</v>
      </c>
      <c r="B7835" s="172" t="s">
        <v>8507</v>
      </c>
      <c r="C7835" s="172" t="s">
        <v>8508</v>
      </c>
      <c r="D7835" s="194" t="s">
        <v>8418</v>
      </c>
      <c r="E7835" s="200">
        <v>40303</v>
      </c>
    </row>
    <row r="7836" spans="1:5" ht="14.25" hidden="1" customHeight="1">
      <c r="A7836" s="156">
        <v>31001972</v>
      </c>
      <c r="B7836" s="172" t="s">
        <v>1102</v>
      </c>
      <c r="C7836" s="172" t="s">
        <v>1103</v>
      </c>
      <c r="D7836" s="194" t="s">
        <v>8418</v>
      </c>
      <c r="E7836" s="200">
        <v>40303</v>
      </c>
    </row>
    <row r="7837" spans="1:5" ht="14.25" hidden="1" customHeight="1">
      <c r="A7837" s="156">
        <v>31323421</v>
      </c>
      <c r="B7837" s="172" t="s">
        <v>2045</v>
      </c>
      <c r="C7837" s="172" t="s">
        <v>8401</v>
      </c>
      <c r="D7837" s="194" t="s">
        <v>8418</v>
      </c>
      <c r="E7837" s="200">
        <v>40303</v>
      </c>
    </row>
    <row r="7838" spans="1:5" ht="14.25" hidden="1" customHeight="1">
      <c r="A7838" s="156">
        <v>33541638</v>
      </c>
      <c r="B7838" s="172" t="s">
        <v>6457</v>
      </c>
      <c r="C7838" s="172" t="s">
        <v>30</v>
      </c>
      <c r="D7838" s="194" t="s">
        <v>8418</v>
      </c>
      <c r="E7838" s="200">
        <v>40303</v>
      </c>
    </row>
    <row r="7839" spans="1:5" ht="14.25" hidden="1" customHeight="1">
      <c r="A7839" s="156">
        <v>34668582</v>
      </c>
      <c r="B7839" s="172" t="s">
        <v>1283</v>
      </c>
      <c r="C7839" s="172" t="s">
        <v>1326</v>
      </c>
      <c r="D7839" s="194" t="s">
        <v>8418</v>
      </c>
      <c r="E7839" s="200">
        <v>40303</v>
      </c>
    </row>
    <row r="7840" spans="1:5" ht="14.25" hidden="1" customHeight="1">
      <c r="A7840" s="156">
        <v>38488661</v>
      </c>
      <c r="B7840" s="172" t="s">
        <v>3101</v>
      </c>
      <c r="C7840" s="172" t="s">
        <v>6235</v>
      </c>
      <c r="D7840" s="194" t="s">
        <v>8418</v>
      </c>
      <c r="E7840" s="200">
        <v>40303</v>
      </c>
    </row>
    <row r="7841" spans="1:5" ht="14.25" hidden="1" customHeight="1">
      <c r="A7841" s="156">
        <v>39381744</v>
      </c>
      <c r="B7841" s="172" t="s">
        <v>1482</v>
      </c>
      <c r="C7841" s="172" t="s">
        <v>6024</v>
      </c>
      <c r="D7841" s="194" t="s">
        <v>8418</v>
      </c>
      <c r="E7841" s="200">
        <v>40303</v>
      </c>
    </row>
    <row r="7842" spans="1:5" ht="14.25" hidden="1" customHeight="1">
      <c r="A7842" s="156">
        <v>43499355</v>
      </c>
      <c r="B7842" s="172" t="s">
        <v>2094</v>
      </c>
      <c r="C7842" s="172" t="s">
        <v>6207</v>
      </c>
      <c r="D7842" s="194" t="s">
        <v>8418</v>
      </c>
      <c r="E7842" s="200">
        <v>40303</v>
      </c>
    </row>
    <row r="7843" spans="1:5" ht="14.25" hidden="1" customHeight="1">
      <c r="A7843" s="156"/>
      <c r="B7843" s="172" t="s">
        <v>2952</v>
      </c>
      <c r="C7843" s="172" t="s">
        <v>6150</v>
      </c>
      <c r="D7843" s="194" t="s">
        <v>8418</v>
      </c>
      <c r="E7843" s="200">
        <v>40303</v>
      </c>
    </row>
    <row r="7844" spans="1:5" ht="14.25" hidden="1" customHeight="1">
      <c r="A7844" s="156"/>
      <c r="B7844" s="172" t="s">
        <v>861</v>
      </c>
      <c r="C7844" s="172" t="s">
        <v>398</v>
      </c>
      <c r="D7844" s="194" t="s">
        <v>8418</v>
      </c>
      <c r="E7844" s="200">
        <v>40303</v>
      </c>
    </row>
    <row r="7845" spans="1:5" ht="14.25" hidden="1" customHeight="1">
      <c r="A7845" s="156"/>
      <c r="B7845" s="172" t="s">
        <v>326</v>
      </c>
      <c r="C7845" s="172" t="s">
        <v>8510</v>
      </c>
      <c r="D7845" s="194" t="s">
        <v>8418</v>
      </c>
      <c r="E7845" s="200">
        <v>40303</v>
      </c>
    </row>
    <row r="7846" spans="1:5" ht="14.25" hidden="1" customHeight="1">
      <c r="A7846" s="156"/>
      <c r="B7846" s="172" t="s">
        <v>541</v>
      </c>
      <c r="C7846" s="172" t="s">
        <v>1585</v>
      </c>
      <c r="D7846" s="194" t="s">
        <v>8418</v>
      </c>
      <c r="E7846" s="200">
        <v>40303</v>
      </c>
    </row>
    <row r="7847" spans="1:5" ht="14.25" hidden="1" customHeight="1">
      <c r="A7847" s="156"/>
      <c r="B7847" s="172" t="s">
        <v>2195</v>
      </c>
      <c r="C7847" s="172" t="s">
        <v>8511</v>
      </c>
      <c r="D7847" s="194" t="s">
        <v>8418</v>
      </c>
      <c r="E7847" s="200">
        <v>40303</v>
      </c>
    </row>
    <row r="7848" spans="1:5" ht="14.25" hidden="1" customHeight="1">
      <c r="A7848" s="156">
        <v>7797203</v>
      </c>
      <c r="B7848" s="172" t="s">
        <v>1588</v>
      </c>
      <c r="C7848" s="172" t="s">
        <v>1589</v>
      </c>
      <c r="D7848" s="195" t="s">
        <v>7020</v>
      </c>
      <c r="E7848" s="200">
        <v>40301</v>
      </c>
    </row>
    <row r="7849" spans="1:5" ht="14.25" hidden="1" customHeight="1">
      <c r="A7849" s="156">
        <v>13066434</v>
      </c>
      <c r="B7849" s="172" t="s">
        <v>1565</v>
      </c>
      <c r="C7849" s="172" t="s">
        <v>758</v>
      </c>
      <c r="D7849" s="195" t="s">
        <v>7020</v>
      </c>
      <c r="E7849" s="200">
        <v>40301</v>
      </c>
    </row>
    <row r="7850" spans="1:5" ht="14.25" hidden="1" customHeight="1">
      <c r="A7850" s="156">
        <v>16588597</v>
      </c>
      <c r="B7850" s="172" t="s">
        <v>2576</v>
      </c>
      <c r="C7850" s="172" t="s">
        <v>1974</v>
      </c>
      <c r="D7850" s="195" t="s">
        <v>7020</v>
      </c>
      <c r="E7850" s="200">
        <v>40301</v>
      </c>
    </row>
    <row r="7851" spans="1:5" ht="14.25" hidden="1" customHeight="1">
      <c r="A7851" s="156">
        <v>21327490</v>
      </c>
      <c r="B7851" s="172" t="s">
        <v>374</v>
      </c>
      <c r="C7851" s="172" t="s">
        <v>375</v>
      </c>
      <c r="D7851" s="195" t="s">
        <v>7020</v>
      </c>
      <c r="E7851" s="200">
        <v>40301</v>
      </c>
    </row>
    <row r="7852" spans="1:5" ht="14.25" hidden="1" customHeight="1">
      <c r="A7852" s="156">
        <v>21327490</v>
      </c>
      <c r="B7852" s="172" t="s">
        <v>374</v>
      </c>
      <c r="C7852" s="172" t="s">
        <v>375</v>
      </c>
      <c r="D7852" s="195" t="s">
        <v>7020</v>
      </c>
      <c r="E7852" s="200">
        <v>40301</v>
      </c>
    </row>
    <row r="7853" spans="1:5" ht="14.25" hidden="1" customHeight="1">
      <c r="A7853" s="156">
        <v>21338575</v>
      </c>
      <c r="B7853" s="172" t="s">
        <v>394</v>
      </c>
      <c r="C7853" s="172" t="s">
        <v>8513</v>
      </c>
      <c r="D7853" s="195" t="s">
        <v>7020</v>
      </c>
      <c r="E7853" s="200">
        <v>40301</v>
      </c>
    </row>
    <row r="7854" spans="1:5" ht="14.25" hidden="1" customHeight="1">
      <c r="A7854" s="156">
        <v>26454632</v>
      </c>
      <c r="B7854" s="172" t="s">
        <v>394</v>
      </c>
      <c r="C7854" s="172" t="s">
        <v>8421</v>
      </c>
      <c r="D7854" s="195" t="s">
        <v>7020</v>
      </c>
      <c r="E7854" s="200">
        <v>40301</v>
      </c>
    </row>
    <row r="7855" spans="1:5" ht="14.25" hidden="1" customHeight="1">
      <c r="A7855" s="156">
        <v>26859367</v>
      </c>
      <c r="B7855" s="172" t="s">
        <v>2576</v>
      </c>
      <c r="C7855" s="172" t="s">
        <v>6329</v>
      </c>
      <c r="D7855" s="195" t="s">
        <v>7020</v>
      </c>
      <c r="E7855" s="200">
        <v>40301</v>
      </c>
    </row>
    <row r="7856" spans="1:5" ht="14.25" hidden="1" customHeight="1">
      <c r="A7856" s="156">
        <v>26914506</v>
      </c>
      <c r="B7856" s="172" t="s">
        <v>1793</v>
      </c>
      <c r="C7856" s="172" t="s">
        <v>1555</v>
      </c>
      <c r="D7856" s="195" t="s">
        <v>7020</v>
      </c>
      <c r="E7856" s="200">
        <v>40301</v>
      </c>
    </row>
    <row r="7857" spans="1:5" ht="14.25" hidden="1" customHeight="1">
      <c r="A7857" s="156">
        <v>28221282</v>
      </c>
      <c r="B7857" s="172" t="s">
        <v>8512</v>
      </c>
      <c r="C7857" s="172" t="s">
        <v>4350</v>
      </c>
      <c r="D7857" s="195" t="s">
        <v>7020</v>
      </c>
      <c r="E7857" s="200">
        <v>40301</v>
      </c>
    </row>
    <row r="7858" spans="1:5" ht="14.25" hidden="1" customHeight="1">
      <c r="A7858" s="156"/>
      <c r="B7858" s="172" t="s">
        <v>5885</v>
      </c>
      <c r="C7858" s="172" t="s">
        <v>7273</v>
      </c>
      <c r="D7858" s="194" t="s">
        <v>8514</v>
      </c>
      <c r="E7858" s="200">
        <v>40273</v>
      </c>
    </row>
    <row r="7859" spans="1:5" ht="14.25" hidden="1" customHeight="1">
      <c r="A7859" s="156"/>
      <c r="B7859" s="172" t="s">
        <v>8515</v>
      </c>
      <c r="C7859" s="172" t="s">
        <v>832</v>
      </c>
      <c r="D7859" s="194" t="s">
        <v>8514</v>
      </c>
      <c r="E7859" s="200">
        <v>40273</v>
      </c>
    </row>
    <row r="7860" spans="1:5" ht="14.25" hidden="1" customHeight="1">
      <c r="A7860" s="156"/>
      <c r="B7860" s="172" t="s">
        <v>8515</v>
      </c>
      <c r="C7860" s="172" t="s">
        <v>832</v>
      </c>
      <c r="D7860" s="194" t="s">
        <v>8514</v>
      </c>
      <c r="E7860" s="200">
        <v>40273</v>
      </c>
    </row>
    <row r="7861" spans="1:5" ht="14.25" hidden="1" customHeight="1">
      <c r="A7861" s="156"/>
      <c r="B7861" s="172" t="s">
        <v>944</v>
      </c>
      <c r="C7861" s="172" t="s">
        <v>945</v>
      </c>
      <c r="D7861" s="194" t="s">
        <v>8514</v>
      </c>
      <c r="E7861" s="200">
        <v>40273</v>
      </c>
    </row>
    <row r="7862" spans="1:5" ht="14.25" hidden="1" customHeight="1">
      <c r="A7862" s="156"/>
      <c r="B7862" s="172" t="s">
        <v>958</v>
      </c>
      <c r="C7862" s="172" t="s">
        <v>6150</v>
      </c>
      <c r="D7862" s="194" t="s">
        <v>8514</v>
      </c>
      <c r="E7862" s="200">
        <v>40273</v>
      </c>
    </row>
    <row r="7863" spans="1:5" ht="14.25" hidden="1" customHeight="1">
      <c r="A7863" s="156"/>
      <c r="B7863" s="172" t="s">
        <v>8516</v>
      </c>
      <c r="C7863" s="172" t="s">
        <v>8517</v>
      </c>
      <c r="D7863" s="194" t="s">
        <v>8514</v>
      </c>
      <c r="E7863" s="200">
        <v>40273</v>
      </c>
    </row>
    <row r="7864" spans="1:5" ht="14.25" hidden="1" customHeight="1">
      <c r="A7864" s="156"/>
      <c r="B7864" s="172" t="s">
        <v>578</v>
      </c>
      <c r="C7864" s="172" t="s">
        <v>4880</v>
      </c>
      <c r="D7864" s="194" t="s">
        <v>8514</v>
      </c>
      <c r="E7864" s="200">
        <v>40273</v>
      </c>
    </row>
    <row r="7865" spans="1:5" ht="14.25" hidden="1" customHeight="1">
      <c r="A7865" s="156"/>
      <c r="B7865" s="172" t="s">
        <v>2462</v>
      </c>
      <c r="C7865" s="172" t="s">
        <v>8518</v>
      </c>
      <c r="D7865" s="194" t="s">
        <v>8514</v>
      </c>
      <c r="E7865" s="200">
        <v>40273</v>
      </c>
    </row>
    <row r="7866" spans="1:5" ht="14.25" hidden="1" customHeight="1">
      <c r="A7866" s="156"/>
      <c r="B7866" s="172" t="s">
        <v>891</v>
      </c>
      <c r="C7866" s="172" t="s">
        <v>50</v>
      </c>
      <c r="D7866" s="194" t="s">
        <v>8514</v>
      </c>
      <c r="E7866" s="200">
        <v>40273</v>
      </c>
    </row>
    <row r="7867" spans="1:5" ht="14.25" hidden="1" customHeight="1">
      <c r="A7867" s="156"/>
      <c r="B7867" s="172" t="s">
        <v>5769</v>
      </c>
      <c r="C7867" s="172" t="s">
        <v>278</v>
      </c>
      <c r="D7867" s="194" t="s">
        <v>8514</v>
      </c>
      <c r="E7867" s="200">
        <v>40273</v>
      </c>
    </row>
    <row r="7868" spans="1:5" ht="14.25" hidden="1" customHeight="1">
      <c r="A7868" s="156"/>
      <c r="B7868" s="172" t="s">
        <v>4716</v>
      </c>
      <c r="C7868" s="172" t="s">
        <v>1153</v>
      </c>
      <c r="D7868" s="194" t="s">
        <v>8514</v>
      </c>
      <c r="E7868" s="200">
        <v>40273</v>
      </c>
    </row>
    <row r="7869" spans="1:5" ht="14.25" hidden="1" customHeight="1">
      <c r="A7869" s="156"/>
      <c r="B7869" s="172" t="s">
        <v>3176</v>
      </c>
      <c r="C7869" s="172" t="s">
        <v>97</v>
      </c>
      <c r="D7869" s="194" t="s">
        <v>8514</v>
      </c>
      <c r="E7869" s="200">
        <v>40273</v>
      </c>
    </row>
    <row r="7870" spans="1:5" ht="14.25" hidden="1" customHeight="1">
      <c r="A7870" s="156"/>
      <c r="B7870" s="172" t="s">
        <v>6026</v>
      </c>
      <c r="C7870" s="172" t="s">
        <v>1672</v>
      </c>
      <c r="D7870" s="194" t="s">
        <v>8514</v>
      </c>
      <c r="E7870" s="200">
        <v>40273</v>
      </c>
    </row>
    <row r="7871" spans="1:5" ht="14.25" hidden="1" customHeight="1">
      <c r="A7871" s="156"/>
      <c r="B7871" s="172" t="s">
        <v>6516</v>
      </c>
      <c r="C7871" s="172" t="s">
        <v>178</v>
      </c>
      <c r="D7871" s="194" t="s">
        <v>8514</v>
      </c>
      <c r="E7871" s="200">
        <v>40273</v>
      </c>
    </row>
    <row r="7872" spans="1:5" ht="14.25" hidden="1" customHeight="1">
      <c r="A7872" s="156"/>
      <c r="B7872" s="172" t="s">
        <v>167</v>
      </c>
      <c r="C7872" s="172" t="s">
        <v>3343</v>
      </c>
      <c r="D7872" s="194" t="s">
        <v>8514</v>
      </c>
      <c r="E7872" s="200">
        <v>40273</v>
      </c>
    </row>
    <row r="7873" spans="1:5" ht="14.25" hidden="1" customHeight="1">
      <c r="A7873" s="156"/>
      <c r="B7873" s="172" t="s">
        <v>8519</v>
      </c>
      <c r="C7873" s="172" t="s">
        <v>3850</v>
      </c>
      <c r="D7873" s="194" t="s">
        <v>8514</v>
      </c>
      <c r="E7873" s="200">
        <v>40273</v>
      </c>
    </row>
    <row r="7874" spans="1:5" ht="14.25" hidden="1" customHeight="1">
      <c r="A7874" s="156"/>
      <c r="B7874" s="172" t="s">
        <v>1973</v>
      </c>
      <c r="C7874" s="172" t="s">
        <v>695</v>
      </c>
      <c r="D7874" s="194" t="s">
        <v>8514</v>
      </c>
      <c r="E7874" s="200">
        <v>40273</v>
      </c>
    </row>
    <row r="7875" spans="1:5" ht="14.25" hidden="1" customHeight="1">
      <c r="A7875" s="156"/>
      <c r="B7875" s="172" t="s">
        <v>8520</v>
      </c>
      <c r="C7875" s="172" t="s">
        <v>3436</v>
      </c>
      <c r="D7875" s="194" t="s">
        <v>8514</v>
      </c>
      <c r="E7875" s="200">
        <v>40273</v>
      </c>
    </row>
    <row r="7876" spans="1:5" ht="14.25" hidden="1" customHeight="1">
      <c r="A7876" s="156"/>
      <c r="B7876" s="172" t="s">
        <v>5010</v>
      </c>
      <c r="C7876" s="172" t="s">
        <v>8521</v>
      </c>
      <c r="D7876" s="194" t="s">
        <v>8514</v>
      </c>
      <c r="E7876" s="200">
        <v>40273</v>
      </c>
    </row>
    <row r="7877" spans="1:5" ht="14.25" hidden="1" customHeight="1">
      <c r="A7877" s="156"/>
      <c r="B7877" s="172" t="s">
        <v>7152</v>
      </c>
      <c r="C7877" s="172" t="s">
        <v>8522</v>
      </c>
      <c r="D7877" s="194" t="s">
        <v>8514</v>
      </c>
      <c r="E7877" s="200">
        <v>40273</v>
      </c>
    </row>
    <row r="7878" spans="1:5" ht="14.25" hidden="1" customHeight="1">
      <c r="A7878" s="156"/>
      <c r="B7878" s="172" t="s">
        <v>8523</v>
      </c>
      <c r="C7878" s="172" t="s">
        <v>832</v>
      </c>
      <c r="D7878" s="194" t="s">
        <v>8514</v>
      </c>
      <c r="E7878" s="200">
        <v>40273</v>
      </c>
    </row>
    <row r="7879" spans="1:5" ht="14.25" hidden="1" customHeight="1">
      <c r="A7879" s="156"/>
      <c r="B7879" s="172" t="s">
        <v>3572</v>
      </c>
      <c r="C7879" s="172" t="s">
        <v>3573</v>
      </c>
      <c r="D7879" s="194" t="s">
        <v>8514</v>
      </c>
      <c r="E7879" s="200">
        <v>40273</v>
      </c>
    </row>
    <row r="7880" spans="1:5" ht="14.25" hidden="1" customHeight="1">
      <c r="A7880" s="156"/>
      <c r="B7880" s="172" t="s">
        <v>4112</v>
      </c>
      <c r="C7880" s="172" t="s">
        <v>2447</v>
      </c>
      <c r="D7880" s="194" t="s">
        <v>8514</v>
      </c>
      <c r="E7880" s="200">
        <v>40273</v>
      </c>
    </row>
    <row r="7881" spans="1:5" ht="14.25" hidden="1" customHeight="1">
      <c r="A7881" s="156"/>
      <c r="B7881" s="172" t="s">
        <v>652</v>
      </c>
      <c r="C7881" s="172" t="s">
        <v>465</v>
      </c>
      <c r="D7881" s="194" t="s">
        <v>8514</v>
      </c>
      <c r="E7881" s="200">
        <v>40273</v>
      </c>
    </row>
    <row r="7882" spans="1:5" ht="14.25" hidden="1" customHeight="1">
      <c r="A7882" s="156"/>
      <c r="B7882" s="172" t="s">
        <v>3444</v>
      </c>
      <c r="C7882" s="172" t="s">
        <v>571</v>
      </c>
      <c r="D7882" s="194" t="s">
        <v>8514</v>
      </c>
      <c r="E7882" s="200">
        <v>40273</v>
      </c>
    </row>
    <row r="7883" spans="1:5" ht="14.25" hidden="1" customHeight="1">
      <c r="A7883" s="156"/>
      <c r="B7883" s="172" t="s">
        <v>5838</v>
      </c>
      <c r="C7883" s="172" t="s">
        <v>3202</v>
      </c>
      <c r="D7883" s="194" t="s">
        <v>8514</v>
      </c>
      <c r="E7883" s="200">
        <v>40273</v>
      </c>
    </row>
    <row r="7884" spans="1:5" ht="14.25" hidden="1" customHeight="1">
      <c r="A7884" s="156"/>
      <c r="B7884" s="172" t="s">
        <v>659</v>
      </c>
      <c r="C7884" s="172" t="s">
        <v>1082</v>
      </c>
      <c r="D7884" s="194" t="s">
        <v>8514</v>
      </c>
      <c r="E7884" s="200">
        <v>40273</v>
      </c>
    </row>
    <row r="7885" spans="1:5" ht="14.25" hidden="1" customHeight="1">
      <c r="A7885" s="156"/>
      <c r="B7885" s="172" t="s">
        <v>3220</v>
      </c>
      <c r="C7885" s="172" t="s">
        <v>7264</v>
      </c>
      <c r="D7885" s="194" t="s">
        <v>8514</v>
      </c>
      <c r="E7885" s="200">
        <v>40273</v>
      </c>
    </row>
    <row r="7886" spans="1:5" ht="14.25" hidden="1" customHeight="1">
      <c r="A7886" s="156"/>
      <c r="B7886" s="172" t="s">
        <v>5843</v>
      </c>
      <c r="C7886" s="172" t="s">
        <v>8479</v>
      </c>
      <c r="D7886" s="194" t="s">
        <v>8514</v>
      </c>
      <c r="E7886" s="200">
        <v>40273</v>
      </c>
    </row>
    <row r="7887" spans="1:5" ht="14.25" hidden="1" customHeight="1">
      <c r="A7887" s="156"/>
      <c r="B7887" s="172" t="s">
        <v>2746</v>
      </c>
      <c r="C7887" s="172" t="s">
        <v>8524</v>
      </c>
      <c r="D7887" s="194" t="s">
        <v>8514</v>
      </c>
      <c r="E7887" s="200">
        <v>40273</v>
      </c>
    </row>
    <row r="7888" spans="1:5" ht="14.25" hidden="1" customHeight="1">
      <c r="A7888" s="156"/>
      <c r="B7888" s="172" t="s">
        <v>6147</v>
      </c>
      <c r="C7888" s="172" t="s">
        <v>1707</v>
      </c>
      <c r="D7888" s="194" t="s">
        <v>8514</v>
      </c>
      <c r="E7888" s="200">
        <v>40273</v>
      </c>
    </row>
    <row r="7889" spans="1:5" ht="14.25" hidden="1" customHeight="1">
      <c r="A7889" s="156"/>
      <c r="B7889" s="172" t="s">
        <v>218</v>
      </c>
      <c r="C7889" s="172" t="s">
        <v>571</v>
      </c>
      <c r="D7889" s="194" t="s">
        <v>8514</v>
      </c>
      <c r="E7889" s="200">
        <v>40273</v>
      </c>
    </row>
    <row r="7890" spans="1:5" ht="14.25" hidden="1" customHeight="1">
      <c r="A7890" s="156"/>
      <c r="B7890" s="172" t="s">
        <v>5359</v>
      </c>
      <c r="C7890" s="172" t="s">
        <v>1523</v>
      </c>
      <c r="D7890" s="194" t="s">
        <v>8514</v>
      </c>
      <c r="E7890" s="200">
        <v>40273</v>
      </c>
    </row>
    <row r="7891" spans="1:5" ht="14.25" hidden="1" customHeight="1">
      <c r="A7891" s="156"/>
      <c r="B7891" s="172" t="s">
        <v>8525</v>
      </c>
      <c r="C7891" s="172" t="s">
        <v>416</v>
      </c>
      <c r="D7891" s="194" t="s">
        <v>8514</v>
      </c>
      <c r="E7891" s="200">
        <v>40273</v>
      </c>
    </row>
    <row r="7892" spans="1:5" ht="14.25" hidden="1" customHeight="1">
      <c r="A7892" s="156"/>
      <c r="B7892" s="172" t="s">
        <v>853</v>
      </c>
      <c r="C7892" s="172" t="s">
        <v>854</v>
      </c>
      <c r="D7892" s="194" t="s">
        <v>8514</v>
      </c>
      <c r="E7892" s="200">
        <v>40273</v>
      </c>
    </row>
    <row r="7893" spans="1:5" ht="14.25" hidden="1" customHeight="1">
      <c r="A7893" s="156"/>
      <c r="B7893" s="172" t="s">
        <v>240</v>
      </c>
      <c r="C7893" s="172" t="s">
        <v>8526</v>
      </c>
      <c r="D7893" s="194" t="s">
        <v>8514</v>
      </c>
      <c r="E7893" s="200">
        <v>40273</v>
      </c>
    </row>
    <row r="7894" spans="1:5" ht="14.25" hidden="1" customHeight="1">
      <c r="A7894" s="156"/>
      <c r="B7894" s="172" t="s">
        <v>7143</v>
      </c>
      <c r="C7894" s="172" t="s">
        <v>5041</v>
      </c>
      <c r="D7894" s="194" t="s">
        <v>8514</v>
      </c>
      <c r="E7894" s="200">
        <v>40273</v>
      </c>
    </row>
    <row r="7895" spans="1:5" ht="14.25" hidden="1" customHeight="1">
      <c r="A7895" s="156"/>
      <c r="B7895" s="172" t="s">
        <v>252</v>
      </c>
      <c r="C7895" s="172" t="s">
        <v>3850</v>
      </c>
      <c r="D7895" s="194" t="s">
        <v>8514</v>
      </c>
      <c r="E7895" s="200">
        <v>40273</v>
      </c>
    </row>
    <row r="7896" spans="1:5" ht="14.25" hidden="1" customHeight="1">
      <c r="A7896" s="156"/>
      <c r="B7896" s="172" t="s">
        <v>8527</v>
      </c>
      <c r="C7896" s="172" t="s">
        <v>365</v>
      </c>
      <c r="D7896" s="194" t="s">
        <v>8514</v>
      </c>
      <c r="E7896" s="200">
        <v>40273</v>
      </c>
    </row>
    <row r="7897" spans="1:5" ht="14.25" hidden="1" customHeight="1">
      <c r="A7897" s="156"/>
      <c r="B7897" s="172" t="s">
        <v>2087</v>
      </c>
      <c r="C7897" s="172" t="s">
        <v>7645</v>
      </c>
      <c r="D7897" s="194" t="s">
        <v>8514</v>
      </c>
      <c r="E7897" s="200">
        <v>40273</v>
      </c>
    </row>
    <row r="7898" spans="1:5" ht="14.25" hidden="1" customHeight="1">
      <c r="A7898" s="156"/>
      <c r="B7898" s="172" t="s">
        <v>8528</v>
      </c>
      <c r="C7898" s="172" t="s">
        <v>131</v>
      </c>
      <c r="D7898" s="194" t="s">
        <v>8514</v>
      </c>
      <c r="E7898" s="200">
        <v>40273</v>
      </c>
    </row>
    <row r="7899" spans="1:5" ht="14.25" hidden="1" customHeight="1">
      <c r="A7899" s="156"/>
      <c r="B7899" s="172" t="s">
        <v>8529</v>
      </c>
      <c r="C7899" s="172" t="s">
        <v>8530</v>
      </c>
      <c r="D7899" s="194" t="s">
        <v>8514</v>
      </c>
      <c r="E7899" s="200">
        <v>40273</v>
      </c>
    </row>
    <row r="7900" spans="1:5" ht="14.25" hidden="1" customHeight="1">
      <c r="A7900" s="156"/>
      <c r="B7900" s="172" t="s">
        <v>1762</v>
      </c>
      <c r="C7900" s="172" t="s">
        <v>2870</v>
      </c>
      <c r="D7900" s="194" t="s">
        <v>8514</v>
      </c>
      <c r="E7900" s="200">
        <v>40273</v>
      </c>
    </row>
    <row r="7901" spans="1:5" ht="14.25" hidden="1" customHeight="1">
      <c r="A7901" s="156"/>
      <c r="B7901" s="172" t="s">
        <v>4122</v>
      </c>
      <c r="C7901" s="172" t="s">
        <v>7317</v>
      </c>
      <c r="D7901" s="194" t="s">
        <v>8514</v>
      </c>
      <c r="E7901" s="200">
        <v>40273</v>
      </c>
    </row>
    <row r="7902" spans="1:5" ht="14.25" hidden="1" customHeight="1">
      <c r="A7902" s="156"/>
      <c r="B7902" s="172" t="s">
        <v>811</v>
      </c>
      <c r="C7902" s="172" t="s">
        <v>7132</v>
      </c>
      <c r="D7902" s="194" t="s">
        <v>8514</v>
      </c>
      <c r="E7902" s="200">
        <v>40273</v>
      </c>
    </row>
    <row r="7903" spans="1:5" ht="14.25" hidden="1" customHeight="1">
      <c r="A7903" s="156"/>
      <c r="B7903" s="172" t="s">
        <v>288</v>
      </c>
      <c r="C7903" s="172" t="s">
        <v>2678</v>
      </c>
      <c r="D7903" s="194" t="s">
        <v>8514</v>
      </c>
      <c r="E7903" s="200">
        <v>40273</v>
      </c>
    </row>
    <row r="7904" spans="1:5" ht="14.25" hidden="1" customHeight="1">
      <c r="A7904" s="156"/>
      <c r="B7904" s="172" t="s">
        <v>8531</v>
      </c>
      <c r="C7904" s="172" t="s">
        <v>8532</v>
      </c>
      <c r="D7904" s="194" t="s">
        <v>8514</v>
      </c>
      <c r="E7904" s="200">
        <v>40273</v>
      </c>
    </row>
    <row r="7905" spans="1:5" ht="14.25" hidden="1" customHeight="1">
      <c r="A7905" s="156"/>
      <c r="B7905" s="172" t="s">
        <v>6245</v>
      </c>
      <c r="C7905" s="172" t="s">
        <v>215</v>
      </c>
      <c r="D7905" s="194" t="s">
        <v>8514</v>
      </c>
      <c r="E7905" s="200">
        <v>40273</v>
      </c>
    </row>
    <row r="7906" spans="1:5" ht="14.25" hidden="1" customHeight="1">
      <c r="A7906" s="156"/>
      <c r="B7906" s="172" t="s">
        <v>818</v>
      </c>
      <c r="C7906" s="172" t="s">
        <v>819</v>
      </c>
      <c r="D7906" s="194" t="s">
        <v>8514</v>
      </c>
      <c r="E7906" s="200">
        <v>40273</v>
      </c>
    </row>
    <row r="7907" spans="1:5" ht="14.25" hidden="1" customHeight="1">
      <c r="A7907" s="156"/>
      <c r="B7907" s="172" t="s">
        <v>7085</v>
      </c>
      <c r="C7907" s="172" t="s">
        <v>902</v>
      </c>
      <c r="D7907" s="194" t="s">
        <v>8514</v>
      </c>
      <c r="E7907" s="200">
        <v>40273</v>
      </c>
    </row>
    <row r="7908" spans="1:5" ht="14.25" hidden="1" customHeight="1">
      <c r="A7908" s="156"/>
      <c r="B7908" s="172" t="s">
        <v>6270</v>
      </c>
      <c r="C7908" s="172" t="s">
        <v>233</v>
      </c>
      <c r="D7908" s="194" t="s">
        <v>8514</v>
      </c>
      <c r="E7908" s="200">
        <v>40273</v>
      </c>
    </row>
    <row r="7909" spans="1:5" ht="14.25" hidden="1" customHeight="1">
      <c r="A7909" s="156"/>
      <c r="B7909" s="172" t="s">
        <v>8533</v>
      </c>
      <c r="C7909" s="172" t="s">
        <v>5282</v>
      </c>
      <c r="D7909" s="194" t="s">
        <v>8514</v>
      </c>
      <c r="E7909" s="200">
        <v>40273</v>
      </c>
    </row>
    <row r="7910" spans="1:5" ht="14.25" hidden="1" customHeight="1">
      <c r="A7910" s="156"/>
      <c r="B7910" s="172" t="s">
        <v>8533</v>
      </c>
      <c r="C7910" s="172" t="s">
        <v>5282</v>
      </c>
      <c r="D7910" s="194" t="s">
        <v>8514</v>
      </c>
      <c r="E7910" s="200">
        <v>40273</v>
      </c>
    </row>
    <row r="7911" spans="1:5" ht="14.25" hidden="1" customHeight="1">
      <c r="A7911" s="156"/>
      <c r="B7911" s="172" t="s">
        <v>327</v>
      </c>
      <c r="C7911" s="172" t="s">
        <v>8534</v>
      </c>
      <c r="D7911" s="194" t="s">
        <v>8514</v>
      </c>
      <c r="E7911" s="200">
        <v>40273</v>
      </c>
    </row>
    <row r="7912" spans="1:5" ht="14.25" hidden="1" customHeight="1">
      <c r="A7912" s="156"/>
      <c r="B7912" s="172" t="s">
        <v>327</v>
      </c>
      <c r="C7912" s="172" t="s">
        <v>812</v>
      </c>
      <c r="D7912" s="194" t="s">
        <v>8514</v>
      </c>
      <c r="E7912" s="200">
        <v>40273</v>
      </c>
    </row>
    <row r="7913" spans="1:5" ht="14.25" hidden="1" customHeight="1">
      <c r="A7913" s="156"/>
      <c r="B7913" s="172" t="s">
        <v>359</v>
      </c>
      <c r="C7913" s="172" t="s">
        <v>8535</v>
      </c>
      <c r="D7913" s="194" t="s">
        <v>8514</v>
      </c>
      <c r="E7913" s="200">
        <v>40273</v>
      </c>
    </row>
    <row r="7914" spans="1:5" ht="14.25" hidden="1" customHeight="1">
      <c r="A7914" s="156"/>
      <c r="B7914" s="172" t="s">
        <v>1565</v>
      </c>
      <c r="C7914" s="172" t="s">
        <v>758</v>
      </c>
      <c r="D7914" s="194" t="s">
        <v>8514</v>
      </c>
      <c r="E7914" s="200">
        <v>40273</v>
      </c>
    </row>
    <row r="7915" spans="1:5" ht="14.25" hidden="1" customHeight="1">
      <c r="A7915" s="156"/>
      <c r="B7915" s="172" t="s">
        <v>6304</v>
      </c>
      <c r="C7915" s="172" t="s">
        <v>8165</v>
      </c>
      <c r="D7915" s="194" t="s">
        <v>8514</v>
      </c>
      <c r="E7915" s="200">
        <v>40273</v>
      </c>
    </row>
    <row r="7916" spans="1:5" ht="14.25" hidden="1" customHeight="1">
      <c r="A7916" s="156"/>
      <c r="B7916" s="172" t="s">
        <v>377</v>
      </c>
      <c r="C7916" s="172" t="s">
        <v>7235</v>
      </c>
      <c r="D7916" s="194" t="s">
        <v>8514</v>
      </c>
      <c r="E7916" s="200">
        <v>40273</v>
      </c>
    </row>
    <row r="7917" spans="1:5" ht="14.25" hidden="1" customHeight="1">
      <c r="A7917" s="156"/>
      <c r="B7917" s="172" t="s">
        <v>377</v>
      </c>
      <c r="C7917" s="172" t="s">
        <v>365</v>
      </c>
      <c r="D7917" s="194" t="s">
        <v>8514</v>
      </c>
      <c r="E7917" s="200">
        <v>40273</v>
      </c>
    </row>
    <row r="7918" spans="1:5" ht="14.25" hidden="1" customHeight="1">
      <c r="A7918" s="156"/>
      <c r="B7918" s="172" t="s">
        <v>2795</v>
      </c>
      <c r="C7918" s="172" t="s">
        <v>6189</v>
      </c>
      <c r="D7918" s="194" t="s">
        <v>8514</v>
      </c>
      <c r="E7918" s="200">
        <v>40273</v>
      </c>
    </row>
    <row r="7919" spans="1:5" ht="14.25" hidden="1" customHeight="1">
      <c r="A7919" s="156"/>
      <c r="B7919" s="172" t="s">
        <v>4779</v>
      </c>
      <c r="C7919" s="172" t="s">
        <v>2830</v>
      </c>
      <c r="D7919" s="194" t="s">
        <v>8514</v>
      </c>
      <c r="E7919" s="200">
        <v>40273</v>
      </c>
    </row>
    <row r="7920" spans="1:5" ht="14.25" hidden="1" customHeight="1">
      <c r="A7920" s="156"/>
      <c r="B7920" s="172" t="s">
        <v>7808</v>
      </c>
      <c r="C7920" s="172" t="s">
        <v>5406</v>
      </c>
      <c r="D7920" s="194" t="s">
        <v>8514</v>
      </c>
      <c r="E7920" s="200">
        <v>40273</v>
      </c>
    </row>
    <row r="7921" spans="1:5" ht="14.25" hidden="1" customHeight="1">
      <c r="A7921" s="156"/>
      <c r="B7921" s="172" t="s">
        <v>8536</v>
      </c>
      <c r="C7921" s="172" t="s">
        <v>4375</v>
      </c>
      <c r="D7921" s="194" t="s">
        <v>8514</v>
      </c>
      <c r="E7921" s="200">
        <v>40273</v>
      </c>
    </row>
    <row r="7922" spans="1:5" ht="14.25" hidden="1" customHeight="1">
      <c r="A7922" s="156"/>
      <c r="B7922" s="172" t="s">
        <v>394</v>
      </c>
      <c r="C7922" s="172" t="s">
        <v>395</v>
      </c>
      <c r="D7922" s="194" t="s">
        <v>8514</v>
      </c>
      <c r="E7922" s="200">
        <v>40273</v>
      </c>
    </row>
    <row r="7923" spans="1:5" ht="14.25" hidden="1" customHeight="1">
      <c r="A7923" s="156"/>
      <c r="B7923" s="172" t="s">
        <v>541</v>
      </c>
      <c r="C7923" s="172" t="s">
        <v>1068</v>
      </c>
      <c r="D7923" s="194" t="s">
        <v>8514</v>
      </c>
      <c r="E7923" s="200">
        <v>40273</v>
      </c>
    </row>
    <row r="7924" spans="1:5" ht="14.25" hidden="1" customHeight="1">
      <c r="A7924" s="156"/>
      <c r="B7924" s="172" t="s">
        <v>8537</v>
      </c>
      <c r="C7924" s="172" t="s">
        <v>8538</v>
      </c>
      <c r="D7924" s="194" t="s">
        <v>8514</v>
      </c>
      <c r="E7924" s="200">
        <v>40273</v>
      </c>
    </row>
    <row r="7925" spans="1:5" ht="14.25" hidden="1" customHeight="1">
      <c r="A7925" s="156"/>
      <c r="B7925" s="172" t="s">
        <v>7716</v>
      </c>
      <c r="C7925" s="172" t="s">
        <v>296</v>
      </c>
      <c r="D7925" s="194" t="s">
        <v>8514</v>
      </c>
      <c r="E7925" s="200">
        <v>40273</v>
      </c>
    </row>
    <row r="7926" spans="1:5" ht="14.25" hidden="1" customHeight="1">
      <c r="A7926" s="156"/>
      <c r="B7926" s="172" t="s">
        <v>8539</v>
      </c>
      <c r="C7926" s="172" t="s">
        <v>3317</v>
      </c>
      <c r="D7926" s="194" t="s">
        <v>8514</v>
      </c>
      <c r="E7926" s="200">
        <v>40273</v>
      </c>
    </row>
    <row r="7927" spans="1:5" ht="14.25" hidden="1" customHeight="1">
      <c r="A7927" s="156"/>
      <c r="B7927" s="172" t="s">
        <v>8540</v>
      </c>
      <c r="C7927" s="172" t="s">
        <v>1068</v>
      </c>
      <c r="D7927" s="194" t="s">
        <v>8514</v>
      </c>
      <c r="E7927" s="200">
        <v>40273</v>
      </c>
    </row>
    <row r="7928" spans="1:5" ht="14.25" hidden="1" customHeight="1">
      <c r="A7928" s="156"/>
      <c r="B7928" s="172" t="s">
        <v>1798</v>
      </c>
      <c r="C7928" s="172" t="s">
        <v>8541</v>
      </c>
      <c r="D7928" s="194" t="s">
        <v>8514</v>
      </c>
      <c r="E7928" s="200">
        <v>40273</v>
      </c>
    </row>
    <row r="7929" spans="1:5" ht="14.25" hidden="1" customHeight="1">
      <c r="A7929" s="156"/>
      <c r="B7929" s="172" t="s">
        <v>1190</v>
      </c>
      <c r="C7929" s="172" t="s">
        <v>922</v>
      </c>
      <c r="D7929" s="194" t="s">
        <v>8514</v>
      </c>
      <c r="E7929" s="200">
        <v>40273</v>
      </c>
    </row>
    <row r="7930" spans="1:5" ht="14.25" hidden="1" customHeight="1">
      <c r="A7930" s="156"/>
      <c r="B7930" s="172" t="s">
        <v>3149</v>
      </c>
      <c r="C7930" s="172" t="s">
        <v>7190</v>
      </c>
      <c r="D7930" s="194" t="s">
        <v>8514</v>
      </c>
      <c r="E7930" s="200">
        <v>40273</v>
      </c>
    </row>
    <row r="7931" spans="1:5" ht="14.25" hidden="1" customHeight="1">
      <c r="A7931" s="156"/>
      <c r="B7931" s="172" t="s">
        <v>8542</v>
      </c>
      <c r="C7931" s="172" t="s">
        <v>8543</v>
      </c>
      <c r="D7931" s="194" t="s">
        <v>8514</v>
      </c>
      <c r="E7931" s="200">
        <v>40273</v>
      </c>
    </row>
    <row r="7932" spans="1:5" ht="14.25" hidden="1" customHeight="1">
      <c r="A7932" s="156"/>
      <c r="B7932" s="172" t="s">
        <v>742</v>
      </c>
      <c r="C7932" s="172" t="s">
        <v>743</v>
      </c>
      <c r="D7932" s="194" t="s">
        <v>8514</v>
      </c>
      <c r="E7932" s="200">
        <v>40273</v>
      </c>
    </row>
    <row r="7933" spans="1:5" ht="14.25" hidden="1" customHeight="1">
      <c r="A7933" s="156"/>
      <c r="B7933" s="172" t="s">
        <v>1610</v>
      </c>
      <c r="C7933" s="172" t="s">
        <v>30</v>
      </c>
      <c r="D7933" s="194" t="s">
        <v>8514</v>
      </c>
      <c r="E7933" s="200">
        <v>40273</v>
      </c>
    </row>
    <row r="7934" spans="1:5" ht="14.25" hidden="1" customHeight="1">
      <c r="A7934" s="156"/>
      <c r="B7934" s="172" t="s">
        <v>3975</v>
      </c>
      <c r="C7934" s="172" t="s">
        <v>681</v>
      </c>
      <c r="D7934" s="194" t="s">
        <v>8514</v>
      </c>
      <c r="E7934" s="200">
        <v>40273</v>
      </c>
    </row>
    <row r="7935" spans="1:5" ht="14.25" hidden="1" customHeight="1">
      <c r="A7935" s="156"/>
      <c r="B7935" s="172" t="s">
        <v>901</v>
      </c>
      <c r="C7935" s="172" t="s">
        <v>5134</v>
      </c>
      <c r="D7935" s="194" t="s">
        <v>8514</v>
      </c>
      <c r="E7935" s="200">
        <v>40273</v>
      </c>
    </row>
    <row r="7936" spans="1:5" ht="14.25" hidden="1" customHeight="1">
      <c r="A7936" s="156"/>
      <c r="B7936" s="172" t="s">
        <v>1625</v>
      </c>
      <c r="C7936" s="172" t="s">
        <v>3202</v>
      </c>
      <c r="D7936" s="194" t="s">
        <v>8514</v>
      </c>
      <c r="E7936" s="200">
        <v>40273</v>
      </c>
    </row>
    <row r="7937" spans="1:5" ht="14.25" hidden="1" customHeight="1">
      <c r="A7937" s="156"/>
      <c r="B7937" s="172" t="s">
        <v>2262</v>
      </c>
      <c r="C7937" s="172" t="s">
        <v>178</v>
      </c>
      <c r="D7937" s="194" t="s">
        <v>8514</v>
      </c>
      <c r="E7937" s="200">
        <v>40273</v>
      </c>
    </row>
    <row r="7938" spans="1:5" ht="14.25" hidden="1" customHeight="1">
      <c r="A7938" s="156"/>
      <c r="B7938" s="172" t="s">
        <v>2840</v>
      </c>
      <c r="C7938" s="172" t="s">
        <v>7165</v>
      </c>
      <c r="D7938" s="194" t="s">
        <v>8514</v>
      </c>
      <c r="E7938" s="200">
        <v>40273</v>
      </c>
    </row>
    <row r="7939" spans="1:5" ht="14.25" hidden="1" customHeight="1">
      <c r="A7939" s="156"/>
      <c r="B7939" s="172" t="s">
        <v>8544</v>
      </c>
      <c r="C7939" s="172" t="s">
        <v>2678</v>
      </c>
      <c r="D7939" s="194" t="s">
        <v>8514</v>
      </c>
      <c r="E7939" s="200">
        <v>40273</v>
      </c>
    </row>
    <row r="7940" spans="1:5" ht="14.25" hidden="1" customHeight="1">
      <c r="A7940" s="156"/>
      <c r="B7940" s="172" t="s">
        <v>4900</v>
      </c>
      <c r="C7940" s="172" t="s">
        <v>902</v>
      </c>
      <c r="D7940" s="194" t="s">
        <v>8514</v>
      </c>
      <c r="E7940" s="200">
        <v>40273</v>
      </c>
    </row>
    <row r="7941" spans="1:5" ht="14.25" hidden="1" customHeight="1">
      <c r="A7941" s="156"/>
      <c r="B7941" s="172" t="s">
        <v>6392</v>
      </c>
      <c r="C7941" s="172" t="s">
        <v>8545</v>
      </c>
      <c r="D7941" s="194" t="s">
        <v>8514</v>
      </c>
      <c r="E7941" s="200">
        <v>40273</v>
      </c>
    </row>
    <row r="7942" spans="1:5" ht="14.25" hidden="1" customHeight="1">
      <c r="A7942" s="156"/>
      <c r="B7942" s="172" t="s">
        <v>2607</v>
      </c>
      <c r="C7942" s="172" t="s">
        <v>8546</v>
      </c>
      <c r="D7942" s="194" t="s">
        <v>8514</v>
      </c>
      <c r="E7942" s="200">
        <v>40273</v>
      </c>
    </row>
    <row r="7943" spans="1:5" ht="14.25" hidden="1" customHeight="1">
      <c r="A7943" s="156"/>
      <c r="B7943" s="172" t="s">
        <v>879</v>
      </c>
      <c r="C7943" s="172" t="s">
        <v>2102</v>
      </c>
      <c r="D7943" s="194" t="s">
        <v>8514</v>
      </c>
      <c r="E7943" s="200">
        <v>40273</v>
      </c>
    </row>
    <row r="7944" spans="1:5" ht="14.25" hidden="1" customHeight="1">
      <c r="A7944" s="156"/>
      <c r="B7944" s="172" t="s">
        <v>1637</v>
      </c>
      <c r="C7944" s="172" t="s">
        <v>8547</v>
      </c>
      <c r="D7944" s="194" t="s">
        <v>8514</v>
      </c>
      <c r="E7944" s="200">
        <v>40273</v>
      </c>
    </row>
    <row r="7945" spans="1:5" ht="14.25" hidden="1" customHeight="1">
      <c r="A7945" s="156"/>
      <c r="B7945" s="172" t="s">
        <v>4893</v>
      </c>
      <c r="C7945" s="172" t="s">
        <v>1535</v>
      </c>
      <c r="D7945" s="194" t="s">
        <v>8514</v>
      </c>
      <c r="E7945" s="200">
        <v>40273</v>
      </c>
    </row>
    <row r="7946" spans="1:5" ht="14.25" hidden="1" customHeight="1">
      <c r="A7946" s="156"/>
      <c r="B7946" s="172" t="s">
        <v>2291</v>
      </c>
      <c r="C7946" s="172" t="s">
        <v>8548</v>
      </c>
      <c r="D7946" s="194" t="s">
        <v>8514</v>
      </c>
      <c r="E7946" s="200">
        <v>40273</v>
      </c>
    </row>
    <row r="7947" spans="1:5" ht="14.25" hidden="1" customHeight="1">
      <c r="A7947" s="156"/>
      <c r="B7947" s="172" t="s">
        <v>8549</v>
      </c>
      <c r="C7947" s="172" t="s">
        <v>4373</v>
      </c>
      <c r="D7947" s="194" t="s">
        <v>8514</v>
      </c>
      <c r="E7947" s="200">
        <v>40273</v>
      </c>
    </row>
    <row r="7948" spans="1:5" ht="14.25" hidden="1" customHeight="1">
      <c r="A7948" s="156"/>
      <c r="B7948" s="172" t="s">
        <v>8550</v>
      </c>
      <c r="C7948" s="172" t="s">
        <v>8040</v>
      </c>
      <c r="D7948" s="194" t="s">
        <v>8514</v>
      </c>
      <c r="E7948" s="200">
        <v>40273</v>
      </c>
    </row>
    <row r="7949" spans="1:5" ht="14.25" hidden="1" customHeight="1">
      <c r="A7949" s="156"/>
      <c r="B7949" s="172" t="s">
        <v>1842</v>
      </c>
      <c r="C7949" s="172" t="s">
        <v>1173</v>
      </c>
      <c r="D7949" s="194" t="s">
        <v>8514</v>
      </c>
      <c r="E7949" s="200">
        <v>40273</v>
      </c>
    </row>
    <row r="7950" spans="1:5" ht="14.25" hidden="1" customHeight="1">
      <c r="A7950" s="156"/>
      <c r="B7950" s="172" t="s">
        <v>8551</v>
      </c>
      <c r="C7950" s="172" t="s">
        <v>8552</v>
      </c>
      <c r="D7950" s="194" t="s">
        <v>8514</v>
      </c>
      <c r="E7950" s="200">
        <v>40273</v>
      </c>
    </row>
    <row r="7951" spans="1:5" ht="14.25" hidden="1" customHeight="1">
      <c r="A7951" s="156"/>
      <c r="B7951" s="172" t="s">
        <v>8553</v>
      </c>
      <c r="C7951" s="172" t="s">
        <v>8554</v>
      </c>
      <c r="D7951" s="194" t="s">
        <v>8514</v>
      </c>
      <c r="E7951" s="200">
        <v>40273</v>
      </c>
    </row>
    <row r="7952" spans="1:5" ht="14.25" hidden="1" customHeight="1">
      <c r="A7952" s="156"/>
      <c r="B7952" s="172" t="s">
        <v>4907</v>
      </c>
      <c r="C7952" s="172" t="s">
        <v>2171</v>
      </c>
      <c r="D7952" s="194" t="s">
        <v>8514</v>
      </c>
      <c r="E7952" s="200">
        <v>40273</v>
      </c>
    </row>
    <row r="7953" spans="1:5" ht="14.25" hidden="1" customHeight="1">
      <c r="A7953" s="156"/>
      <c r="B7953" s="172" t="s">
        <v>8555</v>
      </c>
      <c r="C7953" s="172" t="s">
        <v>6454</v>
      </c>
      <c r="D7953" s="194" t="s">
        <v>8514</v>
      </c>
      <c r="E7953" s="200">
        <v>40273</v>
      </c>
    </row>
    <row r="7954" spans="1:5" ht="14.25" hidden="1" customHeight="1">
      <c r="A7954" s="156">
        <v>11910796</v>
      </c>
      <c r="B7954" s="172" t="s">
        <v>3826</v>
      </c>
      <c r="C7954" s="172" t="s">
        <v>3829</v>
      </c>
      <c r="D7954" s="194" t="s">
        <v>8556</v>
      </c>
      <c r="E7954" s="200">
        <v>40269</v>
      </c>
    </row>
    <row r="7955" spans="1:5" ht="14.25" hidden="1" customHeight="1">
      <c r="A7955" s="156">
        <v>13113765</v>
      </c>
      <c r="B7955" s="172" t="s">
        <v>1463</v>
      </c>
      <c r="C7955" s="172" t="s">
        <v>1464</v>
      </c>
      <c r="D7955" s="194" t="s">
        <v>8556</v>
      </c>
      <c r="E7955" s="200">
        <v>40269</v>
      </c>
    </row>
    <row r="7956" spans="1:5" ht="14.25" hidden="1" customHeight="1">
      <c r="A7956" s="156">
        <v>13627408</v>
      </c>
      <c r="B7956" s="172" t="s">
        <v>3958</v>
      </c>
      <c r="C7956" s="172" t="s">
        <v>3959</v>
      </c>
      <c r="D7956" s="194" t="s">
        <v>8556</v>
      </c>
      <c r="E7956" s="200">
        <v>40269</v>
      </c>
    </row>
    <row r="7957" spans="1:5" ht="14.25" hidden="1" customHeight="1">
      <c r="A7957" s="156">
        <v>14225505</v>
      </c>
      <c r="B7957" s="172" t="s">
        <v>260</v>
      </c>
      <c r="C7957" s="172" t="s">
        <v>7204</v>
      </c>
      <c r="D7957" s="194" t="s">
        <v>8556</v>
      </c>
      <c r="E7957" s="200">
        <v>40269</v>
      </c>
    </row>
    <row r="7958" spans="1:5" ht="14.25" hidden="1" customHeight="1">
      <c r="A7958" s="156">
        <v>14234802</v>
      </c>
      <c r="B7958" s="172" t="s">
        <v>499</v>
      </c>
      <c r="C7958" s="172" t="s">
        <v>2986</v>
      </c>
      <c r="D7958" s="194" t="s">
        <v>8556</v>
      </c>
      <c r="E7958" s="200">
        <v>40269</v>
      </c>
    </row>
    <row r="7959" spans="1:5" ht="14.25" hidden="1" customHeight="1">
      <c r="A7959" s="156">
        <v>16314095</v>
      </c>
      <c r="B7959" s="172" t="s">
        <v>760</v>
      </c>
      <c r="C7959" s="172" t="s">
        <v>761</v>
      </c>
      <c r="D7959" s="194" t="s">
        <v>8556</v>
      </c>
      <c r="E7959" s="200">
        <v>40269</v>
      </c>
    </row>
    <row r="7960" spans="1:5" ht="14.25" hidden="1" customHeight="1">
      <c r="A7960" s="156">
        <v>16314577</v>
      </c>
      <c r="B7960" s="172" t="s">
        <v>8559</v>
      </c>
      <c r="C7960" s="172" t="s">
        <v>378</v>
      </c>
      <c r="D7960" s="194" t="s">
        <v>8556</v>
      </c>
      <c r="E7960" s="200">
        <v>40269</v>
      </c>
    </row>
    <row r="7961" spans="1:5" ht="14.25" hidden="1" customHeight="1">
      <c r="A7961" s="156">
        <v>16685009</v>
      </c>
      <c r="B7961" s="172" t="s">
        <v>2936</v>
      </c>
      <c r="C7961" s="172" t="s">
        <v>2937</v>
      </c>
      <c r="D7961" s="194" t="s">
        <v>8556</v>
      </c>
      <c r="E7961" s="200">
        <v>40269</v>
      </c>
    </row>
    <row r="7962" spans="1:5" ht="14.25" hidden="1" customHeight="1">
      <c r="A7962" s="156">
        <v>16685790</v>
      </c>
      <c r="B7962" s="172" t="s">
        <v>3016</v>
      </c>
      <c r="C7962" s="172" t="s">
        <v>3017</v>
      </c>
      <c r="D7962" s="194" t="s">
        <v>8556</v>
      </c>
      <c r="E7962" s="200">
        <v>40269</v>
      </c>
    </row>
    <row r="7963" spans="1:5" ht="14.25" hidden="1" customHeight="1">
      <c r="A7963" s="156">
        <v>17376937</v>
      </c>
      <c r="B7963" s="172" t="s">
        <v>1823</v>
      </c>
      <c r="C7963" s="172" t="s">
        <v>462</v>
      </c>
      <c r="D7963" s="194" t="s">
        <v>8556</v>
      </c>
      <c r="E7963" s="200">
        <v>40269</v>
      </c>
    </row>
    <row r="7964" spans="1:5" ht="14.25" hidden="1" customHeight="1">
      <c r="A7964" s="156">
        <v>17859807</v>
      </c>
      <c r="B7964" s="172" t="s">
        <v>413</v>
      </c>
      <c r="C7964" s="172" t="s">
        <v>5674</v>
      </c>
      <c r="D7964" s="194" t="s">
        <v>8556</v>
      </c>
      <c r="E7964" s="200">
        <v>40269</v>
      </c>
    </row>
    <row r="7965" spans="1:5" ht="14.25" hidden="1" customHeight="1">
      <c r="A7965" s="156">
        <v>18464515</v>
      </c>
      <c r="B7965" s="172" t="s">
        <v>4570</v>
      </c>
      <c r="C7965" s="172" t="s">
        <v>4571</v>
      </c>
      <c r="D7965" s="194" t="s">
        <v>8556</v>
      </c>
      <c r="E7965" s="200">
        <v>40269</v>
      </c>
    </row>
    <row r="7966" spans="1:5" ht="14.25" hidden="1" customHeight="1">
      <c r="A7966" s="156">
        <v>18473585</v>
      </c>
      <c r="B7966" s="172" t="s">
        <v>8557</v>
      </c>
      <c r="C7966" s="172" t="s">
        <v>215</v>
      </c>
      <c r="D7966" s="194" t="s">
        <v>8556</v>
      </c>
      <c r="E7966" s="200">
        <v>40269</v>
      </c>
    </row>
    <row r="7967" spans="1:5" ht="14.25" hidden="1" customHeight="1">
      <c r="A7967" s="156">
        <v>20159202</v>
      </c>
      <c r="B7967" s="172" t="s">
        <v>980</v>
      </c>
      <c r="C7967" s="172" t="s">
        <v>3130</v>
      </c>
      <c r="D7967" s="194" t="s">
        <v>8556</v>
      </c>
      <c r="E7967" s="200">
        <v>40269</v>
      </c>
    </row>
    <row r="7968" spans="1:5" ht="14.25" hidden="1" customHeight="1">
      <c r="A7968" s="156">
        <v>20284560</v>
      </c>
      <c r="B7968" s="172" t="s">
        <v>7563</v>
      </c>
      <c r="C7968" s="172" t="s">
        <v>7564</v>
      </c>
      <c r="D7968" s="194" t="s">
        <v>8556</v>
      </c>
      <c r="E7968" s="200">
        <v>40269</v>
      </c>
    </row>
    <row r="7969" spans="1:5" ht="14.25" hidden="1" customHeight="1">
      <c r="A7969" s="156">
        <v>20662321</v>
      </c>
      <c r="B7969" s="172" t="s">
        <v>8492</v>
      </c>
      <c r="C7969" s="172" t="s">
        <v>8558</v>
      </c>
      <c r="D7969" s="194" t="s">
        <v>8556</v>
      </c>
      <c r="E7969" s="200">
        <v>40269</v>
      </c>
    </row>
    <row r="7970" spans="1:5" ht="14.25" hidden="1" customHeight="1">
      <c r="A7970" s="156">
        <v>21328294</v>
      </c>
      <c r="B7970" s="172" t="s">
        <v>6770</v>
      </c>
      <c r="C7970" s="172" t="s">
        <v>6771</v>
      </c>
      <c r="D7970" s="194" t="s">
        <v>8556</v>
      </c>
      <c r="E7970" s="200">
        <v>40269</v>
      </c>
    </row>
    <row r="7971" spans="1:5" ht="14.25" hidden="1" customHeight="1">
      <c r="A7971" s="156">
        <v>21335736</v>
      </c>
      <c r="B7971" s="172" t="s">
        <v>574</v>
      </c>
      <c r="C7971" s="172" t="s">
        <v>749</v>
      </c>
      <c r="D7971" s="194" t="s">
        <v>8556</v>
      </c>
      <c r="E7971" s="200">
        <v>40269</v>
      </c>
    </row>
    <row r="7972" spans="1:5" ht="14.25" hidden="1" customHeight="1">
      <c r="A7972" s="156">
        <v>21894733</v>
      </c>
      <c r="B7972" s="172" t="s">
        <v>4206</v>
      </c>
      <c r="C7972" s="172" t="s">
        <v>4207</v>
      </c>
      <c r="D7972" s="194" t="s">
        <v>8556</v>
      </c>
      <c r="E7972" s="200">
        <v>40269</v>
      </c>
    </row>
    <row r="7973" spans="1:5" ht="14.25" hidden="1" customHeight="1">
      <c r="A7973" s="156">
        <v>22181097</v>
      </c>
      <c r="B7973" s="172" t="s">
        <v>4043</v>
      </c>
      <c r="C7973" s="172" t="s">
        <v>4044</v>
      </c>
      <c r="D7973" s="194" t="s">
        <v>8556</v>
      </c>
      <c r="E7973" s="200">
        <v>40269</v>
      </c>
    </row>
    <row r="7974" spans="1:5" ht="14.25" hidden="1" customHeight="1">
      <c r="A7974" s="156">
        <v>22414030</v>
      </c>
      <c r="B7974" s="172" t="s">
        <v>750</v>
      </c>
      <c r="C7974" s="172" t="s">
        <v>751</v>
      </c>
      <c r="D7974" s="194" t="s">
        <v>8556</v>
      </c>
      <c r="E7974" s="200">
        <v>40269</v>
      </c>
    </row>
    <row r="7975" spans="1:5" ht="14.25" hidden="1" customHeight="1">
      <c r="A7975" s="156">
        <v>22708009</v>
      </c>
      <c r="B7975" s="172" t="s">
        <v>2983</v>
      </c>
      <c r="C7975" s="172" t="s">
        <v>455</v>
      </c>
      <c r="D7975" s="194" t="s">
        <v>8556</v>
      </c>
      <c r="E7975" s="200">
        <v>40269</v>
      </c>
    </row>
    <row r="7976" spans="1:5" ht="14.25" hidden="1" customHeight="1">
      <c r="A7976" s="156">
        <v>25735665</v>
      </c>
      <c r="B7976" s="172" t="s">
        <v>734</v>
      </c>
      <c r="C7976" s="172" t="s">
        <v>737</v>
      </c>
      <c r="D7976" s="194" t="s">
        <v>8556</v>
      </c>
      <c r="E7976" s="200">
        <v>40269</v>
      </c>
    </row>
    <row r="7977" spans="1:5" ht="14.25" hidden="1" customHeight="1">
      <c r="A7977" s="156">
        <v>25735833</v>
      </c>
      <c r="B7977" s="172" t="s">
        <v>3622</v>
      </c>
      <c r="C7977" s="172" t="s">
        <v>4184</v>
      </c>
      <c r="D7977" s="194" t="s">
        <v>8556</v>
      </c>
      <c r="E7977" s="200">
        <v>40269</v>
      </c>
    </row>
    <row r="7978" spans="1:5" ht="14.25" hidden="1" customHeight="1">
      <c r="A7978" s="156">
        <v>27364727</v>
      </c>
      <c r="B7978" s="172" t="s">
        <v>1833</v>
      </c>
      <c r="C7978" s="172" t="s">
        <v>1834</v>
      </c>
      <c r="D7978" s="194" t="s">
        <v>8556</v>
      </c>
      <c r="E7978" s="200">
        <v>40269</v>
      </c>
    </row>
    <row r="7979" spans="1:5" ht="14.25" hidden="1" customHeight="1">
      <c r="A7979" s="156">
        <v>28883847</v>
      </c>
      <c r="B7979" s="172" t="s">
        <v>350</v>
      </c>
      <c r="C7979" s="172" t="s">
        <v>3022</v>
      </c>
      <c r="D7979" s="194" t="s">
        <v>8556</v>
      </c>
      <c r="E7979" s="200">
        <v>40269</v>
      </c>
    </row>
    <row r="7980" spans="1:5" ht="14.25" hidden="1" customHeight="1">
      <c r="A7980" s="156">
        <v>29587804</v>
      </c>
      <c r="B7980" s="172" t="s">
        <v>8560</v>
      </c>
      <c r="C7980" s="172" t="s">
        <v>4341</v>
      </c>
      <c r="D7980" s="194" t="s">
        <v>8556</v>
      </c>
      <c r="E7980" s="200">
        <v>40269</v>
      </c>
    </row>
    <row r="7981" spans="1:5" ht="14.25" hidden="1" customHeight="1">
      <c r="A7981" s="156">
        <v>29666064</v>
      </c>
      <c r="B7981" s="172" t="s">
        <v>1466</v>
      </c>
      <c r="C7981" s="172" t="s">
        <v>1467</v>
      </c>
      <c r="D7981" s="194" t="s">
        <v>8556</v>
      </c>
      <c r="E7981" s="200">
        <v>40269</v>
      </c>
    </row>
    <row r="7982" spans="1:5" ht="14.25" hidden="1" customHeight="1">
      <c r="A7982" s="156">
        <v>30116373</v>
      </c>
      <c r="B7982" s="172" t="s">
        <v>3789</v>
      </c>
      <c r="C7982" s="172" t="s">
        <v>2853</v>
      </c>
      <c r="D7982" s="194" t="s">
        <v>8556</v>
      </c>
      <c r="E7982" s="200">
        <v>40269</v>
      </c>
    </row>
    <row r="7983" spans="1:5" ht="14.25" hidden="1" customHeight="1">
      <c r="A7983" s="156">
        <v>92825116</v>
      </c>
      <c r="B7983" s="172" t="s">
        <v>970</v>
      </c>
      <c r="C7983" s="172" t="s">
        <v>968</v>
      </c>
      <c r="D7983" s="194" t="s">
        <v>8556</v>
      </c>
      <c r="E7983" s="200">
        <v>40269</v>
      </c>
    </row>
    <row r="7984" spans="1:5" ht="14.25" hidden="1" customHeight="1">
      <c r="A7984" s="156"/>
      <c r="B7984" s="172" t="s">
        <v>2709</v>
      </c>
      <c r="C7984" s="172" t="s">
        <v>2102</v>
      </c>
      <c r="D7984" s="194" t="s">
        <v>8556</v>
      </c>
      <c r="E7984" s="200">
        <v>40269</v>
      </c>
    </row>
    <row r="7985" spans="1:5" ht="14.25" hidden="1" customHeight="1">
      <c r="A7985" s="156">
        <v>6147140</v>
      </c>
      <c r="B7985" s="172" t="s">
        <v>3657</v>
      </c>
      <c r="C7985" s="172" t="s">
        <v>4272</v>
      </c>
      <c r="D7985" s="194" t="s">
        <v>7309</v>
      </c>
      <c r="E7985" s="200">
        <v>40242</v>
      </c>
    </row>
    <row r="7986" spans="1:5" ht="14.25" hidden="1" customHeight="1">
      <c r="A7986" s="156">
        <v>10221705</v>
      </c>
      <c r="B7986" s="172" t="s">
        <v>1102</v>
      </c>
      <c r="C7986" s="172" t="s">
        <v>7611</v>
      </c>
      <c r="D7986" s="194" t="s">
        <v>7309</v>
      </c>
      <c r="E7986" s="200">
        <v>40242</v>
      </c>
    </row>
    <row r="7987" spans="1:5" ht="14.25" hidden="1" customHeight="1">
      <c r="A7987" s="156">
        <v>17345044</v>
      </c>
      <c r="B7987" s="172" t="s">
        <v>3931</v>
      </c>
      <c r="C7987" s="172" t="s">
        <v>1310</v>
      </c>
      <c r="D7987" s="194" t="s">
        <v>7309</v>
      </c>
      <c r="E7987" s="200">
        <v>40242</v>
      </c>
    </row>
    <row r="7988" spans="1:5" ht="14.25" hidden="1" customHeight="1">
      <c r="A7988" s="156">
        <v>17574495</v>
      </c>
      <c r="B7988" s="172" t="s">
        <v>633</v>
      </c>
      <c r="C7988" s="172" t="s">
        <v>634</v>
      </c>
      <c r="D7988" s="194" t="s">
        <v>7309</v>
      </c>
      <c r="E7988" s="200">
        <v>40242</v>
      </c>
    </row>
    <row r="7989" spans="1:5" ht="14.25" hidden="1" customHeight="1">
      <c r="A7989" s="156">
        <v>17614718</v>
      </c>
      <c r="B7989" s="172" t="s">
        <v>5512</v>
      </c>
      <c r="C7989" s="172" t="s">
        <v>5513</v>
      </c>
      <c r="D7989" s="194" t="s">
        <v>7309</v>
      </c>
      <c r="E7989" s="200">
        <v>40242</v>
      </c>
    </row>
    <row r="7990" spans="1:5" ht="14.25" hidden="1" customHeight="1">
      <c r="A7990" s="156">
        <v>23019235</v>
      </c>
      <c r="B7990" s="172" t="s">
        <v>2856</v>
      </c>
      <c r="C7990" s="172" t="s">
        <v>8245</v>
      </c>
      <c r="D7990" s="194" t="s">
        <v>7309</v>
      </c>
      <c r="E7990" s="200">
        <v>40242</v>
      </c>
    </row>
    <row r="7991" spans="1:5" ht="14.25" hidden="1" customHeight="1">
      <c r="A7991" s="156">
        <v>26914408</v>
      </c>
      <c r="B7991" s="172" t="s">
        <v>184</v>
      </c>
      <c r="C7991" s="172" t="s">
        <v>455</v>
      </c>
      <c r="D7991" s="194" t="s">
        <v>7309</v>
      </c>
      <c r="E7991" s="200">
        <v>40242</v>
      </c>
    </row>
    <row r="7992" spans="1:5" ht="14.25" hidden="1" customHeight="1">
      <c r="A7992" s="156">
        <v>27731179</v>
      </c>
      <c r="B7992" s="172" t="s">
        <v>4991</v>
      </c>
      <c r="C7992" s="172" t="s">
        <v>5546</v>
      </c>
      <c r="D7992" s="194" t="s">
        <v>7309</v>
      </c>
      <c r="E7992" s="200">
        <v>40242</v>
      </c>
    </row>
    <row r="7993" spans="1:5" ht="14.25" hidden="1" customHeight="1">
      <c r="A7993" s="156">
        <v>29555986</v>
      </c>
      <c r="B7993" s="172" t="s">
        <v>8561</v>
      </c>
      <c r="C7993" s="172" t="s">
        <v>8562</v>
      </c>
      <c r="D7993" s="194" t="s">
        <v>7309</v>
      </c>
      <c r="E7993" s="200">
        <v>40242</v>
      </c>
    </row>
    <row r="7994" spans="1:5" ht="14.25" hidden="1" customHeight="1">
      <c r="A7994" s="156">
        <v>29878019</v>
      </c>
      <c r="B7994" s="172" t="s">
        <v>8489</v>
      </c>
      <c r="C7994" s="172" t="s">
        <v>8490</v>
      </c>
      <c r="D7994" s="194" t="s">
        <v>7309</v>
      </c>
      <c r="E7994" s="200">
        <v>40242</v>
      </c>
    </row>
    <row r="7995" spans="1:5" ht="14.25" hidden="1" customHeight="1">
      <c r="A7995" s="156">
        <v>30117862</v>
      </c>
      <c r="B7995" s="172" t="s">
        <v>8507</v>
      </c>
      <c r="C7995" s="172" t="s">
        <v>8508</v>
      </c>
      <c r="D7995" s="194" t="s">
        <v>7309</v>
      </c>
      <c r="E7995" s="200">
        <v>40242</v>
      </c>
    </row>
    <row r="7996" spans="1:5" ht="14.25" hidden="1" customHeight="1">
      <c r="A7996" s="156"/>
      <c r="B7996" s="172" t="s">
        <v>144</v>
      </c>
      <c r="C7996" s="172" t="s">
        <v>8563</v>
      </c>
      <c r="D7996" s="194" t="s">
        <v>7309</v>
      </c>
      <c r="E7996" s="200">
        <v>40242</v>
      </c>
    </row>
    <row r="7997" spans="1:5" ht="14.25" hidden="1" customHeight="1">
      <c r="A7997" s="156">
        <v>10402357</v>
      </c>
      <c r="B7997" s="172" t="s">
        <v>1401</v>
      </c>
      <c r="C7997" s="172" t="s">
        <v>8564</v>
      </c>
      <c r="D7997" s="194" t="s">
        <v>7288</v>
      </c>
      <c r="E7997" s="200">
        <v>40242</v>
      </c>
    </row>
    <row r="7998" spans="1:5" ht="14.25" hidden="1" customHeight="1">
      <c r="A7998" s="156">
        <v>10645222</v>
      </c>
      <c r="B7998" s="172" t="s">
        <v>3732</v>
      </c>
      <c r="C7998" s="172" t="s">
        <v>8269</v>
      </c>
      <c r="D7998" s="194" t="s">
        <v>7288</v>
      </c>
      <c r="E7998" s="200">
        <v>40242</v>
      </c>
    </row>
    <row r="7999" spans="1:5" ht="14.25" hidden="1" customHeight="1">
      <c r="A7999" s="156">
        <v>13273687</v>
      </c>
      <c r="B7999" s="172" t="s">
        <v>3013</v>
      </c>
      <c r="C7999" s="172" t="s">
        <v>3014</v>
      </c>
      <c r="D7999" s="194" t="s">
        <v>7288</v>
      </c>
      <c r="E7999" s="200">
        <v>40242</v>
      </c>
    </row>
    <row r="8000" spans="1:5" ht="14.25" hidden="1" customHeight="1">
      <c r="A8000" s="156">
        <v>13475331</v>
      </c>
      <c r="B8000" s="172" t="s">
        <v>996</v>
      </c>
      <c r="C8000" s="172" t="s">
        <v>3670</v>
      </c>
      <c r="D8000" s="194" t="s">
        <v>7288</v>
      </c>
      <c r="E8000" s="200">
        <v>40242</v>
      </c>
    </row>
    <row r="8001" spans="1:5" ht="14.25" hidden="1" customHeight="1">
      <c r="A8001" s="156">
        <v>18513287</v>
      </c>
      <c r="B8001" s="172" t="s">
        <v>6090</v>
      </c>
      <c r="C8001" s="172" t="s">
        <v>2447</v>
      </c>
      <c r="D8001" s="194" t="s">
        <v>7288</v>
      </c>
      <c r="E8001" s="200">
        <v>40242</v>
      </c>
    </row>
    <row r="8002" spans="1:5" ht="14.25" hidden="1" customHeight="1">
      <c r="A8002" s="156">
        <v>23931397</v>
      </c>
      <c r="B8002" s="172" t="s">
        <v>384</v>
      </c>
      <c r="C8002" s="172" t="s">
        <v>385</v>
      </c>
      <c r="D8002" s="194" t="s">
        <v>7288</v>
      </c>
      <c r="E8002" s="200">
        <v>40242</v>
      </c>
    </row>
    <row r="8003" spans="1:5" ht="14.25" hidden="1" customHeight="1">
      <c r="A8003" s="156">
        <v>25498735</v>
      </c>
      <c r="B8003" s="172" t="s">
        <v>4067</v>
      </c>
      <c r="C8003" s="172" t="s">
        <v>6493</v>
      </c>
      <c r="D8003" s="194" t="s">
        <v>7288</v>
      </c>
      <c r="E8003" s="200">
        <v>40242</v>
      </c>
    </row>
    <row r="8004" spans="1:5" ht="14.25" hidden="1" customHeight="1">
      <c r="A8004" s="156">
        <v>28147332</v>
      </c>
      <c r="B8004" s="172" t="s">
        <v>7107</v>
      </c>
      <c r="C8004" s="172" t="s">
        <v>7108</v>
      </c>
      <c r="D8004" s="194" t="s">
        <v>7288</v>
      </c>
      <c r="E8004" s="200">
        <v>40242</v>
      </c>
    </row>
    <row r="8005" spans="1:5" ht="14.25" hidden="1" customHeight="1">
      <c r="A8005" s="156">
        <v>29102855</v>
      </c>
      <c r="B8005" s="172" t="s">
        <v>7152</v>
      </c>
      <c r="C8005" s="172" t="s">
        <v>8565</v>
      </c>
      <c r="D8005" s="194" t="s">
        <v>7288</v>
      </c>
      <c r="E8005" s="200">
        <v>40242</v>
      </c>
    </row>
    <row r="8006" spans="1:5" ht="14.25" hidden="1" customHeight="1">
      <c r="A8006" s="156">
        <v>11707323</v>
      </c>
      <c r="B8006" s="172" t="s">
        <v>1133</v>
      </c>
      <c r="C8006" s="172" t="s">
        <v>274</v>
      </c>
      <c r="D8006" s="194" t="s">
        <v>8566</v>
      </c>
      <c r="E8006" s="200">
        <v>40240</v>
      </c>
    </row>
    <row r="8007" spans="1:5" ht="14.25" hidden="1" customHeight="1">
      <c r="A8007" s="156">
        <v>12402455</v>
      </c>
      <c r="B8007" s="172" t="s">
        <v>1273</v>
      </c>
      <c r="C8007" s="172" t="s">
        <v>274</v>
      </c>
      <c r="D8007" s="194" t="s">
        <v>8566</v>
      </c>
      <c r="E8007" s="200">
        <v>40240</v>
      </c>
    </row>
    <row r="8008" spans="1:5" ht="14.25" hidden="1" customHeight="1">
      <c r="A8008" s="156">
        <v>12414512</v>
      </c>
      <c r="B8008" s="172" t="s">
        <v>640</v>
      </c>
      <c r="C8008" s="172" t="s">
        <v>641</v>
      </c>
      <c r="D8008" s="194" t="s">
        <v>8566</v>
      </c>
      <c r="E8008" s="200">
        <v>40240</v>
      </c>
    </row>
    <row r="8009" spans="1:5" ht="14.25" hidden="1" customHeight="1">
      <c r="A8009" s="156">
        <v>13066434</v>
      </c>
      <c r="B8009" s="172" t="s">
        <v>1565</v>
      </c>
      <c r="C8009" s="172" t="s">
        <v>758</v>
      </c>
      <c r="D8009" s="194" t="s">
        <v>8566</v>
      </c>
      <c r="E8009" s="200">
        <v>40240</v>
      </c>
    </row>
    <row r="8010" spans="1:5" ht="14.25" hidden="1" customHeight="1">
      <c r="A8010" s="156">
        <v>14073021</v>
      </c>
      <c r="B8010" s="172" t="s">
        <v>218</v>
      </c>
      <c r="C8010" s="172" t="s">
        <v>1085</v>
      </c>
      <c r="D8010" s="194" t="s">
        <v>8566</v>
      </c>
      <c r="E8010" s="200">
        <v>40240</v>
      </c>
    </row>
    <row r="8011" spans="1:5" ht="14.25" hidden="1" customHeight="1">
      <c r="A8011" s="156">
        <v>14225505</v>
      </c>
      <c r="B8011" s="172" t="s">
        <v>260</v>
      </c>
      <c r="C8011" s="172" t="s">
        <v>7204</v>
      </c>
      <c r="D8011" s="194" t="s">
        <v>8566</v>
      </c>
      <c r="E8011" s="200">
        <v>40240</v>
      </c>
    </row>
    <row r="8012" spans="1:5" ht="14.25" hidden="1" customHeight="1">
      <c r="A8012" s="156">
        <v>17613398</v>
      </c>
      <c r="B8012" s="172" t="s">
        <v>6100</v>
      </c>
      <c r="C8012" s="172" t="s">
        <v>5205</v>
      </c>
      <c r="D8012" s="194" t="s">
        <v>8566</v>
      </c>
      <c r="E8012" s="200">
        <v>40240</v>
      </c>
    </row>
    <row r="8013" spans="1:5" ht="14.25" hidden="1" customHeight="1">
      <c r="A8013" s="156">
        <v>17947777</v>
      </c>
      <c r="B8013" s="172" t="s">
        <v>422</v>
      </c>
      <c r="C8013" s="172" t="s">
        <v>8568</v>
      </c>
      <c r="D8013" s="194" t="s">
        <v>8566</v>
      </c>
      <c r="E8013" s="200">
        <v>40240</v>
      </c>
    </row>
    <row r="8014" spans="1:5" ht="14.25" hidden="1" customHeight="1">
      <c r="A8014" s="156">
        <v>21328294</v>
      </c>
      <c r="B8014" s="172" t="s">
        <v>6770</v>
      </c>
      <c r="C8014" s="172" t="s">
        <v>8567</v>
      </c>
      <c r="D8014" s="194" t="s">
        <v>8566</v>
      </c>
      <c r="E8014" s="200">
        <v>40240</v>
      </c>
    </row>
    <row r="8015" spans="1:5" ht="14.25" hidden="1" customHeight="1">
      <c r="A8015" s="156">
        <v>23411308</v>
      </c>
      <c r="B8015" s="172" t="s">
        <v>2359</v>
      </c>
      <c r="C8015" s="172" t="s">
        <v>962</v>
      </c>
      <c r="D8015" s="194" t="s">
        <v>8566</v>
      </c>
      <c r="E8015" s="200">
        <v>40240</v>
      </c>
    </row>
    <row r="8016" spans="1:5" ht="14.25" hidden="1" customHeight="1">
      <c r="A8016" s="156">
        <v>23930491</v>
      </c>
      <c r="B8016" s="172" t="s">
        <v>91</v>
      </c>
      <c r="C8016" s="172" t="s">
        <v>92</v>
      </c>
      <c r="D8016" s="194" t="s">
        <v>8566</v>
      </c>
      <c r="E8016" s="200">
        <v>40240</v>
      </c>
    </row>
    <row r="8017" spans="1:5" ht="14.25" hidden="1" customHeight="1">
      <c r="A8017" s="156">
        <v>26412398</v>
      </c>
      <c r="B8017" s="172" t="s">
        <v>218</v>
      </c>
      <c r="C8017" s="172" t="s">
        <v>6154</v>
      </c>
      <c r="D8017" s="194" t="s">
        <v>8566</v>
      </c>
      <c r="E8017" s="200">
        <v>40240</v>
      </c>
    </row>
    <row r="8018" spans="1:5" ht="14.25" hidden="1" customHeight="1">
      <c r="A8018" s="156">
        <v>26684708</v>
      </c>
      <c r="B8018" s="172" t="s">
        <v>8404</v>
      </c>
      <c r="C8018" s="172" t="s">
        <v>1068</v>
      </c>
      <c r="D8018" s="194" t="s">
        <v>8566</v>
      </c>
      <c r="E8018" s="200">
        <v>40240</v>
      </c>
    </row>
    <row r="8019" spans="1:5" ht="14.25" hidden="1" customHeight="1">
      <c r="A8019" s="156">
        <v>29430210</v>
      </c>
      <c r="B8019" s="172" t="s">
        <v>828</v>
      </c>
      <c r="C8019" s="172" t="s">
        <v>829</v>
      </c>
      <c r="D8019" s="194" t="s">
        <v>8566</v>
      </c>
      <c r="E8019" s="200">
        <v>40240</v>
      </c>
    </row>
    <row r="8020" spans="1:5" ht="14.25" hidden="1" customHeight="1">
      <c r="A8020" s="156">
        <v>35520274</v>
      </c>
      <c r="B8020" s="172" t="s">
        <v>6083</v>
      </c>
      <c r="C8020" s="172" t="s">
        <v>6084</v>
      </c>
      <c r="D8020" s="194" t="s">
        <v>8566</v>
      </c>
      <c r="E8020" s="200">
        <v>40240</v>
      </c>
    </row>
    <row r="8021" spans="1:5" ht="14.25" hidden="1" customHeight="1">
      <c r="A8021" s="156">
        <v>5665687</v>
      </c>
      <c r="B8021" s="172" t="s">
        <v>2972</v>
      </c>
      <c r="C8021" s="172" t="s">
        <v>2973</v>
      </c>
      <c r="D8021" s="194" t="s">
        <v>8569</v>
      </c>
      <c r="E8021" s="200">
        <v>40240</v>
      </c>
    </row>
    <row r="8022" spans="1:5" ht="14.25" hidden="1" customHeight="1">
      <c r="A8022" s="156">
        <v>6352626</v>
      </c>
      <c r="B8022" s="172" t="s">
        <v>3603</v>
      </c>
      <c r="C8022" s="172" t="s">
        <v>468</v>
      </c>
      <c r="D8022" s="194" t="s">
        <v>8569</v>
      </c>
      <c r="E8022" s="200">
        <v>40240</v>
      </c>
    </row>
    <row r="8023" spans="1:5" ht="14.25" hidden="1" customHeight="1">
      <c r="A8023" s="156">
        <v>10219536</v>
      </c>
      <c r="B8023" s="172" t="s">
        <v>2939</v>
      </c>
      <c r="C8023" s="172" t="s">
        <v>2184</v>
      </c>
      <c r="D8023" s="194" t="s">
        <v>8569</v>
      </c>
      <c r="E8023" s="200">
        <v>40240</v>
      </c>
    </row>
    <row r="8024" spans="1:5" ht="14.25" hidden="1" customHeight="1">
      <c r="A8024" s="156">
        <v>12393882</v>
      </c>
      <c r="B8024" s="172" t="s">
        <v>1286</v>
      </c>
      <c r="C8024" s="172" t="s">
        <v>8574</v>
      </c>
      <c r="D8024" s="194" t="s">
        <v>8569</v>
      </c>
      <c r="E8024" s="200">
        <v>40240</v>
      </c>
    </row>
    <row r="8025" spans="1:5" ht="14.25" hidden="1" customHeight="1">
      <c r="A8025" s="156">
        <v>14296958</v>
      </c>
      <c r="B8025" s="172" t="s">
        <v>5838</v>
      </c>
      <c r="C8025" s="172" t="s">
        <v>5839</v>
      </c>
      <c r="D8025" s="194" t="s">
        <v>8569</v>
      </c>
      <c r="E8025" s="200">
        <v>40240</v>
      </c>
    </row>
    <row r="8026" spans="1:5" ht="14.25" hidden="1" customHeight="1">
      <c r="A8026" s="156">
        <v>14660494</v>
      </c>
      <c r="B8026" s="172" t="s">
        <v>8407</v>
      </c>
      <c r="C8026" s="172" t="s">
        <v>7962</v>
      </c>
      <c r="D8026" s="194" t="s">
        <v>8569</v>
      </c>
      <c r="E8026" s="200">
        <v>40240</v>
      </c>
    </row>
    <row r="8027" spans="1:5" ht="14.25" hidden="1" customHeight="1">
      <c r="A8027" s="156">
        <v>16314095</v>
      </c>
      <c r="B8027" s="172" t="s">
        <v>760</v>
      </c>
      <c r="C8027" s="172" t="s">
        <v>8573</v>
      </c>
      <c r="D8027" s="194" t="s">
        <v>8569</v>
      </c>
      <c r="E8027" s="200">
        <v>40240</v>
      </c>
    </row>
    <row r="8028" spans="1:5" ht="14.25" hidden="1" customHeight="1">
      <c r="A8028" s="156">
        <v>16685009</v>
      </c>
      <c r="B8028" s="172" t="s">
        <v>2936</v>
      </c>
      <c r="C8028" s="172" t="s">
        <v>2937</v>
      </c>
      <c r="D8028" s="194" t="s">
        <v>8569</v>
      </c>
      <c r="E8028" s="200">
        <v>40240</v>
      </c>
    </row>
    <row r="8029" spans="1:5" ht="14.25" hidden="1" customHeight="1">
      <c r="A8029" s="156">
        <v>16845010</v>
      </c>
      <c r="B8029" s="172" t="s">
        <v>3803</v>
      </c>
      <c r="C8029" s="172" t="s">
        <v>8570</v>
      </c>
      <c r="D8029" s="194" t="s">
        <v>8569</v>
      </c>
      <c r="E8029" s="200">
        <v>40240</v>
      </c>
    </row>
    <row r="8030" spans="1:5" ht="14.25" hidden="1" customHeight="1">
      <c r="A8030" s="156">
        <v>17270247</v>
      </c>
      <c r="B8030" s="172" t="s">
        <v>5098</v>
      </c>
      <c r="C8030" s="172" t="s">
        <v>1061</v>
      </c>
      <c r="D8030" s="194" t="s">
        <v>8569</v>
      </c>
      <c r="E8030" s="200">
        <v>40240</v>
      </c>
    </row>
    <row r="8031" spans="1:5" ht="14.25" hidden="1" customHeight="1">
      <c r="A8031" s="156">
        <v>18189383</v>
      </c>
      <c r="B8031" s="172" t="s">
        <v>4842</v>
      </c>
      <c r="C8031" s="172" t="s">
        <v>4843</v>
      </c>
      <c r="D8031" s="194" t="s">
        <v>8569</v>
      </c>
      <c r="E8031" s="200">
        <v>40240</v>
      </c>
    </row>
    <row r="8032" spans="1:5" ht="14.25" hidden="1" customHeight="1">
      <c r="A8032" s="156">
        <v>18461335</v>
      </c>
      <c r="B8032" s="172" t="s">
        <v>2919</v>
      </c>
      <c r="C8032" s="172" t="s">
        <v>1003</v>
      </c>
      <c r="D8032" s="194" t="s">
        <v>8569</v>
      </c>
      <c r="E8032" s="200">
        <v>40240</v>
      </c>
    </row>
    <row r="8033" spans="1:5" ht="14.25" hidden="1" customHeight="1">
      <c r="A8033" s="156">
        <v>18473585</v>
      </c>
      <c r="B8033" s="172" t="s">
        <v>8557</v>
      </c>
      <c r="C8033" s="172" t="s">
        <v>215</v>
      </c>
      <c r="D8033" s="194" t="s">
        <v>8569</v>
      </c>
      <c r="E8033" s="200">
        <v>40240</v>
      </c>
    </row>
    <row r="8034" spans="1:5" ht="14.25" hidden="1" customHeight="1">
      <c r="A8034" s="156">
        <v>18501320</v>
      </c>
      <c r="B8034" s="172" t="s">
        <v>1168</v>
      </c>
      <c r="C8034" s="172" t="s">
        <v>6148</v>
      </c>
      <c r="D8034" s="194" t="s">
        <v>8569</v>
      </c>
      <c r="E8034" s="200">
        <v>40240</v>
      </c>
    </row>
    <row r="8035" spans="1:5" ht="14.25" hidden="1" customHeight="1">
      <c r="A8035" s="156">
        <v>23930071</v>
      </c>
      <c r="B8035" s="172" t="s">
        <v>476</v>
      </c>
      <c r="C8035" s="172" t="s">
        <v>6396</v>
      </c>
      <c r="D8035" s="194" t="s">
        <v>8569</v>
      </c>
      <c r="E8035" s="200">
        <v>40240</v>
      </c>
    </row>
    <row r="8036" spans="1:5" ht="14.25" hidden="1" customHeight="1">
      <c r="A8036" s="156">
        <v>23984466</v>
      </c>
      <c r="B8036" s="172" t="s">
        <v>5611</v>
      </c>
      <c r="C8036" s="172" t="s">
        <v>215</v>
      </c>
      <c r="D8036" s="194" t="s">
        <v>8569</v>
      </c>
      <c r="E8036" s="200">
        <v>40240</v>
      </c>
    </row>
    <row r="8037" spans="1:5" ht="14.25" hidden="1" customHeight="1">
      <c r="A8037" s="156">
        <v>25734945</v>
      </c>
      <c r="B8037" s="172" t="s">
        <v>8553</v>
      </c>
      <c r="C8037" s="172" t="s">
        <v>8554</v>
      </c>
      <c r="D8037" s="194" t="s">
        <v>8569</v>
      </c>
      <c r="E8037" s="200">
        <v>40240</v>
      </c>
    </row>
    <row r="8038" spans="1:5" ht="14.25" hidden="1" customHeight="1">
      <c r="A8038" s="156">
        <v>25758684</v>
      </c>
      <c r="B8038" s="172" t="s">
        <v>8571</v>
      </c>
      <c r="C8038" s="172" t="s">
        <v>8572</v>
      </c>
      <c r="D8038" s="194" t="s">
        <v>8569</v>
      </c>
      <c r="E8038" s="200">
        <v>40240</v>
      </c>
    </row>
    <row r="8039" spans="1:5" ht="14.25" hidden="1" customHeight="1">
      <c r="A8039" s="156">
        <v>29587804</v>
      </c>
      <c r="B8039" s="172" t="s">
        <v>8560</v>
      </c>
      <c r="C8039" s="172" t="s">
        <v>4341</v>
      </c>
      <c r="D8039" s="194" t="s">
        <v>8569</v>
      </c>
      <c r="E8039" s="200">
        <v>40240</v>
      </c>
    </row>
    <row r="8040" spans="1:5" ht="14.25" hidden="1" customHeight="1">
      <c r="A8040" s="156">
        <v>92825116</v>
      </c>
      <c r="B8040" s="172" t="s">
        <v>970</v>
      </c>
      <c r="C8040" s="172" t="s">
        <v>968</v>
      </c>
      <c r="D8040" s="194" t="s">
        <v>8569</v>
      </c>
      <c r="E8040" s="200">
        <v>40240</v>
      </c>
    </row>
    <row r="8041" spans="1:5" ht="14.25" hidden="1" customHeight="1">
      <c r="A8041" s="156">
        <v>4779912</v>
      </c>
      <c r="B8041" s="172" t="s">
        <v>1018</v>
      </c>
      <c r="C8041" s="172" t="s">
        <v>1019</v>
      </c>
      <c r="D8041" s="195" t="s">
        <v>7020</v>
      </c>
      <c r="E8041" s="200">
        <v>40240</v>
      </c>
    </row>
    <row r="8042" spans="1:5" ht="14.25" hidden="1" customHeight="1">
      <c r="A8042" s="156">
        <v>5727590</v>
      </c>
      <c r="B8042" s="172" t="s">
        <v>1527</v>
      </c>
      <c r="C8042" s="172" t="s">
        <v>922</v>
      </c>
      <c r="D8042" s="195" t="s">
        <v>7020</v>
      </c>
      <c r="E8042" s="200">
        <v>40240</v>
      </c>
    </row>
    <row r="8043" spans="1:5" ht="14.25" hidden="1" customHeight="1">
      <c r="A8043" s="156">
        <v>13628928</v>
      </c>
      <c r="B8043" s="172" t="s">
        <v>996</v>
      </c>
      <c r="C8043" s="172" t="s">
        <v>8221</v>
      </c>
      <c r="D8043" s="195" t="s">
        <v>7020</v>
      </c>
      <c r="E8043" s="200">
        <v>40240</v>
      </c>
    </row>
    <row r="8044" spans="1:5" ht="14.25" hidden="1" customHeight="1">
      <c r="A8044" s="156">
        <v>16541411</v>
      </c>
      <c r="B8044" s="172" t="s">
        <v>4746</v>
      </c>
      <c r="C8044" s="172" t="s">
        <v>4747</v>
      </c>
      <c r="D8044" s="195" t="s">
        <v>7020</v>
      </c>
      <c r="E8044" s="200">
        <v>40240</v>
      </c>
    </row>
    <row r="8045" spans="1:5" ht="14.25" hidden="1" customHeight="1">
      <c r="A8045" s="156">
        <v>16811869</v>
      </c>
      <c r="B8045" s="172" t="s">
        <v>3634</v>
      </c>
      <c r="C8045" s="172" t="s">
        <v>215</v>
      </c>
      <c r="D8045" s="195" t="s">
        <v>7020</v>
      </c>
      <c r="E8045" s="200">
        <v>40240</v>
      </c>
    </row>
    <row r="8046" spans="1:5" ht="14.25" hidden="1" customHeight="1">
      <c r="A8046" s="156">
        <v>17422012</v>
      </c>
      <c r="B8046" s="172" t="s">
        <v>327</v>
      </c>
      <c r="C8046" s="172" t="s">
        <v>331</v>
      </c>
      <c r="D8046" s="195" t="s">
        <v>7020</v>
      </c>
      <c r="E8046" s="200">
        <v>40240</v>
      </c>
    </row>
    <row r="8047" spans="1:5" ht="14.25" hidden="1" customHeight="1">
      <c r="A8047" s="156">
        <v>18464655</v>
      </c>
      <c r="B8047" s="172" t="s">
        <v>247</v>
      </c>
      <c r="C8047" s="172" t="s">
        <v>8575</v>
      </c>
      <c r="D8047" s="195" t="s">
        <v>7020</v>
      </c>
      <c r="E8047" s="200">
        <v>40240</v>
      </c>
    </row>
    <row r="8048" spans="1:5" ht="14.25" hidden="1" customHeight="1">
      <c r="A8048" s="156">
        <v>22429990</v>
      </c>
      <c r="B8048" s="172" t="s">
        <v>2844</v>
      </c>
      <c r="C8048" s="172" t="s">
        <v>2117</v>
      </c>
      <c r="D8048" s="195" t="s">
        <v>7020</v>
      </c>
      <c r="E8048" s="200">
        <v>40240</v>
      </c>
    </row>
    <row r="8049" spans="1:5" ht="14.25" hidden="1" customHeight="1">
      <c r="A8049" s="156">
        <v>23377039</v>
      </c>
      <c r="B8049" s="172" t="s">
        <v>1119</v>
      </c>
      <c r="C8049" s="172" t="s">
        <v>8576</v>
      </c>
      <c r="D8049" s="195" t="s">
        <v>7020</v>
      </c>
      <c r="E8049" s="200">
        <v>40240</v>
      </c>
    </row>
    <row r="8050" spans="1:5" ht="14.25" hidden="1" customHeight="1">
      <c r="A8050" s="156">
        <v>26834035</v>
      </c>
      <c r="B8050" s="172" t="s">
        <v>8415</v>
      </c>
      <c r="C8050" s="172" t="s">
        <v>2249</v>
      </c>
      <c r="D8050" s="195" t="s">
        <v>7020</v>
      </c>
      <c r="E8050" s="200">
        <v>40240</v>
      </c>
    </row>
    <row r="8051" spans="1:5" ht="14.25" hidden="1" customHeight="1">
      <c r="A8051" s="156">
        <v>31030930</v>
      </c>
      <c r="B8051" s="172" t="s">
        <v>5988</v>
      </c>
      <c r="C8051" s="172" t="s">
        <v>1208</v>
      </c>
      <c r="D8051" s="195" t="s">
        <v>7020</v>
      </c>
      <c r="E8051" s="200">
        <v>40240</v>
      </c>
    </row>
    <row r="8052" spans="1:5" ht="14.25" hidden="1" customHeight="1">
      <c r="A8052" s="156">
        <v>34287573</v>
      </c>
      <c r="B8052" s="172" t="s">
        <v>8432</v>
      </c>
      <c r="C8052" s="172" t="s">
        <v>6155</v>
      </c>
      <c r="D8052" s="195" t="s">
        <v>7020</v>
      </c>
      <c r="E8052" s="200">
        <v>40240</v>
      </c>
    </row>
    <row r="8053" spans="1:5" ht="14.25" hidden="1" customHeight="1">
      <c r="A8053" s="156">
        <v>8067474</v>
      </c>
      <c r="B8053" s="172" t="s">
        <v>723</v>
      </c>
      <c r="C8053" s="172" t="s">
        <v>6324</v>
      </c>
      <c r="D8053" s="194" t="s">
        <v>7018</v>
      </c>
      <c r="E8053" s="200">
        <v>40238</v>
      </c>
    </row>
    <row r="8054" spans="1:5" ht="14.25" hidden="1" customHeight="1">
      <c r="A8054" s="156">
        <v>13784371</v>
      </c>
      <c r="B8054" s="172" t="s">
        <v>6219</v>
      </c>
      <c r="C8054" s="172" t="s">
        <v>8577</v>
      </c>
      <c r="D8054" s="194" t="s">
        <v>7018</v>
      </c>
      <c r="E8054" s="200">
        <v>40238</v>
      </c>
    </row>
    <row r="8055" spans="1:5" ht="14.25" hidden="1" customHeight="1">
      <c r="A8055" s="156">
        <v>14352615</v>
      </c>
      <c r="B8055" s="172" t="s">
        <v>1122</v>
      </c>
      <c r="C8055" s="172" t="s">
        <v>33</v>
      </c>
      <c r="D8055" s="194" t="s">
        <v>7018</v>
      </c>
      <c r="E8055" s="200">
        <v>40238</v>
      </c>
    </row>
    <row r="8056" spans="1:5" ht="14.25" hidden="1" customHeight="1">
      <c r="A8056" s="156">
        <v>14480478</v>
      </c>
      <c r="B8056" s="172" t="s">
        <v>4603</v>
      </c>
      <c r="C8056" s="172" t="s">
        <v>708</v>
      </c>
      <c r="D8056" s="194" t="s">
        <v>7018</v>
      </c>
      <c r="E8056" s="200">
        <v>40238</v>
      </c>
    </row>
    <row r="8057" spans="1:5" ht="14.25" hidden="1" customHeight="1">
      <c r="A8057" s="156">
        <v>17860010</v>
      </c>
      <c r="B8057" s="172" t="s">
        <v>1175</v>
      </c>
      <c r="C8057" s="172" t="s">
        <v>1176</v>
      </c>
      <c r="D8057" s="194" t="s">
        <v>7018</v>
      </c>
      <c r="E8057" s="200">
        <v>40238</v>
      </c>
    </row>
    <row r="8058" spans="1:5" ht="14.25" hidden="1" customHeight="1">
      <c r="A8058" s="156">
        <v>23238959</v>
      </c>
      <c r="B8058" s="172" t="s">
        <v>1416</v>
      </c>
      <c r="C8058" s="172" t="s">
        <v>2538</v>
      </c>
      <c r="D8058" s="194" t="s">
        <v>7018</v>
      </c>
      <c r="E8058" s="200">
        <v>40238</v>
      </c>
    </row>
    <row r="8059" spans="1:5" ht="14.25" hidden="1" customHeight="1">
      <c r="A8059" s="156">
        <v>23565435</v>
      </c>
      <c r="B8059" s="172" t="s">
        <v>2508</v>
      </c>
      <c r="C8059" s="172" t="s">
        <v>6200</v>
      </c>
      <c r="D8059" s="194" t="s">
        <v>7018</v>
      </c>
      <c r="E8059" s="200">
        <v>40238</v>
      </c>
    </row>
    <row r="8060" spans="1:5" ht="14.25" hidden="1" customHeight="1">
      <c r="A8060" s="156">
        <v>25380616</v>
      </c>
      <c r="B8060" s="172" t="s">
        <v>288</v>
      </c>
      <c r="C8060" s="172" t="s">
        <v>2830</v>
      </c>
      <c r="D8060" s="194" t="s">
        <v>7018</v>
      </c>
      <c r="E8060" s="200">
        <v>40238</v>
      </c>
    </row>
    <row r="8061" spans="1:5" ht="14.25" hidden="1" customHeight="1">
      <c r="A8061" s="156">
        <v>26454632</v>
      </c>
      <c r="B8061" s="172" t="s">
        <v>394</v>
      </c>
      <c r="C8061" s="172" t="s">
        <v>8421</v>
      </c>
      <c r="D8061" s="194" t="s">
        <v>7018</v>
      </c>
      <c r="E8061" s="200">
        <v>40238</v>
      </c>
    </row>
    <row r="8062" spans="1:5" ht="14.25" hidden="1" customHeight="1">
      <c r="A8062" s="156">
        <v>28151127</v>
      </c>
      <c r="B8062" s="172" t="s">
        <v>1534</v>
      </c>
      <c r="C8062" s="172" t="s">
        <v>1535</v>
      </c>
      <c r="D8062" s="194" t="s">
        <v>7018</v>
      </c>
      <c r="E8062" s="200">
        <v>40238</v>
      </c>
    </row>
    <row r="8063" spans="1:5" ht="14.25" hidden="1" customHeight="1">
      <c r="A8063" s="156">
        <v>29026236</v>
      </c>
      <c r="B8063" s="172" t="s">
        <v>1547</v>
      </c>
      <c r="C8063" s="172" t="s">
        <v>902</v>
      </c>
      <c r="D8063" s="194" t="s">
        <v>7018</v>
      </c>
      <c r="E8063" s="200">
        <v>40238</v>
      </c>
    </row>
    <row r="8064" spans="1:5" ht="14.25" hidden="1" customHeight="1">
      <c r="A8064" s="156">
        <v>30117287</v>
      </c>
      <c r="B8064" s="172" t="s">
        <v>541</v>
      </c>
      <c r="C8064" s="172" t="s">
        <v>1585</v>
      </c>
      <c r="D8064" s="194" t="s">
        <v>7018</v>
      </c>
      <c r="E8064" s="200">
        <v>40238</v>
      </c>
    </row>
    <row r="8065" spans="1:5" ht="14.25" hidden="1" customHeight="1">
      <c r="A8065" s="165">
        <v>33977380</v>
      </c>
      <c r="B8065" s="184" t="s">
        <v>226</v>
      </c>
      <c r="C8065" s="184" t="s">
        <v>6164</v>
      </c>
      <c r="D8065" s="198" t="s">
        <v>7772</v>
      </c>
      <c r="E8065" s="202"/>
    </row>
    <row r="8066" spans="1:5" ht="14.25" customHeight="1">
      <c r="A8066" s="228">
        <v>14660614</v>
      </c>
      <c r="B8066" s="229" t="s">
        <v>6878</v>
      </c>
      <c r="C8066" s="229" t="s">
        <v>6895</v>
      </c>
      <c r="D8066" s="226"/>
      <c r="E8066" s="230"/>
    </row>
    <row r="8067" spans="1:5" ht="14.25" customHeight="1">
      <c r="A8067" s="228">
        <v>33541698</v>
      </c>
      <c r="B8067" s="229" t="s">
        <v>7966</v>
      </c>
      <c r="C8067" s="229" t="s">
        <v>9871</v>
      </c>
      <c r="D8067" s="226"/>
      <c r="E8067" s="230"/>
    </row>
    <row r="8068" spans="1:5" ht="14.25" customHeight="1">
      <c r="A8068" s="228">
        <v>20178395</v>
      </c>
      <c r="B8068" s="229" t="s">
        <v>6883</v>
      </c>
      <c r="C8068" s="229" t="s">
        <v>7403</v>
      </c>
      <c r="D8068" s="226"/>
      <c r="E8068" s="230"/>
    </row>
    <row r="8069" spans="1:5" ht="14.25" customHeight="1">
      <c r="A8069" s="228">
        <v>21026697</v>
      </c>
      <c r="B8069" s="229" t="s">
        <v>7583</v>
      </c>
      <c r="C8069" s="229" t="s">
        <v>9872</v>
      </c>
      <c r="D8069" s="226"/>
      <c r="E8069" s="230"/>
    </row>
    <row r="8070" spans="1:5" ht="14.25" customHeight="1">
      <c r="A8070" s="228">
        <v>20630868</v>
      </c>
      <c r="B8070" s="229" t="s">
        <v>3425</v>
      </c>
      <c r="C8070" s="229" t="s">
        <v>2723</v>
      </c>
      <c r="D8070" s="226"/>
      <c r="E8070" s="230"/>
    </row>
    <row r="8071" spans="1:5" ht="14.25" customHeight="1">
      <c r="A8071" s="228">
        <v>20433083</v>
      </c>
      <c r="B8071" s="229" t="s">
        <v>8981</v>
      </c>
      <c r="C8071" s="229" t="s">
        <v>7304</v>
      </c>
      <c r="D8071" s="226"/>
      <c r="E8071" s="230"/>
    </row>
    <row r="8072" spans="1:5" ht="14.25" customHeight="1">
      <c r="A8072" s="228">
        <v>16993790</v>
      </c>
      <c r="B8072" s="229" t="s">
        <v>9873</v>
      </c>
      <c r="C8072" s="229" t="s">
        <v>9874</v>
      </c>
      <c r="D8072" s="226"/>
      <c r="E8072" s="230"/>
    </row>
    <row r="8073" spans="1:5" ht="14.25" customHeight="1">
      <c r="A8073" s="228">
        <v>27732258</v>
      </c>
      <c r="B8073" s="229" t="s">
        <v>6850</v>
      </c>
      <c r="C8073" s="229" t="s">
        <v>9025</v>
      </c>
      <c r="D8073" s="226"/>
      <c r="E8073" s="230"/>
    </row>
    <row r="8074" spans="1:5" ht="14.25" customHeight="1">
      <c r="A8074" s="228">
        <v>37997702</v>
      </c>
      <c r="B8074" s="229" t="s">
        <v>9875</v>
      </c>
      <c r="C8074" s="229" t="s">
        <v>9876</v>
      </c>
      <c r="D8074" s="226"/>
      <c r="E8074" s="230"/>
    </row>
    <row r="8075" spans="1:5" ht="14.25" customHeight="1">
      <c r="A8075" s="228">
        <v>22073971</v>
      </c>
      <c r="B8075" s="229" t="s">
        <v>9877</v>
      </c>
      <c r="C8075" s="229" t="s">
        <v>9878</v>
      </c>
      <c r="D8075" s="226"/>
      <c r="E8075" s="230"/>
    </row>
    <row r="8076" spans="1:5" ht="14.25" customHeight="1">
      <c r="A8076" s="228">
        <v>29242462</v>
      </c>
      <c r="B8076" s="229" t="s">
        <v>8287</v>
      </c>
      <c r="C8076" s="229" t="s">
        <v>9879</v>
      </c>
      <c r="D8076" s="226"/>
      <c r="E8076" s="230"/>
    </row>
    <row r="8077" spans="1:5" ht="14.25" customHeight="1">
      <c r="A8077" s="228">
        <v>33756717</v>
      </c>
      <c r="B8077" s="229" t="s">
        <v>9880</v>
      </c>
      <c r="C8077" s="229" t="s">
        <v>7545</v>
      </c>
      <c r="D8077" s="226"/>
      <c r="E8077" s="230"/>
    </row>
    <row r="8078" spans="1:5" ht="14.25" customHeight="1">
      <c r="A8078" s="228">
        <v>25844620</v>
      </c>
      <c r="B8078" s="229" t="s">
        <v>7293</v>
      </c>
      <c r="C8078" s="229" t="s">
        <v>7294</v>
      </c>
      <c r="D8078" s="226"/>
      <c r="E8078" s="230"/>
    </row>
    <row r="8079" spans="1:5" ht="14.25" customHeight="1">
      <c r="A8079" s="228">
        <v>23019235</v>
      </c>
      <c r="B8079" s="229" t="s">
        <v>7757</v>
      </c>
      <c r="C8079" s="229" t="s">
        <v>9881</v>
      </c>
      <c r="D8079" s="226"/>
      <c r="E8079" s="230"/>
    </row>
    <row r="8080" spans="1:5" ht="14.25" customHeight="1">
      <c r="A8080" s="228">
        <v>16541466</v>
      </c>
      <c r="B8080" s="229" t="s">
        <v>9882</v>
      </c>
      <c r="C8080" s="229" t="s">
        <v>7486</v>
      </c>
      <c r="D8080" s="226"/>
      <c r="E8080" s="230"/>
    </row>
    <row r="8081" spans="1:5" ht="14.25" customHeight="1">
      <c r="A8081" s="228">
        <v>41144515</v>
      </c>
      <c r="B8081" s="229" t="s">
        <v>7487</v>
      </c>
      <c r="C8081" s="229" t="s">
        <v>6933</v>
      </c>
      <c r="D8081" s="226"/>
      <c r="E8081" s="230"/>
    </row>
    <row r="8082" spans="1:5" ht="14.25" customHeight="1">
      <c r="A8082" s="228">
        <v>34356805</v>
      </c>
      <c r="B8082" s="229" t="s">
        <v>9883</v>
      </c>
      <c r="C8082" s="229" t="s">
        <v>7488</v>
      </c>
      <c r="D8082" s="226"/>
      <c r="E8082" s="230"/>
    </row>
    <row r="8083" spans="1:5" ht="14.25" customHeight="1">
      <c r="A8083" s="228">
        <v>24981470</v>
      </c>
      <c r="B8083" s="229" t="s">
        <v>9884</v>
      </c>
      <c r="C8083" s="229" t="s">
        <v>7413</v>
      </c>
      <c r="D8083" s="226"/>
      <c r="E8083" s="230"/>
    </row>
    <row r="8084" spans="1:5" ht="14.25" customHeight="1">
      <c r="A8084" s="228">
        <v>29750470</v>
      </c>
      <c r="B8084" s="229" t="s">
        <v>9885</v>
      </c>
      <c r="C8084" s="229" t="s">
        <v>9886</v>
      </c>
      <c r="D8084" s="226"/>
      <c r="E8084" s="230"/>
    </row>
    <row r="8085" spans="1:5" ht="14.25" customHeight="1">
      <c r="A8085" s="228">
        <v>27210849</v>
      </c>
      <c r="B8085" s="229" t="s">
        <v>9887</v>
      </c>
      <c r="C8085" s="229" t="s">
        <v>9269</v>
      </c>
      <c r="D8085" s="226"/>
      <c r="E8085" s="230"/>
    </row>
    <row r="8086" spans="1:5" ht="14.25" customHeight="1">
      <c r="A8086" s="228">
        <v>30497540</v>
      </c>
      <c r="B8086" s="229" t="s">
        <v>6868</v>
      </c>
      <c r="C8086" s="229" t="s">
        <v>8923</v>
      </c>
      <c r="D8086" s="226"/>
      <c r="E8086" s="230"/>
    </row>
    <row r="8087" spans="1:5" ht="14.25" customHeight="1">
      <c r="A8087" s="228">
        <v>33139225</v>
      </c>
      <c r="B8087" s="229" t="s">
        <v>9888</v>
      </c>
      <c r="C8087" s="229" t="s">
        <v>9889</v>
      </c>
      <c r="D8087" s="226"/>
      <c r="E8087" s="230"/>
    </row>
    <row r="8088" spans="1:5" ht="14.25" customHeight="1">
      <c r="A8088" s="228">
        <v>24355229</v>
      </c>
      <c r="B8088" s="229" t="s">
        <v>9069</v>
      </c>
      <c r="C8088" s="229" t="s">
        <v>9890</v>
      </c>
      <c r="D8088" s="226"/>
      <c r="E8088" s="230"/>
    </row>
    <row r="8089" spans="1:5" ht="14.25" customHeight="1">
      <c r="A8089" s="228">
        <v>21086112</v>
      </c>
      <c r="B8089" s="229" t="s">
        <v>9260</v>
      </c>
      <c r="C8089" s="229" t="s">
        <v>9891</v>
      </c>
      <c r="D8089" s="226"/>
      <c r="E8089" s="230"/>
    </row>
    <row r="8090" spans="1:5" ht="14.25" customHeight="1">
      <c r="A8090" s="228">
        <v>27944383</v>
      </c>
      <c r="B8090" s="229" t="s">
        <v>9542</v>
      </c>
      <c r="C8090" s="229" t="s">
        <v>3294</v>
      </c>
      <c r="D8090" s="226"/>
      <c r="E8090" s="230"/>
    </row>
    <row r="8091" spans="1:5" ht="14.25" customHeight="1">
      <c r="A8091" s="228">
        <v>20294273</v>
      </c>
      <c r="B8091" s="229" t="s">
        <v>7853</v>
      </c>
      <c r="C8091" s="229" t="s">
        <v>9892</v>
      </c>
      <c r="D8091" s="226"/>
      <c r="E8091" s="230"/>
    </row>
    <row r="8092" spans="1:5" ht="14.25" customHeight="1">
      <c r="A8092" s="228">
        <v>28223470</v>
      </c>
      <c r="B8092" s="229" t="s">
        <v>9893</v>
      </c>
      <c r="C8092" s="229" t="s">
        <v>7841</v>
      </c>
      <c r="D8092" s="226"/>
      <c r="E8092" s="230"/>
    </row>
    <row r="8093" spans="1:5" ht="14.25" customHeight="1">
      <c r="A8093" s="228">
        <v>17040933</v>
      </c>
      <c r="B8093" s="229" t="s">
        <v>9894</v>
      </c>
      <c r="C8093" s="229" t="s">
        <v>9895</v>
      </c>
      <c r="D8093" s="226"/>
      <c r="E8093" s="230"/>
    </row>
    <row r="8094" spans="1:5" ht="14.25" customHeight="1">
      <c r="A8094" s="228">
        <v>33540499</v>
      </c>
      <c r="B8094" s="229" t="s">
        <v>8998</v>
      </c>
      <c r="C8094" s="229" t="s">
        <v>6946</v>
      </c>
      <c r="D8094" s="226"/>
      <c r="E8094" s="230"/>
    </row>
    <row r="8095" spans="1:5" ht="14.25" customHeight="1">
      <c r="A8095" s="228">
        <v>33756026</v>
      </c>
      <c r="B8095" s="229" t="s">
        <v>9896</v>
      </c>
      <c r="C8095" s="229" t="s">
        <v>9897</v>
      </c>
      <c r="D8095" s="226"/>
      <c r="E8095" s="230"/>
    </row>
    <row r="8096" spans="1:5" ht="14.25" customHeight="1">
      <c r="A8096" s="228">
        <v>31589271</v>
      </c>
      <c r="B8096" s="229" t="s">
        <v>7911</v>
      </c>
      <c r="C8096" s="229" t="s">
        <v>9898</v>
      </c>
      <c r="D8096" s="226"/>
      <c r="E8096" s="230"/>
    </row>
    <row r="8097" spans="1:5" ht="14.25" customHeight="1">
      <c r="A8097" s="228">
        <v>31809569</v>
      </c>
      <c r="B8097" s="229" t="s">
        <v>9899</v>
      </c>
      <c r="C8097" s="229" t="s">
        <v>9900</v>
      </c>
      <c r="D8097" s="226"/>
      <c r="E8097" s="230"/>
    </row>
    <row r="8098" spans="1:5" ht="14.25" customHeight="1">
      <c r="A8098" s="228">
        <v>16686145</v>
      </c>
      <c r="B8098" s="229" t="s">
        <v>7727</v>
      </c>
      <c r="C8098" s="229" t="s">
        <v>9901</v>
      </c>
      <c r="D8098" s="226"/>
      <c r="E8098" s="230"/>
    </row>
    <row r="8099" spans="1:5" ht="14.25" customHeight="1">
      <c r="A8099" s="228">
        <v>17614040</v>
      </c>
      <c r="B8099" s="229" t="s">
        <v>9902</v>
      </c>
      <c r="C8099" s="229" t="s">
        <v>7427</v>
      </c>
      <c r="D8099" s="226"/>
      <c r="E8099" s="230"/>
    </row>
    <row r="8100" spans="1:5" ht="14.25" customHeight="1">
      <c r="A8100" s="228">
        <v>24346967</v>
      </c>
      <c r="B8100" s="229" t="s">
        <v>9903</v>
      </c>
      <c r="C8100" s="229" t="s">
        <v>9904</v>
      </c>
      <c r="D8100" s="226"/>
      <c r="E8100" s="230"/>
    </row>
    <row r="8101" spans="1:5" ht="14.25" customHeight="1">
      <c r="A8101" s="228">
        <v>30760033</v>
      </c>
      <c r="B8101" s="229" t="s">
        <v>9737</v>
      </c>
      <c r="C8101" s="229" t="s">
        <v>1453</v>
      </c>
      <c r="D8101" s="226"/>
      <c r="E8101" s="230"/>
    </row>
    <row r="8102" spans="1:5" ht="14.25" customHeight="1">
      <c r="A8102" s="228">
        <v>23238026</v>
      </c>
      <c r="B8102" s="229" t="s">
        <v>9905</v>
      </c>
      <c r="C8102" s="229" t="s">
        <v>8345</v>
      </c>
      <c r="D8102" s="226"/>
      <c r="E8102" s="230"/>
    </row>
    <row r="8103" spans="1:5" ht="14.25" customHeight="1">
      <c r="A8103" s="228">
        <v>20422928</v>
      </c>
      <c r="B8103" s="229" t="s">
        <v>9906</v>
      </c>
      <c r="C8103" s="229" t="s">
        <v>9907</v>
      </c>
      <c r="D8103" s="226"/>
      <c r="E8103" s="230"/>
    </row>
    <row r="8104" spans="1:5" ht="14.25" customHeight="1">
      <c r="A8104" s="228">
        <v>20219090</v>
      </c>
      <c r="B8104" s="229" t="s">
        <v>8086</v>
      </c>
      <c r="C8104" s="229" t="s">
        <v>7435</v>
      </c>
      <c r="D8104" s="226"/>
      <c r="E8104" s="230"/>
    </row>
    <row r="8105" spans="1:5" ht="14.25" customHeight="1">
      <c r="A8105" s="228">
        <v>25734593</v>
      </c>
      <c r="B8105" s="229" t="s">
        <v>9148</v>
      </c>
      <c r="C8105" s="229" t="s">
        <v>9149</v>
      </c>
      <c r="D8105" s="226"/>
      <c r="E8105" s="230"/>
    </row>
    <row r="8106" spans="1:5" ht="14.25" customHeight="1">
      <c r="A8106" s="228">
        <v>27364281</v>
      </c>
      <c r="B8106" s="229" t="s">
        <v>6928</v>
      </c>
      <c r="C8106" s="229" t="s">
        <v>6907</v>
      </c>
      <c r="D8106" s="226"/>
      <c r="E8106" s="230"/>
    </row>
    <row r="8107" spans="1:5" ht="14.25" customHeight="1">
      <c r="A8107" s="228">
        <v>23167760</v>
      </c>
      <c r="B8107" s="229" t="s">
        <v>9036</v>
      </c>
      <c r="C8107" s="229" t="s">
        <v>9037</v>
      </c>
      <c r="D8107" s="226"/>
      <c r="E8107" s="230"/>
    </row>
    <row r="8108" spans="1:5" ht="14.25" customHeight="1">
      <c r="A8108" s="228">
        <v>27365353</v>
      </c>
      <c r="B8108" s="229" t="s">
        <v>9019</v>
      </c>
      <c r="C8108" s="229" t="s">
        <v>9020</v>
      </c>
      <c r="D8108" s="226"/>
      <c r="E8108" s="230"/>
    </row>
    <row r="8109" spans="1:5" ht="14.25" customHeight="1">
      <c r="A8109" s="228">
        <v>20179103</v>
      </c>
      <c r="B8109" s="229" t="s">
        <v>8373</v>
      </c>
      <c r="C8109" s="229" t="s">
        <v>9908</v>
      </c>
      <c r="D8109" s="226"/>
      <c r="E8109" s="230"/>
    </row>
    <row r="8110" spans="1:5" ht="14.25" customHeight="1">
      <c r="A8110" s="231">
        <v>36866428</v>
      </c>
      <c r="B8110" s="232" t="s">
        <v>9909</v>
      </c>
      <c r="C8110" s="232" t="s">
        <v>9910</v>
      </c>
      <c r="D8110" s="227"/>
      <c r="E8110" s="233"/>
    </row>
  </sheetData>
  <sortState ref="A2:G6098">
    <sortCondition descending="1" ref="E2"/>
  </sortState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Cursos!$B:$B</xm:f>
          </x14:formula1>
          <xm:sqref>D6026:D6098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tnOrdenar"/>
  <dimension ref="A1:Z5324"/>
  <sheetViews>
    <sheetView zoomScaleNormal="100" workbookViewId="0">
      <pane ySplit="1" topLeftCell="A1999" activePane="bottomLeft" state="frozen"/>
      <selection pane="bottomLeft" activeCell="I2003" sqref="I2003"/>
    </sheetView>
  </sheetViews>
  <sheetFormatPr baseColWidth="10" defaultColWidth="11.7109375" defaultRowHeight="15"/>
  <cols>
    <col min="1" max="1" width="10.140625" style="114" bestFit="1" customWidth="1"/>
    <col min="2" max="2" width="21.5703125" style="117" customWidth="1"/>
    <col min="3" max="3" width="19.42578125" style="117" customWidth="1"/>
    <col min="4" max="4" width="22.85546875" style="117" customWidth="1"/>
    <col min="5" max="5" width="12" style="122" bestFit="1" customWidth="1"/>
    <col min="6" max="6" width="12.7109375" style="113" bestFit="1" customWidth="1"/>
    <col min="7" max="7" width="13.5703125" style="225" customWidth="1"/>
    <col min="8" max="8" width="11" style="114" bestFit="1" customWidth="1"/>
    <col min="9" max="16384" width="11.7109375" style="95"/>
  </cols>
  <sheetData>
    <row r="1" spans="1:12" s="217" customFormat="1">
      <c r="A1" s="218" t="s">
        <v>0</v>
      </c>
      <c r="B1" s="218" t="s">
        <v>6844</v>
      </c>
      <c r="C1" s="218" t="s">
        <v>6845</v>
      </c>
      <c r="D1" s="218" t="s">
        <v>6846</v>
      </c>
      <c r="E1" s="218" t="s">
        <v>6847</v>
      </c>
      <c r="F1" s="218" t="s">
        <v>6848</v>
      </c>
      <c r="G1" s="220" t="s">
        <v>6849</v>
      </c>
      <c r="H1" s="220" t="s">
        <v>9306</v>
      </c>
      <c r="I1" s="88"/>
      <c r="J1" s="88"/>
      <c r="K1" s="88"/>
      <c r="L1" s="88"/>
    </row>
    <row r="2" spans="1:12" hidden="1">
      <c r="A2" s="213">
        <v>24069816</v>
      </c>
      <c r="B2" s="219" t="s">
        <v>7505</v>
      </c>
      <c r="C2" s="219" t="s">
        <v>8980</v>
      </c>
      <c r="D2" s="214" t="s">
        <v>9023</v>
      </c>
      <c r="E2" s="215">
        <v>45406</v>
      </c>
      <c r="F2" s="216" t="s">
        <v>6853</v>
      </c>
      <c r="G2" s="221">
        <f t="shared" ref="G2:G65" si="0">IFERROR(INDEX(unidad,MATCH(VLOOKUP(A2,alum,9,0),unidad2,0),1),"sin dato")</f>
        <v>26</v>
      </c>
      <c r="H2" s="222">
        <f t="shared" ref="H2:H65" si="1">IFERROR(VLOOKUP(A2,alum,1,0),"999")</f>
        <v>24069816</v>
      </c>
    </row>
    <row r="3" spans="1:12" hidden="1">
      <c r="A3" s="87">
        <v>14661558</v>
      </c>
      <c r="B3" s="93" t="s">
        <v>1885</v>
      </c>
      <c r="C3" s="93" t="s">
        <v>7357</v>
      </c>
      <c r="D3" s="88" t="s">
        <v>9023</v>
      </c>
      <c r="E3" s="94">
        <v>45406</v>
      </c>
      <c r="F3" s="91" t="s">
        <v>6853</v>
      </c>
      <c r="G3" s="223" t="str">
        <f t="shared" si="0"/>
        <v>sin dato</v>
      </c>
      <c r="H3" s="222" t="str">
        <f t="shared" si="1"/>
        <v>999</v>
      </c>
    </row>
    <row r="4" spans="1:12" hidden="1">
      <c r="A4" s="87">
        <v>23519455</v>
      </c>
      <c r="B4" s="93" t="s">
        <v>7835</v>
      </c>
      <c r="C4" s="93" t="s">
        <v>7415</v>
      </c>
      <c r="D4" s="88" t="s">
        <v>9023</v>
      </c>
      <c r="E4" s="94">
        <v>45406</v>
      </c>
      <c r="F4" s="91" t="s">
        <v>6853</v>
      </c>
      <c r="G4" s="223" t="str">
        <f t="shared" si="0"/>
        <v>sin dato</v>
      </c>
      <c r="H4" s="222">
        <f t="shared" si="1"/>
        <v>23519455</v>
      </c>
    </row>
    <row r="5" spans="1:12" hidden="1">
      <c r="A5" s="87">
        <v>20433083</v>
      </c>
      <c r="B5" s="93" t="s">
        <v>8981</v>
      </c>
      <c r="C5" s="93" t="s">
        <v>8982</v>
      </c>
      <c r="D5" s="88" t="s">
        <v>9023</v>
      </c>
      <c r="E5" s="94">
        <v>45406</v>
      </c>
      <c r="F5" s="91" t="s">
        <v>6853</v>
      </c>
      <c r="G5" s="223">
        <f t="shared" si="0"/>
        <v>9</v>
      </c>
      <c r="H5" s="222">
        <f t="shared" si="1"/>
        <v>20433083</v>
      </c>
    </row>
    <row r="6" spans="1:12" hidden="1">
      <c r="A6" s="87">
        <v>40215806</v>
      </c>
      <c r="B6" s="93" t="s">
        <v>8983</v>
      </c>
      <c r="C6" s="93" t="s">
        <v>8984</v>
      </c>
      <c r="D6" s="88" t="s">
        <v>9023</v>
      </c>
      <c r="E6" s="94">
        <v>45406</v>
      </c>
      <c r="F6" s="91" t="s">
        <v>6853</v>
      </c>
      <c r="G6" s="223" t="str">
        <f t="shared" si="0"/>
        <v>sin dato</v>
      </c>
      <c r="H6" s="222" t="str">
        <f t="shared" si="1"/>
        <v>999</v>
      </c>
    </row>
    <row r="7" spans="1:12" hidden="1">
      <c r="A7" s="87">
        <v>16859596</v>
      </c>
      <c r="B7" s="93" t="s">
        <v>8985</v>
      </c>
      <c r="C7" s="93" t="s">
        <v>8986</v>
      </c>
      <c r="D7" s="88" t="s">
        <v>9023</v>
      </c>
      <c r="E7" s="94">
        <v>45406</v>
      </c>
      <c r="F7" s="91" t="s">
        <v>9302</v>
      </c>
      <c r="G7" s="223">
        <f t="shared" si="0"/>
        <v>21</v>
      </c>
      <c r="H7" s="222">
        <f t="shared" si="1"/>
        <v>16859596</v>
      </c>
    </row>
    <row r="8" spans="1:12" hidden="1">
      <c r="A8" s="87">
        <v>20284816</v>
      </c>
      <c r="B8" s="93" t="s">
        <v>8987</v>
      </c>
      <c r="C8" s="93" t="s">
        <v>8988</v>
      </c>
      <c r="D8" s="88" t="s">
        <v>9023</v>
      </c>
      <c r="E8" s="94">
        <v>45406</v>
      </c>
      <c r="F8" s="212" t="s">
        <v>6853</v>
      </c>
      <c r="G8" s="223" t="str">
        <f t="shared" si="0"/>
        <v>sin dato</v>
      </c>
      <c r="H8" s="222" t="str">
        <f t="shared" si="1"/>
        <v>999</v>
      </c>
    </row>
    <row r="9" spans="1:12" hidden="1">
      <c r="A9" s="87">
        <v>38741603</v>
      </c>
      <c r="B9" s="93" t="s">
        <v>8386</v>
      </c>
      <c r="C9" s="93" t="s">
        <v>8989</v>
      </c>
      <c r="D9" s="88" t="s">
        <v>9023</v>
      </c>
      <c r="E9" s="94">
        <v>45406</v>
      </c>
      <c r="F9" s="91" t="s">
        <v>9302</v>
      </c>
      <c r="G9" s="223" t="str">
        <f t="shared" si="0"/>
        <v>sin dato</v>
      </c>
      <c r="H9" s="222" t="str">
        <f t="shared" si="1"/>
        <v>999</v>
      </c>
    </row>
    <row r="10" spans="1:12" hidden="1">
      <c r="A10" s="87">
        <v>17990548</v>
      </c>
      <c r="B10" s="93" t="s">
        <v>8990</v>
      </c>
      <c r="C10" s="93" t="s">
        <v>8991</v>
      </c>
      <c r="D10" s="88" t="s">
        <v>9023</v>
      </c>
      <c r="E10" s="94">
        <v>45406</v>
      </c>
      <c r="F10" s="91" t="s">
        <v>6853</v>
      </c>
      <c r="G10" s="223" t="str">
        <f t="shared" si="0"/>
        <v>sin dato</v>
      </c>
      <c r="H10" s="222" t="str">
        <f t="shared" si="1"/>
        <v>999</v>
      </c>
    </row>
    <row r="11" spans="1:12" hidden="1">
      <c r="A11" s="87">
        <v>38490152</v>
      </c>
      <c r="B11" s="93" t="s">
        <v>7295</v>
      </c>
      <c r="C11" s="93" t="s">
        <v>8992</v>
      </c>
      <c r="D11" s="88" t="s">
        <v>9023</v>
      </c>
      <c r="E11" s="94">
        <v>45406</v>
      </c>
      <c r="F11" s="91" t="s">
        <v>6853</v>
      </c>
      <c r="G11" s="223" t="str">
        <f t="shared" si="0"/>
        <v>sin dato</v>
      </c>
      <c r="H11" s="222" t="str">
        <f t="shared" si="1"/>
        <v>999</v>
      </c>
    </row>
    <row r="12" spans="1:12" hidden="1">
      <c r="A12" s="87">
        <v>33163754</v>
      </c>
      <c r="B12" s="93" t="s">
        <v>8835</v>
      </c>
      <c r="C12" s="93" t="s">
        <v>8836</v>
      </c>
      <c r="D12" s="88" t="s">
        <v>9023</v>
      </c>
      <c r="E12" s="94">
        <v>45406</v>
      </c>
      <c r="F12" s="91" t="s">
        <v>9302</v>
      </c>
      <c r="G12" s="223">
        <f t="shared" si="0"/>
        <v>24</v>
      </c>
      <c r="H12" s="222">
        <f t="shared" si="1"/>
        <v>33163754</v>
      </c>
    </row>
    <row r="13" spans="1:12" hidden="1">
      <c r="A13" s="87">
        <v>34287573</v>
      </c>
      <c r="B13" s="93" t="s">
        <v>7615</v>
      </c>
      <c r="C13" s="93" t="s">
        <v>8993</v>
      </c>
      <c r="D13" s="88" t="s">
        <v>9023</v>
      </c>
      <c r="E13" s="94">
        <v>45406</v>
      </c>
      <c r="F13" s="91" t="s">
        <v>6853</v>
      </c>
      <c r="G13" s="223">
        <f t="shared" si="0"/>
        <v>999</v>
      </c>
      <c r="H13" s="222">
        <f t="shared" si="1"/>
        <v>34287573</v>
      </c>
    </row>
    <row r="14" spans="1:12" hidden="1">
      <c r="A14" s="87">
        <v>36583989</v>
      </c>
      <c r="B14" s="93" t="s">
        <v>7990</v>
      </c>
      <c r="C14" s="93" t="s">
        <v>8820</v>
      </c>
      <c r="D14" s="88" t="s">
        <v>9023</v>
      </c>
      <c r="E14" s="94">
        <v>45406</v>
      </c>
      <c r="F14" s="91" t="s">
        <v>9302</v>
      </c>
      <c r="G14" s="223" t="str">
        <f t="shared" si="0"/>
        <v>sin dato</v>
      </c>
      <c r="H14" s="222" t="str">
        <f t="shared" si="1"/>
        <v>999</v>
      </c>
    </row>
    <row r="15" spans="1:12" hidden="1">
      <c r="A15" s="87">
        <v>25542562</v>
      </c>
      <c r="B15" s="93" t="s">
        <v>7853</v>
      </c>
      <c r="C15" s="93" t="s">
        <v>8880</v>
      </c>
      <c r="D15" s="88" t="s">
        <v>9023</v>
      </c>
      <c r="E15" s="94">
        <v>45406</v>
      </c>
      <c r="F15" s="91" t="s">
        <v>6853</v>
      </c>
      <c r="G15" s="223">
        <f t="shared" si="0"/>
        <v>24</v>
      </c>
      <c r="H15" s="222">
        <f t="shared" si="1"/>
        <v>25542562</v>
      </c>
    </row>
    <row r="16" spans="1:12" hidden="1">
      <c r="A16" s="87">
        <v>26011505</v>
      </c>
      <c r="B16" s="93" t="s">
        <v>7853</v>
      </c>
      <c r="C16" s="93" t="s">
        <v>8994</v>
      </c>
      <c r="D16" s="88" t="s">
        <v>9023</v>
      </c>
      <c r="E16" s="94">
        <v>45406</v>
      </c>
      <c r="F16" s="91" t="s">
        <v>9302</v>
      </c>
      <c r="G16" s="223">
        <f t="shared" si="0"/>
        <v>9</v>
      </c>
      <c r="H16" s="222">
        <f t="shared" si="1"/>
        <v>26011505</v>
      </c>
    </row>
    <row r="17" spans="1:26" hidden="1">
      <c r="A17" s="87">
        <v>37725849</v>
      </c>
      <c r="B17" s="93" t="s">
        <v>7740</v>
      </c>
      <c r="C17" s="93" t="s">
        <v>8995</v>
      </c>
      <c r="D17" s="88" t="s">
        <v>9023</v>
      </c>
      <c r="E17" s="94">
        <v>45406</v>
      </c>
      <c r="F17" s="91" t="s">
        <v>9302</v>
      </c>
      <c r="G17" s="223" t="str">
        <f t="shared" si="0"/>
        <v>sin dato</v>
      </c>
      <c r="H17" s="222" t="str">
        <f t="shared" si="1"/>
        <v>999</v>
      </c>
    </row>
    <row r="18" spans="1:26" hidden="1">
      <c r="A18" s="87">
        <v>37097176</v>
      </c>
      <c r="B18" s="93" t="s">
        <v>6943</v>
      </c>
      <c r="C18" s="93" t="s">
        <v>8996</v>
      </c>
      <c r="D18" s="88" t="s">
        <v>9023</v>
      </c>
      <c r="E18" s="94">
        <v>45406</v>
      </c>
      <c r="F18" s="91" t="s">
        <v>6853</v>
      </c>
      <c r="G18" s="223" t="str">
        <f t="shared" si="0"/>
        <v>sin dato</v>
      </c>
      <c r="H18" s="222" t="str">
        <f t="shared" si="1"/>
        <v>999</v>
      </c>
    </row>
    <row r="19" spans="1:26" hidden="1">
      <c r="A19" s="87">
        <v>22665146</v>
      </c>
      <c r="B19" s="109" t="s">
        <v>7533</v>
      </c>
      <c r="C19" s="109" t="s">
        <v>8997</v>
      </c>
      <c r="D19" s="88" t="s">
        <v>9023</v>
      </c>
      <c r="E19" s="94">
        <v>45406</v>
      </c>
      <c r="F19" s="91" t="s">
        <v>9302</v>
      </c>
      <c r="G19" s="223" t="str">
        <f t="shared" si="0"/>
        <v>sin dato</v>
      </c>
      <c r="H19" s="222" t="str">
        <f t="shared" si="1"/>
        <v>999</v>
      </c>
    </row>
    <row r="20" spans="1:26" hidden="1">
      <c r="A20" s="87">
        <v>26753740</v>
      </c>
      <c r="B20" s="93" t="s">
        <v>8998</v>
      </c>
      <c r="C20" s="93" t="s">
        <v>8999</v>
      </c>
      <c r="D20" s="88" t="s">
        <v>9023</v>
      </c>
      <c r="E20" s="94">
        <v>45406</v>
      </c>
      <c r="F20" s="91" t="s">
        <v>9302</v>
      </c>
      <c r="G20" s="223" t="str">
        <f t="shared" si="0"/>
        <v>sin dato</v>
      </c>
      <c r="H20" s="222" t="str">
        <f t="shared" si="1"/>
        <v>999</v>
      </c>
    </row>
    <row r="21" spans="1:26" ht="30" hidden="1">
      <c r="A21" s="87">
        <v>33540499</v>
      </c>
      <c r="B21" s="93" t="s">
        <v>8998</v>
      </c>
      <c r="C21" s="93" t="s">
        <v>6946</v>
      </c>
      <c r="D21" s="88" t="s">
        <v>9023</v>
      </c>
      <c r="E21" s="94">
        <v>45406</v>
      </c>
      <c r="F21" s="91" t="s">
        <v>6853</v>
      </c>
      <c r="G21" s="223">
        <f t="shared" si="0"/>
        <v>13</v>
      </c>
      <c r="H21" s="222">
        <f t="shared" si="1"/>
        <v>33540499</v>
      </c>
    </row>
    <row r="22" spans="1:26" hidden="1">
      <c r="A22" s="87">
        <v>35811646</v>
      </c>
      <c r="B22" s="93" t="s">
        <v>8070</v>
      </c>
      <c r="C22" s="93" t="s">
        <v>9000</v>
      </c>
      <c r="D22" s="88" t="s">
        <v>9023</v>
      </c>
      <c r="E22" s="94">
        <v>45406</v>
      </c>
      <c r="F22" s="91" t="s">
        <v>9302</v>
      </c>
      <c r="G22" s="223" t="str">
        <f t="shared" si="0"/>
        <v>sin dato</v>
      </c>
      <c r="H22" s="222" t="str">
        <f t="shared" si="1"/>
        <v>999</v>
      </c>
    </row>
    <row r="23" spans="1:26" hidden="1">
      <c r="A23" s="87">
        <v>18889440</v>
      </c>
      <c r="B23" s="109" t="s">
        <v>9001</v>
      </c>
      <c r="C23" s="109" t="s">
        <v>9002</v>
      </c>
      <c r="D23" s="88" t="s">
        <v>9023</v>
      </c>
      <c r="E23" s="94">
        <v>45406</v>
      </c>
      <c r="F23" s="91" t="s">
        <v>6853</v>
      </c>
      <c r="G23" s="223" t="str">
        <f t="shared" si="0"/>
        <v>sin dato</v>
      </c>
      <c r="H23" s="222" t="str">
        <f t="shared" si="1"/>
        <v>999</v>
      </c>
    </row>
    <row r="24" spans="1:26" hidden="1">
      <c r="A24" s="87">
        <v>26029937</v>
      </c>
      <c r="B24" s="93" t="s">
        <v>327</v>
      </c>
      <c r="C24" s="93" t="s">
        <v>1785</v>
      </c>
      <c r="D24" s="88" t="s">
        <v>9023</v>
      </c>
      <c r="E24" s="94">
        <v>45406</v>
      </c>
      <c r="F24" s="91" t="s">
        <v>9302</v>
      </c>
      <c r="G24" s="223">
        <f t="shared" si="0"/>
        <v>20</v>
      </c>
      <c r="H24" s="222">
        <f t="shared" si="1"/>
        <v>26029937</v>
      </c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</row>
    <row r="25" spans="1:26" hidden="1">
      <c r="A25" s="87">
        <v>33050022</v>
      </c>
      <c r="B25" s="93" t="s">
        <v>9003</v>
      </c>
      <c r="C25" s="93" t="s">
        <v>9004</v>
      </c>
      <c r="D25" s="88" t="s">
        <v>9023</v>
      </c>
      <c r="E25" s="94">
        <v>45406</v>
      </c>
      <c r="F25" s="91" t="s">
        <v>9302</v>
      </c>
      <c r="G25" s="223">
        <f t="shared" si="0"/>
        <v>20</v>
      </c>
      <c r="H25" s="222">
        <f t="shared" si="1"/>
        <v>33050022</v>
      </c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</row>
    <row r="26" spans="1:26" hidden="1">
      <c r="A26" s="87">
        <v>36838696</v>
      </c>
      <c r="B26" s="93" t="s">
        <v>9005</v>
      </c>
      <c r="C26" s="93" t="s">
        <v>9006</v>
      </c>
      <c r="D26" s="88" t="s">
        <v>9023</v>
      </c>
      <c r="E26" s="94">
        <v>45406</v>
      </c>
      <c r="F26" s="91" t="s">
        <v>6853</v>
      </c>
      <c r="G26" s="223" t="str">
        <f t="shared" si="0"/>
        <v>sin dato</v>
      </c>
      <c r="H26" s="222" t="str">
        <f t="shared" si="1"/>
        <v>999</v>
      </c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</row>
    <row r="27" spans="1:26" hidden="1">
      <c r="A27" s="87">
        <v>16457626</v>
      </c>
      <c r="B27" s="93" t="s">
        <v>8936</v>
      </c>
      <c r="C27" s="93" t="s">
        <v>8937</v>
      </c>
      <c r="D27" s="88" t="s">
        <v>9023</v>
      </c>
      <c r="E27" s="94">
        <v>45406</v>
      </c>
      <c r="F27" s="91" t="s">
        <v>9302</v>
      </c>
      <c r="G27" s="223">
        <f t="shared" si="0"/>
        <v>21</v>
      </c>
      <c r="H27" s="222">
        <f t="shared" si="1"/>
        <v>16457626</v>
      </c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</row>
    <row r="28" spans="1:26" hidden="1">
      <c r="A28" s="87">
        <v>20692036</v>
      </c>
      <c r="B28" s="93" t="s">
        <v>9007</v>
      </c>
      <c r="C28" s="93" t="s">
        <v>9008</v>
      </c>
      <c r="D28" s="88" t="s">
        <v>9023</v>
      </c>
      <c r="E28" s="94">
        <v>45406</v>
      </c>
      <c r="F28" s="91" t="s">
        <v>9302</v>
      </c>
      <c r="G28" s="223">
        <f t="shared" si="0"/>
        <v>13</v>
      </c>
      <c r="H28" s="222">
        <f t="shared" si="1"/>
        <v>20692036</v>
      </c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</row>
    <row r="29" spans="1:26" hidden="1">
      <c r="A29" s="87">
        <v>26137675</v>
      </c>
      <c r="B29" s="93" t="s">
        <v>9009</v>
      </c>
      <c r="C29" s="93" t="s">
        <v>9010</v>
      </c>
      <c r="D29" s="88" t="s">
        <v>9023</v>
      </c>
      <c r="E29" s="94">
        <v>45406</v>
      </c>
      <c r="F29" s="91" t="s">
        <v>6853</v>
      </c>
      <c r="G29" s="223">
        <f t="shared" si="0"/>
        <v>11</v>
      </c>
      <c r="H29" s="222">
        <f t="shared" si="1"/>
        <v>26137675</v>
      </c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</row>
    <row r="30" spans="1:26" hidden="1">
      <c r="A30" s="87">
        <v>24621570</v>
      </c>
      <c r="B30" s="93" t="s">
        <v>9011</v>
      </c>
      <c r="C30" s="93" t="s">
        <v>9012</v>
      </c>
      <c r="D30" s="88" t="s">
        <v>9023</v>
      </c>
      <c r="E30" s="94">
        <v>45406</v>
      </c>
      <c r="F30" s="91" t="s">
        <v>9302</v>
      </c>
      <c r="G30" s="223" t="str">
        <f t="shared" si="0"/>
        <v>sin dato</v>
      </c>
      <c r="H30" s="222" t="str">
        <f t="shared" si="1"/>
        <v>999</v>
      </c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</row>
    <row r="31" spans="1:26" hidden="1">
      <c r="A31" s="87">
        <v>25255423</v>
      </c>
      <c r="B31" s="93" t="s">
        <v>9013</v>
      </c>
      <c r="C31" s="93" t="s">
        <v>9014</v>
      </c>
      <c r="D31" s="88" t="s">
        <v>9023</v>
      </c>
      <c r="E31" s="94">
        <v>45406</v>
      </c>
      <c r="F31" s="91" t="s">
        <v>6853</v>
      </c>
      <c r="G31" s="223">
        <f t="shared" si="0"/>
        <v>20</v>
      </c>
      <c r="H31" s="222">
        <f t="shared" si="1"/>
        <v>25255423</v>
      </c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</row>
    <row r="32" spans="1:26" hidden="1">
      <c r="A32" s="87">
        <v>23387097</v>
      </c>
      <c r="B32" s="93" t="s">
        <v>9015</v>
      </c>
      <c r="C32" s="93" t="s">
        <v>6884</v>
      </c>
      <c r="D32" s="88" t="s">
        <v>9023</v>
      </c>
      <c r="E32" s="94">
        <v>45406</v>
      </c>
      <c r="F32" s="91" t="s">
        <v>6853</v>
      </c>
      <c r="G32" s="223">
        <f t="shared" si="0"/>
        <v>20</v>
      </c>
      <c r="H32" s="222">
        <f t="shared" si="1"/>
        <v>23387097</v>
      </c>
    </row>
    <row r="33" spans="1:8" hidden="1">
      <c r="A33" s="87">
        <v>18019232</v>
      </c>
      <c r="B33" s="93" t="s">
        <v>9016</v>
      </c>
      <c r="C33" s="93" t="s">
        <v>9017</v>
      </c>
      <c r="D33" s="88" t="s">
        <v>9023</v>
      </c>
      <c r="E33" s="94">
        <v>45406</v>
      </c>
      <c r="F33" s="91" t="s">
        <v>6853</v>
      </c>
      <c r="G33" s="223" t="str">
        <f t="shared" si="0"/>
        <v>sin dato</v>
      </c>
      <c r="H33" s="222" t="str">
        <f t="shared" si="1"/>
        <v>999</v>
      </c>
    </row>
    <row r="34" spans="1:8" hidden="1">
      <c r="A34" s="87">
        <v>36838708</v>
      </c>
      <c r="B34" s="93" t="s">
        <v>8953</v>
      </c>
      <c r="C34" s="93" t="s">
        <v>8954</v>
      </c>
      <c r="D34" s="88" t="s">
        <v>9023</v>
      </c>
      <c r="E34" s="94">
        <v>45406</v>
      </c>
      <c r="F34" s="91" t="s">
        <v>9302</v>
      </c>
      <c r="G34" s="223" t="str">
        <f t="shared" si="0"/>
        <v>sin dato</v>
      </c>
      <c r="H34" s="222" t="str">
        <f t="shared" si="1"/>
        <v>999</v>
      </c>
    </row>
    <row r="35" spans="1:8" hidden="1">
      <c r="A35" s="87">
        <v>40902403</v>
      </c>
      <c r="B35" s="93" t="s">
        <v>8955</v>
      </c>
      <c r="C35" s="93" t="s">
        <v>9018</v>
      </c>
      <c r="D35" s="88" t="s">
        <v>9023</v>
      </c>
      <c r="E35" s="94">
        <v>45406</v>
      </c>
      <c r="F35" s="91" t="s">
        <v>9302</v>
      </c>
      <c r="G35" s="223" t="str">
        <f t="shared" si="0"/>
        <v>sin dato</v>
      </c>
      <c r="H35" s="222" t="str">
        <f t="shared" si="1"/>
        <v>999</v>
      </c>
    </row>
    <row r="36" spans="1:8" hidden="1">
      <c r="A36" s="87">
        <v>27365353</v>
      </c>
      <c r="B36" s="93" t="s">
        <v>9019</v>
      </c>
      <c r="C36" s="93" t="s">
        <v>9020</v>
      </c>
      <c r="D36" s="88" t="s">
        <v>9023</v>
      </c>
      <c r="E36" s="94">
        <v>45406</v>
      </c>
      <c r="F36" s="91" t="s">
        <v>6853</v>
      </c>
      <c r="G36" s="223">
        <f t="shared" si="0"/>
        <v>65</v>
      </c>
      <c r="H36" s="222">
        <f t="shared" si="1"/>
        <v>27365353</v>
      </c>
    </row>
    <row r="37" spans="1:8" hidden="1">
      <c r="A37" s="87">
        <v>22336942</v>
      </c>
      <c r="B37" s="93" t="s">
        <v>9021</v>
      </c>
      <c r="C37" s="93" t="s">
        <v>9022</v>
      </c>
      <c r="D37" s="88" t="s">
        <v>9023</v>
      </c>
      <c r="E37" s="94">
        <v>45406</v>
      </c>
      <c r="F37" s="91" t="s">
        <v>9302</v>
      </c>
      <c r="G37" s="223" t="str">
        <f t="shared" si="0"/>
        <v>sin dato</v>
      </c>
      <c r="H37" s="222" t="str">
        <f t="shared" si="1"/>
        <v>999</v>
      </c>
    </row>
    <row r="38" spans="1:8" hidden="1">
      <c r="A38" s="92">
        <v>27945655</v>
      </c>
      <c r="B38" s="90" t="s">
        <v>8960</v>
      </c>
      <c r="C38" s="90" t="s">
        <v>8961</v>
      </c>
      <c r="D38" s="88" t="s">
        <v>8723</v>
      </c>
      <c r="E38" s="94">
        <v>45398</v>
      </c>
      <c r="F38" s="91" t="s">
        <v>6853</v>
      </c>
      <c r="G38" s="223" t="str">
        <f t="shared" si="0"/>
        <v>sin dato</v>
      </c>
      <c r="H38" s="222" t="str">
        <f t="shared" si="1"/>
        <v>999</v>
      </c>
    </row>
    <row r="39" spans="1:8" hidden="1">
      <c r="A39" s="92">
        <v>38216469</v>
      </c>
      <c r="B39" s="90" t="s">
        <v>8962</v>
      </c>
      <c r="C39" s="90" t="s">
        <v>8963</v>
      </c>
      <c r="D39" s="88" t="s">
        <v>8723</v>
      </c>
      <c r="E39" s="94">
        <v>45398</v>
      </c>
      <c r="F39" s="91" t="s">
        <v>9302</v>
      </c>
      <c r="G39" s="223" t="str">
        <f t="shared" si="0"/>
        <v>sin dato</v>
      </c>
      <c r="H39" s="222" t="str">
        <f t="shared" si="1"/>
        <v>999</v>
      </c>
    </row>
    <row r="40" spans="1:8" hidden="1">
      <c r="A40" s="92">
        <v>40216265</v>
      </c>
      <c r="B40" s="90" t="s">
        <v>7291</v>
      </c>
      <c r="C40" s="90" t="s">
        <v>8914</v>
      </c>
      <c r="D40" s="88" t="s">
        <v>8723</v>
      </c>
      <c r="E40" s="94">
        <v>45398</v>
      </c>
      <c r="F40" s="91" t="s">
        <v>9302</v>
      </c>
      <c r="G40" s="223" t="str">
        <f t="shared" si="0"/>
        <v>sin dato</v>
      </c>
      <c r="H40" s="222" t="str">
        <f t="shared" si="1"/>
        <v>999</v>
      </c>
    </row>
    <row r="41" spans="1:8" hidden="1">
      <c r="A41" s="92">
        <v>32201492</v>
      </c>
      <c r="B41" s="90" t="s">
        <v>8964</v>
      </c>
      <c r="C41" s="90" t="s">
        <v>8966</v>
      </c>
      <c r="D41" s="88" t="s">
        <v>8723</v>
      </c>
      <c r="E41" s="94">
        <v>45398</v>
      </c>
      <c r="F41" s="91" t="s">
        <v>9302</v>
      </c>
      <c r="G41" s="223">
        <f t="shared" si="0"/>
        <v>17</v>
      </c>
      <c r="H41" s="222">
        <f t="shared" si="1"/>
        <v>32201492</v>
      </c>
    </row>
    <row r="42" spans="1:8" hidden="1">
      <c r="A42" s="92">
        <v>37456182</v>
      </c>
      <c r="B42" s="90" t="s">
        <v>8964</v>
      </c>
      <c r="C42" s="90" t="s">
        <v>8965</v>
      </c>
      <c r="D42" s="88" t="s">
        <v>8723</v>
      </c>
      <c r="E42" s="94">
        <v>45398</v>
      </c>
      <c r="F42" s="91" t="s">
        <v>9302</v>
      </c>
      <c r="G42" s="223" t="str">
        <f t="shared" si="0"/>
        <v>sin dato</v>
      </c>
      <c r="H42" s="222" t="str">
        <f t="shared" si="1"/>
        <v>999</v>
      </c>
    </row>
    <row r="43" spans="1:8" hidden="1">
      <c r="A43" s="92">
        <v>38741603</v>
      </c>
      <c r="B43" s="90" t="s">
        <v>8386</v>
      </c>
      <c r="C43" s="90" t="s">
        <v>8833</v>
      </c>
      <c r="D43" s="88" t="s">
        <v>8723</v>
      </c>
      <c r="E43" s="94">
        <v>45398</v>
      </c>
      <c r="F43" s="91" t="s">
        <v>9302</v>
      </c>
      <c r="G43" s="223" t="str">
        <f t="shared" si="0"/>
        <v>sin dato</v>
      </c>
      <c r="H43" s="222" t="str">
        <f t="shared" si="1"/>
        <v>999</v>
      </c>
    </row>
    <row r="44" spans="1:8" hidden="1">
      <c r="A44" s="92">
        <v>22613410</v>
      </c>
      <c r="B44" s="90" t="s">
        <v>8967</v>
      </c>
      <c r="C44" s="90" t="s">
        <v>8968</v>
      </c>
      <c r="D44" s="88" t="s">
        <v>8723</v>
      </c>
      <c r="E44" s="94">
        <v>45398</v>
      </c>
      <c r="F44" s="91" t="s">
        <v>9302</v>
      </c>
      <c r="G44" s="223">
        <f t="shared" si="0"/>
        <v>14</v>
      </c>
      <c r="H44" s="222">
        <f t="shared" si="1"/>
        <v>22613410</v>
      </c>
    </row>
    <row r="45" spans="1:8" hidden="1">
      <c r="A45" s="92">
        <v>38490152</v>
      </c>
      <c r="B45" s="90" t="s">
        <v>7295</v>
      </c>
      <c r="C45" s="90" t="s">
        <v>8969</v>
      </c>
      <c r="D45" s="88" t="s">
        <v>8723</v>
      </c>
      <c r="E45" s="94">
        <v>45398</v>
      </c>
      <c r="F45" s="91" t="s">
        <v>6853</v>
      </c>
      <c r="G45" s="223" t="str">
        <f t="shared" si="0"/>
        <v>sin dato</v>
      </c>
      <c r="H45" s="222" t="str">
        <f t="shared" si="1"/>
        <v>999</v>
      </c>
    </row>
    <row r="46" spans="1:8" hidden="1">
      <c r="A46" s="92">
        <v>29024358</v>
      </c>
      <c r="B46" s="90" t="s">
        <v>8970</v>
      </c>
      <c r="C46" s="90" t="s">
        <v>8971</v>
      </c>
      <c r="D46" s="88" t="s">
        <v>8723</v>
      </c>
      <c r="E46" s="94">
        <v>45398</v>
      </c>
      <c r="F46" s="91" t="s">
        <v>9302</v>
      </c>
      <c r="G46" s="223">
        <f t="shared" si="0"/>
        <v>17</v>
      </c>
      <c r="H46" s="222">
        <f t="shared" si="1"/>
        <v>29024358</v>
      </c>
    </row>
    <row r="47" spans="1:8" hidden="1">
      <c r="A47" s="92">
        <v>36838680</v>
      </c>
      <c r="B47" s="90" t="s">
        <v>8972</v>
      </c>
      <c r="C47" s="90" t="s">
        <v>7413</v>
      </c>
      <c r="D47" s="88" t="s">
        <v>8723</v>
      </c>
      <c r="E47" s="94">
        <v>45398</v>
      </c>
      <c r="F47" s="91" t="s">
        <v>9302</v>
      </c>
      <c r="G47" s="223" t="str">
        <f t="shared" si="0"/>
        <v>sin dato</v>
      </c>
      <c r="H47" s="222" t="str">
        <f t="shared" si="1"/>
        <v>999</v>
      </c>
    </row>
    <row r="48" spans="1:8" hidden="1">
      <c r="A48" s="92">
        <v>28221525</v>
      </c>
      <c r="B48" s="90" t="s">
        <v>8071</v>
      </c>
      <c r="C48" s="90" t="s">
        <v>8973</v>
      </c>
      <c r="D48" s="88" t="s">
        <v>8723</v>
      </c>
      <c r="E48" s="94">
        <v>45398</v>
      </c>
      <c r="F48" s="91" t="s">
        <v>9302</v>
      </c>
      <c r="G48" s="223">
        <f t="shared" si="0"/>
        <v>14</v>
      </c>
      <c r="H48" s="222">
        <f t="shared" si="1"/>
        <v>28221525</v>
      </c>
    </row>
    <row r="49" spans="1:8" hidden="1">
      <c r="A49" s="92">
        <v>36838708</v>
      </c>
      <c r="B49" s="90" t="s">
        <v>8974</v>
      </c>
      <c r="C49" s="90" t="s">
        <v>8954</v>
      </c>
      <c r="D49" s="88" t="s">
        <v>8723</v>
      </c>
      <c r="E49" s="94">
        <v>45398</v>
      </c>
      <c r="F49" s="91" t="s">
        <v>9302</v>
      </c>
      <c r="G49" s="223" t="str">
        <f t="shared" si="0"/>
        <v>sin dato</v>
      </c>
      <c r="H49" s="222" t="str">
        <f t="shared" si="1"/>
        <v>999</v>
      </c>
    </row>
    <row r="50" spans="1:8" hidden="1">
      <c r="A50" s="92">
        <v>40902403</v>
      </c>
      <c r="B50" s="90" t="s">
        <v>8955</v>
      </c>
      <c r="C50" s="90" t="s">
        <v>8975</v>
      </c>
      <c r="D50" s="88" t="s">
        <v>8723</v>
      </c>
      <c r="E50" s="94">
        <v>45398</v>
      </c>
      <c r="F50" s="91" t="s">
        <v>9302</v>
      </c>
      <c r="G50" s="223" t="str">
        <f t="shared" si="0"/>
        <v>sin dato</v>
      </c>
      <c r="H50" s="222" t="str">
        <f t="shared" si="1"/>
        <v>999</v>
      </c>
    </row>
    <row r="51" spans="1:8" hidden="1">
      <c r="A51" s="87">
        <v>20857513</v>
      </c>
      <c r="B51" s="108" t="str">
        <f ca="1">UPPER(Tabla1[[#This Row],[Apellido]])</f>
        <v>ALBA GUILLIN</v>
      </c>
      <c r="C51" s="108" t="str">
        <f ca="1">UPPER(Tabla1[[#This Row],[Nombre]])</f>
        <v xml:space="preserve">GLENDA GABRIELA </v>
      </c>
      <c r="D51" s="108" t="s">
        <v>7018</v>
      </c>
      <c r="E51" s="94">
        <v>45397</v>
      </c>
      <c r="F51" s="91" t="s">
        <v>9302</v>
      </c>
      <c r="G51" s="223">
        <f t="shared" si="0"/>
        <v>43</v>
      </c>
      <c r="H51" s="222">
        <f t="shared" si="1"/>
        <v>20857513</v>
      </c>
    </row>
    <row r="52" spans="1:8" hidden="1">
      <c r="A52" s="87">
        <v>20857513</v>
      </c>
      <c r="B52" s="90" t="s">
        <v>8725</v>
      </c>
      <c r="C52" s="90" t="s">
        <v>8726</v>
      </c>
      <c r="D52" s="88" t="s">
        <v>7018</v>
      </c>
      <c r="E52" s="94">
        <v>45397</v>
      </c>
      <c r="F52" s="91" t="s">
        <v>9302</v>
      </c>
      <c r="G52" s="223">
        <f t="shared" si="0"/>
        <v>43</v>
      </c>
      <c r="H52" s="222">
        <f t="shared" si="1"/>
        <v>20857513</v>
      </c>
    </row>
    <row r="53" spans="1:8" hidden="1">
      <c r="A53" s="87">
        <v>35807614</v>
      </c>
      <c r="B53" s="108" t="str">
        <f ca="1">UPPER(Tabla1[[#This Row],[Apellido]])</f>
        <v xml:space="preserve">DÍAZ PINTO </v>
      </c>
      <c r="C53" s="108" t="str">
        <f ca="1">UPPER(Tabla1[[#This Row],[Nombre]])</f>
        <v xml:space="preserve">GABRIEL </v>
      </c>
      <c r="D53" s="108" t="s">
        <v>7018</v>
      </c>
      <c r="E53" s="94">
        <v>45397</v>
      </c>
      <c r="F53" s="91" t="s">
        <v>6853</v>
      </c>
      <c r="G53" s="223" t="str">
        <f t="shared" si="0"/>
        <v>sin dato</v>
      </c>
      <c r="H53" s="222" t="str">
        <f t="shared" si="1"/>
        <v>999</v>
      </c>
    </row>
    <row r="54" spans="1:8" hidden="1">
      <c r="A54" s="87">
        <v>35807614</v>
      </c>
      <c r="B54" s="90" t="s">
        <v>8976</v>
      </c>
      <c r="C54" s="90" t="s">
        <v>8724</v>
      </c>
      <c r="D54" s="88" t="s">
        <v>7018</v>
      </c>
      <c r="E54" s="94">
        <v>45397</v>
      </c>
      <c r="F54" s="91" t="s">
        <v>6853</v>
      </c>
      <c r="G54" s="223" t="str">
        <f t="shared" si="0"/>
        <v>sin dato</v>
      </c>
      <c r="H54" s="222" t="str">
        <f t="shared" si="1"/>
        <v>999</v>
      </c>
    </row>
    <row r="55" spans="1:8" hidden="1">
      <c r="A55" s="87">
        <v>26982291</v>
      </c>
      <c r="B55" s="108" t="str">
        <f ca="1">UPPER(Tabla1[[#This Row],[Apellido]])</f>
        <v>FLORES</v>
      </c>
      <c r="C55" s="108" t="str">
        <f ca="1">UPPER(Tabla1[[#This Row],[Nombre]])</f>
        <v>JUAN CARLOS</v>
      </c>
      <c r="D55" s="108" t="s">
        <v>7018</v>
      </c>
      <c r="E55" s="94">
        <v>45397</v>
      </c>
      <c r="F55" s="91" t="s">
        <v>9302</v>
      </c>
      <c r="G55" s="223">
        <f t="shared" si="0"/>
        <v>16</v>
      </c>
      <c r="H55" s="222">
        <f t="shared" si="1"/>
        <v>26982291</v>
      </c>
    </row>
    <row r="56" spans="1:8" hidden="1">
      <c r="A56" s="87">
        <v>26982291</v>
      </c>
      <c r="B56" s="90" t="s">
        <v>8078</v>
      </c>
      <c r="C56" s="90" t="s">
        <v>8295</v>
      </c>
      <c r="D56" s="88" t="s">
        <v>7018</v>
      </c>
      <c r="E56" s="94">
        <v>45397</v>
      </c>
      <c r="F56" s="91" t="s">
        <v>9302</v>
      </c>
      <c r="G56" s="223">
        <f t="shared" si="0"/>
        <v>16</v>
      </c>
      <c r="H56" s="222">
        <f t="shared" si="1"/>
        <v>26982291</v>
      </c>
    </row>
    <row r="57" spans="1:8" hidden="1">
      <c r="A57" s="87">
        <v>21846191</v>
      </c>
      <c r="B57" s="108" t="str">
        <f ca="1">UPPER(Tabla1[[#This Row],[Apellido]])</f>
        <v>HUERTA</v>
      </c>
      <c r="C57" s="108" t="str">
        <f ca="1">UPPER(Tabla1[[#This Row],[Nombre]])</f>
        <v xml:space="preserve">MARIA CLAUDIA HUERTA </v>
      </c>
      <c r="D57" s="108" t="s">
        <v>7018</v>
      </c>
      <c r="E57" s="94">
        <v>45397</v>
      </c>
      <c r="F57" s="91" t="s">
        <v>6853</v>
      </c>
      <c r="G57" s="223">
        <f t="shared" si="0"/>
        <v>21</v>
      </c>
      <c r="H57" s="222">
        <f t="shared" si="1"/>
        <v>21846191</v>
      </c>
    </row>
    <row r="58" spans="1:8" hidden="1">
      <c r="A58" s="87">
        <v>21846191</v>
      </c>
      <c r="B58" s="90" t="s">
        <v>8727</v>
      </c>
      <c r="C58" s="90" t="s">
        <v>8728</v>
      </c>
      <c r="D58" s="88" t="s">
        <v>7018</v>
      </c>
      <c r="E58" s="94">
        <v>45397</v>
      </c>
      <c r="F58" s="91" t="s">
        <v>6853</v>
      </c>
      <c r="G58" s="223">
        <f t="shared" si="0"/>
        <v>21</v>
      </c>
      <c r="H58" s="222">
        <f t="shared" si="1"/>
        <v>21846191</v>
      </c>
    </row>
    <row r="59" spans="1:8" hidden="1">
      <c r="A59" s="87">
        <v>22946600</v>
      </c>
      <c r="B59" s="108" t="str">
        <f ca="1">UPPER(Tabla1[[#This Row],[Apellido]])</f>
        <v xml:space="preserve">LIZÁRRAGA </v>
      </c>
      <c r="C59" s="108" t="str">
        <f ca="1">UPPER(Tabla1[[#This Row],[Nombre]])</f>
        <v xml:space="preserve">MARCELO RAÚL </v>
      </c>
      <c r="D59" s="108" t="s">
        <v>7018</v>
      </c>
      <c r="E59" s="94">
        <v>45397</v>
      </c>
      <c r="F59" s="91" t="s">
        <v>9302</v>
      </c>
      <c r="G59" s="223" t="str">
        <f t="shared" si="0"/>
        <v>sin dato</v>
      </c>
      <c r="H59" s="222">
        <f t="shared" si="1"/>
        <v>22946600</v>
      </c>
    </row>
    <row r="60" spans="1:8" hidden="1">
      <c r="A60" s="87">
        <v>22946600</v>
      </c>
      <c r="B60" s="90" t="s">
        <v>8977</v>
      </c>
      <c r="C60" s="90" t="s">
        <v>8729</v>
      </c>
      <c r="D60" s="88" t="s">
        <v>7018</v>
      </c>
      <c r="E60" s="94">
        <v>45397</v>
      </c>
      <c r="F60" s="91" t="s">
        <v>9302</v>
      </c>
      <c r="G60" s="223" t="str">
        <f t="shared" si="0"/>
        <v>sin dato</v>
      </c>
      <c r="H60" s="222">
        <f t="shared" si="1"/>
        <v>22946600</v>
      </c>
    </row>
    <row r="61" spans="1:8" hidden="1">
      <c r="A61" s="87">
        <v>32775448</v>
      </c>
      <c r="B61" s="108" t="str">
        <f ca="1">UPPER(Tabla1[[#This Row],[Apellido]])</f>
        <v>MOLINA</v>
      </c>
      <c r="C61" s="108" t="str">
        <f ca="1">UPPER(Tabla1[[#This Row],[Nombre]])</f>
        <v xml:space="preserve">MARIA NOELIA </v>
      </c>
      <c r="D61" s="108" t="s">
        <v>7018</v>
      </c>
      <c r="E61" s="94">
        <v>45397</v>
      </c>
      <c r="F61" s="91" t="s">
        <v>9302</v>
      </c>
      <c r="G61" s="223">
        <f t="shared" si="0"/>
        <v>11</v>
      </c>
      <c r="H61" s="222">
        <f t="shared" si="1"/>
        <v>32775448</v>
      </c>
    </row>
    <row r="62" spans="1:8" hidden="1">
      <c r="A62" s="87">
        <v>32775448</v>
      </c>
      <c r="B62" s="90" t="s">
        <v>7512</v>
      </c>
      <c r="C62" s="90" t="s">
        <v>8730</v>
      </c>
      <c r="D62" s="88" t="s">
        <v>7018</v>
      </c>
      <c r="E62" s="94">
        <v>45397</v>
      </c>
      <c r="F62" s="91" t="s">
        <v>9302</v>
      </c>
      <c r="G62" s="223">
        <f t="shared" si="0"/>
        <v>11</v>
      </c>
      <c r="H62" s="222">
        <f t="shared" si="1"/>
        <v>32775448</v>
      </c>
    </row>
    <row r="63" spans="1:8" hidden="1">
      <c r="A63" s="87">
        <v>23859111</v>
      </c>
      <c r="B63" s="108" t="str">
        <f ca="1">UPPER(Tabla1[[#This Row],[Apellido]])</f>
        <v>PONCE</v>
      </c>
      <c r="C63" s="108" t="str">
        <f ca="1">UPPER(Tabla1[[#This Row],[Nombre]])</f>
        <v xml:space="preserve">DEOLINDA AZUCENA </v>
      </c>
      <c r="D63" s="108" t="s">
        <v>7018</v>
      </c>
      <c r="E63" s="94">
        <v>45397</v>
      </c>
      <c r="F63" s="91" t="s">
        <v>9302</v>
      </c>
      <c r="G63" s="223">
        <f t="shared" si="0"/>
        <v>13</v>
      </c>
      <c r="H63" s="222">
        <f t="shared" si="1"/>
        <v>23859111</v>
      </c>
    </row>
    <row r="64" spans="1:8" hidden="1">
      <c r="A64" s="87">
        <v>23859111</v>
      </c>
      <c r="B64" s="90" t="s">
        <v>7934</v>
      </c>
      <c r="C64" s="90" t="s">
        <v>8731</v>
      </c>
      <c r="D64" s="88" t="s">
        <v>7018</v>
      </c>
      <c r="E64" s="94">
        <v>45397</v>
      </c>
      <c r="F64" s="91" t="s">
        <v>9302</v>
      </c>
      <c r="G64" s="223">
        <f t="shared" si="0"/>
        <v>13</v>
      </c>
      <c r="H64" s="222">
        <f t="shared" si="1"/>
        <v>23859111</v>
      </c>
    </row>
    <row r="65" spans="1:8" hidden="1">
      <c r="A65" s="87">
        <v>37097191</v>
      </c>
      <c r="B65" s="108" t="str">
        <f ca="1">UPPER(Tabla1[[#This Row],[Apellido]])</f>
        <v>PUENTEDURA</v>
      </c>
      <c r="C65" s="108" t="str">
        <f ca="1">UPPER(Tabla1[[#This Row],[Nombre]])</f>
        <v>ANTONELLA LORENA</v>
      </c>
      <c r="D65" s="108" t="s">
        <v>7018</v>
      </c>
      <c r="E65" s="94">
        <v>45397</v>
      </c>
      <c r="F65" s="91" t="s">
        <v>6853</v>
      </c>
      <c r="G65" s="223" t="str">
        <f t="shared" si="0"/>
        <v>sin dato</v>
      </c>
      <c r="H65" s="222" t="str">
        <f t="shared" si="1"/>
        <v>999</v>
      </c>
    </row>
    <row r="66" spans="1:8" hidden="1">
      <c r="A66" s="87">
        <v>37097191</v>
      </c>
      <c r="B66" s="90" t="s">
        <v>8732</v>
      </c>
      <c r="C66" s="90" t="s">
        <v>8733</v>
      </c>
      <c r="D66" s="88" t="s">
        <v>7018</v>
      </c>
      <c r="E66" s="94">
        <v>45397</v>
      </c>
      <c r="F66" s="91" t="s">
        <v>6853</v>
      </c>
      <c r="G66" s="223" t="str">
        <f t="shared" ref="G66:G129" si="2">IFERROR(INDEX(unidad,MATCH(VLOOKUP(A66,alum,9,0),unidad2,0),1),"sin dato")</f>
        <v>sin dato</v>
      </c>
      <c r="H66" s="222" t="str">
        <f t="shared" ref="H66:H129" si="3">IFERROR(VLOOKUP(A66,alum,1,0),"999")</f>
        <v>999</v>
      </c>
    </row>
    <row r="67" spans="1:8" hidden="1">
      <c r="A67" s="87">
        <v>43163028</v>
      </c>
      <c r="B67" s="108" t="str">
        <f ca="1">UPPER(Tabla1[[#This Row],[Apellido]])</f>
        <v xml:space="preserve">ROMULO </v>
      </c>
      <c r="C67" s="108" t="str">
        <f ca="1">UPPER(Tabla1[[#This Row],[Nombre]])</f>
        <v xml:space="preserve">LUCAS ALEJANDRO </v>
      </c>
      <c r="D67" s="108" t="s">
        <v>7018</v>
      </c>
      <c r="E67" s="94">
        <v>45397</v>
      </c>
      <c r="F67" s="91" t="s">
        <v>9302</v>
      </c>
      <c r="G67" s="223" t="str">
        <f t="shared" si="2"/>
        <v>sin dato</v>
      </c>
      <c r="H67" s="222" t="str">
        <f t="shared" si="3"/>
        <v>999</v>
      </c>
    </row>
    <row r="68" spans="1:8" hidden="1">
      <c r="A68" s="87">
        <v>43163028</v>
      </c>
      <c r="B68" s="90" t="s">
        <v>8978</v>
      </c>
      <c r="C68" s="90" t="s">
        <v>8734</v>
      </c>
      <c r="D68" s="88" t="s">
        <v>7018</v>
      </c>
      <c r="E68" s="94">
        <v>45397</v>
      </c>
      <c r="F68" s="91" t="s">
        <v>9302</v>
      </c>
      <c r="G68" s="223" t="str">
        <f t="shared" si="2"/>
        <v>sin dato</v>
      </c>
      <c r="H68" s="222" t="str">
        <f t="shared" si="3"/>
        <v>999</v>
      </c>
    </row>
    <row r="69" spans="1:8" hidden="1">
      <c r="A69" s="87">
        <v>27206952</v>
      </c>
      <c r="B69" s="108" t="str">
        <f ca="1">UPPER(Tabla1[[#This Row],[Apellido]])</f>
        <v>RUEDA</v>
      </c>
      <c r="C69" s="108" t="str">
        <f ca="1">UPPER(Tabla1[[#This Row],[Nombre]])</f>
        <v>JULIO LUIS</v>
      </c>
      <c r="D69" s="108" t="s">
        <v>7018</v>
      </c>
      <c r="E69" s="94">
        <v>45397</v>
      </c>
      <c r="F69" s="91" t="s">
        <v>6853</v>
      </c>
      <c r="G69" s="223">
        <f t="shared" si="2"/>
        <v>29</v>
      </c>
      <c r="H69" s="222">
        <f t="shared" si="3"/>
        <v>27206952</v>
      </c>
    </row>
    <row r="70" spans="1:8" hidden="1">
      <c r="A70" s="87">
        <v>27206952</v>
      </c>
      <c r="B70" s="90" t="s">
        <v>6924</v>
      </c>
      <c r="C70" s="90" t="s">
        <v>6925</v>
      </c>
      <c r="D70" s="88" t="s">
        <v>7018</v>
      </c>
      <c r="E70" s="94">
        <v>45397</v>
      </c>
      <c r="F70" s="91" t="s">
        <v>6853</v>
      </c>
      <c r="G70" s="223">
        <f t="shared" si="2"/>
        <v>29</v>
      </c>
      <c r="H70" s="222">
        <f t="shared" si="3"/>
        <v>27206952</v>
      </c>
    </row>
    <row r="71" spans="1:8" hidden="1">
      <c r="A71" s="87">
        <v>35517532</v>
      </c>
      <c r="B71" s="108" t="str">
        <f ca="1">UPPER(Tabla1[[#This Row],[Apellido]])</f>
        <v xml:space="preserve">SOPENA </v>
      </c>
      <c r="C71" s="108" t="str">
        <f ca="1">UPPER(Tabla1[[#This Row],[Nombre]])</f>
        <v>YESICA NOELIA</v>
      </c>
      <c r="D71" s="108" t="s">
        <v>7018</v>
      </c>
      <c r="E71" s="94">
        <v>45397</v>
      </c>
      <c r="F71" s="91" t="s">
        <v>9302</v>
      </c>
      <c r="G71" s="223" t="str">
        <f t="shared" si="2"/>
        <v>sin dato</v>
      </c>
      <c r="H71" s="222" t="str">
        <f t="shared" si="3"/>
        <v>999</v>
      </c>
    </row>
    <row r="72" spans="1:8" hidden="1">
      <c r="A72" s="87">
        <v>35517532</v>
      </c>
      <c r="B72" s="90" t="s">
        <v>8979</v>
      </c>
      <c r="C72" s="90" t="s">
        <v>8735</v>
      </c>
      <c r="D72" s="88" t="s">
        <v>7018</v>
      </c>
      <c r="E72" s="94">
        <v>45397</v>
      </c>
      <c r="F72" s="91" t="s">
        <v>9302</v>
      </c>
      <c r="G72" s="223" t="str">
        <f t="shared" si="2"/>
        <v>sin dato</v>
      </c>
      <c r="H72" s="222" t="str">
        <f t="shared" si="3"/>
        <v>999</v>
      </c>
    </row>
    <row r="73" spans="1:8" hidden="1">
      <c r="A73" s="87">
        <v>33979847</v>
      </c>
      <c r="B73" s="108" t="str">
        <f ca="1">UPPER(Tabla1[[#This Row],[Apellido]])</f>
        <v>VILTES</v>
      </c>
      <c r="C73" s="108" t="str">
        <f ca="1">UPPER(Tabla1[[#This Row],[Nombre]])</f>
        <v>GUSTAVO EXEQUIEL</v>
      </c>
      <c r="D73" s="108" t="s">
        <v>7018</v>
      </c>
      <c r="E73" s="94">
        <v>45397</v>
      </c>
      <c r="F73" s="91" t="s">
        <v>9302</v>
      </c>
      <c r="G73" s="223">
        <f t="shared" si="2"/>
        <v>11</v>
      </c>
      <c r="H73" s="222">
        <f t="shared" si="3"/>
        <v>33979847</v>
      </c>
    </row>
    <row r="74" spans="1:8" hidden="1">
      <c r="A74" s="87">
        <v>33979847</v>
      </c>
      <c r="B74" s="90" t="s">
        <v>8736</v>
      </c>
      <c r="C74" s="90" t="s">
        <v>8737</v>
      </c>
      <c r="D74" s="88" t="s">
        <v>7018</v>
      </c>
      <c r="E74" s="94">
        <v>45397</v>
      </c>
      <c r="F74" s="91" t="s">
        <v>9302</v>
      </c>
      <c r="G74" s="223">
        <f t="shared" si="2"/>
        <v>11</v>
      </c>
      <c r="H74" s="222">
        <f t="shared" si="3"/>
        <v>33979847</v>
      </c>
    </row>
    <row r="75" spans="1:8" hidden="1">
      <c r="A75" s="87">
        <v>16541407</v>
      </c>
      <c r="B75" s="88" t="s">
        <v>6730</v>
      </c>
      <c r="C75" s="88" t="s">
        <v>468</v>
      </c>
      <c r="D75" s="88" t="s">
        <v>8582</v>
      </c>
      <c r="E75" s="94">
        <v>45238</v>
      </c>
      <c r="F75" s="91" t="s">
        <v>6853</v>
      </c>
      <c r="G75" s="223">
        <f t="shared" si="2"/>
        <v>22</v>
      </c>
      <c r="H75" s="222">
        <f t="shared" si="3"/>
        <v>16541407</v>
      </c>
    </row>
    <row r="76" spans="1:8" hidden="1">
      <c r="A76" s="92">
        <v>32927840</v>
      </c>
      <c r="B76" s="88" t="s">
        <v>1512</v>
      </c>
      <c r="C76" s="88" t="s">
        <v>6056</v>
      </c>
      <c r="D76" s="88" t="s">
        <v>8582</v>
      </c>
      <c r="E76" s="94">
        <v>45238</v>
      </c>
      <c r="F76" s="91" t="s">
        <v>6853</v>
      </c>
      <c r="G76" s="223">
        <f t="shared" si="2"/>
        <v>88</v>
      </c>
      <c r="H76" s="222">
        <f t="shared" si="3"/>
        <v>32927840</v>
      </c>
    </row>
    <row r="77" spans="1:8" hidden="1">
      <c r="A77" s="87">
        <v>36049481</v>
      </c>
      <c r="B77" s="93" t="s">
        <v>9096</v>
      </c>
      <c r="C77" s="93" t="s">
        <v>9163</v>
      </c>
      <c r="D77" s="88" t="s">
        <v>9210</v>
      </c>
      <c r="E77" s="94">
        <v>45231</v>
      </c>
      <c r="F77" s="91" t="s">
        <v>6853</v>
      </c>
      <c r="G77" s="223" t="str">
        <f t="shared" si="2"/>
        <v>sin dato</v>
      </c>
      <c r="H77" s="222" t="str">
        <f t="shared" si="3"/>
        <v>999</v>
      </c>
    </row>
    <row r="78" spans="1:8" hidden="1">
      <c r="A78" s="87">
        <v>34132915</v>
      </c>
      <c r="B78" s="93" t="s">
        <v>9164</v>
      </c>
      <c r="C78" s="93" t="s">
        <v>9165</v>
      </c>
      <c r="D78" s="88" t="s">
        <v>9210</v>
      </c>
      <c r="E78" s="94">
        <v>45231</v>
      </c>
      <c r="F78" s="91" t="s">
        <v>9302</v>
      </c>
      <c r="G78" s="223">
        <f t="shared" si="2"/>
        <v>19</v>
      </c>
      <c r="H78" s="222">
        <f t="shared" si="3"/>
        <v>34132915</v>
      </c>
    </row>
    <row r="79" spans="1:8" hidden="1">
      <c r="A79" s="87">
        <v>22331107</v>
      </c>
      <c r="B79" s="93" t="s">
        <v>9164</v>
      </c>
      <c r="C79" s="93" t="s">
        <v>9166</v>
      </c>
      <c r="D79" s="88" t="s">
        <v>9210</v>
      </c>
      <c r="E79" s="94">
        <v>45231</v>
      </c>
      <c r="F79" s="91" t="s">
        <v>9302</v>
      </c>
      <c r="G79" s="223">
        <f t="shared" si="2"/>
        <v>19</v>
      </c>
      <c r="H79" s="222">
        <f t="shared" si="3"/>
        <v>22331107</v>
      </c>
    </row>
    <row r="80" spans="1:8" hidden="1">
      <c r="A80" s="87">
        <v>36585692</v>
      </c>
      <c r="B80" s="93" t="s">
        <v>7886</v>
      </c>
      <c r="C80" s="93" t="s">
        <v>9167</v>
      </c>
      <c r="D80" s="88" t="s">
        <v>9210</v>
      </c>
      <c r="E80" s="94">
        <v>45231</v>
      </c>
      <c r="F80" s="91" t="s">
        <v>6853</v>
      </c>
      <c r="G80" s="223" t="str">
        <f t="shared" si="2"/>
        <v>sin dato</v>
      </c>
      <c r="H80" s="222" t="str">
        <f t="shared" si="3"/>
        <v>999</v>
      </c>
    </row>
    <row r="81" spans="1:8" hidden="1">
      <c r="A81" s="87">
        <v>34133413</v>
      </c>
      <c r="B81" s="93" t="s">
        <v>9168</v>
      </c>
      <c r="C81" s="93" t="s">
        <v>9169</v>
      </c>
      <c r="D81" s="88" t="s">
        <v>9210</v>
      </c>
      <c r="E81" s="94">
        <v>45231</v>
      </c>
      <c r="F81" s="91" t="s">
        <v>6853</v>
      </c>
      <c r="G81" s="223">
        <f t="shared" si="2"/>
        <v>19</v>
      </c>
      <c r="H81" s="222">
        <f t="shared" si="3"/>
        <v>34133413</v>
      </c>
    </row>
    <row r="82" spans="1:8" hidden="1">
      <c r="A82" s="87">
        <v>16685009</v>
      </c>
      <c r="B82" s="93" t="s">
        <v>9170</v>
      </c>
      <c r="C82" s="93" t="s">
        <v>9171</v>
      </c>
      <c r="D82" s="88" t="s">
        <v>9210</v>
      </c>
      <c r="E82" s="94">
        <v>45231</v>
      </c>
      <c r="F82" s="91" t="s">
        <v>6853</v>
      </c>
      <c r="G82" s="223">
        <f t="shared" si="2"/>
        <v>19</v>
      </c>
      <c r="H82" s="222">
        <f t="shared" si="3"/>
        <v>16685009</v>
      </c>
    </row>
    <row r="83" spans="1:8" hidden="1">
      <c r="A83" s="87">
        <v>17655542</v>
      </c>
      <c r="B83" s="93" t="s">
        <v>6850</v>
      </c>
      <c r="C83" s="93" t="s">
        <v>8295</v>
      </c>
      <c r="D83" s="88" t="s">
        <v>9210</v>
      </c>
      <c r="E83" s="94">
        <v>45231</v>
      </c>
      <c r="F83" s="91" t="s">
        <v>6853</v>
      </c>
      <c r="G83" s="223">
        <f t="shared" si="2"/>
        <v>19</v>
      </c>
      <c r="H83" s="222">
        <f t="shared" si="3"/>
        <v>17655542</v>
      </c>
    </row>
    <row r="84" spans="1:8" hidden="1">
      <c r="A84" s="87">
        <v>31589261</v>
      </c>
      <c r="B84" s="93" t="s">
        <v>8285</v>
      </c>
      <c r="C84" s="93" t="s">
        <v>9172</v>
      </c>
      <c r="D84" s="88" t="s">
        <v>9210</v>
      </c>
      <c r="E84" s="94">
        <v>45231</v>
      </c>
      <c r="F84" s="91" t="s">
        <v>6853</v>
      </c>
      <c r="G84" s="223">
        <f t="shared" si="2"/>
        <v>19</v>
      </c>
      <c r="H84" s="222">
        <f t="shared" si="3"/>
        <v>31589261</v>
      </c>
    </row>
    <row r="85" spans="1:8" hidden="1">
      <c r="A85" s="87">
        <v>22332640</v>
      </c>
      <c r="B85" s="93" t="s">
        <v>9173</v>
      </c>
      <c r="C85" s="93" t="s">
        <v>9174</v>
      </c>
      <c r="D85" s="88" t="s">
        <v>9210</v>
      </c>
      <c r="E85" s="94">
        <v>45231</v>
      </c>
      <c r="F85" s="91" t="s">
        <v>6853</v>
      </c>
      <c r="G85" s="223">
        <f t="shared" si="2"/>
        <v>19</v>
      </c>
      <c r="H85" s="222">
        <f t="shared" si="3"/>
        <v>22332640</v>
      </c>
    </row>
    <row r="86" spans="1:8" hidden="1">
      <c r="A86" s="87">
        <v>18187738</v>
      </c>
      <c r="B86" s="93" t="s">
        <v>7978</v>
      </c>
      <c r="C86" s="93" t="s">
        <v>9175</v>
      </c>
      <c r="D86" s="88" t="s">
        <v>9210</v>
      </c>
      <c r="E86" s="94">
        <v>45231</v>
      </c>
      <c r="F86" s="91" t="s">
        <v>6853</v>
      </c>
      <c r="G86" s="223">
        <f t="shared" si="2"/>
        <v>19</v>
      </c>
      <c r="H86" s="222">
        <f t="shared" si="3"/>
        <v>18187738</v>
      </c>
    </row>
    <row r="87" spans="1:8" hidden="1">
      <c r="A87" s="87">
        <v>25212343</v>
      </c>
      <c r="B87" s="93" t="s">
        <v>9176</v>
      </c>
      <c r="C87" s="93" t="s">
        <v>9177</v>
      </c>
      <c r="D87" s="88" t="s">
        <v>9210</v>
      </c>
      <c r="E87" s="94">
        <v>45231</v>
      </c>
      <c r="F87" s="91" t="s">
        <v>9302</v>
      </c>
      <c r="G87" s="223">
        <f t="shared" si="2"/>
        <v>19</v>
      </c>
      <c r="H87" s="222">
        <f t="shared" si="3"/>
        <v>25212343</v>
      </c>
    </row>
    <row r="88" spans="1:8" hidden="1">
      <c r="A88" s="87">
        <v>33884227</v>
      </c>
      <c r="B88" s="93" t="s">
        <v>9178</v>
      </c>
      <c r="C88" s="93" t="s">
        <v>9179</v>
      </c>
      <c r="D88" s="88" t="s">
        <v>9210</v>
      </c>
      <c r="E88" s="94">
        <v>45231</v>
      </c>
      <c r="F88" s="91" t="s">
        <v>6853</v>
      </c>
      <c r="G88" s="223">
        <f t="shared" si="2"/>
        <v>19</v>
      </c>
      <c r="H88" s="222">
        <f t="shared" si="3"/>
        <v>33884227</v>
      </c>
    </row>
    <row r="89" spans="1:8" hidden="1">
      <c r="A89" s="87">
        <v>26722921</v>
      </c>
      <c r="B89" s="93" t="s">
        <v>9180</v>
      </c>
      <c r="C89" s="93" t="s">
        <v>9181</v>
      </c>
      <c r="D89" s="88" t="s">
        <v>9210</v>
      </c>
      <c r="E89" s="94">
        <v>45231</v>
      </c>
      <c r="F89" s="91" t="s">
        <v>9302</v>
      </c>
      <c r="G89" s="223">
        <f t="shared" si="2"/>
        <v>19</v>
      </c>
      <c r="H89" s="222">
        <f t="shared" si="3"/>
        <v>26722921</v>
      </c>
    </row>
    <row r="90" spans="1:8" hidden="1">
      <c r="A90" s="87">
        <v>29532427</v>
      </c>
      <c r="B90" s="93" t="s">
        <v>7492</v>
      </c>
      <c r="C90" s="93" t="s">
        <v>9182</v>
      </c>
      <c r="D90" s="88" t="s">
        <v>9210</v>
      </c>
      <c r="E90" s="94">
        <v>45231</v>
      </c>
      <c r="F90" s="91" t="s">
        <v>6853</v>
      </c>
      <c r="G90" s="223">
        <f t="shared" si="2"/>
        <v>19</v>
      </c>
      <c r="H90" s="222">
        <f t="shared" si="3"/>
        <v>29532427</v>
      </c>
    </row>
    <row r="91" spans="1:8" hidden="1">
      <c r="A91" s="87">
        <v>30497720</v>
      </c>
      <c r="B91" s="93" t="s">
        <v>9183</v>
      </c>
      <c r="C91" s="93" t="s">
        <v>9184</v>
      </c>
      <c r="D91" s="88" t="s">
        <v>9210</v>
      </c>
      <c r="E91" s="94">
        <v>45231</v>
      </c>
      <c r="F91" s="91" t="s">
        <v>6853</v>
      </c>
      <c r="G91" s="223">
        <f t="shared" si="2"/>
        <v>19</v>
      </c>
      <c r="H91" s="222">
        <f t="shared" si="3"/>
        <v>30497720</v>
      </c>
    </row>
    <row r="92" spans="1:8" hidden="1">
      <c r="A92" s="87">
        <v>17614923</v>
      </c>
      <c r="B92" s="93" t="s">
        <v>9185</v>
      </c>
      <c r="C92" s="93" t="s">
        <v>9186</v>
      </c>
      <c r="D92" s="88" t="s">
        <v>9210</v>
      </c>
      <c r="E92" s="94">
        <v>45231</v>
      </c>
      <c r="F92" s="91" t="s">
        <v>6853</v>
      </c>
      <c r="G92" s="223">
        <f t="shared" si="2"/>
        <v>19</v>
      </c>
      <c r="H92" s="222">
        <f t="shared" si="3"/>
        <v>17614923</v>
      </c>
    </row>
    <row r="93" spans="1:8" hidden="1">
      <c r="A93" s="87">
        <v>38023549</v>
      </c>
      <c r="B93" s="93" t="s">
        <v>9187</v>
      </c>
      <c r="C93" s="93" t="s">
        <v>9188</v>
      </c>
      <c r="D93" s="88" t="s">
        <v>9210</v>
      </c>
      <c r="E93" s="94">
        <v>45231</v>
      </c>
      <c r="F93" s="91" t="s">
        <v>9302</v>
      </c>
      <c r="G93" s="223" t="str">
        <f t="shared" si="2"/>
        <v>sin dato</v>
      </c>
      <c r="H93" s="222" t="str">
        <f t="shared" si="3"/>
        <v>999</v>
      </c>
    </row>
    <row r="94" spans="1:8" hidden="1">
      <c r="A94" s="87">
        <v>28884614</v>
      </c>
      <c r="B94" s="93" t="s">
        <v>9189</v>
      </c>
      <c r="C94" s="93" t="s">
        <v>9190</v>
      </c>
      <c r="D94" s="88" t="s">
        <v>9210</v>
      </c>
      <c r="E94" s="94">
        <v>45231</v>
      </c>
      <c r="F94" s="91" t="s">
        <v>6853</v>
      </c>
      <c r="G94" s="223">
        <f t="shared" si="2"/>
        <v>19</v>
      </c>
      <c r="H94" s="222">
        <f t="shared" si="3"/>
        <v>28884614</v>
      </c>
    </row>
    <row r="95" spans="1:8" hidden="1">
      <c r="A95" s="87">
        <v>34603476</v>
      </c>
      <c r="B95" s="93" t="s">
        <v>9191</v>
      </c>
      <c r="C95" s="93" t="s">
        <v>9192</v>
      </c>
      <c r="D95" s="88" t="s">
        <v>9210</v>
      </c>
      <c r="E95" s="94">
        <v>45231</v>
      </c>
      <c r="F95" s="91" t="s">
        <v>6853</v>
      </c>
      <c r="G95" s="223">
        <f t="shared" si="2"/>
        <v>19</v>
      </c>
      <c r="H95" s="222">
        <f t="shared" si="3"/>
        <v>34603476</v>
      </c>
    </row>
    <row r="96" spans="1:8" hidden="1">
      <c r="A96" s="87">
        <v>36838696</v>
      </c>
      <c r="B96" s="93" t="s">
        <v>9005</v>
      </c>
      <c r="C96" s="93" t="s">
        <v>9006</v>
      </c>
      <c r="D96" s="88" t="s">
        <v>9210</v>
      </c>
      <c r="E96" s="94">
        <v>45231</v>
      </c>
      <c r="F96" s="91" t="s">
        <v>9302</v>
      </c>
      <c r="G96" s="223" t="str">
        <f t="shared" si="2"/>
        <v>sin dato</v>
      </c>
      <c r="H96" s="222" t="str">
        <f t="shared" si="3"/>
        <v>999</v>
      </c>
    </row>
    <row r="97" spans="1:8" hidden="1">
      <c r="A97" s="87">
        <v>17060425</v>
      </c>
      <c r="B97" s="93" t="s">
        <v>9088</v>
      </c>
      <c r="C97" s="93" t="s">
        <v>9193</v>
      </c>
      <c r="D97" s="88" t="s">
        <v>9210</v>
      </c>
      <c r="E97" s="94">
        <v>45231</v>
      </c>
      <c r="F97" s="91" t="s">
        <v>6853</v>
      </c>
      <c r="G97" s="223">
        <f t="shared" si="2"/>
        <v>19</v>
      </c>
      <c r="H97" s="222">
        <f t="shared" si="3"/>
        <v>17060425</v>
      </c>
    </row>
    <row r="98" spans="1:8" hidden="1">
      <c r="A98" s="87">
        <v>34953481</v>
      </c>
      <c r="B98" s="90" t="s">
        <v>7499</v>
      </c>
      <c r="C98" s="90" t="s">
        <v>9194</v>
      </c>
      <c r="D98" s="88" t="s">
        <v>9210</v>
      </c>
      <c r="E98" s="94">
        <v>45231</v>
      </c>
      <c r="F98" s="91" t="s">
        <v>6853</v>
      </c>
      <c r="G98" s="223">
        <f t="shared" si="2"/>
        <v>19</v>
      </c>
      <c r="H98" s="222">
        <f t="shared" si="3"/>
        <v>34953481</v>
      </c>
    </row>
    <row r="99" spans="1:8" hidden="1">
      <c r="A99" s="87">
        <v>21609438</v>
      </c>
      <c r="B99" s="93" t="s">
        <v>7499</v>
      </c>
      <c r="C99" s="93" t="s">
        <v>9195</v>
      </c>
      <c r="D99" s="88" t="s">
        <v>9210</v>
      </c>
      <c r="E99" s="94">
        <v>45231</v>
      </c>
      <c r="F99" s="91" t="s">
        <v>9302</v>
      </c>
      <c r="G99" s="223">
        <f t="shared" si="2"/>
        <v>19</v>
      </c>
      <c r="H99" s="222">
        <f t="shared" si="3"/>
        <v>21609438</v>
      </c>
    </row>
    <row r="100" spans="1:8" hidden="1">
      <c r="A100" s="87">
        <v>30597790</v>
      </c>
      <c r="B100" s="93" t="s">
        <v>9196</v>
      </c>
      <c r="C100" s="93" t="s">
        <v>9197</v>
      </c>
      <c r="D100" s="88" t="s">
        <v>9210</v>
      </c>
      <c r="E100" s="94">
        <v>45231</v>
      </c>
      <c r="F100" s="91" t="s">
        <v>9302</v>
      </c>
      <c r="G100" s="223">
        <f t="shared" si="2"/>
        <v>19</v>
      </c>
      <c r="H100" s="222">
        <f t="shared" si="3"/>
        <v>30597790</v>
      </c>
    </row>
    <row r="101" spans="1:8" hidden="1">
      <c r="A101" s="87">
        <v>33973474</v>
      </c>
      <c r="B101" s="93" t="s">
        <v>9011</v>
      </c>
      <c r="C101" s="93" t="s">
        <v>9194</v>
      </c>
      <c r="D101" s="88" t="s">
        <v>9210</v>
      </c>
      <c r="E101" s="94">
        <v>45231</v>
      </c>
      <c r="F101" s="91" t="s">
        <v>6853</v>
      </c>
      <c r="G101" s="223">
        <f t="shared" si="2"/>
        <v>19</v>
      </c>
      <c r="H101" s="222">
        <f t="shared" si="3"/>
        <v>33973474</v>
      </c>
    </row>
    <row r="102" spans="1:8" ht="30" hidden="1">
      <c r="A102" s="87">
        <v>20433790</v>
      </c>
      <c r="B102" s="93" t="s">
        <v>9011</v>
      </c>
      <c r="C102" s="93" t="s">
        <v>9198</v>
      </c>
      <c r="D102" s="88" t="s">
        <v>9210</v>
      </c>
      <c r="E102" s="94">
        <v>45231</v>
      </c>
      <c r="F102" s="91" t="s">
        <v>9302</v>
      </c>
      <c r="G102" s="223">
        <f t="shared" si="2"/>
        <v>19</v>
      </c>
      <c r="H102" s="222">
        <f t="shared" si="3"/>
        <v>20433790</v>
      </c>
    </row>
    <row r="103" spans="1:8" hidden="1">
      <c r="A103" s="87">
        <v>23519818</v>
      </c>
      <c r="B103" s="93" t="s">
        <v>9199</v>
      </c>
      <c r="C103" s="93" t="s">
        <v>9200</v>
      </c>
      <c r="D103" s="88" t="s">
        <v>9210</v>
      </c>
      <c r="E103" s="94">
        <v>45231</v>
      </c>
      <c r="F103" s="91" t="s">
        <v>6853</v>
      </c>
      <c r="G103" s="223">
        <f t="shared" si="2"/>
        <v>19</v>
      </c>
      <c r="H103" s="222">
        <f t="shared" si="3"/>
        <v>23519818</v>
      </c>
    </row>
    <row r="104" spans="1:8" hidden="1">
      <c r="A104" s="87">
        <v>27430251</v>
      </c>
      <c r="B104" s="93" t="s">
        <v>9201</v>
      </c>
      <c r="C104" s="93" t="s">
        <v>9202</v>
      </c>
      <c r="D104" s="88" t="s">
        <v>9210</v>
      </c>
      <c r="E104" s="94">
        <v>45231</v>
      </c>
      <c r="F104" s="91" t="s">
        <v>9302</v>
      </c>
      <c r="G104" s="223">
        <f t="shared" si="2"/>
        <v>36</v>
      </c>
      <c r="H104" s="222">
        <f t="shared" si="3"/>
        <v>27430251</v>
      </c>
    </row>
    <row r="105" spans="1:8" hidden="1">
      <c r="A105" s="87">
        <v>26454194</v>
      </c>
      <c r="B105" s="93" t="s">
        <v>7746</v>
      </c>
      <c r="C105" s="93" t="s">
        <v>9203</v>
      </c>
      <c r="D105" s="88" t="s">
        <v>9210</v>
      </c>
      <c r="E105" s="94">
        <v>45231</v>
      </c>
      <c r="F105" s="91" t="s">
        <v>6853</v>
      </c>
      <c r="G105" s="223">
        <f t="shared" si="2"/>
        <v>19</v>
      </c>
      <c r="H105" s="222">
        <f t="shared" si="3"/>
        <v>26454194</v>
      </c>
    </row>
    <row r="106" spans="1:8" hidden="1">
      <c r="A106" s="87">
        <v>31505906</v>
      </c>
      <c r="B106" s="93" t="s">
        <v>9204</v>
      </c>
      <c r="C106" s="93" t="s">
        <v>9205</v>
      </c>
      <c r="D106" s="88" t="s">
        <v>9210</v>
      </c>
      <c r="E106" s="94">
        <v>45231</v>
      </c>
      <c r="F106" s="91" t="s">
        <v>6853</v>
      </c>
      <c r="G106" s="223">
        <f t="shared" si="2"/>
        <v>19</v>
      </c>
      <c r="H106" s="222">
        <f t="shared" si="3"/>
        <v>31505906</v>
      </c>
    </row>
    <row r="107" spans="1:8" hidden="1">
      <c r="A107" s="87">
        <v>41950406</v>
      </c>
      <c r="B107" s="93" t="s">
        <v>9206</v>
      </c>
      <c r="C107" s="93" t="s">
        <v>9207</v>
      </c>
      <c r="D107" s="88" t="s">
        <v>9210</v>
      </c>
      <c r="E107" s="94">
        <v>45231</v>
      </c>
      <c r="F107" s="91" t="s">
        <v>6853</v>
      </c>
      <c r="G107" s="223" t="str">
        <f t="shared" si="2"/>
        <v>sin dato</v>
      </c>
      <c r="H107" s="222" t="str">
        <f t="shared" si="3"/>
        <v>999</v>
      </c>
    </row>
    <row r="108" spans="1:8" hidden="1">
      <c r="A108" s="87">
        <v>14234802</v>
      </c>
      <c r="B108" s="93" t="s">
        <v>9208</v>
      </c>
      <c r="C108" s="93" t="s">
        <v>9209</v>
      </c>
      <c r="D108" s="88" t="s">
        <v>9210</v>
      </c>
      <c r="E108" s="94">
        <v>45231</v>
      </c>
      <c r="F108" s="91" t="s">
        <v>6853</v>
      </c>
      <c r="G108" s="223">
        <f t="shared" si="2"/>
        <v>19</v>
      </c>
      <c r="H108" s="222">
        <f t="shared" si="3"/>
        <v>14234802</v>
      </c>
    </row>
    <row r="109" spans="1:8" hidden="1">
      <c r="A109" s="87">
        <v>23411308</v>
      </c>
      <c r="B109" s="93" t="s">
        <v>6955</v>
      </c>
      <c r="C109" s="93" t="s">
        <v>6956</v>
      </c>
      <c r="D109" s="88" t="s">
        <v>8461</v>
      </c>
      <c r="E109" s="94">
        <v>45226</v>
      </c>
      <c r="F109" s="91" t="s">
        <v>6853</v>
      </c>
      <c r="G109" s="223">
        <f t="shared" si="2"/>
        <v>17</v>
      </c>
      <c r="H109" s="222">
        <f t="shared" si="3"/>
        <v>23411308</v>
      </c>
    </row>
    <row r="110" spans="1:8" hidden="1">
      <c r="A110" s="87">
        <v>21328294</v>
      </c>
      <c r="B110" s="93" t="s">
        <v>6770</v>
      </c>
      <c r="C110" s="93" t="s">
        <v>6771</v>
      </c>
      <c r="D110" s="88" t="s">
        <v>8461</v>
      </c>
      <c r="E110" s="94">
        <v>45226</v>
      </c>
      <c r="F110" s="91" t="s">
        <v>6853</v>
      </c>
      <c r="G110" s="223">
        <f t="shared" si="2"/>
        <v>14</v>
      </c>
      <c r="H110" s="222">
        <f t="shared" si="3"/>
        <v>21328294</v>
      </c>
    </row>
    <row r="111" spans="1:8" hidden="1">
      <c r="A111" s="87">
        <v>29640389</v>
      </c>
      <c r="B111" s="93" t="s">
        <v>9211</v>
      </c>
      <c r="C111" s="93" t="s">
        <v>9212</v>
      </c>
      <c r="D111" s="88" t="s">
        <v>8461</v>
      </c>
      <c r="E111" s="94">
        <v>45226</v>
      </c>
      <c r="F111" s="91" t="s">
        <v>6853</v>
      </c>
      <c r="G111" s="223">
        <f t="shared" si="2"/>
        <v>14</v>
      </c>
      <c r="H111" s="222">
        <f t="shared" si="3"/>
        <v>29640389</v>
      </c>
    </row>
    <row r="112" spans="1:8" ht="30" hidden="1">
      <c r="A112" s="87">
        <v>22263035</v>
      </c>
      <c r="B112" s="93" t="s">
        <v>6790</v>
      </c>
      <c r="C112" s="93" t="s">
        <v>6791</v>
      </c>
      <c r="D112" s="88" t="s">
        <v>8461</v>
      </c>
      <c r="E112" s="94">
        <v>45226</v>
      </c>
      <c r="F112" s="91" t="s">
        <v>6853</v>
      </c>
      <c r="G112" s="223">
        <f t="shared" si="2"/>
        <v>14</v>
      </c>
      <c r="H112" s="222">
        <f t="shared" si="3"/>
        <v>22263035</v>
      </c>
    </row>
    <row r="113" spans="1:8" hidden="1">
      <c r="A113" s="87">
        <v>35199654</v>
      </c>
      <c r="B113" s="93" t="s">
        <v>9213</v>
      </c>
      <c r="C113" s="93" t="s">
        <v>9214</v>
      </c>
      <c r="D113" s="88" t="s">
        <v>8461</v>
      </c>
      <c r="E113" s="94">
        <v>45226</v>
      </c>
      <c r="F113" s="91" t="s">
        <v>6853</v>
      </c>
      <c r="G113" s="223">
        <f t="shared" si="2"/>
        <v>14</v>
      </c>
      <c r="H113" s="222">
        <f t="shared" si="3"/>
        <v>35199654</v>
      </c>
    </row>
    <row r="114" spans="1:8" ht="30" hidden="1">
      <c r="A114" s="87">
        <v>29640168</v>
      </c>
      <c r="B114" s="93" t="s">
        <v>8311</v>
      </c>
      <c r="C114" s="93" t="s">
        <v>9215</v>
      </c>
      <c r="D114" s="88" t="s">
        <v>8461</v>
      </c>
      <c r="E114" s="94">
        <v>45226</v>
      </c>
      <c r="F114" s="91" t="s">
        <v>6853</v>
      </c>
      <c r="G114" s="223">
        <f t="shared" si="2"/>
        <v>14</v>
      </c>
      <c r="H114" s="222">
        <f t="shared" si="3"/>
        <v>29640168</v>
      </c>
    </row>
    <row r="115" spans="1:8" hidden="1">
      <c r="A115" s="87">
        <v>28883884</v>
      </c>
      <c r="B115" s="93" t="s">
        <v>9216</v>
      </c>
      <c r="C115" s="93" t="s">
        <v>9217</v>
      </c>
      <c r="D115" s="88" t="s">
        <v>8461</v>
      </c>
      <c r="E115" s="94">
        <v>45226</v>
      </c>
      <c r="F115" s="91" t="s">
        <v>9302</v>
      </c>
      <c r="G115" s="223">
        <f t="shared" si="2"/>
        <v>14</v>
      </c>
      <c r="H115" s="222">
        <f t="shared" si="3"/>
        <v>28883884</v>
      </c>
    </row>
    <row r="116" spans="1:8" hidden="1">
      <c r="A116" s="87">
        <v>34160155</v>
      </c>
      <c r="B116" s="93" t="s">
        <v>8104</v>
      </c>
      <c r="C116" s="93" t="s">
        <v>9218</v>
      </c>
      <c r="D116" s="88" t="s">
        <v>8461</v>
      </c>
      <c r="E116" s="94">
        <v>45226</v>
      </c>
      <c r="F116" s="91" t="s">
        <v>6853</v>
      </c>
      <c r="G116" s="223">
        <f t="shared" si="2"/>
        <v>14</v>
      </c>
      <c r="H116" s="222">
        <f t="shared" si="3"/>
        <v>34160155</v>
      </c>
    </row>
    <row r="117" spans="1:8" hidden="1">
      <c r="A117" s="87">
        <v>33163547</v>
      </c>
      <c r="B117" s="93" t="s">
        <v>9219</v>
      </c>
      <c r="C117" s="93" t="s">
        <v>9220</v>
      </c>
      <c r="D117" s="88" t="s">
        <v>8461</v>
      </c>
      <c r="E117" s="94">
        <v>45226</v>
      </c>
      <c r="F117" s="91" t="s">
        <v>6853</v>
      </c>
      <c r="G117" s="223">
        <f t="shared" si="2"/>
        <v>14</v>
      </c>
      <c r="H117" s="222">
        <f t="shared" si="3"/>
        <v>33163547</v>
      </c>
    </row>
    <row r="118" spans="1:8" hidden="1">
      <c r="A118" s="87">
        <v>29879043</v>
      </c>
      <c r="B118" s="93" t="s">
        <v>9221</v>
      </c>
      <c r="C118" s="93" t="s">
        <v>9222</v>
      </c>
      <c r="D118" s="88" t="s">
        <v>8461</v>
      </c>
      <c r="E118" s="94">
        <v>45226</v>
      </c>
      <c r="F118" s="91" t="s">
        <v>6853</v>
      </c>
      <c r="G118" s="223">
        <f t="shared" si="2"/>
        <v>14</v>
      </c>
      <c r="H118" s="222">
        <f t="shared" si="3"/>
        <v>29879043</v>
      </c>
    </row>
    <row r="119" spans="1:8" hidden="1">
      <c r="A119" s="87">
        <v>36224178</v>
      </c>
      <c r="B119" s="93" t="s">
        <v>9223</v>
      </c>
      <c r="C119" s="93" t="s">
        <v>8956</v>
      </c>
      <c r="D119" s="88" t="s">
        <v>8461</v>
      </c>
      <c r="E119" s="94">
        <v>45226</v>
      </c>
      <c r="F119" s="91" t="s">
        <v>6853</v>
      </c>
      <c r="G119" s="223" t="str">
        <f t="shared" si="2"/>
        <v>sin dato</v>
      </c>
      <c r="H119" s="222" t="str">
        <f t="shared" si="3"/>
        <v>999</v>
      </c>
    </row>
    <row r="120" spans="1:8" hidden="1">
      <c r="A120" s="87">
        <v>37500772</v>
      </c>
      <c r="B120" s="93" t="s">
        <v>9086</v>
      </c>
      <c r="C120" s="93" t="s">
        <v>9224</v>
      </c>
      <c r="D120" s="88" t="s">
        <v>8461</v>
      </c>
      <c r="E120" s="94">
        <v>45226</v>
      </c>
      <c r="F120" s="91" t="s">
        <v>6853</v>
      </c>
      <c r="G120" s="223" t="str">
        <f t="shared" si="2"/>
        <v>sin dato</v>
      </c>
      <c r="H120" s="222" t="str">
        <f t="shared" si="3"/>
        <v>999</v>
      </c>
    </row>
    <row r="121" spans="1:8" hidden="1">
      <c r="A121" s="87">
        <v>31254677</v>
      </c>
      <c r="B121" s="93" t="s">
        <v>9225</v>
      </c>
      <c r="C121" s="93" t="s">
        <v>7413</v>
      </c>
      <c r="D121" s="88" t="s">
        <v>8461</v>
      </c>
      <c r="E121" s="94">
        <v>45226</v>
      </c>
      <c r="F121" s="91" t="s">
        <v>9302</v>
      </c>
      <c r="G121" s="223">
        <f t="shared" si="2"/>
        <v>14</v>
      </c>
      <c r="H121" s="222">
        <f t="shared" si="3"/>
        <v>31254677</v>
      </c>
    </row>
    <row r="122" spans="1:8" hidden="1">
      <c r="A122" s="87">
        <v>27210980</v>
      </c>
      <c r="B122" s="93" t="s">
        <v>9226</v>
      </c>
      <c r="C122" s="93" t="s">
        <v>9227</v>
      </c>
      <c r="D122" s="88" t="s">
        <v>8461</v>
      </c>
      <c r="E122" s="94">
        <v>45226</v>
      </c>
      <c r="F122" s="91" t="s">
        <v>6853</v>
      </c>
      <c r="G122" s="223">
        <f t="shared" si="2"/>
        <v>14</v>
      </c>
      <c r="H122" s="222">
        <f t="shared" si="3"/>
        <v>27210980</v>
      </c>
    </row>
    <row r="123" spans="1:8" hidden="1">
      <c r="A123" s="87">
        <v>26685498</v>
      </c>
      <c r="B123" s="93" t="s">
        <v>9228</v>
      </c>
      <c r="C123" s="93" t="s">
        <v>8988</v>
      </c>
      <c r="D123" s="88" t="s">
        <v>8461</v>
      </c>
      <c r="E123" s="94">
        <v>45226</v>
      </c>
      <c r="F123" s="91" t="s">
        <v>6853</v>
      </c>
      <c r="G123" s="223">
        <f t="shared" si="2"/>
        <v>14</v>
      </c>
      <c r="H123" s="222">
        <f t="shared" si="3"/>
        <v>26685498</v>
      </c>
    </row>
    <row r="124" spans="1:8" hidden="1">
      <c r="A124" s="87">
        <v>35911880</v>
      </c>
      <c r="B124" s="93" t="s">
        <v>9229</v>
      </c>
      <c r="C124" s="93" t="s">
        <v>9230</v>
      </c>
      <c r="D124" s="88" t="s">
        <v>8461</v>
      </c>
      <c r="E124" s="94">
        <v>45226</v>
      </c>
      <c r="F124" s="91" t="s">
        <v>6853</v>
      </c>
      <c r="G124" s="223" t="str">
        <f t="shared" si="2"/>
        <v>sin dato</v>
      </c>
      <c r="H124" s="222" t="str">
        <f t="shared" si="3"/>
        <v>999</v>
      </c>
    </row>
    <row r="125" spans="1:8" hidden="1">
      <c r="A125" s="87">
        <v>32853583</v>
      </c>
      <c r="B125" s="93" t="s">
        <v>9231</v>
      </c>
      <c r="C125" s="93" t="s">
        <v>7747</v>
      </c>
      <c r="D125" s="88" t="s">
        <v>8461</v>
      </c>
      <c r="E125" s="94">
        <v>45226</v>
      </c>
      <c r="F125" s="91" t="s">
        <v>6853</v>
      </c>
      <c r="G125" s="223">
        <f t="shared" si="2"/>
        <v>14</v>
      </c>
      <c r="H125" s="222">
        <f t="shared" si="3"/>
        <v>32853583</v>
      </c>
    </row>
    <row r="126" spans="1:8" hidden="1">
      <c r="A126" s="92">
        <v>37497769</v>
      </c>
      <c r="B126" s="90" t="s">
        <v>8815</v>
      </c>
      <c r="C126" s="90" t="s">
        <v>9024</v>
      </c>
      <c r="D126" s="88" t="s">
        <v>7009</v>
      </c>
      <c r="E126" s="94">
        <v>45217</v>
      </c>
      <c r="F126" s="91" t="s">
        <v>6853</v>
      </c>
      <c r="G126" s="223" t="str">
        <f t="shared" si="2"/>
        <v>sin dato</v>
      </c>
      <c r="H126" s="222" t="str">
        <f t="shared" si="3"/>
        <v>999</v>
      </c>
    </row>
    <row r="127" spans="1:8" hidden="1">
      <c r="A127" s="92">
        <v>27732258</v>
      </c>
      <c r="B127" s="90" t="s">
        <v>6850</v>
      </c>
      <c r="C127" s="90" t="s">
        <v>9025</v>
      </c>
      <c r="D127" s="88" t="s">
        <v>7009</v>
      </c>
      <c r="E127" s="94">
        <v>45217</v>
      </c>
      <c r="F127" s="91" t="s">
        <v>6853</v>
      </c>
      <c r="G127" s="223">
        <f t="shared" si="2"/>
        <v>14</v>
      </c>
      <c r="H127" s="222">
        <f t="shared" si="3"/>
        <v>27732258</v>
      </c>
    </row>
    <row r="128" spans="1:8" hidden="1">
      <c r="A128" s="92">
        <v>22664008</v>
      </c>
      <c r="B128" s="90" t="s">
        <v>8851</v>
      </c>
      <c r="C128" s="90" t="s">
        <v>7537</v>
      </c>
      <c r="D128" s="88" t="s">
        <v>7009</v>
      </c>
      <c r="E128" s="94">
        <v>45217</v>
      </c>
      <c r="F128" s="91" t="s">
        <v>6853</v>
      </c>
      <c r="G128" s="223">
        <f t="shared" si="2"/>
        <v>1</v>
      </c>
      <c r="H128" s="222">
        <f t="shared" si="3"/>
        <v>22664008</v>
      </c>
    </row>
    <row r="129" spans="1:8" hidden="1">
      <c r="A129" s="92">
        <v>14225922</v>
      </c>
      <c r="B129" s="90" t="s">
        <v>207</v>
      </c>
      <c r="C129" s="90" t="s">
        <v>27</v>
      </c>
      <c r="D129" s="88" t="s">
        <v>7009</v>
      </c>
      <c r="E129" s="94">
        <v>45217</v>
      </c>
      <c r="F129" s="91" t="s">
        <v>6853</v>
      </c>
      <c r="G129" s="223">
        <f t="shared" si="2"/>
        <v>15</v>
      </c>
      <c r="H129" s="222">
        <f t="shared" si="3"/>
        <v>14225922</v>
      </c>
    </row>
    <row r="130" spans="1:8" hidden="1">
      <c r="A130" s="92">
        <v>31030485</v>
      </c>
      <c r="B130" s="90" t="s">
        <v>3578</v>
      </c>
      <c r="C130" s="90" t="s">
        <v>178</v>
      </c>
      <c r="D130" s="88" t="s">
        <v>7009</v>
      </c>
      <c r="E130" s="94">
        <v>45217</v>
      </c>
      <c r="F130" s="91" t="s">
        <v>6853</v>
      </c>
      <c r="G130" s="223">
        <f t="shared" ref="G130:G193" si="4">IFERROR(INDEX(unidad,MATCH(VLOOKUP(A130,alum,9,0),unidad2,0),1),"sin dato")</f>
        <v>31</v>
      </c>
      <c r="H130" s="222">
        <f t="shared" ref="H130:H193" si="5">IFERROR(VLOOKUP(A130,alum,1,0),"999")</f>
        <v>31030485</v>
      </c>
    </row>
    <row r="131" spans="1:8" hidden="1">
      <c r="A131" s="92">
        <v>34327656</v>
      </c>
      <c r="B131" s="90" t="s">
        <v>9026</v>
      </c>
      <c r="C131" s="90" t="s">
        <v>7304</v>
      </c>
      <c r="D131" s="88" t="s">
        <v>7009</v>
      </c>
      <c r="E131" s="94">
        <v>45217</v>
      </c>
      <c r="F131" s="91" t="s">
        <v>9302</v>
      </c>
      <c r="G131" s="223" t="str">
        <f t="shared" si="4"/>
        <v>sin dato</v>
      </c>
      <c r="H131" s="222" t="str">
        <f t="shared" si="5"/>
        <v>999</v>
      </c>
    </row>
    <row r="132" spans="1:8" hidden="1">
      <c r="A132" s="92">
        <v>33374371</v>
      </c>
      <c r="B132" s="90" t="s">
        <v>9027</v>
      </c>
      <c r="C132" s="90" t="s">
        <v>9028</v>
      </c>
      <c r="D132" s="88" t="s">
        <v>7009</v>
      </c>
      <c r="E132" s="94">
        <v>45217</v>
      </c>
      <c r="F132" s="91" t="s">
        <v>6853</v>
      </c>
      <c r="G132" s="223" t="str">
        <f t="shared" si="4"/>
        <v>sin dato</v>
      </c>
      <c r="H132" s="222">
        <f t="shared" si="5"/>
        <v>33374371</v>
      </c>
    </row>
    <row r="133" spans="1:8" hidden="1">
      <c r="A133" s="92">
        <v>34719547</v>
      </c>
      <c r="B133" s="90" t="s">
        <v>7480</v>
      </c>
      <c r="C133" s="90" t="s">
        <v>9029</v>
      </c>
      <c r="D133" s="88" t="s">
        <v>7009</v>
      </c>
      <c r="E133" s="94">
        <v>45217</v>
      </c>
      <c r="F133" s="91" t="s">
        <v>6853</v>
      </c>
      <c r="G133" s="223">
        <f t="shared" si="4"/>
        <v>13</v>
      </c>
      <c r="H133" s="222">
        <f t="shared" si="5"/>
        <v>34719547</v>
      </c>
    </row>
    <row r="134" spans="1:8" hidden="1">
      <c r="A134" s="92">
        <v>24301697</v>
      </c>
      <c r="B134" s="90" t="s">
        <v>9030</v>
      </c>
      <c r="C134" s="90" t="s">
        <v>9031</v>
      </c>
      <c r="D134" s="88" t="s">
        <v>7009</v>
      </c>
      <c r="E134" s="94">
        <v>45217</v>
      </c>
      <c r="F134" s="91" t="s">
        <v>6853</v>
      </c>
      <c r="G134" s="223">
        <f t="shared" si="4"/>
        <v>17</v>
      </c>
      <c r="H134" s="222">
        <f t="shared" si="5"/>
        <v>24301697</v>
      </c>
    </row>
    <row r="135" spans="1:8" hidden="1">
      <c r="A135" s="92">
        <v>36420915</v>
      </c>
      <c r="B135" s="90" t="s">
        <v>9032</v>
      </c>
      <c r="C135" s="90" t="s">
        <v>9033</v>
      </c>
      <c r="D135" s="88" t="s">
        <v>7009</v>
      </c>
      <c r="E135" s="94">
        <v>45217</v>
      </c>
      <c r="F135" s="91" t="s">
        <v>6853</v>
      </c>
      <c r="G135" s="223" t="str">
        <f t="shared" si="4"/>
        <v>sin dato</v>
      </c>
      <c r="H135" s="222" t="str">
        <f t="shared" si="5"/>
        <v>999</v>
      </c>
    </row>
    <row r="136" spans="1:8" hidden="1">
      <c r="A136" s="92"/>
      <c r="B136" s="90" t="s">
        <v>9034</v>
      </c>
      <c r="C136" s="90" t="s">
        <v>9035</v>
      </c>
      <c r="D136" s="88" t="s">
        <v>7009</v>
      </c>
      <c r="E136" s="94">
        <v>45217</v>
      </c>
      <c r="F136" s="91" t="s">
        <v>9302</v>
      </c>
      <c r="G136" s="223" t="str">
        <f t="shared" si="4"/>
        <v>sin dato</v>
      </c>
      <c r="H136" s="222" t="str">
        <f t="shared" si="5"/>
        <v>999</v>
      </c>
    </row>
    <row r="137" spans="1:8" hidden="1">
      <c r="A137" s="92">
        <v>23167760</v>
      </c>
      <c r="B137" s="90" t="s">
        <v>9036</v>
      </c>
      <c r="C137" s="90" t="s">
        <v>9037</v>
      </c>
      <c r="D137" s="88" t="s">
        <v>7009</v>
      </c>
      <c r="E137" s="94">
        <v>45217</v>
      </c>
      <c r="F137" s="91" t="s">
        <v>6853</v>
      </c>
      <c r="G137" s="223">
        <f t="shared" si="4"/>
        <v>17</v>
      </c>
      <c r="H137" s="222">
        <f t="shared" si="5"/>
        <v>23167760</v>
      </c>
    </row>
    <row r="138" spans="1:8" hidden="1">
      <c r="A138" s="92">
        <v>35485322</v>
      </c>
      <c r="B138" s="90" t="s">
        <v>9038</v>
      </c>
      <c r="C138" s="90" t="s">
        <v>9039</v>
      </c>
      <c r="D138" s="88" t="s">
        <v>7009</v>
      </c>
      <c r="E138" s="94">
        <v>45217</v>
      </c>
      <c r="F138" s="91" t="s">
        <v>6853</v>
      </c>
      <c r="G138" s="223" t="str">
        <f t="shared" si="4"/>
        <v>sin dato</v>
      </c>
      <c r="H138" s="222">
        <f t="shared" si="5"/>
        <v>35485322</v>
      </c>
    </row>
    <row r="139" spans="1:8" hidden="1">
      <c r="A139" s="87">
        <v>36049481</v>
      </c>
      <c r="B139" s="90" t="s">
        <v>9096</v>
      </c>
      <c r="C139" s="90" t="s">
        <v>9097</v>
      </c>
      <c r="D139" s="88" t="s">
        <v>9095</v>
      </c>
      <c r="E139" s="94">
        <v>45211</v>
      </c>
      <c r="F139" s="91"/>
      <c r="G139" s="223" t="str">
        <f t="shared" si="4"/>
        <v>sin dato</v>
      </c>
      <c r="H139" s="222" t="str">
        <f t="shared" si="5"/>
        <v>999</v>
      </c>
    </row>
    <row r="140" spans="1:8" hidden="1">
      <c r="A140" s="87">
        <v>24503749</v>
      </c>
      <c r="B140" s="90" t="s">
        <v>9096</v>
      </c>
      <c r="C140" s="90" t="s">
        <v>9098</v>
      </c>
      <c r="D140" s="88" t="s">
        <v>9095</v>
      </c>
      <c r="E140" s="94">
        <v>45211</v>
      </c>
      <c r="F140" s="91"/>
      <c r="G140" s="223">
        <f t="shared" si="4"/>
        <v>11</v>
      </c>
      <c r="H140" s="222">
        <f t="shared" si="5"/>
        <v>24503749</v>
      </c>
    </row>
    <row r="141" spans="1:8" hidden="1">
      <c r="A141" s="87">
        <v>32460088</v>
      </c>
      <c r="B141" s="90" t="s">
        <v>8901</v>
      </c>
      <c r="C141" s="90" t="s">
        <v>8902</v>
      </c>
      <c r="D141" s="88" t="s">
        <v>9095</v>
      </c>
      <c r="E141" s="94">
        <v>45211</v>
      </c>
      <c r="F141" s="91"/>
      <c r="G141" s="223">
        <f t="shared" si="4"/>
        <v>10</v>
      </c>
      <c r="H141" s="222">
        <f t="shared" si="5"/>
        <v>32460088</v>
      </c>
    </row>
    <row r="142" spans="1:8" hidden="1">
      <c r="A142" s="87">
        <v>22805288</v>
      </c>
      <c r="B142" s="90" t="s">
        <v>9099</v>
      </c>
      <c r="C142" s="90" t="s">
        <v>9100</v>
      </c>
      <c r="D142" s="88" t="s">
        <v>9095</v>
      </c>
      <c r="E142" s="94">
        <v>45211</v>
      </c>
      <c r="F142" s="91"/>
      <c r="G142" s="223">
        <f t="shared" si="4"/>
        <v>11</v>
      </c>
      <c r="H142" s="222">
        <f t="shared" si="5"/>
        <v>22805288</v>
      </c>
    </row>
    <row r="143" spans="1:8" hidden="1">
      <c r="A143" s="87">
        <v>33091157</v>
      </c>
      <c r="B143" s="90" t="s">
        <v>9101</v>
      </c>
      <c r="C143" s="90" t="s">
        <v>9102</v>
      </c>
      <c r="D143" s="88" t="s">
        <v>9095</v>
      </c>
      <c r="E143" s="94">
        <v>45211</v>
      </c>
      <c r="F143" s="91"/>
      <c r="G143" s="223">
        <f t="shared" si="4"/>
        <v>11</v>
      </c>
      <c r="H143" s="222">
        <f t="shared" si="5"/>
        <v>33091157</v>
      </c>
    </row>
    <row r="144" spans="1:8" hidden="1">
      <c r="A144" s="87">
        <v>31644419</v>
      </c>
      <c r="B144" s="107" t="s">
        <v>9103</v>
      </c>
      <c r="C144" s="107" t="s">
        <v>9104</v>
      </c>
      <c r="D144" s="88" t="s">
        <v>9095</v>
      </c>
      <c r="E144" s="94">
        <v>45211</v>
      </c>
      <c r="F144" s="91"/>
      <c r="G144" s="223">
        <f t="shared" si="4"/>
        <v>22</v>
      </c>
      <c r="H144" s="222">
        <f t="shared" si="5"/>
        <v>31644419</v>
      </c>
    </row>
    <row r="145" spans="1:8" hidden="1">
      <c r="A145" s="87">
        <v>24553486</v>
      </c>
      <c r="B145" s="90" t="s">
        <v>8275</v>
      </c>
      <c r="C145" s="90" t="s">
        <v>6899</v>
      </c>
      <c r="D145" s="88" t="s">
        <v>9095</v>
      </c>
      <c r="E145" s="94">
        <v>45211</v>
      </c>
      <c r="F145" s="91"/>
      <c r="G145" s="223">
        <f t="shared" si="4"/>
        <v>5</v>
      </c>
      <c r="H145" s="222">
        <f t="shared" si="5"/>
        <v>24553486</v>
      </c>
    </row>
    <row r="146" spans="1:8" hidden="1">
      <c r="A146" s="87">
        <v>38216469</v>
      </c>
      <c r="B146" s="90" t="s">
        <v>9105</v>
      </c>
      <c r="C146" s="90" t="s">
        <v>8963</v>
      </c>
      <c r="D146" s="88" t="s">
        <v>9095</v>
      </c>
      <c r="E146" s="94">
        <v>45211</v>
      </c>
      <c r="F146" s="91"/>
      <c r="G146" s="223" t="str">
        <f t="shared" si="4"/>
        <v>sin dato</v>
      </c>
      <c r="H146" s="222" t="str">
        <f t="shared" si="5"/>
        <v>999</v>
      </c>
    </row>
    <row r="147" spans="1:8" hidden="1">
      <c r="A147" s="87">
        <v>27732258</v>
      </c>
      <c r="B147" s="90" t="s">
        <v>8817</v>
      </c>
      <c r="C147" s="90" t="s">
        <v>8818</v>
      </c>
      <c r="D147" s="88" t="s">
        <v>9095</v>
      </c>
      <c r="E147" s="94">
        <v>45211</v>
      </c>
      <c r="F147" s="91"/>
      <c r="G147" s="223">
        <f t="shared" si="4"/>
        <v>14</v>
      </c>
      <c r="H147" s="222">
        <f t="shared" si="5"/>
        <v>27732258</v>
      </c>
    </row>
    <row r="148" spans="1:8" hidden="1">
      <c r="A148" s="87">
        <v>40216265</v>
      </c>
      <c r="B148" s="90" t="s">
        <v>7291</v>
      </c>
      <c r="C148" s="90" t="s">
        <v>8914</v>
      </c>
      <c r="D148" s="88" t="s">
        <v>9095</v>
      </c>
      <c r="E148" s="94">
        <v>45211</v>
      </c>
      <c r="F148" s="91"/>
      <c r="G148" s="223" t="str">
        <f t="shared" si="4"/>
        <v>sin dato</v>
      </c>
      <c r="H148" s="222" t="str">
        <f t="shared" si="5"/>
        <v>999</v>
      </c>
    </row>
    <row r="149" spans="1:8" hidden="1">
      <c r="A149" s="87">
        <v>22332403</v>
      </c>
      <c r="B149" s="90" t="s">
        <v>9106</v>
      </c>
      <c r="C149" s="90" t="s">
        <v>9107</v>
      </c>
      <c r="D149" s="88" t="s">
        <v>9095</v>
      </c>
      <c r="E149" s="94">
        <v>45211</v>
      </c>
      <c r="F149" s="91"/>
      <c r="G149" s="223">
        <f t="shared" si="4"/>
        <v>1</v>
      </c>
      <c r="H149" s="222">
        <f t="shared" si="5"/>
        <v>22332403</v>
      </c>
    </row>
    <row r="150" spans="1:8" hidden="1">
      <c r="A150" s="87">
        <v>32201492</v>
      </c>
      <c r="B150" s="90" t="s">
        <v>8852</v>
      </c>
      <c r="C150" s="90" t="s">
        <v>8854</v>
      </c>
      <c r="D150" s="88" t="s">
        <v>9095</v>
      </c>
      <c r="E150" s="94">
        <v>45211</v>
      </c>
      <c r="F150" s="91"/>
      <c r="G150" s="223">
        <f t="shared" si="4"/>
        <v>17</v>
      </c>
      <c r="H150" s="222">
        <f t="shared" si="5"/>
        <v>32201492</v>
      </c>
    </row>
    <row r="151" spans="1:8" hidden="1">
      <c r="A151" s="87">
        <v>37456182</v>
      </c>
      <c r="B151" s="90" t="s">
        <v>8852</v>
      </c>
      <c r="C151" s="90" t="s">
        <v>9108</v>
      </c>
      <c r="D151" s="88" t="s">
        <v>9095</v>
      </c>
      <c r="E151" s="94">
        <v>45211</v>
      </c>
      <c r="F151" s="91"/>
      <c r="G151" s="223" t="str">
        <f t="shared" si="4"/>
        <v>sin dato</v>
      </c>
      <c r="H151" s="222" t="str">
        <f t="shared" si="5"/>
        <v>999</v>
      </c>
    </row>
    <row r="152" spans="1:8" hidden="1">
      <c r="A152" s="87">
        <v>38741603</v>
      </c>
      <c r="B152" s="90" t="s">
        <v>8386</v>
      </c>
      <c r="C152" s="90" t="s">
        <v>8833</v>
      </c>
      <c r="D152" s="88" t="s">
        <v>9095</v>
      </c>
      <c r="E152" s="94">
        <v>45211</v>
      </c>
      <c r="F152" s="91"/>
      <c r="G152" s="223" t="str">
        <f t="shared" si="4"/>
        <v>sin dato</v>
      </c>
      <c r="H152" s="222" t="str">
        <f t="shared" si="5"/>
        <v>999</v>
      </c>
    </row>
    <row r="153" spans="1:8" hidden="1">
      <c r="A153" s="87">
        <v>31589500</v>
      </c>
      <c r="B153" s="107" t="s">
        <v>9109</v>
      </c>
      <c r="C153" s="107" t="s">
        <v>9110</v>
      </c>
      <c r="D153" s="88" t="s">
        <v>9095</v>
      </c>
      <c r="E153" s="94">
        <v>45211</v>
      </c>
      <c r="F153" s="91"/>
      <c r="G153" s="223">
        <f t="shared" si="4"/>
        <v>1</v>
      </c>
      <c r="H153" s="222">
        <f t="shared" si="5"/>
        <v>31589500</v>
      </c>
    </row>
    <row r="154" spans="1:8" hidden="1">
      <c r="A154" s="87">
        <v>28221010</v>
      </c>
      <c r="B154" s="90" t="s">
        <v>9111</v>
      </c>
      <c r="C154" s="90" t="s">
        <v>9112</v>
      </c>
      <c r="D154" s="88" t="s">
        <v>9095</v>
      </c>
      <c r="E154" s="94">
        <v>45211</v>
      </c>
      <c r="F154" s="91"/>
      <c r="G154" s="223">
        <f t="shared" si="4"/>
        <v>13</v>
      </c>
      <c r="H154" s="222">
        <f t="shared" si="5"/>
        <v>28221010</v>
      </c>
    </row>
    <row r="155" spans="1:8" hidden="1">
      <c r="A155" s="87">
        <v>27224695</v>
      </c>
      <c r="B155" s="90" t="s">
        <v>7615</v>
      </c>
      <c r="C155" s="90" t="s">
        <v>8855</v>
      </c>
      <c r="D155" s="88" t="s">
        <v>9095</v>
      </c>
      <c r="E155" s="94">
        <v>45211</v>
      </c>
      <c r="F155" s="91"/>
      <c r="G155" s="223">
        <f t="shared" si="4"/>
        <v>12</v>
      </c>
      <c r="H155" s="222">
        <f t="shared" si="5"/>
        <v>27224695</v>
      </c>
    </row>
    <row r="156" spans="1:8" ht="30" hidden="1">
      <c r="A156" s="87">
        <v>27370355</v>
      </c>
      <c r="B156" s="107" t="s">
        <v>6904</v>
      </c>
      <c r="C156" s="107" t="s">
        <v>9113</v>
      </c>
      <c r="D156" s="88" t="s">
        <v>9095</v>
      </c>
      <c r="E156" s="94">
        <v>45211</v>
      </c>
      <c r="F156" s="91"/>
      <c r="G156" s="223">
        <f t="shared" si="4"/>
        <v>12</v>
      </c>
      <c r="H156" s="222">
        <f t="shared" si="5"/>
        <v>27370355</v>
      </c>
    </row>
    <row r="157" spans="1:8" hidden="1">
      <c r="A157" s="87">
        <v>33430063</v>
      </c>
      <c r="B157" s="90" t="s">
        <v>9114</v>
      </c>
      <c r="C157" s="90" t="s">
        <v>9115</v>
      </c>
      <c r="D157" s="88" t="s">
        <v>9095</v>
      </c>
      <c r="E157" s="94">
        <v>45211</v>
      </c>
      <c r="F157" s="91"/>
      <c r="G157" s="223" t="str">
        <f t="shared" si="4"/>
        <v>sin dato</v>
      </c>
      <c r="H157" s="222">
        <f t="shared" si="5"/>
        <v>33430063</v>
      </c>
    </row>
    <row r="158" spans="1:8" hidden="1">
      <c r="A158" s="87">
        <v>29183945</v>
      </c>
      <c r="B158" s="90" t="s">
        <v>9116</v>
      </c>
      <c r="C158" s="90" t="s">
        <v>9117</v>
      </c>
      <c r="D158" s="88" t="s">
        <v>9095</v>
      </c>
      <c r="E158" s="94">
        <v>45211</v>
      </c>
      <c r="F158" s="91"/>
      <c r="G158" s="223">
        <f t="shared" si="4"/>
        <v>52</v>
      </c>
      <c r="H158" s="222">
        <f t="shared" si="5"/>
        <v>29183945</v>
      </c>
    </row>
    <row r="159" spans="1:8" hidden="1">
      <c r="A159" s="87">
        <v>30268715</v>
      </c>
      <c r="B159" s="90" t="s">
        <v>9118</v>
      </c>
      <c r="C159" s="90" t="s">
        <v>9066</v>
      </c>
      <c r="D159" s="88" t="s">
        <v>9095</v>
      </c>
      <c r="E159" s="94">
        <v>45211</v>
      </c>
      <c r="F159" s="91"/>
      <c r="G159" s="223">
        <f t="shared" si="4"/>
        <v>21</v>
      </c>
      <c r="H159" s="222">
        <f t="shared" si="5"/>
        <v>30268715</v>
      </c>
    </row>
    <row r="160" spans="1:8" hidden="1">
      <c r="A160" s="87">
        <v>36121119</v>
      </c>
      <c r="B160" s="90" t="s">
        <v>9119</v>
      </c>
      <c r="C160" s="90" t="s">
        <v>9120</v>
      </c>
      <c r="D160" s="88" t="s">
        <v>9095</v>
      </c>
      <c r="E160" s="94">
        <v>45211</v>
      </c>
      <c r="F160" s="91"/>
      <c r="G160" s="223" t="str">
        <f t="shared" si="4"/>
        <v>sin dato</v>
      </c>
      <c r="H160" s="222" t="str">
        <f t="shared" si="5"/>
        <v>999</v>
      </c>
    </row>
    <row r="161" spans="1:8" hidden="1">
      <c r="A161" s="87">
        <v>36583989</v>
      </c>
      <c r="B161" s="90" t="s">
        <v>7990</v>
      </c>
      <c r="C161" s="90" t="s">
        <v>9121</v>
      </c>
      <c r="D161" s="88" t="s">
        <v>9095</v>
      </c>
      <c r="E161" s="94">
        <v>45211</v>
      </c>
      <c r="F161" s="91"/>
      <c r="G161" s="223" t="str">
        <f t="shared" si="4"/>
        <v>sin dato</v>
      </c>
      <c r="H161" s="222" t="str">
        <f t="shared" si="5"/>
        <v>999</v>
      </c>
    </row>
    <row r="162" spans="1:8" hidden="1">
      <c r="A162" s="87">
        <v>22031835</v>
      </c>
      <c r="B162" s="90" t="s">
        <v>9122</v>
      </c>
      <c r="C162" s="90" t="s">
        <v>8822</v>
      </c>
      <c r="D162" s="88" t="s">
        <v>9095</v>
      </c>
      <c r="E162" s="94">
        <v>45211</v>
      </c>
      <c r="F162" s="91"/>
      <c r="G162" s="223">
        <f t="shared" si="4"/>
        <v>11</v>
      </c>
      <c r="H162" s="222">
        <f t="shared" si="5"/>
        <v>22031835</v>
      </c>
    </row>
    <row r="163" spans="1:8" hidden="1">
      <c r="A163" s="87">
        <v>21893835</v>
      </c>
      <c r="B163" s="90" t="s">
        <v>9123</v>
      </c>
      <c r="C163" s="90" t="s">
        <v>9124</v>
      </c>
      <c r="D163" s="88" t="s">
        <v>9095</v>
      </c>
      <c r="E163" s="94">
        <v>45211</v>
      </c>
      <c r="F163" s="91"/>
      <c r="G163" s="223">
        <f t="shared" si="4"/>
        <v>11</v>
      </c>
      <c r="H163" s="222">
        <f t="shared" si="5"/>
        <v>21893835</v>
      </c>
    </row>
    <row r="164" spans="1:8" hidden="1">
      <c r="A164" s="87">
        <v>39138576</v>
      </c>
      <c r="B164" s="90" t="s">
        <v>9125</v>
      </c>
      <c r="C164" s="90" t="s">
        <v>9126</v>
      </c>
      <c r="D164" s="88" t="s">
        <v>9095</v>
      </c>
      <c r="E164" s="94">
        <v>45211</v>
      </c>
      <c r="F164" s="91"/>
      <c r="G164" s="223" t="str">
        <f t="shared" si="4"/>
        <v>sin dato</v>
      </c>
      <c r="H164" s="222" t="str">
        <f t="shared" si="5"/>
        <v>999</v>
      </c>
    </row>
    <row r="165" spans="1:8" hidden="1">
      <c r="A165" s="87">
        <v>38184153</v>
      </c>
      <c r="B165" s="90" t="s">
        <v>7512</v>
      </c>
      <c r="C165" s="90" t="s">
        <v>9128</v>
      </c>
      <c r="D165" s="88" t="s">
        <v>9095</v>
      </c>
      <c r="E165" s="94">
        <v>45211</v>
      </c>
      <c r="F165" s="91"/>
      <c r="G165" s="223" t="str">
        <f t="shared" si="4"/>
        <v>sin dato</v>
      </c>
      <c r="H165" s="222" t="str">
        <f t="shared" si="5"/>
        <v>999</v>
      </c>
    </row>
    <row r="166" spans="1:8" hidden="1">
      <c r="A166" s="87">
        <v>32775448</v>
      </c>
      <c r="B166" s="90" t="s">
        <v>7512</v>
      </c>
      <c r="C166" s="90" t="s">
        <v>9127</v>
      </c>
      <c r="D166" s="88" t="s">
        <v>9095</v>
      </c>
      <c r="E166" s="94">
        <v>45211</v>
      </c>
      <c r="F166" s="91"/>
      <c r="G166" s="223">
        <f t="shared" si="4"/>
        <v>11</v>
      </c>
      <c r="H166" s="222">
        <f t="shared" si="5"/>
        <v>32775448</v>
      </c>
    </row>
    <row r="167" spans="1:8" hidden="1">
      <c r="A167" s="87">
        <v>28053203</v>
      </c>
      <c r="B167" s="90" t="s">
        <v>6912</v>
      </c>
      <c r="C167" s="90" t="s">
        <v>9129</v>
      </c>
      <c r="D167" s="88" t="s">
        <v>9095</v>
      </c>
      <c r="E167" s="94">
        <v>45211</v>
      </c>
      <c r="F167" s="91"/>
      <c r="G167" s="223">
        <f t="shared" si="4"/>
        <v>52</v>
      </c>
      <c r="H167" s="222">
        <f t="shared" si="5"/>
        <v>28053203</v>
      </c>
    </row>
    <row r="168" spans="1:8" hidden="1">
      <c r="A168" s="87">
        <v>34442738</v>
      </c>
      <c r="B168" s="90" t="s">
        <v>1378</v>
      </c>
      <c r="C168" s="90" t="s">
        <v>1379</v>
      </c>
      <c r="D168" s="88" t="s">
        <v>9095</v>
      </c>
      <c r="E168" s="94">
        <v>45211</v>
      </c>
      <c r="F168" s="91"/>
      <c r="G168" s="223">
        <f t="shared" si="4"/>
        <v>14</v>
      </c>
      <c r="H168" s="222">
        <f t="shared" si="5"/>
        <v>34442738</v>
      </c>
    </row>
    <row r="169" spans="1:8" hidden="1">
      <c r="A169" s="87">
        <v>32115934</v>
      </c>
      <c r="B169" s="90" t="s">
        <v>9130</v>
      </c>
      <c r="C169" s="90" t="s">
        <v>7521</v>
      </c>
      <c r="D169" s="88" t="s">
        <v>9095</v>
      </c>
      <c r="E169" s="94">
        <v>45211</v>
      </c>
      <c r="F169" s="91"/>
      <c r="G169" s="223">
        <f t="shared" si="4"/>
        <v>52</v>
      </c>
      <c r="H169" s="222">
        <f t="shared" si="5"/>
        <v>32115934</v>
      </c>
    </row>
    <row r="170" spans="1:8" hidden="1">
      <c r="A170" s="87">
        <v>20178767</v>
      </c>
      <c r="B170" s="90" t="s">
        <v>9131</v>
      </c>
      <c r="C170" s="90" t="s">
        <v>9132</v>
      </c>
      <c r="D170" s="88" t="s">
        <v>9095</v>
      </c>
      <c r="E170" s="94">
        <v>45211</v>
      </c>
      <c r="F170" s="91"/>
      <c r="G170" s="223">
        <f t="shared" si="4"/>
        <v>11</v>
      </c>
      <c r="H170" s="222">
        <f t="shared" si="5"/>
        <v>20178767</v>
      </c>
    </row>
    <row r="171" spans="1:8" hidden="1">
      <c r="A171" s="87">
        <v>20178683</v>
      </c>
      <c r="B171" s="107" t="s">
        <v>9133</v>
      </c>
      <c r="C171" s="107" t="s">
        <v>9135</v>
      </c>
      <c r="D171" s="88" t="s">
        <v>9095</v>
      </c>
      <c r="E171" s="94">
        <v>45211</v>
      </c>
      <c r="F171" s="91"/>
      <c r="G171" s="223">
        <f t="shared" si="4"/>
        <v>17</v>
      </c>
      <c r="H171" s="222">
        <f t="shared" si="5"/>
        <v>20178683</v>
      </c>
    </row>
    <row r="172" spans="1:8" hidden="1">
      <c r="A172" s="87">
        <v>42936070</v>
      </c>
      <c r="B172" s="107" t="s">
        <v>9133</v>
      </c>
      <c r="C172" s="107" t="s">
        <v>9134</v>
      </c>
      <c r="D172" s="88" t="s">
        <v>9095</v>
      </c>
      <c r="E172" s="94">
        <v>45211</v>
      </c>
      <c r="F172" s="91"/>
      <c r="G172" s="223" t="str">
        <f t="shared" si="4"/>
        <v>sin dato</v>
      </c>
      <c r="H172" s="222" t="str">
        <f t="shared" si="5"/>
        <v>999</v>
      </c>
    </row>
    <row r="173" spans="1:8" hidden="1">
      <c r="A173" s="87">
        <v>25843239</v>
      </c>
      <c r="B173" s="90" t="s">
        <v>7729</v>
      </c>
      <c r="C173" s="90" t="s">
        <v>7521</v>
      </c>
      <c r="D173" s="88" t="s">
        <v>9095</v>
      </c>
      <c r="E173" s="94">
        <v>45211</v>
      </c>
      <c r="F173" s="91"/>
      <c r="G173" s="223">
        <f t="shared" si="4"/>
        <v>52</v>
      </c>
      <c r="H173" s="222">
        <f t="shared" si="5"/>
        <v>25843239</v>
      </c>
    </row>
    <row r="174" spans="1:8" hidden="1">
      <c r="A174" s="87">
        <v>27206952</v>
      </c>
      <c r="B174" s="90" t="s">
        <v>6924</v>
      </c>
      <c r="C174" s="90" t="s">
        <v>6925</v>
      </c>
      <c r="D174" s="88" t="s">
        <v>9095</v>
      </c>
      <c r="E174" s="94">
        <v>45211</v>
      </c>
      <c r="F174" s="91"/>
      <c r="G174" s="223">
        <f t="shared" si="4"/>
        <v>29</v>
      </c>
      <c r="H174" s="222">
        <f t="shared" si="5"/>
        <v>27206952</v>
      </c>
    </row>
    <row r="175" spans="1:8" hidden="1">
      <c r="A175" s="87">
        <v>40434411</v>
      </c>
      <c r="B175" s="90" t="s">
        <v>9136</v>
      </c>
      <c r="C175" s="90" t="s">
        <v>9137</v>
      </c>
      <c r="D175" s="88" t="s">
        <v>9095</v>
      </c>
      <c r="E175" s="94">
        <v>45211</v>
      </c>
      <c r="F175" s="91"/>
      <c r="G175" s="223" t="str">
        <f t="shared" si="4"/>
        <v>sin dato</v>
      </c>
      <c r="H175" s="222" t="str">
        <f t="shared" si="5"/>
        <v>999</v>
      </c>
    </row>
    <row r="176" spans="1:8" hidden="1">
      <c r="A176" s="87">
        <v>30760033</v>
      </c>
      <c r="B176" s="107" t="s">
        <v>9138</v>
      </c>
      <c r="C176" s="107" t="s">
        <v>9139</v>
      </c>
      <c r="D176" s="88" t="s">
        <v>9095</v>
      </c>
      <c r="E176" s="94">
        <v>45211</v>
      </c>
      <c r="F176" s="91"/>
      <c r="G176" s="223">
        <f t="shared" si="4"/>
        <v>29</v>
      </c>
      <c r="H176" s="222">
        <f t="shared" si="5"/>
        <v>30760033</v>
      </c>
    </row>
    <row r="177" spans="1:8" hidden="1">
      <c r="A177" s="87">
        <v>25923733</v>
      </c>
      <c r="B177" s="90" t="s">
        <v>9140</v>
      </c>
      <c r="C177" s="90" t="s">
        <v>9141</v>
      </c>
      <c r="D177" s="88" t="s">
        <v>9095</v>
      </c>
      <c r="E177" s="94">
        <v>45211</v>
      </c>
      <c r="F177" s="91"/>
      <c r="G177" s="223">
        <f t="shared" si="4"/>
        <v>29</v>
      </c>
      <c r="H177" s="222">
        <f t="shared" si="5"/>
        <v>25923733</v>
      </c>
    </row>
    <row r="178" spans="1:8" hidden="1">
      <c r="A178" s="87">
        <v>25380707</v>
      </c>
      <c r="B178" s="107" t="s">
        <v>9142</v>
      </c>
      <c r="C178" s="107" t="s">
        <v>9143</v>
      </c>
      <c r="D178" s="88" t="s">
        <v>9095</v>
      </c>
      <c r="E178" s="94">
        <v>45211</v>
      </c>
      <c r="F178" s="91"/>
      <c r="G178" s="223" t="str">
        <f t="shared" si="4"/>
        <v>sin dato</v>
      </c>
      <c r="H178" s="222">
        <f t="shared" si="5"/>
        <v>25380707</v>
      </c>
    </row>
    <row r="179" spans="1:8" hidden="1">
      <c r="A179" s="87">
        <v>40902403</v>
      </c>
      <c r="B179" s="107" t="s">
        <v>8955</v>
      </c>
      <c r="C179" s="107" t="s">
        <v>8956</v>
      </c>
      <c r="D179" s="88" t="s">
        <v>9095</v>
      </c>
      <c r="E179" s="94">
        <v>45211</v>
      </c>
      <c r="F179" s="91"/>
      <c r="G179" s="223" t="str">
        <f t="shared" si="4"/>
        <v>sin dato</v>
      </c>
      <c r="H179" s="222" t="str">
        <f t="shared" si="5"/>
        <v>999</v>
      </c>
    </row>
    <row r="180" spans="1:8" hidden="1">
      <c r="A180" s="87">
        <v>20219773</v>
      </c>
      <c r="B180" s="107" t="s">
        <v>9144</v>
      </c>
      <c r="C180" s="107" t="s">
        <v>9145</v>
      </c>
      <c r="D180" s="88" t="s">
        <v>9095</v>
      </c>
      <c r="E180" s="94">
        <v>45211</v>
      </c>
      <c r="F180" s="91"/>
      <c r="G180" s="223">
        <f t="shared" si="4"/>
        <v>25</v>
      </c>
      <c r="H180" s="222">
        <f t="shared" si="5"/>
        <v>20219773</v>
      </c>
    </row>
    <row r="181" spans="1:8" hidden="1">
      <c r="A181" s="87">
        <v>23238026</v>
      </c>
      <c r="B181" s="90" t="s">
        <v>9146</v>
      </c>
      <c r="C181" s="90" t="s">
        <v>9147</v>
      </c>
      <c r="D181" s="88" t="s">
        <v>9095</v>
      </c>
      <c r="E181" s="94">
        <v>45211</v>
      </c>
      <c r="F181" s="91"/>
      <c r="G181" s="223">
        <f t="shared" si="4"/>
        <v>10</v>
      </c>
      <c r="H181" s="222">
        <f t="shared" si="5"/>
        <v>23238026</v>
      </c>
    </row>
    <row r="182" spans="1:8" hidden="1">
      <c r="A182" s="87">
        <v>25734593</v>
      </c>
      <c r="B182" s="90" t="s">
        <v>9148</v>
      </c>
      <c r="C182" s="90" t="s">
        <v>9149</v>
      </c>
      <c r="D182" s="88" t="s">
        <v>9095</v>
      </c>
      <c r="E182" s="94">
        <v>45211</v>
      </c>
      <c r="F182" s="91"/>
      <c r="G182" s="223">
        <f t="shared" si="4"/>
        <v>14</v>
      </c>
      <c r="H182" s="222">
        <f t="shared" si="5"/>
        <v>25734593</v>
      </c>
    </row>
    <row r="183" spans="1:8" hidden="1">
      <c r="A183" s="87">
        <v>23167760</v>
      </c>
      <c r="B183" s="90" t="s">
        <v>9036</v>
      </c>
      <c r="C183" s="90" t="s">
        <v>9037</v>
      </c>
      <c r="D183" s="88" t="s">
        <v>9095</v>
      </c>
      <c r="E183" s="94">
        <v>45211</v>
      </c>
      <c r="F183" s="91"/>
      <c r="G183" s="223">
        <f t="shared" si="4"/>
        <v>17</v>
      </c>
      <c r="H183" s="222">
        <f t="shared" si="5"/>
        <v>23167760</v>
      </c>
    </row>
    <row r="184" spans="1:8" hidden="1">
      <c r="A184" s="87">
        <v>13710024</v>
      </c>
      <c r="B184" s="90" t="s">
        <v>9150</v>
      </c>
      <c r="C184" s="90" t="s">
        <v>9151</v>
      </c>
      <c r="D184" s="88" t="s">
        <v>9095</v>
      </c>
      <c r="E184" s="94">
        <v>45211</v>
      </c>
      <c r="F184" s="91"/>
      <c r="G184" s="223">
        <f t="shared" si="4"/>
        <v>16</v>
      </c>
      <c r="H184" s="222">
        <f t="shared" si="5"/>
        <v>13710024</v>
      </c>
    </row>
    <row r="185" spans="1:8" hidden="1">
      <c r="A185" s="87">
        <v>27365353</v>
      </c>
      <c r="B185" s="90" t="s">
        <v>9019</v>
      </c>
      <c r="C185" s="90" t="s">
        <v>9020</v>
      </c>
      <c r="D185" s="88" t="s">
        <v>9095</v>
      </c>
      <c r="E185" s="94">
        <v>45211</v>
      </c>
      <c r="F185" s="91"/>
      <c r="G185" s="223">
        <f t="shared" si="4"/>
        <v>65</v>
      </c>
      <c r="H185" s="222">
        <f t="shared" si="5"/>
        <v>27365353</v>
      </c>
    </row>
    <row r="186" spans="1:8" hidden="1">
      <c r="A186" s="87">
        <v>31809522</v>
      </c>
      <c r="B186" s="107" t="s">
        <v>8957</v>
      </c>
      <c r="C186" s="107" t="s">
        <v>9037</v>
      </c>
      <c r="D186" s="88" t="s">
        <v>9095</v>
      </c>
      <c r="E186" s="94">
        <v>45211</v>
      </c>
      <c r="F186" s="91"/>
      <c r="G186" s="223">
        <f t="shared" si="4"/>
        <v>22</v>
      </c>
      <c r="H186" s="222">
        <f t="shared" si="5"/>
        <v>31809522</v>
      </c>
    </row>
    <row r="187" spans="1:8" hidden="1">
      <c r="A187" s="87">
        <v>33541638</v>
      </c>
      <c r="B187" s="90" t="s">
        <v>6929</v>
      </c>
      <c r="C187" s="90" t="s">
        <v>9152</v>
      </c>
      <c r="D187" s="88" t="s">
        <v>9095</v>
      </c>
      <c r="E187" s="94">
        <v>45211</v>
      </c>
      <c r="F187" s="91"/>
      <c r="G187" s="223">
        <f t="shared" si="4"/>
        <v>16</v>
      </c>
      <c r="H187" s="222">
        <f t="shared" si="5"/>
        <v>33541638</v>
      </c>
    </row>
    <row r="188" spans="1:8" hidden="1">
      <c r="A188" s="87">
        <v>14660614</v>
      </c>
      <c r="B188" s="90" t="s">
        <v>6878</v>
      </c>
      <c r="C188" s="90" t="s">
        <v>6895</v>
      </c>
      <c r="D188" s="88" t="s">
        <v>8959</v>
      </c>
      <c r="E188" s="94">
        <v>45209</v>
      </c>
      <c r="F188" s="91" t="s">
        <v>9302</v>
      </c>
      <c r="G188" s="223">
        <f t="shared" si="4"/>
        <v>17</v>
      </c>
      <c r="H188" s="222">
        <f t="shared" si="5"/>
        <v>14660614</v>
      </c>
    </row>
    <row r="189" spans="1:8" hidden="1">
      <c r="A189" s="87">
        <v>32460088</v>
      </c>
      <c r="B189" s="90" t="s">
        <v>8901</v>
      </c>
      <c r="C189" s="90" t="s">
        <v>8902</v>
      </c>
      <c r="D189" s="88" t="s">
        <v>8959</v>
      </c>
      <c r="E189" s="94">
        <v>45209</v>
      </c>
      <c r="F189" s="91" t="s">
        <v>9302</v>
      </c>
      <c r="G189" s="223">
        <f t="shared" si="4"/>
        <v>10</v>
      </c>
      <c r="H189" s="222">
        <f t="shared" si="5"/>
        <v>32460088</v>
      </c>
    </row>
    <row r="190" spans="1:8" hidden="1">
      <c r="A190" s="87">
        <v>41299512</v>
      </c>
      <c r="B190" s="90" t="s">
        <v>8903</v>
      </c>
      <c r="C190" s="90" t="s">
        <v>8904</v>
      </c>
      <c r="D190" s="88" t="s">
        <v>8959</v>
      </c>
      <c r="E190" s="94">
        <v>45209</v>
      </c>
      <c r="F190" s="91" t="s">
        <v>9302</v>
      </c>
      <c r="G190" s="223" t="str">
        <f t="shared" si="4"/>
        <v>sin dato</v>
      </c>
      <c r="H190" s="222" t="str">
        <f t="shared" si="5"/>
        <v>999</v>
      </c>
    </row>
    <row r="191" spans="1:8" hidden="1">
      <c r="A191" s="87">
        <v>36866001</v>
      </c>
      <c r="B191" s="90" t="s">
        <v>8905</v>
      </c>
      <c r="C191" s="90" t="s">
        <v>8906</v>
      </c>
      <c r="D191" s="88" t="s">
        <v>8959</v>
      </c>
      <c r="E191" s="94">
        <v>45209</v>
      </c>
      <c r="F191" s="91" t="s">
        <v>6853</v>
      </c>
      <c r="G191" s="223" t="str">
        <f t="shared" si="4"/>
        <v>sin dato</v>
      </c>
      <c r="H191" s="222" t="str">
        <f t="shared" si="5"/>
        <v>999</v>
      </c>
    </row>
    <row r="192" spans="1:8" hidden="1">
      <c r="A192" s="87">
        <v>20630868</v>
      </c>
      <c r="B192" s="90" t="s">
        <v>8907</v>
      </c>
      <c r="C192" s="90" t="s">
        <v>8908</v>
      </c>
      <c r="D192" s="88" t="s">
        <v>8959</v>
      </c>
      <c r="E192" s="94">
        <v>45209</v>
      </c>
      <c r="F192" s="91" t="s">
        <v>6853</v>
      </c>
      <c r="G192" s="223">
        <f t="shared" si="4"/>
        <v>25</v>
      </c>
      <c r="H192" s="222">
        <f t="shared" si="5"/>
        <v>20630868</v>
      </c>
    </row>
    <row r="193" spans="1:8" hidden="1">
      <c r="A193" s="87">
        <v>17376659</v>
      </c>
      <c r="B193" s="90" t="s">
        <v>8909</v>
      </c>
      <c r="C193" s="90" t="s">
        <v>8910</v>
      </c>
      <c r="D193" s="88" t="s">
        <v>8959</v>
      </c>
      <c r="E193" s="94">
        <v>45209</v>
      </c>
      <c r="F193" s="91" t="s">
        <v>9302</v>
      </c>
      <c r="G193" s="223" t="str">
        <f t="shared" si="4"/>
        <v>sin dato</v>
      </c>
      <c r="H193" s="222">
        <f t="shared" si="5"/>
        <v>17376659</v>
      </c>
    </row>
    <row r="194" spans="1:8" hidden="1">
      <c r="A194" s="87">
        <v>21829383</v>
      </c>
      <c r="B194" s="90" t="s">
        <v>8911</v>
      </c>
      <c r="C194" s="90" t="s">
        <v>8912</v>
      </c>
      <c r="D194" s="88" t="s">
        <v>8959</v>
      </c>
      <c r="E194" s="94">
        <v>45209</v>
      </c>
      <c r="F194" s="91" t="s">
        <v>6853</v>
      </c>
      <c r="G194" s="223">
        <f t="shared" ref="G194:G257" si="6">IFERROR(INDEX(unidad,MATCH(VLOOKUP(A194,alum,9,0),unidad2,0),1),"sin dato")</f>
        <v>14</v>
      </c>
      <c r="H194" s="222">
        <f t="shared" ref="H194:H257" si="7">IFERROR(VLOOKUP(A194,alum,1,0),"999")</f>
        <v>21829383</v>
      </c>
    </row>
    <row r="195" spans="1:8" hidden="1">
      <c r="A195" s="87">
        <v>40216265</v>
      </c>
      <c r="B195" s="90" t="s">
        <v>8913</v>
      </c>
      <c r="C195" s="90" t="s">
        <v>8914</v>
      </c>
      <c r="D195" s="88" t="s">
        <v>8959</v>
      </c>
      <c r="E195" s="94">
        <v>45209</v>
      </c>
      <c r="F195" s="91" t="s">
        <v>9302</v>
      </c>
      <c r="G195" s="223" t="str">
        <f t="shared" si="6"/>
        <v>sin dato</v>
      </c>
      <c r="H195" s="222" t="str">
        <f t="shared" si="7"/>
        <v>999</v>
      </c>
    </row>
    <row r="196" spans="1:8" hidden="1">
      <c r="A196" s="87">
        <v>32853533</v>
      </c>
      <c r="B196" s="90" t="s">
        <v>8915</v>
      </c>
      <c r="C196" s="90" t="s">
        <v>8916</v>
      </c>
      <c r="D196" s="88" t="s">
        <v>8959</v>
      </c>
      <c r="E196" s="94">
        <v>45209</v>
      </c>
      <c r="F196" s="91" t="s">
        <v>9302</v>
      </c>
      <c r="G196" s="223">
        <f t="shared" si="6"/>
        <v>14</v>
      </c>
      <c r="H196" s="222">
        <f t="shared" si="7"/>
        <v>32853533</v>
      </c>
    </row>
    <row r="197" spans="1:8" hidden="1">
      <c r="A197" s="87">
        <v>22613410</v>
      </c>
      <c r="B197" s="90" t="s">
        <v>7978</v>
      </c>
      <c r="C197" s="90" t="s">
        <v>8917</v>
      </c>
      <c r="D197" s="88" t="s">
        <v>8959</v>
      </c>
      <c r="E197" s="94">
        <v>45209</v>
      </c>
      <c r="F197" s="91" t="s">
        <v>6853</v>
      </c>
      <c r="G197" s="223">
        <f t="shared" si="6"/>
        <v>14</v>
      </c>
      <c r="H197" s="222">
        <f t="shared" si="7"/>
        <v>22613410</v>
      </c>
    </row>
    <row r="198" spans="1:8" hidden="1">
      <c r="A198" s="87">
        <v>37092323</v>
      </c>
      <c r="B198" s="90" t="s">
        <v>8918</v>
      </c>
      <c r="C198" s="90" t="s">
        <v>7521</v>
      </c>
      <c r="D198" s="88" t="s">
        <v>8959</v>
      </c>
      <c r="E198" s="94">
        <v>45209</v>
      </c>
      <c r="F198" s="91" t="s">
        <v>9302</v>
      </c>
      <c r="G198" s="223" t="str">
        <f t="shared" si="6"/>
        <v>sin dato</v>
      </c>
      <c r="H198" s="222" t="str">
        <f t="shared" si="7"/>
        <v>999</v>
      </c>
    </row>
    <row r="199" spans="1:8" hidden="1">
      <c r="A199" s="87">
        <v>27364980</v>
      </c>
      <c r="B199" s="90" t="s">
        <v>8919</v>
      </c>
      <c r="C199" s="90" t="s">
        <v>8920</v>
      </c>
      <c r="D199" s="88" t="s">
        <v>8959</v>
      </c>
      <c r="E199" s="94">
        <v>45209</v>
      </c>
      <c r="F199" s="91" t="s">
        <v>6853</v>
      </c>
      <c r="G199" s="223">
        <f t="shared" si="6"/>
        <v>22</v>
      </c>
      <c r="H199" s="222">
        <f t="shared" si="7"/>
        <v>27364980</v>
      </c>
    </row>
    <row r="200" spans="1:8" hidden="1">
      <c r="A200" s="87">
        <v>21846191</v>
      </c>
      <c r="B200" s="90" t="s">
        <v>8921</v>
      </c>
      <c r="C200" s="90" t="s">
        <v>8922</v>
      </c>
      <c r="D200" s="88" t="s">
        <v>8959</v>
      </c>
      <c r="E200" s="94">
        <v>45209</v>
      </c>
      <c r="F200" s="91" t="s">
        <v>9302</v>
      </c>
      <c r="G200" s="223">
        <f t="shared" si="6"/>
        <v>21</v>
      </c>
      <c r="H200" s="222">
        <f t="shared" si="7"/>
        <v>21846191</v>
      </c>
    </row>
    <row r="201" spans="1:8" hidden="1">
      <c r="A201" s="87">
        <v>30497540</v>
      </c>
      <c r="B201" s="90" t="s">
        <v>6868</v>
      </c>
      <c r="C201" s="90" t="s">
        <v>8923</v>
      </c>
      <c r="D201" s="88" t="s">
        <v>8959</v>
      </c>
      <c r="E201" s="94">
        <v>45209</v>
      </c>
      <c r="F201" s="91" t="s">
        <v>9302</v>
      </c>
      <c r="G201" s="223">
        <f t="shared" si="6"/>
        <v>33</v>
      </c>
      <c r="H201" s="222">
        <f t="shared" si="7"/>
        <v>30497540</v>
      </c>
    </row>
    <row r="202" spans="1:8" hidden="1">
      <c r="A202" s="87">
        <v>31903614</v>
      </c>
      <c r="B202" s="90" t="s">
        <v>8924</v>
      </c>
      <c r="C202" s="90" t="s">
        <v>8925</v>
      </c>
      <c r="D202" s="88" t="s">
        <v>8959</v>
      </c>
      <c r="E202" s="94">
        <v>45209</v>
      </c>
      <c r="F202" s="91" t="s">
        <v>9302</v>
      </c>
      <c r="G202" s="223">
        <f t="shared" si="6"/>
        <v>31</v>
      </c>
      <c r="H202" s="222">
        <f t="shared" si="7"/>
        <v>31903614</v>
      </c>
    </row>
    <row r="203" spans="1:8" hidden="1">
      <c r="A203" s="87">
        <v>22031835</v>
      </c>
      <c r="B203" s="90" t="s">
        <v>8821</v>
      </c>
      <c r="C203" s="90" t="s">
        <v>8822</v>
      </c>
      <c r="D203" s="88" t="s">
        <v>8959</v>
      </c>
      <c r="E203" s="94">
        <v>45209</v>
      </c>
      <c r="F203" s="91" t="s">
        <v>9302</v>
      </c>
      <c r="G203" s="223">
        <f t="shared" si="6"/>
        <v>11</v>
      </c>
      <c r="H203" s="222">
        <f t="shared" si="7"/>
        <v>22031835</v>
      </c>
    </row>
    <row r="204" spans="1:8" hidden="1">
      <c r="A204" s="87">
        <v>35256922</v>
      </c>
      <c r="B204" s="90" t="s">
        <v>8926</v>
      </c>
      <c r="C204" s="90" t="s">
        <v>8927</v>
      </c>
      <c r="D204" s="88" t="s">
        <v>8959</v>
      </c>
      <c r="E204" s="94">
        <v>45209</v>
      </c>
      <c r="F204" s="91" t="s">
        <v>6853</v>
      </c>
      <c r="G204" s="223">
        <f t="shared" si="6"/>
        <v>14</v>
      </c>
      <c r="H204" s="222">
        <f t="shared" si="7"/>
        <v>35256922</v>
      </c>
    </row>
    <row r="205" spans="1:8" hidden="1">
      <c r="A205" s="87">
        <v>27595466</v>
      </c>
      <c r="B205" s="90" t="s">
        <v>8928</v>
      </c>
      <c r="C205" s="90" t="s">
        <v>8929</v>
      </c>
      <c r="D205" s="88" t="s">
        <v>8959</v>
      </c>
      <c r="E205" s="94">
        <v>45209</v>
      </c>
      <c r="F205" s="91" t="s">
        <v>6853</v>
      </c>
      <c r="G205" s="223">
        <f t="shared" si="6"/>
        <v>17</v>
      </c>
      <c r="H205" s="222">
        <f t="shared" si="7"/>
        <v>27595466</v>
      </c>
    </row>
    <row r="206" spans="1:8" hidden="1">
      <c r="A206" s="87">
        <v>17859517</v>
      </c>
      <c r="B206" s="90" t="s">
        <v>8930</v>
      </c>
      <c r="C206" s="90" t="s">
        <v>8931</v>
      </c>
      <c r="D206" s="88" t="s">
        <v>8959</v>
      </c>
      <c r="E206" s="94">
        <v>45209</v>
      </c>
      <c r="F206" s="91" t="s">
        <v>9302</v>
      </c>
      <c r="G206" s="223" t="str">
        <f t="shared" si="6"/>
        <v>sin dato</v>
      </c>
      <c r="H206" s="222">
        <f t="shared" si="7"/>
        <v>17859517</v>
      </c>
    </row>
    <row r="207" spans="1:8" hidden="1">
      <c r="A207" s="87">
        <v>16541821</v>
      </c>
      <c r="B207" s="90" t="s">
        <v>6943</v>
      </c>
      <c r="C207" s="90" t="s">
        <v>8932</v>
      </c>
      <c r="D207" s="88" t="s">
        <v>8959</v>
      </c>
      <c r="E207" s="94">
        <v>45209</v>
      </c>
      <c r="F207" s="91" t="s">
        <v>9302</v>
      </c>
      <c r="G207" s="223">
        <f t="shared" si="6"/>
        <v>14</v>
      </c>
      <c r="H207" s="222">
        <f t="shared" si="7"/>
        <v>16541821</v>
      </c>
    </row>
    <row r="208" spans="1:8" hidden="1">
      <c r="A208" s="87">
        <v>20692455</v>
      </c>
      <c r="B208" s="90" t="s">
        <v>8933</v>
      </c>
      <c r="C208" s="90" t="s">
        <v>8934</v>
      </c>
      <c r="D208" s="88" t="s">
        <v>8959</v>
      </c>
      <c r="E208" s="94">
        <v>45209</v>
      </c>
      <c r="F208" s="91" t="s">
        <v>6853</v>
      </c>
      <c r="G208" s="223">
        <f t="shared" si="6"/>
        <v>67</v>
      </c>
      <c r="H208" s="222">
        <f t="shared" si="7"/>
        <v>20692455</v>
      </c>
    </row>
    <row r="209" spans="1:8" hidden="1">
      <c r="A209" s="87">
        <v>20433344</v>
      </c>
      <c r="B209" s="90" t="s">
        <v>7476</v>
      </c>
      <c r="C209" s="90" t="s">
        <v>8935</v>
      </c>
      <c r="D209" s="88" t="s">
        <v>8959</v>
      </c>
      <c r="E209" s="94">
        <v>45209</v>
      </c>
      <c r="F209" s="91" t="s">
        <v>9302</v>
      </c>
      <c r="G209" s="223">
        <f t="shared" si="6"/>
        <v>18</v>
      </c>
      <c r="H209" s="222">
        <f t="shared" si="7"/>
        <v>20433344</v>
      </c>
    </row>
    <row r="210" spans="1:8" hidden="1">
      <c r="A210" s="87">
        <v>16457626</v>
      </c>
      <c r="B210" s="90" t="s">
        <v>8936</v>
      </c>
      <c r="C210" s="90" t="s">
        <v>8937</v>
      </c>
      <c r="D210" s="88" t="s">
        <v>8959</v>
      </c>
      <c r="E210" s="94">
        <v>45209</v>
      </c>
      <c r="F210" s="91" t="s">
        <v>9302</v>
      </c>
      <c r="G210" s="223">
        <f t="shared" si="6"/>
        <v>21</v>
      </c>
      <c r="H210" s="222">
        <f t="shared" si="7"/>
        <v>16457626</v>
      </c>
    </row>
    <row r="211" spans="1:8" hidden="1">
      <c r="A211" s="87">
        <v>24803365</v>
      </c>
      <c r="B211" s="90" t="s">
        <v>6949</v>
      </c>
      <c r="C211" s="90" t="s">
        <v>8938</v>
      </c>
      <c r="D211" s="88" t="s">
        <v>8959</v>
      </c>
      <c r="E211" s="94">
        <v>45209</v>
      </c>
      <c r="F211" s="91" t="s">
        <v>9302</v>
      </c>
      <c r="G211" s="223">
        <f t="shared" si="6"/>
        <v>31</v>
      </c>
      <c r="H211" s="222">
        <f t="shared" si="7"/>
        <v>24803365</v>
      </c>
    </row>
    <row r="212" spans="1:8" hidden="1">
      <c r="A212" s="87">
        <v>36583794</v>
      </c>
      <c r="B212" s="90" t="s">
        <v>8939</v>
      </c>
      <c r="C212" s="90" t="s">
        <v>8940</v>
      </c>
      <c r="D212" s="88" t="s">
        <v>8959</v>
      </c>
      <c r="E212" s="94">
        <v>45209</v>
      </c>
      <c r="F212" s="91" t="s">
        <v>6853</v>
      </c>
      <c r="G212" s="223" t="str">
        <f t="shared" si="6"/>
        <v>sin dato</v>
      </c>
      <c r="H212" s="222" t="str">
        <f t="shared" si="7"/>
        <v>999</v>
      </c>
    </row>
    <row r="213" spans="1:8" hidden="1">
      <c r="A213" s="87">
        <v>25843590</v>
      </c>
      <c r="B213" s="90" t="s">
        <v>8941</v>
      </c>
      <c r="C213" s="90" t="s">
        <v>8942</v>
      </c>
      <c r="D213" s="88" t="s">
        <v>8959</v>
      </c>
      <c r="E213" s="94">
        <v>45209</v>
      </c>
      <c r="F213" s="91" t="s">
        <v>9302</v>
      </c>
      <c r="G213" s="223">
        <f t="shared" si="6"/>
        <v>14</v>
      </c>
      <c r="H213" s="222">
        <f t="shared" si="7"/>
        <v>25843590</v>
      </c>
    </row>
    <row r="214" spans="1:8" hidden="1">
      <c r="A214" s="87">
        <v>27365845</v>
      </c>
      <c r="B214" s="90" t="s">
        <v>8943</v>
      </c>
      <c r="C214" s="90" t="s">
        <v>8944</v>
      </c>
      <c r="D214" s="88" t="s">
        <v>8959</v>
      </c>
      <c r="E214" s="94">
        <v>45209</v>
      </c>
      <c r="F214" s="91" t="s">
        <v>9302</v>
      </c>
      <c r="G214" s="223">
        <f t="shared" si="6"/>
        <v>11</v>
      </c>
      <c r="H214" s="222">
        <f t="shared" si="7"/>
        <v>27365845</v>
      </c>
    </row>
    <row r="215" spans="1:8" hidden="1">
      <c r="A215" s="87">
        <v>25843239</v>
      </c>
      <c r="B215" s="90" t="s">
        <v>8945</v>
      </c>
      <c r="C215" s="90" t="s">
        <v>7521</v>
      </c>
      <c r="D215" s="88" t="s">
        <v>8959</v>
      </c>
      <c r="E215" s="94">
        <v>45209</v>
      </c>
      <c r="F215" s="91" t="s">
        <v>9302</v>
      </c>
      <c r="G215" s="223">
        <f t="shared" si="6"/>
        <v>52</v>
      </c>
      <c r="H215" s="222">
        <f t="shared" si="7"/>
        <v>25843239</v>
      </c>
    </row>
    <row r="216" spans="1:8" hidden="1">
      <c r="A216" s="87">
        <v>31607223</v>
      </c>
      <c r="B216" s="90" t="s">
        <v>8349</v>
      </c>
      <c r="C216" s="90" t="s">
        <v>8946</v>
      </c>
      <c r="D216" s="88" t="s">
        <v>8959</v>
      </c>
      <c r="E216" s="94">
        <v>45209</v>
      </c>
      <c r="F216" s="91" t="s">
        <v>6853</v>
      </c>
      <c r="G216" s="223">
        <f t="shared" si="6"/>
        <v>1</v>
      </c>
      <c r="H216" s="222">
        <f t="shared" si="7"/>
        <v>31607223</v>
      </c>
    </row>
    <row r="217" spans="1:8" hidden="1">
      <c r="A217" s="87">
        <v>27206952</v>
      </c>
      <c r="B217" s="90" t="s">
        <v>6924</v>
      </c>
      <c r="C217" s="90" t="s">
        <v>6925</v>
      </c>
      <c r="D217" s="88" t="s">
        <v>8959</v>
      </c>
      <c r="E217" s="94">
        <v>45209</v>
      </c>
      <c r="F217" s="91" t="s">
        <v>6853</v>
      </c>
      <c r="G217" s="223">
        <f t="shared" si="6"/>
        <v>29</v>
      </c>
      <c r="H217" s="222">
        <f t="shared" si="7"/>
        <v>27206952</v>
      </c>
    </row>
    <row r="218" spans="1:8" hidden="1">
      <c r="A218" s="87">
        <v>26684025</v>
      </c>
      <c r="B218" s="90" t="s">
        <v>8947</v>
      </c>
      <c r="C218" s="90" t="s">
        <v>8948</v>
      </c>
      <c r="D218" s="88" t="s">
        <v>8959</v>
      </c>
      <c r="E218" s="94">
        <v>45209</v>
      </c>
      <c r="F218" s="91" t="s">
        <v>6853</v>
      </c>
      <c r="G218" s="223">
        <f t="shared" si="6"/>
        <v>17</v>
      </c>
      <c r="H218" s="222">
        <f t="shared" si="7"/>
        <v>26684025</v>
      </c>
    </row>
    <row r="219" spans="1:8" hidden="1">
      <c r="A219" s="87">
        <v>32820894</v>
      </c>
      <c r="B219" s="90" t="s">
        <v>8949</v>
      </c>
      <c r="C219" s="90" t="s">
        <v>8950</v>
      </c>
      <c r="D219" s="88" t="s">
        <v>8959</v>
      </c>
      <c r="E219" s="94">
        <v>45209</v>
      </c>
      <c r="F219" s="91" t="s">
        <v>9302</v>
      </c>
      <c r="G219" s="223">
        <f t="shared" si="6"/>
        <v>11</v>
      </c>
      <c r="H219" s="222">
        <f t="shared" si="7"/>
        <v>32820894</v>
      </c>
    </row>
    <row r="220" spans="1:8" hidden="1">
      <c r="A220" s="87">
        <v>22050175</v>
      </c>
      <c r="B220" s="90" t="s">
        <v>8951</v>
      </c>
      <c r="C220" s="90" t="s">
        <v>8952</v>
      </c>
      <c r="D220" s="88" t="s">
        <v>8959</v>
      </c>
      <c r="E220" s="94">
        <v>45209</v>
      </c>
      <c r="F220" s="91" t="s">
        <v>6853</v>
      </c>
      <c r="G220" s="223">
        <f t="shared" si="6"/>
        <v>22</v>
      </c>
      <c r="H220" s="222">
        <f t="shared" si="7"/>
        <v>22050175</v>
      </c>
    </row>
    <row r="221" spans="1:8" hidden="1">
      <c r="A221" s="87">
        <v>36838708</v>
      </c>
      <c r="B221" s="90" t="s">
        <v>8953</v>
      </c>
      <c r="C221" s="90" t="s">
        <v>8954</v>
      </c>
      <c r="D221" s="88" t="s">
        <v>8959</v>
      </c>
      <c r="E221" s="94">
        <v>45209</v>
      </c>
      <c r="F221" s="91" t="s">
        <v>9302</v>
      </c>
      <c r="G221" s="223" t="str">
        <f t="shared" si="6"/>
        <v>sin dato</v>
      </c>
      <c r="H221" s="222" t="str">
        <f t="shared" si="7"/>
        <v>999</v>
      </c>
    </row>
    <row r="222" spans="1:8" hidden="1">
      <c r="A222" s="87">
        <v>40902403</v>
      </c>
      <c r="B222" s="90" t="s">
        <v>8955</v>
      </c>
      <c r="C222" s="90" t="s">
        <v>8956</v>
      </c>
      <c r="D222" s="88" t="s">
        <v>8959</v>
      </c>
      <c r="E222" s="94">
        <v>45209</v>
      </c>
      <c r="F222" s="91" t="s">
        <v>9302</v>
      </c>
      <c r="G222" s="223" t="str">
        <f t="shared" si="6"/>
        <v>sin dato</v>
      </c>
      <c r="H222" s="222" t="str">
        <f t="shared" si="7"/>
        <v>999</v>
      </c>
    </row>
    <row r="223" spans="1:8" hidden="1">
      <c r="A223" s="87">
        <v>31809522</v>
      </c>
      <c r="B223" s="90" t="s">
        <v>8957</v>
      </c>
      <c r="C223" s="90" t="s">
        <v>8958</v>
      </c>
      <c r="D223" s="88" t="s">
        <v>8959</v>
      </c>
      <c r="E223" s="94">
        <v>45209</v>
      </c>
      <c r="F223" s="91" t="s">
        <v>6853</v>
      </c>
      <c r="G223" s="223">
        <f t="shared" si="6"/>
        <v>22</v>
      </c>
      <c r="H223" s="222">
        <f t="shared" si="7"/>
        <v>31809522</v>
      </c>
    </row>
    <row r="224" spans="1:8" hidden="1">
      <c r="A224" s="102">
        <v>34603822</v>
      </c>
      <c r="B224" s="103" t="s">
        <v>7795</v>
      </c>
      <c r="C224" s="88" t="s">
        <v>9296</v>
      </c>
      <c r="D224" s="88" t="s">
        <v>9297</v>
      </c>
      <c r="E224" s="94">
        <v>45202</v>
      </c>
      <c r="F224" s="91"/>
      <c r="G224" s="223">
        <f t="shared" si="6"/>
        <v>2</v>
      </c>
      <c r="H224" s="222">
        <f t="shared" si="7"/>
        <v>34603822</v>
      </c>
    </row>
    <row r="225" spans="1:8" hidden="1">
      <c r="A225" s="92">
        <v>17376132</v>
      </c>
      <c r="B225" s="90" t="s">
        <v>9040</v>
      </c>
      <c r="C225" s="90" t="s">
        <v>9041</v>
      </c>
      <c r="D225" s="88" t="s">
        <v>9095</v>
      </c>
      <c r="E225" s="94">
        <v>45202</v>
      </c>
      <c r="F225" s="91"/>
      <c r="G225" s="223">
        <f t="shared" si="6"/>
        <v>21</v>
      </c>
      <c r="H225" s="222">
        <f t="shared" si="7"/>
        <v>17376132</v>
      </c>
    </row>
    <row r="226" spans="1:8" hidden="1">
      <c r="A226" s="92">
        <v>13627211</v>
      </c>
      <c r="B226" s="90" t="s">
        <v>9040</v>
      </c>
      <c r="C226" s="90" t="s">
        <v>9042</v>
      </c>
      <c r="D226" s="88" t="s">
        <v>9095</v>
      </c>
      <c r="E226" s="94">
        <v>45202</v>
      </c>
      <c r="F226" s="91"/>
      <c r="G226" s="223">
        <f t="shared" si="6"/>
        <v>21</v>
      </c>
      <c r="H226" s="222">
        <f t="shared" si="7"/>
        <v>13627211</v>
      </c>
    </row>
    <row r="227" spans="1:8" hidden="1">
      <c r="A227" s="92">
        <v>37655869</v>
      </c>
      <c r="B227" s="90" t="s">
        <v>9043</v>
      </c>
      <c r="C227" s="90" t="s">
        <v>9044</v>
      </c>
      <c r="D227" s="88" t="s">
        <v>9095</v>
      </c>
      <c r="E227" s="94">
        <v>45202</v>
      </c>
      <c r="F227" s="91"/>
      <c r="G227" s="223" t="str">
        <f t="shared" si="6"/>
        <v>sin dato</v>
      </c>
      <c r="H227" s="222" t="str">
        <f t="shared" si="7"/>
        <v>999</v>
      </c>
    </row>
    <row r="228" spans="1:8" hidden="1">
      <c r="A228" s="92">
        <v>34133155</v>
      </c>
      <c r="B228" s="90" t="s">
        <v>9045</v>
      </c>
      <c r="C228" s="90" t="s">
        <v>9046</v>
      </c>
      <c r="D228" s="88" t="s">
        <v>9095</v>
      </c>
      <c r="E228" s="94">
        <v>45202</v>
      </c>
      <c r="F228" s="91"/>
      <c r="G228" s="223">
        <f t="shared" si="6"/>
        <v>31</v>
      </c>
      <c r="H228" s="222">
        <f t="shared" si="7"/>
        <v>34133155</v>
      </c>
    </row>
    <row r="229" spans="1:8" hidden="1">
      <c r="A229" s="92">
        <v>38184121</v>
      </c>
      <c r="B229" s="90" t="s">
        <v>9047</v>
      </c>
      <c r="C229" s="90" t="s">
        <v>9048</v>
      </c>
      <c r="D229" s="88" t="s">
        <v>9095</v>
      </c>
      <c r="E229" s="94">
        <v>45202</v>
      </c>
      <c r="F229" s="91"/>
      <c r="G229" s="223" t="str">
        <f t="shared" si="6"/>
        <v>sin dato</v>
      </c>
      <c r="H229" s="222" t="str">
        <f t="shared" si="7"/>
        <v>999</v>
      </c>
    </row>
    <row r="230" spans="1:8" hidden="1">
      <c r="A230" s="92">
        <v>37497769</v>
      </c>
      <c r="B230" s="90" t="s">
        <v>8815</v>
      </c>
      <c r="C230" s="90" t="s">
        <v>9049</v>
      </c>
      <c r="D230" s="88" t="s">
        <v>9095</v>
      </c>
      <c r="E230" s="94">
        <v>45202</v>
      </c>
      <c r="F230" s="91"/>
      <c r="G230" s="223" t="str">
        <f t="shared" si="6"/>
        <v>sin dato</v>
      </c>
      <c r="H230" s="222" t="str">
        <f t="shared" si="7"/>
        <v>999</v>
      </c>
    </row>
    <row r="231" spans="1:8" hidden="1">
      <c r="A231" s="92">
        <v>23116798</v>
      </c>
      <c r="B231" s="90" t="s">
        <v>9050</v>
      </c>
      <c r="C231" s="90" t="s">
        <v>9051</v>
      </c>
      <c r="D231" s="88" t="s">
        <v>9095</v>
      </c>
      <c r="E231" s="94">
        <v>45202</v>
      </c>
      <c r="F231" s="91"/>
      <c r="G231" s="223">
        <f t="shared" si="6"/>
        <v>21</v>
      </c>
      <c r="H231" s="222">
        <f t="shared" si="7"/>
        <v>23116798</v>
      </c>
    </row>
    <row r="232" spans="1:8" hidden="1">
      <c r="A232" s="92">
        <v>32460156</v>
      </c>
      <c r="B232" s="90" t="s">
        <v>9052</v>
      </c>
      <c r="C232" s="90" t="s">
        <v>9053</v>
      </c>
      <c r="D232" s="88" t="s">
        <v>9095</v>
      </c>
      <c r="E232" s="94">
        <v>45202</v>
      </c>
      <c r="F232" s="91"/>
      <c r="G232" s="223">
        <f t="shared" si="6"/>
        <v>21</v>
      </c>
      <c r="H232" s="222">
        <f t="shared" si="7"/>
        <v>32460156</v>
      </c>
    </row>
    <row r="233" spans="1:8" hidden="1">
      <c r="A233" s="92">
        <v>17376866</v>
      </c>
      <c r="B233" s="90" t="s">
        <v>9054</v>
      </c>
      <c r="C233" s="90" t="s">
        <v>9055</v>
      </c>
      <c r="D233" s="88" t="s">
        <v>9095</v>
      </c>
      <c r="E233" s="94">
        <v>45202</v>
      </c>
      <c r="F233" s="91"/>
      <c r="G233" s="223">
        <f t="shared" si="6"/>
        <v>999</v>
      </c>
      <c r="H233" s="222">
        <f t="shared" si="7"/>
        <v>17376866</v>
      </c>
    </row>
    <row r="234" spans="1:8" hidden="1">
      <c r="A234" s="92">
        <v>17696485</v>
      </c>
      <c r="B234" s="90" t="s">
        <v>9056</v>
      </c>
      <c r="C234" s="90" t="s">
        <v>9057</v>
      </c>
      <c r="D234" s="88" t="s">
        <v>9095</v>
      </c>
      <c r="E234" s="94">
        <v>45202</v>
      </c>
      <c r="F234" s="91"/>
      <c r="G234" s="223">
        <f t="shared" si="6"/>
        <v>21</v>
      </c>
      <c r="H234" s="222">
        <f t="shared" si="7"/>
        <v>17696485</v>
      </c>
    </row>
    <row r="235" spans="1:8" hidden="1">
      <c r="A235" s="92">
        <v>43563428</v>
      </c>
      <c r="B235" s="90" t="s">
        <v>9058</v>
      </c>
      <c r="C235" s="90" t="s">
        <v>9059</v>
      </c>
      <c r="D235" s="88" t="s">
        <v>9095</v>
      </c>
      <c r="E235" s="94">
        <v>45202</v>
      </c>
      <c r="F235" s="91"/>
      <c r="G235" s="223" t="str">
        <f t="shared" si="6"/>
        <v>sin dato</v>
      </c>
      <c r="H235" s="222" t="str">
        <f t="shared" si="7"/>
        <v>999</v>
      </c>
    </row>
    <row r="236" spans="1:8" hidden="1">
      <c r="A236" s="92">
        <v>22263182</v>
      </c>
      <c r="B236" s="90" t="s">
        <v>9060</v>
      </c>
      <c r="C236" s="90" t="s">
        <v>9061</v>
      </c>
      <c r="D236" s="88" t="s">
        <v>9095</v>
      </c>
      <c r="E236" s="94">
        <v>45202</v>
      </c>
      <c r="F236" s="91"/>
      <c r="G236" s="223">
        <f t="shared" si="6"/>
        <v>21</v>
      </c>
      <c r="H236" s="222">
        <f t="shared" si="7"/>
        <v>22263182</v>
      </c>
    </row>
    <row r="237" spans="1:8" hidden="1">
      <c r="A237" s="92">
        <v>25844148</v>
      </c>
      <c r="B237" s="90" t="s">
        <v>9062</v>
      </c>
      <c r="C237" s="90" t="s">
        <v>9063</v>
      </c>
      <c r="D237" s="88" t="s">
        <v>9095</v>
      </c>
      <c r="E237" s="94">
        <v>45202</v>
      </c>
      <c r="F237" s="91"/>
      <c r="G237" s="223">
        <f t="shared" si="6"/>
        <v>16</v>
      </c>
      <c r="H237" s="222">
        <f t="shared" si="7"/>
        <v>25844148</v>
      </c>
    </row>
    <row r="238" spans="1:8" hidden="1">
      <c r="A238" s="92">
        <v>33163754</v>
      </c>
      <c r="B238" s="90" t="s">
        <v>8835</v>
      </c>
      <c r="C238" s="90" t="s">
        <v>8836</v>
      </c>
      <c r="D238" s="88" t="s">
        <v>9095</v>
      </c>
      <c r="E238" s="94">
        <v>45202</v>
      </c>
      <c r="F238" s="91"/>
      <c r="G238" s="223">
        <f t="shared" si="6"/>
        <v>24</v>
      </c>
      <c r="H238" s="222">
        <f t="shared" si="7"/>
        <v>33163754</v>
      </c>
    </row>
    <row r="239" spans="1:8" hidden="1">
      <c r="A239" s="92">
        <v>37096982</v>
      </c>
      <c r="B239" s="90" t="s">
        <v>8837</v>
      </c>
      <c r="C239" s="90" t="s">
        <v>9064</v>
      </c>
      <c r="D239" s="88" t="s">
        <v>9095</v>
      </c>
      <c r="E239" s="94">
        <v>45202</v>
      </c>
      <c r="F239" s="91"/>
      <c r="G239" s="223" t="str">
        <f t="shared" si="6"/>
        <v>sin dato</v>
      </c>
      <c r="H239" s="222" t="str">
        <f t="shared" si="7"/>
        <v>999</v>
      </c>
    </row>
    <row r="240" spans="1:8" hidden="1">
      <c r="A240" s="92">
        <v>35811790</v>
      </c>
      <c r="B240" s="90" t="s">
        <v>6906</v>
      </c>
      <c r="C240" s="90" t="s">
        <v>9065</v>
      </c>
      <c r="D240" s="88" t="s">
        <v>9095</v>
      </c>
      <c r="E240" s="94">
        <v>45202</v>
      </c>
      <c r="F240" s="91"/>
      <c r="G240" s="223" t="str">
        <f t="shared" si="6"/>
        <v>sin dato</v>
      </c>
      <c r="H240" s="222" t="str">
        <f t="shared" si="7"/>
        <v>999</v>
      </c>
    </row>
    <row r="241" spans="1:8" hidden="1">
      <c r="A241" s="92">
        <v>30268715</v>
      </c>
      <c r="B241" s="90" t="s">
        <v>7299</v>
      </c>
      <c r="C241" s="90" t="s">
        <v>9066</v>
      </c>
      <c r="D241" s="88" t="s">
        <v>9095</v>
      </c>
      <c r="E241" s="94">
        <v>45202</v>
      </c>
      <c r="F241" s="91"/>
      <c r="G241" s="223">
        <f t="shared" si="6"/>
        <v>21</v>
      </c>
      <c r="H241" s="222">
        <f t="shared" si="7"/>
        <v>30268715</v>
      </c>
    </row>
    <row r="242" spans="1:8" hidden="1">
      <c r="A242" s="92">
        <v>33139225</v>
      </c>
      <c r="B242" s="90" t="s">
        <v>9067</v>
      </c>
      <c r="C242" s="90" t="s">
        <v>9068</v>
      </c>
      <c r="D242" s="88" t="s">
        <v>9095</v>
      </c>
      <c r="E242" s="94">
        <v>45202</v>
      </c>
      <c r="F242" s="91"/>
      <c r="G242" s="223">
        <f t="shared" si="6"/>
        <v>11</v>
      </c>
      <c r="H242" s="222">
        <f t="shared" si="7"/>
        <v>33139225</v>
      </c>
    </row>
    <row r="243" spans="1:8" hidden="1">
      <c r="A243" s="92">
        <v>22180896</v>
      </c>
      <c r="B243" s="90" t="s">
        <v>9069</v>
      </c>
      <c r="C243" s="90" t="s">
        <v>9070</v>
      </c>
      <c r="D243" s="88" t="s">
        <v>9095</v>
      </c>
      <c r="E243" s="94">
        <v>45202</v>
      </c>
      <c r="F243" s="91"/>
      <c r="G243" s="223">
        <f t="shared" si="6"/>
        <v>21</v>
      </c>
      <c r="H243" s="222">
        <f t="shared" si="7"/>
        <v>22180896</v>
      </c>
    </row>
    <row r="244" spans="1:8" hidden="1">
      <c r="A244" s="92">
        <v>29998495</v>
      </c>
      <c r="B244" s="90" t="s">
        <v>7990</v>
      </c>
      <c r="C244" s="90" t="s">
        <v>8008</v>
      </c>
      <c r="D244" s="88" t="s">
        <v>9095</v>
      </c>
      <c r="E244" s="94">
        <v>45202</v>
      </c>
      <c r="F244" s="91"/>
      <c r="G244" s="223">
        <f t="shared" si="6"/>
        <v>21</v>
      </c>
      <c r="H244" s="222">
        <f t="shared" si="7"/>
        <v>29998495</v>
      </c>
    </row>
    <row r="245" spans="1:8" hidden="1">
      <c r="A245" s="92">
        <v>31030485</v>
      </c>
      <c r="B245" s="90" t="s">
        <v>9071</v>
      </c>
      <c r="C245" s="90" t="s">
        <v>9072</v>
      </c>
      <c r="D245" s="88" t="s">
        <v>9095</v>
      </c>
      <c r="E245" s="94">
        <v>45202</v>
      </c>
      <c r="F245" s="91"/>
      <c r="G245" s="223">
        <f t="shared" si="6"/>
        <v>31</v>
      </c>
      <c r="H245" s="222">
        <f t="shared" si="7"/>
        <v>31030485</v>
      </c>
    </row>
    <row r="246" spans="1:8" hidden="1">
      <c r="A246" s="92">
        <v>35493442</v>
      </c>
      <c r="B246" s="90" t="s">
        <v>8329</v>
      </c>
      <c r="C246" s="90" t="s">
        <v>9073</v>
      </c>
      <c r="D246" s="88" t="s">
        <v>9095</v>
      </c>
      <c r="E246" s="94">
        <v>45202</v>
      </c>
      <c r="F246" s="91"/>
      <c r="G246" s="223" t="str">
        <f t="shared" si="6"/>
        <v>sin dato</v>
      </c>
      <c r="H246" s="222" t="str">
        <f t="shared" si="7"/>
        <v>999</v>
      </c>
    </row>
    <row r="247" spans="1:8" hidden="1">
      <c r="A247" s="92">
        <v>34132176</v>
      </c>
      <c r="B247" s="90" t="s">
        <v>9074</v>
      </c>
      <c r="C247" s="90" t="s">
        <v>9075</v>
      </c>
      <c r="D247" s="88" t="s">
        <v>9095</v>
      </c>
      <c r="E247" s="94">
        <v>45202</v>
      </c>
      <c r="F247" s="91"/>
      <c r="G247" s="223">
        <f t="shared" si="6"/>
        <v>21</v>
      </c>
      <c r="H247" s="222">
        <f t="shared" si="7"/>
        <v>34132176</v>
      </c>
    </row>
    <row r="248" spans="1:8" hidden="1">
      <c r="A248" s="92">
        <v>26011505</v>
      </c>
      <c r="B248" s="90" t="s">
        <v>9076</v>
      </c>
      <c r="C248" s="90" t="s">
        <v>8825</v>
      </c>
      <c r="D248" s="88" t="s">
        <v>9095</v>
      </c>
      <c r="E248" s="94">
        <v>45202</v>
      </c>
      <c r="F248" s="91"/>
      <c r="G248" s="223">
        <f t="shared" si="6"/>
        <v>9</v>
      </c>
      <c r="H248" s="222">
        <f t="shared" si="7"/>
        <v>26011505</v>
      </c>
    </row>
    <row r="249" spans="1:8" hidden="1">
      <c r="A249" s="106">
        <v>23517381</v>
      </c>
      <c r="B249" s="107" t="s">
        <v>288</v>
      </c>
      <c r="C249" s="107" t="s">
        <v>9077</v>
      </c>
      <c r="D249" s="88" t="s">
        <v>9095</v>
      </c>
      <c r="E249" s="94">
        <v>45202</v>
      </c>
      <c r="F249" s="91"/>
      <c r="G249" s="223">
        <f t="shared" si="6"/>
        <v>5</v>
      </c>
      <c r="H249" s="222">
        <f t="shared" si="7"/>
        <v>23517381</v>
      </c>
    </row>
    <row r="250" spans="1:8" hidden="1">
      <c r="A250" s="92">
        <v>28221604</v>
      </c>
      <c r="B250" s="90" t="s">
        <v>7910</v>
      </c>
      <c r="C250" s="90" t="s">
        <v>9078</v>
      </c>
      <c r="D250" s="88" t="s">
        <v>9095</v>
      </c>
      <c r="E250" s="94">
        <v>45202</v>
      </c>
      <c r="F250" s="91"/>
      <c r="G250" s="223">
        <f t="shared" si="6"/>
        <v>21</v>
      </c>
      <c r="H250" s="222">
        <f t="shared" si="7"/>
        <v>28221604</v>
      </c>
    </row>
    <row r="251" spans="1:8" hidden="1">
      <c r="A251" s="92">
        <v>27594642</v>
      </c>
      <c r="B251" s="90" t="s">
        <v>8930</v>
      </c>
      <c r="C251" s="90" t="s">
        <v>9079</v>
      </c>
      <c r="D251" s="88" t="s">
        <v>9095</v>
      </c>
      <c r="E251" s="94">
        <v>45202</v>
      </c>
      <c r="F251" s="91"/>
      <c r="G251" s="223">
        <f t="shared" si="6"/>
        <v>16</v>
      </c>
      <c r="H251" s="222">
        <f t="shared" si="7"/>
        <v>27594642</v>
      </c>
    </row>
    <row r="252" spans="1:8" hidden="1">
      <c r="A252" s="92">
        <v>37423911</v>
      </c>
      <c r="B252" s="90" t="s">
        <v>311</v>
      </c>
      <c r="C252" s="90" t="s">
        <v>4554</v>
      </c>
      <c r="D252" s="88" t="s">
        <v>9095</v>
      </c>
      <c r="E252" s="94">
        <v>45202</v>
      </c>
      <c r="F252" s="91"/>
      <c r="G252" s="223" t="str">
        <f t="shared" si="6"/>
        <v>sin dato</v>
      </c>
      <c r="H252" s="222" t="str">
        <f t="shared" si="7"/>
        <v>999</v>
      </c>
    </row>
    <row r="253" spans="1:8" hidden="1">
      <c r="A253" s="92">
        <v>27651674</v>
      </c>
      <c r="B253" s="90" t="s">
        <v>9080</v>
      </c>
      <c r="C253" s="90" t="s">
        <v>9081</v>
      </c>
      <c r="D253" s="88" t="s">
        <v>9095</v>
      </c>
      <c r="E253" s="94">
        <v>45202</v>
      </c>
      <c r="F253" s="91"/>
      <c r="G253" s="223">
        <f t="shared" si="6"/>
        <v>21</v>
      </c>
      <c r="H253" s="222">
        <f t="shared" si="7"/>
        <v>27651674</v>
      </c>
    </row>
    <row r="254" spans="1:8" hidden="1">
      <c r="A254" s="92">
        <v>35517102</v>
      </c>
      <c r="B254" s="90" t="s">
        <v>9082</v>
      </c>
      <c r="C254" s="90" t="s">
        <v>9083</v>
      </c>
      <c r="D254" s="88" t="s">
        <v>9095</v>
      </c>
      <c r="E254" s="94">
        <v>45202</v>
      </c>
      <c r="F254" s="91"/>
      <c r="G254" s="223" t="str">
        <f t="shared" si="6"/>
        <v>sin dato</v>
      </c>
      <c r="H254" s="222" t="str">
        <f t="shared" si="7"/>
        <v>999</v>
      </c>
    </row>
    <row r="255" spans="1:8" hidden="1">
      <c r="A255" s="92">
        <v>28221282</v>
      </c>
      <c r="B255" s="90" t="s">
        <v>9084</v>
      </c>
      <c r="C255" s="90" t="s">
        <v>9085</v>
      </c>
      <c r="D255" s="88" t="s">
        <v>9095</v>
      </c>
      <c r="E255" s="94">
        <v>45202</v>
      </c>
      <c r="F255" s="91"/>
      <c r="G255" s="223">
        <f t="shared" si="6"/>
        <v>21</v>
      </c>
      <c r="H255" s="222">
        <f t="shared" si="7"/>
        <v>28221282</v>
      </c>
    </row>
    <row r="256" spans="1:8" hidden="1">
      <c r="A256" s="92">
        <v>20877457</v>
      </c>
      <c r="B256" s="90" t="s">
        <v>9086</v>
      </c>
      <c r="C256" s="90" t="s">
        <v>9087</v>
      </c>
      <c r="D256" s="88" t="s">
        <v>9095</v>
      </c>
      <c r="E256" s="94">
        <v>45202</v>
      </c>
      <c r="F256" s="91"/>
      <c r="G256" s="223">
        <f t="shared" si="6"/>
        <v>21</v>
      </c>
      <c r="H256" s="222">
        <f t="shared" si="7"/>
        <v>20877457</v>
      </c>
    </row>
    <row r="257" spans="1:8" hidden="1">
      <c r="A257" s="92">
        <v>13513776</v>
      </c>
      <c r="B257" s="90" t="s">
        <v>9088</v>
      </c>
      <c r="C257" s="90" t="s">
        <v>9089</v>
      </c>
      <c r="D257" s="88" t="s">
        <v>9095</v>
      </c>
      <c r="E257" s="94">
        <v>45202</v>
      </c>
      <c r="F257" s="91"/>
      <c r="G257" s="223">
        <f t="shared" si="6"/>
        <v>21</v>
      </c>
      <c r="H257" s="222">
        <f t="shared" si="7"/>
        <v>13513776</v>
      </c>
    </row>
    <row r="258" spans="1:8" hidden="1">
      <c r="A258" s="92">
        <v>37097191</v>
      </c>
      <c r="B258" s="90" t="s">
        <v>8732</v>
      </c>
      <c r="C258" s="90" t="s">
        <v>8733</v>
      </c>
      <c r="D258" s="88" t="s">
        <v>9095</v>
      </c>
      <c r="E258" s="94">
        <v>45202</v>
      </c>
      <c r="F258" s="91"/>
      <c r="G258" s="223" t="str">
        <f t="shared" ref="G258:G321" si="8">IFERROR(INDEX(unidad,MATCH(VLOOKUP(A258,alum,9,0),unidad2,0),1),"sin dato")</f>
        <v>sin dato</v>
      </c>
      <c r="H258" s="222" t="str">
        <f t="shared" ref="H258:H321" si="9">IFERROR(VLOOKUP(A258,alum,1,0),"999")</f>
        <v>999</v>
      </c>
    </row>
    <row r="259" spans="1:8" hidden="1">
      <c r="A259" s="92">
        <v>29338688</v>
      </c>
      <c r="B259" s="90" t="s">
        <v>9090</v>
      </c>
      <c r="C259" s="90" t="s">
        <v>9091</v>
      </c>
      <c r="D259" s="88" t="s">
        <v>9095</v>
      </c>
      <c r="E259" s="94">
        <v>45202</v>
      </c>
      <c r="F259" s="91"/>
      <c r="G259" s="223">
        <f t="shared" si="8"/>
        <v>21</v>
      </c>
      <c r="H259" s="222">
        <f t="shared" si="9"/>
        <v>29338688</v>
      </c>
    </row>
    <row r="260" spans="1:8" hidden="1">
      <c r="A260" s="92">
        <v>34719547</v>
      </c>
      <c r="B260" s="90" t="s">
        <v>7480</v>
      </c>
      <c r="C260" s="90" t="s">
        <v>9092</v>
      </c>
      <c r="D260" s="88" t="s">
        <v>9095</v>
      </c>
      <c r="E260" s="94">
        <v>45202</v>
      </c>
      <c r="F260" s="91"/>
      <c r="G260" s="223">
        <f t="shared" si="8"/>
        <v>13</v>
      </c>
      <c r="H260" s="222">
        <f t="shared" si="9"/>
        <v>34719547</v>
      </c>
    </row>
    <row r="261" spans="1:8" hidden="1">
      <c r="A261" s="92">
        <v>21744058</v>
      </c>
      <c r="B261" s="90" t="s">
        <v>7746</v>
      </c>
      <c r="C261" s="90" t="s">
        <v>7766</v>
      </c>
      <c r="D261" s="88" t="s">
        <v>9095</v>
      </c>
      <c r="E261" s="94">
        <v>45202</v>
      </c>
      <c r="F261" s="91"/>
      <c r="G261" s="223">
        <f t="shared" si="8"/>
        <v>21</v>
      </c>
      <c r="H261" s="222">
        <f t="shared" si="9"/>
        <v>21744058</v>
      </c>
    </row>
    <row r="262" spans="1:8" hidden="1">
      <c r="A262" s="92">
        <v>22945322</v>
      </c>
      <c r="B262" s="90" t="s">
        <v>5229</v>
      </c>
      <c r="C262" s="90" t="s">
        <v>5230</v>
      </c>
      <c r="D262" s="88" t="s">
        <v>9095</v>
      </c>
      <c r="E262" s="94">
        <v>45202</v>
      </c>
      <c r="F262" s="91"/>
      <c r="G262" s="223">
        <f t="shared" si="8"/>
        <v>2</v>
      </c>
      <c r="H262" s="222">
        <f t="shared" si="9"/>
        <v>22945322</v>
      </c>
    </row>
    <row r="263" spans="1:8" hidden="1">
      <c r="A263" s="92">
        <v>20219090</v>
      </c>
      <c r="B263" s="90" t="s">
        <v>9093</v>
      </c>
      <c r="C263" s="90" t="s">
        <v>9094</v>
      </c>
      <c r="D263" s="88" t="s">
        <v>9095</v>
      </c>
      <c r="E263" s="94">
        <v>45202</v>
      </c>
      <c r="F263" s="91"/>
      <c r="G263" s="223">
        <f t="shared" si="8"/>
        <v>21</v>
      </c>
      <c r="H263" s="222">
        <f t="shared" si="9"/>
        <v>20219090</v>
      </c>
    </row>
    <row r="264" spans="1:8" hidden="1">
      <c r="A264" s="92">
        <v>27961909</v>
      </c>
      <c r="B264" s="90" t="s">
        <v>7956</v>
      </c>
      <c r="C264" s="90" t="s">
        <v>7901</v>
      </c>
      <c r="D264" s="88" t="s">
        <v>9095</v>
      </c>
      <c r="E264" s="94">
        <v>45202</v>
      </c>
      <c r="F264" s="91"/>
      <c r="G264" s="223">
        <f t="shared" si="8"/>
        <v>27</v>
      </c>
      <c r="H264" s="222">
        <f t="shared" si="9"/>
        <v>27961909</v>
      </c>
    </row>
    <row r="265" spans="1:8" hidden="1">
      <c r="A265" s="102">
        <v>33978008</v>
      </c>
      <c r="B265" s="103" t="s">
        <v>8903</v>
      </c>
      <c r="C265" s="88" t="s">
        <v>9269</v>
      </c>
      <c r="D265" s="88" t="s">
        <v>9297</v>
      </c>
      <c r="E265" s="94">
        <v>45201</v>
      </c>
      <c r="F265" s="91"/>
      <c r="G265" s="223">
        <f t="shared" si="8"/>
        <v>10</v>
      </c>
      <c r="H265" s="222">
        <f t="shared" si="9"/>
        <v>33978008</v>
      </c>
    </row>
    <row r="266" spans="1:8" hidden="1">
      <c r="A266" s="102">
        <v>34509589</v>
      </c>
      <c r="B266" s="103" t="s">
        <v>9253</v>
      </c>
      <c r="C266" s="88" t="s">
        <v>9270</v>
      </c>
      <c r="D266" s="88" t="s">
        <v>9297</v>
      </c>
      <c r="E266" s="94">
        <v>45201</v>
      </c>
      <c r="F266" s="91"/>
      <c r="G266" s="223">
        <f t="shared" si="8"/>
        <v>13</v>
      </c>
      <c r="H266" s="222">
        <f t="shared" si="9"/>
        <v>34509589</v>
      </c>
    </row>
    <row r="267" spans="1:8" hidden="1">
      <c r="A267" s="104">
        <v>32809573</v>
      </c>
      <c r="B267" s="103" t="s">
        <v>9254</v>
      </c>
      <c r="C267" s="88" t="s">
        <v>9271</v>
      </c>
      <c r="D267" s="88" t="s">
        <v>9297</v>
      </c>
      <c r="E267" s="94">
        <v>45201</v>
      </c>
      <c r="F267" s="91"/>
      <c r="G267" s="223">
        <f t="shared" si="8"/>
        <v>20</v>
      </c>
      <c r="H267" s="222">
        <f t="shared" si="9"/>
        <v>32809573</v>
      </c>
    </row>
    <row r="268" spans="1:8" hidden="1">
      <c r="A268" s="102">
        <v>27886675</v>
      </c>
      <c r="B268" s="103" t="s">
        <v>7507</v>
      </c>
      <c r="C268" s="88" t="s">
        <v>9272</v>
      </c>
      <c r="D268" s="88" t="s">
        <v>9297</v>
      </c>
      <c r="E268" s="94">
        <v>45201</v>
      </c>
      <c r="F268" s="91"/>
      <c r="G268" s="223">
        <f t="shared" si="8"/>
        <v>26</v>
      </c>
      <c r="H268" s="222">
        <f t="shared" si="9"/>
        <v>27886675</v>
      </c>
    </row>
    <row r="269" spans="1:8" hidden="1">
      <c r="A269" s="102">
        <v>42777749</v>
      </c>
      <c r="B269" s="103" t="s">
        <v>9255</v>
      </c>
      <c r="C269" s="88" t="s">
        <v>9273</v>
      </c>
      <c r="D269" s="88" t="s">
        <v>9297</v>
      </c>
      <c r="E269" s="94">
        <v>45201</v>
      </c>
      <c r="F269" s="91"/>
      <c r="G269" s="223" t="str">
        <f t="shared" si="8"/>
        <v>sin dato</v>
      </c>
      <c r="H269" s="222" t="str">
        <f t="shared" si="9"/>
        <v>999</v>
      </c>
    </row>
    <row r="270" spans="1:8" hidden="1">
      <c r="A270" s="102">
        <v>35807614</v>
      </c>
      <c r="B270" s="103" t="s">
        <v>9256</v>
      </c>
      <c r="C270" s="88" t="s">
        <v>9274</v>
      </c>
      <c r="D270" s="88" t="s">
        <v>9297</v>
      </c>
      <c r="E270" s="94">
        <v>45201</v>
      </c>
      <c r="F270" s="91"/>
      <c r="G270" s="223" t="str">
        <f t="shared" si="8"/>
        <v>sin dato</v>
      </c>
      <c r="H270" s="222" t="str">
        <f t="shared" si="9"/>
        <v>999</v>
      </c>
    </row>
    <row r="271" spans="1:8" hidden="1">
      <c r="A271" s="102">
        <v>43648554</v>
      </c>
      <c r="B271" s="103" t="s">
        <v>9257</v>
      </c>
      <c r="C271" s="88" t="s">
        <v>9275</v>
      </c>
      <c r="D271" s="88" t="s">
        <v>9297</v>
      </c>
      <c r="E271" s="94">
        <v>45201</v>
      </c>
      <c r="F271" s="91"/>
      <c r="G271" s="223" t="str">
        <f t="shared" si="8"/>
        <v>sin dato</v>
      </c>
      <c r="H271" s="222" t="str">
        <f t="shared" si="9"/>
        <v>999</v>
      </c>
    </row>
    <row r="272" spans="1:8" hidden="1">
      <c r="A272" s="102">
        <v>36839968</v>
      </c>
      <c r="B272" s="103" t="s">
        <v>9258</v>
      </c>
      <c r="C272" s="88" t="s">
        <v>9276</v>
      </c>
      <c r="D272" s="88" t="s">
        <v>9297</v>
      </c>
      <c r="E272" s="94">
        <v>45201</v>
      </c>
      <c r="F272" s="91"/>
      <c r="G272" s="223" t="str">
        <f t="shared" si="8"/>
        <v>sin dato</v>
      </c>
      <c r="H272" s="222" t="str">
        <f t="shared" si="9"/>
        <v>999</v>
      </c>
    </row>
    <row r="273" spans="1:8" hidden="1">
      <c r="A273" s="102">
        <v>36838389</v>
      </c>
      <c r="B273" s="103" t="s">
        <v>9259</v>
      </c>
      <c r="C273" s="88" t="s">
        <v>9277</v>
      </c>
      <c r="D273" s="88" t="s">
        <v>9297</v>
      </c>
      <c r="E273" s="94">
        <v>45201</v>
      </c>
      <c r="F273" s="91"/>
      <c r="G273" s="223" t="str">
        <f t="shared" si="8"/>
        <v>sin dato</v>
      </c>
      <c r="H273" s="222" t="str">
        <f t="shared" si="9"/>
        <v>999</v>
      </c>
    </row>
    <row r="274" spans="1:8" hidden="1">
      <c r="A274" s="104">
        <v>31253981</v>
      </c>
      <c r="B274" s="103" t="s">
        <v>9260</v>
      </c>
      <c r="C274" s="88" t="s">
        <v>9278</v>
      </c>
      <c r="D274" s="88" t="s">
        <v>9297</v>
      </c>
      <c r="E274" s="94">
        <v>45201</v>
      </c>
      <c r="F274" s="91"/>
      <c r="G274" s="223" t="str">
        <f t="shared" si="8"/>
        <v>sin dato</v>
      </c>
      <c r="H274" s="222">
        <f t="shared" si="9"/>
        <v>31253981</v>
      </c>
    </row>
    <row r="275" spans="1:8" hidden="1">
      <c r="A275" s="104">
        <v>43227070</v>
      </c>
      <c r="B275" s="103" t="s">
        <v>9261</v>
      </c>
      <c r="C275" s="88" t="s">
        <v>9279</v>
      </c>
      <c r="D275" s="88" t="s">
        <v>9297</v>
      </c>
      <c r="E275" s="94">
        <v>45201</v>
      </c>
      <c r="F275" s="91"/>
      <c r="G275" s="223" t="str">
        <f t="shared" si="8"/>
        <v>sin dato</v>
      </c>
      <c r="H275" s="222" t="str">
        <f t="shared" si="9"/>
        <v>999</v>
      </c>
    </row>
    <row r="276" spans="1:8" hidden="1">
      <c r="A276" s="102">
        <v>42719797</v>
      </c>
      <c r="B276" s="103" t="s">
        <v>9262</v>
      </c>
      <c r="C276" s="88" t="s">
        <v>9280</v>
      </c>
      <c r="D276" s="88" t="s">
        <v>9297</v>
      </c>
      <c r="E276" s="94">
        <v>45201</v>
      </c>
      <c r="F276" s="91"/>
      <c r="G276" s="223" t="str">
        <f t="shared" si="8"/>
        <v>sin dato</v>
      </c>
      <c r="H276" s="222" t="str">
        <f t="shared" si="9"/>
        <v>999</v>
      </c>
    </row>
    <row r="277" spans="1:8" hidden="1">
      <c r="A277" s="105">
        <v>26446716</v>
      </c>
      <c r="B277" s="103" t="s">
        <v>6953</v>
      </c>
      <c r="C277" s="88" t="s">
        <v>9281</v>
      </c>
      <c r="D277" s="88" t="s">
        <v>9297</v>
      </c>
      <c r="E277" s="94">
        <v>45201</v>
      </c>
      <c r="F277" s="91"/>
      <c r="G277" s="223" t="str">
        <f t="shared" si="8"/>
        <v>sin dato</v>
      </c>
      <c r="H277" s="222" t="str">
        <f t="shared" si="9"/>
        <v>999</v>
      </c>
    </row>
    <row r="278" spans="1:8" hidden="1">
      <c r="A278" s="104">
        <v>37423555</v>
      </c>
      <c r="B278" s="103" t="s">
        <v>9263</v>
      </c>
      <c r="C278" s="88" t="s">
        <v>9282</v>
      </c>
      <c r="D278" s="88" t="s">
        <v>9297</v>
      </c>
      <c r="E278" s="94">
        <v>45201</v>
      </c>
      <c r="F278" s="91"/>
      <c r="G278" s="223" t="str">
        <f t="shared" si="8"/>
        <v>sin dato</v>
      </c>
      <c r="H278" s="222" t="str">
        <f t="shared" si="9"/>
        <v>999</v>
      </c>
    </row>
    <row r="279" spans="1:8" hidden="1">
      <c r="A279" s="105">
        <v>31040181</v>
      </c>
      <c r="B279" s="103" t="s">
        <v>6969</v>
      </c>
      <c r="C279" s="88" t="s">
        <v>9283</v>
      </c>
      <c r="D279" s="88" t="s">
        <v>9297</v>
      </c>
      <c r="E279" s="94">
        <v>45201</v>
      </c>
      <c r="F279" s="91"/>
      <c r="G279" s="223" t="str">
        <f t="shared" si="8"/>
        <v>sin dato</v>
      </c>
      <c r="H279" s="222">
        <f t="shared" si="9"/>
        <v>31040181</v>
      </c>
    </row>
    <row r="280" spans="1:8" hidden="1">
      <c r="A280" s="102">
        <v>36585539</v>
      </c>
      <c r="B280" s="103" t="s">
        <v>9264</v>
      </c>
      <c r="C280" s="88" t="s">
        <v>9284</v>
      </c>
      <c r="D280" s="88" t="s">
        <v>9297</v>
      </c>
      <c r="E280" s="94">
        <v>45201</v>
      </c>
      <c r="F280" s="91"/>
      <c r="G280" s="223" t="str">
        <f t="shared" si="8"/>
        <v>sin dato</v>
      </c>
      <c r="H280" s="222" t="str">
        <f t="shared" si="9"/>
        <v>999</v>
      </c>
    </row>
    <row r="281" spans="1:8" hidden="1">
      <c r="A281" s="102">
        <v>37656330</v>
      </c>
      <c r="B281" s="103" t="s">
        <v>9265</v>
      </c>
      <c r="C281" s="88" t="s">
        <v>9285</v>
      </c>
      <c r="D281" s="88" t="s">
        <v>9297</v>
      </c>
      <c r="E281" s="94">
        <v>45201</v>
      </c>
      <c r="F281" s="91"/>
      <c r="G281" s="223" t="str">
        <f t="shared" si="8"/>
        <v>sin dato</v>
      </c>
      <c r="H281" s="222" t="str">
        <f t="shared" si="9"/>
        <v>999</v>
      </c>
    </row>
    <row r="282" spans="1:8" hidden="1">
      <c r="A282" s="102">
        <v>35548937</v>
      </c>
      <c r="B282" s="103" t="s">
        <v>9266</v>
      </c>
      <c r="C282" s="88" t="s">
        <v>9286</v>
      </c>
      <c r="D282" s="88" t="s">
        <v>9297</v>
      </c>
      <c r="E282" s="94">
        <v>45201</v>
      </c>
      <c r="F282" s="91"/>
      <c r="G282" s="223" t="str">
        <f t="shared" si="8"/>
        <v>sin dato</v>
      </c>
      <c r="H282" s="222" t="str">
        <f t="shared" si="9"/>
        <v>999</v>
      </c>
    </row>
    <row r="283" spans="1:8" hidden="1">
      <c r="A283" s="102">
        <v>35921516</v>
      </c>
      <c r="B283" s="103" t="s">
        <v>9267</v>
      </c>
      <c r="C283" s="88" t="s">
        <v>9287</v>
      </c>
      <c r="D283" s="88" t="s">
        <v>9297</v>
      </c>
      <c r="E283" s="94">
        <v>45201</v>
      </c>
      <c r="F283" s="91"/>
      <c r="G283" s="223" t="str">
        <f t="shared" si="8"/>
        <v>sin dato</v>
      </c>
      <c r="H283" s="222" t="str">
        <f t="shared" si="9"/>
        <v>999</v>
      </c>
    </row>
    <row r="284" spans="1:8" hidden="1">
      <c r="A284" s="105">
        <v>43850225</v>
      </c>
      <c r="B284" s="103" t="s">
        <v>7514</v>
      </c>
      <c r="C284" s="88" t="s">
        <v>9288</v>
      </c>
      <c r="D284" s="88" t="s">
        <v>9297</v>
      </c>
      <c r="E284" s="94">
        <v>45201</v>
      </c>
      <c r="F284" s="91"/>
      <c r="G284" s="223" t="str">
        <f t="shared" si="8"/>
        <v>sin dato</v>
      </c>
      <c r="H284" s="222" t="str">
        <f t="shared" si="9"/>
        <v>999</v>
      </c>
    </row>
    <row r="285" spans="1:8" hidden="1">
      <c r="A285" s="105">
        <v>44028228</v>
      </c>
      <c r="B285" s="103" t="s">
        <v>9268</v>
      </c>
      <c r="C285" s="88" t="s">
        <v>9289</v>
      </c>
      <c r="D285" s="88" t="s">
        <v>9297</v>
      </c>
      <c r="E285" s="94">
        <v>45201</v>
      </c>
      <c r="F285" s="91"/>
      <c r="G285" s="223" t="str">
        <f t="shared" si="8"/>
        <v>sin dato</v>
      </c>
      <c r="H285" s="222" t="str">
        <f t="shared" si="9"/>
        <v>999</v>
      </c>
    </row>
    <row r="286" spans="1:8" hidden="1">
      <c r="A286" s="102">
        <v>44658655</v>
      </c>
      <c r="B286" s="103" t="s">
        <v>6949</v>
      </c>
      <c r="C286" s="88" t="s">
        <v>9290</v>
      </c>
      <c r="D286" s="88" t="s">
        <v>9297</v>
      </c>
      <c r="E286" s="94">
        <v>45201</v>
      </c>
      <c r="F286" s="91"/>
      <c r="G286" s="223" t="str">
        <f t="shared" si="8"/>
        <v>sin dato</v>
      </c>
      <c r="H286" s="222" t="str">
        <f t="shared" si="9"/>
        <v>999</v>
      </c>
    </row>
    <row r="287" spans="1:8" hidden="1">
      <c r="A287" s="102">
        <v>23859111</v>
      </c>
      <c r="B287" s="103" t="s">
        <v>7934</v>
      </c>
      <c r="C287" s="88" t="s">
        <v>9291</v>
      </c>
      <c r="D287" s="88" t="s">
        <v>9297</v>
      </c>
      <c r="E287" s="94">
        <v>45201</v>
      </c>
      <c r="F287" s="91"/>
      <c r="G287" s="223">
        <f t="shared" si="8"/>
        <v>13</v>
      </c>
      <c r="H287" s="222">
        <f t="shared" si="9"/>
        <v>23859111</v>
      </c>
    </row>
    <row r="288" spans="1:8" hidden="1">
      <c r="A288" s="102">
        <v>27210084</v>
      </c>
      <c r="B288" s="103" t="s">
        <v>7307</v>
      </c>
      <c r="C288" s="88" t="s">
        <v>8942</v>
      </c>
      <c r="D288" s="88" t="s">
        <v>9297</v>
      </c>
      <c r="E288" s="94">
        <v>45201</v>
      </c>
      <c r="F288" s="91"/>
      <c r="G288" s="223">
        <f t="shared" si="8"/>
        <v>70</v>
      </c>
      <c r="H288" s="222">
        <f t="shared" si="9"/>
        <v>27210084</v>
      </c>
    </row>
    <row r="289" spans="1:8" hidden="1">
      <c r="A289" s="104">
        <v>37455102</v>
      </c>
      <c r="B289" s="103" t="s">
        <v>7863</v>
      </c>
      <c r="C289" s="88" t="s">
        <v>9292</v>
      </c>
      <c r="D289" s="88" t="s">
        <v>9297</v>
      </c>
      <c r="E289" s="94">
        <v>45201</v>
      </c>
      <c r="F289" s="91"/>
      <c r="G289" s="223" t="str">
        <f t="shared" si="8"/>
        <v>sin dato</v>
      </c>
      <c r="H289" s="222" t="str">
        <f t="shared" si="9"/>
        <v>999</v>
      </c>
    </row>
    <row r="290" spans="1:8" hidden="1">
      <c r="A290" s="102">
        <v>38487248</v>
      </c>
      <c r="B290" s="103" t="s">
        <v>7501</v>
      </c>
      <c r="C290" s="88" t="s">
        <v>9293</v>
      </c>
      <c r="D290" s="88" t="s">
        <v>9297</v>
      </c>
      <c r="E290" s="94">
        <v>45201</v>
      </c>
      <c r="F290" s="91"/>
      <c r="G290" s="223" t="str">
        <f t="shared" si="8"/>
        <v>sin dato</v>
      </c>
      <c r="H290" s="222" t="str">
        <f t="shared" si="9"/>
        <v>999</v>
      </c>
    </row>
    <row r="291" spans="1:8" hidden="1">
      <c r="A291" s="102">
        <v>43163020</v>
      </c>
      <c r="B291" s="103" t="s">
        <v>7577</v>
      </c>
      <c r="C291" s="88" t="s">
        <v>9294</v>
      </c>
      <c r="D291" s="88" t="s">
        <v>9297</v>
      </c>
      <c r="E291" s="94">
        <v>45201</v>
      </c>
      <c r="F291" s="91"/>
      <c r="G291" s="223" t="str">
        <f t="shared" si="8"/>
        <v>sin dato</v>
      </c>
      <c r="H291" s="222" t="str">
        <f t="shared" si="9"/>
        <v>999</v>
      </c>
    </row>
    <row r="292" spans="1:8" hidden="1">
      <c r="A292" s="104">
        <v>34286655</v>
      </c>
      <c r="B292" s="103" t="s">
        <v>8010</v>
      </c>
      <c r="C292" s="88" t="s">
        <v>9295</v>
      </c>
      <c r="D292" s="88" t="s">
        <v>9297</v>
      </c>
      <c r="E292" s="94">
        <v>45201</v>
      </c>
      <c r="F292" s="91"/>
      <c r="G292" s="223">
        <f t="shared" si="8"/>
        <v>20</v>
      </c>
      <c r="H292" s="222">
        <f t="shared" si="9"/>
        <v>34286655</v>
      </c>
    </row>
    <row r="293" spans="1:8" hidden="1">
      <c r="A293" s="87">
        <v>18185663</v>
      </c>
      <c r="B293" s="90" t="s">
        <v>26</v>
      </c>
      <c r="C293" s="90" t="s">
        <v>5759</v>
      </c>
      <c r="D293" s="88" t="s">
        <v>8900</v>
      </c>
      <c r="E293" s="94">
        <v>45189</v>
      </c>
      <c r="F293" s="91" t="s">
        <v>6853</v>
      </c>
      <c r="G293" s="223" t="str">
        <f t="shared" si="8"/>
        <v>sin dato</v>
      </c>
      <c r="H293" s="222">
        <f t="shared" si="9"/>
        <v>18185663</v>
      </c>
    </row>
    <row r="294" spans="1:8" hidden="1">
      <c r="A294" s="87">
        <v>27206962</v>
      </c>
      <c r="B294" s="90" t="s">
        <v>2774</v>
      </c>
      <c r="C294" s="90" t="s">
        <v>2775</v>
      </c>
      <c r="D294" s="88" t="s">
        <v>8900</v>
      </c>
      <c r="E294" s="94">
        <v>45189</v>
      </c>
      <c r="F294" s="91" t="s">
        <v>6853</v>
      </c>
      <c r="G294" s="223" t="str">
        <f t="shared" si="8"/>
        <v>sin dato</v>
      </c>
      <c r="H294" s="222">
        <f t="shared" si="9"/>
        <v>27206962</v>
      </c>
    </row>
    <row r="295" spans="1:8" hidden="1">
      <c r="A295" s="87">
        <v>32927775</v>
      </c>
      <c r="B295" s="90" t="s">
        <v>9153</v>
      </c>
      <c r="C295" s="90" t="s">
        <v>9154</v>
      </c>
      <c r="D295" s="88" t="s">
        <v>8900</v>
      </c>
      <c r="E295" s="94">
        <v>45189</v>
      </c>
      <c r="F295" s="91" t="s">
        <v>6853</v>
      </c>
      <c r="G295" s="223" t="str">
        <f t="shared" si="8"/>
        <v>sin dato</v>
      </c>
      <c r="H295" s="222">
        <f t="shared" si="9"/>
        <v>32927775</v>
      </c>
    </row>
    <row r="296" spans="1:8" hidden="1">
      <c r="A296" s="87">
        <v>40828346</v>
      </c>
      <c r="B296" s="90" t="s">
        <v>996</v>
      </c>
      <c r="C296" s="90" t="s">
        <v>9155</v>
      </c>
      <c r="D296" s="88" t="s">
        <v>8900</v>
      </c>
      <c r="E296" s="94">
        <v>45189</v>
      </c>
      <c r="F296" s="91" t="s">
        <v>6853</v>
      </c>
      <c r="G296" s="223" t="str">
        <f t="shared" si="8"/>
        <v>sin dato</v>
      </c>
      <c r="H296" s="222" t="str">
        <f t="shared" si="9"/>
        <v>999</v>
      </c>
    </row>
    <row r="297" spans="1:8" hidden="1">
      <c r="A297" s="87">
        <v>24803045</v>
      </c>
      <c r="B297" s="90" t="s">
        <v>9156</v>
      </c>
      <c r="C297" s="90" t="s">
        <v>9157</v>
      </c>
      <c r="D297" s="88" t="s">
        <v>8900</v>
      </c>
      <c r="E297" s="94">
        <v>45189</v>
      </c>
      <c r="F297" s="91" t="s">
        <v>6853</v>
      </c>
      <c r="G297" s="223" t="str">
        <f t="shared" si="8"/>
        <v>sin dato</v>
      </c>
      <c r="H297" s="222">
        <f t="shared" si="9"/>
        <v>24803045</v>
      </c>
    </row>
    <row r="298" spans="1:8" hidden="1">
      <c r="A298" s="87">
        <v>33978828</v>
      </c>
      <c r="B298" s="90" t="s">
        <v>4286</v>
      </c>
      <c r="C298" s="90" t="s">
        <v>5377</v>
      </c>
      <c r="D298" s="88" t="s">
        <v>8900</v>
      </c>
      <c r="E298" s="94">
        <v>45189</v>
      </c>
      <c r="F298" s="91" t="s">
        <v>9302</v>
      </c>
      <c r="G298" s="223" t="str">
        <f t="shared" si="8"/>
        <v>sin dato</v>
      </c>
      <c r="H298" s="222" t="str">
        <f t="shared" si="9"/>
        <v>999</v>
      </c>
    </row>
    <row r="299" spans="1:8" hidden="1">
      <c r="A299" s="87">
        <v>23117847</v>
      </c>
      <c r="B299" s="90" t="s">
        <v>226</v>
      </c>
      <c r="C299" s="90" t="s">
        <v>178</v>
      </c>
      <c r="D299" s="88" t="s">
        <v>8900</v>
      </c>
      <c r="E299" s="94">
        <v>45189</v>
      </c>
      <c r="F299" s="91" t="s">
        <v>6853</v>
      </c>
      <c r="G299" s="223">
        <f t="shared" si="8"/>
        <v>34</v>
      </c>
      <c r="H299" s="222">
        <f t="shared" si="9"/>
        <v>23117847</v>
      </c>
    </row>
    <row r="300" spans="1:8" hidden="1">
      <c r="A300" s="87">
        <v>39698182</v>
      </c>
      <c r="B300" s="90" t="s">
        <v>811</v>
      </c>
      <c r="C300" s="90" t="s">
        <v>9158</v>
      </c>
      <c r="D300" s="88" t="s">
        <v>8900</v>
      </c>
      <c r="E300" s="94">
        <v>45189</v>
      </c>
      <c r="F300" s="91" t="s">
        <v>6853</v>
      </c>
      <c r="G300" s="223" t="str">
        <f t="shared" si="8"/>
        <v>sin dato</v>
      </c>
      <c r="H300" s="222" t="str">
        <f t="shared" si="9"/>
        <v>999</v>
      </c>
    </row>
    <row r="301" spans="1:8" hidden="1">
      <c r="A301" s="87">
        <v>39146062</v>
      </c>
      <c r="B301" s="90" t="s">
        <v>6556</v>
      </c>
      <c r="C301" s="90" t="s">
        <v>1389</v>
      </c>
      <c r="D301" s="88" t="s">
        <v>8900</v>
      </c>
      <c r="E301" s="94">
        <v>45189</v>
      </c>
      <c r="F301" s="91" t="s">
        <v>6853</v>
      </c>
      <c r="G301" s="223" t="str">
        <f t="shared" si="8"/>
        <v>sin dato</v>
      </c>
      <c r="H301" s="222" t="str">
        <f t="shared" si="9"/>
        <v>999</v>
      </c>
    </row>
    <row r="302" spans="1:8" hidden="1">
      <c r="A302" s="87">
        <v>27961848</v>
      </c>
      <c r="B302" s="90" t="s">
        <v>9159</v>
      </c>
      <c r="C302" s="90" t="s">
        <v>7132</v>
      </c>
      <c r="D302" s="88" t="s">
        <v>8900</v>
      </c>
      <c r="E302" s="94">
        <v>45189</v>
      </c>
      <c r="F302" s="91" t="s">
        <v>9302</v>
      </c>
      <c r="G302" s="223" t="str">
        <f t="shared" si="8"/>
        <v>sin dato</v>
      </c>
      <c r="H302" s="222" t="str">
        <f t="shared" si="9"/>
        <v>999</v>
      </c>
    </row>
    <row r="303" spans="1:8" hidden="1">
      <c r="A303" s="87">
        <v>40357718</v>
      </c>
      <c r="B303" s="90" t="s">
        <v>5783</v>
      </c>
      <c r="C303" s="90" t="s">
        <v>2873</v>
      </c>
      <c r="D303" s="88" t="s">
        <v>8900</v>
      </c>
      <c r="E303" s="94">
        <v>45189</v>
      </c>
      <c r="F303" s="91" t="s">
        <v>6853</v>
      </c>
      <c r="G303" s="223" t="str">
        <f t="shared" si="8"/>
        <v>sin dato</v>
      </c>
      <c r="H303" s="222" t="str">
        <f t="shared" si="9"/>
        <v>999</v>
      </c>
    </row>
    <row r="304" spans="1:8" hidden="1">
      <c r="A304" s="87">
        <v>25444454</v>
      </c>
      <c r="B304" s="90" t="s">
        <v>355</v>
      </c>
      <c r="C304" s="90" t="s">
        <v>106</v>
      </c>
      <c r="D304" s="88" t="s">
        <v>8900</v>
      </c>
      <c r="E304" s="94">
        <v>45189</v>
      </c>
      <c r="F304" s="91" t="s">
        <v>6853</v>
      </c>
      <c r="G304" s="223" t="str">
        <f t="shared" si="8"/>
        <v>sin dato</v>
      </c>
      <c r="H304" s="222">
        <f t="shared" si="9"/>
        <v>25444454</v>
      </c>
    </row>
    <row r="305" spans="1:8" hidden="1">
      <c r="A305" s="87">
        <v>30759570</v>
      </c>
      <c r="B305" s="90" t="s">
        <v>2795</v>
      </c>
      <c r="C305" s="90" t="s">
        <v>9161</v>
      </c>
      <c r="D305" s="88" t="s">
        <v>8900</v>
      </c>
      <c r="E305" s="94">
        <v>45189</v>
      </c>
      <c r="F305" s="91" t="s">
        <v>6853</v>
      </c>
      <c r="G305" s="223" t="str">
        <f t="shared" si="8"/>
        <v>sin dato</v>
      </c>
      <c r="H305" s="222">
        <f t="shared" si="9"/>
        <v>30759570</v>
      </c>
    </row>
    <row r="306" spans="1:8" hidden="1">
      <c r="A306" s="87">
        <v>13066066</v>
      </c>
      <c r="B306" s="90" t="s">
        <v>2795</v>
      </c>
      <c r="C306" s="90" t="s">
        <v>9160</v>
      </c>
      <c r="D306" s="88" t="s">
        <v>8900</v>
      </c>
      <c r="E306" s="94">
        <v>45189</v>
      </c>
      <c r="F306" s="91" t="s">
        <v>9302</v>
      </c>
      <c r="G306" s="223" t="str">
        <f t="shared" si="8"/>
        <v>sin dato</v>
      </c>
      <c r="H306" s="222">
        <f t="shared" si="9"/>
        <v>13066066</v>
      </c>
    </row>
    <row r="307" spans="1:8" hidden="1">
      <c r="A307" s="87">
        <v>20178922</v>
      </c>
      <c r="B307" s="90" t="s">
        <v>5788</v>
      </c>
      <c r="C307" s="90" t="s">
        <v>5789</v>
      </c>
      <c r="D307" s="88" t="s">
        <v>8900</v>
      </c>
      <c r="E307" s="94">
        <v>45189</v>
      </c>
      <c r="F307" s="91" t="s">
        <v>6853</v>
      </c>
      <c r="G307" s="223" t="str">
        <f t="shared" si="8"/>
        <v>sin dato</v>
      </c>
      <c r="H307" s="222">
        <f t="shared" si="9"/>
        <v>20178922</v>
      </c>
    </row>
    <row r="308" spans="1:8" hidden="1">
      <c r="A308" s="87">
        <v>31426572</v>
      </c>
      <c r="B308" s="90" t="s">
        <v>6410</v>
      </c>
      <c r="C308" s="90" t="s">
        <v>9162</v>
      </c>
      <c r="D308" s="88" t="s">
        <v>8900</v>
      </c>
      <c r="E308" s="94">
        <v>45189</v>
      </c>
      <c r="F308" s="91" t="s">
        <v>6853</v>
      </c>
      <c r="G308" s="223" t="str">
        <f t="shared" si="8"/>
        <v>sin dato</v>
      </c>
      <c r="H308" s="222" t="str">
        <f t="shared" si="9"/>
        <v>999</v>
      </c>
    </row>
    <row r="309" spans="1:8" hidden="1">
      <c r="A309" s="87">
        <v>20174458</v>
      </c>
      <c r="B309" s="90" t="s">
        <v>2813</v>
      </c>
      <c r="C309" s="90" t="s">
        <v>7325</v>
      </c>
      <c r="D309" s="88" t="s">
        <v>8900</v>
      </c>
      <c r="E309" s="94">
        <v>45189</v>
      </c>
      <c r="F309" s="91" t="s">
        <v>9302</v>
      </c>
      <c r="G309" s="223" t="str">
        <f t="shared" si="8"/>
        <v>sin dato</v>
      </c>
      <c r="H309" s="222" t="str">
        <f t="shared" si="9"/>
        <v>999</v>
      </c>
    </row>
    <row r="310" spans="1:8" hidden="1">
      <c r="A310" s="87">
        <v>21742857</v>
      </c>
      <c r="B310" s="93" t="s">
        <v>9233</v>
      </c>
      <c r="C310" s="93" t="s">
        <v>9235</v>
      </c>
      <c r="D310" s="88" t="s">
        <v>8900</v>
      </c>
      <c r="E310" s="94">
        <v>45183</v>
      </c>
      <c r="F310" s="91" t="s">
        <v>9302</v>
      </c>
      <c r="G310" s="223" t="str">
        <f t="shared" si="8"/>
        <v>sin dato</v>
      </c>
      <c r="H310" s="222" t="str">
        <f t="shared" si="9"/>
        <v>999</v>
      </c>
    </row>
    <row r="311" spans="1:8" hidden="1">
      <c r="A311" s="87">
        <v>41959554</v>
      </c>
      <c r="B311" s="93" t="s">
        <v>3958</v>
      </c>
      <c r="C311" s="93" t="s">
        <v>9232</v>
      </c>
      <c r="D311" s="88" t="s">
        <v>8900</v>
      </c>
      <c r="E311" s="94">
        <v>45183</v>
      </c>
      <c r="F311" s="91" t="s">
        <v>6853</v>
      </c>
      <c r="G311" s="223" t="str">
        <f t="shared" si="8"/>
        <v>sin dato</v>
      </c>
      <c r="H311" s="222" t="str">
        <f t="shared" si="9"/>
        <v>999</v>
      </c>
    </row>
    <row r="312" spans="1:8" hidden="1">
      <c r="A312" s="87">
        <v>18433364</v>
      </c>
      <c r="B312" s="93" t="s">
        <v>9233</v>
      </c>
      <c r="C312" s="93" t="s">
        <v>9234</v>
      </c>
      <c r="D312" s="88" t="s">
        <v>8900</v>
      </c>
      <c r="E312" s="94">
        <v>45183</v>
      </c>
      <c r="F312" s="91" t="s">
        <v>6853</v>
      </c>
      <c r="G312" s="223" t="str">
        <f t="shared" si="8"/>
        <v>sin dato</v>
      </c>
      <c r="H312" s="222" t="str">
        <f t="shared" si="9"/>
        <v>999</v>
      </c>
    </row>
    <row r="313" spans="1:8" hidden="1">
      <c r="A313" s="87">
        <v>17377993</v>
      </c>
      <c r="B313" s="93" t="s">
        <v>9233</v>
      </c>
      <c r="C313" s="93" t="s">
        <v>9236</v>
      </c>
      <c r="D313" s="88" t="s">
        <v>8900</v>
      </c>
      <c r="E313" s="94">
        <v>45183</v>
      </c>
      <c r="F313" s="91" t="s">
        <v>6853</v>
      </c>
      <c r="G313" s="223" t="str">
        <f t="shared" si="8"/>
        <v>sin dato</v>
      </c>
      <c r="H313" s="222" t="str">
        <f t="shared" si="9"/>
        <v>999</v>
      </c>
    </row>
    <row r="314" spans="1:8" hidden="1">
      <c r="A314" s="87">
        <v>18433363</v>
      </c>
      <c r="B314" s="90" t="s">
        <v>9237</v>
      </c>
      <c r="C314" s="90" t="s">
        <v>9238</v>
      </c>
      <c r="D314" s="88" t="s">
        <v>8900</v>
      </c>
      <c r="E314" s="94">
        <v>45183</v>
      </c>
      <c r="F314" s="91" t="s">
        <v>6853</v>
      </c>
      <c r="G314" s="223" t="str">
        <f t="shared" si="8"/>
        <v>sin dato</v>
      </c>
      <c r="H314" s="222" t="str">
        <f t="shared" si="9"/>
        <v>999</v>
      </c>
    </row>
    <row r="315" spans="1:8" hidden="1">
      <c r="A315" s="87">
        <v>16039432</v>
      </c>
      <c r="B315" s="93" t="s">
        <v>9239</v>
      </c>
      <c r="C315" s="93" t="s">
        <v>9240</v>
      </c>
      <c r="D315" s="88" t="s">
        <v>8900</v>
      </c>
      <c r="E315" s="94">
        <v>45183</v>
      </c>
      <c r="F315" s="91" t="s">
        <v>6853</v>
      </c>
      <c r="G315" s="223" t="str">
        <f t="shared" si="8"/>
        <v>sin dato</v>
      </c>
      <c r="H315" s="222" t="str">
        <f t="shared" si="9"/>
        <v>999</v>
      </c>
    </row>
    <row r="316" spans="1:8" hidden="1">
      <c r="A316" s="87">
        <v>22332032</v>
      </c>
      <c r="B316" s="90" t="s">
        <v>9241</v>
      </c>
      <c r="C316" s="90" t="s">
        <v>9242</v>
      </c>
      <c r="D316" s="88" t="s">
        <v>8900</v>
      </c>
      <c r="E316" s="94">
        <v>45183</v>
      </c>
      <c r="F316" s="91" t="s">
        <v>6853</v>
      </c>
      <c r="G316" s="223" t="str">
        <f t="shared" si="8"/>
        <v>sin dato</v>
      </c>
      <c r="H316" s="222" t="str">
        <f t="shared" si="9"/>
        <v>999</v>
      </c>
    </row>
    <row r="317" spans="1:8" hidden="1">
      <c r="A317" s="87">
        <v>22031716</v>
      </c>
      <c r="B317" s="90" t="s">
        <v>9243</v>
      </c>
      <c r="C317" s="90" t="s">
        <v>9244</v>
      </c>
      <c r="D317" s="88" t="s">
        <v>8900</v>
      </c>
      <c r="E317" s="94">
        <v>45183</v>
      </c>
      <c r="F317" s="91" t="s">
        <v>6853</v>
      </c>
      <c r="G317" s="223" t="str">
        <f t="shared" si="8"/>
        <v>sin dato</v>
      </c>
      <c r="H317" s="222" t="str">
        <f t="shared" si="9"/>
        <v>999</v>
      </c>
    </row>
    <row r="318" spans="1:8" hidden="1">
      <c r="A318" s="87">
        <v>25198924</v>
      </c>
      <c r="B318" s="90" t="s">
        <v>9245</v>
      </c>
      <c r="C318" s="90" t="s">
        <v>9246</v>
      </c>
      <c r="D318" s="88" t="s">
        <v>8900</v>
      </c>
      <c r="E318" s="94">
        <v>45183</v>
      </c>
      <c r="F318" s="91" t="s">
        <v>6853</v>
      </c>
      <c r="G318" s="223" t="str">
        <f t="shared" si="8"/>
        <v>sin dato</v>
      </c>
      <c r="H318" s="222" t="str">
        <f t="shared" si="9"/>
        <v>999</v>
      </c>
    </row>
    <row r="319" spans="1:8" hidden="1">
      <c r="A319" s="87">
        <v>20311140</v>
      </c>
      <c r="B319" s="93" t="s">
        <v>9247</v>
      </c>
      <c r="C319" s="93" t="s">
        <v>9248</v>
      </c>
      <c r="D319" s="88" t="s">
        <v>8900</v>
      </c>
      <c r="E319" s="94">
        <v>45183</v>
      </c>
      <c r="F319" s="91" t="s">
        <v>6853</v>
      </c>
      <c r="G319" s="223">
        <f t="shared" si="8"/>
        <v>17</v>
      </c>
      <c r="H319" s="222">
        <f t="shared" si="9"/>
        <v>20311140</v>
      </c>
    </row>
    <row r="320" spans="1:8" hidden="1">
      <c r="A320" s="87">
        <v>22332403</v>
      </c>
      <c r="B320" s="90" t="s">
        <v>8849</v>
      </c>
      <c r="C320" s="90" t="s">
        <v>8850</v>
      </c>
      <c r="D320" s="88" t="s">
        <v>7018</v>
      </c>
      <c r="E320" s="94">
        <v>45180</v>
      </c>
      <c r="F320" s="91" t="s">
        <v>9302</v>
      </c>
      <c r="G320" s="223">
        <f t="shared" si="8"/>
        <v>1</v>
      </c>
      <c r="H320" s="222">
        <f t="shared" si="9"/>
        <v>22332403</v>
      </c>
    </row>
    <row r="321" spans="1:8" hidden="1">
      <c r="A321" s="87">
        <v>22664008</v>
      </c>
      <c r="B321" s="90" t="s">
        <v>8851</v>
      </c>
      <c r="C321" s="90" t="s">
        <v>7537</v>
      </c>
      <c r="D321" s="88" t="s">
        <v>7018</v>
      </c>
      <c r="E321" s="94">
        <v>45180</v>
      </c>
      <c r="F321" s="91" t="s">
        <v>6853</v>
      </c>
      <c r="G321" s="223">
        <f t="shared" si="8"/>
        <v>1</v>
      </c>
      <c r="H321" s="222">
        <f t="shared" si="9"/>
        <v>22664008</v>
      </c>
    </row>
    <row r="322" spans="1:8" hidden="1">
      <c r="A322" s="87">
        <v>32201492</v>
      </c>
      <c r="B322" s="90" t="s">
        <v>8852</v>
      </c>
      <c r="C322" s="90" t="s">
        <v>8854</v>
      </c>
      <c r="D322" s="88" t="s">
        <v>7018</v>
      </c>
      <c r="E322" s="94">
        <v>45180</v>
      </c>
      <c r="F322" s="91" t="s">
        <v>6853</v>
      </c>
      <c r="G322" s="223">
        <f t="shared" ref="G322:G385" si="10">IFERROR(INDEX(unidad,MATCH(VLOOKUP(A322,alum,9,0),unidad2,0),1),"sin dato")</f>
        <v>17</v>
      </c>
      <c r="H322" s="222">
        <f t="shared" ref="H322:H385" si="11">IFERROR(VLOOKUP(A322,alum,1,0),"999")</f>
        <v>32201492</v>
      </c>
    </row>
    <row r="323" spans="1:8" hidden="1">
      <c r="A323" s="87">
        <v>37456182</v>
      </c>
      <c r="B323" s="90" t="s">
        <v>8852</v>
      </c>
      <c r="C323" s="90" t="s">
        <v>8853</v>
      </c>
      <c r="D323" s="88" t="s">
        <v>7018</v>
      </c>
      <c r="E323" s="94">
        <v>45180</v>
      </c>
      <c r="F323" s="91" t="s">
        <v>6853</v>
      </c>
      <c r="G323" s="223" t="str">
        <f t="shared" si="10"/>
        <v>sin dato</v>
      </c>
      <c r="H323" s="222" t="str">
        <f t="shared" si="11"/>
        <v>999</v>
      </c>
    </row>
    <row r="324" spans="1:8" hidden="1">
      <c r="A324" s="87">
        <v>17866738</v>
      </c>
      <c r="B324" s="90" t="s">
        <v>6898</v>
      </c>
      <c r="C324" s="90" t="s">
        <v>6899</v>
      </c>
      <c r="D324" s="88" t="s">
        <v>7018</v>
      </c>
      <c r="E324" s="94">
        <v>45180</v>
      </c>
      <c r="F324" s="91" t="s">
        <v>9302</v>
      </c>
      <c r="G324" s="223" t="str">
        <f t="shared" si="10"/>
        <v>sin dato</v>
      </c>
      <c r="H324" s="222">
        <f t="shared" si="11"/>
        <v>17866738</v>
      </c>
    </row>
    <row r="325" spans="1:8" hidden="1">
      <c r="A325" s="87">
        <v>26982291</v>
      </c>
      <c r="B325" s="93" t="s">
        <v>8078</v>
      </c>
      <c r="C325" s="93" t="s">
        <v>8295</v>
      </c>
      <c r="D325" s="88" t="s">
        <v>7018</v>
      </c>
      <c r="E325" s="94">
        <v>45180</v>
      </c>
      <c r="F325" s="91" t="s">
        <v>9302</v>
      </c>
      <c r="G325" s="223">
        <f t="shared" si="10"/>
        <v>16</v>
      </c>
      <c r="H325" s="222">
        <f t="shared" si="11"/>
        <v>26982291</v>
      </c>
    </row>
    <row r="326" spans="1:8" hidden="1">
      <c r="A326" s="87">
        <v>27224695</v>
      </c>
      <c r="B326" s="90" t="s">
        <v>7615</v>
      </c>
      <c r="C326" s="90" t="s">
        <v>8855</v>
      </c>
      <c r="D326" s="88" t="s">
        <v>7018</v>
      </c>
      <c r="E326" s="94">
        <v>45180</v>
      </c>
      <c r="F326" s="91" t="s">
        <v>6853</v>
      </c>
      <c r="G326" s="223">
        <f t="shared" si="10"/>
        <v>12</v>
      </c>
      <c r="H326" s="222">
        <f t="shared" si="11"/>
        <v>27224695</v>
      </c>
    </row>
    <row r="327" spans="1:8" hidden="1">
      <c r="A327" s="87">
        <v>33139225</v>
      </c>
      <c r="B327" s="90" t="s">
        <v>8856</v>
      </c>
      <c r="C327" s="90" t="s">
        <v>8857</v>
      </c>
      <c r="D327" s="88" t="s">
        <v>7018</v>
      </c>
      <c r="E327" s="94">
        <v>45180</v>
      </c>
      <c r="F327" s="91" t="s">
        <v>9302</v>
      </c>
      <c r="G327" s="223">
        <f t="shared" si="10"/>
        <v>11</v>
      </c>
      <c r="H327" s="222">
        <f t="shared" si="11"/>
        <v>33139225</v>
      </c>
    </row>
    <row r="328" spans="1:8" hidden="1">
      <c r="A328" s="87">
        <v>29024358</v>
      </c>
      <c r="B328" s="101" t="s">
        <v>8858</v>
      </c>
      <c r="C328" s="101" t="s">
        <v>7399</v>
      </c>
      <c r="D328" s="88" t="s">
        <v>7018</v>
      </c>
      <c r="E328" s="94">
        <v>45180</v>
      </c>
      <c r="F328" s="91" t="s">
        <v>6853</v>
      </c>
      <c r="G328" s="223">
        <f t="shared" si="10"/>
        <v>17</v>
      </c>
      <c r="H328" s="222">
        <f t="shared" si="11"/>
        <v>29024358</v>
      </c>
    </row>
    <row r="329" spans="1:8" hidden="1">
      <c r="A329" s="87">
        <v>34953481</v>
      </c>
      <c r="B329" s="90" t="s">
        <v>7499</v>
      </c>
      <c r="C329" s="90" t="s">
        <v>8859</v>
      </c>
      <c r="D329" s="88" t="s">
        <v>7018</v>
      </c>
      <c r="E329" s="94">
        <v>45180</v>
      </c>
      <c r="F329" s="91" t="s">
        <v>6853</v>
      </c>
      <c r="G329" s="223">
        <f t="shared" si="10"/>
        <v>19</v>
      </c>
      <c r="H329" s="222">
        <f t="shared" si="11"/>
        <v>34953481</v>
      </c>
    </row>
    <row r="330" spans="1:8" hidden="1">
      <c r="A330" s="87">
        <v>32775540</v>
      </c>
      <c r="B330" s="90" t="s">
        <v>8860</v>
      </c>
      <c r="C330" s="90" t="s">
        <v>7521</v>
      </c>
      <c r="D330" s="88" t="s">
        <v>7018</v>
      </c>
      <c r="E330" s="94">
        <v>45180</v>
      </c>
      <c r="F330" s="91" t="s">
        <v>9302</v>
      </c>
      <c r="G330" s="223">
        <f t="shared" si="10"/>
        <v>15</v>
      </c>
      <c r="H330" s="222">
        <f t="shared" si="11"/>
        <v>32775540</v>
      </c>
    </row>
    <row r="331" spans="1:8" hidden="1">
      <c r="A331" s="87">
        <v>32853368</v>
      </c>
      <c r="B331" s="93" t="s">
        <v>7516</v>
      </c>
      <c r="C331" s="93" t="s">
        <v>7517</v>
      </c>
      <c r="D331" s="88" t="s">
        <v>7018</v>
      </c>
      <c r="E331" s="94">
        <v>45180</v>
      </c>
      <c r="F331" s="91" t="s">
        <v>9302</v>
      </c>
      <c r="G331" s="223">
        <f t="shared" si="10"/>
        <v>2</v>
      </c>
      <c r="H331" s="222">
        <f t="shared" si="11"/>
        <v>32853368</v>
      </c>
    </row>
    <row r="332" spans="1:8" hidden="1">
      <c r="A332" s="87">
        <v>31425836</v>
      </c>
      <c r="B332" s="90" t="s">
        <v>6926</v>
      </c>
      <c r="C332" s="90" t="s">
        <v>7304</v>
      </c>
      <c r="D332" s="88" t="s">
        <v>7018</v>
      </c>
      <c r="E332" s="94">
        <v>45180</v>
      </c>
      <c r="F332" s="91" t="s">
        <v>6853</v>
      </c>
      <c r="G332" s="223">
        <f t="shared" si="10"/>
        <v>30</v>
      </c>
      <c r="H332" s="222">
        <f t="shared" si="11"/>
        <v>31425836</v>
      </c>
    </row>
    <row r="333" spans="1:8" hidden="1">
      <c r="A333" s="87">
        <v>27944887</v>
      </c>
      <c r="B333" s="90" t="s">
        <v>8846</v>
      </c>
      <c r="C333" s="90" t="s">
        <v>8847</v>
      </c>
      <c r="D333" s="88" t="s">
        <v>7018</v>
      </c>
      <c r="E333" s="94">
        <v>45180</v>
      </c>
      <c r="F333" s="91" t="s">
        <v>9302</v>
      </c>
      <c r="G333" s="223">
        <f t="shared" si="10"/>
        <v>73</v>
      </c>
      <c r="H333" s="222">
        <f t="shared" si="11"/>
        <v>27944887</v>
      </c>
    </row>
    <row r="334" spans="1:8" hidden="1">
      <c r="A334" s="87">
        <v>31173838</v>
      </c>
      <c r="B334" s="90" t="s">
        <v>1032</v>
      </c>
      <c r="C334" s="90" t="s">
        <v>9249</v>
      </c>
      <c r="D334" s="88" t="s">
        <v>8900</v>
      </c>
      <c r="E334" s="94">
        <v>45092</v>
      </c>
      <c r="F334" s="91" t="s">
        <v>6853</v>
      </c>
      <c r="G334" s="223">
        <f t="shared" si="10"/>
        <v>17</v>
      </c>
      <c r="H334" s="222">
        <f t="shared" si="11"/>
        <v>31173838</v>
      </c>
    </row>
    <row r="335" spans="1:8" hidden="1">
      <c r="A335" s="87">
        <v>34201512</v>
      </c>
      <c r="B335" s="90" t="s">
        <v>5838</v>
      </c>
      <c r="C335" s="90" t="s">
        <v>9250</v>
      </c>
      <c r="D335" s="88" t="s">
        <v>8900</v>
      </c>
      <c r="E335" s="94">
        <v>45092</v>
      </c>
      <c r="F335" s="91" t="s">
        <v>6853</v>
      </c>
      <c r="G335" s="223">
        <f t="shared" si="10"/>
        <v>17</v>
      </c>
      <c r="H335" s="222">
        <f t="shared" si="11"/>
        <v>34201512</v>
      </c>
    </row>
    <row r="336" spans="1:8" hidden="1">
      <c r="A336" s="87">
        <v>20219678</v>
      </c>
      <c r="B336" s="90" t="s">
        <v>116</v>
      </c>
      <c r="C336" s="90" t="s">
        <v>2753</v>
      </c>
      <c r="D336" s="88" t="s">
        <v>8900</v>
      </c>
      <c r="E336" s="94">
        <v>45092</v>
      </c>
      <c r="F336" s="91" t="s">
        <v>6853</v>
      </c>
      <c r="G336" s="223">
        <f t="shared" si="10"/>
        <v>17</v>
      </c>
      <c r="H336" s="222">
        <f t="shared" si="11"/>
        <v>20219678</v>
      </c>
    </row>
    <row r="337" spans="1:8" hidden="1">
      <c r="A337" s="87">
        <v>26898681</v>
      </c>
      <c r="B337" s="90" t="s">
        <v>288</v>
      </c>
      <c r="C337" s="90" t="s">
        <v>1539</v>
      </c>
      <c r="D337" s="88" t="s">
        <v>8900</v>
      </c>
      <c r="E337" s="94">
        <v>45092</v>
      </c>
      <c r="F337" s="91" t="s">
        <v>6853</v>
      </c>
      <c r="G337" s="223">
        <f t="shared" si="10"/>
        <v>17</v>
      </c>
      <c r="H337" s="222">
        <f t="shared" si="11"/>
        <v>26898681</v>
      </c>
    </row>
    <row r="338" spans="1:8" hidden="1">
      <c r="A338" s="87">
        <v>20759167</v>
      </c>
      <c r="B338" s="90" t="s">
        <v>9251</v>
      </c>
      <c r="C338" s="90" t="s">
        <v>27</v>
      </c>
      <c r="D338" s="88" t="s">
        <v>8900</v>
      </c>
      <c r="E338" s="94">
        <v>45092</v>
      </c>
      <c r="F338" s="91" t="s">
        <v>6853</v>
      </c>
      <c r="G338" s="223" t="str">
        <f t="shared" si="10"/>
        <v>sin dato</v>
      </c>
      <c r="H338" s="222" t="str">
        <f t="shared" si="11"/>
        <v>999</v>
      </c>
    </row>
    <row r="339" spans="1:8" hidden="1">
      <c r="A339" s="87">
        <v>26783621</v>
      </c>
      <c r="B339" s="90" t="s">
        <v>428</v>
      </c>
      <c r="C339" s="90" t="s">
        <v>9252</v>
      </c>
      <c r="D339" s="88" t="s">
        <v>8900</v>
      </c>
      <c r="E339" s="94">
        <v>45092</v>
      </c>
      <c r="F339" s="91" t="s">
        <v>6853</v>
      </c>
      <c r="G339" s="223" t="str">
        <f t="shared" si="10"/>
        <v>sin dato</v>
      </c>
      <c r="H339" s="222" t="str">
        <f t="shared" si="11"/>
        <v>999</v>
      </c>
    </row>
    <row r="340" spans="1:8" hidden="1">
      <c r="A340" s="87">
        <v>34764834</v>
      </c>
      <c r="B340" s="90" t="s">
        <v>8861</v>
      </c>
      <c r="C340" s="90" t="s">
        <v>8862</v>
      </c>
      <c r="D340" s="88" t="s">
        <v>8900</v>
      </c>
      <c r="E340" s="94">
        <v>45038</v>
      </c>
      <c r="F340" s="91" t="s">
        <v>6853</v>
      </c>
      <c r="G340" s="223">
        <f t="shared" si="10"/>
        <v>17</v>
      </c>
      <c r="H340" s="222">
        <f t="shared" si="11"/>
        <v>34764834</v>
      </c>
    </row>
    <row r="341" spans="1:8" hidden="1">
      <c r="A341" s="87">
        <v>33541545</v>
      </c>
      <c r="B341" s="90" t="s">
        <v>8863</v>
      </c>
      <c r="C341" s="90" t="s">
        <v>8864</v>
      </c>
      <c r="D341" s="88" t="s">
        <v>8900</v>
      </c>
      <c r="E341" s="94">
        <v>45038</v>
      </c>
      <c r="F341" s="91" t="s">
        <v>6853</v>
      </c>
      <c r="G341" s="223">
        <f t="shared" si="10"/>
        <v>17</v>
      </c>
      <c r="H341" s="222">
        <f t="shared" si="11"/>
        <v>33541545</v>
      </c>
    </row>
    <row r="342" spans="1:8" hidden="1">
      <c r="A342" s="87">
        <v>31126876</v>
      </c>
      <c r="B342" s="90" t="s">
        <v>8865</v>
      </c>
      <c r="C342" s="90" t="s">
        <v>8866</v>
      </c>
      <c r="D342" s="88" t="s">
        <v>8900</v>
      </c>
      <c r="E342" s="94">
        <v>45038</v>
      </c>
      <c r="F342" s="91" t="s">
        <v>6853</v>
      </c>
      <c r="G342" s="223">
        <f t="shared" si="10"/>
        <v>17</v>
      </c>
      <c r="H342" s="222">
        <f t="shared" si="11"/>
        <v>31126876</v>
      </c>
    </row>
    <row r="343" spans="1:8" hidden="1">
      <c r="A343" s="87">
        <v>39141943</v>
      </c>
      <c r="B343" s="90" t="s">
        <v>8867</v>
      </c>
      <c r="C343" s="90" t="s">
        <v>8868</v>
      </c>
      <c r="D343" s="88" t="s">
        <v>8900</v>
      </c>
      <c r="E343" s="94">
        <v>45038</v>
      </c>
      <c r="F343" s="91" t="s">
        <v>6853</v>
      </c>
      <c r="G343" s="223" t="str">
        <f t="shared" si="10"/>
        <v>sin dato</v>
      </c>
      <c r="H343" s="222" t="str">
        <f t="shared" si="11"/>
        <v>999</v>
      </c>
    </row>
    <row r="344" spans="1:8" hidden="1">
      <c r="A344" s="87">
        <v>31173838</v>
      </c>
      <c r="B344" s="90" t="s">
        <v>7422</v>
      </c>
      <c r="C344" s="90" t="s">
        <v>8869</v>
      </c>
      <c r="D344" s="88" t="s">
        <v>8900</v>
      </c>
      <c r="E344" s="94">
        <v>45038</v>
      </c>
      <c r="F344" s="91" t="s">
        <v>9302</v>
      </c>
      <c r="G344" s="223">
        <f t="shared" si="10"/>
        <v>17</v>
      </c>
      <c r="H344" s="222">
        <f t="shared" si="11"/>
        <v>31173838</v>
      </c>
    </row>
    <row r="345" spans="1:8" hidden="1">
      <c r="A345" s="87">
        <v>40727252</v>
      </c>
      <c r="B345" s="90" t="s">
        <v>8870</v>
      </c>
      <c r="C345" s="90" t="s">
        <v>8871</v>
      </c>
      <c r="D345" s="88" t="s">
        <v>8900</v>
      </c>
      <c r="E345" s="94">
        <v>45038</v>
      </c>
      <c r="F345" s="91" t="s">
        <v>6853</v>
      </c>
      <c r="G345" s="223" t="str">
        <f t="shared" si="10"/>
        <v>sin dato</v>
      </c>
      <c r="H345" s="222" t="str">
        <f t="shared" si="11"/>
        <v>999</v>
      </c>
    </row>
    <row r="346" spans="1:8" hidden="1">
      <c r="A346" s="87">
        <v>34201512</v>
      </c>
      <c r="B346" s="90" t="s">
        <v>8872</v>
      </c>
      <c r="C346" s="90" t="s">
        <v>8873</v>
      </c>
      <c r="D346" s="88" t="s">
        <v>8900</v>
      </c>
      <c r="E346" s="94">
        <v>45038</v>
      </c>
      <c r="F346" s="91" t="s">
        <v>9302</v>
      </c>
      <c r="G346" s="223">
        <f t="shared" si="10"/>
        <v>17</v>
      </c>
      <c r="H346" s="222">
        <f t="shared" si="11"/>
        <v>34201512</v>
      </c>
    </row>
    <row r="347" spans="1:8" hidden="1">
      <c r="A347" s="87">
        <v>34659862</v>
      </c>
      <c r="B347" s="90" t="s">
        <v>8874</v>
      </c>
      <c r="C347" s="90" t="s">
        <v>8875</v>
      </c>
      <c r="D347" s="88" t="s">
        <v>8900</v>
      </c>
      <c r="E347" s="94">
        <v>45038</v>
      </c>
      <c r="F347" s="91" t="s">
        <v>6853</v>
      </c>
      <c r="G347" s="223">
        <f t="shared" si="10"/>
        <v>17</v>
      </c>
      <c r="H347" s="222">
        <f t="shared" si="11"/>
        <v>34659862</v>
      </c>
    </row>
    <row r="348" spans="1:8" hidden="1">
      <c r="A348" s="87">
        <v>20219678</v>
      </c>
      <c r="B348" s="90" t="s">
        <v>8876</v>
      </c>
      <c r="C348" s="90" t="s">
        <v>7532</v>
      </c>
      <c r="D348" s="88" t="s">
        <v>8900</v>
      </c>
      <c r="E348" s="94">
        <v>45038</v>
      </c>
      <c r="F348" s="91" t="s">
        <v>9302</v>
      </c>
      <c r="G348" s="223">
        <f t="shared" si="10"/>
        <v>17</v>
      </c>
      <c r="H348" s="222">
        <f t="shared" si="11"/>
        <v>20219678</v>
      </c>
    </row>
    <row r="349" spans="1:8" hidden="1">
      <c r="A349" s="87">
        <v>39360120</v>
      </c>
      <c r="B349" s="90" t="s">
        <v>8877</v>
      </c>
      <c r="C349" s="90" t="s">
        <v>8878</v>
      </c>
      <c r="D349" s="88" t="s">
        <v>8900</v>
      </c>
      <c r="E349" s="94">
        <v>45038</v>
      </c>
      <c r="F349" s="91" t="s">
        <v>9302</v>
      </c>
      <c r="G349" s="223" t="str">
        <f t="shared" si="10"/>
        <v>sin dato</v>
      </c>
      <c r="H349" s="222" t="str">
        <f t="shared" si="11"/>
        <v>999</v>
      </c>
    </row>
    <row r="350" spans="1:8" hidden="1">
      <c r="A350" s="87">
        <v>35920207</v>
      </c>
      <c r="B350" s="90" t="s">
        <v>8879</v>
      </c>
      <c r="C350" s="90" t="s">
        <v>8880</v>
      </c>
      <c r="D350" s="88" t="s">
        <v>8900</v>
      </c>
      <c r="E350" s="94">
        <v>45038</v>
      </c>
      <c r="F350" s="91" t="s">
        <v>6853</v>
      </c>
      <c r="G350" s="223" t="str">
        <f t="shared" si="10"/>
        <v>sin dato</v>
      </c>
      <c r="H350" s="222" t="str">
        <f t="shared" si="11"/>
        <v>999</v>
      </c>
    </row>
    <row r="351" spans="1:8" hidden="1">
      <c r="A351" s="87">
        <v>26898681</v>
      </c>
      <c r="B351" s="90" t="s">
        <v>8881</v>
      </c>
      <c r="C351" s="90" t="s">
        <v>8882</v>
      </c>
      <c r="D351" s="88" t="s">
        <v>8900</v>
      </c>
      <c r="E351" s="94">
        <v>45038</v>
      </c>
      <c r="F351" s="91" t="s">
        <v>9302</v>
      </c>
      <c r="G351" s="223">
        <f t="shared" si="10"/>
        <v>17</v>
      </c>
      <c r="H351" s="222">
        <f t="shared" si="11"/>
        <v>26898681</v>
      </c>
    </row>
    <row r="352" spans="1:8" hidden="1">
      <c r="A352" s="87">
        <v>35195065</v>
      </c>
      <c r="B352" s="90" t="s">
        <v>7512</v>
      </c>
      <c r="C352" s="90" t="s">
        <v>8883</v>
      </c>
      <c r="D352" s="88" t="s">
        <v>8900</v>
      </c>
      <c r="E352" s="94">
        <v>45038</v>
      </c>
      <c r="F352" s="91" t="s">
        <v>6853</v>
      </c>
      <c r="G352" s="223">
        <f t="shared" si="10"/>
        <v>17</v>
      </c>
      <c r="H352" s="222">
        <f t="shared" si="11"/>
        <v>35195065</v>
      </c>
    </row>
    <row r="353" spans="1:8" hidden="1">
      <c r="A353" s="87">
        <v>30690783</v>
      </c>
      <c r="B353" s="90" t="s">
        <v>8884</v>
      </c>
      <c r="C353" s="90" t="s">
        <v>8885</v>
      </c>
      <c r="D353" s="88" t="s">
        <v>8900</v>
      </c>
      <c r="E353" s="94">
        <v>45038</v>
      </c>
      <c r="F353" s="91" t="s">
        <v>6853</v>
      </c>
      <c r="G353" s="223">
        <f t="shared" si="10"/>
        <v>17</v>
      </c>
      <c r="H353" s="222">
        <f t="shared" si="11"/>
        <v>30690783</v>
      </c>
    </row>
    <row r="354" spans="1:8" hidden="1">
      <c r="A354" s="87">
        <v>20759167</v>
      </c>
      <c r="B354" s="90" t="s">
        <v>8886</v>
      </c>
      <c r="C354" s="90" t="s">
        <v>8295</v>
      </c>
      <c r="D354" s="88" t="s">
        <v>8900</v>
      </c>
      <c r="E354" s="94">
        <v>45038</v>
      </c>
      <c r="F354" s="91" t="s">
        <v>9302</v>
      </c>
      <c r="G354" s="223" t="str">
        <f t="shared" si="10"/>
        <v>sin dato</v>
      </c>
      <c r="H354" s="222" t="str">
        <f t="shared" si="11"/>
        <v>999</v>
      </c>
    </row>
    <row r="355" spans="1:8" hidden="1">
      <c r="A355" s="87">
        <v>39574805</v>
      </c>
      <c r="B355" s="90" t="s">
        <v>7727</v>
      </c>
      <c r="C355" s="90" t="s">
        <v>8887</v>
      </c>
      <c r="D355" s="88" t="s">
        <v>8900</v>
      </c>
      <c r="E355" s="94">
        <v>45038</v>
      </c>
      <c r="F355" s="91" t="s">
        <v>6853</v>
      </c>
      <c r="G355" s="223" t="str">
        <f t="shared" si="10"/>
        <v>sin dato</v>
      </c>
      <c r="H355" s="222" t="str">
        <f t="shared" si="11"/>
        <v>999</v>
      </c>
    </row>
    <row r="356" spans="1:8" hidden="1">
      <c r="A356" s="87">
        <v>26783621</v>
      </c>
      <c r="B356" s="90" t="s">
        <v>7520</v>
      </c>
      <c r="C356" s="90" t="s">
        <v>8888</v>
      </c>
      <c r="D356" s="88" t="s">
        <v>8900</v>
      </c>
      <c r="E356" s="94">
        <v>45038</v>
      </c>
      <c r="F356" s="91" t="s">
        <v>9302</v>
      </c>
      <c r="G356" s="223" t="str">
        <f t="shared" si="10"/>
        <v>sin dato</v>
      </c>
      <c r="H356" s="222" t="str">
        <f t="shared" si="11"/>
        <v>999</v>
      </c>
    </row>
    <row r="357" spans="1:8" hidden="1">
      <c r="A357" s="87">
        <v>36498608</v>
      </c>
      <c r="B357" s="90" t="s">
        <v>8889</v>
      </c>
      <c r="C357" s="90" t="s">
        <v>7747</v>
      </c>
      <c r="D357" s="88" t="s">
        <v>8900</v>
      </c>
      <c r="E357" s="94">
        <v>45038</v>
      </c>
      <c r="F357" s="91" t="s">
        <v>6853</v>
      </c>
      <c r="G357" s="223" t="str">
        <f t="shared" si="10"/>
        <v>sin dato</v>
      </c>
      <c r="H357" s="222" t="str">
        <f t="shared" si="11"/>
        <v>999</v>
      </c>
    </row>
    <row r="358" spans="1:8" hidden="1">
      <c r="A358" s="87">
        <v>40695788</v>
      </c>
      <c r="B358" s="90" t="s">
        <v>8890</v>
      </c>
      <c r="C358" s="90" t="s">
        <v>8891</v>
      </c>
      <c r="D358" s="88" t="s">
        <v>8900</v>
      </c>
      <c r="E358" s="94">
        <v>45038</v>
      </c>
      <c r="F358" s="91" t="s">
        <v>6853</v>
      </c>
      <c r="G358" s="223" t="str">
        <f t="shared" si="10"/>
        <v>sin dato</v>
      </c>
      <c r="H358" s="222" t="str">
        <f t="shared" si="11"/>
        <v>999</v>
      </c>
    </row>
    <row r="359" spans="1:8" hidden="1">
      <c r="A359" s="87">
        <v>35920586</v>
      </c>
      <c r="B359" s="90" t="s">
        <v>8892</v>
      </c>
      <c r="C359" s="90" t="s">
        <v>8893</v>
      </c>
      <c r="D359" s="88" t="s">
        <v>8900</v>
      </c>
      <c r="E359" s="94">
        <v>45038</v>
      </c>
      <c r="F359" s="91" t="s">
        <v>9302</v>
      </c>
      <c r="G359" s="223" t="str">
        <f t="shared" si="10"/>
        <v>sin dato</v>
      </c>
      <c r="H359" s="222" t="str">
        <f t="shared" si="11"/>
        <v>999</v>
      </c>
    </row>
    <row r="360" spans="1:8" hidden="1">
      <c r="A360" s="87">
        <v>34771893</v>
      </c>
      <c r="B360" s="90" t="s">
        <v>8894</v>
      </c>
      <c r="C360" s="90" t="s">
        <v>8895</v>
      </c>
      <c r="D360" s="88" t="s">
        <v>8900</v>
      </c>
      <c r="E360" s="94">
        <v>45038</v>
      </c>
      <c r="F360" s="91" t="s">
        <v>6853</v>
      </c>
      <c r="G360" s="223">
        <f t="shared" si="10"/>
        <v>17</v>
      </c>
      <c r="H360" s="222">
        <f t="shared" si="11"/>
        <v>34771893</v>
      </c>
    </row>
    <row r="361" spans="1:8" hidden="1">
      <c r="A361" s="87">
        <v>39477120</v>
      </c>
      <c r="B361" s="90" t="s">
        <v>8896</v>
      </c>
      <c r="C361" s="90" t="s">
        <v>8897</v>
      </c>
      <c r="D361" s="88" t="s">
        <v>8900</v>
      </c>
      <c r="E361" s="94">
        <v>45038</v>
      </c>
      <c r="F361" s="91" t="s">
        <v>9302</v>
      </c>
      <c r="G361" s="223" t="str">
        <f t="shared" si="10"/>
        <v>sin dato</v>
      </c>
      <c r="H361" s="222" t="str">
        <f t="shared" si="11"/>
        <v>999</v>
      </c>
    </row>
    <row r="362" spans="1:8" hidden="1">
      <c r="A362" s="87">
        <v>39481172</v>
      </c>
      <c r="B362" s="90" t="s">
        <v>8898</v>
      </c>
      <c r="C362" s="90" t="s">
        <v>8899</v>
      </c>
      <c r="D362" s="88" t="s">
        <v>8900</v>
      </c>
      <c r="E362" s="94">
        <v>45038</v>
      </c>
      <c r="F362" s="91" t="s">
        <v>9302</v>
      </c>
      <c r="G362" s="223" t="str">
        <f t="shared" si="10"/>
        <v>sin dato</v>
      </c>
      <c r="H362" s="222" t="str">
        <f t="shared" si="11"/>
        <v>999</v>
      </c>
    </row>
    <row r="363" spans="1:8" hidden="1">
      <c r="A363" s="87">
        <v>34764834</v>
      </c>
      <c r="B363" s="88" t="s">
        <v>8663</v>
      </c>
      <c r="C363" s="88" t="s">
        <v>8664</v>
      </c>
      <c r="D363" s="88" t="s">
        <v>8662</v>
      </c>
      <c r="E363" s="94">
        <v>45038</v>
      </c>
      <c r="F363" s="91"/>
      <c r="G363" s="223">
        <f t="shared" si="10"/>
        <v>17</v>
      </c>
      <c r="H363" s="222">
        <f t="shared" si="11"/>
        <v>34764834</v>
      </c>
    </row>
    <row r="364" spans="1:8" hidden="1">
      <c r="A364" s="87">
        <v>33541545</v>
      </c>
      <c r="B364" s="88" t="s">
        <v>8669</v>
      </c>
      <c r="C364" s="88" t="s">
        <v>8670</v>
      </c>
      <c r="D364" s="88" t="s">
        <v>8662</v>
      </c>
      <c r="E364" s="94">
        <v>45038</v>
      </c>
      <c r="F364" s="91"/>
      <c r="G364" s="223">
        <f t="shared" si="10"/>
        <v>17</v>
      </c>
      <c r="H364" s="222">
        <f t="shared" si="11"/>
        <v>33541545</v>
      </c>
    </row>
    <row r="365" spans="1:8" hidden="1">
      <c r="A365" s="87">
        <v>31126876</v>
      </c>
      <c r="B365" s="88" t="s">
        <v>8673</v>
      </c>
      <c r="C365" s="88" t="s">
        <v>8674</v>
      </c>
      <c r="D365" s="88" t="s">
        <v>8662</v>
      </c>
      <c r="E365" s="94">
        <v>45038</v>
      </c>
      <c r="F365" s="91"/>
      <c r="G365" s="223">
        <f t="shared" si="10"/>
        <v>17</v>
      </c>
      <c r="H365" s="222">
        <f t="shared" si="11"/>
        <v>31126876</v>
      </c>
    </row>
    <row r="366" spans="1:8" hidden="1">
      <c r="A366" s="87">
        <v>39141943</v>
      </c>
      <c r="B366" s="88" t="s">
        <v>8677</v>
      </c>
      <c r="C366" s="88" t="s">
        <v>8678</v>
      </c>
      <c r="D366" s="88" t="s">
        <v>8662</v>
      </c>
      <c r="E366" s="94">
        <v>45038</v>
      </c>
      <c r="F366" s="91"/>
      <c r="G366" s="223" t="str">
        <f t="shared" si="10"/>
        <v>sin dato</v>
      </c>
      <c r="H366" s="222" t="str">
        <f t="shared" si="11"/>
        <v>999</v>
      </c>
    </row>
    <row r="367" spans="1:8" hidden="1">
      <c r="A367" s="87">
        <v>40727252</v>
      </c>
      <c r="B367" s="88" t="s">
        <v>8681</v>
      </c>
      <c r="C367" s="88" t="s">
        <v>8682</v>
      </c>
      <c r="D367" s="88" t="s">
        <v>8662</v>
      </c>
      <c r="E367" s="94">
        <v>45038</v>
      </c>
      <c r="F367" s="91"/>
      <c r="G367" s="223" t="str">
        <f t="shared" si="10"/>
        <v>sin dato</v>
      </c>
      <c r="H367" s="222" t="str">
        <f t="shared" si="11"/>
        <v>999</v>
      </c>
    </row>
    <row r="368" spans="1:8" hidden="1">
      <c r="A368" s="87">
        <v>34659862</v>
      </c>
      <c r="B368" s="88" t="s">
        <v>8685</v>
      </c>
      <c r="C368" s="88" t="s">
        <v>8686</v>
      </c>
      <c r="D368" s="88" t="s">
        <v>8662</v>
      </c>
      <c r="E368" s="94">
        <v>45038</v>
      </c>
      <c r="F368" s="91"/>
      <c r="G368" s="223">
        <f t="shared" si="10"/>
        <v>17</v>
      </c>
      <c r="H368" s="222">
        <f t="shared" si="11"/>
        <v>34659862</v>
      </c>
    </row>
    <row r="369" spans="1:8" hidden="1">
      <c r="A369" s="87">
        <v>35920207</v>
      </c>
      <c r="B369" s="88" t="s">
        <v>8690</v>
      </c>
      <c r="C369" s="88" t="s">
        <v>1353</v>
      </c>
      <c r="D369" s="88" t="s">
        <v>8662</v>
      </c>
      <c r="E369" s="94">
        <v>45038</v>
      </c>
      <c r="F369" s="91"/>
      <c r="G369" s="223" t="str">
        <f t="shared" si="10"/>
        <v>sin dato</v>
      </c>
      <c r="H369" s="222" t="str">
        <f t="shared" si="11"/>
        <v>999</v>
      </c>
    </row>
    <row r="370" spans="1:8" hidden="1">
      <c r="A370" s="87">
        <v>35195065</v>
      </c>
      <c r="B370" s="88" t="s">
        <v>5082</v>
      </c>
      <c r="C370" s="88" t="s">
        <v>3421</v>
      </c>
      <c r="D370" s="88" t="s">
        <v>8662</v>
      </c>
      <c r="E370" s="94">
        <v>45038</v>
      </c>
      <c r="F370" s="91"/>
      <c r="G370" s="223">
        <f t="shared" si="10"/>
        <v>17</v>
      </c>
      <c r="H370" s="222">
        <f t="shared" si="11"/>
        <v>35195065</v>
      </c>
    </row>
    <row r="371" spans="1:8" hidden="1">
      <c r="A371" s="87">
        <v>30690783</v>
      </c>
      <c r="B371" s="88" t="s">
        <v>1166</v>
      </c>
      <c r="C371" s="88" t="s">
        <v>8694</v>
      </c>
      <c r="D371" s="88" t="s">
        <v>8662</v>
      </c>
      <c r="E371" s="94">
        <v>45038</v>
      </c>
      <c r="F371" s="91"/>
      <c r="G371" s="223">
        <f t="shared" si="10"/>
        <v>17</v>
      </c>
      <c r="H371" s="222">
        <f t="shared" si="11"/>
        <v>30690783</v>
      </c>
    </row>
    <row r="372" spans="1:8" hidden="1">
      <c r="A372" s="87">
        <v>39574805</v>
      </c>
      <c r="B372" s="88" t="s">
        <v>1793</v>
      </c>
      <c r="C372" s="88" t="s">
        <v>1555</v>
      </c>
      <c r="D372" s="88" t="s">
        <v>8662</v>
      </c>
      <c r="E372" s="94">
        <v>45038</v>
      </c>
      <c r="F372" s="91"/>
      <c r="G372" s="223" t="str">
        <f t="shared" si="10"/>
        <v>sin dato</v>
      </c>
      <c r="H372" s="222" t="str">
        <f t="shared" si="11"/>
        <v>999</v>
      </c>
    </row>
    <row r="373" spans="1:8" hidden="1">
      <c r="A373" s="87">
        <v>36498608</v>
      </c>
      <c r="B373" s="88" t="s">
        <v>8699</v>
      </c>
      <c r="C373" s="88" t="s">
        <v>2623</v>
      </c>
      <c r="D373" s="88" t="s">
        <v>8662</v>
      </c>
      <c r="E373" s="94">
        <v>45038</v>
      </c>
      <c r="F373" s="91"/>
      <c r="G373" s="223" t="str">
        <f t="shared" si="10"/>
        <v>sin dato</v>
      </c>
      <c r="H373" s="222" t="str">
        <f t="shared" si="11"/>
        <v>999</v>
      </c>
    </row>
    <row r="374" spans="1:8" hidden="1">
      <c r="A374" s="87">
        <v>40695788</v>
      </c>
      <c r="B374" s="88" t="s">
        <v>8703</v>
      </c>
      <c r="C374" s="88" t="s">
        <v>8704</v>
      </c>
      <c r="D374" s="88" t="s">
        <v>8662</v>
      </c>
      <c r="E374" s="94">
        <v>45038</v>
      </c>
      <c r="F374" s="91"/>
      <c r="G374" s="223" t="str">
        <f t="shared" si="10"/>
        <v>sin dato</v>
      </c>
      <c r="H374" s="222" t="str">
        <f t="shared" si="11"/>
        <v>999</v>
      </c>
    </row>
    <row r="375" spans="1:8" hidden="1">
      <c r="A375" s="87">
        <v>34771893</v>
      </c>
      <c r="B375" s="88" t="s">
        <v>8708</v>
      </c>
      <c r="C375" s="88" t="s">
        <v>8709</v>
      </c>
      <c r="D375" s="88" t="s">
        <v>8662</v>
      </c>
      <c r="E375" s="94">
        <v>45038</v>
      </c>
      <c r="F375" s="91"/>
      <c r="G375" s="223">
        <f t="shared" si="10"/>
        <v>17</v>
      </c>
      <c r="H375" s="222">
        <f t="shared" si="11"/>
        <v>34771893</v>
      </c>
    </row>
    <row r="376" spans="1:8" hidden="1">
      <c r="A376" s="87">
        <v>34133155</v>
      </c>
      <c r="B376" s="90" t="s">
        <v>8830</v>
      </c>
      <c r="C376" s="90" t="s">
        <v>7424</v>
      </c>
      <c r="D376" s="88" t="s">
        <v>8848</v>
      </c>
      <c r="E376" s="94">
        <v>45029</v>
      </c>
      <c r="F376" s="91" t="s">
        <v>6853</v>
      </c>
      <c r="G376" s="223">
        <f t="shared" si="10"/>
        <v>31</v>
      </c>
      <c r="H376" s="222">
        <f t="shared" si="11"/>
        <v>34133155</v>
      </c>
    </row>
    <row r="377" spans="1:8" hidden="1">
      <c r="A377" s="87">
        <v>21338746</v>
      </c>
      <c r="B377" s="90" t="s">
        <v>8831</v>
      </c>
      <c r="C377" s="90" t="s">
        <v>8832</v>
      </c>
      <c r="D377" s="88" t="s">
        <v>8848</v>
      </c>
      <c r="E377" s="94">
        <v>45029</v>
      </c>
      <c r="F377" s="91" t="s">
        <v>6853</v>
      </c>
      <c r="G377" s="223">
        <f t="shared" si="10"/>
        <v>22</v>
      </c>
      <c r="H377" s="222">
        <f t="shared" si="11"/>
        <v>21338746</v>
      </c>
    </row>
    <row r="378" spans="1:8" hidden="1">
      <c r="A378" s="87">
        <v>38741603</v>
      </c>
      <c r="B378" s="90" t="s">
        <v>8386</v>
      </c>
      <c r="C378" s="90" t="s">
        <v>8833</v>
      </c>
      <c r="D378" s="88" t="s">
        <v>8848</v>
      </c>
      <c r="E378" s="94">
        <v>45029</v>
      </c>
      <c r="F378" s="91" t="s">
        <v>6853</v>
      </c>
      <c r="G378" s="223" t="str">
        <f t="shared" si="10"/>
        <v>sin dato</v>
      </c>
      <c r="H378" s="222" t="str">
        <f t="shared" si="11"/>
        <v>999</v>
      </c>
    </row>
    <row r="379" spans="1:8" hidden="1">
      <c r="A379" s="87">
        <v>41144515</v>
      </c>
      <c r="B379" s="90" t="s">
        <v>7487</v>
      </c>
      <c r="C379" s="90" t="s">
        <v>8834</v>
      </c>
      <c r="D379" s="88" t="s">
        <v>8848</v>
      </c>
      <c r="E379" s="94">
        <v>45029</v>
      </c>
      <c r="F379" s="91" t="s">
        <v>9302</v>
      </c>
      <c r="G379" s="223" t="str">
        <f t="shared" si="10"/>
        <v>sin dato</v>
      </c>
      <c r="H379" s="222" t="str">
        <f t="shared" si="11"/>
        <v>999</v>
      </c>
    </row>
    <row r="380" spans="1:8" hidden="1">
      <c r="A380" s="87">
        <v>33163754</v>
      </c>
      <c r="B380" s="90" t="s">
        <v>8835</v>
      </c>
      <c r="C380" s="90" t="s">
        <v>8836</v>
      </c>
      <c r="D380" s="88" t="s">
        <v>8848</v>
      </c>
      <c r="E380" s="94">
        <v>45029</v>
      </c>
      <c r="F380" s="91" t="s">
        <v>9302</v>
      </c>
      <c r="G380" s="223">
        <f t="shared" si="10"/>
        <v>24</v>
      </c>
      <c r="H380" s="222">
        <f t="shared" si="11"/>
        <v>33163754</v>
      </c>
    </row>
    <row r="381" spans="1:8" hidden="1">
      <c r="A381" s="87">
        <v>37096982</v>
      </c>
      <c r="B381" s="90" t="s">
        <v>8837</v>
      </c>
      <c r="C381" s="90" t="s">
        <v>7403</v>
      </c>
      <c r="D381" s="88" t="s">
        <v>8848</v>
      </c>
      <c r="E381" s="94">
        <v>45029</v>
      </c>
      <c r="F381" s="91" t="s">
        <v>6853</v>
      </c>
      <c r="G381" s="223" t="str">
        <f t="shared" si="10"/>
        <v>sin dato</v>
      </c>
      <c r="H381" s="222" t="str">
        <f t="shared" si="11"/>
        <v>999</v>
      </c>
    </row>
    <row r="382" spans="1:8" hidden="1">
      <c r="A382" s="87">
        <v>18230668</v>
      </c>
      <c r="B382" s="90" t="s">
        <v>8838</v>
      </c>
      <c r="C382" s="90" t="s">
        <v>8839</v>
      </c>
      <c r="D382" s="88" t="s">
        <v>8848</v>
      </c>
      <c r="E382" s="94">
        <v>45029</v>
      </c>
      <c r="F382" s="91" t="s">
        <v>9302</v>
      </c>
      <c r="G382" s="223">
        <f t="shared" si="10"/>
        <v>17</v>
      </c>
      <c r="H382" s="222">
        <f t="shared" si="11"/>
        <v>18230668</v>
      </c>
    </row>
    <row r="383" spans="1:8" hidden="1">
      <c r="A383" s="87">
        <v>29640332</v>
      </c>
      <c r="B383" s="90" t="s">
        <v>8004</v>
      </c>
      <c r="C383" s="90" t="s">
        <v>8840</v>
      </c>
      <c r="D383" s="88" t="s">
        <v>8848</v>
      </c>
      <c r="E383" s="94">
        <v>45029</v>
      </c>
      <c r="F383" s="91" t="s">
        <v>9302</v>
      </c>
      <c r="G383" s="223">
        <f t="shared" si="10"/>
        <v>27</v>
      </c>
      <c r="H383" s="222">
        <f t="shared" si="11"/>
        <v>29640332</v>
      </c>
    </row>
    <row r="384" spans="1:8" hidden="1">
      <c r="A384" s="87">
        <v>23594913</v>
      </c>
      <c r="B384" s="90" t="s">
        <v>8841</v>
      </c>
      <c r="C384" s="90" t="s">
        <v>8842</v>
      </c>
      <c r="D384" s="88" t="s">
        <v>8848</v>
      </c>
      <c r="E384" s="94">
        <v>45029</v>
      </c>
      <c r="F384" s="91" t="s">
        <v>9302</v>
      </c>
      <c r="G384" s="223">
        <f t="shared" si="10"/>
        <v>25</v>
      </c>
      <c r="H384" s="222">
        <f t="shared" si="11"/>
        <v>23594913</v>
      </c>
    </row>
    <row r="385" spans="1:8" hidden="1">
      <c r="A385" s="87">
        <v>37309766</v>
      </c>
      <c r="B385" s="90" t="s">
        <v>7463</v>
      </c>
      <c r="C385" s="90" t="s">
        <v>8843</v>
      </c>
      <c r="D385" s="88" t="s">
        <v>8848</v>
      </c>
      <c r="E385" s="94">
        <v>45029</v>
      </c>
      <c r="F385" s="91" t="s">
        <v>9302</v>
      </c>
      <c r="G385" s="223" t="str">
        <f t="shared" si="10"/>
        <v>sin dato</v>
      </c>
      <c r="H385" s="222" t="str">
        <f t="shared" si="11"/>
        <v>999</v>
      </c>
    </row>
    <row r="386" spans="1:8" hidden="1">
      <c r="A386" s="87">
        <v>18465638</v>
      </c>
      <c r="B386" s="90" t="s">
        <v>8844</v>
      </c>
      <c r="C386" s="90" t="s">
        <v>3170</v>
      </c>
      <c r="D386" s="88" t="s">
        <v>8848</v>
      </c>
      <c r="E386" s="94">
        <v>45029</v>
      </c>
      <c r="F386" s="91" t="s">
        <v>9302</v>
      </c>
      <c r="G386" s="223">
        <f t="shared" ref="G386:G449" si="12">IFERROR(INDEX(unidad,MATCH(VLOOKUP(A386,alum,9,0),unidad2,0),1),"sin dato")</f>
        <v>21</v>
      </c>
      <c r="H386" s="222">
        <f t="shared" ref="H386:H449" si="13">IFERROR(VLOOKUP(A386,alum,1,0),"999")</f>
        <v>18465638</v>
      </c>
    </row>
    <row r="387" spans="1:8" hidden="1">
      <c r="A387" s="87">
        <v>22073620</v>
      </c>
      <c r="B387" s="90" t="s">
        <v>8845</v>
      </c>
      <c r="C387" s="90" t="s">
        <v>7481</v>
      </c>
      <c r="D387" s="88" t="s">
        <v>8848</v>
      </c>
      <c r="E387" s="94">
        <v>45029</v>
      </c>
      <c r="F387" s="91" t="s">
        <v>6853</v>
      </c>
      <c r="G387" s="223">
        <f t="shared" si="12"/>
        <v>14</v>
      </c>
      <c r="H387" s="222">
        <f t="shared" si="13"/>
        <v>22073620</v>
      </c>
    </row>
    <row r="388" spans="1:8" hidden="1">
      <c r="A388" s="87">
        <v>27944887</v>
      </c>
      <c r="B388" s="90" t="s">
        <v>8846</v>
      </c>
      <c r="C388" s="90" t="s">
        <v>8847</v>
      </c>
      <c r="D388" s="88" t="s">
        <v>8848</v>
      </c>
      <c r="E388" s="94">
        <v>45029</v>
      </c>
      <c r="F388" s="91" t="s">
        <v>9302</v>
      </c>
      <c r="G388" s="223">
        <f t="shared" si="12"/>
        <v>73</v>
      </c>
      <c r="H388" s="222">
        <f t="shared" si="13"/>
        <v>27944887</v>
      </c>
    </row>
    <row r="389" spans="1:8" hidden="1">
      <c r="A389" s="87">
        <v>36866428</v>
      </c>
      <c r="B389" s="90" t="s">
        <v>883</v>
      </c>
      <c r="C389" s="90" t="s">
        <v>1072</v>
      </c>
      <c r="D389" s="88" t="s">
        <v>8848</v>
      </c>
      <c r="E389" s="94">
        <v>45029</v>
      </c>
      <c r="F389" s="91" t="s">
        <v>9302</v>
      </c>
      <c r="G389" s="223" t="str">
        <f t="shared" si="12"/>
        <v>sin dato</v>
      </c>
      <c r="H389" s="222" t="str">
        <f t="shared" si="13"/>
        <v>999</v>
      </c>
    </row>
    <row r="390" spans="1:8" hidden="1">
      <c r="A390" s="87">
        <v>35523647</v>
      </c>
      <c r="B390" s="88" t="s">
        <v>8713</v>
      </c>
      <c r="C390" s="88" t="s">
        <v>8714</v>
      </c>
      <c r="D390" s="88" t="s">
        <v>8712</v>
      </c>
      <c r="E390" s="94">
        <v>45028</v>
      </c>
      <c r="F390" s="91"/>
      <c r="G390" s="223" t="str">
        <f t="shared" si="12"/>
        <v>sin dato</v>
      </c>
      <c r="H390" s="222" t="str">
        <f t="shared" si="13"/>
        <v>999</v>
      </c>
    </row>
    <row r="391" spans="1:8" hidden="1">
      <c r="A391" s="87">
        <v>20285028</v>
      </c>
      <c r="B391" s="88" t="s">
        <v>927</v>
      </c>
      <c r="C391" s="88" t="s">
        <v>4897</v>
      </c>
      <c r="D391" s="88" t="s">
        <v>8712</v>
      </c>
      <c r="E391" s="94">
        <v>45028</v>
      </c>
      <c r="F391" s="91"/>
      <c r="G391" s="223">
        <f t="shared" si="12"/>
        <v>14</v>
      </c>
      <c r="H391" s="222">
        <f t="shared" si="13"/>
        <v>20285028</v>
      </c>
    </row>
    <row r="392" spans="1:8" hidden="1">
      <c r="A392" s="87">
        <v>37497769</v>
      </c>
      <c r="B392" s="88" t="s">
        <v>797</v>
      </c>
      <c r="C392" s="88" t="s">
        <v>6819</v>
      </c>
      <c r="D392" s="88" t="s">
        <v>8712</v>
      </c>
      <c r="E392" s="94">
        <v>45028</v>
      </c>
      <c r="F392" s="91"/>
      <c r="G392" s="223" t="str">
        <f t="shared" si="12"/>
        <v>sin dato</v>
      </c>
      <c r="H392" s="222" t="str">
        <f t="shared" si="13"/>
        <v>999</v>
      </c>
    </row>
    <row r="393" spans="1:8" hidden="1">
      <c r="A393" s="87">
        <v>27732258</v>
      </c>
      <c r="B393" s="88" t="s">
        <v>1385</v>
      </c>
      <c r="C393" s="88" t="s">
        <v>74</v>
      </c>
      <c r="D393" s="88" t="s">
        <v>8712</v>
      </c>
      <c r="E393" s="94">
        <v>45028</v>
      </c>
      <c r="F393" s="91"/>
      <c r="G393" s="223">
        <f t="shared" si="12"/>
        <v>14</v>
      </c>
      <c r="H393" s="222">
        <f t="shared" si="13"/>
        <v>27732258</v>
      </c>
    </row>
    <row r="394" spans="1:8" hidden="1">
      <c r="A394" s="87">
        <v>27206952</v>
      </c>
      <c r="B394" s="88" t="s">
        <v>4643</v>
      </c>
      <c r="C394" s="88" t="s">
        <v>8717</v>
      </c>
      <c r="D394" s="88" t="s">
        <v>8712</v>
      </c>
      <c r="E394" s="94">
        <v>45028</v>
      </c>
      <c r="F394" s="91"/>
      <c r="G394" s="223">
        <f t="shared" si="12"/>
        <v>29</v>
      </c>
      <c r="H394" s="222">
        <f t="shared" si="13"/>
        <v>27206952</v>
      </c>
    </row>
    <row r="395" spans="1:8" hidden="1">
      <c r="A395" s="87">
        <v>35523647</v>
      </c>
      <c r="B395" s="89" t="s">
        <v>8812</v>
      </c>
      <c r="C395" s="89" t="s">
        <v>8813</v>
      </c>
      <c r="D395" s="88" t="s">
        <v>8829</v>
      </c>
      <c r="E395" s="94">
        <v>45028</v>
      </c>
      <c r="F395" s="91" t="s">
        <v>9302</v>
      </c>
      <c r="G395" s="223" t="str">
        <f t="shared" si="12"/>
        <v>sin dato</v>
      </c>
      <c r="H395" s="222" t="str">
        <f t="shared" si="13"/>
        <v>999</v>
      </c>
    </row>
    <row r="396" spans="1:8" hidden="1">
      <c r="A396" s="87">
        <v>20285028</v>
      </c>
      <c r="B396" s="89" t="s">
        <v>7583</v>
      </c>
      <c r="C396" s="89" t="s">
        <v>8814</v>
      </c>
      <c r="D396" s="88" t="s">
        <v>8829</v>
      </c>
      <c r="E396" s="94">
        <v>45028</v>
      </c>
      <c r="F396" s="91" t="s">
        <v>9302</v>
      </c>
      <c r="G396" s="223">
        <f t="shared" si="12"/>
        <v>14</v>
      </c>
      <c r="H396" s="222">
        <f t="shared" si="13"/>
        <v>20285028</v>
      </c>
    </row>
    <row r="397" spans="1:8" hidden="1">
      <c r="A397" s="87">
        <v>37497769</v>
      </c>
      <c r="B397" s="89" t="s">
        <v>8815</v>
      </c>
      <c r="C397" s="89" t="s">
        <v>8816</v>
      </c>
      <c r="D397" s="88" t="s">
        <v>8829</v>
      </c>
      <c r="E397" s="94">
        <v>45028</v>
      </c>
      <c r="F397" s="91" t="s">
        <v>9302</v>
      </c>
      <c r="G397" s="223" t="str">
        <f t="shared" si="12"/>
        <v>sin dato</v>
      </c>
      <c r="H397" s="222" t="str">
        <f t="shared" si="13"/>
        <v>999</v>
      </c>
    </row>
    <row r="398" spans="1:8" hidden="1">
      <c r="A398" s="87">
        <v>27732258</v>
      </c>
      <c r="B398" s="89" t="s">
        <v>8817</v>
      </c>
      <c r="C398" s="89" t="s">
        <v>8818</v>
      </c>
      <c r="D398" s="88" t="s">
        <v>8829</v>
      </c>
      <c r="E398" s="94">
        <v>45028</v>
      </c>
      <c r="F398" s="91" t="s">
        <v>9302</v>
      </c>
      <c r="G398" s="223">
        <f t="shared" si="12"/>
        <v>14</v>
      </c>
      <c r="H398" s="222">
        <f t="shared" si="13"/>
        <v>27732258</v>
      </c>
    </row>
    <row r="399" spans="1:8" hidden="1">
      <c r="A399" s="87">
        <v>25213563</v>
      </c>
      <c r="B399" s="89" t="s">
        <v>8078</v>
      </c>
      <c r="C399" s="89" t="s">
        <v>8819</v>
      </c>
      <c r="D399" s="88" t="s">
        <v>8829</v>
      </c>
      <c r="E399" s="94">
        <v>45028</v>
      </c>
      <c r="F399" s="91" t="s">
        <v>9302</v>
      </c>
      <c r="G399" s="223" t="str">
        <f t="shared" si="12"/>
        <v>sin dato</v>
      </c>
      <c r="H399" s="222">
        <f t="shared" si="13"/>
        <v>25213563</v>
      </c>
    </row>
    <row r="400" spans="1:8" hidden="1">
      <c r="A400" s="87">
        <v>36583989</v>
      </c>
      <c r="B400" s="89" t="s">
        <v>7990</v>
      </c>
      <c r="C400" s="89" t="s">
        <v>8820</v>
      </c>
      <c r="D400" s="88" t="s">
        <v>8829</v>
      </c>
      <c r="E400" s="94">
        <v>45028</v>
      </c>
      <c r="F400" s="91" t="s">
        <v>9302</v>
      </c>
      <c r="G400" s="223" t="str">
        <f t="shared" si="12"/>
        <v>sin dato</v>
      </c>
      <c r="H400" s="222" t="str">
        <f t="shared" si="13"/>
        <v>999</v>
      </c>
    </row>
    <row r="401" spans="1:8" hidden="1">
      <c r="A401" s="87">
        <v>22031835</v>
      </c>
      <c r="B401" s="89" t="s">
        <v>8821</v>
      </c>
      <c r="C401" s="89" t="s">
        <v>8822</v>
      </c>
      <c r="D401" s="88" t="s">
        <v>8829</v>
      </c>
      <c r="E401" s="94">
        <v>45028</v>
      </c>
      <c r="F401" s="91" t="s">
        <v>9302</v>
      </c>
      <c r="G401" s="223">
        <f t="shared" si="12"/>
        <v>11</v>
      </c>
      <c r="H401" s="222">
        <f t="shared" si="13"/>
        <v>22031835</v>
      </c>
    </row>
    <row r="402" spans="1:8" hidden="1">
      <c r="A402" s="87">
        <v>17458926</v>
      </c>
      <c r="B402" s="89" t="s">
        <v>8823</v>
      </c>
      <c r="C402" s="89" t="s">
        <v>8824</v>
      </c>
      <c r="D402" s="88" t="s">
        <v>8829</v>
      </c>
      <c r="E402" s="94">
        <v>45028</v>
      </c>
      <c r="F402" s="91" t="s">
        <v>9302</v>
      </c>
      <c r="G402" s="223">
        <f t="shared" si="12"/>
        <v>14</v>
      </c>
      <c r="H402" s="222">
        <f t="shared" si="13"/>
        <v>17458926</v>
      </c>
    </row>
    <row r="403" spans="1:8" hidden="1">
      <c r="A403" s="87">
        <v>26011505</v>
      </c>
      <c r="B403" s="89" t="s">
        <v>7853</v>
      </c>
      <c r="C403" s="89" t="s">
        <v>8825</v>
      </c>
      <c r="D403" s="88" t="s">
        <v>8829</v>
      </c>
      <c r="E403" s="94">
        <v>45028</v>
      </c>
      <c r="F403" s="91" t="s">
        <v>9302</v>
      </c>
      <c r="G403" s="223">
        <f t="shared" si="12"/>
        <v>9</v>
      </c>
      <c r="H403" s="222">
        <f t="shared" si="13"/>
        <v>26011505</v>
      </c>
    </row>
    <row r="404" spans="1:8" hidden="1">
      <c r="A404" s="87">
        <v>25214023</v>
      </c>
      <c r="B404" s="89" t="s">
        <v>6940</v>
      </c>
      <c r="C404" s="89" t="s">
        <v>8826</v>
      </c>
      <c r="D404" s="88" t="s">
        <v>8829</v>
      </c>
      <c r="E404" s="94">
        <v>45028</v>
      </c>
      <c r="F404" s="91" t="s">
        <v>9302</v>
      </c>
      <c r="G404" s="223" t="str">
        <f t="shared" si="12"/>
        <v>sin dato</v>
      </c>
      <c r="H404" s="222">
        <f t="shared" si="13"/>
        <v>25214023</v>
      </c>
    </row>
    <row r="405" spans="1:8" hidden="1">
      <c r="A405" s="87">
        <v>22181097</v>
      </c>
      <c r="B405" s="89" t="s">
        <v>8827</v>
      </c>
      <c r="C405" s="89" t="s">
        <v>8828</v>
      </c>
      <c r="D405" s="88" t="s">
        <v>8829</v>
      </c>
      <c r="E405" s="94">
        <v>45028</v>
      </c>
      <c r="F405" s="91" t="s">
        <v>9302</v>
      </c>
      <c r="G405" s="223">
        <f t="shared" si="12"/>
        <v>30</v>
      </c>
      <c r="H405" s="222">
        <f t="shared" si="13"/>
        <v>22181097</v>
      </c>
    </row>
    <row r="406" spans="1:8" hidden="1">
      <c r="A406" s="87">
        <v>27206952</v>
      </c>
      <c r="B406" s="89" t="s">
        <v>6924</v>
      </c>
      <c r="C406" s="89" t="s">
        <v>6925</v>
      </c>
      <c r="D406" s="88" t="s">
        <v>8829</v>
      </c>
      <c r="E406" s="94">
        <v>45028</v>
      </c>
      <c r="F406" s="91" t="s">
        <v>9302</v>
      </c>
      <c r="G406" s="223">
        <f t="shared" si="12"/>
        <v>29</v>
      </c>
      <c r="H406" s="222">
        <f t="shared" si="13"/>
        <v>27206952</v>
      </c>
    </row>
    <row r="407" spans="1:8" hidden="1">
      <c r="A407" s="87">
        <v>25444260</v>
      </c>
      <c r="B407" s="88" t="s">
        <v>1655</v>
      </c>
      <c r="C407" s="88" t="s">
        <v>3627</v>
      </c>
      <c r="D407" s="88" t="s">
        <v>8584</v>
      </c>
      <c r="E407" s="94">
        <v>44889</v>
      </c>
      <c r="F407" s="91" t="s">
        <v>7015</v>
      </c>
      <c r="G407" s="223">
        <f t="shared" si="12"/>
        <v>20</v>
      </c>
      <c r="H407" s="222">
        <f t="shared" si="13"/>
        <v>25444260</v>
      </c>
    </row>
    <row r="408" spans="1:8" hidden="1">
      <c r="A408" s="87">
        <v>32493293</v>
      </c>
      <c r="B408" s="88" t="s">
        <v>73</v>
      </c>
      <c r="C408" s="88" t="s">
        <v>74</v>
      </c>
      <c r="D408" s="88" t="s">
        <v>8584</v>
      </c>
      <c r="E408" s="94">
        <v>44889</v>
      </c>
      <c r="F408" s="91" t="s">
        <v>7015</v>
      </c>
      <c r="G408" s="223">
        <f t="shared" si="12"/>
        <v>11</v>
      </c>
      <c r="H408" s="222">
        <f t="shared" si="13"/>
        <v>32493293</v>
      </c>
    </row>
    <row r="409" spans="1:8" hidden="1">
      <c r="A409" s="87">
        <v>37497769</v>
      </c>
      <c r="B409" s="88" t="s">
        <v>797</v>
      </c>
      <c r="C409" s="88" t="s">
        <v>6819</v>
      </c>
      <c r="D409" s="88" t="s">
        <v>8584</v>
      </c>
      <c r="E409" s="94">
        <v>44889</v>
      </c>
      <c r="F409" s="91" t="s">
        <v>6853</v>
      </c>
      <c r="G409" s="223" t="str">
        <f t="shared" si="12"/>
        <v>sin dato</v>
      </c>
      <c r="H409" s="222" t="str">
        <f t="shared" si="13"/>
        <v>999</v>
      </c>
    </row>
    <row r="410" spans="1:8" hidden="1">
      <c r="A410" s="87">
        <v>28883092</v>
      </c>
      <c r="B410" s="88" t="s">
        <v>6813</v>
      </c>
      <c r="C410" s="88" t="s">
        <v>6814</v>
      </c>
      <c r="D410" s="88" t="s">
        <v>8584</v>
      </c>
      <c r="E410" s="94">
        <v>44889</v>
      </c>
      <c r="F410" s="91" t="s">
        <v>6853</v>
      </c>
      <c r="G410" s="223">
        <f t="shared" si="12"/>
        <v>11</v>
      </c>
      <c r="H410" s="222">
        <f t="shared" si="13"/>
        <v>28883092</v>
      </c>
    </row>
    <row r="411" spans="1:8" hidden="1">
      <c r="A411" s="87">
        <v>29533058</v>
      </c>
      <c r="B411" s="88" t="s">
        <v>146</v>
      </c>
      <c r="C411" s="88" t="s">
        <v>147</v>
      </c>
      <c r="D411" s="88" t="s">
        <v>8584</v>
      </c>
      <c r="E411" s="94">
        <v>44889</v>
      </c>
      <c r="F411" s="91" t="s">
        <v>7015</v>
      </c>
      <c r="G411" s="223">
        <f t="shared" si="12"/>
        <v>12</v>
      </c>
      <c r="H411" s="222">
        <f t="shared" si="13"/>
        <v>29533058</v>
      </c>
    </row>
    <row r="412" spans="1:8" hidden="1">
      <c r="A412" s="87">
        <v>32201492</v>
      </c>
      <c r="B412" s="88" t="s">
        <v>1512</v>
      </c>
      <c r="C412" s="88" t="s">
        <v>1513</v>
      </c>
      <c r="D412" s="88" t="s">
        <v>8584</v>
      </c>
      <c r="E412" s="94">
        <v>44889</v>
      </c>
      <c r="F412" s="91" t="s">
        <v>6853</v>
      </c>
      <c r="G412" s="223">
        <f t="shared" si="12"/>
        <v>17</v>
      </c>
      <c r="H412" s="222">
        <f t="shared" si="13"/>
        <v>32201492</v>
      </c>
    </row>
    <row r="413" spans="1:8" hidden="1">
      <c r="A413" s="87">
        <v>17858412</v>
      </c>
      <c r="B413" s="88" t="s">
        <v>6796</v>
      </c>
      <c r="C413" s="88" t="s">
        <v>1632</v>
      </c>
      <c r="D413" s="88" t="s">
        <v>8584</v>
      </c>
      <c r="E413" s="94">
        <v>44889</v>
      </c>
      <c r="F413" s="91" t="s">
        <v>7015</v>
      </c>
      <c r="G413" s="223">
        <f t="shared" si="12"/>
        <v>16</v>
      </c>
      <c r="H413" s="222">
        <f t="shared" si="13"/>
        <v>17858412</v>
      </c>
    </row>
    <row r="414" spans="1:8" hidden="1">
      <c r="A414" s="87">
        <v>27016351</v>
      </c>
      <c r="B414" s="88" t="s">
        <v>2026</v>
      </c>
      <c r="C414" s="88" t="s">
        <v>3662</v>
      </c>
      <c r="D414" s="88" t="s">
        <v>8584</v>
      </c>
      <c r="E414" s="94">
        <v>44889</v>
      </c>
      <c r="F414" s="91" t="s">
        <v>6853</v>
      </c>
      <c r="G414" s="223">
        <f t="shared" si="12"/>
        <v>22</v>
      </c>
      <c r="H414" s="222">
        <f t="shared" si="13"/>
        <v>27016351</v>
      </c>
    </row>
    <row r="415" spans="1:8" hidden="1">
      <c r="A415" s="87">
        <v>24926818</v>
      </c>
      <c r="B415" s="88" t="s">
        <v>2966</v>
      </c>
      <c r="C415" s="88" t="s">
        <v>6830</v>
      </c>
      <c r="D415" s="88" t="s">
        <v>8584</v>
      </c>
      <c r="E415" s="94">
        <v>44889</v>
      </c>
      <c r="F415" s="91" t="s">
        <v>7015</v>
      </c>
      <c r="G415" s="223">
        <f t="shared" si="12"/>
        <v>23</v>
      </c>
      <c r="H415" s="222">
        <f t="shared" si="13"/>
        <v>24926818</v>
      </c>
    </row>
    <row r="416" spans="1:8" hidden="1">
      <c r="A416" s="87">
        <v>26400395</v>
      </c>
      <c r="B416" s="88" t="s">
        <v>6807</v>
      </c>
      <c r="C416" s="88" t="s">
        <v>6808</v>
      </c>
      <c r="D416" s="88" t="s">
        <v>8584</v>
      </c>
      <c r="E416" s="94">
        <v>44889</v>
      </c>
      <c r="F416" s="91" t="s">
        <v>6853</v>
      </c>
      <c r="G416" s="223">
        <f t="shared" si="12"/>
        <v>17</v>
      </c>
      <c r="H416" s="222">
        <f t="shared" si="13"/>
        <v>26400395</v>
      </c>
    </row>
    <row r="417" spans="1:8" hidden="1">
      <c r="A417" s="87">
        <v>45124605</v>
      </c>
      <c r="B417" s="88" t="s">
        <v>6822</v>
      </c>
      <c r="C417" s="88" t="s">
        <v>1353</v>
      </c>
      <c r="D417" s="88" t="s">
        <v>8584</v>
      </c>
      <c r="E417" s="94">
        <v>44889</v>
      </c>
      <c r="F417" s="91" t="s">
        <v>7015</v>
      </c>
      <c r="G417" s="223" t="str">
        <f t="shared" si="12"/>
        <v>sin dato</v>
      </c>
      <c r="H417" s="222" t="str">
        <f t="shared" si="13"/>
        <v>999</v>
      </c>
    </row>
    <row r="418" spans="1:8" hidden="1">
      <c r="A418" s="87">
        <v>33139225</v>
      </c>
      <c r="B418" s="88" t="s">
        <v>267</v>
      </c>
      <c r="C418" s="88" t="s">
        <v>268</v>
      </c>
      <c r="D418" s="88" t="s">
        <v>8584</v>
      </c>
      <c r="E418" s="94">
        <v>44889</v>
      </c>
      <c r="F418" s="91" t="s">
        <v>7015</v>
      </c>
      <c r="G418" s="223">
        <f t="shared" si="12"/>
        <v>11</v>
      </c>
      <c r="H418" s="222">
        <f t="shared" si="13"/>
        <v>33139225</v>
      </c>
    </row>
    <row r="419" spans="1:8" hidden="1">
      <c r="A419" s="87">
        <v>34285844</v>
      </c>
      <c r="B419" s="88" t="s">
        <v>2081</v>
      </c>
      <c r="C419" s="88" t="s">
        <v>2082</v>
      </c>
      <c r="D419" s="88" t="s">
        <v>8584</v>
      </c>
      <c r="E419" s="94">
        <v>44889</v>
      </c>
      <c r="F419" s="91" t="s">
        <v>6853</v>
      </c>
      <c r="G419" s="223">
        <f t="shared" si="12"/>
        <v>16</v>
      </c>
      <c r="H419" s="222">
        <f t="shared" si="13"/>
        <v>34285844</v>
      </c>
    </row>
    <row r="420" spans="1:8" hidden="1">
      <c r="A420" s="87">
        <v>36583989</v>
      </c>
      <c r="B420" s="88" t="s">
        <v>2087</v>
      </c>
      <c r="C420" s="88" t="s">
        <v>6706</v>
      </c>
      <c r="D420" s="88" t="s">
        <v>8584</v>
      </c>
      <c r="E420" s="94">
        <v>44889</v>
      </c>
      <c r="F420" s="91" t="s">
        <v>7015</v>
      </c>
      <c r="G420" s="223" t="str">
        <f t="shared" si="12"/>
        <v>sin dato</v>
      </c>
      <c r="H420" s="222" t="str">
        <f t="shared" si="13"/>
        <v>999</v>
      </c>
    </row>
    <row r="421" spans="1:8" hidden="1">
      <c r="A421" s="87">
        <v>27944383</v>
      </c>
      <c r="B421" s="88" t="s">
        <v>863</v>
      </c>
      <c r="C421" s="88" t="s">
        <v>3294</v>
      </c>
      <c r="D421" s="88" t="s">
        <v>8584</v>
      </c>
      <c r="E421" s="94">
        <v>44889</v>
      </c>
      <c r="F421" s="91" t="s">
        <v>6853</v>
      </c>
      <c r="G421" s="223">
        <f t="shared" si="12"/>
        <v>22</v>
      </c>
      <c r="H421" s="222">
        <f t="shared" si="13"/>
        <v>27944383</v>
      </c>
    </row>
    <row r="422" spans="1:8" hidden="1">
      <c r="A422" s="87">
        <v>36049423</v>
      </c>
      <c r="B422" s="88" t="s">
        <v>311</v>
      </c>
      <c r="C422" s="88" t="s">
        <v>1801</v>
      </c>
      <c r="D422" s="88" t="s">
        <v>8584</v>
      </c>
      <c r="E422" s="94">
        <v>44889</v>
      </c>
      <c r="F422" s="91" t="s">
        <v>7015</v>
      </c>
      <c r="G422" s="223" t="str">
        <f t="shared" si="12"/>
        <v>sin dato</v>
      </c>
      <c r="H422" s="222" t="str">
        <f t="shared" si="13"/>
        <v>999</v>
      </c>
    </row>
    <row r="423" spans="1:8" hidden="1">
      <c r="A423" s="87">
        <v>28680958</v>
      </c>
      <c r="B423" s="88" t="s">
        <v>794</v>
      </c>
      <c r="C423" s="88" t="s">
        <v>2146</v>
      </c>
      <c r="D423" s="88" t="s">
        <v>8584</v>
      </c>
      <c r="E423" s="94">
        <v>44889</v>
      </c>
      <c r="F423" s="91" t="s">
        <v>6853</v>
      </c>
      <c r="G423" s="223">
        <f t="shared" si="12"/>
        <v>16</v>
      </c>
      <c r="H423" s="222">
        <f t="shared" si="13"/>
        <v>28680958</v>
      </c>
    </row>
    <row r="424" spans="1:8" hidden="1">
      <c r="A424" s="87">
        <v>38184153</v>
      </c>
      <c r="B424" s="88" t="s">
        <v>5082</v>
      </c>
      <c r="C424" s="88" t="s">
        <v>6840</v>
      </c>
      <c r="D424" s="88" t="s">
        <v>8584</v>
      </c>
      <c r="E424" s="94">
        <v>44889</v>
      </c>
      <c r="F424" s="91" t="s">
        <v>6853</v>
      </c>
      <c r="G424" s="223" t="str">
        <f t="shared" si="12"/>
        <v>sin dato</v>
      </c>
      <c r="H424" s="222" t="str">
        <f t="shared" si="13"/>
        <v>999</v>
      </c>
    </row>
    <row r="425" spans="1:8" hidden="1">
      <c r="A425" s="87">
        <v>23015469</v>
      </c>
      <c r="B425" s="88" t="s">
        <v>714</v>
      </c>
      <c r="C425" s="88" t="s">
        <v>715</v>
      </c>
      <c r="D425" s="88" t="s">
        <v>8584</v>
      </c>
      <c r="E425" s="94">
        <v>44889</v>
      </c>
      <c r="F425" s="91" t="s">
        <v>6853</v>
      </c>
      <c r="G425" s="223">
        <f t="shared" si="12"/>
        <v>13</v>
      </c>
      <c r="H425" s="222">
        <f t="shared" si="13"/>
        <v>23015469</v>
      </c>
    </row>
    <row r="426" spans="1:8" hidden="1">
      <c r="A426" s="87">
        <v>13771814</v>
      </c>
      <c r="B426" s="88" t="s">
        <v>6825</v>
      </c>
      <c r="C426" s="88" t="s">
        <v>6826</v>
      </c>
      <c r="D426" s="88" t="s">
        <v>8584</v>
      </c>
      <c r="E426" s="94">
        <v>44889</v>
      </c>
      <c r="F426" s="91" t="s">
        <v>6853</v>
      </c>
      <c r="G426" s="223">
        <f t="shared" si="12"/>
        <v>12</v>
      </c>
      <c r="H426" s="222">
        <f t="shared" si="13"/>
        <v>13771814</v>
      </c>
    </row>
    <row r="427" spans="1:8" hidden="1">
      <c r="A427" s="87">
        <v>29024358</v>
      </c>
      <c r="B427" s="88" t="s">
        <v>1574</v>
      </c>
      <c r="C427" s="88" t="s">
        <v>1575</v>
      </c>
      <c r="D427" s="88" t="s">
        <v>8584</v>
      </c>
      <c r="E427" s="94">
        <v>44889</v>
      </c>
      <c r="F427" s="91" t="s">
        <v>6853</v>
      </c>
      <c r="G427" s="223">
        <f t="shared" si="12"/>
        <v>17</v>
      </c>
      <c r="H427" s="222">
        <f t="shared" si="13"/>
        <v>29024358</v>
      </c>
    </row>
    <row r="428" spans="1:8" hidden="1">
      <c r="A428" s="87">
        <v>32775540</v>
      </c>
      <c r="B428" s="88" t="s">
        <v>1798</v>
      </c>
      <c r="C428" s="88" t="s">
        <v>1801</v>
      </c>
      <c r="D428" s="88" t="s">
        <v>8584</v>
      </c>
      <c r="E428" s="94">
        <v>44889</v>
      </c>
      <c r="F428" s="91" t="s">
        <v>6853</v>
      </c>
      <c r="G428" s="223">
        <f t="shared" si="12"/>
        <v>15</v>
      </c>
      <c r="H428" s="222">
        <f t="shared" si="13"/>
        <v>32775540</v>
      </c>
    </row>
    <row r="429" spans="1:8" hidden="1">
      <c r="A429" s="87">
        <v>26028279</v>
      </c>
      <c r="B429" s="88" t="s">
        <v>5793</v>
      </c>
      <c r="C429" s="88" t="s">
        <v>6335</v>
      </c>
      <c r="D429" s="88" t="s">
        <v>8584</v>
      </c>
      <c r="E429" s="94">
        <v>44889</v>
      </c>
      <c r="F429" s="91" t="s">
        <v>7015</v>
      </c>
      <c r="G429" s="223">
        <f t="shared" si="12"/>
        <v>13</v>
      </c>
      <c r="H429" s="222">
        <f t="shared" si="13"/>
        <v>26028279</v>
      </c>
    </row>
    <row r="430" spans="1:8" hidden="1">
      <c r="A430" s="87">
        <v>24982815</v>
      </c>
      <c r="B430" s="88" t="s">
        <v>447</v>
      </c>
      <c r="C430" s="88" t="s">
        <v>448</v>
      </c>
      <c r="D430" s="88" t="s">
        <v>8584</v>
      </c>
      <c r="E430" s="94">
        <v>44889</v>
      </c>
      <c r="F430" s="91" t="s">
        <v>6853</v>
      </c>
      <c r="G430" s="223">
        <f t="shared" si="12"/>
        <v>11</v>
      </c>
      <c r="H430" s="222">
        <f t="shared" si="13"/>
        <v>24982815</v>
      </c>
    </row>
    <row r="431" spans="1:8" hidden="1">
      <c r="A431" s="87">
        <v>40434411</v>
      </c>
      <c r="B431" s="88" t="s">
        <v>6652</v>
      </c>
      <c r="C431" s="88" t="s">
        <v>6653</v>
      </c>
      <c r="D431" s="88" t="s">
        <v>8584</v>
      </c>
      <c r="E431" s="94">
        <v>44889</v>
      </c>
      <c r="F431" s="91" t="s">
        <v>6853</v>
      </c>
      <c r="G431" s="223" t="str">
        <f t="shared" si="12"/>
        <v>sin dato</v>
      </c>
      <c r="H431" s="222" t="str">
        <f t="shared" si="13"/>
        <v>999</v>
      </c>
    </row>
    <row r="432" spans="1:8" hidden="1">
      <c r="A432" s="87">
        <v>25843618</v>
      </c>
      <c r="B432" s="88" t="s">
        <v>1823</v>
      </c>
      <c r="C432" s="88" t="s">
        <v>4410</v>
      </c>
      <c r="D432" s="88" t="s">
        <v>8584</v>
      </c>
      <c r="E432" s="94">
        <v>44889</v>
      </c>
      <c r="F432" s="91" t="s">
        <v>6853</v>
      </c>
      <c r="G432" s="223">
        <f t="shared" si="12"/>
        <v>21</v>
      </c>
      <c r="H432" s="222">
        <f t="shared" si="13"/>
        <v>25843618</v>
      </c>
    </row>
    <row r="433" spans="1:8" hidden="1">
      <c r="A433" s="87">
        <v>36865278</v>
      </c>
      <c r="B433" s="88" t="s">
        <v>1236</v>
      </c>
      <c r="C433" s="88" t="s">
        <v>6836</v>
      </c>
      <c r="D433" s="88" t="s">
        <v>8584</v>
      </c>
      <c r="E433" s="94">
        <v>44889</v>
      </c>
      <c r="F433" s="91" t="s">
        <v>6853</v>
      </c>
      <c r="G433" s="223" t="str">
        <f t="shared" si="12"/>
        <v>sin dato</v>
      </c>
      <c r="H433" s="222" t="str">
        <f t="shared" si="13"/>
        <v>999</v>
      </c>
    </row>
    <row r="434" spans="1:8" hidden="1">
      <c r="A434" s="87">
        <v>20284582</v>
      </c>
      <c r="B434" s="88" t="s">
        <v>6802</v>
      </c>
      <c r="C434" s="88" t="s">
        <v>6803</v>
      </c>
      <c r="D434" s="88" t="s">
        <v>8584</v>
      </c>
      <c r="E434" s="94">
        <v>44889</v>
      </c>
      <c r="F434" s="91" t="s">
        <v>6853</v>
      </c>
      <c r="G434" s="223">
        <f t="shared" si="12"/>
        <v>14</v>
      </c>
      <c r="H434" s="222">
        <f t="shared" si="13"/>
        <v>20284582</v>
      </c>
    </row>
    <row r="435" spans="1:8" hidden="1">
      <c r="A435" s="87">
        <v>25114173</v>
      </c>
      <c r="B435" s="88" t="s">
        <v>3877</v>
      </c>
      <c r="C435" s="88" t="s">
        <v>223</v>
      </c>
      <c r="D435" s="88" t="s">
        <v>8584</v>
      </c>
      <c r="E435" s="94">
        <v>44889</v>
      </c>
      <c r="F435" s="91" t="s">
        <v>7015</v>
      </c>
      <c r="G435" s="223">
        <f t="shared" si="12"/>
        <v>20</v>
      </c>
      <c r="H435" s="222">
        <f t="shared" si="13"/>
        <v>25114173</v>
      </c>
    </row>
    <row r="436" spans="1:8" hidden="1">
      <c r="A436" s="87">
        <v>14661452</v>
      </c>
      <c r="B436" s="88" t="s">
        <v>5804</v>
      </c>
      <c r="C436" s="88" t="s">
        <v>2826</v>
      </c>
      <c r="D436" s="88" t="s">
        <v>8584</v>
      </c>
      <c r="E436" s="94">
        <v>44889</v>
      </c>
      <c r="F436" s="91" t="s">
        <v>7015</v>
      </c>
      <c r="G436" s="223">
        <f t="shared" si="12"/>
        <v>23</v>
      </c>
      <c r="H436" s="222">
        <f t="shared" si="13"/>
        <v>14661452</v>
      </c>
    </row>
    <row r="437" spans="1:8" hidden="1">
      <c r="A437" s="87">
        <v>18299635</v>
      </c>
      <c r="B437" s="88" t="s">
        <v>505</v>
      </c>
      <c r="C437" s="88" t="s">
        <v>506</v>
      </c>
      <c r="D437" s="88" t="s">
        <v>8584</v>
      </c>
      <c r="E437" s="94">
        <v>44889</v>
      </c>
      <c r="F437" s="91" t="s">
        <v>7015</v>
      </c>
      <c r="G437" s="223">
        <f t="shared" si="12"/>
        <v>12</v>
      </c>
      <c r="H437" s="222">
        <f t="shared" si="13"/>
        <v>18299635</v>
      </c>
    </row>
    <row r="438" spans="1:8" hidden="1">
      <c r="A438" s="87">
        <v>20179103</v>
      </c>
      <c r="B438" s="88" t="s">
        <v>1298</v>
      </c>
      <c r="C438" s="88" t="s">
        <v>1299</v>
      </c>
      <c r="D438" s="88" t="s">
        <v>8584</v>
      </c>
      <c r="E438" s="94">
        <v>44889</v>
      </c>
      <c r="F438" s="91" t="s">
        <v>6853</v>
      </c>
      <c r="G438" s="223">
        <f t="shared" si="12"/>
        <v>14</v>
      </c>
      <c r="H438" s="222">
        <f t="shared" si="13"/>
        <v>20179103</v>
      </c>
    </row>
    <row r="439" spans="1:8" hidden="1">
      <c r="A439" s="87">
        <v>22263073</v>
      </c>
      <c r="B439" s="88" t="s">
        <v>1858</v>
      </c>
      <c r="C439" s="88" t="s">
        <v>1859</v>
      </c>
      <c r="D439" s="88" t="s">
        <v>8584</v>
      </c>
      <c r="E439" s="94">
        <v>44889</v>
      </c>
      <c r="F439" s="91" t="s">
        <v>6853</v>
      </c>
      <c r="G439" s="223">
        <f t="shared" si="12"/>
        <v>15</v>
      </c>
      <c r="H439" s="222">
        <f t="shared" si="13"/>
        <v>22263073</v>
      </c>
    </row>
    <row r="440" spans="1:8" hidden="1">
      <c r="A440" s="87">
        <v>38741603</v>
      </c>
      <c r="B440" s="88" t="s">
        <v>1040</v>
      </c>
      <c r="C440" s="88" t="s">
        <v>6722</v>
      </c>
      <c r="D440" s="88" t="s">
        <v>8582</v>
      </c>
      <c r="E440" s="94">
        <v>44873</v>
      </c>
      <c r="F440" s="91" t="s">
        <v>7015</v>
      </c>
      <c r="G440" s="223" t="str">
        <f t="shared" si="12"/>
        <v>sin dato</v>
      </c>
      <c r="H440" s="222" t="str">
        <f t="shared" si="13"/>
        <v>999</v>
      </c>
    </row>
    <row r="441" spans="1:8" hidden="1">
      <c r="A441" s="87">
        <v>25231563</v>
      </c>
      <c r="B441" s="88" t="s">
        <v>207</v>
      </c>
      <c r="C441" s="88" t="s">
        <v>6552</v>
      </c>
      <c r="D441" s="88" t="s">
        <v>8582</v>
      </c>
      <c r="E441" s="94">
        <v>44873</v>
      </c>
      <c r="F441" s="91" t="s">
        <v>6853</v>
      </c>
      <c r="G441" s="223">
        <f t="shared" si="12"/>
        <v>21</v>
      </c>
      <c r="H441" s="222">
        <f t="shared" si="13"/>
        <v>25231563</v>
      </c>
    </row>
    <row r="442" spans="1:8" hidden="1">
      <c r="A442" s="87">
        <v>32201237</v>
      </c>
      <c r="B442" s="88" t="s">
        <v>6735</v>
      </c>
      <c r="C442" s="88" t="s">
        <v>4341</v>
      </c>
      <c r="D442" s="88" t="s">
        <v>8582</v>
      </c>
      <c r="E442" s="94">
        <v>44873</v>
      </c>
      <c r="F442" s="91" t="s">
        <v>7015</v>
      </c>
      <c r="G442" s="223">
        <f t="shared" si="12"/>
        <v>37</v>
      </c>
      <c r="H442" s="222">
        <f t="shared" si="13"/>
        <v>32201237</v>
      </c>
    </row>
    <row r="443" spans="1:8" hidden="1">
      <c r="A443" s="87">
        <v>24355229</v>
      </c>
      <c r="B443" s="88" t="s">
        <v>2508</v>
      </c>
      <c r="C443" s="88" t="s">
        <v>6739</v>
      </c>
      <c r="D443" s="88" t="s">
        <v>8582</v>
      </c>
      <c r="E443" s="94">
        <v>44873</v>
      </c>
      <c r="F443" s="91" t="s">
        <v>6853</v>
      </c>
      <c r="G443" s="223">
        <f t="shared" si="12"/>
        <v>22</v>
      </c>
      <c r="H443" s="222">
        <f t="shared" si="13"/>
        <v>24355229</v>
      </c>
    </row>
    <row r="444" spans="1:8" hidden="1">
      <c r="A444" s="87">
        <v>36583989</v>
      </c>
      <c r="B444" s="88" t="s">
        <v>2087</v>
      </c>
      <c r="C444" s="88" t="s">
        <v>6706</v>
      </c>
      <c r="D444" s="88" t="s">
        <v>8582</v>
      </c>
      <c r="E444" s="94">
        <v>44873</v>
      </c>
      <c r="F444" s="91" t="s">
        <v>7015</v>
      </c>
      <c r="G444" s="223" t="str">
        <f t="shared" si="12"/>
        <v>sin dato</v>
      </c>
      <c r="H444" s="222" t="str">
        <f t="shared" si="13"/>
        <v>999</v>
      </c>
    </row>
    <row r="445" spans="1:8" hidden="1">
      <c r="A445" s="87">
        <v>25214023</v>
      </c>
      <c r="B445" s="88" t="s">
        <v>6556</v>
      </c>
      <c r="C445" s="88" t="s">
        <v>6557</v>
      </c>
      <c r="D445" s="88" t="s">
        <v>8582</v>
      </c>
      <c r="E445" s="94">
        <v>44873</v>
      </c>
      <c r="F445" s="91" t="s">
        <v>7015</v>
      </c>
      <c r="G445" s="223" t="str">
        <f t="shared" si="12"/>
        <v>sin dato</v>
      </c>
      <c r="H445" s="222">
        <f t="shared" si="13"/>
        <v>25214023</v>
      </c>
    </row>
    <row r="446" spans="1:8" hidden="1">
      <c r="A446" s="87">
        <v>17494043</v>
      </c>
      <c r="B446" s="88" t="s">
        <v>6717</v>
      </c>
      <c r="C446" s="88" t="s">
        <v>6718</v>
      </c>
      <c r="D446" s="88" t="s">
        <v>8582</v>
      </c>
      <c r="E446" s="94">
        <v>44873</v>
      </c>
      <c r="F446" s="91" t="s">
        <v>6853</v>
      </c>
      <c r="G446" s="223">
        <f t="shared" si="12"/>
        <v>31</v>
      </c>
      <c r="H446" s="222">
        <f t="shared" si="13"/>
        <v>17494043</v>
      </c>
    </row>
    <row r="447" spans="1:8" hidden="1">
      <c r="A447" s="87">
        <v>34185816</v>
      </c>
      <c r="B447" s="88" t="s">
        <v>6533</v>
      </c>
      <c r="C447" s="88" t="s">
        <v>6534</v>
      </c>
      <c r="D447" s="88" t="s">
        <v>8582</v>
      </c>
      <c r="E447" s="94">
        <v>44873</v>
      </c>
      <c r="F447" s="91" t="s">
        <v>6853</v>
      </c>
      <c r="G447" s="223">
        <f t="shared" si="12"/>
        <v>10</v>
      </c>
      <c r="H447" s="222">
        <f t="shared" si="13"/>
        <v>34185816</v>
      </c>
    </row>
    <row r="448" spans="1:8" hidden="1">
      <c r="A448" s="87">
        <v>20418286</v>
      </c>
      <c r="B448" s="88" t="s">
        <v>4357</v>
      </c>
      <c r="C448" s="88" t="s">
        <v>4358</v>
      </c>
      <c r="D448" s="88" t="s">
        <v>8582</v>
      </c>
      <c r="E448" s="94">
        <v>44873</v>
      </c>
      <c r="F448" s="91" t="s">
        <v>7015</v>
      </c>
      <c r="G448" s="223">
        <f t="shared" si="12"/>
        <v>21</v>
      </c>
      <c r="H448" s="222">
        <f t="shared" si="13"/>
        <v>20418286</v>
      </c>
    </row>
    <row r="449" spans="1:8" hidden="1">
      <c r="A449" s="87">
        <v>13513776</v>
      </c>
      <c r="B449" s="88" t="s">
        <v>3029</v>
      </c>
      <c r="C449" s="88" t="s">
        <v>2522</v>
      </c>
      <c r="D449" s="88" t="s">
        <v>8582</v>
      </c>
      <c r="E449" s="94">
        <v>44873</v>
      </c>
      <c r="F449" s="91" t="s">
        <v>6853</v>
      </c>
      <c r="G449" s="223">
        <f t="shared" si="12"/>
        <v>21</v>
      </c>
      <c r="H449" s="222">
        <f t="shared" si="13"/>
        <v>13513776</v>
      </c>
    </row>
    <row r="450" spans="1:8" hidden="1">
      <c r="A450" s="87">
        <v>22181097</v>
      </c>
      <c r="B450" s="88" t="s">
        <v>4043</v>
      </c>
      <c r="C450" s="88" t="s">
        <v>4044</v>
      </c>
      <c r="D450" s="88" t="s">
        <v>8582</v>
      </c>
      <c r="E450" s="94">
        <v>44873</v>
      </c>
      <c r="F450" s="91" t="s">
        <v>7015</v>
      </c>
      <c r="G450" s="223">
        <f t="shared" ref="G450:G513" si="14">IFERROR(INDEX(unidad,MATCH(VLOOKUP(A450,alum,9,0),unidad2,0),1),"sin dato")</f>
        <v>30</v>
      </c>
      <c r="H450" s="222">
        <f t="shared" ref="H450:H513" si="15">IFERROR(VLOOKUP(A450,alum,1,0),"999")</f>
        <v>22181097</v>
      </c>
    </row>
    <row r="451" spans="1:8" hidden="1">
      <c r="A451" s="87">
        <v>21812664</v>
      </c>
      <c r="B451" s="88" t="s">
        <v>4053</v>
      </c>
      <c r="C451" s="88" t="s">
        <v>274</v>
      </c>
      <c r="D451" s="88" t="s">
        <v>8582</v>
      </c>
      <c r="E451" s="94">
        <v>44873</v>
      </c>
      <c r="F451" s="91" t="s">
        <v>7015</v>
      </c>
      <c r="G451" s="223">
        <f t="shared" si="14"/>
        <v>30</v>
      </c>
      <c r="H451" s="222">
        <f t="shared" si="15"/>
        <v>21812664</v>
      </c>
    </row>
    <row r="452" spans="1:8" hidden="1">
      <c r="A452" s="87">
        <v>37309766</v>
      </c>
      <c r="B452" s="88" t="s">
        <v>547</v>
      </c>
      <c r="C452" s="88" t="s">
        <v>5851</v>
      </c>
      <c r="D452" s="88" t="s">
        <v>8582</v>
      </c>
      <c r="E452" s="94">
        <v>44873</v>
      </c>
      <c r="F452" s="91" t="s">
        <v>7015</v>
      </c>
      <c r="G452" s="223" t="str">
        <f t="shared" si="14"/>
        <v>sin dato</v>
      </c>
      <c r="H452" s="222" t="str">
        <f t="shared" si="15"/>
        <v>999</v>
      </c>
    </row>
    <row r="453" spans="1:8" hidden="1">
      <c r="A453" s="87">
        <v>36838708</v>
      </c>
      <c r="B453" s="88" t="s">
        <v>6726</v>
      </c>
      <c r="C453" s="88" t="s">
        <v>6727</v>
      </c>
      <c r="D453" s="88" t="s">
        <v>8582</v>
      </c>
      <c r="E453" s="94">
        <v>44873</v>
      </c>
      <c r="F453" s="91" t="s">
        <v>7015</v>
      </c>
      <c r="G453" s="223" t="str">
        <f t="shared" si="14"/>
        <v>sin dato</v>
      </c>
      <c r="H453" s="222" t="str">
        <f t="shared" si="15"/>
        <v>999</v>
      </c>
    </row>
    <row r="454" spans="1:8" hidden="1">
      <c r="A454" s="87">
        <v>33050608</v>
      </c>
      <c r="B454" s="88" t="s">
        <v>760</v>
      </c>
      <c r="C454" s="88" t="s">
        <v>6430</v>
      </c>
      <c r="D454" s="88" t="s">
        <v>8582</v>
      </c>
      <c r="E454" s="94">
        <v>44873</v>
      </c>
      <c r="F454" s="91" t="s">
        <v>6853</v>
      </c>
      <c r="G454" s="223">
        <f t="shared" si="14"/>
        <v>88</v>
      </c>
      <c r="H454" s="222">
        <f t="shared" si="15"/>
        <v>33050608</v>
      </c>
    </row>
    <row r="455" spans="1:8" hidden="1">
      <c r="A455" s="87">
        <v>37655869</v>
      </c>
      <c r="B455" s="88" t="s">
        <v>6545</v>
      </c>
      <c r="C455" s="88" t="s">
        <v>6546</v>
      </c>
      <c r="D455" s="88" t="s">
        <v>8578</v>
      </c>
      <c r="E455" s="94">
        <v>44872</v>
      </c>
      <c r="F455" s="91" t="s">
        <v>7015</v>
      </c>
      <c r="G455" s="223" t="str">
        <f t="shared" si="14"/>
        <v>sin dato</v>
      </c>
      <c r="H455" s="222" t="str">
        <f t="shared" si="15"/>
        <v>999</v>
      </c>
    </row>
    <row r="456" spans="1:8" hidden="1">
      <c r="A456" s="87">
        <v>24888251</v>
      </c>
      <c r="B456" s="88" t="s">
        <v>1385</v>
      </c>
      <c r="C456" s="88" t="s">
        <v>4710</v>
      </c>
      <c r="D456" s="88" t="s">
        <v>8578</v>
      </c>
      <c r="E456" s="94">
        <v>44872</v>
      </c>
      <c r="F456" s="91" t="s">
        <v>7015</v>
      </c>
      <c r="G456" s="223">
        <f t="shared" si="14"/>
        <v>23</v>
      </c>
      <c r="H456" s="222">
        <f t="shared" si="15"/>
        <v>24888251</v>
      </c>
    </row>
    <row r="457" spans="1:8" hidden="1">
      <c r="A457" s="87">
        <v>27732258</v>
      </c>
      <c r="B457" s="88" t="s">
        <v>1385</v>
      </c>
      <c r="C457" s="88" t="s">
        <v>74</v>
      </c>
      <c r="D457" s="88" t="s">
        <v>8578</v>
      </c>
      <c r="E457" s="100">
        <v>44872</v>
      </c>
      <c r="F457" s="91" t="s">
        <v>7027</v>
      </c>
      <c r="G457" s="223">
        <f t="shared" si="14"/>
        <v>14</v>
      </c>
      <c r="H457" s="222">
        <f t="shared" si="15"/>
        <v>27732258</v>
      </c>
    </row>
    <row r="458" spans="1:8" hidden="1">
      <c r="A458" s="87">
        <v>22332403</v>
      </c>
      <c r="B458" s="88" t="s">
        <v>4279</v>
      </c>
      <c r="C458" s="88" t="s">
        <v>6045</v>
      </c>
      <c r="D458" s="88" t="s">
        <v>8578</v>
      </c>
      <c r="E458" s="100">
        <v>44872</v>
      </c>
      <c r="F458" s="91" t="s">
        <v>6853</v>
      </c>
      <c r="G458" s="223">
        <f t="shared" si="14"/>
        <v>1</v>
      </c>
      <c r="H458" s="222">
        <f t="shared" si="15"/>
        <v>22332403</v>
      </c>
    </row>
    <row r="459" spans="1:8" hidden="1">
      <c r="A459" s="87">
        <v>25213563</v>
      </c>
      <c r="B459" s="88" t="s">
        <v>6551</v>
      </c>
      <c r="C459" s="88" t="s">
        <v>6552</v>
      </c>
      <c r="D459" s="88" t="s">
        <v>8578</v>
      </c>
      <c r="E459" s="94">
        <v>44872</v>
      </c>
      <c r="F459" s="91" t="s">
        <v>6853</v>
      </c>
      <c r="G459" s="223" t="str">
        <f t="shared" si="14"/>
        <v>sin dato</v>
      </c>
      <c r="H459" s="222">
        <f t="shared" si="15"/>
        <v>25213563</v>
      </c>
    </row>
    <row r="460" spans="1:8" hidden="1">
      <c r="A460" s="87">
        <v>26011505</v>
      </c>
      <c r="B460" s="88" t="s">
        <v>2422</v>
      </c>
      <c r="C460" s="88" t="s">
        <v>6527</v>
      </c>
      <c r="D460" s="88" t="s">
        <v>8578</v>
      </c>
      <c r="E460" s="100">
        <v>44872</v>
      </c>
      <c r="F460" s="91"/>
      <c r="G460" s="223">
        <f t="shared" si="14"/>
        <v>9</v>
      </c>
      <c r="H460" s="222">
        <f t="shared" si="15"/>
        <v>26011505</v>
      </c>
    </row>
    <row r="461" spans="1:8" hidden="1">
      <c r="A461" s="87">
        <v>25214023</v>
      </c>
      <c r="B461" s="88" t="s">
        <v>6556</v>
      </c>
      <c r="C461" s="88" t="s">
        <v>6557</v>
      </c>
      <c r="D461" s="88" t="s">
        <v>8578</v>
      </c>
      <c r="E461" s="94">
        <v>44872</v>
      </c>
      <c r="F461" s="91" t="s">
        <v>6853</v>
      </c>
      <c r="G461" s="223" t="str">
        <f t="shared" si="14"/>
        <v>sin dato</v>
      </c>
      <c r="H461" s="222">
        <f t="shared" si="15"/>
        <v>25214023</v>
      </c>
    </row>
    <row r="462" spans="1:8" hidden="1">
      <c r="A462" s="87">
        <v>33540499</v>
      </c>
      <c r="B462" s="88" t="s">
        <v>794</v>
      </c>
      <c r="C462" s="88" t="s">
        <v>795</v>
      </c>
      <c r="D462" s="88" t="s">
        <v>8578</v>
      </c>
      <c r="E462" s="94">
        <v>44872</v>
      </c>
      <c r="F462" s="91" t="s">
        <v>6853</v>
      </c>
      <c r="G462" s="223">
        <f t="shared" si="14"/>
        <v>13</v>
      </c>
      <c r="H462" s="222">
        <f t="shared" si="15"/>
        <v>33540499</v>
      </c>
    </row>
    <row r="463" spans="1:8" hidden="1">
      <c r="A463" s="87">
        <v>18230668</v>
      </c>
      <c r="B463" s="88" t="s">
        <v>2375</v>
      </c>
      <c r="C463" s="88" t="s">
        <v>2376</v>
      </c>
      <c r="D463" s="88" t="s">
        <v>8578</v>
      </c>
      <c r="E463" s="100">
        <v>44872</v>
      </c>
      <c r="F463" s="91"/>
      <c r="G463" s="223">
        <f t="shared" si="14"/>
        <v>17</v>
      </c>
      <c r="H463" s="222">
        <f t="shared" si="15"/>
        <v>18230668</v>
      </c>
    </row>
    <row r="464" spans="1:8" hidden="1">
      <c r="A464" s="87">
        <v>34185816</v>
      </c>
      <c r="B464" s="88" t="s">
        <v>6533</v>
      </c>
      <c r="C464" s="88" t="s">
        <v>6534</v>
      </c>
      <c r="D464" s="88" t="s">
        <v>8578</v>
      </c>
      <c r="E464" s="94">
        <v>44872</v>
      </c>
      <c r="F464" s="91" t="s">
        <v>6853</v>
      </c>
      <c r="G464" s="223">
        <f t="shared" si="14"/>
        <v>10</v>
      </c>
      <c r="H464" s="222">
        <f t="shared" si="15"/>
        <v>34185816</v>
      </c>
    </row>
    <row r="465" spans="1:8" hidden="1">
      <c r="A465" s="87">
        <v>20418286</v>
      </c>
      <c r="B465" s="88" t="s">
        <v>4357</v>
      </c>
      <c r="C465" s="88" t="s">
        <v>4358</v>
      </c>
      <c r="D465" s="88" t="s">
        <v>8578</v>
      </c>
      <c r="E465" s="100">
        <v>44872</v>
      </c>
      <c r="F465" s="91" t="s">
        <v>8585</v>
      </c>
      <c r="G465" s="223">
        <f t="shared" si="14"/>
        <v>21</v>
      </c>
      <c r="H465" s="222">
        <f t="shared" si="15"/>
        <v>20418286</v>
      </c>
    </row>
    <row r="466" spans="1:8" hidden="1">
      <c r="A466" s="87">
        <v>30497559</v>
      </c>
      <c r="B466" s="88" t="s">
        <v>5795</v>
      </c>
      <c r="C466" s="88" t="s">
        <v>6539</v>
      </c>
      <c r="D466" s="88" t="s">
        <v>8578</v>
      </c>
      <c r="E466" s="94">
        <v>44872</v>
      </c>
      <c r="F466" s="91" t="s">
        <v>6853</v>
      </c>
      <c r="G466" s="223" t="str">
        <f t="shared" si="14"/>
        <v>sin dato</v>
      </c>
      <c r="H466" s="222">
        <f t="shared" si="15"/>
        <v>30497559</v>
      </c>
    </row>
    <row r="467" spans="1:8" hidden="1">
      <c r="A467" s="87">
        <v>27364252</v>
      </c>
      <c r="B467" s="88" t="s">
        <v>428</v>
      </c>
      <c r="C467" s="88" t="s">
        <v>3970</v>
      </c>
      <c r="D467" s="88" t="s">
        <v>8578</v>
      </c>
      <c r="E467" s="94">
        <v>44872</v>
      </c>
      <c r="F467" s="91" t="s">
        <v>7015</v>
      </c>
      <c r="G467" s="223">
        <f t="shared" si="14"/>
        <v>26</v>
      </c>
      <c r="H467" s="222">
        <f t="shared" si="15"/>
        <v>27364252</v>
      </c>
    </row>
    <row r="468" spans="1:8" hidden="1">
      <c r="A468" s="87">
        <v>26722184</v>
      </c>
      <c r="B468" s="88" t="s">
        <v>3979</v>
      </c>
      <c r="C468" s="88" t="s">
        <v>3980</v>
      </c>
      <c r="D468" s="88" t="s">
        <v>8578</v>
      </c>
      <c r="E468" s="94">
        <v>44872</v>
      </c>
      <c r="F468" s="91" t="s">
        <v>7015</v>
      </c>
      <c r="G468" s="223">
        <f t="shared" si="14"/>
        <v>26</v>
      </c>
      <c r="H468" s="222">
        <f t="shared" si="15"/>
        <v>26722184</v>
      </c>
    </row>
    <row r="469" spans="1:8" hidden="1">
      <c r="A469" s="87">
        <v>29997979</v>
      </c>
      <c r="B469" s="88" t="s">
        <v>4512</v>
      </c>
      <c r="C469" s="88" t="s">
        <v>527</v>
      </c>
      <c r="D469" s="88" t="s">
        <v>7016</v>
      </c>
      <c r="E469" s="94">
        <v>44824</v>
      </c>
      <c r="F469" s="91" t="s">
        <v>6853</v>
      </c>
      <c r="G469" s="223">
        <f t="shared" si="14"/>
        <v>22</v>
      </c>
      <c r="H469" s="222">
        <f t="shared" si="15"/>
        <v>29997979</v>
      </c>
    </row>
    <row r="470" spans="1:8" hidden="1">
      <c r="A470" s="87">
        <v>16859596</v>
      </c>
      <c r="B470" s="88" t="s">
        <v>4275</v>
      </c>
      <c r="C470" s="88" t="s">
        <v>612</v>
      </c>
      <c r="D470" s="88" t="s">
        <v>7016</v>
      </c>
      <c r="E470" s="94">
        <v>44824</v>
      </c>
      <c r="F470" s="91" t="s">
        <v>7027</v>
      </c>
      <c r="G470" s="223">
        <f t="shared" si="14"/>
        <v>21</v>
      </c>
      <c r="H470" s="222">
        <f t="shared" si="15"/>
        <v>16859596</v>
      </c>
    </row>
    <row r="471" spans="1:8" hidden="1">
      <c r="A471" s="87">
        <v>34132425</v>
      </c>
      <c r="B471" s="88" t="s">
        <v>3679</v>
      </c>
      <c r="C471" s="88" t="s">
        <v>2430</v>
      </c>
      <c r="D471" s="88" t="s">
        <v>7016</v>
      </c>
      <c r="E471" s="94">
        <v>44824</v>
      </c>
      <c r="F471" s="91" t="s">
        <v>7027</v>
      </c>
      <c r="G471" s="223">
        <f t="shared" si="14"/>
        <v>20</v>
      </c>
      <c r="H471" s="222">
        <f t="shared" si="15"/>
        <v>34132425</v>
      </c>
    </row>
    <row r="472" spans="1:8" hidden="1">
      <c r="A472" s="87">
        <v>32853533</v>
      </c>
      <c r="B472" s="88" t="s">
        <v>6595</v>
      </c>
      <c r="C472" s="88" t="s">
        <v>6596</v>
      </c>
      <c r="D472" s="88" t="s">
        <v>7016</v>
      </c>
      <c r="E472" s="94">
        <v>44824</v>
      </c>
      <c r="F472" s="91" t="s">
        <v>7027</v>
      </c>
      <c r="G472" s="223">
        <f t="shared" si="14"/>
        <v>14</v>
      </c>
      <c r="H472" s="222">
        <f t="shared" si="15"/>
        <v>32853533</v>
      </c>
    </row>
    <row r="473" spans="1:8" hidden="1">
      <c r="A473" s="87">
        <v>34356805</v>
      </c>
      <c r="B473" s="88" t="s">
        <v>650</v>
      </c>
      <c r="C473" s="88" t="s">
        <v>4021</v>
      </c>
      <c r="D473" s="88" t="s">
        <v>7016</v>
      </c>
      <c r="E473" s="94">
        <v>44824</v>
      </c>
      <c r="F473" s="91" t="s">
        <v>6853</v>
      </c>
      <c r="G473" s="223">
        <f t="shared" si="14"/>
        <v>30</v>
      </c>
      <c r="H473" s="222">
        <f t="shared" si="15"/>
        <v>34356805</v>
      </c>
    </row>
    <row r="474" spans="1:8" hidden="1">
      <c r="A474" s="87">
        <v>37511447</v>
      </c>
      <c r="B474" s="88" t="s">
        <v>2725</v>
      </c>
      <c r="C474" s="88" t="s">
        <v>2726</v>
      </c>
      <c r="D474" s="88" t="s">
        <v>7016</v>
      </c>
      <c r="E474" s="94">
        <v>44824</v>
      </c>
      <c r="F474" s="91" t="s">
        <v>7024</v>
      </c>
      <c r="G474" s="223" t="str">
        <f t="shared" si="14"/>
        <v>sin dato</v>
      </c>
      <c r="H474" s="222" t="str">
        <f t="shared" si="15"/>
        <v>999</v>
      </c>
    </row>
    <row r="475" spans="1:8" hidden="1">
      <c r="A475" s="87">
        <v>29183945</v>
      </c>
      <c r="B475" s="88" t="s">
        <v>2731</v>
      </c>
      <c r="C475" s="88" t="s">
        <v>2732</v>
      </c>
      <c r="D475" s="88" t="s">
        <v>7016</v>
      </c>
      <c r="E475" s="94">
        <v>44824</v>
      </c>
      <c r="F475" s="91" t="s">
        <v>6853</v>
      </c>
      <c r="G475" s="223">
        <f t="shared" si="14"/>
        <v>52</v>
      </c>
      <c r="H475" s="222">
        <f t="shared" si="15"/>
        <v>29183945</v>
      </c>
    </row>
    <row r="476" spans="1:8" hidden="1">
      <c r="A476" s="87">
        <v>31127710</v>
      </c>
      <c r="B476" s="88" t="s">
        <v>311</v>
      </c>
      <c r="C476" s="88" t="s">
        <v>3782</v>
      </c>
      <c r="D476" s="88" t="s">
        <v>7016</v>
      </c>
      <c r="E476" s="94">
        <v>44824</v>
      </c>
      <c r="F476" s="91" t="s">
        <v>7027</v>
      </c>
      <c r="G476" s="223">
        <f t="shared" si="14"/>
        <v>20</v>
      </c>
      <c r="H476" s="222">
        <f t="shared" si="15"/>
        <v>31127710</v>
      </c>
    </row>
    <row r="477" spans="1:8" hidden="1">
      <c r="A477" s="87">
        <v>28053203</v>
      </c>
      <c r="B477" s="88" t="s">
        <v>327</v>
      </c>
      <c r="C477" s="88" t="s">
        <v>4495</v>
      </c>
      <c r="D477" s="88" t="s">
        <v>7016</v>
      </c>
      <c r="E477" s="94">
        <v>44824</v>
      </c>
      <c r="F477" s="91" t="s">
        <v>6853</v>
      </c>
      <c r="G477" s="223">
        <f t="shared" si="14"/>
        <v>52</v>
      </c>
      <c r="H477" s="222">
        <f t="shared" si="15"/>
        <v>28053203</v>
      </c>
    </row>
    <row r="478" spans="1:8" hidden="1">
      <c r="A478" s="87">
        <v>25542010</v>
      </c>
      <c r="B478" s="88" t="s">
        <v>6601</v>
      </c>
      <c r="C478" s="88" t="s">
        <v>6602</v>
      </c>
      <c r="D478" s="88" t="s">
        <v>7016</v>
      </c>
      <c r="E478" s="94">
        <v>44824</v>
      </c>
      <c r="F478" s="91" t="s">
        <v>7027</v>
      </c>
      <c r="G478" s="223">
        <f t="shared" si="14"/>
        <v>7</v>
      </c>
      <c r="H478" s="222">
        <f t="shared" si="15"/>
        <v>25542010</v>
      </c>
    </row>
    <row r="479" spans="1:8" hidden="1">
      <c r="A479" s="87">
        <v>25843239</v>
      </c>
      <c r="B479" s="88" t="s">
        <v>4874</v>
      </c>
      <c r="C479" s="88" t="s">
        <v>4875</v>
      </c>
      <c r="D479" s="88" t="s">
        <v>7016</v>
      </c>
      <c r="E479" s="94">
        <v>44824</v>
      </c>
      <c r="F479" s="91" t="s">
        <v>7024</v>
      </c>
      <c r="G479" s="223">
        <f t="shared" si="14"/>
        <v>52</v>
      </c>
      <c r="H479" s="222">
        <f t="shared" si="15"/>
        <v>25843239</v>
      </c>
    </row>
    <row r="480" spans="1:8" hidden="1">
      <c r="A480" s="87">
        <v>37097110</v>
      </c>
      <c r="B480" s="88" t="s">
        <v>6610</v>
      </c>
      <c r="C480" s="88" t="s">
        <v>6611</v>
      </c>
      <c r="D480" s="88" t="s">
        <v>7016</v>
      </c>
      <c r="E480" s="94">
        <v>44824</v>
      </c>
      <c r="F480" s="91" t="s">
        <v>6853</v>
      </c>
      <c r="G480" s="223" t="str">
        <f t="shared" si="14"/>
        <v>sin dato</v>
      </c>
      <c r="H480" s="222" t="str">
        <f t="shared" si="15"/>
        <v>999</v>
      </c>
    </row>
    <row r="481" spans="1:8" hidden="1">
      <c r="A481" s="87">
        <v>41299512</v>
      </c>
      <c r="B481" s="88" t="s">
        <v>40</v>
      </c>
      <c r="C481" s="88" t="s">
        <v>6588</v>
      </c>
      <c r="D481" s="88" t="s">
        <v>7018</v>
      </c>
      <c r="E481" s="94">
        <v>44823</v>
      </c>
      <c r="F481" s="91" t="s">
        <v>7015</v>
      </c>
      <c r="G481" s="223" t="str">
        <f t="shared" si="14"/>
        <v>sin dato</v>
      </c>
      <c r="H481" s="222" t="str">
        <f t="shared" si="15"/>
        <v>999</v>
      </c>
    </row>
    <row r="482" spans="1:8" hidden="1">
      <c r="A482" s="92">
        <v>16811869</v>
      </c>
      <c r="B482" s="88" t="s">
        <v>3634</v>
      </c>
      <c r="C482" s="88" t="s">
        <v>215</v>
      </c>
      <c r="D482" s="88" t="s">
        <v>7018</v>
      </c>
      <c r="E482" s="94">
        <v>44823</v>
      </c>
      <c r="F482" s="91" t="s">
        <v>7015</v>
      </c>
      <c r="G482" s="223">
        <f t="shared" si="14"/>
        <v>20</v>
      </c>
      <c r="H482" s="222">
        <f t="shared" si="15"/>
        <v>16811869</v>
      </c>
    </row>
    <row r="483" spans="1:8" hidden="1">
      <c r="A483" s="87">
        <v>23239528</v>
      </c>
      <c r="B483" s="88" t="s">
        <v>4981</v>
      </c>
      <c r="C483" s="88" t="s">
        <v>4982</v>
      </c>
      <c r="D483" s="88" t="s">
        <v>7018</v>
      </c>
      <c r="E483" s="94">
        <v>44823</v>
      </c>
      <c r="F483" s="91" t="s">
        <v>6853</v>
      </c>
      <c r="G483" s="223" t="str">
        <f t="shared" si="14"/>
        <v>sin dato</v>
      </c>
      <c r="H483" s="222">
        <f t="shared" si="15"/>
        <v>23239528</v>
      </c>
    </row>
    <row r="484" spans="1:8" hidden="1">
      <c r="A484" s="87">
        <v>22332403</v>
      </c>
      <c r="B484" s="88" t="s">
        <v>4279</v>
      </c>
      <c r="C484" s="88" t="s">
        <v>6045</v>
      </c>
      <c r="D484" s="88" t="s">
        <v>7018</v>
      </c>
      <c r="E484" s="94">
        <v>44823</v>
      </c>
      <c r="F484" s="91" t="s">
        <v>7015</v>
      </c>
      <c r="G484" s="223">
        <f t="shared" si="14"/>
        <v>1</v>
      </c>
      <c r="H484" s="222">
        <f t="shared" si="15"/>
        <v>22332403</v>
      </c>
    </row>
    <row r="485" spans="1:8" hidden="1">
      <c r="A485" s="87">
        <v>24802856</v>
      </c>
      <c r="B485" s="88" t="s">
        <v>6701</v>
      </c>
      <c r="C485" s="88" t="s">
        <v>6702</v>
      </c>
      <c r="D485" s="88" t="s">
        <v>7018</v>
      </c>
      <c r="E485" s="94">
        <v>44823</v>
      </c>
      <c r="F485" s="91" t="s">
        <v>7015</v>
      </c>
      <c r="G485" s="223">
        <f t="shared" si="14"/>
        <v>22</v>
      </c>
      <c r="H485" s="222">
        <f t="shared" si="15"/>
        <v>24802856</v>
      </c>
    </row>
    <row r="486" spans="1:8" hidden="1">
      <c r="A486" s="87">
        <v>20284338</v>
      </c>
      <c r="B486" s="88" t="s">
        <v>6714</v>
      </c>
      <c r="C486" s="88" t="s">
        <v>2775</v>
      </c>
      <c r="D486" s="88" t="s">
        <v>7018</v>
      </c>
      <c r="E486" s="94">
        <v>44823</v>
      </c>
      <c r="F486" s="91" t="s">
        <v>7015</v>
      </c>
      <c r="G486" s="223">
        <f t="shared" si="14"/>
        <v>7</v>
      </c>
      <c r="H486" s="222">
        <f t="shared" si="15"/>
        <v>20284338</v>
      </c>
    </row>
    <row r="487" spans="1:8" hidden="1">
      <c r="A487" s="87">
        <v>36121119</v>
      </c>
      <c r="B487" s="88" t="s">
        <v>6696</v>
      </c>
      <c r="C487" s="88" t="s">
        <v>4405</v>
      </c>
      <c r="D487" s="88" t="s">
        <v>7018</v>
      </c>
      <c r="E487" s="94">
        <v>44823</v>
      </c>
      <c r="F487" s="91" t="s">
        <v>6853</v>
      </c>
      <c r="G487" s="223" t="str">
        <f t="shared" si="14"/>
        <v>sin dato</v>
      </c>
      <c r="H487" s="222" t="str">
        <f t="shared" si="15"/>
        <v>999</v>
      </c>
    </row>
    <row r="488" spans="1:8" hidden="1">
      <c r="A488" s="87">
        <v>36583989</v>
      </c>
      <c r="B488" s="88" t="s">
        <v>2087</v>
      </c>
      <c r="C488" s="88" t="s">
        <v>6706</v>
      </c>
      <c r="D488" s="88" t="s">
        <v>7018</v>
      </c>
      <c r="E488" s="94">
        <v>44823</v>
      </c>
      <c r="F488" s="91" t="s">
        <v>6853</v>
      </c>
      <c r="G488" s="223" t="str">
        <f t="shared" si="14"/>
        <v>sin dato</v>
      </c>
      <c r="H488" s="222" t="str">
        <f t="shared" si="15"/>
        <v>999</v>
      </c>
    </row>
    <row r="489" spans="1:8" hidden="1">
      <c r="A489" s="87">
        <v>39146062</v>
      </c>
      <c r="B489" s="88" t="s">
        <v>1523</v>
      </c>
      <c r="C489" s="88" t="s">
        <v>1389</v>
      </c>
      <c r="D489" s="88" t="s">
        <v>7018</v>
      </c>
      <c r="E489" s="94">
        <v>44823</v>
      </c>
      <c r="F489" s="91" t="s">
        <v>7015</v>
      </c>
      <c r="G489" s="223" t="str">
        <f t="shared" si="14"/>
        <v>sin dato</v>
      </c>
      <c r="H489" s="222" t="str">
        <f t="shared" si="15"/>
        <v>999</v>
      </c>
    </row>
    <row r="490" spans="1:8" hidden="1">
      <c r="A490" s="87">
        <v>17494043</v>
      </c>
      <c r="B490" s="88" t="s">
        <v>6717</v>
      </c>
      <c r="C490" s="88" t="s">
        <v>6718</v>
      </c>
      <c r="D490" s="88" t="s">
        <v>7018</v>
      </c>
      <c r="E490" s="94">
        <v>44823</v>
      </c>
      <c r="F490" s="91" t="s">
        <v>7015</v>
      </c>
      <c r="G490" s="223">
        <f t="shared" si="14"/>
        <v>31</v>
      </c>
      <c r="H490" s="222">
        <f t="shared" si="15"/>
        <v>17494043</v>
      </c>
    </row>
    <row r="491" spans="1:8" hidden="1">
      <c r="A491" s="87">
        <v>24200173</v>
      </c>
      <c r="B491" s="88" t="s">
        <v>362</v>
      </c>
      <c r="C491" s="88" t="s">
        <v>6711</v>
      </c>
      <c r="D491" s="88" t="s">
        <v>7018</v>
      </c>
      <c r="E491" s="94">
        <v>44823</v>
      </c>
      <c r="F491" s="91" t="s">
        <v>7015</v>
      </c>
      <c r="G491" s="223">
        <f t="shared" si="14"/>
        <v>7</v>
      </c>
      <c r="H491" s="222">
        <f t="shared" si="15"/>
        <v>24200173</v>
      </c>
    </row>
    <row r="492" spans="1:8" hidden="1">
      <c r="A492" s="87">
        <v>22664437</v>
      </c>
      <c r="B492" s="88" t="s">
        <v>4809</v>
      </c>
      <c r="C492" s="88" t="s">
        <v>4810</v>
      </c>
      <c r="D492" s="88" t="s">
        <v>7018</v>
      </c>
      <c r="E492" s="94">
        <v>44823</v>
      </c>
      <c r="F492" s="91" t="s">
        <v>7015</v>
      </c>
      <c r="G492" s="223">
        <f t="shared" si="14"/>
        <v>23</v>
      </c>
      <c r="H492" s="222">
        <f t="shared" si="15"/>
        <v>22664437</v>
      </c>
    </row>
    <row r="493" spans="1:8" hidden="1">
      <c r="A493" s="87">
        <v>32460088</v>
      </c>
      <c r="B493" s="88" t="s">
        <v>6685</v>
      </c>
      <c r="C493" s="88" t="s">
        <v>165</v>
      </c>
      <c r="D493" s="88" t="s">
        <v>7009</v>
      </c>
      <c r="E493" s="94">
        <v>44782</v>
      </c>
      <c r="F493" s="91" t="s">
        <v>7024</v>
      </c>
      <c r="G493" s="223">
        <f t="shared" si="14"/>
        <v>10</v>
      </c>
      <c r="H493" s="222">
        <f t="shared" si="15"/>
        <v>32460088</v>
      </c>
    </row>
    <row r="494" spans="1:8" hidden="1">
      <c r="A494" s="87">
        <v>24200086</v>
      </c>
      <c r="B494" s="88" t="s">
        <v>2364</v>
      </c>
      <c r="C494" s="88" t="s">
        <v>2365</v>
      </c>
      <c r="D494" s="88" t="s">
        <v>7009</v>
      </c>
      <c r="E494" s="94">
        <v>44782</v>
      </c>
      <c r="F494" s="91" t="s">
        <v>7024</v>
      </c>
      <c r="G494" s="223">
        <f t="shared" si="14"/>
        <v>17</v>
      </c>
      <c r="H494" s="222">
        <f t="shared" si="15"/>
        <v>24200086</v>
      </c>
    </row>
    <row r="495" spans="1:8" hidden="1">
      <c r="A495" s="87">
        <v>32853533</v>
      </c>
      <c r="B495" s="88" t="s">
        <v>6595</v>
      </c>
      <c r="C495" s="88" t="s">
        <v>6596</v>
      </c>
      <c r="D495" s="88" t="s">
        <v>7009</v>
      </c>
      <c r="E495" s="94">
        <v>44782</v>
      </c>
      <c r="F495" s="91" t="s">
        <v>6853</v>
      </c>
      <c r="G495" s="223">
        <f t="shared" si="14"/>
        <v>14</v>
      </c>
      <c r="H495" s="222">
        <f t="shared" si="15"/>
        <v>32853533</v>
      </c>
    </row>
    <row r="496" spans="1:8" hidden="1">
      <c r="A496" s="87">
        <v>30497540</v>
      </c>
      <c r="B496" s="88" t="s">
        <v>6606</v>
      </c>
      <c r="C496" s="88" t="s">
        <v>6607</v>
      </c>
      <c r="D496" s="88" t="s">
        <v>7009</v>
      </c>
      <c r="E496" s="94">
        <v>44782</v>
      </c>
      <c r="F496" s="91" t="s">
        <v>6853</v>
      </c>
      <c r="G496" s="223">
        <f t="shared" si="14"/>
        <v>33</v>
      </c>
      <c r="H496" s="222">
        <f t="shared" si="15"/>
        <v>30497540</v>
      </c>
    </row>
    <row r="497" spans="1:8" hidden="1">
      <c r="A497" s="87">
        <v>33050022</v>
      </c>
      <c r="B497" s="88" t="s">
        <v>3474</v>
      </c>
      <c r="C497" s="88" t="s">
        <v>3916</v>
      </c>
      <c r="D497" s="88" t="s">
        <v>7009</v>
      </c>
      <c r="E497" s="94">
        <v>44782</v>
      </c>
      <c r="F497" s="91" t="s">
        <v>6853</v>
      </c>
      <c r="G497" s="223">
        <f t="shared" si="14"/>
        <v>20</v>
      </c>
      <c r="H497" s="222">
        <f t="shared" si="15"/>
        <v>33050022</v>
      </c>
    </row>
    <row r="498" spans="1:8" hidden="1">
      <c r="A498" s="87">
        <v>13279673</v>
      </c>
      <c r="B498" s="88" t="s">
        <v>342</v>
      </c>
      <c r="C498" s="88" t="s">
        <v>6671</v>
      </c>
      <c r="D498" s="88" t="s">
        <v>7009</v>
      </c>
      <c r="E498" s="94">
        <v>44782</v>
      </c>
      <c r="F498" s="91" t="s">
        <v>6853</v>
      </c>
      <c r="G498" s="223">
        <f t="shared" si="14"/>
        <v>25</v>
      </c>
      <c r="H498" s="222">
        <f t="shared" si="15"/>
        <v>13279673</v>
      </c>
    </row>
    <row r="499" spans="1:8" hidden="1">
      <c r="A499" s="87">
        <v>20218675</v>
      </c>
      <c r="B499" s="88" t="s">
        <v>734</v>
      </c>
      <c r="C499" s="88" t="s">
        <v>3481</v>
      </c>
      <c r="D499" s="88" t="s">
        <v>7009</v>
      </c>
      <c r="E499" s="94">
        <v>44782</v>
      </c>
      <c r="F499" s="91" t="s">
        <v>6853</v>
      </c>
      <c r="G499" s="223">
        <f t="shared" si="14"/>
        <v>25</v>
      </c>
      <c r="H499" s="222">
        <f t="shared" si="15"/>
        <v>20218675</v>
      </c>
    </row>
    <row r="500" spans="1:8" hidden="1">
      <c r="A500" s="87">
        <v>25542010</v>
      </c>
      <c r="B500" s="88" t="s">
        <v>6601</v>
      </c>
      <c r="C500" s="88" t="s">
        <v>6602</v>
      </c>
      <c r="D500" s="88" t="s">
        <v>7009</v>
      </c>
      <c r="E500" s="94">
        <v>44782</v>
      </c>
      <c r="F500" s="91" t="s">
        <v>6853</v>
      </c>
      <c r="G500" s="223">
        <f t="shared" si="14"/>
        <v>7</v>
      </c>
      <c r="H500" s="222">
        <f t="shared" si="15"/>
        <v>25542010</v>
      </c>
    </row>
    <row r="501" spans="1:8" hidden="1">
      <c r="A501" s="87">
        <v>25255423</v>
      </c>
      <c r="B501" s="88" t="s">
        <v>2082</v>
      </c>
      <c r="C501" s="88" t="s">
        <v>6667</v>
      </c>
      <c r="D501" s="88" t="s">
        <v>7009</v>
      </c>
      <c r="E501" s="94">
        <v>44782</v>
      </c>
      <c r="F501" s="91" t="s">
        <v>6853</v>
      </c>
      <c r="G501" s="223">
        <f t="shared" si="14"/>
        <v>20</v>
      </c>
      <c r="H501" s="222">
        <f t="shared" si="15"/>
        <v>25255423</v>
      </c>
    </row>
    <row r="502" spans="1:8" hidden="1">
      <c r="A502" s="87">
        <v>40434411</v>
      </c>
      <c r="B502" s="88" t="s">
        <v>6652</v>
      </c>
      <c r="C502" s="88" t="s">
        <v>6653</v>
      </c>
      <c r="D502" s="88" t="s">
        <v>7009</v>
      </c>
      <c r="E502" s="94">
        <v>44782</v>
      </c>
      <c r="F502" s="91" t="s">
        <v>6853</v>
      </c>
      <c r="G502" s="223" t="str">
        <f t="shared" si="14"/>
        <v>sin dato</v>
      </c>
      <c r="H502" s="222" t="str">
        <f t="shared" si="15"/>
        <v>999</v>
      </c>
    </row>
    <row r="503" spans="1:8" hidden="1">
      <c r="A503" s="87">
        <v>23387097</v>
      </c>
      <c r="B503" s="88" t="s">
        <v>3842</v>
      </c>
      <c r="C503" s="88" t="s">
        <v>902</v>
      </c>
      <c r="D503" s="88" t="s">
        <v>7009</v>
      </c>
      <c r="E503" s="94">
        <v>44782</v>
      </c>
      <c r="F503" s="91" t="s">
        <v>7027</v>
      </c>
      <c r="G503" s="223">
        <f t="shared" si="14"/>
        <v>20</v>
      </c>
      <c r="H503" s="222">
        <f t="shared" si="15"/>
        <v>23387097</v>
      </c>
    </row>
    <row r="504" spans="1:8" hidden="1">
      <c r="A504" s="87">
        <v>29877883</v>
      </c>
      <c r="B504" s="88" t="s">
        <v>6679</v>
      </c>
      <c r="C504" s="88" t="s">
        <v>6680</v>
      </c>
      <c r="D504" s="88" t="s">
        <v>7009</v>
      </c>
      <c r="E504" s="94">
        <v>44782</v>
      </c>
      <c r="F504" s="91" t="s">
        <v>6853</v>
      </c>
      <c r="G504" s="223">
        <f t="shared" si="14"/>
        <v>11</v>
      </c>
      <c r="H504" s="222">
        <f t="shared" si="15"/>
        <v>29877883</v>
      </c>
    </row>
    <row r="505" spans="1:8" hidden="1">
      <c r="A505" s="87">
        <v>21799236</v>
      </c>
      <c r="B505" s="88" t="s">
        <v>1273</v>
      </c>
      <c r="C505" s="88" t="s">
        <v>6675</v>
      </c>
      <c r="D505" s="88" t="s">
        <v>7009</v>
      </c>
      <c r="E505" s="94">
        <v>44782</v>
      </c>
      <c r="F505" s="91" t="s">
        <v>7027</v>
      </c>
      <c r="G505" s="223">
        <f t="shared" si="14"/>
        <v>25</v>
      </c>
      <c r="H505" s="222">
        <f t="shared" si="15"/>
        <v>21799236</v>
      </c>
    </row>
    <row r="506" spans="1:8" hidden="1">
      <c r="A506" s="87">
        <v>32927374</v>
      </c>
      <c r="B506" s="88" t="s">
        <v>47</v>
      </c>
      <c r="C506" s="88" t="s">
        <v>51</v>
      </c>
      <c r="D506" s="88" t="s">
        <v>8581</v>
      </c>
      <c r="E506" s="94">
        <v>44781</v>
      </c>
      <c r="F506" s="91" t="s">
        <v>6853</v>
      </c>
      <c r="G506" s="223">
        <f t="shared" si="14"/>
        <v>12</v>
      </c>
      <c r="H506" s="222">
        <f t="shared" si="15"/>
        <v>32927374</v>
      </c>
    </row>
    <row r="507" spans="1:8" hidden="1">
      <c r="A507" s="87">
        <v>20285028</v>
      </c>
      <c r="B507" s="88" t="s">
        <v>927</v>
      </c>
      <c r="C507" s="88" t="s">
        <v>4897</v>
      </c>
      <c r="D507" s="88" t="s">
        <v>8581</v>
      </c>
      <c r="E507" s="94">
        <v>44781</v>
      </c>
      <c r="F507" s="91" t="s">
        <v>6853</v>
      </c>
      <c r="G507" s="223">
        <f t="shared" si="14"/>
        <v>14</v>
      </c>
      <c r="H507" s="222">
        <f t="shared" si="15"/>
        <v>20285028</v>
      </c>
    </row>
    <row r="508" spans="1:8" hidden="1">
      <c r="A508" s="87">
        <v>18661195</v>
      </c>
      <c r="B508" s="88" t="s">
        <v>6637</v>
      </c>
      <c r="C508" s="88" t="s">
        <v>6638</v>
      </c>
      <c r="D508" s="88" t="s">
        <v>8581</v>
      </c>
      <c r="E508" s="94">
        <v>44781</v>
      </c>
      <c r="F508" s="91" t="s">
        <v>6853</v>
      </c>
      <c r="G508" s="223">
        <f t="shared" si="14"/>
        <v>11</v>
      </c>
      <c r="H508" s="222">
        <f t="shared" si="15"/>
        <v>18661195</v>
      </c>
    </row>
    <row r="509" spans="1:8" hidden="1">
      <c r="A509" s="87">
        <v>27732258</v>
      </c>
      <c r="B509" s="88" t="s">
        <v>1385</v>
      </c>
      <c r="C509" s="88" t="s">
        <v>74</v>
      </c>
      <c r="D509" s="88" t="s">
        <v>8581</v>
      </c>
      <c r="E509" s="94">
        <v>44781</v>
      </c>
      <c r="F509" s="91" t="s">
        <v>6853</v>
      </c>
      <c r="G509" s="223">
        <f t="shared" si="14"/>
        <v>14</v>
      </c>
      <c r="H509" s="222">
        <f t="shared" si="15"/>
        <v>27732258</v>
      </c>
    </row>
    <row r="510" spans="1:8" hidden="1">
      <c r="A510" s="87">
        <v>32853533</v>
      </c>
      <c r="B510" s="88" t="s">
        <v>6595</v>
      </c>
      <c r="C510" s="88" t="s">
        <v>6596</v>
      </c>
      <c r="D510" s="88" t="s">
        <v>8581</v>
      </c>
      <c r="E510" s="94">
        <v>44781</v>
      </c>
      <c r="F510" s="91" t="s">
        <v>6853</v>
      </c>
      <c r="G510" s="223">
        <f t="shared" si="14"/>
        <v>14</v>
      </c>
      <c r="H510" s="222">
        <f t="shared" si="15"/>
        <v>32853533</v>
      </c>
    </row>
    <row r="511" spans="1:8" hidden="1">
      <c r="A511" s="87">
        <v>13278063</v>
      </c>
      <c r="B511" s="88" t="s">
        <v>6692</v>
      </c>
      <c r="C511" s="88" t="s">
        <v>6693</v>
      </c>
      <c r="D511" s="88" t="s">
        <v>8581</v>
      </c>
      <c r="E511" s="94">
        <v>44781</v>
      </c>
      <c r="F511" s="91" t="s">
        <v>7027</v>
      </c>
      <c r="G511" s="223">
        <f t="shared" si="14"/>
        <v>25</v>
      </c>
      <c r="H511" s="222">
        <f t="shared" si="15"/>
        <v>13278063</v>
      </c>
    </row>
    <row r="512" spans="1:8" hidden="1">
      <c r="A512" s="87">
        <v>27224695</v>
      </c>
      <c r="B512" s="88" t="s">
        <v>218</v>
      </c>
      <c r="C512" s="88" t="s">
        <v>6574</v>
      </c>
      <c r="D512" s="88" t="s">
        <v>8581</v>
      </c>
      <c r="E512" s="94">
        <v>44781</v>
      </c>
      <c r="F512" s="91" t="s">
        <v>6853</v>
      </c>
      <c r="G512" s="223">
        <f t="shared" si="14"/>
        <v>12</v>
      </c>
      <c r="H512" s="222">
        <f t="shared" si="15"/>
        <v>27224695</v>
      </c>
    </row>
    <row r="513" spans="1:8" hidden="1">
      <c r="A513" s="87">
        <v>35811646</v>
      </c>
      <c r="B513" s="88" t="s">
        <v>326</v>
      </c>
      <c r="C513" s="88" t="s">
        <v>6688</v>
      </c>
      <c r="D513" s="88" t="s">
        <v>8581</v>
      </c>
      <c r="E513" s="94">
        <v>44781</v>
      </c>
      <c r="F513" s="91" t="s">
        <v>7015</v>
      </c>
      <c r="G513" s="223" t="str">
        <f t="shared" si="14"/>
        <v>sin dato</v>
      </c>
      <c r="H513" s="222" t="str">
        <f t="shared" si="15"/>
        <v>999</v>
      </c>
    </row>
    <row r="514" spans="1:8" hidden="1">
      <c r="A514" s="92">
        <v>27016279</v>
      </c>
      <c r="B514" s="88" t="s">
        <v>6591</v>
      </c>
      <c r="C514" s="88" t="s">
        <v>6592</v>
      </c>
      <c r="D514" s="88" t="s">
        <v>8581</v>
      </c>
      <c r="E514" s="94">
        <v>44781</v>
      </c>
      <c r="F514" s="91" t="s">
        <v>6853</v>
      </c>
      <c r="G514" s="223">
        <f t="shared" ref="G514:G577" si="16">IFERROR(INDEX(unidad,MATCH(VLOOKUP(A514,alum,9,0),unidad2,0),1),"sin dato")</f>
        <v>45</v>
      </c>
      <c r="H514" s="222">
        <f t="shared" ref="H514:H577" si="17">IFERROR(VLOOKUP(A514,alum,1,0),"999")</f>
        <v>27016279</v>
      </c>
    </row>
    <row r="515" spans="1:8" hidden="1">
      <c r="A515" s="92">
        <v>13279673</v>
      </c>
      <c r="B515" s="88" t="s">
        <v>342</v>
      </c>
      <c r="C515" s="88" t="s">
        <v>6671</v>
      </c>
      <c r="D515" s="88" t="s">
        <v>8581</v>
      </c>
      <c r="E515" s="94">
        <v>44781</v>
      </c>
      <c r="F515" s="91" t="s">
        <v>6853</v>
      </c>
      <c r="G515" s="223">
        <f t="shared" si="16"/>
        <v>25</v>
      </c>
      <c r="H515" s="222">
        <f t="shared" si="17"/>
        <v>13279673</v>
      </c>
    </row>
    <row r="516" spans="1:8" hidden="1">
      <c r="A516" s="87">
        <v>20218675</v>
      </c>
      <c r="B516" s="88" t="s">
        <v>734</v>
      </c>
      <c r="C516" s="88" t="s">
        <v>3481</v>
      </c>
      <c r="D516" s="88" t="s">
        <v>8581</v>
      </c>
      <c r="E516" s="94">
        <v>44781</v>
      </c>
      <c r="F516" s="91" t="s">
        <v>6853</v>
      </c>
      <c r="G516" s="223">
        <f t="shared" si="16"/>
        <v>25</v>
      </c>
      <c r="H516" s="222">
        <f t="shared" si="17"/>
        <v>20218675</v>
      </c>
    </row>
    <row r="517" spans="1:8" hidden="1">
      <c r="A517" s="87">
        <v>31425836</v>
      </c>
      <c r="B517" s="88" t="s">
        <v>4067</v>
      </c>
      <c r="C517" s="88" t="s">
        <v>4068</v>
      </c>
      <c r="D517" s="88" t="s">
        <v>8581</v>
      </c>
      <c r="E517" s="94">
        <v>44781</v>
      </c>
      <c r="F517" s="91" t="s">
        <v>7015</v>
      </c>
      <c r="G517" s="223">
        <f t="shared" si="16"/>
        <v>30</v>
      </c>
      <c r="H517" s="222">
        <f t="shared" si="17"/>
        <v>31425836</v>
      </c>
    </row>
    <row r="518" spans="1:8" hidden="1">
      <c r="A518" s="87">
        <v>21799236</v>
      </c>
      <c r="B518" s="88" t="s">
        <v>1273</v>
      </c>
      <c r="C518" s="88" t="s">
        <v>6675</v>
      </c>
      <c r="D518" s="88" t="s">
        <v>8581</v>
      </c>
      <c r="E518" s="94">
        <v>44781</v>
      </c>
      <c r="F518" s="91" t="s">
        <v>7015</v>
      </c>
      <c r="G518" s="223">
        <f t="shared" si="16"/>
        <v>25</v>
      </c>
      <c r="H518" s="222">
        <f t="shared" si="17"/>
        <v>21799236</v>
      </c>
    </row>
    <row r="519" spans="1:8" hidden="1">
      <c r="A519" s="87">
        <v>21328294</v>
      </c>
      <c r="B519" s="88" t="s">
        <v>6770</v>
      </c>
      <c r="C519" s="88" t="s">
        <v>6771</v>
      </c>
      <c r="D519" s="88" t="s">
        <v>8583</v>
      </c>
      <c r="E519" s="147">
        <v>44685</v>
      </c>
      <c r="F519" s="91" t="s">
        <v>7015</v>
      </c>
      <c r="G519" s="223">
        <f t="shared" si="16"/>
        <v>14</v>
      </c>
      <c r="H519" s="222">
        <f t="shared" si="17"/>
        <v>21328294</v>
      </c>
    </row>
    <row r="520" spans="1:8" hidden="1">
      <c r="A520" s="87">
        <v>17376659</v>
      </c>
      <c r="B520" s="88" t="s">
        <v>4223</v>
      </c>
      <c r="C520" s="88" t="s">
        <v>4224</v>
      </c>
      <c r="D520" s="88" t="s">
        <v>8583</v>
      </c>
      <c r="E520" s="147">
        <v>44685</v>
      </c>
      <c r="F520" s="91" t="s">
        <v>6853</v>
      </c>
      <c r="G520" s="223" t="str">
        <f t="shared" si="16"/>
        <v>sin dato</v>
      </c>
      <c r="H520" s="222">
        <f t="shared" si="17"/>
        <v>17376659</v>
      </c>
    </row>
    <row r="521" spans="1:8" hidden="1">
      <c r="A521" s="87">
        <v>18661195</v>
      </c>
      <c r="B521" s="88" t="s">
        <v>6637</v>
      </c>
      <c r="C521" s="88" t="s">
        <v>6638</v>
      </c>
      <c r="D521" s="88" t="s">
        <v>8583</v>
      </c>
      <c r="E521" s="147">
        <v>44685</v>
      </c>
      <c r="F521" s="91" t="s">
        <v>7015</v>
      </c>
      <c r="G521" s="223">
        <f t="shared" si="16"/>
        <v>11</v>
      </c>
      <c r="H521" s="222">
        <f t="shared" si="17"/>
        <v>18661195</v>
      </c>
    </row>
    <row r="522" spans="1:8" hidden="1">
      <c r="A522" s="87">
        <v>37455221</v>
      </c>
      <c r="B522" s="88" t="s">
        <v>6784</v>
      </c>
      <c r="C522" s="88" t="s">
        <v>6785</v>
      </c>
      <c r="D522" s="88" t="s">
        <v>8583</v>
      </c>
      <c r="E522" s="147">
        <v>44685</v>
      </c>
      <c r="F522" s="91" t="s">
        <v>7015</v>
      </c>
      <c r="G522" s="223" t="str">
        <f t="shared" si="16"/>
        <v>sin dato</v>
      </c>
      <c r="H522" s="222" t="str">
        <f t="shared" si="17"/>
        <v>999</v>
      </c>
    </row>
    <row r="523" spans="1:8" hidden="1">
      <c r="A523" s="87">
        <v>22263035</v>
      </c>
      <c r="B523" s="88" t="s">
        <v>6790</v>
      </c>
      <c r="C523" s="88" t="s">
        <v>6791</v>
      </c>
      <c r="D523" s="88" t="s">
        <v>8583</v>
      </c>
      <c r="E523" s="147">
        <v>44685</v>
      </c>
      <c r="F523" s="91" t="s">
        <v>6853</v>
      </c>
      <c r="G523" s="223">
        <f t="shared" si="16"/>
        <v>14</v>
      </c>
      <c r="H523" s="222">
        <f t="shared" si="17"/>
        <v>22263035</v>
      </c>
    </row>
    <row r="524" spans="1:8" hidden="1">
      <c r="A524" s="87">
        <v>17866738</v>
      </c>
      <c r="B524" s="88" t="s">
        <v>4994</v>
      </c>
      <c r="C524" s="88" t="s">
        <v>2260</v>
      </c>
      <c r="D524" s="88" t="s">
        <v>8583</v>
      </c>
      <c r="E524" s="147">
        <v>44685</v>
      </c>
      <c r="F524" s="91" t="s">
        <v>6853</v>
      </c>
      <c r="G524" s="223" t="str">
        <f t="shared" si="16"/>
        <v>sin dato</v>
      </c>
      <c r="H524" s="222">
        <f t="shared" si="17"/>
        <v>17866738</v>
      </c>
    </row>
    <row r="525" spans="1:8" hidden="1">
      <c r="A525" s="87">
        <v>35199654</v>
      </c>
      <c r="B525" s="88" t="s">
        <v>6778</v>
      </c>
      <c r="C525" s="88" t="s">
        <v>6779</v>
      </c>
      <c r="D525" s="88" t="s">
        <v>8583</v>
      </c>
      <c r="E525" s="147">
        <v>44685</v>
      </c>
      <c r="F525" s="91" t="s">
        <v>6853</v>
      </c>
      <c r="G525" s="223">
        <f t="shared" si="16"/>
        <v>14</v>
      </c>
      <c r="H525" s="222">
        <f t="shared" si="17"/>
        <v>35199654</v>
      </c>
    </row>
    <row r="526" spans="1:8" hidden="1">
      <c r="A526" s="87">
        <v>30497540</v>
      </c>
      <c r="B526" s="88" t="s">
        <v>6606</v>
      </c>
      <c r="C526" s="88" t="s">
        <v>6607</v>
      </c>
      <c r="D526" s="88" t="s">
        <v>8583</v>
      </c>
      <c r="E526" s="147">
        <v>44685</v>
      </c>
      <c r="F526" s="91" t="s">
        <v>7015</v>
      </c>
      <c r="G526" s="223">
        <f t="shared" si="16"/>
        <v>33</v>
      </c>
      <c r="H526" s="222">
        <f t="shared" si="17"/>
        <v>30497540</v>
      </c>
    </row>
    <row r="527" spans="1:8" hidden="1">
      <c r="A527" s="87">
        <v>182292420</v>
      </c>
      <c r="B527" s="88" t="s">
        <v>3465</v>
      </c>
      <c r="C527" s="88" t="s">
        <v>6766</v>
      </c>
      <c r="D527" s="88" t="s">
        <v>8583</v>
      </c>
      <c r="E527" s="147">
        <v>44685</v>
      </c>
      <c r="F527" s="91" t="s">
        <v>6853</v>
      </c>
      <c r="G527" s="223" t="str">
        <f t="shared" si="16"/>
        <v>sin dato</v>
      </c>
      <c r="H527" s="222" t="str">
        <f t="shared" si="17"/>
        <v>999</v>
      </c>
    </row>
    <row r="528" spans="1:8" hidden="1">
      <c r="A528" s="87">
        <v>25844988</v>
      </c>
      <c r="B528" s="88" t="s">
        <v>6746</v>
      </c>
      <c r="C528" s="88" t="s">
        <v>6747</v>
      </c>
      <c r="D528" s="88" t="s">
        <v>8583</v>
      </c>
      <c r="E528" s="147">
        <v>44685</v>
      </c>
      <c r="F528" s="91" t="s">
        <v>7015</v>
      </c>
      <c r="G528" s="223">
        <f t="shared" si="16"/>
        <v>22</v>
      </c>
      <c r="H528" s="222">
        <f t="shared" si="17"/>
        <v>25844988</v>
      </c>
    </row>
    <row r="529" spans="1:8" hidden="1">
      <c r="A529" s="87">
        <v>32115890</v>
      </c>
      <c r="B529" s="88" t="s">
        <v>541</v>
      </c>
      <c r="C529" s="88" t="s">
        <v>1061</v>
      </c>
      <c r="D529" s="88" t="s">
        <v>8583</v>
      </c>
      <c r="E529" s="147">
        <v>44685</v>
      </c>
      <c r="F529" s="91" t="s">
        <v>7015</v>
      </c>
      <c r="G529" s="223">
        <f t="shared" si="16"/>
        <v>22</v>
      </c>
      <c r="H529" s="222">
        <f t="shared" si="17"/>
        <v>32115890</v>
      </c>
    </row>
    <row r="530" spans="1:8" hidden="1">
      <c r="A530" s="87">
        <v>24803365</v>
      </c>
      <c r="B530" s="88" t="s">
        <v>6752</v>
      </c>
      <c r="C530" s="88" t="s">
        <v>6753</v>
      </c>
      <c r="D530" s="88" t="s">
        <v>8583</v>
      </c>
      <c r="E530" s="147">
        <v>44685</v>
      </c>
      <c r="F530" s="91" t="s">
        <v>6853</v>
      </c>
      <c r="G530" s="223">
        <f t="shared" si="16"/>
        <v>31</v>
      </c>
      <c r="H530" s="222">
        <f t="shared" si="17"/>
        <v>24803365</v>
      </c>
    </row>
    <row r="531" spans="1:8" hidden="1">
      <c r="A531" s="87">
        <v>17858391</v>
      </c>
      <c r="B531" s="88" t="s">
        <v>4389</v>
      </c>
      <c r="C531" s="88" t="s">
        <v>4390</v>
      </c>
      <c r="D531" s="88" t="s">
        <v>8583</v>
      </c>
      <c r="E531" s="147">
        <v>44685</v>
      </c>
      <c r="F531" s="91" t="s">
        <v>7015</v>
      </c>
      <c r="G531" s="223">
        <f t="shared" si="16"/>
        <v>21</v>
      </c>
      <c r="H531" s="222">
        <f t="shared" si="17"/>
        <v>17858391</v>
      </c>
    </row>
    <row r="532" spans="1:8" hidden="1">
      <c r="A532" s="87">
        <v>21328390</v>
      </c>
      <c r="B532" s="88" t="s">
        <v>1195</v>
      </c>
      <c r="C532" s="88" t="s">
        <v>1085</v>
      </c>
      <c r="D532" s="88" t="s">
        <v>8583</v>
      </c>
      <c r="E532" s="147">
        <v>44685</v>
      </c>
      <c r="F532" s="91" t="s">
        <v>7015</v>
      </c>
      <c r="G532" s="223">
        <f t="shared" si="16"/>
        <v>14</v>
      </c>
      <c r="H532" s="222">
        <f t="shared" si="17"/>
        <v>21328390</v>
      </c>
    </row>
    <row r="533" spans="1:8" hidden="1">
      <c r="A533" s="87">
        <v>24005950</v>
      </c>
      <c r="B533" s="88" t="s">
        <v>428</v>
      </c>
      <c r="C533" s="88" t="s">
        <v>1202</v>
      </c>
      <c r="D533" s="88" t="s">
        <v>8583</v>
      </c>
      <c r="E533" s="147">
        <v>44685</v>
      </c>
      <c r="F533" s="91" t="s">
        <v>7015</v>
      </c>
      <c r="G533" s="223">
        <f t="shared" si="16"/>
        <v>14</v>
      </c>
      <c r="H533" s="222">
        <f t="shared" si="17"/>
        <v>24005950</v>
      </c>
    </row>
    <row r="534" spans="1:8" hidden="1">
      <c r="A534" s="87">
        <v>34287096</v>
      </c>
      <c r="B534" s="88" t="s">
        <v>1219</v>
      </c>
      <c r="C534" s="88" t="s">
        <v>1220</v>
      </c>
      <c r="D534" s="88" t="s">
        <v>8583</v>
      </c>
      <c r="E534" s="147">
        <v>44685</v>
      </c>
      <c r="F534" s="91" t="s">
        <v>6853</v>
      </c>
      <c r="G534" s="223">
        <f t="shared" si="16"/>
        <v>14</v>
      </c>
      <c r="H534" s="222">
        <f t="shared" si="17"/>
        <v>34287096</v>
      </c>
    </row>
    <row r="535" spans="1:8" hidden="1">
      <c r="A535" s="87">
        <v>24802284</v>
      </c>
      <c r="B535" s="88" t="s">
        <v>1613</v>
      </c>
      <c r="C535" s="88" t="s">
        <v>455</v>
      </c>
      <c r="D535" s="88" t="s">
        <v>8583</v>
      </c>
      <c r="E535" s="147">
        <v>44685</v>
      </c>
      <c r="F535" s="91" t="s">
        <v>6853</v>
      </c>
      <c r="G535" s="223">
        <f t="shared" si="16"/>
        <v>17</v>
      </c>
      <c r="H535" s="222">
        <f t="shared" si="17"/>
        <v>24802284</v>
      </c>
    </row>
    <row r="536" spans="1:8" hidden="1">
      <c r="A536" s="87">
        <v>27875209</v>
      </c>
      <c r="B536" s="88" t="s">
        <v>6761</v>
      </c>
      <c r="C536" s="88" t="s">
        <v>6762</v>
      </c>
      <c r="D536" s="88" t="s">
        <v>8583</v>
      </c>
      <c r="E536" s="147">
        <v>44685</v>
      </c>
      <c r="F536" s="91" t="s">
        <v>7015</v>
      </c>
      <c r="G536" s="223">
        <f t="shared" si="16"/>
        <v>22</v>
      </c>
      <c r="H536" s="222">
        <f t="shared" si="17"/>
        <v>27875209</v>
      </c>
    </row>
    <row r="537" spans="1:8" hidden="1">
      <c r="A537" s="87">
        <v>22664437</v>
      </c>
      <c r="B537" s="88" t="s">
        <v>4809</v>
      </c>
      <c r="C537" s="88" t="s">
        <v>4810</v>
      </c>
      <c r="D537" s="88" t="s">
        <v>8583</v>
      </c>
      <c r="E537" s="147">
        <v>44685</v>
      </c>
      <c r="F537" s="91" t="s">
        <v>7015</v>
      </c>
      <c r="G537" s="223">
        <f t="shared" si="16"/>
        <v>23</v>
      </c>
      <c r="H537" s="222">
        <f t="shared" si="17"/>
        <v>22664437</v>
      </c>
    </row>
    <row r="538" spans="1:8" hidden="1">
      <c r="A538" s="87">
        <v>32853583</v>
      </c>
      <c r="B538" s="88" t="s">
        <v>6658</v>
      </c>
      <c r="C538" s="88" t="s">
        <v>2623</v>
      </c>
      <c r="D538" s="88" t="s">
        <v>8583</v>
      </c>
      <c r="E538" s="147">
        <v>44685</v>
      </c>
      <c r="F538" s="91" t="s">
        <v>6853</v>
      </c>
      <c r="G538" s="223">
        <f t="shared" si="16"/>
        <v>14</v>
      </c>
      <c r="H538" s="222">
        <f t="shared" si="17"/>
        <v>32853583</v>
      </c>
    </row>
    <row r="539" spans="1:8" hidden="1">
      <c r="A539" s="87">
        <v>31809522</v>
      </c>
      <c r="B539" s="88" t="s">
        <v>4907</v>
      </c>
      <c r="C539" s="88" t="s">
        <v>106</v>
      </c>
      <c r="D539" s="88" t="s">
        <v>8583</v>
      </c>
      <c r="E539" s="147">
        <v>44685</v>
      </c>
      <c r="F539" s="91" t="s">
        <v>7015</v>
      </c>
      <c r="G539" s="223">
        <f t="shared" si="16"/>
        <v>22</v>
      </c>
      <c r="H539" s="222">
        <f t="shared" si="17"/>
        <v>31809522</v>
      </c>
    </row>
    <row r="540" spans="1:8" hidden="1">
      <c r="A540" s="87">
        <v>41299512</v>
      </c>
      <c r="B540" s="88" t="s">
        <v>40</v>
      </c>
      <c r="C540" s="88" t="s">
        <v>6588</v>
      </c>
      <c r="D540" s="88" t="s">
        <v>8579</v>
      </c>
      <c r="E540" s="94">
        <v>44677</v>
      </c>
      <c r="F540" s="91" t="s">
        <v>6853</v>
      </c>
      <c r="G540" s="223" t="str">
        <f t="shared" si="16"/>
        <v>sin dato</v>
      </c>
      <c r="H540" s="222" t="str">
        <f t="shared" si="17"/>
        <v>999</v>
      </c>
    </row>
    <row r="541" spans="1:8" hidden="1">
      <c r="A541" s="87">
        <v>32927374</v>
      </c>
      <c r="B541" s="88" t="s">
        <v>47</v>
      </c>
      <c r="C541" s="88" t="s">
        <v>51</v>
      </c>
      <c r="D541" s="88" t="s">
        <v>8579</v>
      </c>
      <c r="E541" s="94">
        <v>44677</v>
      </c>
      <c r="F541" s="91" t="s">
        <v>6853</v>
      </c>
      <c r="G541" s="223">
        <f t="shared" si="16"/>
        <v>12</v>
      </c>
      <c r="H541" s="222">
        <f t="shared" si="17"/>
        <v>32927374</v>
      </c>
    </row>
    <row r="542" spans="1:8" hidden="1">
      <c r="A542" s="87">
        <v>14300445</v>
      </c>
      <c r="B542" s="88" t="s">
        <v>3699</v>
      </c>
      <c r="C542" s="88" t="s">
        <v>363</v>
      </c>
      <c r="D542" s="88" t="s">
        <v>8579</v>
      </c>
      <c r="E542" s="94">
        <v>44677</v>
      </c>
      <c r="F542" s="91" t="s">
        <v>6853</v>
      </c>
      <c r="G542" s="223">
        <f t="shared" si="16"/>
        <v>20</v>
      </c>
      <c r="H542" s="222">
        <f t="shared" si="17"/>
        <v>14300445</v>
      </c>
    </row>
    <row r="543" spans="1:8" hidden="1">
      <c r="A543" s="87">
        <v>27224695</v>
      </c>
      <c r="B543" s="88" t="s">
        <v>218</v>
      </c>
      <c r="C543" s="88" t="s">
        <v>6574</v>
      </c>
      <c r="D543" s="88" t="s">
        <v>8579</v>
      </c>
      <c r="E543" s="94">
        <v>44677</v>
      </c>
      <c r="F543" s="91" t="s">
        <v>6853</v>
      </c>
      <c r="G543" s="223">
        <f t="shared" si="16"/>
        <v>12</v>
      </c>
      <c r="H543" s="222">
        <f t="shared" si="17"/>
        <v>27224695</v>
      </c>
    </row>
    <row r="544" spans="1:8" hidden="1">
      <c r="A544" s="87">
        <v>20163758</v>
      </c>
      <c r="B544" s="88" t="s">
        <v>285</v>
      </c>
      <c r="C544" s="88" t="s">
        <v>6561</v>
      </c>
      <c r="D544" s="88" t="s">
        <v>8579</v>
      </c>
      <c r="E544" s="94">
        <v>44677</v>
      </c>
      <c r="F544" s="91" t="s">
        <v>7024</v>
      </c>
      <c r="G544" s="223">
        <f t="shared" si="16"/>
        <v>10</v>
      </c>
      <c r="H544" s="222">
        <f t="shared" si="17"/>
        <v>20163758</v>
      </c>
    </row>
    <row r="545" spans="1:8" hidden="1">
      <c r="A545" s="87">
        <v>32115718</v>
      </c>
      <c r="B545" s="88" t="s">
        <v>2389</v>
      </c>
      <c r="C545" s="88" t="s">
        <v>2390</v>
      </c>
      <c r="D545" s="88" t="s">
        <v>8579</v>
      </c>
      <c r="E545" s="94">
        <v>44677</v>
      </c>
      <c r="F545" s="91" t="s">
        <v>7027</v>
      </c>
      <c r="G545" s="223">
        <f t="shared" si="16"/>
        <v>17</v>
      </c>
      <c r="H545" s="222">
        <f t="shared" si="17"/>
        <v>32115718</v>
      </c>
    </row>
    <row r="546" spans="1:8" hidden="1">
      <c r="A546" s="87">
        <v>21829333</v>
      </c>
      <c r="B546" s="88" t="s">
        <v>3244</v>
      </c>
      <c r="C546" s="88" t="s">
        <v>6578</v>
      </c>
      <c r="D546" s="88" t="s">
        <v>8579</v>
      </c>
      <c r="E546" s="94">
        <v>44677</v>
      </c>
      <c r="F546" s="91" t="s">
        <v>7027</v>
      </c>
      <c r="G546" s="223">
        <f t="shared" si="16"/>
        <v>27</v>
      </c>
      <c r="H546" s="222">
        <f t="shared" si="17"/>
        <v>21829333</v>
      </c>
    </row>
    <row r="547" spans="1:8" hidden="1">
      <c r="A547" s="87">
        <v>27016279</v>
      </c>
      <c r="B547" s="88" t="s">
        <v>6591</v>
      </c>
      <c r="C547" s="88" t="s">
        <v>6592</v>
      </c>
      <c r="D547" s="88" t="s">
        <v>8579</v>
      </c>
      <c r="E547" s="94">
        <v>44677</v>
      </c>
      <c r="F547" s="91" t="s">
        <v>6853</v>
      </c>
      <c r="G547" s="223">
        <f t="shared" si="16"/>
        <v>45</v>
      </c>
      <c r="H547" s="222">
        <f t="shared" si="17"/>
        <v>27016279</v>
      </c>
    </row>
    <row r="548" spans="1:8" hidden="1">
      <c r="A548" s="87">
        <v>27206329</v>
      </c>
      <c r="B548" s="88" t="s">
        <v>2243</v>
      </c>
      <c r="C548" s="88" t="s">
        <v>6570</v>
      </c>
      <c r="D548" s="88" t="s">
        <v>8579</v>
      </c>
      <c r="E548" s="94">
        <v>44677</v>
      </c>
      <c r="F548" s="91" t="s">
        <v>6853</v>
      </c>
      <c r="G548" s="223">
        <f t="shared" si="16"/>
        <v>20</v>
      </c>
      <c r="H548" s="222">
        <f t="shared" si="17"/>
        <v>27206329</v>
      </c>
    </row>
    <row r="549" spans="1:8" hidden="1">
      <c r="A549" s="87">
        <v>27751892</v>
      </c>
      <c r="B549" s="88" t="s">
        <v>461</v>
      </c>
      <c r="C549" s="88" t="s">
        <v>1621</v>
      </c>
      <c r="D549" s="88" t="s">
        <v>8579</v>
      </c>
      <c r="E549" s="94">
        <v>44677</v>
      </c>
      <c r="F549" s="91" t="s">
        <v>7024</v>
      </c>
      <c r="G549" s="223">
        <f t="shared" si="16"/>
        <v>17</v>
      </c>
      <c r="H549" s="222">
        <f t="shared" si="17"/>
        <v>27751892</v>
      </c>
    </row>
    <row r="550" spans="1:8" hidden="1">
      <c r="A550" s="87">
        <v>43650528</v>
      </c>
      <c r="B550" s="88" t="s">
        <v>6566</v>
      </c>
      <c r="C550" s="88" t="s">
        <v>6567</v>
      </c>
      <c r="D550" s="88" t="s">
        <v>8579</v>
      </c>
      <c r="E550" s="94">
        <v>44677</v>
      </c>
      <c r="F550" s="91" t="s">
        <v>7024</v>
      </c>
      <c r="G550" s="223" t="str">
        <f t="shared" si="16"/>
        <v>sin dato</v>
      </c>
      <c r="H550" s="222" t="str">
        <f t="shared" si="17"/>
        <v>999</v>
      </c>
    </row>
    <row r="551" spans="1:8" hidden="1">
      <c r="A551" s="87">
        <v>20889207</v>
      </c>
      <c r="B551" s="88" t="s">
        <v>6584</v>
      </c>
      <c r="C551" s="88" t="s">
        <v>6585</v>
      </c>
      <c r="D551" s="88" t="s">
        <v>8579</v>
      </c>
      <c r="E551" s="94">
        <v>44677</v>
      </c>
      <c r="F551" s="91" t="s">
        <v>7024</v>
      </c>
      <c r="G551" s="223">
        <f t="shared" si="16"/>
        <v>17</v>
      </c>
      <c r="H551" s="222">
        <f t="shared" si="17"/>
        <v>20889207</v>
      </c>
    </row>
    <row r="552" spans="1:8" hidden="1">
      <c r="A552" s="92">
        <v>27732258</v>
      </c>
      <c r="B552" s="88" t="s">
        <v>1385</v>
      </c>
      <c r="C552" s="88" t="s">
        <v>74</v>
      </c>
      <c r="D552" s="88" t="s">
        <v>7018</v>
      </c>
      <c r="E552" s="94">
        <v>44676</v>
      </c>
      <c r="F552" s="91" t="s">
        <v>6853</v>
      </c>
      <c r="G552" s="223">
        <f t="shared" si="16"/>
        <v>14</v>
      </c>
      <c r="H552" s="222">
        <f t="shared" si="17"/>
        <v>27732258</v>
      </c>
    </row>
    <row r="553" spans="1:8" hidden="1">
      <c r="A553" s="87">
        <v>24200086</v>
      </c>
      <c r="B553" s="88" t="s">
        <v>2364</v>
      </c>
      <c r="C553" s="88" t="s">
        <v>2365</v>
      </c>
      <c r="D553" s="88" t="s">
        <v>7018</v>
      </c>
      <c r="E553" s="94">
        <v>44676</v>
      </c>
      <c r="F553" s="91" t="s">
        <v>7027</v>
      </c>
      <c r="G553" s="223">
        <f t="shared" si="16"/>
        <v>17</v>
      </c>
      <c r="H553" s="222">
        <f t="shared" si="17"/>
        <v>24200086</v>
      </c>
    </row>
    <row r="554" spans="1:8" hidden="1">
      <c r="A554" s="87">
        <v>33050022</v>
      </c>
      <c r="B554" s="88" t="s">
        <v>3474</v>
      </c>
      <c r="C554" s="88" t="s">
        <v>3916</v>
      </c>
      <c r="D554" s="88" t="s">
        <v>7018</v>
      </c>
      <c r="E554" s="94">
        <v>44676</v>
      </c>
      <c r="F554" s="91" t="s">
        <v>6853</v>
      </c>
      <c r="G554" s="223">
        <f t="shared" si="16"/>
        <v>20</v>
      </c>
      <c r="H554" s="222">
        <f t="shared" si="17"/>
        <v>33050022</v>
      </c>
    </row>
    <row r="555" spans="1:8" hidden="1">
      <c r="A555" s="87">
        <v>20418286</v>
      </c>
      <c r="B555" s="88" t="s">
        <v>4357</v>
      </c>
      <c r="C555" s="88" t="s">
        <v>4358</v>
      </c>
      <c r="D555" s="88" t="s">
        <v>7018</v>
      </c>
      <c r="E555" s="94">
        <v>44676</v>
      </c>
      <c r="F555" s="91" t="s">
        <v>6853</v>
      </c>
      <c r="G555" s="223">
        <f t="shared" si="16"/>
        <v>21</v>
      </c>
      <c r="H555" s="222">
        <f t="shared" si="17"/>
        <v>20418286</v>
      </c>
    </row>
    <row r="556" spans="1:8" hidden="1">
      <c r="A556" s="87">
        <v>20418941</v>
      </c>
      <c r="B556" s="88" t="s">
        <v>1798</v>
      </c>
      <c r="C556" s="88" t="s">
        <v>6663</v>
      </c>
      <c r="D556" s="88" t="s">
        <v>7018</v>
      </c>
      <c r="E556" s="94">
        <v>44676</v>
      </c>
      <c r="F556" s="91" t="s">
        <v>7027</v>
      </c>
      <c r="G556" s="223">
        <f t="shared" si="16"/>
        <v>7</v>
      </c>
      <c r="H556" s="222">
        <f t="shared" si="17"/>
        <v>20418941</v>
      </c>
    </row>
    <row r="557" spans="1:8" hidden="1">
      <c r="A557" s="92">
        <v>25542010</v>
      </c>
      <c r="B557" s="88" t="s">
        <v>6601</v>
      </c>
      <c r="C557" s="88" t="s">
        <v>6602</v>
      </c>
      <c r="D557" s="88" t="s">
        <v>7018</v>
      </c>
      <c r="E557" s="94">
        <v>44676</v>
      </c>
      <c r="F557" s="91" t="s">
        <v>6853</v>
      </c>
      <c r="G557" s="223">
        <f t="shared" si="16"/>
        <v>7</v>
      </c>
      <c r="H557" s="222">
        <f t="shared" si="17"/>
        <v>25542010</v>
      </c>
    </row>
    <row r="558" spans="1:8" hidden="1">
      <c r="A558" s="92">
        <v>25255423</v>
      </c>
      <c r="B558" s="88" t="s">
        <v>2082</v>
      </c>
      <c r="C558" s="88" t="s">
        <v>6667</v>
      </c>
      <c r="D558" s="88" t="s">
        <v>7018</v>
      </c>
      <c r="E558" s="94">
        <v>44676</v>
      </c>
      <c r="F558" s="91" t="s">
        <v>6853</v>
      </c>
      <c r="G558" s="223">
        <f t="shared" si="16"/>
        <v>20</v>
      </c>
      <c r="H558" s="222">
        <f t="shared" si="17"/>
        <v>25255423</v>
      </c>
    </row>
    <row r="559" spans="1:8" hidden="1">
      <c r="A559" s="87">
        <v>23387097</v>
      </c>
      <c r="B559" s="88" t="s">
        <v>3842</v>
      </c>
      <c r="C559" s="88" t="s">
        <v>902</v>
      </c>
      <c r="D559" s="88" t="s">
        <v>7018</v>
      </c>
      <c r="E559" s="94">
        <v>44676</v>
      </c>
      <c r="F559" s="91" t="s">
        <v>6853</v>
      </c>
      <c r="G559" s="223">
        <f t="shared" si="16"/>
        <v>20</v>
      </c>
      <c r="H559" s="222">
        <f t="shared" si="17"/>
        <v>23387097</v>
      </c>
    </row>
    <row r="560" spans="1:8" hidden="1">
      <c r="A560" s="87">
        <v>31425836</v>
      </c>
      <c r="B560" s="88" t="s">
        <v>4067</v>
      </c>
      <c r="C560" s="88" t="s">
        <v>4068</v>
      </c>
      <c r="D560" s="88" t="s">
        <v>7018</v>
      </c>
      <c r="E560" s="94">
        <v>44676</v>
      </c>
      <c r="F560" s="91" t="s">
        <v>7027</v>
      </c>
      <c r="G560" s="223">
        <f t="shared" si="16"/>
        <v>30</v>
      </c>
      <c r="H560" s="222">
        <f t="shared" si="17"/>
        <v>31425836</v>
      </c>
    </row>
    <row r="561" spans="1:8" hidden="1">
      <c r="A561" s="87">
        <v>27751892</v>
      </c>
      <c r="B561" s="88" t="s">
        <v>461</v>
      </c>
      <c r="C561" s="88" t="s">
        <v>1621</v>
      </c>
      <c r="D561" s="88" t="s">
        <v>7018</v>
      </c>
      <c r="E561" s="94">
        <v>44676</v>
      </c>
      <c r="F561" s="91" t="s">
        <v>6853</v>
      </c>
      <c r="G561" s="223">
        <f t="shared" si="16"/>
        <v>17</v>
      </c>
      <c r="H561" s="222">
        <f t="shared" si="17"/>
        <v>27751892</v>
      </c>
    </row>
    <row r="562" spans="1:8" hidden="1">
      <c r="A562" s="87">
        <v>43650528</v>
      </c>
      <c r="B562" s="88" t="s">
        <v>6566</v>
      </c>
      <c r="C562" s="88" t="s">
        <v>6567</v>
      </c>
      <c r="D562" s="88" t="s">
        <v>7018</v>
      </c>
      <c r="E562" s="94">
        <v>44676</v>
      </c>
      <c r="F562" s="91" t="s">
        <v>6853</v>
      </c>
      <c r="G562" s="223" t="str">
        <f t="shared" si="16"/>
        <v>sin dato</v>
      </c>
      <c r="H562" s="222" t="str">
        <f t="shared" si="17"/>
        <v>999</v>
      </c>
    </row>
    <row r="563" spans="1:8" hidden="1">
      <c r="A563" s="87">
        <v>24059021</v>
      </c>
      <c r="B563" s="88" t="s">
        <v>3887</v>
      </c>
      <c r="C563" s="88" t="s">
        <v>3888</v>
      </c>
      <c r="D563" s="88" t="s">
        <v>7018</v>
      </c>
      <c r="E563" s="94">
        <v>44676</v>
      </c>
      <c r="F563" s="91" t="s">
        <v>6853</v>
      </c>
      <c r="G563" s="223">
        <f t="shared" si="16"/>
        <v>20</v>
      </c>
      <c r="H563" s="222">
        <f t="shared" si="17"/>
        <v>24059021</v>
      </c>
    </row>
    <row r="564" spans="1:8" hidden="1">
      <c r="A564" s="87">
        <v>36049481</v>
      </c>
      <c r="B564" s="88" t="s">
        <v>6632</v>
      </c>
      <c r="C564" s="88" t="s">
        <v>6633</v>
      </c>
      <c r="D564" s="88" t="s">
        <v>8580</v>
      </c>
      <c r="E564" s="94">
        <v>44673</v>
      </c>
      <c r="F564" s="91" t="s">
        <v>6853</v>
      </c>
      <c r="G564" s="223" t="str">
        <f t="shared" si="16"/>
        <v>sin dato</v>
      </c>
      <c r="H564" s="222" t="str">
        <f t="shared" si="17"/>
        <v>999</v>
      </c>
    </row>
    <row r="565" spans="1:8" hidden="1">
      <c r="A565" s="87">
        <v>34133155</v>
      </c>
      <c r="B565" s="88" t="s">
        <v>6619</v>
      </c>
      <c r="C565" s="88" t="s">
        <v>6620</v>
      </c>
      <c r="D565" s="88" t="s">
        <v>8580</v>
      </c>
      <c r="E565" s="94">
        <v>44673</v>
      </c>
      <c r="F565" s="91" t="s">
        <v>6853</v>
      </c>
      <c r="G565" s="223">
        <f t="shared" si="16"/>
        <v>31</v>
      </c>
      <c r="H565" s="222">
        <f t="shared" si="17"/>
        <v>34133155</v>
      </c>
    </row>
    <row r="566" spans="1:8" hidden="1">
      <c r="A566" s="87">
        <v>17040565</v>
      </c>
      <c r="B566" s="88" t="s">
        <v>1665</v>
      </c>
      <c r="C566" s="88" t="s">
        <v>1666</v>
      </c>
      <c r="D566" s="88" t="s">
        <v>8580</v>
      </c>
      <c r="E566" s="94">
        <v>44673</v>
      </c>
      <c r="F566" s="91" t="s">
        <v>6853</v>
      </c>
      <c r="G566" s="223">
        <f t="shared" si="16"/>
        <v>15</v>
      </c>
      <c r="H566" s="222">
        <f t="shared" si="17"/>
        <v>17040565</v>
      </c>
    </row>
    <row r="567" spans="1:8" hidden="1">
      <c r="A567" s="92">
        <v>30117418</v>
      </c>
      <c r="B567" s="88" t="s">
        <v>6615</v>
      </c>
      <c r="C567" s="88" t="s">
        <v>97</v>
      </c>
      <c r="D567" s="88" t="s">
        <v>8580</v>
      </c>
      <c r="E567" s="94">
        <v>44673</v>
      </c>
      <c r="F567" s="91" t="s">
        <v>6853</v>
      </c>
      <c r="G567" s="223">
        <f t="shared" si="16"/>
        <v>3</v>
      </c>
      <c r="H567" s="222">
        <f t="shared" si="17"/>
        <v>30117418</v>
      </c>
    </row>
    <row r="568" spans="1:8" hidden="1">
      <c r="A568" s="87">
        <v>24553486</v>
      </c>
      <c r="B568" s="88" t="s">
        <v>94</v>
      </c>
      <c r="C568" s="88" t="s">
        <v>2260</v>
      </c>
      <c r="D568" s="88" t="s">
        <v>8580</v>
      </c>
      <c r="E568" s="94">
        <v>44673</v>
      </c>
      <c r="F568" s="91" t="s">
        <v>7027</v>
      </c>
      <c r="G568" s="223">
        <f t="shared" si="16"/>
        <v>5</v>
      </c>
      <c r="H568" s="222">
        <f t="shared" si="17"/>
        <v>24553486</v>
      </c>
    </row>
    <row r="569" spans="1:8" hidden="1">
      <c r="A569" s="87">
        <v>18661195</v>
      </c>
      <c r="B569" s="88" t="s">
        <v>6637</v>
      </c>
      <c r="C569" s="88" t="s">
        <v>6638</v>
      </c>
      <c r="D569" s="88" t="s">
        <v>8580</v>
      </c>
      <c r="E569" s="94">
        <v>44673</v>
      </c>
      <c r="F569" s="91" t="s">
        <v>6853</v>
      </c>
      <c r="G569" s="223">
        <f t="shared" si="16"/>
        <v>11</v>
      </c>
      <c r="H569" s="222">
        <f t="shared" si="17"/>
        <v>18661195</v>
      </c>
    </row>
    <row r="570" spans="1:8" hidden="1">
      <c r="A570" s="87">
        <v>23239528</v>
      </c>
      <c r="B570" s="88" t="s">
        <v>4981</v>
      </c>
      <c r="C570" s="88" t="s">
        <v>4982</v>
      </c>
      <c r="D570" s="88" t="s">
        <v>8580</v>
      </c>
      <c r="E570" s="94">
        <v>44673</v>
      </c>
      <c r="F570" s="91" t="s">
        <v>9302</v>
      </c>
      <c r="G570" s="223" t="str">
        <f t="shared" si="16"/>
        <v>sin dato</v>
      </c>
      <c r="H570" s="222">
        <f t="shared" si="17"/>
        <v>23239528</v>
      </c>
    </row>
    <row r="571" spans="1:8" hidden="1">
      <c r="A571" s="87">
        <v>22672564</v>
      </c>
      <c r="B571" s="88" t="s">
        <v>4004</v>
      </c>
      <c r="C571" s="88" t="s">
        <v>4005</v>
      </c>
      <c r="D571" s="88" t="s">
        <v>8580</v>
      </c>
      <c r="E571" s="94">
        <v>44673</v>
      </c>
      <c r="F571" s="91" t="s">
        <v>6853</v>
      </c>
      <c r="G571" s="223">
        <f t="shared" si="16"/>
        <v>30</v>
      </c>
      <c r="H571" s="222">
        <f t="shared" si="17"/>
        <v>22672564</v>
      </c>
    </row>
    <row r="572" spans="1:8" hidden="1">
      <c r="A572" s="87">
        <v>33332235</v>
      </c>
      <c r="B572" s="88" t="s">
        <v>144</v>
      </c>
      <c r="C572" s="88" t="s">
        <v>5860</v>
      </c>
      <c r="D572" s="88" t="s">
        <v>8580</v>
      </c>
      <c r="E572" s="94">
        <v>44673</v>
      </c>
      <c r="F572" s="91" t="s">
        <v>6853</v>
      </c>
      <c r="G572" s="223">
        <f t="shared" si="16"/>
        <v>3</v>
      </c>
      <c r="H572" s="222">
        <f t="shared" si="17"/>
        <v>33332235</v>
      </c>
    </row>
    <row r="573" spans="1:8" hidden="1">
      <c r="A573" s="87">
        <v>14481504</v>
      </c>
      <c r="B573" s="88" t="s">
        <v>1032</v>
      </c>
      <c r="C573" s="88" t="s">
        <v>4723</v>
      </c>
      <c r="D573" s="88" t="s">
        <v>8580</v>
      </c>
      <c r="E573" s="94">
        <v>44673</v>
      </c>
      <c r="F573" s="91" t="s">
        <v>6853</v>
      </c>
      <c r="G573" s="223">
        <f t="shared" si="16"/>
        <v>23</v>
      </c>
      <c r="H573" s="222">
        <f t="shared" si="17"/>
        <v>14481504</v>
      </c>
    </row>
    <row r="574" spans="1:8" hidden="1">
      <c r="A574" s="87">
        <v>25844148</v>
      </c>
      <c r="B574" s="88" t="s">
        <v>199</v>
      </c>
      <c r="C574" s="88" t="s">
        <v>2005</v>
      </c>
      <c r="D574" s="88" t="s">
        <v>8580</v>
      </c>
      <c r="E574" s="94">
        <v>44673</v>
      </c>
      <c r="F574" s="91" t="s">
        <v>6853</v>
      </c>
      <c r="G574" s="223">
        <f t="shared" si="16"/>
        <v>16</v>
      </c>
      <c r="H574" s="222">
        <f t="shared" si="17"/>
        <v>25844148</v>
      </c>
    </row>
    <row r="575" spans="1:8" hidden="1">
      <c r="A575" s="87">
        <v>34910721</v>
      </c>
      <c r="B575" s="88" t="s">
        <v>1715</v>
      </c>
      <c r="C575" s="88" t="s">
        <v>906</v>
      </c>
      <c r="D575" s="88" t="s">
        <v>8580</v>
      </c>
      <c r="E575" s="94">
        <v>44673</v>
      </c>
      <c r="F575" s="91" t="s">
        <v>6853</v>
      </c>
      <c r="G575" s="223">
        <f t="shared" si="16"/>
        <v>15</v>
      </c>
      <c r="H575" s="222">
        <f t="shared" si="17"/>
        <v>34910721</v>
      </c>
    </row>
    <row r="576" spans="1:8" hidden="1">
      <c r="A576" s="87">
        <v>34356805</v>
      </c>
      <c r="B576" s="88" t="s">
        <v>650</v>
      </c>
      <c r="C576" s="88" t="s">
        <v>4021</v>
      </c>
      <c r="D576" s="88" t="s">
        <v>8580</v>
      </c>
      <c r="E576" s="94">
        <v>44673</v>
      </c>
      <c r="F576" s="91" t="s">
        <v>9302</v>
      </c>
      <c r="G576" s="223">
        <f t="shared" si="16"/>
        <v>30</v>
      </c>
      <c r="H576" s="222">
        <f t="shared" si="17"/>
        <v>34356805</v>
      </c>
    </row>
    <row r="577" spans="1:8" hidden="1">
      <c r="A577" s="87">
        <v>37511447</v>
      </c>
      <c r="B577" s="88" t="s">
        <v>2725</v>
      </c>
      <c r="C577" s="88" t="s">
        <v>2726</v>
      </c>
      <c r="D577" s="88" t="s">
        <v>8580</v>
      </c>
      <c r="E577" s="94">
        <v>44673</v>
      </c>
      <c r="F577" s="91" t="s">
        <v>7027</v>
      </c>
      <c r="G577" s="223" t="str">
        <f t="shared" si="16"/>
        <v>sin dato</v>
      </c>
      <c r="H577" s="222" t="str">
        <f t="shared" si="17"/>
        <v>999</v>
      </c>
    </row>
    <row r="578" spans="1:8" hidden="1">
      <c r="A578" s="87">
        <v>37096427</v>
      </c>
      <c r="B578" s="88" t="s">
        <v>670</v>
      </c>
      <c r="C578" s="88" t="s">
        <v>3352</v>
      </c>
      <c r="D578" s="88" t="s">
        <v>8580</v>
      </c>
      <c r="E578" s="94">
        <v>44673</v>
      </c>
      <c r="F578" s="91" t="s">
        <v>7024</v>
      </c>
      <c r="G578" s="223" t="str">
        <f t="shared" ref="G578:G641" si="18">IFERROR(INDEX(unidad,MATCH(VLOOKUP(A578,alum,9,0),unidad2,0),1),"sin dato")</f>
        <v>sin dato</v>
      </c>
      <c r="H578" s="222" t="str">
        <f t="shared" ref="H578:H641" si="19">IFERROR(VLOOKUP(A578,alum,1,0),"999")</f>
        <v>999</v>
      </c>
    </row>
    <row r="579" spans="1:8" hidden="1">
      <c r="A579" s="87">
        <v>23517981</v>
      </c>
      <c r="B579" s="88" t="s">
        <v>6647</v>
      </c>
      <c r="C579" s="88" t="s">
        <v>938</v>
      </c>
      <c r="D579" s="88" t="s">
        <v>8580</v>
      </c>
      <c r="E579" s="94">
        <v>44673</v>
      </c>
      <c r="F579" s="91" t="s">
        <v>9302</v>
      </c>
      <c r="G579" s="223">
        <f t="shared" si="18"/>
        <v>28</v>
      </c>
      <c r="H579" s="222">
        <f t="shared" si="19"/>
        <v>23517981</v>
      </c>
    </row>
    <row r="580" spans="1:8" hidden="1">
      <c r="A580" s="87">
        <v>37096982</v>
      </c>
      <c r="B580" s="88" t="s">
        <v>6183</v>
      </c>
      <c r="C580" s="88" t="s">
        <v>902</v>
      </c>
      <c r="D580" s="88" t="s">
        <v>8580</v>
      </c>
      <c r="E580" s="94">
        <v>44673</v>
      </c>
      <c r="F580" s="91" t="s">
        <v>7027</v>
      </c>
      <c r="G580" s="223" t="str">
        <f t="shared" si="18"/>
        <v>sin dato</v>
      </c>
      <c r="H580" s="222" t="str">
        <f t="shared" si="19"/>
        <v>999</v>
      </c>
    </row>
    <row r="581" spans="1:8" hidden="1">
      <c r="A581" s="87">
        <v>22664180</v>
      </c>
      <c r="B581" s="88" t="s">
        <v>252</v>
      </c>
      <c r="C581" s="88" t="s">
        <v>2979</v>
      </c>
      <c r="D581" s="88" t="s">
        <v>8580</v>
      </c>
      <c r="E581" s="94">
        <v>44673</v>
      </c>
      <c r="F581" s="91" t="s">
        <v>7024</v>
      </c>
      <c r="G581" s="223">
        <f t="shared" si="18"/>
        <v>19</v>
      </c>
      <c r="H581" s="222">
        <f t="shared" si="19"/>
        <v>22664180</v>
      </c>
    </row>
    <row r="582" spans="1:8" hidden="1">
      <c r="A582" s="87">
        <v>16091162</v>
      </c>
      <c r="B582" s="88" t="s">
        <v>5866</v>
      </c>
      <c r="C582" s="88" t="s">
        <v>5867</v>
      </c>
      <c r="D582" s="88" t="s">
        <v>8580</v>
      </c>
      <c r="E582" s="94">
        <v>44673</v>
      </c>
      <c r="F582" s="91" t="s">
        <v>7027</v>
      </c>
      <c r="G582" s="223">
        <f t="shared" si="18"/>
        <v>3</v>
      </c>
      <c r="H582" s="222">
        <f t="shared" si="19"/>
        <v>16091162</v>
      </c>
    </row>
    <row r="583" spans="1:8" hidden="1">
      <c r="A583" s="87">
        <v>22899316</v>
      </c>
      <c r="B583" s="88" t="s">
        <v>690</v>
      </c>
      <c r="C583" s="88" t="s">
        <v>139</v>
      </c>
      <c r="D583" s="88" t="s">
        <v>8580</v>
      </c>
      <c r="E583" s="94">
        <v>44673</v>
      </c>
      <c r="F583" s="91" t="s">
        <v>6853</v>
      </c>
      <c r="G583" s="223">
        <f t="shared" si="18"/>
        <v>23</v>
      </c>
      <c r="H583" s="222">
        <f t="shared" si="19"/>
        <v>22899316</v>
      </c>
    </row>
    <row r="584" spans="1:8" hidden="1">
      <c r="A584" s="87">
        <v>17614923</v>
      </c>
      <c r="B584" s="88" t="s">
        <v>690</v>
      </c>
      <c r="C584" s="88" t="s">
        <v>922</v>
      </c>
      <c r="D584" s="88" t="s">
        <v>8580</v>
      </c>
      <c r="E584" s="94">
        <v>44673</v>
      </c>
      <c r="F584" s="91" t="s">
        <v>6853</v>
      </c>
      <c r="G584" s="223">
        <f t="shared" si="18"/>
        <v>19</v>
      </c>
      <c r="H584" s="222">
        <f t="shared" si="19"/>
        <v>17614923</v>
      </c>
    </row>
    <row r="585" spans="1:8" hidden="1">
      <c r="A585" s="87">
        <v>25498993</v>
      </c>
      <c r="B585" s="88" t="s">
        <v>511</v>
      </c>
      <c r="C585" s="88" t="s">
        <v>5871</v>
      </c>
      <c r="D585" s="88" t="s">
        <v>8580</v>
      </c>
      <c r="E585" s="94">
        <v>44673</v>
      </c>
      <c r="F585" s="91" t="s">
        <v>6853</v>
      </c>
      <c r="G585" s="223">
        <f t="shared" si="18"/>
        <v>3</v>
      </c>
      <c r="H585" s="222">
        <f t="shared" si="19"/>
        <v>25498993</v>
      </c>
    </row>
    <row r="586" spans="1:8" hidden="1">
      <c r="A586" s="87">
        <v>21829290</v>
      </c>
      <c r="B586" s="88" t="s">
        <v>2521</v>
      </c>
      <c r="C586" s="88" t="s">
        <v>2522</v>
      </c>
      <c r="D586" s="88" t="s">
        <v>8580</v>
      </c>
      <c r="E586" s="94">
        <v>44673</v>
      </c>
      <c r="F586" s="91" t="s">
        <v>6853</v>
      </c>
      <c r="G586" s="223">
        <f t="shared" si="18"/>
        <v>18</v>
      </c>
      <c r="H586" s="222">
        <f t="shared" si="19"/>
        <v>21829290</v>
      </c>
    </row>
    <row r="587" spans="1:8" hidden="1">
      <c r="A587" s="87">
        <v>31030485</v>
      </c>
      <c r="B587" s="88" t="s">
        <v>6643</v>
      </c>
      <c r="C587" s="88" t="s">
        <v>6644</v>
      </c>
      <c r="D587" s="88" t="s">
        <v>8580</v>
      </c>
      <c r="E587" s="94">
        <v>44673</v>
      </c>
      <c r="F587" s="91" t="s">
        <v>6853</v>
      </c>
      <c r="G587" s="223">
        <f t="shared" si="18"/>
        <v>31</v>
      </c>
      <c r="H587" s="222">
        <f t="shared" si="19"/>
        <v>31030485</v>
      </c>
    </row>
    <row r="588" spans="1:8" hidden="1">
      <c r="A588" s="87">
        <v>27594642</v>
      </c>
      <c r="B588" s="88" t="s">
        <v>308</v>
      </c>
      <c r="C588" s="88" t="s">
        <v>2125</v>
      </c>
      <c r="D588" s="88" t="s">
        <v>8580</v>
      </c>
      <c r="E588" s="94">
        <v>44673</v>
      </c>
      <c r="F588" s="91" t="s">
        <v>6853</v>
      </c>
      <c r="G588" s="223">
        <f t="shared" si="18"/>
        <v>16</v>
      </c>
      <c r="H588" s="222">
        <f t="shared" si="19"/>
        <v>27594642</v>
      </c>
    </row>
    <row r="589" spans="1:8" hidden="1">
      <c r="A589" s="87">
        <v>23116307</v>
      </c>
      <c r="B589" s="88" t="s">
        <v>1547</v>
      </c>
      <c r="C589" s="88" t="s">
        <v>1353</v>
      </c>
      <c r="D589" s="88" t="s">
        <v>8580</v>
      </c>
      <c r="E589" s="94">
        <v>44673</v>
      </c>
      <c r="F589" s="91" t="s">
        <v>9302</v>
      </c>
      <c r="G589" s="223">
        <f t="shared" si="18"/>
        <v>19</v>
      </c>
      <c r="H589" s="222">
        <f t="shared" si="19"/>
        <v>23116307</v>
      </c>
    </row>
    <row r="590" spans="1:8" hidden="1">
      <c r="A590" s="92">
        <v>34185816</v>
      </c>
      <c r="B590" s="88" t="s">
        <v>6533</v>
      </c>
      <c r="C590" s="88" t="s">
        <v>6534</v>
      </c>
      <c r="D590" s="88" t="s">
        <v>8580</v>
      </c>
      <c r="E590" s="94">
        <v>44673</v>
      </c>
      <c r="F590" s="91" t="s">
        <v>6853</v>
      </c>
      <c r="G590" s="223">
        <f t="shared" si="18"/>
        <v>10</v>
      </c>
      <c r="H590" s="222">
        <f t="shared" si="19"/>
        <v>34185816</v>
      </c>
    </row>
    <row r="591" spans="1:8" hidden="1">
      <c r="A591" s="87">
        <v>31589704</v>
      </c>
      <c r="B591" s="88" t="s">
        <v>6304</v>
      </c>
      <c r="C591" s="88" t="s">
        <v>6305</v>
      </c>
      <c r="D591" s="88" t="s">
        <v>8580</v>
      </c>
      <c r="E591" s="94">
        <v>44673</v>
      </c>
      <c r="F591" s="91" t="s">
        <v>6853</v>
      </c>
      <c r="G591" s="223">
        <f t="shared" si="18"/>
        <v>3</v>
      </c>
      <c r="H591" s="222">
        <f t="shared" si="19"/>
        <v>31589704</v>
      </c>
    </row>
    <row r="592" spans="1:8" hidden="1">
      <c r="A592" s="87">
        <v>26501156</v>
      </c>
      <c r="B592" s="88" t="s">
        <v>2163</v>
      </c>
      <c r="C592" s="88" t="s">
        <v>2164</v>
      </c>
      <c r="D592" s="88" t="s">
        <v>8580</v>
      </c>
      <c r="E592" s="94">
        <v>44673</v>
      </c>
      <c r="F592" s="91" t="s">
        <v>6853</v>
      </c>
      <c r="G592" s="223">
        <f t="shared" si="18"/>
        <v>16</v>
      </c>
      <c r="H592" s="222">
        <f t="shared" si="19"/>
        <v>26501156</v>
      </c>
    </row>
    <row r="593" spans="1:8" hidden="1">
      <c r="A593" s="87">
        <v>33374199</v>
      </c>
      <c r="B593" s="88" t="s">
        <v>2576</v>
      </c>
      <c r="C593" s="88" t="s">
        <v>3813</v>
      </c>
      <c r="D593" s="88" t="s">
        <v>8580</v>
      </c>
      <c r="E593" s="94">
        <v>44673</v>
      </c>
      <c r="F593" s="91" t="s">
        <v>7024</v>
      </c>
      <c r="G593" s="223">
        <f t="shared" si="18"/>
        <v>20</v>
      </c>
      <c r="H593" s="222">
        <f t="shared" si="19"/>
        <v>33374199</v>
      </c>
    </row>
    <row r="594" spans="1:8" hidden="1">
      <c r="A594" s="87">
        <v>25542010</v>
      </c>
      <c r="B594" s="88" t="s">
        <v>6601</v>
      </c>
      <c r="C594" s="88" t="s">
        <v>6602</v>
      </c>
      <c r="D594" s="88" t="s">
        <v>8580</v>
      </c>
      <c r="E594" s="94">
        <v>44673</v>
      </c>
      <c r="F594" s="91" t="s">
        <v>6853</v>
      </c>
      <c r="G594" s="223">
        <f t="shared" si="18"/>
        <v>7</v>
      </c>
      <c r="H594" s="222">
        <f t="shared" si="19"/>
        <v>25542010</v>
      </c>
    </row>
    <row r="595" spans="1:8" hidden="1">
      <c r="A595" s="87">
        <v>33374371</v>
      </c>
      <c r="B595" s="88" t="s">
        <v>1599</v>
      </c>
      <c r="C595" s="88" t="s">
        <v>223</v>
      </c>
      <c r="D595" s="88" t="s">
        <v>8580</v>
      </c>
      <c r="E595" s="94">
        <v>44673</v>
      </c>
      <c r="F595" s="91" t="s">
        <v>7027</v>
      </c>
      <c r="G595" s="223" t="str">
        <f t="shared" si="18"/>
        <v>sin dato</v>
      </c>
      <c r="H595" s="222">
        <f t="shared" si="19"/>
        <v>33374371</v>
      </c>
    </row>
    <row r="596" spans="1:8" hidden="1">
      <c r="A596" s="87">
        <v>32109721</v>
      </c>
      <c r="B596" s="88" t="s">
        <v>428</v>
      </c>
      <c r="C596" s="88" t="s">
        <v>3549</v>
      </c>
      <c r="D596" s="88" t="s">
        <v>8580</v>
      </c>
      <c r="E596" s="94">
        <v>44673</v>
      </c>
      <c r="F596" s="91" t="s">
        <v>6853</v>
      </c>
      <c r="G596" s="223">
        <f t="shared" si="18"/>
        <v>25</v>
      </c>
      <c r="H596" s="222">
        <f t="shared" si="19"/>
        <v>32109721</v>
      </c>
    </row>
    <row r="597" spans="1:8" hidden="1">
      <c r="A597" s="87">
        <v>40434411</v>
      </c>
      <c r="B597" s="88" t="s">
        <v>6652</v>
      </c>
      <c r="C597" s="88" t="s">
        <v>6653</v>
      </c>
      <c r="D597" s="88" t="s">
        <v>8580</v>
      </c>
      <c r="E597" s="94">
        <v>44673</v>
      </c>
      <c r="F597" s="91" t="s">
        <v>6853</v>
      </c>
      <c r="G597" s="223" t="str">
        <f t="shared" si="18"/>
        <v>sin dato</v>
      </c>
      <c r="H597" s="222" t="str">
        <f t="shared" si="19"/>
        <v>999</v>
      </c>
    </row>
    <row r="598" spans="1:8" hidden="1">
      <c r="A598" s="87">
        <v>17042486</v>
      </c>
      <c r="B598" s="88" t="s">
        <v>2607</v>
      </c>
      <c r="C598" s="88" t="s">
        <v>2608</v>
      </c>
      <c r="D598" s="88" t="s">
        <v>8580</v>
      </c>
      <c r="E598" s="94">
        <v>44673</v>
      </c>
      <c r="F598" s="91" t="s">
        <v>6853</v>
      </c>
      <c r="G598" s="223">
        <f t="shared" si="18"/>
        <v>18</v>
      </c>
      <c r="H598" s="222">
        <f t="shared" si="19"/>
        <v>17042486</v>
      </c>
    </row>
    <row r="599" spans="1:8" hidden="1">
      <c r="A599" s="87">
        <v>36838188</v>
      </c>
      <c r="B599" s="88" t="s">
        <v>875</v>
      </c>
      <c r="C599" s="88" t="s">
        <v>3409</v>
      </c>
      <c r="D599" s="88" t="s">
        <v>8580</v>
      </c>
      <c r="E599" s="94">
        <v>44673</v>
      </c>
      <c r="F599" s="91" t="s">
        <v>7024</v>
      </c>
      <c r="G599" s="223" t="str">
        <f t="shared" si="18"/>
        <v>sin dato</v>
      </c>
      <c r="H599" s="222" t="str">
        <f t="shared" si="19"/>
        <v>999</v>
      </c>
    </row>
    <row r="600" spans="1:8" hidden="1">
      <c r="A600" s="87">
        <v>32853583</v>
      </c>
      <c r="B600" s="88" t="s">
        <v>6658</v>
      </c>
      <c r="C600" s="88" t="s">
        <v>2623</v>
      </c>
      <c r="D600" s="88" t="s">
        <v>8580</v>
      </c>
      <c r="E600" s="94">
        <v>44673</v>
      </c>
      <c r="F600" s="91" t="s">
        <v>7027</v>
      </c>
      <c r="G600" s="223">
        <f t="shared" si="18"/>
        <v>14</v>
      </c>
      <c r="H600" s="222">
        <f t="shared" si="19"/>
        <v>32853583</v>
      </c>
    </row>
    <row r="601" spans="1:8" hidden="1">
      <c r="A601" s="87">
        <v>25734593</v>
      </c>
      <c r="B601" s="88" t="s">
        <v>5433</v>
      </c>
      <c r="C601" s="88" t="s">
        <v>5434</v>
      </c>
      <c r="D601" s="88" t="s">
        <v>8580</v>
      </c>
      <c r="E601" s="94">
        <v>44673</v>
      </c>
      <c r="F601" s="91" t="s">
        <v>7027</v>
      </c>
      <c r="G601" s="223">
        <f t="shared" si="18"/>
        <v>14</v>
      </c>
      <c r="H601" s="222">
        <f t="shared" si="19"/>
        <v>25734593</v>
      </c>
    </row>
    <row r="602" spans="1:8" hidden="1">
      <c r="A602" s="87">
        <v>35485322</v>
      </c>
      <c r="B602" s="88" t="s">
        <v>4227</v>
      </c>
      <c r="C602" s="88" t="s">
        <v>906</v>
      </c>
      <c r="D602" s="88" t="s">
        <v>8580</v>
      </c>
      <c r="E602" s="94">
        <v>44673</v>
      </c>
      <c r="F602" s="91" t="s">
        <v>7027</v>
      </c>
      <c r="G602" s="223" t="str">
        <f t="shared" si="18"/>
        <v>sin dato</v>
      </c>
      <c r="H602" s="222">
        <f t="shared" si="19"/>
        <v>35485322</v>
      </c>
    </row>
    <row r="603" spans="1:8" hidden="1">
      <c r="A603" s="87">
        <v>33541638</v>
      </c>
      <c r="B603" s="88" t="s">
        <v>2310</v>
      </c>
      <c r="C603" s="88" t="s">
        <v>30</v>
      </c>
      <c r="D603" s="88" t="s">
        <v>8580</v>
      </c>
      <c r="E603" s="94">
        <v>44673</v>
      </c>
      <c r="F603" s="91" t="s">
        <v>6853</v>
      </c>
      <c r="G603" s="223">
        <f t="shared" si="18"/>
        <v>16</v>
      </c>
      <c r="H603" s="222">
        <f t="shared" si="19"/>
        <v>33541638</v>
      </c>
    </row>
    <row r="604" spans="1:8" hidden="1">
      <c r="A604" s="92">
        <v>16811869</v>
      </c>
      <c r="B604" s="90" t="s">
        <v>6876</v>
      </c>
      <c r="C604" s="90" t="s">
        <v>6877</v>
      </c>
      <c r="D604" s="90" t="s">
        <v>6852</v>
      </c>
      <c r="E604" s="100">
        <v>44497</v>
      </c>
      <c r="F604" s="91"/>
      <c r="G604" s="223">
        <f t="shared" si="18"/>
        <v>20</v>
      </c>
      <c r="H604" s="222">
        <f t="shared" si="19"/>
        <v>16811869</v>
      </c>
    </row>
    <row r="605" spans="1:8" hidden="1">
      <c r="A605" s="92">
        <v>32158209</v>
      </c>
      <c r="B605" s="90" t="s">
        <v>6856</v>
      </c>
      <c r="C605" s="90" t="s">
        <v>6857</v>
      </c>
      <c r="D605" s="90" t="s">
        <v>6852</v>
      </c>
      <c r="E605" s="100">
        <v>44497</v>
      </c>
      <c r="F605" s="91"/>
      <c r="G605" s="223">
        <f t="shared" si="18"/>
        <v>16</v>
      </c>
      <c r="H605" s="222">
        <f t="shared" si="19"/>
        <v>32158209</v>
      </c>
    </row>
    <row r="606" spans="1:8" hidden="1">
      <c r="A606" s="92">
        <v>17376659</v>
      </c>
      <c r="B606" s="90" t="s">
        <v>6860</v>
      </c>
      <c r="C606" s="90" t="s">
        <v>6861</v>
      </c>
      <c r="D606" s="90" t="s">
        <v>6852</v>
      </c>
      <c r="E606" s="100">
        <v>44497</v>
      </c>
      <c r="F606" s="91"/>
      <c r="G606" s="223" t="str">
        <f t="shared" si="18"/>
        <v>sin dato</v>
      </c>
      <c r="H606" s="222">
        <f t="shared" si="19"/>
        <v>17376659</v>
      </c>
    </row>
    <row r="607" spans="1:8" hidden="1">
      <c r="A607" s="92">
        <v>18661195</v>
      </c>
      <c r="B607" s="90" t="s">
        <v>6866</v>
      </c>
      <c r="C607" s="90" t="s">
        <v>6867</v>
      </c>
      <c r="D607" s="90" t="s">
        <v>6852</v>
      </c>
      <c r="E607" s="100">
        <v>44497</v>
      </c>
      <c r="F607" s="91" t="s">
        <v>6853</v>
      </c>
      <c r="G607" s="223">
        <f t="shared" si="18"/>
        <v>11</v>
      </c>
      <c r="H607" s="222">
        <f t="shared" si="19"/>
        <v>18661195</v>
      </c>
    </row>
    <row r="608" spans="1:8" hidden="1">
      <c r="A608" s="92">
        <v>23239528</v>
      </c>
      <c r="B608" s="90" t="s">
        <v>6862</v>
      </c>
      <c r="C608" s="90" t="s">
        <v>6863</v>
      </c>
      <c r="D608" s="90" t="s">
        <v>6852</v>
      </c>
      <c r="E608" s="100">
        <v>44497</v>
      </c>
      <c r="F608" s="91" t="s">
        <v>6853</v>
      </c>
      <c r="G608" s="223" t="str">
        <f t="shared" si="18"/>
        <v>sin dato</v>
      </c>
      <c r="H608" s="222">
        <f t="shared" si="19"/>
        <v>23239528</v>
      </c>
    </row>
    <row r="609" spans="1:8" hidden="1">
      <c r="A609" s="92">
        <v>27732258</v>
      </c>
      <c r="B609" s="90" t="s">
        <v>6850</v>
      </c>
      <c r="C609" s="90" t="s">
        <v>6851</v>
      </c>
      <c r="D609" s="90" t="s">
        <v>6852</v>
      </c>
      <c r="E609" s="100">
        <v>44497</v>
      </c>
      <c r="F609" s="91" t="s">
        <v>6853</v>
      </c>
      <c r="G609" s="223">
        <f t="shared" si="18"/>
        <v>14</v>
      </c>
      <c r="H609" s="222">
        <f t="shared" si="19"/>
        <v>27732258</v>
      </c>
    </row>
    <row r="610" spans="1:8" hidden="1">
      <c r="A610" s="92">
        <v>13475331</v>
      </c>
      <c r="B610" s="90" t="s">
        <v>6874</v>
      </c>
      <c r="C610" s="90" t="s">
        <v>6875</v>
      </c>
      <c r="D610" s="90" t="s">
        <v>6852</v>
      </c>
      <c r="E610" s="100">
        <v>44497</v>
      </c>
      <c r="F610" s="91" t="s">
        <v>6853</v>
      </c>
      <c r="G610" s="223">
        <f t="shared" si="18"/>
        <v>20</v>
      </c>
      <c r="H610" s="222">
        <f t="shared" si="19"/>
        <v>13475331</v>
      </c>
    </row>
    <row r="611" spans="1:8" hidden="1">
      <c r="A611" s="92">
        <v>28151268</v>
      </c>
      <c r="B611" s="90" t="s">
        <v>6872</v>
      </c>
      <c r="C611" s="90" t="s">
        <v>6873</v>
      </c>
      <c r="D611" s="90" t="s">
        <v>6852</v>
      </c>
      <c r="E611" s="100">
        <v>44497</v>
      </c>
      <c r="F611" s="91"/>
      <c r="G611" s="223">
        <f t="shared" si="18"/>
        <v>20</v>
      </c>
      <c r="H611" s="222">
        <f t="shared" si="19"/>
        <v>28151268</v>
      </c>
    </row>
    <row r="612" spans="1:8" hidden="1">
      <c r="A612" s="92">
        <v>30497540</v>
      </c>
      <c r="B612" s="90" t="s">
        <v>6868</v>
      </c>
      <c r="C612" s="90" t="s">
        <v>6869</v>
      </c>
      <c r="D612" s="90" t="s">
        <v>6852</v>
      </c>
      <c r="E612" s="100">
        <v>44497</v>
      </c>
      <c r="F612" s="91" t="s">
        <v>6853</v>
      </c>
      <c r="G612" s="223">
        <f t="shared" si="18"/>
        <v>33</v>
      </c>
      <c r="H612" s="222">
        <f t="shared" si="19"/>
        <v>30497540</v>
      </c>
    </row>
    <row r="613" spans="1:8" hidden="1">
      <c r="A613" s="92">
        <v>17040933</v>
      </c>
      <c r="B613" s="90" t="s">
        <v>6854</v>
      </c>
      <c r="C613" s="90" t="s">
        <v>6855</v>
      </c>
      <c r="D613" s="90" t="s">
        <v>6852</v>
      </c>
      <c r="E613" s="100">
        <v>44497</v>
      </c>
      <c r="F613" s="91"/>
      <c r="G613" s="223">
        <f t="shared" si="18"/>
        <v>9</v>
      </c>
      <c r="H613" s="222">
        <f t="shared" si="19"/>
        <v>17040933</v>
      </c>
    </row>
    <row r="614" spans="1:8" hidden="1">
      <c r="A614" s="92">
        <v>14984183</v>
      </c>
      <c r="B614" s="90" t="s">
        <v>6858</v>
      </c>
      <c r="C614" s="90" t="s">
        <v>6859</v>
      </c>
      <c r="D614" s="90" t="s">
        <v>6852</v>
      </c>
      <c r="E614" s="100">
        <v>44497</v>
      </c>
      <c r="F614" s="91"/>
      <c r="G614" s="223" t="str">
        <f t="shared" si="18"/>
        <v>sin dato</v>
      </c>
      <c r="H614" s="222">
        <f t="shared" si="19"/>
        <v>14984183</v>
      </c>
    </row>
    <row r="615" spans="1:8" hidden="1">
      <c r="A615" s="92">
        <v>37310478</v>
      </c>
      <c r="B615" s="90" t="s">
        <v>6870</v>
      </c>
      <c r="C615" s="90" t="s">
        <v>6871</v>
      </c>
      <c r="D615" s="90" t="s">
        <v>6852</v>
      </c>
      <c r="E615" s="100">
        <v>44497</v>
      </c>
      <c r="F615" s="91"/>
      <c r="G615" s="223" t="str">
        <f t="shared" si="18"/>
        <v>sin dato</v>
      </c>
      <c r="H615" s="222" t="str">
        <f t="shared" si="19"/>
        <v>999</v>
      </c>
    </row>
    <row r="616" spans="1:8" hidden="1">
      <c r="A616" s="92">
        <v>16425202</v>
      </c>
      <c r="B616" s="90" t="s">
        <v>6864</v>
      </c>
      <c r="C616" s="90" t="s">
        <v>6865</v>
      </c>
      <c r="D616" s="90" t="s">
        <v>6852</v>
      </c>
      <c r="E616" s="100">
        <v>44497</v>
      </c>
      <c r="F616" s="91"/>
      <c r="G616" s="223">
        <f t="shared" si="18"/>
        <v>26</v>
      </c>
      <c r="H616" s="222">
        <f t="shared" si="19"/>
        <v>16425202</v>
      </c>
    </row>
    <row r="617" spans="1:8" hidden="1">
      <c r="A617" s="92">
        <v>14660614</v>
      </c>
      <c r="B617" s="90" t="s">
        <v>6878</v>
      </c>
      <c r="C617" s="90" t="s">
        <v>6879</v>
      </c>
      <c r="D617" s="90" t="s">
        <v>6880</v>
      </c>
      <c r="E617" s="100">
        <v>44475</v>
      </c>
      <c r="F617" s="91" t="s">
        <v>6853</v>
      </c>
      <c r="G617" s="223">
        <f t="shared" si="18"/>
        <v>17</v>
      </c>
      <c r="H617" s="222">
        <f t="shared" si="19"/>
        <v>14660614</v>
      </c>
    </row>
    <row r="618" spans="1:8" hidden="1">
      <c r="A618" s="92">
        <v>27843241</v>
      </c>
      <c r="B618" s="90" t="s">
        <v>6881</v>
      </c>
      <c r="C618" s="90" t="s">
        <v>6882</v>
      </c>
      <c r="D618" s="90" t="s">
        <v>6880</v>
      </c>
      <c r="E618" s="100">
        <v>44475</v>
      </c>
      <c r="F618" s="91"/>
      <c r="G618" s="223">
        <f t="shared" si="18"/>
        <v>11</v>
      </c>
      <c r="H618" s="222">
        <f t="shared" si="19"/>
        <v>27843241</v>
      </c>
    </row>
    <row r="619" spans="1:8" hidden="1">
      <c r="A619" s="92">
        <v>20178395</v>
      </c>
      <c r="B619" s="90" t="s">
        <v>6883</v>
      </c>
      <c r="C619" s="90" t="s">
        <v>6884</v>
      </c>
      <c r="D619" s="90" t="s">
        <v>6880</v>
      </c>
      <c r="E619" s="100">
        <v>44475</v>
      </c>
      <c r="F619" s="91" t="s">
        <v>6853</v>
      </c>
      <c r="G619" s="223">
        <f t="shared" si="18"/>
        <v>17</v>
      </c>
      <c r="H619" s="222">
        <f t="shared" si="19"/>
        <v>20178395</v>
      </c>
    </row>
    <row r="620" spans="1:8" hidden="1">
      <c r="A620" s="92">
        <v>13338617</v>
      </c>
      <c r="B620" s="90" t="s">
        <v>6885</v>
      </c>
      <c r="C620" s="90" t="s">
        <v>6886</v>
      </c>
      <c r="D620" s="90" t="s">
        <v>6880</v>
      </c>
      <c r="E620" s="100">
        <v>44475</v>
      </c>
      <c r="F620" s="91"/>
      <c r="G620" s="223">
        <f t="shared" si="18"/>
        <v>11</v>
      </c>
      <c r="H620" s="222">
        <f t="shared" si="19"/>
        <v>13338617</v>
      </c>
    </row>
    <row r="621" spans="1:8" hidden="1">
      <c r="A621" s="92">
        <v>13338617</v>
      </c>
      <c r="B621" s="90" t="s">
        <v>6887</v>
      </c>
      <c r="C621" s="90" t="s">
        <v>6886</v>
      </c>
      <c r="D621" s="90" t="s">
        <v>6880</v>
      </c>
      <c r="E621" s="100">
        <v>44475</v>
      </c>
      <c r="F621" s="91"/>
      <c r="G621" s="223">
        <f t="shared" si="18"/>
        <v>11</v>
      </c>
      <c r="H621" s="222">
        <f t="shared" si="19"/>
        <v>13338617</v>
      </c>
    </row>
    <row r="622" spans="1:8" hidden="1">
      <c r="A622" s="92">
        <v>24888251</v>
      </c>
      <c r="B622" s="90" t="s">
        <v>6888</v>
      </c>
      <c r="C622" s="90" t="s">
        <v>6889</v>
      </c>
      <c r="D622" s="90" t="s">
        <v>6880</v>
      </c>
      <c r="E622" s="100">
        <v>44475</v>
      </c>
      <c r="F622" s="91"/>
      <c r="G622" s="223">
        <f t="shared" si="18"/>
        <v>23</v>
      </c>
      <c r="H622" s="222">
        <f t="shared" si="19"/>
        <v>24888251</v>
      </c>
    </row>
    <row r="623" spans="1:8" hidden="1">
      <c r="A623" s="92">
        <v>22352293</v>
      </c>
      <c r="B623" s="90" t="s">
        <v>6890</v>
      </c>
      <c r="C623" s="90" t="s">
        <v>6891</v>
      </c>
      <c r="D623" s="90" t="s">
        <v>6880</v>
      </c>
      <c r="E623" s="100">
        <v>44475</v>
      </c>
      <c r="F623" s="91"/>
      <c r="G623" s="223" t="str">
        <f t="shared" si="18"/>
        <v>sin dato</v>
      </c>
      <c r="H623" s="222" t="str">
        <f t="shared" si="19"/>
        <v>999</v>
      </c>
    </row>
    <row r="624" spans="1:8" hidden="1">
      <c r="A624" s="92">
        <v>14410030</v>
      </c>
      <c r="B624" s="90" t="s">
        <v>6892</v>
      </c>
      <c r="C624" s="90" t="s">
        <v>6893</v>
      </c>
      <c r="D624" s="90" t="s">
        <v>6880</v>
      </c>
      <c r="E624" s="100">
        <v>44475</v>
      </c>
      <c r="F624" s="91" t="s">
        <v>6853</v>
      </c>
      <c r="G624" s="223" t="str">
        <f t="shared" si="18"/>
        <v>sin dato</v>
      </c>
      <c r="H624" s="222" t="str">
        <f t="shared" si="19"/>
        <v>999</v>
      </c>
    </row>
    <row r="625" spans="1:8" hidden="1">
      <c r="A625" s="92">
        <v>25922821</v>
      </c>
      <c r="B625" s="90" t="s">
        <v>6894</v>
      </c>
      <c r="C625" s="90" t="s">
        <v>6895</v>
      </c>
      <c r="D625" s="90" t="s">
        <v>6880</v>
      </c>
      <c r="E625" s="100">
        <v>44475</v>
      </c>
      <c r="F625" s="91" t="s">
        <v>6853</v>
      </c>
      <c r="G625" s="223" t="str">
        <f t="shared" si="18"/>
        <v>sin dato</v>
      </c>
      <c r="H625" s="222" t="str">
        <f t="shared" si="19"/>
        <v>999</v>
      </c>
    </row>
    <row r="626" spans="1:8" hidden="1">
      <c r="A626" s="92">
        <v>26028746</v>
      </c>
      <c r="B626" s="90" t="s">
        <v>6896</v>
      </c>
      <c r="C626" s="90" t="s">
        <v>6897</v>
      </c>
      <c r="D626" s="90" t="s">
        <v>6880</v>
      </c>
      <c r="E626" s="100">
        <v>44475</v>
      </c>
      <c r="F626" s="91"/>
      <c r="G626" s="223">
        <f t="shared" si="18"/>
        <v>999</v>
      </c>
      <c r="H626" s="222">
        <f t="shared" si="19"/>
        <v>26028746</v>
      </c>
    </row>
    <row r="627" spans="1:8" hidden="1">
      <c r="A627" s="92">
        <v>17866738</v>
      </c>
      <c r="B627" s="90" t="s">
        <v>6898</v>
      </c>
      <c r="C627" s="90" t="s">
        <v>6899</v>
      </c>
      <c r="D627" s="90" t="s">
        <v>6880</v>
      </c>
      <c r="E627" s="100">
        <v>44475</v>
      </c>
      <c r="F627" s="91" t="s">
        <v>6853</v>
      </c>
      <c r="G627" s="223" t="str">
        <f t="shared" si="18"/>
        <v>sin dato</v>
      </c>
      <c r="H627" s="222">
        <f t="shared" si="19"/>
        <v>17866738</v>
      </c>
    </row>
    <row r="628" spans="1:8" hidden="1">
      <c r="A628" s="92">
        <v>34280634</v>
      </c>
      <c r="B628" s="90" t="s">
        <v>6900</v>
      </c>
      <c r="C628" s="90" t="s">
        <v>6901</v>
      </c>
      <c r="D628" s="90" t="s">
        <v>6880</v>
      </c>
      <c r="E628" s="100">
        <v>44475</v>
      </c>
      <c r="F628" s="91" t="s">
        <v>6853</v>
      </c>
      <c r="G628" s="223" t="str">
        <f t="shared" si="18"/>
        <v>sin dato</v>
      </c>
      <c r="H628" s="222" t="str">
        <f t="shared" si="19"/>
        <v>999</v>
      </c>
    </row>
    <row r="629" spans="1:8" hidden="1">
      <c r="A629" s="92">
        <v>26044644</v>
      </c>
      <c r="B629" s="90" t="s">
        <v>6902</v>
      </c>
      <c r="C629" s="90" t="s">
        <v>6903</v>
      </c>
      <c r="D629" s="90" t="s">
        <v>6880</v>
      </c>
      <c r="E629" s="100">
        <v>44475</v>
      </c>
      <c r="F629" s="91"/>
      <c r="G629" s="223" t="str">
        <f t="shared" si="18"/>
        <v>sin dato</v>
      </c>
      <c r="H629" s="222" t="str">
        <f t="shared" si="19"/>
        <v>999</v>
      </c>
    </row>
    <row r="630" spans="1:8" hidden="1">
      <c r="A630" s="92">
        <v>17182042</v>
      </c>
      <c r="B630" s="90" t="s">
        <v>6904</v>
      </c>
      <c r="C630" s="90" t="s">
        <v>6905</v>
      </c>
      <c r="D630" s="90" t="s">
        <v>6880</v>
      </c>
      <c r="E630" s="100">
        <v>44475</v>
      </c>
      <c r="F630" s="91"/>
      <c r="G630" s="223">
        <f t="shared" si="18"/>
        <v>21</v>
      </c>
      <c r="H630" s="222">
        <f t="shared" si="19"/>
        <v>17182042</v>
      </c>
    </row>
    <row r="631" spans="1:8" hidden="1">
      <c r="A631" s="92">
        <v>13338251</v>
      </c>
      <c r="B631" s="90" t="s">
        <v>6906</v>
      </c>
      <c r="C631" s="90" t="s">
        <v>6907</v>
      </c>
      <c r="D631" s="90" t="s">
        <v>6880</v>
      </c>
      <c r="E631" s="100">
        <v>44475</v>
      </c>
      <c r="F631" s="91" t="s">
        <v>6853</v>
      </c>
      <c r="G631" s="223">
        <f t="shared" si="18"/>
        <v>16</v>
      </c>
      <c r="H631" s="222">
        <f t="shared" si="19"/>
        <v>13338251</v>
      </c>
    </row>
    <row r="632" spans="1:8" hidden="1">
      <c r="A632" s="92">
        <v>25853037</v>
      </c>
      <c r="B632" s="90" t="s">
        <v>6908</v>
      </c>
      <c r="C632" s="90" t="s">
        <v>6909</v>
      </c>
      <c r="D632" s="90" t="s">
        <v>6880</v>
      </c>
      <c r="E632" s="100">
        <v>44475</v>
      </c>
      <c r="F632" s="91"/>
      <c r="G632" s="223">
        <f t="shared" si="18"/>
        <v>7</v>
      </c>
      <c r="H632" s="222">
        <f t="shared" si="19"/>
        <v>25853037</v>
      </c>
    </row>
    <row r="633" spans="1:8" hidden="1">
      <c r="A633" s="92">
        <v>20398681</v>
      </c>
      <c r="B633" s="90" t="s">
        <v>6910</v>
      </c>
      <c r="C633" s="90" t="s">
        <v>6911</v>
      </c>
      <c r="D633" s="90" t="s">
        <v>6880</v>
      </c>
      <c r="E633" s="100">
        <v>44475</v>
      </c>
      <c r="F633" s="91" t="s">
        <v>6853</v>
      </c>
      <c r="G633" s="223">
        <f t="shared" si="18"/>
        <v>15</v>
      </c>
      <c r="H633" s="222">
        <f t="shared" si="19"/>
        <v>20398681</v>
      </c>
    </row>
    <row r="634" spans="1:8" hidden="1">
      <c r="A634" s="92">
        <v>17859279</v>
      </c>
      <c r="B634" s="90" t="s">
        <v>6912</v>
      </c>
      <c r="C634" s="90" t="s">
        <v>6913</v>
      </c>
      <c r="D634" s="90" t="s">
        <v>6880</v>
      </c>
      <c r="E634" s="100">
        <v>44475</v>
      </c>
      <c r="F634" s="91" t="s">
        <v>6853</v>
      </c>
      <c r="G634" s="223" t="str">
        <f t="shared" si="18"/>
        <v>sin dato</v>
      </c>
      <c r="H634" s="222">
        <f t="shared" si="19"/>
        <v>17859279</v>
      </c>
    </row>
    <row r="635" spans="1:8" hidden="1">
      <c r="A635" s="92">
        <v>17270247</v>
      </c>
      <c r="B635" s="90" t="s">
        <v>6914</v>
      </c>
      <c r="C635" s="90" t="s">
        <v>6915</v>
      </c>
      <c r="D635" s="90" t="s">
        <v>6880</v>
      </c>
      <c r="E635" s="100">
        <v>44475</v>
      </c>
      <c r="F635" s="91"/>
      <c r="G635" s="223" t="str">
        <f t="shared" si="18"/>
        <v>sin dato</v>
      </c>
      <c r="H635" s="222">
        <f t="shared" si="19"/>
        <v>17270247</v>
      </c>
    </row>
    <row r="636" spans="1:8" hidden="1">
      <c r="A636" s="92">
        <v>14984183</v>
      </c>
      <c r="B636" s="90" t="s">
        <v>6858</v>
      </c>
      <c r="C636" s="90" t="s">
        <v>6859</v>
      </c>
      <c r="D636" s="90" t="s">
        <v>6880</v>
      </c>
      <c r="E636" s="100">
        <v>44475</v>
      </c>
      <c r="F636" s="91"/>
      <c r="G636" s="223" t="str">
        <f t="shared" si="18"/>
        <v>sin dato</v>
      </c>
      <c r="H636" s="222">
        <f t="shared" si="19"/>
        <v>14984183</v>
      </c>
    </row>
    <row r="637" spans="1:8" hidden="1">
      <c r="A637" s="92">
        <v>38349638</v>
      </c>
      <c r="B637" s="90" t="s">
        <v>6916</v>
      </c>
      <c r="C637" s="90" t="s">
        <v>6917</v>
      </c>
      <c r="D637" s="90" t="s">
        <v>6880</v>
      </c>
      <c r="E637" s="100">
        <v>44475</v>
      </c>
      <c r="F637" s="91"/>
      <c r="G637" s="223" t="str">
        <f t="shared" si="18"/>
        <v>sin dato</v>
      </c>
      <c r="H637" s="222" t="str">
        <f t="shared" si="19"/>
        <v>999</v>
      </c>
    </row>
    <row r="638" spans="1:8" hidden="1">
      <c r="A638" s="92">
        <v>25844888</v>
      </c>
      <c r="B638" s="90" t="s">
        <v>6918</v>
      </c>
      <c r="C638" s="90" t="s">
        <v>6919</v>
      </c>
      <c r="D638" s="90" t="s">
        <v>6880</v>
      </c>
      <c r="E638" s="100">
        <v>44475</v>
      </c>
      <c r="F638" s="91" t="s">
        <v>6853</v>
      </c>
      <c r="G638" s="223" t="str">
        <f t="shared" si="18"/>
        <v>sin dato</v>
      </c>
      <c r="H638" s="222" t="str">
        <f t="shared" si="19"/>
        <v>999</v>
      </c>
    </row>
    <row r="639" spans="1:8" hidden="1">
      <c r="A639" s="92">
        <v>12733236</v>
      </c>
      <c r="B639" s="90" t="s">
        <v>6920</v>
      </c>
      <c r="C639" s="90" t="s">
        <v>6921</v>
      </c>
      <c r="D639" s="90" t="s">
        <v>6880</v>
      </c>
      <c r="E639" s="100">
        <v>44475</v>
      </c>
      <c r="F639" s="91" t="s">
        <v>6853</v>
      </c>
      <c r="G639" s="223">
        <f t="shared" si="18"/>
        <v>15</v>
      </c>
      <c r="H639" s="222">
        <f t="shared" si="19"/>
        <v>12733236</v>
      </c>
    </row>
    <row r="640" spans="1:8" hidden="1">
      <c r="A640" s="92">
        <v>32109721</v>
      </c>
      <c r="B640" s="90" t="s">
        <v>6922</v>
      </c>
      <c r="C640" s="90" t="s">
        <v>6923</v>
      </c>
      <c r="D640" s="90" t="s">
        <v>6880</v>
      </c>
      <c r="E640" s="100">
        <v>44475</v>
      </c>
      <c r="F640" s="91" t="s">
        <v>6853</v>
      </c>
      <c r="G640" s="223">
        <f t="shared" si="18"/>
        <v>25</v>
      </c>
      <c r="H640" s="222">
        <f t="shared" si="19"/>
        <v>32109721</v>
      </c>
    </row>
    <row r="641" spans="1:8" hidden="1">
      <c r="A641" s="92">
        <v>27206952</v>
      </c>
      <c r="B641" s="90" t="s">
        <v>6924</v>
      </c>
      <c r="C641" s="90" t="s">
        <v>6925</v>
      </c>
      <c r="D641" s="90" t="s">
        <v>6880</v>
      </c>
      <c r="E641" s="100">
        <v>44475</v>
      </c>
      <c r="F641" s="91"/>
      <c r="G641" s="223">
        <f t="shared" si="18"/>
        <v>29</v>
      </c>
      <c r="H641" s="222">
        <f t="shared" si="19"/>
        <v>27206952</v>
      </c>
    </row>
    <row r="642" spans="1:8" hidden="1">
      <c r="A642" s="92">
        <v>31425836</v>
      </c>
      <c r="B642" s="90" t="s">
        <v>6926</v>
      </c>
      <c r="C642" s="90" t="s">
        <v>6927</v>
      </c>
      <c r="D642" s="90" t="s">
        <v>6880</v>
      </c>
      <c r="E642" s="100">
        <v>44475</v>
      </c>
      <c r="F642" s="91"/>
      <c r="G642" s="223">
        <f t="shared" ref="G642:G705" si="20">IFERROR(INDEX(unidad,MATCH(VLOOKUP(A642,alum,9,0),unidad2,0),1),"sin dato")</f>
        <v>30</v>
      </c>
      <c r="H642" s="222">
        <f t="shared" ref="H642:H705" si="21">IFERROR(VLOOKUP(A642,alum,1,0),"999")</f>
        <v>31425836</v>
      </c>
    </row>
    <row r="643" spans="1:8" hidden="1">
      <c r="A643" s="92">
        <v>27364281</v>
      </c>
      <c r="B643" s="90" t="s">
        <v>6928</v>
      </c>
      <c r="C643" s="90" t="s">
        <v>6907</v>
      </c>
      <c r="D643" s="90" t="s">
        <v>6880</v>
      </c>
      <c r="E643" s="100">
        <v>44475</v>
      </c>
      <c r="F643" s="91"/>
      <c r="G643" s="223">
        <f t="shared" si="20"/>
        <v>29</v>
      </c>
      <c r="H643" s="222">
        <f t="shared" si="21"/>
        <v>27364281</v>
      </c>
    </row>
    <row r="644" spans="1:8" hidden="1">
      <c r="A644" s="92">
        <v>24059021</v>
      </c>
      <c r="B644" s="90" t="s">
        <v>3887</v>
      </c>
      <c r="C644" s="90" t="s">
        <v>3888</v>
      </c>
      <c r="D644" s="90" t="s">
        <v>6880</v>
      </c>
      <c r="E644" s="100">
        <v>44475</v>
      </c>
      <c r="F644" s="91"/>
      <c r="G644" s="223">
        <f t="shared" si="20"/>
        <v>20</v>
      </c>
      <c r="H644" s="222">
        <f t="shared" si="21"/>
        <v>24059021</v>
      </c>
    </row>
    <row r="645" spans="1:8" hidden="1">
      <c r="A645" s="92">
        <v>33541638</v>
      </c>
      <c r="B645" s="90" t="s">
        <v>6929</v>
      </c>
      <c r="C645" s="90" t="s">
        <v>6930</v>
      </c>
      <c r="D645" s="90" t="s">
        <v>6880</v>
      </c>
      <c r="E645" s="100">
        <v>44475</v>
      </c>
      <c r="F645" s="91"/>
      <c r="G645" s="223">
        <f t="shared" si="20"/>
        <v>16</v>
      </c>
      <c r="H645" s="222">
        <f t="shared" si="21"/>
        <v>33541638</v>
      </c>
    </row>
    <row r="646" spans="1:8" hidden="1">
      <c r="A646" s="92">
        <v>17376659</v>
      </c>
      <c r="B646" s="90" t="s">
        <v>6931</v>
      </c>
      <c r="C646" s="90" t="s">
        <v>6861</v>
      </c>
      <c r="D646" s="90" t="s">
        <v>6852</v>
      </c>
      <c r="E646" s="100">
        <v>44420</v>
      </c>
      <c r="F646" s="91" t="s">
        <v>6853</v>
      </c>
      <c r="G646" s="223" t="str">
        <f t="shared" si="20"/>
        <v>sin dato</v>
      </c>
      <c r="H646" s="222">
        <f t="shared" si="21"/>
        <v>17376659</v>
      </c>
    </row>
    <row r="647" spans="1:8" hidden="1">
      <c r="A647" s="92">
        <v>29997979</v>
      </c>
      <c r="B647" s="90" t="s">
        <v>6932</v>
      </c>
      <c r="C647" s="90" t="s">
        <v>6933</v>
      </c>
      <c r="D647" s="90" t="s">
        <v>6852</v>
      </c>
      <c r="E647" s="100">
        <v>44420</v>
      </c>
      <c r="F647" s="91" t="s">
        <v>6853</v>
      </c>
      <c r="G647" s="223">
        <f t="shared" si="20"/>
        <v>22</v>
      </c>
      <c r="H647" s="222">
        <f t="shared" si="21"/>
        <v>29997979</v>
      </c>
    </row>
    <row r="648" spans="1:8" hidden="1">
      <c r="A648" s="92">
        <v>27732258</v>
      </c>
      <c r="B648" s="90" t="s">
        <v>6850</v>
      </c>
      <c r="C648" s="90" t="s">
        <v>6934</v>
      </c>
      <c r="D648" s="90" t="s">
        <v>6852</v>
      </c>
      <c r="E648" s="100">
        <v>44420</v>
      </c>
      <c r="F648" s="91"/>
      <c r="G648" s="223">
        <f t="shared" si="20"/>
        <v>14</v>
      </c>
      <c r="H648" s="222">
        <f t="shared" si="21"/>
        <v>27732258</v>
      </c>
    </row>
    <row r="649" spans="1:8" hidden="1">
      <c r="A649" s="92">
        <v>16132250</v>
      </c>
      <c r="B649" s="90" t="s">
        <v>6935</v>
      </c>
      <c r="C649" s="90" t="s">
        <v>6936</v>
      </c>
      <c r="D649" s="90" t="s">
        <v>6852</v>
      </c>
      <c r="E649" s="100">
        <v>44420</v>
      </c>
      <c r="F649" s="91"/>
      <c r="G649" s="223">
        <f t="shared" si="20"/>
        <v>999</v>
      </c>
      <c r="H649" s="222">
        <f t="shared" si="21"/>
        <v>16132250</v>
      </c>
    </row>
    <row r="650" spans="1:8" hidden="1">
      <c r="A650" s="92">
        <v>34356805</v>
      </c>
      <c r="B650" s="90" t="s">
        <v>6937</v>
      </c>
      <c r="C650" s="90" t="s">
        <v>6938</v>
      </c>
      <c r="D650" s="90" t="s">
        <v>6852</v>
      </c>
      <c r="E650" s="100">
        <v>44420</v>
      </c>
      <c r="F650" s="91"/>
      <c r="G650" s="223">
        <f t="shared" si="20"/>
        <v>30</v>
      </c>
      <c r="H650" s="222">
        <f t="shared" si="21"/>
        <v>34356805</v>
      </c>
    </row>
    <row r="651" spans="1:8" hidden="1">
      <c r="A651" s="92">
        <v>24059996</v>
      </c>
      <c r="B651" s="90" t="s">
        <v>6939</v>
      </c>
      <c r="C651" s="90" t="s">
        <v>6940</v>
      </c>
      <c r="D651" s="90" t="s">
        <v>6852</v>
      </c>
      <c r="E651" s="100">
        <v>44420</v>
      </c>
      <c r="F651" s="91"/>
      <c r="G651" s="223">
        <f t="shared" si="20"/>
        <v>7</v>
      </c>
      <c r="H651" s="222">
        <f t="shared" si="21"/>
        <v>24059996</v>
      </c>
    </row>
    <row r="652" spans="1:8" hidden="1">
      <c r="A652" s="92">
        <v>13338251</v>
      </c>
      <c r="B652" s="90" t="s">
        <v>6906</v>
      </c>
      <c r="C652" s="90" t="s">
        <v>6907</v>
      </c>
      <c r="D652" s="90" t="s">
        <v>6852</v>
      </c>
      <c r="E652" s="100">
        <v>44420</v>
      </c>
      <c r="F652" s="91" t="s">
        <v>6853</v>
      </c>
      <c r="G652" s="223">
        <f t="shared" si="20"/>
        <v>16</v>
      </c>
      <c r="H652" s="222">
        <f t="shared" si="21"/>
        <v>13338251</v>
      </c>
    </row>
    <row r="653" spans="1:8" hidden="1">
      <c r="A653" s="92">
        <v>24830971</v>
      </c>
      <c r="B653" s="90" t="s">
        <v>6941</v>
      </c>
      <c r="C653" s="90" t="s">
        <v>6942</v>
      </c>
      <c r="D653" s="90" t="s">
        <v>6852</v>
      </c>
      <c r="E653" s="100">
        <v>44420</v>
      </c>
      <c r="F653" s="91" t="s">
        <v>6853</v>
      </c>
      <c r="G653" s="223">
        <f t="shared" si="20"/>
        <v>21</v>
      </c>
      <c r="H653" s="222">
        <f t="shared" si="21"/>
        <v>24830971</v>
      </c>
    </row>
    <row r="654" spans="1:8" hidden="1">
      <c r="A654" s="92">
        <v>16458792</v>
      </c>
      <c r="B654" s="90" t="s">
        <v>6953</v>
      </c>
      <c r="C654" s="90" t="s">
        <v>6954</v>
      </c>
      <c r="D654" s="90" t="s">
        <v>6852</v>
      </c>
      <c r="E654" s="100">
        <v>44420</v>
      </c>
      <c r="F654" s="91" t="s">
        <v>6853</v>
      </c>
      <c r="G654" s="223">
        <f t="shared" si="20"/>
        <v>14</v>
      </c>
      <c r="H654" s="222">
        <f t="shared" si="21"/>
        <v>16458792</v>
      </c>
    </row>
    <row r="655" spans="1:8" hidden="1">
      <c r="A655" s="92">
        <v>31127710</v>
      </c>
      <c r="B655" s="90" t="s">
        <v>6943</v>
      </c>
      <c r="C655" s="90" t="s">
        <v>6944</v>
      </c>
      <c r="D655" s="90" t="s">
        <v>6852</v>
      </c>
      <c r="E655" s="100">
        <v>44420</v>
      </c>
      <c r="F655" s="91"/>
      <c r="G655" s="223">
        <f t="shared" si="20"/>
        <v>20</v>
      </c>
      <c r="H655" s="222">
        <f t="shared" si="21"/>
        <v>31127710</v>
      </c>
    </row>
    <row r="656" spans="1:8" hidden="1">
      <c r="A656" s="92">
        <v>33540499</v>
      </c>
      <c r="B656" s="90" t="s">
        <v>6945</v>
      </c>
      <c r="C656" s="90" t="s">
        <v>6946</v>
      </c>
      <c r="D656" s="90" t="s">
        <v>6852</v>
      </c>
      <c r="E656" s="100">
        <v>44420</v>
      </c>
      <c r="F656" s="91" t="s">
        <v>6853</v>
      </c>
      <c r="G656" s="223">
        <f t="shared" si="20"/>
        <v>13</v>
      </c>
      <c r="H656" s="222">
        <f t="shared" si="21"/>
        <v>33540499</v>
      </c>
    </row>
    <row r="657" spans="1:8" hidden="1">
      <c r="A657" s="92">
        <v>25844988</v>
      </c>
      <c r="B657" s="90" t="s">
        <v>6947</v>
      </c>
      <c r="C657" s="90" t="s">
        <v>6948</v>
      </c>
      <c r="D657" s="90" t="s">
        <v>6852</v>
      </c>
      <c r="E657" s="100">
        <v>44420</v>
      </c>
      <c r="F657" s="91" t="s">
        <v>6853</v>
      </c>
      <c r="G657" s="223">
        <f t="shared" si="20"/>
        <v>22</v>
      </c>
      <c r="H657" s="222">
        <f t="shared" si="21"/>
        <v>25844988</v>
      </c>
    </row>
    <row r="658" spans="1:8" hidden="1">
      <c r="A658" s="92">
        <v>24803365</v>
      </c>
      <c r="B658" s="90" t="s">
        <v>6949</v>
      </c>
      <c r="C658" s="90" t="s">
        <v>6950</v>
      </c>
      <c r="D658" s="90" t="s">
        <v>6852</v>
      </c>
      <c r="E658" s="100">
        <v>44420</v>
      </c>
      <c r="F658" s="91" t="s">
        <v>6853</v>
      </c>
      <c r="G658" s="223">
        <f t="shared" si="20"/>
        <v>31</v>
      </c>
      <c r="H658" s="222">
        <f t="shared" si="21"/>
        <v>24803365</v>
      </c>
    </row>
    <row r="659" spans="1:8" hidden="1">
      <c r="A659" s="92">
        <v>21328390</v>
      </c>
      <c r="B659" s="90" t="s">
        <v>6951</v>
      </c>
      <c r="C659" s="90" t="s">
        <v>6952</v>
      </c>
      <c r="D659" s="90" t="s">
        <v>6852</v>
      </c>
      <c r="E659" s="100">
        <v>44420</v>
      </c>
      <c r="F659" s="91" t="s">
        <v>6853</v>
      </c>
      <c r="G659" s="223">
        <f t="shared" si="20"/>
        <v>14</v>
      </c>
      <c r="H659" s="222">
        <f t="shared" si="21"/>
        <v>21328390</v>
      </c>
    </row>
    <row r="660" spans="1:8" hidden="1">
      <c r="A660" s="92">
        <v>30069677</v>
      </c>
      <c r="B660" s="90" t="s">
        <v>2612</v>
      </c>
      <c r="C660" s="90" t="s">
        <v>2613</v>
      </c>
      <c r="D660" s="90" t="s">
        <v>6852</v>
      </c>
      <c r="E660" s="100">
        <v>44420</v>
      </c>
      <c r="F660" s="91"/>
      <c r="G660" s="223">
        <f t="shared" si="20"/>
        <v>14</v>
      </c>
      <c r="H660" s="222">
        <f t="shared" si="21"/>
        <v>30069677</v>
      </c>
    </row>
    <row r="661" spans="1:8" hidden="1">
      <c r="A661" s="92">
        <v>23411308</v>
      </c>
      <c r="B661" s="90" t="s">
        <v>6955</v>
      </c>
      <c r="C661" s="90" t="s">
        <v>6956</v>
      </c>
      <c r="D661" s="90" t="s">
        <v>6852</v>
      </c>
      <c r="E661" s="100">
        <v>44419</v>
      </c>
      <c r="F661" s="91" t="s">
        <v>6853</v>
      </c>
      <c r="G661" s="223">
        <f t="shared" si="20"/>
        <v>17</v>
      </c>
      <c r="H661" s="222">
        <f t="shared" si="21"/>
        <v>23411308</v>
      </c>
    </row>
    <row r="662" spans="1:8" hidden="1">
      <c r="A662" s="92">
        <v>17293872</v>
      </c>
      <c r="B662" s="90" t="s">
        <v>6957</v>
      </c>
      <c r="C662" s="90" t="s">
        <v>6958</v>
      </c>
      <c r="D662" s="90" t="s">
        <v>6852</v>
      </c>
      <c r="E662" s="100">
        <v>44419</v>
      </c>
      <c r="F662" s="91" t="s">
        <v>6853</v>
      </c>
      <c r="G662" s="223">
        <f t="shared" si="20"/>
        <v>21</v>
      </c>
      <c r="H662" s="222">
        <f t="shared" si="21"/>
        <v>17293872</v>
      </c>
    </row>
    <row r="663" spans="1:8" hidden="1">
      <c r="A663" s="92">
        <v>13338617</v>
      </c>
      <c r="B663" s="90" t="s">
        <v>6887</v>
      </c>
      <c r="C663" s="90" t="s">
        <v>6886</v>
      </c>
      <c r="D663" s="90" t="s">
        <v>6852</v>
      </c>
      <c r="E663" s="100">
        <v>44419</v>
      </c>
      <c r="F663" s="91" t="s">
        <v>6853</v>
      </c>
      <c r="G663" s="223">
        <f t="shared" si="20"/>
        <v>11</v>
      </c>
      <c r="H663" s="222">
        <f t="shared" si="21"/>
        <v>13338617</v>
      </c>
    </row>
    <row r="664" spans="1:8" hidden="1">
      <c r="A664" s="92">
        <v>34280634</v>
      </c>
      <c r="B664" s="90" t="s">
        <v>6959</v>
      </c>
      <c r="C664" s="90" t="s">
        <v>6960</v>
      </c>
      <c r="D664" s="90" t="s">
        <v>6852</v>
      </c>
      <c r="E664" s="100">
        <v>44419</v>
      </c>
      <c r="F664" s="91" t="s">
        <v>6853</v>
      </c>
      <c r="G664" s="223" t="str">
        <f t="shared" si="20"/>
        <v>sin dato</v>
      </c>
      <c r="H664" s="222" t="str">
        <f t="shared" si="21"/>
        <v>999</v>
      </c>
    </row>
    <row r="665" spans="1:8" hidden="1">
      <c r="A665" s="92">
        <v>20159005</v>
      </c>
      <c r="B665" s="90" t="s">
        <v>6961</v>
      </c>
      <c r="C665" s="90" t="s">
        <v>6962</v>
      </c>
      <c r="D665" s="90" t="s">
        <v>6852</v>
      </c>
      <c r="E665" s="100">
        <v>44419</v>
      </c>
      <c r="F665" s="91"/>
      <c r="G665" s="223">
        <f t="shared" si="20"/>
        <v>27</v>
      </c>
      <c r="H665" s="222">
        <f t="shared" si="21"/>
        <v>20159005</v>
      </c>
    </row>
    <row r="666" spans="1:8" hidden="1">
      <c r="A666" s="92">
        <v>16016486</v>
      </c>
      <c r="B666" s="90" t="s">
        <v>6963</v>
      </c>
      <c r="C666" s="90" t="s">
        <v>6964</v>
      </c>
      <c r="D666" s="90" t="s">
        <v>6852</v>
      </c>
      <c r="E666" s="100">
        <v>44419</v>
      </c>
      <c r="F666" s="91"/>
      <c r="G666" s="223">
        <f t="shared" si="20"/>
        <v>43</v>
      </c>
      <c r="H666" s="222">
        <f t="shared" si="21"/>
        <v>16016486</v>
      </c>
    </row>
    <row r="667" spans="1:8" hidden="1">
      <c r="A667" s="92">
        <v>33974856</v>
      </c>
      <c r="B667" s="90" t="s">
        <v>6965</v>
      </c>
      <c r="C667" s="90" t="s">
        <v>6966</v>
      </c>
      <c r="D667" s="90" t="s">
        <v>6852</v>
      </c>
      <c r="E667" s="100">
        <v>44419</v>
      </c>
      <c r="F667" s="91" t="s">
        <v>6853</v>
      </c>
      <c r="G667" s="223" t="str">
        <f t="shared" si="20"/>
        <v>sin dato</v>
      </c>
      <c r="H667" s="222" t="str">
        <f t="shared" si="21"/>
        <v>999</v>
      </c>
    </row>
    <row r="668" spans="1:8" hidden="1">
      <c r="A668" s="92">
        <v>26743740</v>
      </c>
      <c r="B668" s="90" t="s">
        <v>6967</v>
      </c>
      <c r="C668" s="90" t="s">
        <v>6968</v>
      </c>
      <c r="D668" s="90" t="s">
        <v>6852</v>
      </c>
      <c r="E668" s="100">
        <v>44419</v>
      </c>
      <c r="F668" s="149" t="s">
        <v>23</v>
      </c>
      <c r="G668" s="223">
        <f t="shared" si="20"/>
        <v>17</v>
      </c>
      <c r="H668" s="222">
        <f t="shared" si="21"/>
        <v>26743740</v>
      </c>
    </row>
    <row r="669" spans="1:8" hidden="1">
      <c r="A669" s="92">
        <v>21893835</v>
      </c>
      <c r="B669" s="90" t="s">
        <v>6969</v>
      </c>
      <c r="C669" s="90" t="s">
        <v>6970</v>
      </c>
      <c r="D669" s="90" t="s">
        <v>6852</v>
      </c>
      <c r="E669" s="100">
        <v>44419</v>
      </c>
      <c r="F669" s="91"/>
      <c r="G669" s="223">
        <f t="shared" si="20"/>
        <v>11</v>
      </c>
      <c r="H669" s="222">
        <f t="shared" si="21"/>
        <v>21893835</v>
      </c>
    </row>
    <row r="670" spans="1:8" hidden="1">
      <c r="A670" s="92">
        <v>35548593</v>
      </c>
      <c r="B670" s="90" t="s">
        <v>6971</v>
      </c>
      <c r="C670" s="90" t="s">
        <v>6972</v>
      </c>
      <c r="D670" s="90" t="s">
        <v>6852</v>
      </c>
      <c r="E670" s="100">
        <v>44419</v>
      </c>
      <c r="F670" s="91"/>
      <c r="G670" s="223" t="str">
        <f t="shared" si="20"/>
        <v>sin dato</v>
      </c>
      <c r="H670" s="222" t="str">
        <f t="shared" si="21"/>
        <v>999</v>
      </c>
    </row>
    <row r="671" spans="1:8" hidden="1">
      <c r="A671" s="92">
        <v>16175799</v>
      </c>
      <c r="B671" s="90" t="s">
        <v>6973</v>
      </c>
      <c r="C671" s="90" t="s">
        <v>6974</v>
      </c>
      <c r="D671" s="90" t="s">
        <v>6852</v>
      </c>
      <c r="E671" s="100">
        <v>44419</v>
      </c>
      <c r="F671" s="91"/>
      <c r="G671" s="223">
        <f t="shared" si="20"/>
        <v>25</v>
      </c>
      <c r="H671" s="222">
        <f t="shared" si="21"/>
        <v>16175799</v>
      </c>
    </row>
    <row r="672" spans="1:8" hidden="1">
      <c r="A672" s="92">
        <v>32109721</v>
      </c>
      <c r="B672" s="90" t="s">
        <v>6922</v>
      </c>
      <c r="C672" s="90" t="s">
        <v>6923</v>
      </c>
      <c r="D672" s="90" t="s">
        <v>6852</v>
      </c>
      <c r="E672" s="100">
        <v>44419</v>
      </c>
      <c r="F672" s="91" t="s">
        <v>6853</v>
      </c>
      <c r="G672" s="223">
        <f t="shared" si="20"/>
        <v>25</v>
      </c>
      <c r="H672" s="222">
        <f t="shared" si="21"/>
        <v>32109721</v>
      </c>
    </row>
    <row r="673" spans="1:8" hidden="1">
      <c r="A673" s="92">
        <v>17696330</v>
      </c>
      <c r="B673" s="90" t="s">
        <v>6975</v>
      </c>
      <c r="C673" s="90" t="s">
        <v>6976</v>
      </c>
      <c r="D673" s="90" t="s">
        <v>6852</v>
      </c>
      <c r="E673" s="100">
        <v>44419</v>
      </c>
      <c r="F673" s="91" t="s">
        <v>6853</v>
      </c>
      <c r="G673" s="223">
        <f t="shared" si="20"/>
        <v>16</v>
      </c>
      <c r="H673" s="222">
        <f t="shared" si="21"/>
        <v>17696330</v>
      </c>
    </row>
    <row r="674" spans="1:8" hidden="1">
      <c r="A674" s="92">
        <v>16954394</v>
      </c>
      <c r="B674" s="90" t="s">
        <v>6977</v>
      </c>
      <c r="C674" s="90" t="s">
        <v>6978</v>
      </c>
      <c r="D674" s="90" t="s">
        <v>6852</v>
      </c>
      <c r="E674" s="100">
        <v>44419</v>
      </c>
      <c r="F674" s="91" t="s">
        <v>6853</v>
      </c>
      <c r="G674" s="223">
        <f t="shared" si="20"/>
        <v>82</v>
      </c>
      <c r="H674" s="222">
        <f t="shared" si="21"/>
        <v>16954394</v>
      </c>
    </row>
    <row r="675" spans="1:8" hidden="1">
      <c r="A675" s="92">
        <v>16617561</v>
      </c>
      <c r="B675" s="90" t="s">
        <v>4445</v>
      </c>
      <c r="C675" s="90" t="s">
        <v>4446</v>
      </c>
      <c r="D675" s="90" t="s">
        <v>6852</v>
      </c>
      <c r="E675" s="100">
        <v>44419</v>
      </c>
      <c r="F675" s="91" t="s">
        <v>6853</v>
      </c>
      <c r="G675" s="223">
        <f t="shared" si="20"/>
        <v>21</v>
      </c>
      <c r="H675" s="222">
        <f t="shared" si="21"/>
        <v>16617561</v>
      </c>
    </row>
    <row r="676" spans="1:8" hidden="1">
      <c r="A676" s="87">
        <v>36182818</v>
      </c>
      <c r="B676" s="88" t="s">
        <v>734</v>
      </c>
      <c r="C676" s="88" t="s">
        <v>4806</v>
      </c>
      <c r="D676" s="88" t="s">
        <v>6979</v>
      </c>
      <c r="E676" s="94">
        <v>43778</v>
      </c>
      <c r="F676" s="91"/>
      <c r="G676" s="223" t="str">
        <f t="shared" si="20"/>
        <v>sin dato</v>
      </c>
      <c r="H676" s="222" t="str">
        <f t="shared" si="21"/>
        <v>999</v>
      </c>
    </row>
    <row r="677" spans="1:8" hidden="1">
      <c r="A677" s="87">
        <v>32493293</v>
      </c>
      <c r="B677" s="88" t="s">
        <v>73</v>
      </c>
      <c r="C677" s="88" t="s">
        <v>74</v>
      </c>
      <c r="D677" s="88" t="s">
        <v>6981</v>
      </c>
      <c r="E677" s="94">
        <v>43777</v>
      </c>
      <c r="F677" s="91"/>
      <c r="G677" s="223">
        <f t="shared" si="20"/>
        <v>11</v>
      </c>
      <c r="H677" s="222">
        <f t="shared" si="21"/>
        <v>32493293</v>
      </c>
    </row>
    <row r="678" spans="1:8" hidden="1">
      <c r="A678" s="87">
        <v>23519543</v>
      </c>
      <c r="B678" s="88" t="s">
        <v>1401</v>
      </c>
      <c r="C678" s="88" t="s">
        <v>2447</v>
      </c>
      <c r="D678" s="88" t="s">
        <v>6981</v>
      </c>
      <c r="E678" s="94">
        <v>43777</v>
      </c>
      <c r="F678" s="91"/>
      <c r="G678" s="223">
        <f t="shared" si="20"/>
        <v>14</v>
      </c>
      <c r="H678" s="222">
        <f t="shared" si="21"/>
        <v>23519543</v>
      </c>
    </row>
    <row r="679" spans="1:8" hidden="1">
      <c r="A679" s="87">
        <v>24553486</v>
      </c>
      <c r="B679" s="88" t="s">
        <v>94</v>
      </c>
      <c r="C679" s="88" t="s">
        <v>2260</v>
      </c>
      <c r="D679" s="88" t="s">
        <v>6981</v>
      </c>
      <c r="E679" s="94">
        <v>43777</v>
      </c>
      <c r="F679" s="91"/>
      <c r="G679" s="223">
        <f t="shared" si="20"/>
        <v>5</v>
      </c>
      <c r="H679" s="222">
        <f t="shared" si="21"/>
        <v>24553486</v>
      </c>
    </row>
    <row r="680" spans="1:8" hidden="1">
      <c r="A680" s="87">
        <v>37499769</v>
      </c>
      <c r="B680" s="88" t="s">
        <v>797</v>
      </c>
      <c r="C680" s="88" t="s">
        <v>798</v>
      </c>
      <c r="D680" s="88" t="s">
        <v>6981</v>
      </c>
      <c r="E680" s="94">
        <v>43777</v>
      </c>
      <c r="F680" s="91"/>
      <c r="G680" s="223" t="str">
        <f t="shared" si="20"/>
        <v>sin dato</v>
      </c>
      <c r="H680" s="222" t="str">
        <f t="shared" si="21"/>
        <v>999</v>
      </c>
    </row>
    <row r="681" spans="1:8" hidden="1">
      <c r="A681" s="87">
        <v>14352896</v>
      </c>
      <c r="B681" s="88" t="s">
        <v>3428</v>
      </c>
      <c r="C681" s="88" t="s">
        <v>3429</v>
      </c>
      <c r="D681" s="88" t="s">
        <v>6981</v>
      </c>
      <c r="E681" s="94">
        <v>43777</v>
      </c>
      <c r="F681" s="91"/>
      <c r="G681" s="223">
        <f t="shared" si="20"/>
        <v>25</v>
      </c>
      <c r="H681" s="222">
        <f t="shared" si="21"/>
        <v>14352896</v>
      </c>
    </row>
    <row r="682" spans="1:8" hidden="1">
      <c r="A682" s="87">
        <v>23239528</v>
      </c>
      <c r="B682" s="88" t="s">
        <v>4981</v>
      </c>
      <c r="C682" s="88" t="s">
        <v>4982</v>
      </c>
      <c r="D682" s="88" t="s">
        <v>6981</v>
      </c>
      <c r="E682" s="94">
        <v>43777</v>
      </c>
      <c r="F682" s="91"/>
      <c r="G682" s="223" t="str">
        <f t="shared" si="20"/>
        <v>sin dato</v>
      </c>
      <c r="H682" s="222">
        <f t="shared" si="21"/>
        <v>23239528</v>
      </c>
    </row>
    <row r="683" spans="1:8" hidden="1">
      <c r="A683" s="87">
        <v>24200086</v>
      </c>
      <c r="B683" s="88" t="s">
        <v>2364</v>
      </c>
      <c r="C683" s="88" t="s">
        <v>2365</v>
      </c>
      <c r="D683" s="88" t="s">
        <v>6981</v>
      </c>
      <c r="E683" s="94">
        <v>43777</v>
      </c>
      <c r="F683" s="91" t="s">
        <v>7024</v>
      </c>
      <c r="G683" s="223">
        <f t="shared" si="20"/>
        <v>17</v>
      </c>
      <c r="H683" s="222">
        <f t="shared" si="21"/>
        <v>24200086</v>
      </c>
    </row>
    <row r="684" spans="1:8" hidden="1">
      <c r="A684" s="87">
        <v>31589261</v>
      </c>
      <c r="B684" s="88" t="s">
        <v>3122</v>
      </c>
      <c r="C684" s="88" t="s">
        <v>3058</v>
      </c>
      <c r="D684" s="88" t="s">
        <v>6981</v>
      </c>
      <c r="E684" s="94">
        <v>43777</v>
      </c>
      <c r="F684" s="91"/>
      <c r="G684" s="223">
        <f t="shared" si="20"/>
        <v>19</v>
      </c>
      <c r="H684" s="222">
        <f t="shared" si="21"/>
        <v>31589261</v>
      </c>
    </row>
    <row r="685" spans="1:8" hidden="1">
      <c r="A685" s="87">
        <v>28151268</v>
      </c>
      <c r="B685" s="88" t="s">
        <v>1973</v>
      </c>
      <c r="C685" s="88" t="s">
        <v>3689</v>
      </c>
      <c r="D685" s="88" t="s">
        <v>6981</v>
      </c>
      <c r="E685" s="94">
        <v>43777</v>
      </c>
      <c r="F685" s="91"/>
      <c r="G685" s="223">
        <f t="shared" si="20"/>
        <v>20</v>
      </c>
      <c r="H685" s="222">
        <f t="shared" si="21"/>
        <v>28151268</v>
      </c>
    </row>
    <row r="686" spans="1:8" hidden="1">
      <c r="A686" s="87">
        <v>22336712</v>
      </c>
      <c r="B686" s="88" t="s">
        <v>5262</v>
      </c>
      <c r="C686" s="88" t="s">
        <v>5263</v>
      </c>
      <c r="D686" s="88" t="s">
        <v>6981</v>
      </c>
      <c r="E686" s="94">
        <v>43777</v>
      </c>
      <c r="F686" s="91"/>
      <c r="G686" s="223">
        <f t="shared" si="20"/>
        <v>9</v>
      </c>
      <c r="H686" s="222">
        <f t="shared" si="21"/>
        <v>22336712</v>
      </c>
    </row>
    <row r="687" spans="1:8" hidden="1">
      <c r="A687" s="87">
        <v>34356805</v>
      </c>
      <c r="B687" s="88" t="s">
        <v>650</v>
      </c>
      <c r="C687" s="88" t="s">
        <v>4021</v>
      </c>
      <c r="D687" s="88" t="s">
        <v>6981</v>
      </c>
      <c r="E687" s="94">
        <v>43777</v>
      </c>
      <c r="F687" s="91"/>
      <c r="G687" s="223">
        <f t="shared" si="20"/>
        <v>30</v>
      </c>
      <c r="H687" s="222">
        <f t="shared" si="21"/>
        <v>34356805</v>
      </c>
    </row>
    <row r="688" spans="1:8" hidden="1">
      <c r="A688" s="87">
        <v>21328426</v>
      </c>
      <c r="B688" s="88" t="s">
        <v>3444</v>
      </c>
      <c r="C688" s="88" t="s">
        <v>571</v>
      </c>
      <c r="D688" s="88" t="s">
        <v>6981</v>
      </c>
      <c r="E688" s="94">
        <v>43777</v>
      </c>
      <c r="F688" s="91"/>
      <c r="G688" s="223">
        <f t="shared" si="20"/>
        <v>25</v>
      </c>
      <c r="H688" s="222">
        <f t="shared" si="21"/>
        <v>21328426</v>
      </c>
    </row>
    <row r="689" spans="1:8" hidden="1">
      <c r="A689" s="87">
        <v>27886273</v>
      </c>
      <c r="B689" s="88" t="s">
        <v>226</v>
      </c>
      <c r="C689" s="88" t="s">
        <v>227</v>
      </c>
      <c r="D689" s="88" t="s">
        <v>6981</v>
      </c>
      <c r="E689" s="94">
        <v>43777</v>
      </c>
      <c r="F689" s="91"/>
      <c r="G689" s="223">
        <f t="shared" si="20"/>
        <v>11</v>
      </c>
      <c r="H689" s="222">
        <f t="shared" si="21"/>
        <v>27886273</v>
      </c>
    </row>
    <row r="690" spans="1:8" hidden="1">
      <c r="A690" s="87">
        <v>14984647</v>
      </c>
      <c r="B690" s="88" t="s">
        <v>857</v>
      </c>
      <c r="C690" s="88" t="s">
        <v>1085</v>
      </c>
      <c r="D690" s="88" t="s">
        <v>6981</v>
      </c>
      <c r="E690" s="94">
        <v>43777</v>
      </c>
      <c r="F690" s="91"/>
      <c r="G690" s="223">
        <f t="shared" si="20"/>
        <v>999</v>
      </c>
      <c r="H690" s="222">
        <f t="shared" si="21"/>
        <v>14984647</v>
      </c>
    </row>
    <row r="691" spans="1:8" hidden="1">
      <c r="A691" s="87">
        <v>12540739</v>
      </c>
      <c r="B691" s="88" t="s">
        <v>4759</v>
      </c>
      <c r="C691" s="88" t="s">
        <v>4760</v>
      </c>
      <c r="D691" s="88" t="s">
        <v>6981</v>
      </c>
      <c r="E691" s="94">
        <v>43777</v>
      </c>
      <c r="F691" s="91"/>
      <c r="G691" s="223">
        <f t="shared" si="20"/>
        <v>23</v>
      </c>
      <c r="H691" s="222">
        <f t="shared" si="21"/>
        <v>12540739</v>
      </c>
    </row>
    <row r="692" spans="1:8" hidden="1">
      <c r="A692" s="87">
        <v>24802118</v>
      </c>
      <c r="B692" s="88" t="s">
        <v>2422</v>
      </c>
      <c r="C692" s="88" t="s">
        <v>2423</v>
      </c>
      <c r="D692" s="88" t="s">
        <v>6981</v>
      </c>
      <c r="E692" s="94">
        <v>43777</v>
      </c>
      <c r="F692" s="91" t="s">
        <v>7024</v>
      </c>
      <c r="G692" s="223">
        <f t="shared" si="20"/>
        <v>17</v>
      </c>
      <c r="H692" s="222">
        <f t="shared" si="21"/>
        <v>24802118</v>
      </c>
    </row>
    <row r="693" spans="1:8" hidden="1">
      <c r="A693" s="87">
        <v>20418524</v>
      </c>
      <c r="B693" s="88" t="s">
        <v>2422</v>
      </c>
      <c r="C693" s="88" t="s">
        <v>1299</v>
      </c>
      <c r="D693" s="88" t="s">
        <v>6981</v>
      </c>
      <c r="E693" s="94">
        <v>43777</v>
      </c>
      <c r="F693" s="91"/>
      <c r="G693" s="223">
        <f t="shared" si="20"/>
        <v>14</v>
      </c>
      <c r="H693" s="222">
        <f t="shared" si="21"/>
        <v>20418524</v>
      </c>
    </row>
    <row r="694" spans="1:8" hidden="1">
      <c r="A694" s="87">
        <v>31857331</v>
      </c>
      <c r="B694" s="88" t="s">
        <v>4914</v>
      </c>
      <c r="C694" s="88" t="s">
        <v>2497</v>
      </c>
      <c r="D694" s="88" t="s">
        <v>6981</v>
      </c>
      <c r="E694" s="94">
        <v>43777</v>
      </c>
      <c r="F694" s="91"/>
      <c r="G694" s="223">
        <f t="shared" si="20"/>
        <v>1</v>
      </c>
      <c r="H694" s="222">
        <f t="shared" si="21"/>
        <v>31857331</v>
      </c>
    </row>
    <row r="695" spans="1:8" hidden="1">
      <c r="A695" s="87">
        <v>25843050</v>
      </c>
      <c r="B695" s="88" t="s">
        <v>4033</v>
      </c>
      <c r="C695" s="88" t="s">
        <v>4034</v>
      </c>
      <c r="D695" s="88" t="s">
        <v>6981</v>
      </c>
      <c r="E695" s="94">
        <v>43777</v>
      </c>
      <c r="F695" s="91"/>
      <c r="G695" s="223">
        <f t="shared" si="20"/>
        <v>1</v>
      </c>
      <c r="H695" s="222">
        <f t="shared" si="21"/>
        <v>25843050</v>
      </c>
    </row>
    <row r="696" spans="1:8" hidden="1">
      <c r="A696" s="87">
        <v>28290152</v>
      </c>
      <c r="B696" s="88" t="s">
        <v>1547</v>
      </c>
      <c r="C696" s="88" t="s">
        <v>5708</v>
      </c>
      <c r="D696" s="88" t="s">
        <v>6981</v>
      </c>
      <c r="E696" s="94">
        <v>43777</v>
      </c>
      <c r="F696" s="91"/>
      <c r="G696" s="223">
        <f t="shared" si="20"/>
        <v>999</v>
      </c>
      <c r="H696" s="222">
        <f t="shared" si="21"/>
        <v>28290152</v>
      </c>
    </row>
    <row r="697" spans="1:8" hidden="1">
      <c r="A697" s="87">
        <v>28680958</v>
      </c>
      <c r="B697" s="88" t="s">
        <v>794</v>
      </c>
      <c r="C697" s="88" t="s">
        <v>2146</v>
      </c>
      <c r="D697" s="88" t="s">
        <v>6981</v>
      </c>
      <c r="E697" s="94">
        <v>43777</v>
      </c>
      <c r="F697" s="91"/>
      <c r="G697" s="223">
        <f t="shared" si="20"/>
        <v>16</v>
      </c>
      <c r="H697" s="222">
        <f t="shared" si="21"/>
        <v>28680958</v>
      </c>
    </row>
    <row r="698" spans="1:8" hidden="1">
      <c r="A698" s="87">
        <v>34185207</v>
      </c>
      <c r="B698" s="88" t="s">
        <v>1549</v>
      </c>
      <c r="C698" s="88" t="s">
        <v>3323</v>
      </c>
      <c r="D698" s="88" t="s">
        <v>6981</v>
      </c>
      <c r="E698" s="94">
        <v>43777</v>
      </c>
      <c r="F698" s="91"/>
      <c r="G698" s="223">
        <f t="shared" si="20"/>
        <v>28</v>
      </c>
      <c r="H698" s="222">
        <f t="shared" si="21"/>
        <v>34185207</v>
      </c>
    </row>
    <row r="699" spans="1:8" hidden="1">
      <c r="A699" s="87">
        <v>28884614</v>
      </c>
      <c r="B699" s="88" t="s">
        <v>3006</v>
      </c>
      <c r="C699" s="88" t="s">
        <v>3007</v>
      </c>
      <c r="D699" s="88" t="s">
        <v>6981</v>
      </c>
      <c r="E699" s="94">
        <v>43777</v>
      </c>
      <c r="F699" s="91"/>
      <c r="G699" s="223">
        <f t="shared" si="20"/>
        <v>19</v>
      </c>
      <c r="H699" s="222">
        <f t="shared" si="21"/>
        <v>28884614</v>
      </c>
    </row>
    <row r="700" spans="1:8" hidden="1">
      <c r="A700" s="87">
        <v>17859279</v>
      </c>
      <c r="B700" s="88" t="s">
        <v>327</v>
      </c>
      <c r="C700" s="88" t="s">
        <v>6526</v>
      </c>
      <c r="D700" s="88" t="s">
        <v>6981</v>
      </c>
      <c r="E700" s="94">
        <v>43777</v>
      </c>
      <c r="F700" s="91"/>
      <c r="G700" s="223" t="str">
        <f t="shared" si="20"/>
        <v>sin dato</v>
      </c>
      <c r="H700" s="222">
        <f t="shared" si="21"/>
        <v>17859279</v>
      </c>
    </row>
    <row r="701" spans="1:8" hidden="1">
      <c r="A701" s="87">
        <v>28053203</v>
      </c>
      <c r="B701" s="88" t="s">
        <v>327</v>
      </c>
      <c r="C701" s="88" t="s">
        <v>4495</v>
      </c>
      <c r="D701" s="88" t="s">
        <v>6981</v>
      </c>
      <c r="E701" s="94">
        <v>43777</v>
      </c>
      <c r="F701" s="91"/>
      <c r="G701" s="223">
        <f t="shared" si="20"/>
        <v>52</v>
      </c>
      <c r="H701" s="222">
        <f t="shared" si="21"/>
        <v>28053203</v>
      </c>
    </row>
    <row r="702" spans="1:8" hidden="1">
      <c r="A702" s="87">
        <v>33050022</v>
      </c>
      <c r="B702" s="88" t="s">
        <v>3474</v>
      </c>
      <c r="C702" s="88" t="s">
        <v>3916</v>
      </c>
      <c r="D702" s="88" t="s">
        <v>6981</v>
      </c>
      <c r="E702" s="94">
        <v>43777</v>
      </c>
      <c r="F702" s="91"/>
      <c r="G702" s="223">
        <f t="shared" si="20"/>
        <v>20</v>
      </c>
      <c r="H702" s="222">
        <f t="shared" si="21"/>
        <v>33050022</v>
      </c>
    </row>
    <row r="703" spans="1:8" hidden="1">
      <c r="A703" s="87">
        <v>16314577</v>
      </c>
      <c r="B703" s="88" t="s">
        <v>377</v>
      </c>
      <c r="C703" s="88" t="s">
        <v>378</v>
      </c>
      <c r="D703" s="88" t="s">
        <v>6981</v>
      </c>
      <c r="E703" s="94">
        <v>43777</v>
      </c>
      <c r="F703" s="91"/>
      <c r="G703" s="223">
        <f t="shared" si="20"/>
        <v>11</v>
      </c>
      <c r="H703" s="222">
        <f t="shared" si="21"/>
        <v>16314577</v>
      </c>
    </row>
    <row r="704" spans="1:8" hidden="1">
      <c r="A704" s="87">
        <v>14073031</v>
      </c>
      <c r="B704" s="88" t="s">
        <v>541</v>
      </c>
      <c r="C704" s="88" t="s">
        <v>2382</v>
      </c>
      <c r="D704" s="88" t="s">
        <v>6981</v>
      </c>
      <c r="E704" s="94">
        <v>43777</v>
      </c>
      <c r="F704" s="91" t="s">
        <v>7024</v>
      </c>
      <c r="G704" s="223">
        <f t="shared" si="20"/>
        <v>17</v>
      </c>
      <c r="H704" s="222">
        <f t="shared" si="21"/>
        <v>14073031</v>
      </c>
    </row>
    <row r="705" spans="1:8" hidden="1">
      <c r="A705" s="87">
        <v>34442738</v>
      </c>
      <c r="B705" s="88" t="s">
        <v>1378</v>
      </c>
      <c r="C705" s="88" t="s">
        <v>1379</v>
      </c>
      <c r="D705" s="88" t="s">
        <v>6981</v>
      </c>
      <c r="E705" s="94">
        <v>43777</v>
      </c>
      <c r="F705" s="91"/>
      <c r="G705" s="223">
        <f t="shared" si="20"/>
        <v>14</v>
      </c>
      <c r="H705" s="222">
        <f t="shared" si="21"/>
        <v>34442738</v>
      </c>
    </row>
    <row r="706" spans="1:8" hidden="1">
      <c r="A706" s="87">
        <v>37457738</v>
      </c>
      <c r="B706" s="88" t="s">
        <v>1190</v>
      </c>
      <c r="C706" s="88" t="s">
        <v>2212</v>
      </c>
      <c r="D706" s="88" t="s">
        <v>6981</v>
      </c>
      <c r="E706" s="94">
        <v>43777</v>
      </c>
      <c r="F706" s="91"/>
      <c r="G706" s="223" t="str">
        <f t="shared" ref="G706:G769" si="22">IFERROR(INDEX(unidad,MATCH(VLOOKUP(A706,alum,9,0),unidad2,0),1),"sin dato")</f>
        <v>sin dato</v>
      </c>
      <c r="H706" s="222" t="str">
        <f t="shared" ref="H706:H769" si="23">IFERROR(VLOOKUP(A706,alum,1,0),"999")</f>
        <v>999</v>
      </c>
    </row>
    <row r="707" spans="1:8" hidden="1">
      <c r="A707" s="87">
        <v>37457738</v>
      </c>
      <c r="B707" s="88" t="s">
        <v>1190</v>
      </c>
      <c r="C707" s="88" t="s">
        <v>2212</v>
      </c>
      <c r="D707" s="88" t="s">
        <v>6981</v>
      </c>
      <c r="E707" s="94">
        <v>43777</v>
      </c>
      <c r="F707" s="91"/>
      <c r="G707" s="223" t="str">
        <f t="shared" si="22"/>
        <v>sin dato</v>
      </c>
      <c r="H707" s="222" t="str">
        <f t="shared" si="23"/>
        <v>999</v>
      </c>
    </row>
    <row r="708" spans="1:8" hidden="1">
      <c r="A708" s="87">
        <v>33374371</v>
      </c>
      <c r="B708" s="88" t="s">
        <v>1599</v>
      </c>
      <c r="C708" s="88" t="s">
        <v>223</v>
      </c>
      <c r="D708" s="88" t="s">
        <v>6981</v>
      </c>
      <c r="E708" s="94">
        <v>43777</v>
      </c>
      <c r="F708" s="91"/>
      <c r="G708" s="223" t="str">
        <f t="shared" si="22"/>
        <v>sin dato</v>
      </c>
      <c r="H708" s="222">
        <f t="shared" si="23"/>
        <v>33374371</v>
      </c>
    </row>
    <row r="709" spans="1:8" hidden="1">
      <c r="A709" s="87">
        <v>35548263</v>
      </c>
      <c r="B709" s="88" t="s">
        <v>415</v>
      </c>
      <c r="C709" s="88" t="s">
        <v>6983</v>
      </c>
      <c r="D709" s="88" t="s">
        <v>6981</v>
      </c>
      <c r="E709" s="94">
        <v>43777</v>
      </c>
      <c r="F709" s="91"/>
      <c r="G709" s="223" t="str">
        <f t="shared" si="22"/>
        <v>sin dato</v>
      </c>
      <c r="H709" s="222" t="str">
        <f t="shared" si="23"/>
        <v>999</v>
      </c>
    </row>
    <row r="710" spans="1:8" hidden="1">
      <c r="A710" s="87">
        <v>25843239</v>
      </c>
      <c r="B710" s="88" t="s">
        <v>4874</v>
      </c>
      <c r="C710" s="88" t="s">
        <v>4875</v>
      </c>
      <c r="D710" s="88" t="s">
        <v>6981</v>
      </c>
      <c r="E710" s="94">
        <v>43777</v>
      </c>
      <c r="F710" s="91"/>
      <c r="G710" s="223">
        <f t="shared" si="22"/>
        <v>52</v>
      </c>
      <c r="H710" s="222">
        <f t="shared" si="23"/>
        <v>25843239</v>
      </c>
    </row>
    <row r="711" spans="1:8" hidden="1">
      <c r="A711" s="87">
        <v>23387097</v>
      </c>
      <c r="B711" s="88" t="s">
        <v>3842</v>
      </c>
      <c r="C711" s="88" t="s">
        <v>902</v>
      </c>
      <c r="D711" s="88" t="s">
        <v>6981</v>
      </c>
      <c r="E711" s="94">
        <v>43777</v>
      </c>
      <c r="F711" s="91"/>
      <c r="G711" s="223">
        <f t="shared" si="22"/>
        <v>20</v>
      </c>
      <c r="H711" s="222">
        <f t="shared" si="23"/>
        <v>23387097</v>
      </c>
    </row>
    <row r="712" spans="1:8" hidden="1">
      <c r="A712" s="87">
        <v>21329323</v>
      </c>
      <c r="B712" s="88" t="s">
        <v>4646</v>
      </c>
      <c r="C712" s="88" t="s">
        <v>2447</v>
      </c>
      <c r="D712" s="88" t="s">
        <v>6981</v>
      </c>
      <c r="E712" s="94">
        <v>43777</v>
      </c>
      <c r="F712" s="91"/>
      <c r="G712" s="223">
        <f t="shared" si="22"/>
        <v>22</v>
      </c>
      <c r="H712" s="222">
        <f t="shared" si="23"/>
        <v>21329323</v>
      </c>
    </row>
    <row r="713" spans="1:8" hidden="1">
      <c r="A713" s="87">
        <v>32460682</v>
      </c>
      <c r="B713" s="88" t="s">
        <v>1244</v>
      </c>
      <c r="C713" s="88" t="s">
        <v>351</v>
      </c>
      <c r="D713" s="88" t="s">
        <v>6981</v>
      </c>
      <c r="E713" s="94">
        <v>43777</v>
      </c>
      <c r="F713" s="91"/>
      <c r="G713" s="223">
        <f t="shared" si="22"/>
        <v>14</v>
      </c>
      <c r="H713" s="222">
        <f t="shared" si="23"/>
        <v>32460682</v>
      </c>
    </row>
    <row r="714" spans="1:8" hidden="1">
      <c r="A714" s="87">
        <v>38423529</v>
      </c>
      <c r="B714" s="88" t="s">
        <v>467</v>
      </c>
      <c r="C714" s="88" t="s">
        <v>4241</v>
      </c>
      <c r="D714" s="88" t="s">
        <v>6981</v>
      </c>
      <c r="E714" s="94">
        <v>43777</v>
      </c>
      <c r="F714" s="91"/>
      <c r="G714" s="223" t="str">
        <f t="shared" si="22"/>
        <v>sin dato</v>
      </c>
      <c r="H714" s="222" t="str">
        <f t="shared" si="23"/>
        <v>999</v>
      </c>
    </row>
    <row r="715" spans="1:8" hidden="1">
      <c r="A715" s="87">
        <v>36420915</v>
      </c>
      <c r="B715" s="88" t="s">
        <v>4213</v>
      </c>
      <c r="C715" s="88" t="s">
        <v>2418</v>
      </c>
      <c r="D715" s="88" t="s">
        <v>6981</v>
      </c>
      <c r="E715" s="94">
        <v>43777</v>
      </c>
      <c r="F715" s="91"/>
      <c r="G715" s="223" t="str">
        <f t="shared" si="22"/>
        <v>sin dato</v>
      </c>
      <c r="H715" s="222" t="str">
        <f t="shared" si="23"/>
        <v>999</v>
      </c>
    </row>
    <row r="716" spans="1:8" hidden="1">
      <c r="A716" s="87">
        <v>20219773</v>
      </c>
      <c r="B716" s="88" t="s">
        <v>1283</v>
      </c>
      <c r="C716" s="88" t="s">
        <v>3492</v>
      </c>
      <c r="D716" s="88" t="s">
        <v>6981</v>
      </c>
      <c r="E716" s="94">
        <v>43777</v>
      </c>
      <c r="F716" s="91"/>
      <c r="G716" s="223">
        <f t="shared" si="22"/>
        <v>25</v>
      </c>
      <c r="H716" s="222">
        <f t="shared" si="23"/>
        <v>20219773</v>
      </c>
    </row>
    <row r="717" spans="1:8" hidden="1">
      <c r="A717" s="87">
        <v>31842029</v>
      </c>
      <c r="B717" s="88" t="s">
        <v>5233</v>
      </c>
      <c r="C717" s="88" t="s">
        <v>5234</v>
      </c>
      <c r="D717" s="88" t="s">
        <v>6981</v>
      </c>
      <c r="E717" s="94">
        <v>43777</v>
      </c>
      <c r="F717" s="91"/>
      <c r="G717" s="223">
        <f t="shared" si="22"/>
        <v>2</v>
      </c>
      <c r="H717" s="222">
        <f t="shared" si="23"/>
        <v>31842029</v>
      </c>
    </row>
    <row r="718" spans="1:8" hidden="1">
      <c r="A718" s="87">
        <v>31030443</v>
      </c>
      <c r="B718" s="88" t="s">
        <v>497</v>
      </c>
      <c r="C718" s="88" t="s">
        <v>6487</v>
      </c>
      <c r="D718" s="88" t="s">
        <v>6981</v>
      </c>
      <c r="E718" s="94">
        <v>43777</v>
      </c>
      <c r="F718" s="91"/>
      <c r="G718" s="223">
        <f t="shared" si="22"/>
        <v>999</v>
      </c>
      <c r="H718" s="222">
        <f t="shared" si="23"/>
        <v>31030443</v>
      </c>
    </row>
    <row r="719" spans="1:8" hidden="1">
      <c r="A719" s="87">
        <v>24059021</v>
      </c>
      <c r="B719" s="88" t="s">
        <v>3887</v>
      </c>
      <c r="C719" s="88" t="s">
        <v>3888</v>
      </c>
      <c r="D719" s="88" t="s">
        <v>6981</v>
      </c>
      <c r="E719" s="94">
        <v>43777</v>
      </c>
      <c r="F719" s="91"/>
      <c r="G719" s="223">
        <f t="shared" si="22"/>
        <v>20</v>
      </c>
      <c r="H719" s="222">
        <f t="shared" si="23"/>
        <v>24059021</v>
      </c>
    </row>
    <row r="720" spans="1:8" hidden="1">
      <c r="A720" s="87">
        <v>35485322</v>
      </c>
      <c r="B720" s="88" t="s">
        <v>4227</v>
      </c>
      <c r="C720" s="88" t="s">
        <v>906</v>
      </c>
      <c r="D720" s="88" t="s">
        <v>6981</v>
      </c>
      <c r="E720" s="94">
        <v>43777</v>
      </c>
      <c r="F720" s="91"/>
      <c r="G720" s="223" t="str">
        <f t="shared" si="22"/>
        <v>sin dato</v>
      </c>
      <c r="H720" s="222">
        <f t="shared" si="23"/>
        <v>35485322</v>
      </c>
    </row>
    <row r="721" spans="1:8" hidden="1">
      <c r="A721" s="87">
        <v>33541638</v>
      </c>
      <c r="B721" s="88" t="s">
        <v>2310</v>
      </c>
      <c r="C721" s="88" t="s">
        <v>30</v>
      </c>
      <c r="D721" s="88" t="s">
        <v>6981</v>
      </c>
      <c r="E721" s="94">
        <v>43777</v>
      </c>
      <c r="F721" s="91"/>
      <c r="G721" s="223">
        <f t="shared" si="22"/>
        <v>16</v>
      </c>
      <c r="H721" s="222">
        <f t="shared" si="23"/>
        <v>33541638</v>
      </c>
    </row>
    <row r="722" spans="1:8" hidden="1">
      <c r="A722" s="87">
        <v>14410428</v>
      </c>
      <c r="B722" s="88" t="s">
        <v>2731</v>
      </c>
      <c r="C722" s="88" t="s">
        <v>1061</v>
      </c>
      <c r="D722" s="88" t="s">
        <v>6984</v>
      </c>
      <c r="E722" s="94">
        <v>43746</v>
      </c>
      <c r="F722" s="91"/>
      <c r="G722" s="223">
        <f t="shared" si="22"/>
        <v>20</v>
      </c>
      <c r="H722" s="222">
        <f t="shared" si="23"/>
        <v>14410428</v>
      </c>
    </row>
    <row r="723" spans="1:8" hidden="1">
      <c r="A723" s="87">
        <v>18185663</v>
      </c>
      <c r="B723" s="88" t="s">
        <v>26</v>
      </c>
      <c r="C723" s="88" t="s">
        <v>5759</v>
      </c>
      <c r="D723" s="88" t="s">
        <v>6986</v>
      </c>
      <c r="E723" s="94">
        <v>43740</v>
      </c>
      <c r="F723" s="91"/>
      <c r="G723" s="223" t="str">
        <f t="shared" si="22"/>
        <v>sin dato</v>
      </c>
      <c r="H723" s="222">
        <f t="shared" si="23"/>
        <v>18185663</v>
      </c>
    </row>
    <row r="724" spans="1:8" hidden="1">
      <c r="A724" s="87">
        <v>25444256</v>
      </c>
      <c r="B724" s="88" t="s">
        <v>5764</v>
      </c>
      <c r="C724" s="88" t="s">
        <v>5765</v>
      </c>
      <c r="D724" s="88" t="s">
        <v>6986</v>
      </c>
      <c r="E724" s="94">
        <v>43740</v>
      </c>
      <c r="F724" s="91"/>
      <c r="G724" s="223" t="str">
        <f t="shared" si="22"/>
        <v>sin dato</v>
      </c>
      <c r="H724" s="222">
        <f t="shared" si="23"/>
        <v>25444256</v>
      </c>
    </row>
    <row r="725" spans="1:8" hidden="1">
      <c r="A725" s="87">
        <v>14286859</v>
      </c>
      <c r="B725" s="88" t="s">
        <v>961</v>
      </c>
      <c r="C725" s="88" t="s">
        <v>5755</v>
      </c>
      <c r="D725" s="88" t="s">
        <v>6986</v>
      </c>
      <c r="E725" s="94">
        <v>43740</v>
      </c>
      <c r="F725" s="91"/>
      <c r="G725" s="223">
        <f t="shared" si="22"/>
        <v>6</v>
      </c>
      <c r="H725" s="222">
        <f t="shared" si="23"/>
        <v>14286859</v>
      </c>
    </row>
    <row r="726" spans="1:8" hidden="1">
      <c r="A726" s="87">
        <v>21026672</v>
      </c>
      <c r="B726" s="88" t="s">
        <v>6485</v>
      </c>
      <c r="C726" s="88" t="s">
        <v>571</v>
      </c>
      <c r="D726" s="88" t="s">
        <v>6986</v>
      </c>
      <c r="E726" s="94">
        <v>43740</v>
      </c>
      <c r="F726" s="91" t="s">
        <v>582</v>
      </c>
      <c r="G726" s="223">
        <f t="shared" si="22"/>
        <v>999</v>
      </c>
      <c r="H726" s="222">
        <f t="shared" si="23"/>
        <v>21026672</v>
      </c>
    </row>
    <row r="727" spans="1:8" hidden="1">
      <c r="A727" s="87">
        <v>22451756</v>
      </c>
      <c r="B727" s="88" t="s">
        <v>983</v>
      </c>
      <c r="C727" s="88" t="s">
        <v>2669</v>
      </c>
      <c r="D727" s="88" t="s">
        <v>6986</v>
      </c>
      <c r="E727" s="94">
        <v>43740</v>
      </c>
      <c r="F727" s="91"/>
      <c r="G727" s="223">
        <f t="shared" si="22"/>
        <v>55</v>
      </c>
      <c r="H727" s="222">
        <f t="shared" si="23"/>
        <v>22451756</v>
      </c>
    </row>
    <row r="728" spans="1:8" hidden="1">
      <c r="A728" s="87">
        <v>24453782</v>
      </c>
      <c r="B728" s="88" t="s">
        <v>5158</v>
      </c>
      <c r="C728" s="88" t="s">
        <v>5159</v>
      </c>
      <c r="D728" s="88" t="s">
        <v>6986</v>
      </c>
      <c r="E728" s="94">
        <v>43740</v>
      </c>
      <c r="F728" s="91"/>
      <c r="G728" s="223" t="str">
        <f t="shared" si="22"/>
        <v>sin dato</v>
      </c>
      <c r="H728" s="222">
        <f t="shared" si="23"/>
        <v>24453782</v>
      </c>
    </row>
    <row r="729" spans="1:8" hidden="1">
      <c r="A729" s="87">
        <v>20178158</v>
      </c>
      <c r="B729" s="88" t="s">
        <v>5002</v>
      </c>
      <c r="C729" s="88" t="s">
        <v>5003</v>
      </c>
      <c r="D729" s="88" t="s">
        <v>6986</v>
      </c>
      <c r="E729" s="94">
        <v>43740</v>
      </c>
      <c r="F729" s="91"/>
      <c r="G729" s="223" t="str">
        <f t="shared" si="22"/>
        <v>sin dato</v>
      </c>
      <c r="H729" s="222">
        <f t="shared" si="23"/>
        <v>20178158</v>
      </c>
    </row>
    <row r="730" spans="1:8" hidden="1">
      <c r="A730" s="87">
        <v>29060073</v>
      </c>
      <c r="B730" s="88" t="s">
        <v>4836</v>
      </c>
      <c r="C730" s="88" t="s">
        <v>1061</v>
      </c>
      <c r="D730" s="88" t="s">
        <v>6986</v>
      </c>
      <c r="E730" s="94">
        <v>43740</v>
      </c>
      <c r="F730" s="91"/>
      <c r="G730" s="223">
        <f t="shared" si="22"/>
        <v>1</v>
      </c>
      <c r="H730" s="222">
        <f t="shared" si="23"/>
        <v>29060073</v>
      </c>
    </row>
    <row r="731" spans="1:8" hidden="1">
      <c r="A731" s="87">
        <v>28476977</v>
      </c>
      <c r="B731" s="88" t="s">
        <v>5296</v>
      </c>
      <c r="C731" s="88" t="s">
        <v>843</v>
      </c>
      <c r="D731" s="88" t="s">
        <v>6986</v>
      </c>
      <c r="E731" s="94">
        <v>43740</v>
      </c>
      <c r="F731" s="91"/>
      <c r="G731" s="223">
        <f t="shared" si="22"/>
        <v>2</v>
      </c>
      <c r="H731" s="222">
        <f t="shared" si="23"/>
        <v>28476977</v>
      </c>
    </row>
    <row r="732" spans="1:8" hidden="1">
      <c r="A732" s="87">
        <v>18756576</v>
      </c>
      <c r="B732" s="88" t="s">
        <v>5268</v>
      </c>
      <c r="C732" s="88" t="s">
        <v>1769</v>
      </c>
      <c r="D732" s="88" t="s">
        <v>6986</v>
      </c>
      <c r="E732" s="94">
        <v>43740</v>
      </c>
      <c r="F732" s="91"/>
      <c r="G732" s="223">
        <f t="shared" si="22"/>
        <v>9</v>
      </c>
      <c r="H732" s="222">
        <f t="shared" si="23"/>
        <v>18756576</v>
      </c>
    </row>
    <row r="733" spans="1:8" hidden="1">
      <c r="A733" s="87">
        <v>31588554</v>
      </c>
      <c r="B733" s="88" t="s">
        <v>5163</v>
      </c>
      <c r="C733" s="88" t="s">
        <v>2678</v>
      </c>
      <c r="D733" s="88" t="s">
        <v>6986</v>
      </c>
      <c r="E733" s="94">
        <v>43740</v>
      </c>
      <c r="F733" s="91"/>
      <c r="G733" s="223" t="str">
        <f t="shared" si="22"/>
        <v>sin dato</v>
      </c>
      <c r="H733" s="222">
        <f t="shared" si="23"/>
        <v>31588554</v>
      </c>
    </row>
    <row r="734" spans="1:8" hidden="1">
      <c r="A734" s="87">
        <v>12318839</v>
      </c>
      <c r="B734" s="88" t="s">
        <v>218</v>
      </c>
      <c r="C734" s="88" t="s">
        <v>27</v>
      </c>
      <c r="D734" s="88" t="s">
        <v>6986</v>
      </c>
      <c r="E734" s="94">
        <v>43740</v>
      </c>
      <c r="F734" s="91"/>
      <c r="G734" s="223" t="str">
        <f t="shared" si="22"/>
        <v>sin dato</v>
      </c>
      <c r="H734" s="222">
        <f t="shared" si="23"/>
        <v>12318839</v>
      </c>
    </row>
    <row r="735" spans="1:8" hidden="1">
      <c r="A735" s="87">
        <v>17614936</v>
      </c>
      <c r="B735" s="88" t="s">
        <v>5596</v>
      </c>
      <c r="C735" s="88" t="s">
        <v>215</v>
      </c>
      <c r="D735" s="88" t="s">
        <v>6986</v>
      </c>
      <c r="E735" s="94">
        <v>43740</v>
      </c>
      <c r="F735" s="91"/>
      <c r="G735" s="223">
        <f t="shared" si="22"/>
        <v>6</v>
      </c>
      <c r="H735" s="222">
        <f t="shared" si="23"/>
        <v>17614936</v>
      </c>
    </row>
    <row r="736" spans="1:8" hidden="1">
      <c r="A736" s="87">
        <v>33540639</v>
      </c>
      <c r="B736" s="88" t="s">
        <v>2121</v>
      </c>
      <c r="C736" s="88" t="s">
        <v>5070</v>
      </c>
      <c r="D736" s="88" t="s">
        <v>6986</v>
      </c>
      <c r="E736" s="94">
        <v>43740</v>
      </c>
      <c r="F736" s="91"/>
      <c r="G736" s="223" t="str">
        <f t="shared" si="22"/>
        <v>sin dato</v>
      </c>
      <c r="H736" s="222">
        <f t="shared" si="23"/>
        <v>33540639</v>
      </c>
    </row>
    <row r="737" spans="1:8" hidden="1">
      <c r="A737" s="87">
        <v>30408472</v>
      </c>
      <c r="B737" s="88" t="s">
        <v>5204</v>
      </c>
      <c r="C737" s="88" t="s">
        <v>5205</v>
      </c>
      <c r="D737" s="88" t="s">
        <v>6986</v>
      </c>
      <c r="E737" s="94">
        <v>43740</v>
      </c>
      <c r="F737" s="91"/>
      <c r="G737" s="223">
        <f t="shared" si="22"/>
        <v>2</v>
      </c>
      <c r="H737" s="222">
        <f t="shared" si="23"/>
        <v>30408472</v>
      </c>
    </row>
    <row r="738" spans="1:8" hidden="1">
      <c r="A738" s="87">
        <v>34067633</v>
      </c>
      <c r="B738" s="88" t="s">
        <v>5098</v>
      </c>
      <c r="C738" s="88" t="s">
        <v>5170</v>
      </c>
      <c r="D738" s="88" t="s">
        <v>6986</v>
      </c>
      <c r="E738" s="94">
        <v>43740</v>
      </c>
      <c r="F738" s="91"/>
      <c r="G738" s="223" t="str">
        <f t="shared" si="22"/>
        <v>sin dato</v>
      </c>
      <c r="H738" s="222">
        <f t="shared" si="23"/>
        <v>34067633</v>
      </c>
    </row>
    <row r="739" spans="1:8" hidden="1">
      <c r="A739" s="87">
        <v>17270247</v>
      </c>
      <c r="B739" s="88" t="s">
        <v>5098</v>
      </c>
      <c r="C739" s="88" t="s">
        <v>1061</v>
      </c>
      <c r="D739" s="88" t="s">
        <v>6986</v>
      </c>
      <c r="E739" s="94">
        <v>43740</v>
      </c>
      <c r="F739" s="91"/>
      <c r="G739" s="223" t="str">
        <f t="shared" si="22"/>
        <v>sin dato</v>
      </c>
      <c r="H739" s="222">
        <f t="shared" si="23"/>
        <v>17270247</v>
      </c>
    </row>
    <row r="740" spans="1:8" hidden="1">
      <c r="A740" s="87">
        <v>14984183</v>
      </c>
      <c r="B740" s="88" t="s">
        <v>5811</v>
      </c>
      <c r="C740" s="88" t="s">
        <v>876</v>
      </c>
      <c r="D740" s="88" t="s">
        <v>6986</v>
      </c>
      <c r="E740" s="94">
        <v>43740</v>
      </c>
      <c r="F740" s="91"/>
      <c r="G740" s="223" t="str">
        <f t="shared" si="22"/>
        <v>sin dato</v>
      </c>
      <c r="H740" s="222">
        <f t="shared" si="23"/>
        <v>14984183</v>
      </c>
    </row>
    <row r="741" spans="1:8" hidden="1">
      <c r="A741" s="87">
        <v>20178922</v>
      </c>
      <c r="B741" s="88" t="s">
        <v>5788</v>
      </c>
      <c r="C741" s="88" t="s">
        <v>5789</v>
      </c>
      <c r="D741" s="88" t="s">
        <v>6986</v>
      </c>
      <c r="E741" s="94">
        <v>43740</v>
      </c>
      <c r="F741" s="91"/>
      <c r="G741" s="223" t="str">
        <f t="shared" si="22"/>
        <v>sin dato</v>
      </c>
      <c r="H741" s="222">
        <f t="shared" si="23"/>
        <v>20178922</v>
      </c>
    </row>
    <row r="742" spans="1:8" hidden="1">
      <c r="A742" s="87">
        <v>26176914</v>
      </c>
      <c r="B742" s="88" t="s">
        <v>1216</v>
      </c>
      <c r="C742" s="88" t="s">
        <v>5122</v>
      </c>
      <c r="D742" s="88" t="s">
        <v>6986</v>
      </c>
      <c r="E742" s="94">
        <v>43740</v>
      </c>
      <c r="F742" s="91"/>
      <c r="G742" s="223" t="str">
        <f t="shared" si="22"/>
        <v>sin dato</v>
      </c>
      <c r="H742" s="222">
        <f t="shared" si="23"/>
        <v>26176914</v>
      </c>
    </row>
    <row r="743" spans="1:8" hidden="1">
      <c r="A743" s="87">
        <v>16617295</v>
      </c>
      <c r="B743" s="88" t="s">
        <v>574</v>
      </c>
      <c r="C743" s="88" t="s">
        <v>455</v>
      </c>
      <c r="D743" s="88" t="s">
        <v>6986</v>
      </c>
      <c r="E743" s="94">
        <v>43740</v>
      </c>
      <c r="F743" s="91"/>
      <c r="G743" s="223" t="str">
        <f t="shared" si="22"/>
        <v>sin dato</v>
      </c>
      <c r="H743" s="222">
        <f t="shared" si="23"/>
        <v>16617295</v>
      </c>
    </row>
    <row r="744" spans="1:8" hidden="1">
      <c r="A744" s="87">
        <v>25884788</v>
      </c>
      <c r="B744" s="88" t="s">
        <v>5166</v>
      </c>
      <c r="C744" s="88" t="s">
        <v>5167</v>
      </c>
      <c r="D744" s="88" t="s">
        <v>6986</v>
      </c>
      <c r="E744" s="94">
        <v>43740</v>
      </c>
      <c r="F744" s="91"/>
      <c r="G744" s="223" t="str">
        <f t="shared" si="22"/>
        <v>sin dato</v>
      </c>
      <c r="H744" s="222">
        <f t="shared" si="23"/>
        <v>25884788</v>
      </c>
    </row>
    <row r="745" spans="1:8" hidden="1">
      <c r="A745" s="87">
        <v>20301219</v>
      </c>
      <c r="B745" s="88" t="s">
        <v>5140</v>
      </c>
      <c r="C745" s="88" t="s">
        <v>5141</v>
      </c>
      <c r="D745" s="88" t="s">
        <v>6986</v>
      </c>
      <c r="E745" s="94">
        <v>43740</v>
      </c>
      <c r="F745" s="91"/>
      <c r="G745" s="223" t="str">
        <f t="shared" si="22"/>
        <v>sin dato</v>
      </c>
      <c r="H745" s="222">
        <f t="shared" si="23"/>
        <v>20301219</v>
      </c>
    </row>
    <row r="746" spans="1:8" hidden="1">
      <c r="A746" s="87">
        <v>12869224</v>
      </c>
      <c r="B746" s="88" t="s">
        <v>5819</v>
      </c>
      <c r="C746" s="88" t="s">
        <v>5820</v>
      </c>
      <c r="D746" s="88" t="s">
        <v>6986</v>
      </c>
      <c r="E746" s="94">
        <v>43740</v>
      </c>
      <c r="F746" s="91"/>
      <c r="G746" s="223" t="str">
        <f t="shared" si="22"/>
        <v>sin dato</v>
      </c>
      <c r="H746" s="222">
        <f t="shared" si="23"/>
        <v>12869224</v>
      </c>
    </row>
    <row r="747" spans="1:8" hidden="1">
      <c r="A747" s="87">
        <v>20171458</v>
      </c>
      <c r="B747" s="88" t="s">
        <v>2813</v>
      </c>
      <c r="C747" s="88" t="s">
        <v>5808</v>
      </c>
      <c r="D747" s="88" t="s">
        <v>6986</v>
      </c>
      <c r="E747" s="94">
        <v>43740</v>
      </c>
      <c r="F747" s="91"/>
      <c r="G747" s="223" t="str">
        <f t="shared" si="22"/>
        <v>sin dato</v>
      </c>
      <c r="H747" s="222">
        <f t="shared" si="23"/>
        <v>20171458</v>
      </c>
    </row>
    <row r="748" spans="1:8" hidden="1">
      <c r="A748" s="87">
        <v>34133332</v>
      </c>
      <c r="B748" s="88" t="s">
        <v>5480</v>
      </c>
      <c r="C748" s="88" t="s">
        <v>1572</v>
      </c>
      <c r="D748" s="88" t="s">
        <v>6986</v>
      </c>
      <c r="E748" s="94">
        <v>43740</v>
      </c>
      <c r="F748" s="91"/>
      <c r="G748" s="223">
        <f t="shared" si="22"/>
        <v>7</v>
      </c>
      <c r="H748" s="222">
        <f t="shared" si="23"/>
        <v>34133332</v>
      </c>
    </row>
    <row r="749" spans="1:8" hidden="1">
      <c r="A749" s="87">
        <v>36584270</v>
      </c>
      <c r="B749" s="88" t="s">
        <v>5878</v>
      </c>
      <c r="C749" s="88" t="s">
        <v>5879</v>
      </c>
      <c r="D749" s="88" t="s">
        <v>6988</v>
      </c>
      <c r="E749" s="94">
        <v>43739</v>
      </c>
      <c r="F749" s="91"/>
      <c r="G749" s="223" t="str">
        <f t="shared" si="22"/>
        <v>sin dato</v>
      </c>
      <c r="H749" s="222" t="str">
        <f t="shared" si="23"/>
        <v>999</v>
      </c>
    </row>
    <row r="750" spans="1:8" hidden="1">
      <c r="A750" s="87">
        <v>32115802</v>
      </c>
      <c r="B750" s="88" t="s">
        <v>2718</v>
      </c>
      <c r="C750" s="88" t="s">
        <v>2719</v>
      </c>
      <c r="D750" s="88" t="s">
        <v>6988</v>
      </c>
      <c r="E750" s="94">
        <v>43739</v>
      </c>
      <c r="F750" s="91"/>
      <c r="G750" s="223">
        <f t="shared" si="22"/>
        <v>52</v>
      </c>
      <c r="H750" s="222">
        <f t="shared" si="23"/>
        <v>32115802</v>
      </c>
    </row>
    <row r="751" spans="1:8" hidden="1">
      <c r="A751" s="87">
        <v>27594473</v>
      </c>
      <c r="B751" s="88" t="s">
        <v>1906</v>
      </c>
      <c r="C751" s="88" t="s">
        <v>1003</v>
      </c>
      <c r="D751" s="88" t="s">
        <v>6988</v>
      </c>
      <c r="E751" s="94">
        <v>43739</v>
      </c>
      <c r="F751" s="91"/>
      <c r="G751" s="223">
        <f t="shared" si="22"/>
        <v>10</v>
      </c>
      <c r="H751" s="222">
        <f t="shared" si="23"/>
        <v>27594473</v>
      </c>
    </row>
    <row r="752" spans="1:8" hidden="1">
      <c r="A752" s="87">
        <v>31323198</v>
      </c>
      <c r="B752" s="88" t="s">
        <v>94</v>
      </c>
      <c r="C752" s="88" t="s">
        <v>95</v>
      </c>
      <c r="D752" s="88" t="s">
        <v>6988</v>
      </c>
      <c r="E752" s="94">
        <v>43739</v>
      </c>
      <c r="F752" s="91"/>
      <c r="G752" s="223">
        <f t="shared" si="22"/>
        <v>7</v>
      </c>
      <c r="H752" s="222">
        <f t="shared" si="23"/>
        <v>31323198</v>
      </c>
    </row>
    <row r="753" spans="1:8" hidden="1">
      <c r="A753" s="87">
        <v>31842821</v>
      </c>
      <c r="B753" s="88" t="s">
        <v>5994</v>
      </c>
      <c r="C753" s="88" t="s">
        <v>5995</v>
      </c>
      <c r="D753" s="88" t="s">
        <v>6988</v>
      </c>
      <c r="E753" s="94">
        <v>43739</v>
      </c>
      <c r="F753" s="149" t="s">
        <v>23</v>
      </c>
      <c r="G753" s="223">
        <f t="shared" si="22"/>
        <v>999</v>
      </c>
      <c r="H753" s="222">
        <f t="shared" si="23"/>
        <v>31842821</v>
      </c>
    </row>
    <row r="754" spans="1:8" hidden="1">
      <c r="A754" s="87">
        <v>29555986</v>
      </c>
      <c r="B754" s="88" t="s">
        <v>5893</v>
      </c>
      <c r="C754" s="88" t="s">
        <v>5894</v>
      </c>
      <c r="D754" s="88" t="s">
        <v>6988</v>
      </c>
      <c r="E754" s="94">
        <v>43739</v>
      </c>
      <c r="F754" s="91"/>
      <c r="G754" s="223">
        <f t="shared" si="22"/>
        <v>10</v>
      </c>
      <c r="H754" s="222">
        <f t="shared" si="23"/>
        <v>29555986</v>
      </c>
    </row>
    <row r="755" spans="1:8" hidden="1">
      <c r="A755" s="87">
        <v>25735261</v>
      </c>
      <c r="B755" s="88" t="s">
        <v>2912</v>
      </c>
      <c r="C755" s="88" t="s">
        <v>2913</v>
      </c>
      <c r="D755" s="88" t="s">
        <v>6988</v>
      </c>
      <c r="E755" s="94">
        <v>43739</v>
      </c>
      <c r="F755" s="91"/>
      <c r="G755" s="223" t="str">
        <f t="shared" si="22"/>
        <v>sin dato</v>
      </c>
      <c r="H755" s="222">
        <f t="shared" si="23"/>
        <v>25735261</v>
      </c>
    </row>
    <row r="756" spans="1:8" hidden="1">
      <c r="A756" s="87">
        <v>24340307</v>
      </c>
      <c r="B756" s="88" t="s">
        <v>5959</v>
      </c>
      <c r="C756" s="88" t="s">
        <v>571</v>
      </c>
      <c r="D756" s="88" t="s">
        <v>6988</v>
      </c>
      <c r="E756" s="94">
        <v>43739</v>
      </c>
      <c r="F756" s="91"/>
      <c r="G756" s="223">
        <f t="shared" si="22"/>
        <v>10</v>
      </c>
      <c r="H756" s="222">
        <f t="shared" si="23"/>
        <v>24340307</v>
      </c>
    </row>
    <row r="757" spans="1:8" hidden="1">
      <c r="A757" s="87">
        <v>32513757</v>
      </c>
      <c r="B757" s="88" t="s">
        <v>622</v>
      </c>
      <c r="C757" s="88" t="s">
        <v>5487</v>
      </c>
      <c r="D757" s="88" t="s">
        <v>6988</v>
      </c>
      <c r="E757" s="94">
        <v>43739</v>
      </c>
      <c r="F757" s="91"/>
      <c r="G757" s="223">
        <f t="shared" si="22"/>
        <v>7</v>
      </c>
      <c r="H757" s="222">
        <f t="shared" si="23"/>
        <v>32513757</v>
      </c>
    </row>
    <row r="758" spans="1:8" hidden="1">
      <c r="A758" s="87">
        <v>24098848</v>
      </c>
      <c r="B758" s="88" t="s">
        <v>4830</v>
      </c>
      <c r="C758" s="88" t="s">
        <v>4831</v>
      </c>
      <c r="D758" s="88" t="s">
        <v>6988</v>
      </c>
      <c r="E758" s="94">
        <v>43739</v>
      </c>
      <c r="F758" s="91"/>
      <c r="G758" s="223">
        <f t="shared" si="22"/>
        <v>1</v>
      </c>
      <c r="H758" s="222">
        <f t="shared" si="23"/>
        <v>24098848</v>
      </c>
    </row>
    <row r="759" spans="1:8" hidden="1">
      <c r="A759" s="87">
        <v>29997496</v>
      </c>
      <c r="B759" s="88" t="s">
        <v>5318</v>
      </c>
      <c r="C759" s="88" t="s">
        <v>5319</v>
      </c>
      <c r="D759" s="88" t="s">
        <v>6988</v>
      </c>
      <c r="E759" s="94">
        <v>43739</v>
      </c>
      <c r="F759" s="91"/>
      <c r="G759" s="223">
        <f t="shared" si="22"/>
        <v>7</v>
      </c>
      <c r="H759" s="222">
        <f t="shared" si="23"/>
        <v>29997496</v>
      </c>
    </row>
    <row r="760" spans="1:8" hidden="1">
      <c r="A760" s="87">
        <v>32460837</v>
      </c>
      <c r="B760" s="88" t="s">
        <v>4112</v>
      </c>
      <c r="C760" s="88" t="s">
        <v>5341</v>
      </c>
      <c r="D760" s="88" t="s">
        <v>6988</v>
      </c>
      <c r="E760" s="94">
        <v>43739</v>
      </c>
      <c r="F760" s="91"/>
      <c r="G760" s="223">
        <f t="shared" si="22"/>
        <v>7</v>
      </c>
      <c r="H760" s="222">
        <f t="shared" si="23"/>
        <v>32460837</v>
      </c>
    </row>
    <row r="761" spans="1:8" hidden="1">
      <c r="A761" s="87">
        <v>17615047</v>
      </c>
      <c r="B761" s="88" t="s">
        <v>2966</v>
      </c>
      <c r="C761" s="88" t="s">
        <v>6143</v>
      </c>
      <c r="D761" s="88" t="s">
        <v>6988</v>
      </c>
      <c r="E761" s="94">
        <v>43739</v>
      </c>
      <c r="F761" s="149" t="s">
        <v>23</v>
      </c>
      <c r="G761" s="223">
        <f t="shared" si="22"/>
        <v>999</v>
      </c>
      <c r="H761" s="222">
        <f t="shared" si="23"/>
        <v>17615047</v>
      </c>
    </row>
    <row r="762" spans="1:8" hidden="1">
      <c r="A762" s="87">
        <v>17354788</v>
      </c>
      <c r="B762" s="88" t="s">
        <v>5956</v>
      </c>
      <c r="C762" s="88" t="s">
        <v>1146</v>
      </c>
      <c r="D762" s="88" t="s">
        <v>6988</v>
      </c>
      <c r="E762" s="94">
        <v>43739</v>
      </c>
      <c r="F762" s="91"/>
      <c r="G762" s="223">
        <f t="shared" si="22"/>
        <v>10</v>
      </c>
      <c r="H762" s="222">
        <f t="shared" si="23"/>
        <v>17354788</v>
      </c>
    </row>
    <row r="763" spans="1:8" hidden="1">
      <c r="A763" s="87">
        <v>37311669</v>
      </c>
      <c r="B763" s="88" t="s">
        <v>218</v>
      </c>
      <c r="C763" s="88" t="s">
        <v>4942</v>
      </c>
      <c r="D763" s="88" t="s">
        <v>6988</v>
      </c>
      <c r="E763" s="94">
        <v>43739</v>
      </c>
      <c r="F763" s="91"/>
      <c r="G763" s="223" t="str">
        <f t="shared" si="22"/>
        <v>sin dato</v>
      </c>
      <c r="H763" s="222" t="str">
        <f t="shared" si="23"/>
        <v>999</v>
      </c>
    </row>
    <row r="764" spans="1:8" hidden="1">
      <c r="A764" s="87">
        <v>24200474</v>
      </c>
      <c r="B764" s="88" t="s">
        <v>218</v>
      </c>
      <c r="C764" s="88" t="s">
        <v>5349</v>
      </c>
      <c r="D764" s="88" t="s">
        <v>6988</v>
      </c>
      <c r="E764" s="94">
        <v>43739</v>
      </c>
      <c r="F764" s="91"/>
      <c r="G764" s="223">
        <f t="shared" si="22"/>
        <v>7</v>
      </c>
      <c r="H764" s="222">
        <f t="shared" si="23"/>
        <v>24200474</v>
      </c>
    </row>
    <row r="765" spans="1:8" hidden="1">
      <c r="A765" s="87">
        <v>27732969</v>
      </c>
      <c r="B765" s="88" t="s">
        <v>226</v>
      </c>
      <c r="C765" s="88" t="s">
        <v>5899</v>
      </c>
      <c r="D765" s="88" t="s">
        <v>6988</v>
      </c>
      <c r="E765" s="94">
        <v>43739</v>
      </c>
      <c r="F765" s="91"/>
      <c r="G765" s="223">
        <f t="shared" si="22"/>
        <v>10</v>
      </c>
      <c r="H765" s="222">
        <f t="shared" si="23"/>
        <v>27732969</v>
      </c>
    </row>
    <row r="766" spans="1:8" hidden="1">
      <c r="A766" s="87">
        <v>27751765</v>
      </c>
      <c r="B766" s="88" t="s">
        <v>5355</v>
      </c>
      <c r="C766" s="88" t="s">
        <v>5356</v>
      </c>
      <c r="D766" s="88" t="s">
        <v>6988</v>
      </c>
      <c r="E766" s="94">
        <v>43739</v>
      </c>
      <c r="F766" s="91"/>
      <c r="G766" s="223">
        <f t="shared" si="22"/>
        <v>7</v>
      </c>
      <c r="H766" s="222">
        <f t="shared" si="23"/>
        <v>27751765</v>
      </c>
    </row>
    <row r="767" spans="1:8" hidden="1">
      <c r="A767" s="87">
        <v>18461335</v>
      </c>
      <c r="B767" s="88" t="s">
        <v>2919</v>
      </c>
      <c r="C767" s="88" t="s">
        <v>1003</v>
      </c>
      <c r="D767" s="88" t="s">
        <v>6988</v>
      </c>
      <c r="E767" s="94">
        <v>43739</v>
      </c>
      <c r="F767" s="91"/>
      <c r="G767" s="223" t="str">
        <f t="shared" si="22"/>
        <v>sin dato</v>
      </c>
      <c r="H767" s="222">
        <f t="shared" si="23"/>
        <v>18461335</v>
      </c>
    </row>
    <row r="768" spans="1:8" hidden="1">
      <c r="A768" s="87">
        <v>12387324</v>
      </c>
      <c r="B768" s="88" t="s">
        <v>2059</v>
      </c>
      <c r="C768" s="88" t="s">
        <v>4859</v>
      </c>
      <c r="D768" s="88" t="s">
        <v>6988</v>
      </c>
      <c r="E768" s="94">
        <v>43739</v>
      </c>
      <c r="F768" s="91"/>
      <c r="G768" s="223">
        <f t="shared" si="22"/>
        <v>1</v>
      </c>
      <c r="H768" s="222">
        <f t="shared" si="23"/>
        <v>12387324</v>
      </c>
    </row>
    <row r="769" spans="1:8" hidden="1">
      <c r="A769" s="87">
        <v>22799483</v>
      </c>
      <c r="B769" s="88" t="s">
        <v>5902</v>
      </c>
      <c r="C769" s="88" t="s">
        <v>5903</v>
      </c>
      <c r="D769" s="88" t="s">
        <v>6988</v>
      </c>
      <c r="E769" s="94">
        <v>43739</v>
      </c>
      <c r="F769" s="91"/>
      <c r="G769" s="223">
        <f t="shared" si="22"/>
        <v>10</v>
      </c>
      <c r="H769" s="222">
        <f t="shared" si="23"/>
        <v>22799483</v>
      </c>
    </row>
    <row r="770" spans="1:8" hidden="1">
      <c r="A770" s="87">
        <v>25853037</v>
      </c>
      <c r="B770" s="88" t="s">
        <v>2087</v>
      </c>
      <c r="C770" s="88" t="s">
        <v>5367</v>
      </c>
      <c r="D770" s="88" t="s">
        <v>6988</v>
      </c>
      <c r="E770" s="94">
        <v>43739</v>
      </c>
      <c r="F770" s="91"/>
      <c r="G770" s="223">
        <f t="shared" ref="G770:G833" si="24">IFERROR(INDEX(unidad,MATCH(VLOOKUP(A770,alum,9,0),unidad2,0),1),"sin dato")</f>
        <v>7</v>
      </c>
      <c r="H770" s="222">
        <f t="shared" ref="H770:H833" si="25">IFERROR(VLOOKUP(A770,alum,1,0),"999")</f>
        <v>25853037</v>
      </c>
    </row>
    <row r="771" spans="1:8" hidden="1">
      <c r="A771" s="87">
        <v>32927371</v>
      </c>
      <c r="B771" s="88" t="s">
        <v>5381</v>
      </c>
      <c r="C771" s="88" t="s">
        <v>527</v>
      </c>
      <c r="D771" s="88" t="s">
        <v>6988</v>
      </c>
      <c r="E771" s="94">
        <v>43739</v>
      </c>
      <c r="F771" s="91"/>
      <c r="G771" s="223">
        <f t="shared" si="24"/>
        <v>7</v>
      </c>
      <c r="H771" s="222">
        <f t="shared" si="25"/>
        <v>32927371</v>
      </c>
    </row>
    <row r="772" spans="1:8" hidden="1">
      <c r="A772" s="87">
        <v>14353240</v>
      </c>
      <c r="B772" s="88" t="s">
        <v>3749</v>
      </c>
      <c r="C772" s="88" t="s">
        <v>414</v>
      </c>
      <c r="D772" s="88" t="s">
        <v>6988</v>
      </c>
      <c r="E772" s="94">
        <v>43739</v>
      </c>
      <c r="F772" s="91"/>
      <c r="G772" s="223">
        <f t="shared" si="24"/>
        <v>999</v>
      </c>
      <c r="H772" s="222">
        <f t="shared" si="25"/>
        <v>14353240</v>
      </c>
    </row>
    <row r="773" spans="1:8" hidden="1">
      <c r="A773" s="87">
        <v>28418227</v>
      </c>
      <c r="B773" s="88" t="s">
        <v>2121</v>
      </c>
      <c r="C773" s="88" t="s">
        <v>3098</v>
      </c>
      <c r="D773" s="88" t="s">
        <v>6988</v>
      </c>
      <c r="E773" s="94">
        <v>43739</v>
      </c>
      <c r="F773" s="91"/>
      <c r="G773" s="223">
        <f t="shared" si="24"/>
        <v>10</v>
      </c>
      <c r="H773" s="222">
        <f t="shared" si="25"/>
        <v>28418227</v>
      </c>
    </row>
    <row r="774" spans="1:8" hidden="1">
      <c r="A774" s="87">
        <v>30759927</v>
      </c>
      <c r="B774" s="88" t="s">
        <v>4933</v>
      </c>
      <c r="C774" s="88" t="s">
        <v>4934</v>
      </c>
      <c r="D774" s="88" t="s">
        <v>6988</v>
      </c>
      <c r="E774" s="94">
        <v>43739</v>
      </c>
      <c r="F774" s="91"/>
      <c r="G774" s="223">
        <f t="shared" si="24"/>
        <v>1</v>
      </c>
      <c r="H774" s="222">
        <f t="shared" si="25"/>
        <v>30759927</v>
      </c>
    </row>
    <row r="775" spans="1:8" hidden="1">
      <c r="A775" s="87">
        <v>25843050</v>
      </c>
      <c r="B775" s="88" t="s">
        <v>4033</v>
      </c>
      <c r="C775" s="88" t="s">
        <v>4034</v>
      </c>
      <c r="D775" s="88" t="s">
        <v>6988</v>
      </c>
      <c r="E775" s="94">
        <v>43739</v>
      </c>
      <c r="F775" s="91"/>
      <c r="G775" s="223">
        <f t="shared" si="24"/>
        <v>1</v>
      </c>
      <c r="H775" s="222">
        <f t="shared" si="25"/>
        <v>25843050</v>
      </c>
    </row>
    <row r="776" spans="1:8" hidden="1">
      <c r="A776" s="87">
        <v>27575318</v>
      </c>
      <c r="B776" s="88" t="s">
        <v>4929</v>
      </c>
      <c r="C776" s="88" t="s">
        <v>4930</v>
      </c>
      <c r="D776" s="88" t="s">
        <v>6988</v>
      </c>
      <c r="E776" s="94">
        <v>43739</v>
      </c>
      <c r="F776" s="91"/>
      <c r="G776" s="223">
        <f t="shared" si="24"/>
        <v>1</v>
      </c>
      <c r="H776" s="222">
        <f t="shared" si="25"/>
        <v>27575318</v>
      </c>
    </row>
    <row r="777" spans="1:8" hidden="1">
      <c r="A777" s="87">
        <v>30598579</v>
      </c>
      <c r="B777" s="88" t="s">
        <v>4938</v>
      </c>
      <c r="C777" s="88" t="s">
        <v>4939</v>
      </c>
      <c r="D777" s="88" t="s">
        <v>6988</v>
      </c>
      <c r="E777" s="94">
        <v>43739</v>
      </c>
      <c r="F777" s="91"/>
      <c r="G777" s="223">
        <f t="shared" si="24"/>
        <v>1</v>
      </c>
      <c r="H777" s="222">
        <f t="shared" si="25"/>
        <v>30598579</v>
      </c>
    </row>
    <row r="778" spans="1:8" hidden="1">
      <c r="A778" s="87">
        <v>28053203</v>
      </c>
      <c r="B778" s="88" t="s">
        <v>327</v>
      </c>
      <c r="C778" s="88" t="s">
        <v>4495</v>
      </c>
      <c r="D778" s="88" t="s">
        <v>6988</v>
      </c>
      <c r="E778" s="94">
        <v>43739</v>
      </c>
      <c r="F778" s="91"/>
      <c r="G778" s="223">
        <f t="shared" si="24"/>
        <v>52</v>
      </c>
      <c r="H778" s="222">
        <f t="shared" si="25"/>
        <v>28053203</v>
      </c>
    </row>
    <row r="779" spans="1:8" hidden="1">
      <c r="A779" s="87">
        <v>17270247</v>
      </c>
      <c r="B779" s="88" t="s">
        <v>5098</v>
      </c>
      <c r="C779" s="88" t="s">
        <v>1061</v>
      </c>
      <c r="D779" s="88" t="s">
        <v>6988</v>
      </c>
      <c r="E779" s="94">
        <v>43739</v>
      </c>
      <c r="F779" s="91"/>
      <c r="G779" s="223" t="str">
        <f t="shared" si="24"/>
        <v>sin dato</v>
      </c>
      <c r="H779" s="222">
        <f t="shared" si="25"/>
        <v>17270247</v>
      </c>
    </row>
    <row r="780" spans="1:8" hidden="1">
      <c r="A780" s="87">
        <v>27651507</v>
      </c>
      <c r="B780" s="88" t="s">
        <v>2795</v>
      </c>
      <c r="C780" s="88" t="s">
        <v>4637</v>
      </c>
      <c r="D780" s="88" t="s">
        <v>6988</v>
      </c>
      <c r="E780" s="94">
        <v>43739</v>
      </c>
      <c r="F780" s="91"/>
      <c r="G780" s="223">
        <f t="shared" si="24"/>
        <v>7</v>
      </c>
      <c r="H780" s="222">
        <f t="shared" si="25"/>
        <v>27651507</v>
      </c>
    </row>
    <row r="781" spans="1:8" hidden="1">
      <c r="A781" s="87">
        <v>20285634</v>
      </c>
      <c r="B781" s="88" t="s">
        <v>1793</v>
      </c>
      <c r="C781" s="88" t="s">
        <v>5490</v>
      </c>
      <c r="D781" s="88" t="s">
        <v>6988</v>
      </c>
      <c r="E781" s="94">
        <v>43739</v>
      </c>
      <c r="F781" s="91"/>
      <c r="G781" s="223">
        <f t="shared" si="24"/>
        <v>7</v>
      </c>
      <c r="H781" s="222">
        <f t="shared" si="25"/>
        <v>20285634</v>
      </c>
    </row>
    <row r="782" spans="1:8" hidden="1">
      <c r="A782" s="87">
        <v>25444118</v>
      </c>
      <c r="B782" s="88" t="s">
        <v>5949</v>
      </c>
      <c r="C782" s="88" t="s">
        <v>5103</v>
      </c>
      <c r="D782" s="88" t="s">
        <v>6988</v>
      </c>
      <c r="E782" s="94">
        <v>43739</v>
      </c>
      <c r="F782" s="91"/>
      <c r="G782" s="223">
        <f t="shared" si="24"/>
        <v>10</v>
      </c>
      <c r="H782" s="222">
        <f t="shared" si="25"/>
        <v>25444118</v>
      </c>
    </row>
    <row r="783" spans="1:8" hidden="1">
      <c r="A783" s="87">
        <v>22428522</v>
      </c>
      <c r="B783" s="88" t="s">
        <v>4879</v>
      </c>
      <c r="C783" s="88" t="s">
        <v>4880</v>
      </c>
      <c r="D783" s="88" t="s">
        <v>6988</v>
      </c>
      <c r="E783" s="94">
        <v>43739</v>
      </c>
      <c r="F783" s="91"/>
      <c r="G783" s="223">
        <f t="shared" si="24"/>
        <v>1</v>
      </c>
      <c r="H783" s="222">
        <f t="shared" si="25"/>
        <v>22428522</v>
      </c>
    </row>
    <row r="784" spans="1:8" hidden="1">
      <c r="A784" s="87">
        <v>26029215</v>
      </c>
      <c r="B784" s="88" t="s">
        <v>5918</v>
      </c>
      <c r="C784" s="88" t="s">
        <v>274</v>
      </c>
      <c r="D784" s="88" t="s">
        <v>6988</v>
      </c>
      <c r="E784" s="94">
        <v>43739</v>
      </c>
      <c r="F784" s="91"/>
      <c r="G784" s="223">
        <f t="shared" si="24"/>
        <v>10</v>
      </c>
      <c r="H784" s="222">
        <f t="shared" si="25"/>
        <v>26029215</v>
      </c>
    </row>
    <row r="785" spans="1:8" hidden="1">
      <c r="A785" s="87">
        <v>24503795</v>
      </c>
      <c r="B785" s="88" t="s">
        <v>2262</v>
      </c>
      <c r="C785" s="88" t="s">
        <v>178</v>
      </c>
      <c r="D785" s="88" t="s">
        <v>6988</v>
      </c>
      <c r="E785" s="94">
        <v>43739</v>
      </c>
      <c r="F785" s="91"/>
      <c r="G785" s="223">
        <f t="shared" si="24"/>
        <v>7</v>
      </c>
      <c r="H785" s="222">
        <f t="shared" si="25"/>
        <v>24503795</v>
      </c>
    </row>
    <row r="786" spans="1:8" hidden="1">
      <c r="A786" s="87">
        <v>17613465</v>
      </c>
      <c r="B786" s="88" t="s">
        <v>2840</v>
      </c>
      <c r="C786" s="88" t="s">
        <v>687</v>
      </c>
      <c r="D786" s="88" t="s">
        <v>6988</v>
      </c>
      <c r="E786" s="94">
        <v>43739</v>
      </c>
      <c r="F786" s="91"/>
      <c r="G786" s="223">
        <f t="shared" si="24"/>
        <v>999</v>
      </c>
      <c r="H786" s="222">
        <f t="shared" si="25"/>
        <v>17613465</v>
      </c>
    </row>
    <row r="787" spans="1:8" hidden="1">
      <c r="A787" s="87">
        <v>25734543</v>
      </c>
      <c r="B787" s="88" t="s">
        <v>5420</v>
      </c>
      <c r="C787" s="88" t="s">
        <v>5421</v>
      </c>
      <c r="D787" s="88" t="s">
        <v>6988</v>
      </c>
      <c r="E787" s="94">
        <v>43739</v>
      </c>
      <c r="F787" s="91"/>
      <c r="G787" s="223">
        <f t="shared" si="24"/>
        <v>7</v>
      </c>
      <c r="H787" s="222">
        <f t="shared" si="25"/>
        <v>25734543</v>
      </c>
    </row>
    <row r="788" spans="1:8" hidden="1">
      <c r="A788" s="87">
        <v>27962568</v>
      </c>
      <c r="B788" s="88" t="s">
        <v>6486</v>
      </c>
      <c r="C788" s="88" t="s">
        <v>2726</v>
      </c>
      <c r="D788" s="88" t="s">
        <v>6988</v>
      </c>
      <c r="E788" s="94">
        <v>43739</v>
      </c>
      <c r="F788" s="91" t="s">
        <v>582</v>
      </c>
      <c r="G788" s="223">
        <f t="shared" si="24"/>
        <v>999</v>
      </c>
      <c r="H788" s="222">
        <f t="shared" si="25"/>
        <v>27962568</v>
      </c>
    </row>
    <row r="789" spans="1:8" hidden="1">
      <c r="A789" s="87">
        <v>25844102</v>
      </c>
      <c r="B789" s="88" t="s">
        <v>5922</v>
      </c>
      <c r="C789" s="88" t="s">
        <v>5923</v>
      </c>
      <c r="D789" s="88" t="s">
        <v>6988</v>
      </c>
      <c r="E789" s="94">
        <v>43739</v>
      </c>
      <c r="F789" s="91"/>
      <c r="G789" s="223">
        <f t="shared" si="24"/>
        <v>10</v>
      </c>
      <c r="H789" s="222">
        <f t="shared" si="25"/>
        <v>25844102</v>
      </c>
    </row>
    <row r="790" spans="1:8" hidden="1">
      <c r="A790" s="87">
        <v>29060912</v>
      </c>
      <c r="B790" s="88" t="s">
        <v>760</v>
      </c>
      <c r="C790" s="88" t="s">
        <v>4373</v>
      </c>
      <c r="D790" s="88" t="s">
        <v>6988</v>
      </c>
      <c r="E790" s="94">
        <v>43739</v>
      </c>
      <c r="F790" s="91"/>
      <c r="G790" s="223">
        <f t="shared" si="24"/>
        <v>10</v>
      </c>
      <c r="H790" s="222">
        <f t="shared" si="25"/>
        <v>29060912</v>
      </c>
    </row>
    <row r="791" spans="1:8" hidden="1">
      <c r="A791" s="87">
        <v>25734593</v>
      </c>
      <c r="B791" s="88" t="s">
        <v>5433</v>
      </c>
      <c r="C791" s="88" t="s">
        <v>5434</v>
      </c>
      <c r="D791" s="88" t="s">
        <v>6988</v>
      </c>
      <c r="E791" s="94">
        <v>43739</v>
      </c>
      <c r="F791" s="91"/>
      <c r="G791" s="223">
        <f t="shared" si="24"/>
        <v>14</v>
      </c>
      <c r="H791" s="222">
        <f t="shared" si="25"/>
        <v>25734593</v>
      </c>
    </row>
    <row r="792" spans="1:8" hidden="1">
      <c r="A792" s="87">
        <v>29206623</v>
      </c>
      <c r="B792" s="88" t="s">
        <v>4947</v>
      </c>
      <c r="C792" s="88" t="s">
        <v>4948</v>
      </c>
      <c r="D792" s="88" t="s">
        <v>6988</v>
      </c>
      <c r="E792" s="94">
        <v>43739</v>
      </c>
      <c r="F792" s="91"/>
      <c r="G792" s="223">
        <f t="shared" si="24"/>
        <v>1</v>
      </c>
      <c r="H792" s="222">
        <f t="shared" si="25"/>
        <v>29206623</v>
      </c>
    </row>
    <row r="793" spans="1:8" hidden="1">
      <c r="A793" s="87">
        <v>29838285</v>
      </c>
      <c r="B793" s="88" t="s">
        <v>5440</v>
      </c>
      <c r="C793" s="88" t="s">
        <v>5441</v>
      </c>
      <c r="D793" s="88" t="s">
        <v>6988</v>
      </c>
      <c r="E793" s="94">
        <v>43739</v>
      </c>
      <c r="F793" s="91"/>
      <c r="G793" s="223">
        <f t="shared" si="24"/>
        <v>7</v>
      </c>
      <c r="H793" s="222">
        <f t="shared" si="25"/>
        <v>29838285</v>
      </c>
    </row>
    <row r="794" spans="1:8" hidden="1">
      <c r="A794" s="87">
        <v>32493293</v>
      </c>
      <c r="B794" s="88" t="s">
        <v>73</v>
      </c>
      <c r="C794" s="88" t="s">
        <v>74</v>
      </c>
      <c r="D794" s="88" t="s">
        <v>6984</v>
      </c>
      <c r="E794" s="94">
        <v>43728</v>
      </c>
      <c r="F794" s="91"/>
      <c r="G794" s="223">
        <f t="shared" si="24"/>
        <v>11</v>
      </c>
      <c r="H794" s="222">
        <f t="shared" si="25"/>
        <v>32493293</v>
      </c>
    </row>
    <row r="795" spans="1:8" hidden="1">
      <c r="A795" s="87">
        <v>24553770</v>
      </c>
      <c r="B795" s="88" t="s">
        <v>2923</v>
      </c>
      <c r="C795" s="88" t="s">
        <v>2924</v>
      </c>
      <c r="D795" s="88" t="s">
        <v>6984</v>
      </c>
      <c r="E795" s="94">
        <v>43728</v>
      </c>
      <c r="F795" s="91"/>
      <c r="G795" s="223">
        <f t="shared" si="24"/>
        <v>19</v>
      </c>
      <c r="H795" s="222">
        <f t="shared" si="25"/>
        <v>24553770</v>
      </c>
    </row>
    <row r="796" spans="1:8" hidden="1">
      <c r="A796" s="87">
        <v>28458542</v>
      </c>
      <c r="B796" s="88" t="s">
        <v>578</v>
      </c>
      <c r="C796" s="88" t="s">
        <v>579</v>
      </c>
      <c r="D796" s="88" t="s">
        <v>6984</v>
      </c>
      <c r="E796" s="94">
        <v>43728</v>
      </c>
      <c r="F796" s="91" t="s">
        <v>582</v>
      </c>
      <c r="G796" s="223">
        <f t="shared" si="24"/>
        <v>11</v>
      </c>
      <c r="H796" s="222">
        <f t="shared" si="25"/>
        <v>28458542</v>
      </c>
    </row>
    <row r="797" spans="1:8" hidden="1">
      <c r="A797" s="87">
        <v>27732258</v>
      </c>
      <c r="B797" s="88" t="s">
        <v>1385</v>
      </c>
      <c r="C797" s="88" t="s">
        <v>74</v>
      </c>
      <c r="D797" s="88" t="s">
        <v>6984</v>
      </c>
      <c r="E797" s="94">
        <v>43728</v>
      </c>
      <c r="F797" s="91"/>
      <c r="G797" s="223">
        <f t="shared" si="24"/>
        <v>14</v>
      </c>
      <c r="H797" s="222">
        <f t="shared" si="25"/>
        <v>27732258</v>
      </c>
    </row>
    <row r="798" spans="1:8" hidden="1">
      <c r="A798" s="87">
        <v>22451756</v>
      </c>
      <c r="B798" s="88" t="s">
        <v>983</v>
      </c>
      <c r="C798" s="88" t="s">
        <v>2669</v>
      </c>
      <c r="D798" s="88" t="s">
        <v>6984</v>
      </c>
      <c r="E798" s="94">
        <v>43728</v>
      </c>
      <c r="F798" s="91"/>
      <c r="G798" s="223">
        <f t="shared" si="24"/>
        <v>55</v>
      </c>
      <c r="H798" s="222">
        <f t="shared" si="25"/>
        <v>22451756</v>
      </c>
    </row>
    <row r="799" spans="1:8" hidden="1">
      <c r="A799" s="87">
        <v>34356805</v>
      </c>
      <c r="B799" s="88" t="s">
        <v>650</v>
      </c>
      <c r="C799" s="88" t="s">
        <v>6991</v>
      </c>
      <c r="D799" s="88" t="s">
        <v>6984</v>
      </c>
      <c r="E799" s="94">
        <v>43728</v>
      </c>
      <c r="F799" s="91"/>
      <c r="G799" s="223">
        <f t="shared" si="24"/>
        <v>30</v>
      </c>
      <c r="H799" s="222">
        <f t="shared" si="25"/>
        <v>34356805</v>
      </c>
    </row>
    <row r="800" spans="1:8" hidden="1">
      <c r="A800" s="87">
        <v>32012359</v>
      </c>
      <c r="B800" s="88" t="s">
        <v>2961</v>
      </c>
      <c r="C800" s="88" t="s">
        <v>253</v>
      </c>
      <c r="D800" s="88" t="s">
        <v>6984</v>
      </c>
      <c r="E800" s="94">
        <v>43728</v>
      </c>
      <c r="F800" s="91"/>
      <c r="G800" s="223">
        <f t="shared" si="24"/>
        <v>19</v>
      </c>
      <c r="H800" s="222">
        <f t="shared" si="25"/>
        <v>32012359</v>
      </c>
    </row>
    <row r="801" spans="1:8" hidden="1">
      <c r="A801" s="87">
        <v>14225922</v>
      </c>
      <c r="B801" s="88" t="s">
        <v>207</v>
      </c>
      <c r="C801" s="88" t="s">
        <v>27</v>
      </c>
      <c r="D801" s="88" t="s">
        <v>6984</v>
      </c>
      <c r="E801" s="94">
        <v>43728</v>
      </c>
      <c r="F801" s="91"/>
      <c r="G801" s="223">
        <f t="shared" si="24"/>
        <v>15</v>
      </c>
      <c r="H801" s="222">
        <f t="shared" si="25"/>
        <v>14225922</v>
      </c>
    </row>
    <row r="802" spans="1:8" hidden="1">
      <c r="A802" s="87">
        <v>22280512</v>
      </c>
      <c r="B802" s="88" t="s">
        <v>4585</v>
      </c>
      <c r="C802" s="88" t="s">
        <v>902</v>
      </c>
      <c r="D802" s="88" t="s">
        <v>6984</v>
      </c>
      <c r="E802" s="94">
        <v>43728</v>
      </c>
      <c r="F802" s="91"/>
      <c r="G802" s="223">
        <f t="shared" si="24"/>
        <v>22</v>
      </c>
      <c r="H802" s="222">
        <f t="shared" si="25"/>
        <v>22280512</v>
      </c>
    </row>
    <row r="803" spans="1:8" hidden="1">
      <c r="A803" s="87">
        <v>33540499</v>
      </c>
      <c r="B803" s="88" t="s">
        <v>794</v>
      </c>
      <c r="C803" s="88" t="s">
        <v>1585</v>
      </c>
      <c r="D803" s="88" t="s">
        <v>6984</v>
      </c>
      <c r="E803" s="94">
        <v>43728</v>
      </c>
      <c r="F803" s="91" t="s">
        <v>582</v>
      </c>
      <c r="G803" s="223">
        <f t="shared" si="24"/>
        <v>13</v>
      </c>
      <c r="H803" s="222">
        <f t="shared" si="25"/>
        <v>33540499</v>
      </c>
    </row>
    <row r="804" spans="1:8" hidden="1">
      <c r="A804" s="87">
        <v>14480478</v>
      </c>
      <c r="B804" s="88" t="s">
        <v>4603</v>
      </c>
      <c r="C804" s="88" t="s">
        <v>708</v>
      </c>
      <c r="D804" s="88" t="s">
        <v>6984</v>
      </c>
      <c r="E804" s="94">
        <v>43728</v>
      </c>
      <c r="F804" s="91"/>
      <c r="G804" s="223">
        <f t="shared" si="24"/>
        <v>22</v>
      </c>
      <c r="H804" s="222">
        <f t="shared" si="25"/>
        <v>14480478</v>
      </c>
    </row>
    <row r="805" spans="1:8" hidden="1">
      <c r="A805" s="87">
        <v>22264675</v>
      </c>
      <c r="B805" s="88" t="s">
        <v>399</v>
      </c>
      <c r="C805" s="88" t="s">
        <v>400</v>
      </c>
      <c r="D805" s="88" t="s">
        <v>6984</v>
      </c>
      <c r="E805" s="94">
        <v>43728</v>
      </c>
      <c r="F805" s="91"/>
      <c r="G805" s="223">
        <f t="shared" si="24"/>
        <v>11</v>
      </c>
      <c r="H805" s="222">
        <f t="shared" si="25"/>
        <v>22264675</v>
      </c>
    </row>
    <row r="806" spans="1:8" hidden="1">
      <c r="A806" s="87">
        <v>14660819</v>
      </c>
      <c r="B806" s="88" t="s">
        <v>789</v>
      </c>
      <c r="C806" s="88" t="s">
        <v>790</v>
      </c>
      <c r="D806" s="88" t="s">
        <v>6984</v>
      </c>
      <c r="E806" s="94">
        <v>43728</v>
      </c>
      <c r="F806" s="91"/>
      <c r="G806" s="223">
        <f t="shared" si="24"/>
        <v>13</v>
      </c>
      <c r="H806" s="222">
        <f t="shared" si="25"/>
        <v>14660819</v>
      </c>
    </row>
    <row r="807" spans="1:8" hidden="1">
      <c r="A807" s="87">
        <v>32109721</v>
      </c>
      <c r="B807" s="88" t="s">
        <v>428</v>
      </c>
      <c r="C807" s="88" t="s">
        <v>3549</v>
      </c>
      <c r="D807" s="88" t="s">
        <v>6984</v>
      </c>
      <c r="E807" s="94">
        <v>43728</v>
      </c>
      <c r="F807" s="91"/>
      <c r="G807" s="223">
        <f t="shared" si="24"/>
        <v>25</v>
      </c>
      <c r="H807" s="222">
        <f t="shared" si="25"/>
        <v>32109721</v>
      </c>
    </row>
    <row r="808" spans="1:8" hidden="1">
      <c r="A808" s="87">
        <v>25380568</v>
      </c>
      <c r="B808" s="88" t="s">
        <v>1823</v>
      </c>
      <c r="C808" s="88" t="s">
        <v>2753</v>
      </c>
      <c r="D808" s="88" t="s">
        <v>6984</v>
      </c>
      <c r="E808" s="94">
        <v>43728</v>
      </c>
      <c r="F808" s="91"/>
      <c r="G808" s="223">
        <f t="shared" si="24"/>
        <v>7</v>
      </c>
      <c r="H808" s="222">
        <f t="shared" si="25"/>
        <v>25380568</v>
      </c>
    </row>
    <row r="809" spans="1:8" hidden="1">
      <c r="A809" s="87">
        <v>24432570</v>
      </c>
      <c r="B809" s="88" t="s">
        <v>4170</v>
      </c>
      <c r="C809" s="88" t="s">
        <v>5944</v>
      </c>
      <c r="D809" s="88" t="s">
        <v>6984</v>
      </c>
      <c r="E809" s="94">
        <v>43728</v>
      </c>
      <c r="F809" s="91"/>
      <c r="G809" s="223">
        <f t="shared" si="24"/>
        <v>10</v>
      </c>
      <c r="H809" s="222">
        <f t="shared" si="25"/>
        <v>24432570</v>
      </c>
    </row>
    <row r="810" spans="1:8" hidden="1">
      <c r="A810" s="87">
        <v>24432570</v>
      </c>
      <c r="B810" s="88" t="s">
        <v>4170</v>
      </c>
      <c r="C810" s="88" t="s">
        <v>5944</v>
      </c>
      <c r="D810" s="88" t="s">
        <v>6984</v>
      </c>
      <c r="E810" s="94">
        <v>43728</v>
      </c>
      <c r="F810" s="91"/>
      <c r="G810" s="223">
        <f t="shared" si="24"/>
        <v>10</v>
      </c>
      <c r="H810" s="222">
        <f t="shared" si="25"/>
        <v>24432570</v>
      </c>
    </row>
    <row r="811" spans="1:8" hidden="1">
      <c r="A811" s="87">
        <v>35485322</v>
      </c>
      <c r="B811" s="88" t="s">
        <v>4227</v>
      </c>
      <c r="C811" s="88" t="s">
        <v>906</v>
      </c>
      <c r="D811" s="88" t="s">
        <v>6984</v>
      </c>
      <c r="E811" s="94">
        <v>43728</v>
      </c>
      <c r="F811" s="91"/>
      <c r="G811" s="223" t="str">
        <f t="shared" si="24"/>
        <v>sin dato</v>
      </c>
      <c r="H811" s="222">
        <f t="shared" si="25"/>
        <v>35485322</v>
      </c>
    </row>
    <row r="812" spans="1:8" hidden="1">
      <c r="A812" s="87">
        <v>22058809</v>
      </c>
      <c r="B812" s="88" t="s">
        <v>595</v>
      </c>
      <c r="C812" s="88" t="s">
        <v>2929</v>
      </c>
      <c r="D812" s="88" t="s">
        <v>6992</v>
      </c>
      <c r="E812" s="94">
        <v>43718</v>
      </c>
      <c r="F812" s="149" t="s">
        <v>23</v>
      </c>
      <c r="G812" s="223">
        <f t="shared" si="24"/>
        <v>19</v>
      </c>
      <c r="H812" s="222">
        <f t="shared" si="25"/>
        <v>22058809</v>
      </c>
    </row>
    <row r="813" spans="1:8" hidden="1">
      <c r="A813" s="87">
        <v>34132915</v>
      </c>
      <c r="B813" s="88" t="s">
        <v>3061</v>
      </c>
      <c r="C813" s="88" t="s">
        <v>3076</v>
      </c>
      <c r="D813" s="88" t="s">
        <v>6992</v>
      </c>
      <c r="E813" s="94">
        <v>43718</v>
      </c>
      <c r="F813" s="91"/>
      <c r="G813" s="223">
        <f t="shared" si="24"/>
        <v>19</v>
      </c>
      <c r="H813" s="222">
        <f t="shared" si="25"/>
        <v>34132915</v>
      </c>
    </row>
    <row r="814" spans="1:8" hidden="1">
      <c r="A814" s="87">
        <v>22331107</v>
      </c>
      <c r="B814" s="88" t="s">
        <v>3061</v>
      </c>
      <c r="C814" s="88" t="s">
        <v>414</v>
      </c>
      <c r="D814" s="88" t="s">
        <v>6992</v>
      </c>
      <c r="E814" s="94">
        <v>43718</v>
      </c>
      <c r="F814" s="91"/>
      <c r="G814" s="223">
        <f t="shared" si="24"/>
        <v>19</v>
      </c>
      <c r="H814" s="222">
        <f t="shared" si="25"/>
        <v>22331107</v>
      </c>
    </row>
    <row r="815" spans="1:8" hidden="1">
      <c r="A815" s="87">
        <v>36585692</v>
      </c>
      <c r="B815" s="88" t="s">
        <v>608</v>
      </c>
      <c r="C815" s="88" t="s">
        <v>2931</v>
      </c>
      <c r="D815" s="88" t="s">
        <v>6992</v>
      </c>
      <c r="E815" s="94">
        <v>43718</v>
      </c>
      <c r="F815" s="91"/>
      <c r="G815" s="223" t="str">
        <f t="shared" si="24"/>
        <v>sin dato</v>
      </c>
      <c r="H815" s="222" t="str">
        <f t="shared" si="25"/>
        <v>999</v>
      </c>
    </row>
    <row r="816" spans="1:8" hidden="1">
      <c r="A816" s="87">
        <v>34133413</v>
      </c>
      <c r="B816" s="88" t="s">
        <v>3064</v>
      </c>
      <c r="C816" s="88" t="s">
        <v>3065</v>
      </c>
      <c r="D816" s="88" t="s">
        <v>6992</v>
      </c>
      <c r="E816" s="94">
        <v>43718</v>
      </c>
      <c r="F816" s="91"/>
      <c r="G816" s="223">
        <f t="shared" si="24"/>
        <v>19</v>
      </c>
      <c r="H816" s="222">
        <f t="shared" si="25"/>
        <v>34133413</v>
      </c>
    </row>
    <row r="817" spans="1:8" hidden="1">
      <c r="A817" s="87">
        <v>16685009</v>
      </c>
      <c r="B817" s="88" t="s">
        <v>2936</v>
      </c>
      <c r="C817" s="88" t="s">
        <v>2937</v>
      </c>
      <c r="D817" s="88" t="s">
        <v>6992</v>
      </c>
      <c r="E817" s="94">
        <v>43718</v>
      </c>
      <c r="F817" s="149" t="s">
        <v>23</v>
      </c>
      <c r="G817" s="223">
        <f t="shared" si="24"/>
        <v>19</v>
      </c>
      <c r="H817" s="222">
        <f t="shared" si="25"/>
        <v>16685009</v>
      </c>
    </row>
    <row r="818" spans="1:8" hidden="1">
      <c r="A818" s="87">
        <v>17655542</v>
      </c>
      <c r="B818" s="88" t="s">
        <v>1385</v>
      </c>
      <c r="C818" s="88" t="s">
        <v>27</v>
      </c>
      <c r="D818" s="88" t="s">
        <v>6992</v>
      </c>
      <c r="E818" s="94">
        <v>43718</v>
      </c>
      <c r="F818" s="91" t="s">
        <v>582</v>
      </c>
      <c r="G818" s="223">
        <f t="shared" si="24"/>
        <v>19</v>
      </c>
      <c r="H818" s="222">
        <f t="shared" si="25"/>
        <v>17655542</v>
      </c>
    </row>
    <row r="819" spans="1:8" hidden="1">
      <c r="A819" s="87">
        <v>39477273</v>
      </c>
      <c r="B819" s="88" t="s">
        <v>2844</v>
      </c>
      <c r="C819" s="88" t="s">
        <v>3117</v>
      </c>
      <c r="D819" s="88" t="s">
        <v>6992</v>
      </c>
      <c r="E819" s="94">
        <v>43718</v>
      </c>
      <c r="F819" s="91"/>
      <c r="G819" s="223" t="str">
        <f t="shared" si="24"/>
        <v>sin dato</v>
      </c>
      <c r="H819" s="222" t="str">
        <f t="shared" si="25"/>
        <v>999</v>
      </c>
    </row>
    <row r="820" spans="1:8" hidden="1">
      <c r="A820" s="87">
        <v>31587261</v>
      </c>
      <c r="B820" s="88" t="s">
        <v>3057</v>
      </c>
      <c r="C820" s="88" t="s">
        <v>3058</v>
      </c>
      <c r="D820" s="88" t="s">
        <v>6992</v>
      </c>
      <c r="E820" s="94">
        <v>43718</v>
      </c>
      <c r="F820" s="91"/>
      <c r="G820" s="223">
        <f t="shared" si="24"/>
        <v>19</v>
      </c>
      <c r="H820" s="222">
        <f t="shared" si="25"/>
        <v>31587261</v>
      </c>
    </row>
    <row r="821" spans="1:8" hidden="1">
      <c r="A821" s="87">
        <v>31588602</v>
      </c>
      <c r="B821" s="88" t="s">
        <v>3097</v>
      </c>
      <c r="C821" s="88" t="s">
        <v>3098</v>
      </c>
      <c r="D821" s="88" t="s">
        <v>6992</v>
      </c>
      <c r="E821" s="94">
        <v>43718</v>
      </c>
      <c r="F821" s="91"/>
      <c r="G821" s="223">
        <f t="shared" si="24"/>
        <v>19</v>
      </c>
      <c r="H821" s="222">
        <f t="shared" si="25"/>
        <v>31588602</v>
      </c>
    </row>
    <row r="822" spans="1:8" hidden="1">
      <c r="A822" s="87">
        <v>12318129</v>
      </c>
      <c r="B822" s="88" t="s">
        <v>2952</v>
      </c>
      <c r="C822" s="88" t="s">
        <v>1023</v>
      </c>
      <c r="D822" s="88" t="s">
        <v>6992</v>
      </c>
      <c r="E822" s="94">
        <v>43718</v>
      </c>
      <c r="F822" s="91"/>
      <c r="G822" s="223">
        <f t="shared" si="24"/>
        <v>19</v>
      </c>
      <c r="H822" s="222">
        <f t="shared" si="25"/>
        <v>12318129</v>
      </c>
    </row>
    <row r="823" spans="1:8" hidden="1">
      <c r="A823" s="87">
        <v>22332640</v>
      </c>
      <c r="B823" s="88" t="s">
        <v>3094</v>
      </c>
      <c r="C823" s="88" t="s">
        <v>3095</v>
      </c>
      <c r="D823" s="88" t="s">
        <v>6992</v>
      </c>
      <c r="E823" s="94">
        <v>43718</v>
      </c>
      <c r="F823" s="91" t="s">
        <v>582</v>
      </c>
      <c r="G823" s="223">
        <f t="shared" si="24"/>
        <v>19</v>
      </c>
      <c r="H823" s="222">
        <f t="shared" si="25"/>
        <v>22332640</v>
      </c>
    </row>
    <row r="824" spans="1:8" hidden="1">
      <c r="A824" s="87">
        <v>22073420</v>
      </c>
      <c r="B824" s="88" t="s">
        <v>195</v>
      </c>
      <c r="C824" s="88" t="s">
        <v>363</v>
      </c>
      <c r="D824" s="88" t="s">
        <v>6992</v>
      </c>
      <c r="E824" s="94">
        <v>43718</v>
      </c>
      <c r="F824" s="91" t="s">
        <v>582</v>
      </c>
      <c r="G824" s="223">
        <f t="shared" si="24"/>
        <v>19</v>
      </c>
      <c r="H824" s="222">
        <f t="shared" si="25"/>
        <v>22073420</v>
      </c>
    </row>
    <row r="825" spans="1:8" hidden="1">
      <c r="A825" s="87">
        <v>14358676</v>
      </c>
      <c r="B825" s="88" t="s">
        <v>2966</v>
      </c>
      <c r="C825" s="88" t="s">
        <v>2967</v>
      </c>
      <c r="D825" s="88" t="s">
        <v>6992</v>
      </c>
      <c r="E825" s="94">
        <v>43718</v>
      </c>
      <c r="F825" s="91"/>
      <c r="G825" s="223">
        <f t="shared" si="24"/>
        <v>19</v>
      </c>
      <c r="H825" s="222">
        <f t="shared" si="25"/>
        <v>14358676</v>
      </c>
    </row>
    <row r="826" spans="1:8" hidden="1">
      <c r="A826" s="87">
        <v>26454917</v>
      </c>
      <c r="B826" s="88" t="s">
        <v>218</v>
      </c>
      <c r="C826" s="88" t="s">
        <v>3109</v>
      </c>
      <c r="D826" s="88" t="s">
        <v>6992</v>
      </c>
      <c r="E826" s="94">
        <v>43718</v>
      </c>
      <c r="F826" s="91" t="s">
        <v>582</v>
      </c>
      <c r="G826" s="223">
        <f t="shared" si="24"/>
        <v>19</v>
      </c>
      <c r="H826" s="222">
        <f t="shared" si="25"/>
        <v>26454917</v>
      </c>
    </row>
    <row r="827" spans="1:8" hidden="1">
      <c r="A827" s="87">
        <v>29532427</v>
      </c>
      <c r="B827" s="88" t="s">
        <v>226</v>
      </c>
      <c r="C827" s="88" t="s">
        <v>3091</v>
      </c>
      <c r="D827" s="88" t="s">
        <v>6992</v>
      </c>
      <c r="E827" s="94">
        <v>43718</v>
      </c>
      <c r="F827" s="91"/>
      <c r="G827" s="223">
        <f t="shared" si="24"/>
        <v>19</v>
      </c>
      <c r="H827" s="222">
        <f t="shared" si="25"/>
        <v>29532427</v>
      </c>
    </row>
    <row r="828" spans="1:8" hidden="1">
      <c r="A828" s="87">
        <v>17860924</v>
      </c>
      <c r="B828" s="88" t="s">
        <v>252</v>
      </c>
      <c r="C828" s="88" t="s">
        <v>2975</v>
      </c>
      <c r="D828" s="88" t="s">
        <v>6992</v>
      </c>
      <c r="E828" s="94">
        <v>43718</v>
      </c>
      <c r="F828" s="91"/>
      <c r="G828" s="223">
        <f t="shared" si="24"/>
        <v>19</v>
      </c>
      <c r="H828" s="222">
        <f t="shared" si="25"/>
        <v>17860924</v>
      </c>
    </row>
    <row r="829" spans="1:8" hidden="1">
      <c r="A829" s="87">
        <v>22664120</v>
      </c>
      <c r="B829" s="88" t="s">
        <v>3082</v>
      </c>
      <c r="C829" s="88" t="s">
        <v>3083</v>
      </c>
      <c r="D829" s="88" t="s">
        <v>6992</v>
      </c>
      <c r="E829" s="94">
        <v>43718</v>
      </c>
      <c r="F829" s="91"/>
      <c r="G829" s="223">
        <f t="shared" si="24"/>
        <v>19</v>
      </c>
      <c r="H829" s="222">
        <f t="shared" si="25"/>
        <v>22664120</v>
      </c>
    </row>
    <row r="830" spans="1:8" hidden="1">
      <c r="A830" s="87">
        <v>17614923</v>
      </c>
      <c r="B830" s="88" t="s">
        <v>690</v>
      </c>
      <c r="C830" s="88" t="s">
        <v>922</v>
      </c>
      <c r="D830" s="88" t="s">
        <v>6992</v>
      </c>
      <c r="E830" s="94">
        <v>43718</v>
      </c>
      <c r="F830" s="91"/>
      <c r="G830" s="223">
        <f t="shared" si="24"/>
        <v>19</v>
      </c>
      <c r="H830" s="222">
        <f t="shared" si="25"/>
        <v>17614923</v>
      </c>
    </row>
    <row r="831" spans="1:8" hidden="1">
      <c r="A831" s="87">
        <v>14358737</v>
      </c>
      <c r="B831" s="88" t="s">
        <v>2995</v>
      </c>
      <c r="C831" s="88" t="s">
        <v>1191</v>
      </c>
      <c r="D831" s="88" t="s">
        <v>6992</v>
      </c>
      <c r="E831" s="94">
        <v>43718</v>
      </c>
      <c r="F831" s="91"/>
      <c r="G831" s="223">
        <f t="shared" si="24"/>
        <v>19</v>
      </c>
      <c r="H831" s="222">
        <f t="shared" si="25"/>
        <v>14358737</v>
      </c>
    </row>
    <row r="832" spans="1:8" hidden="1">
      <c r="A832" s="87">
        <v>13849108</v>
      </c>
      <c r="B832" s="88" t="s">
        <v>3101</v>
      </c>
      <c r="C832" s="88" t="s">
        <v>3102</v>
      </c>
      <c r="D832" s="88" t="s">
        <v>6992</v>
      </c>
      <c r="E832" s="94">
        <v>43718</v>
      </c>
      <c r="F832" s="91" t="s">
        <v>582</v>
      </c>
      <c r="G832" s="223">
        <f t="shared" si="24"/>
        <v>19</v>
      </c>
      <c r="H832" s="222">
        <f t="shared" si="25"/>
        <v>13849108</v>
      </c>
    </row>
    <row r="833" spans="1:8" hidden="1">
      <c r="A833" s="87">
        <v>23116307</v>
      </c>
      <c r="B833" s="88" t="s">
        <v>1547</v>
      </c>
      <c r="C833" s="88" t="s">
        <v>1353</v>
      </c>
      <c r="D833" s="88" t="s">
        <v>6992</v>
      </c>
      <c r="E833" s="94">
        <v>43718</v>
      </c>
      <c r="F833" s="91"/>
      <c r="G833" s="223">
        <f t="shared" si="24"/>
        <v>19</v>
      </c>
      <c r="H833" s="222">
        <f t="shared" si="25"/>
        <v>23116307</v>
      </c>
    </row>
    <row r="834" spans="1:8" hidden="1">
      <c r="A834" s="87">
        <v>28884614</v>
      </c>
      <c r="B834" s="88" t="s">
        <v>3006</v>
      </c>
      <c r="C834" s="88" t="s">
        <v>3007</v>
      </c>
      <c r="D834" s="88" t="s">
        <v>6992</v>
      </c>
      <c r="E834" s="94">
        <v>43718</v>
      </c>
      <c r="F834" s="91"/>
      <c r="G834" s="223">
        <f t="shared" ref="G834:G897" si="26">IFERROR(INDEX(unidad,MATCH(VLOOKUP(A834,alum,9,0),unidad2,0),1),"sin dato")</f>
        <v>19</v>
      </c>
      <c r="H834" s="222">
        <f t="shared" ref="H834:H897" si="27">IFERROR(VLOOKUP(A834,alum,1,0),"999")</f>
        <v>28884614</v>
      </c>
    </row>
    <row r="835" spans="1:8" hidden="1">
      <c r="A835" s="87">
        <v>22460925</v>
      </c>
      <c r="B835" s="88" t="s">
        <v>3114</v>
      </c>
      <c r="C835" s="88" t="s">
        <v>3115</v>
      </c>
      <c r="D835" s="88" t="s">
        <v>6992</v>
      </c>
      <c r="E835" s="94">
        <v>43718</v>
      </c>
      <c r="F835" s="91" t="s">
        <v>582</v>
      </c>
      <c r="G835" s="223">
        <f t="shared" si="26"/>
        <v>19</v>
      </c>
      <c r="H835" s="222">
        <f t="shared" si="27"/>
        <v>22460925</v>
      </c>
    </row>
    <row r="836" spans="1:8" hidden="1">
      <c r="A836" s="87">
        <v>16685790</v>
      </c>
      <c r="B836" s="88" t="s">
        <v>3016</v>
      </c>
      <c r="C836" s="88" t="s">
        <v>3017</v>
      </c>
      <c r="D836" s="88" t="s">
        <v>6992</v>
      </c>
      <c r="E836" s="94">
        <v>43718</v>
      </c>
      <c r="F836" s="91"/>
      <c r="G836" s="223">
        <f t="shared" si="26"/>
        <v>19</v>
      </c>
      <c r="H836" s="222">
        <f t="shared" si="27"/>
        <v>16685790</v>
      </c>
    </row>
    <row r="837" spans="1:8" hidden="1">
      <c r="A837" s="87">
        <v>36867206</v>
      </c>
      <c r="B837" s="88" t="s">
        <v>342</v>
      </c>
      <c r="C837" s="88" t="s">
        <v>3104</v>
      </c>
      <c r="D837" s="88" t="s">
        <v>6992</v>
      </c>
      <c r="E837" s="94">
        <v>43718</v>
      </c>
      <c r="F837" s="91" t="s">
        <v>582</v>
      </c>
      <c r="G837" s="223" t="str">
        <f t="shared" si="26"/>
        <v>sin dato</v>
      </c>
      <c r="H837" s="222" t="str">
        <f t="shared" si="27"/>
        <v>999</v>
      </c>
    </row>
    <row r="838" spans="1:8" hidden="1">
      <c r="A838" s="87">
        <v>21609438</v>
      </c>
      <c r="B838" s="88" t="s">
        <v>377</v>
      </c>
      <c r="C838" s="88" t="s">
        <v>3032</v>
      </c>
      <c r="D838" s="88" t="s">
        <v>6992</v>
      </c>
      <c r="E838" s="94">
        <v>43718</v>
      </c>
      <c r="F838" s="91"/>
      <c r="G838" s="223">
        <f t="shared" si="26"/>
        <v>19</v>
      </c>
      <c r="H838" s="222">
        <f t="shared" si="27"/>
        <v>21609438</v>
      </c>
    </row>
    <row r="839" spans="1:8" hidden="1">
      <c r="A839" s="87">
        <v>36838485</v>
      </c>
      <c r="B839" s="88" t="s">
        <v>1793</v>
      </c>
      <c r="C839" s="88" t="s">
        <v>3088</v>
      </c>
      <c r="D839" s="88" t="s">
        <v>6992</v>
      </c>
      <c r="E839" s="94">
        <v>43718</v>
      </c>
      <c r="F839" s="91"/>
      <c r="G839" s="223" t="str">
        <f t="shared" si="26"/>
        <v>sin dato</v>
      </c>
      <c r="H839" s="222" t="str">
        <f t="shared" si="27"/>
        <v>999</v>
      </c>
    </row>
    <row r="840" spans="1:8" hidden="1">
      <c r="A840" s="87">
        <v>30597790</v>
      </c>
      <c r="B840" s="88" t="s">
        <v>3039</v>
      </c>
      <c r="C840" s="88" t="s">
        <v>3040</v>
      </c>
      <c r="D840" s="88" t="s">
        <v>6992</v>
      </c>
      <c r="E840" s="94">
        <v>43718</v>
      </c>
      <c r="F840" s="91"/>
      <c r="G840" s="223">
        <f t="shared" si="26"/>
        <v>19</v>
      </c>
      <c r="H840" s="222">
        <f t="shared" si="27"/>
        <v>30597790</v>
      </c>
    </row>
    <row r="841" spans="1:8" hidden="1">
      <c r="A841" s="87">
        <v>33973474</v>
      </c>
      <c r="B841" s="88" t="s">
        <v>425</v>
      </c>
      <c r="C841" s="88" t="s">
        <v>3072</v>
      </c>
      <c r="D841" s="88" t="s">
        <v>6992</v>
      </c>
      <c r="E841" s="94">
        <v>43718</v>
      </c>
      <c r="F841" s="91"/>
      <c r="G841" s="223">
        <f t="shared" si="26"/>
        <v>19</v>
      </c>
      <c r="H841" s="222">
        <f t="shared" si="27"/>
        <v>33973474</v>
      </c>
    </row>
    <row r="842" spans="1:8" hidden="1">
      <c r="A842" s="87">
        <v>20433790</v>
      </c>
      <c r="B842" s="88" t="s">
        <v>425</v>
      </c>
      <c r="C842" s="88" t="s">
        <v>1299</v>
      </c>
      <c r="D842" s="88" t="s">
        <v>6992</v>
      </c>
      <c r="E842" s="94">
        <v>43718</v>
      </c>
      <c r="F842" s="91"/>
      <c r="G842" s="223">
        <f t="shared" si="26"/>
        <v>19</v>
      </c>
      <c r="H842" s="222">
        <f t="shared" si="27"/>
        <v>20433790</v>
      </c>
    </row>
    <row r="843" spans="1:8" hidden="1">
      <c r="A843" s="87">
        <v>23519818</v>
      </c>
      <c r="B843" s="88" t="s">
        <v>742</v>
      </c>
      <c r="C843" s="88" t="s">
        <v>3106</v>
      </c>
      <c r="D843" s="88" t="s">
        <v>6992</v>
      </c>
      <c r="E843" s="94">
        <v>43718</v>
      </c>
      <c r="F843" s="91"/>
      <c r="G843" s="223">
        <f t="shared" si="26"/>
        <v>19</v>
      </c>
      <c r="H843" s="222">
        <f t="shared" si="27"/>
        <v>23519818</v>
      </c>
    </row>
    <row r="844" spans="1:8" hidden="1">
      <c r="A844" s="87">
        <v>31505906</v>
      </c>
      <c r="B844" s="88" t="s">
        <v>3068</v>
      </c>
      <c r="C844" s="88" t="s">
        <v>3069</v>
      </c>
      <c r="D844" s="88" t="s">
        <v>6992</v>
      </c>
      <c r="E844" s="94">
        <v>43718</v>
      </c>
      <c r="F844" s="91"/>
      <c r="G844" s="223">
        <f t="shared" si="26"/>
        <v>19</v>
      </c>
      <c r="H844" s="222">
        <f t="shared" si="27"/>
        <v>31505906</v>
      </c>
    </row>
    <row r="845" spans="1:8" hidden="1">
      <c r="A845" s="87">
        <v>11475984</v>
      </c>
      <c r="B845" s="88" t="s">
        <v>3041</v>
      </c>
      <c r="C845" s="88" t="s">
        <v>783</v>
      </c>
      <c r="D845" s="88" t="s">
        <v>6992</v>
      </c>
      <c r="E845" s="94">
        <v>43718</v>
      </c>
      <c r="F845" s="91"/>
      <c r="G845" s="223">
        <f t="shared" si="26"/>
        <v>19</v>
      </c>
      <c r="H845" s="222">
        <f t="shared" si="27"/>
        <v>11475984</v>
      </c>
    </row>
    <row r="846" spans="1:8" hidden="1">
      <c r="A846" s="87">
        <v>32110828</v>
      </c>
      <c r="B846" s="88" t="s">
        <v>2294</v>
      </c>
      <c r="C846" s="88" t="s">
        <v>3111</v>
      </c>
      <c r="D846" s="88" t="s">
        <v>6992</v>
      </c>
      <c r="E846" s="94">
        <v>43718</v>
      </c>
      <c r="F846" s="91"/>
      <c r="G846" s="223">
        <f t="shared" si="26"/>
        <v>19</v>
      </c>
      <c r="H846" s="222">
        <f t="shared" si="27"/>
        <v>32110828</v>
      </c>
    </row>
    <row r="847" spans="1:8" hidden="1">
      <c r="A847" s="87">
        <v>14234802</v>
      </c>
      <c r="B847" s="88" t="s">
        <v>499</v>
      </c>
      <c r="C847" s="88" t="s">
        <v>2986</v>
      </c>
      <c r="D847" s="88" t="s">
        <v>6992</v>
      </c>
      <c r="E847" s="94">
        <v>43718</v>
      </c>
      <c r="F847" s="91"/>
      <c r="G847" s="223">
        <f t="shared" si="26"/>
        <v>19</v>
      </c>
      <c r="H847" s="222">
        <f t="shared" si="27"/>
        <v>14234802</v>
      </c>
    </row>
    <row r="848" spans="1:8" hidden="1">
      <c r="A848" s="87">
        <v>16308116</v>
      </c>
      <c r="B848" s="88" t="s">
        <v>4972</v>
      </c>
      <c r="C848" s="88" t="s">
        <v>639</v>
      </c>
      <c r="D848" s="88" t="s">
        <v>6988</v>
      </c>
      <c r="E848" s="94">
        <v>43640</v>
      </c>
      <c r="F848" s="91"/>
      <c r="G848" s="223" t="str">
        <f t="shared" si="26"/>
        <v>sin dato</v>
      </c>
      <c r="H848" s="222">
        <f t="shared" si="27"/>
        <v>16308116</v>
      </c>
    </row>
    <row r="849" spans="1:8" hidden="1">
      <c r="A849" s="87">
        <v>22414324</v>
      </c>
      <c r="B849" s="88" t="s">
        <v>1926</v>
      </c>
      <c r="C849" s="88" t="s">
        <v>2815</v>
      </c>
      <c r="D849" s="88" t="s">
        <v>6988</v>
      </c>
      <c r="E849" s="94">
        <v>43640</v>
      </c>
      <c r="F849" s="91"/>
      <c r="G849" s="223">
        <f t="shared" si="26"/>
        <v>59</v>
      </c>
      <c r="H849" s="222">
        <f t="shared" si="27"/>
        <v>22414324</v>
      </c>
    </row>
    <row r="850" spans="1:8" hidden="1">
      <c r="A850" s="87">
        <v>20307247</v>
      </c>
      <c r="B850" s="88" t="s">
        <v>5475</v>
      </c>
      <c r="C850" s="88" t="s">
        <v>5476</v>
      </c>
      <c r="D850" s="88" t="s">
        <v>6988</v>
      </c>
      <c r="E850" s="94">
        <v>43640</v>
      </c>
      <c r="F850" s="91"/>
      <c r="G850" s="223">
        <f t="shared" si="26"/>
        <v>7</v>
      </c>
      <c r="H850" s="222">
        <f t="shared" si="27"/>
        <v>20307247</v>
      </c>
    </row>
    <row r="851" spans="1:8" hidden="1">
      <c r="A851" s="87">
        <v>14023732</v>
      </c>
      <c r="B851" s="88" t="s">
        <v>6026</v>
      </c>
      <c r="C851" s="88" t="s">
        <v>1672</v>
      </c>
      <c r="D851" s="88" t="s">
        <v>6988</v>
      </c>
      <c r="E851" s="94">
        <v>43640</v>
      </c>
      <c r="F851" s="91"/>
      <c r="G851" s="223">
        <f t="shared" si="26"/>
        <v>999</v>
      </c>
      <c r="H851" s="222">
        <f t="shared" si="27"/>
        <v>14023732</v>
      </c>
    </row>
    <row r="852" spans="1:8" hidden="1">
      <c r="A852" s="87">
        <v>14296958</v>
      </c>
      <c r="B852" s="88" t="s">
        <v>5838</v>
      </c>
      <c r="C852" s="88" t="s">
        <v>5839</v>
      </c>
      <c r="D852" s="88" t="s">
        <v>6988</v>
      </c>
      <c r="E852" s="94">
        <v>43640</v>
      </c>
      <c r="F852" s="91"/>
      <c r="G852" s="223">
        <f t="shared" si="26"/>
        <v>5</v>
      </c>
      <c r="H852" s="222">
        <f t="shared" si="27"/>
        <v>14296958</v>
      </c>
    </row>
    <row r="853" spans="1:8" hidden="1">
      <c r="A853" s="87">
        <v>27972084</v>
      </c>
      <c r="B853" s="88" t="s">
        <v>6481</v>
      </c>
      <c r="C853" s="88" t="s">
        <v>6482</v>
      </c>
      <c r="D853" s="88" t="s">
        <v>6988</v>
      </c>
      <c r="E853" s="94">
        <v>43640</v>
      </c>
      <c r="F853" s="91"/>
      <c r="G853" s="223">
        <f t="shared" si="26"/>
        <v>999</v>
      </c>
      <c r="H853" s="222">
        <f t="shared" si="27"/>
        <v>27972084</v>
      </c>
    </row>
    <row r="854" spans="1:8" hidden="1">
      <c r="A854" s="87">
        <v>27972084</v>
      </c>
      <c r="B854" s="88" t="s">
        <v>6481</v>
      </c>
      <c r="C854" s="88" t="s">
        <v>6482</v>
      </c>
      <c r="D854" s="88" t="s">
        <v>6988</v>
      </c>
      <c r="E854" s="94">
        <v>43640</v>
      </c>
      <c r="F854" s="91"/>
      <c r="G854" s="223">
        <f t="shared" si="26"/>
        <v>999</v>
      </c>
      <c r="H854" s="222">
        <f t="shared" si="27"/>
        <v>27972084</v>
      </c>
    </row>
    <row r="855" spans="1:8" hidden="1">
      <c r="A855" s="87">
        <v>14660185</v>
      </c>
      <c r="B855" s="88" t="s">
        <v>5940</v>
      </c>
      <c r="C855" s="88" t="s">
        <v>5941</v>
      </c>
      <c r="D855" s="88" t="s">
        <v>6988</v>
      </c>
      <c r="E855" s="94">
        <v>43640</v>
      </c>
      <c r="F855" s="91"/>
      <c r="G855" s="223">
        <f t="shared" si="26"/>
        <v>10</v>
      </c>
      <c r="H855" s="222">
        <f t="shared" si="27"/>
        <v>14660185</v>
      </c>
    </row>
    <row r="856" spans="1:8" hidden="1">
      <c r="A856" s="87">
        <v>20398681</v>
      </c>
      <c r="B856" s="88" t="s">
        <v>1774</v>
      </c>
      <c r="C856" s="88" t="s">
        <v>1775</v>
      </c>
      <c r="D856" s="88" t="s">
        <v>6988</v>
      </c>
      <c r="E856" s="94">
        <v>43640</v>
      </c>
      <c r="F856" s="91"/>
      <c r="G856" s="223">
        <f t="shared" si="26"/>
        <v>15</v>
      </c>
      <c r="H856" s="222">
        <f t="shared" si="27"/>
        <v>20398681</v>
      </c>
    </row>
    <row r="857" spans="1:8" hidden="1">
      <c r="A857" s="87">
        <v>12733236</v>
      </c>
      <c r="B857" s="88" t="s">
        <v>1805</v>
      </c>
      <c r="C857" s="88" t="s">
        <v>1806</v>
      </c>
      <c r="D857" s="88" t="s">
        <v>6988</v>
      </c>
      <c r="E857" s="94">
        <v>43640</v>
      </c>
      <c r="F857" s="91"/>
      <c r="G857" s="223">
        <f t="shared" si="26"/>
        <v>15</v>
      </c>
      <c r="H857" s="222">
        <f t="shared" si="27"/>
        <v>12733236</v>
      </c>
    </row>
    <row r="858" spans="1:8" hidden="1">
      <c r="A858" s="87">
        <v>23238026</v>
      </c>
      <c r="B858" s="88" t="s">
        <v>4893</v>
      </c>
      <c r="C858" s="88" t="s">
        <v>1535</v>
      </c>
      <c r="D858" s="88" t="s">
        <v>6988</v>
      </c>
      <c r="E858" s="94">
        <v>43640</v>
      </c>
      <c r="F858" s="91"/>
      <c r="G858" s="223">
        <f t="shared" si="26"/>
        <v>10</v>
      </c>
      <c r="H858" s="222">
        <f t="shared" si="27"/>
        <v>23238026</v>
      </c>
    </row>
    <row r="859" spans="1:8" hidden="1">
      <c r="A859" s="87">
        <v>25844102</v>
      </c>
      <c r="B859" s="88" t="s">
        <v>5922</v>
      </c>
      <c r="C859" s="88" t="s">
        <v>5923</v>
      </c>
      <c r="D859" s="88" t="s">
        <v>6988</v>
      </c>
      <c r="E859" s="94">
        <v>43640</v>
      </c>
      <c r="F859" s="91"/>
      <c r="G859" s="223">
        <f t="shared" si="26"/>
        <v>10</v>
      </c>
      <c r="H859" s="222">
        <f t="shared" si="27"/>
        <v>25844102</v>
      </c>
    </row>
    <row r="860" spans="1:8" hidden="1">
      <c r="A860" s="87">
        <v>25734593</v>
      </c>
      <c r="B860" s="88" t="s">
        <v>5433</v>
      </c>
      <c r="C860" s="88" t="s">
        <v>5434</v>
      </c>
      <c r="D860" s="88" t="s">
        <v>6988</v>
      </c>
      <c r="E860" s="94">
        <v>43640</v>
      </c>
      <c r="F860" s="91"/>
      <c r="G860" s="223">
        <f t="shared" si="26"/>
        <v>14</v>
      </c>
      <c r="H860" s="222">
        <f t="shared" si="27"/>
        <v>25734593</v>
      </c>
    </row>
    <row r="861" spans="1:8" hidden="1">
      <c r="A861" s="87">
        <v>23411308</v>
      </c>
      <c r="B861" s="88" t="s">
        <v>2359</v>
      </c>
      <c r="C861" s="88" t="s">
        <v>962</v>
      </c>
      <c r="D861" s="88" t="s">
        <v>6994</v>
      </c>
      <c r="E861" s="94">
        <v>43612</v>
      </c>
      <c r="F861" s="91" t="s">
        <v>6853</v>
      </c>
      <c r="G861" s="223">
        <f t="shared" si="26"/>
        <v>17</v>
      </c>
      <c r="H861" s="222">
        <f t="shared" si="27"/>
        <v>23411308</v>
      </c>
    </row>
    <row r="862" spans="1:8" hidden="1">
      <c r="A862" s="87">
        <v>24622574</v>
      </c>
      <c r="B862" s="88" t="s">
        <v>47</v>
      </c>
      <c r="C862" s="88" t="s">
        <v>4961</v>
      </c>
      <c r="D862" s="88" t="s">
        <v>6994</v>
      </c>
      <c r="E862" s="94">
        <v>43612</v>
      </c>
      <c r="F862" s="91"/>
      <c r="G862" s="223" t="str">
        <f t="shared" si="26"/>
        <v>sin dato</v>
      </c>
      <c r="H862" s="222">
        <f t="shared" si="27"/>
        <v>24622574</v>
      </c>
    </row>
    <row r="863" spans="1:8" hidden="1">
      <c r="A863" s="87">
        <v>25444256</v>
      </c>
      <c r="B863" s="88" t="s">
        <v>5764</v>
      </c>
      <c r="C863" s="88" t="s">
        <v>5765</v>
      </c>
      <c r="D863" s="88" t="s">
        <v>6994</v>
      </c>
      <c r="E863" s="94">
        <v>43612</v>
      </c>
      <c r="F863" s="91"/>
      <c r="G863" s="223" t="str">
        <f t="shared" si="26"/>
        <v>sin dato</v>
      </c>
      <c r="H863" s="222">
        <f t="shared" si="27"/>
        <v>25444256</v>
      </c>
    </row>
    <row r="864" spans="1:8" hidden="1">
      <c r="A864" s="87">
        <v>13338617</v>
      </c>
      <c r="B864" s="88" t="s">
        <v>83</v>
      </c>
      <c r="C864" s="88" t="s">
        <v>84</v>
      </c>
      <c r="D864" s="88" t="s">
        <v>6994</v>
      </c>
      <c r="E864" s="94">
        <v>43612</v>
      </c>
      <c r="F864" s="91"/>
      <c r="G864" s="223">
        <f t="shared" si="26"/>
        <v>11</v>
      </c>
      <c r="H864" s="222">
        <f t="shared" si="27"/>
        <v>13338617</v>
      </c>
    </row>
    <row r="865" spans="1:8" hidden="1">
      <c r="A865" s="87">
        <v>16540918</v>
      </c>
      <c r="B865" s="88" t="s">
        <v>595</v>
      </c>
      <c r="C865" s="88" t="s">
        <v>468</v>
      </c>
      <c r="D865" s="88" t="s">
        <v>6994</v>
      </c>
      <c r="E865" s="94">
        <v>43612</v>
      </c>
      <c r="F865" s="91"/>
      <c r="G865" s="223" t="str">
        <f t="shared" si="26"/>
        <v>sin dato</v>
      </c>
      <c r="H865" s="222">
        <f t="shared" si="27"/>
        <v>16540918</v>
      </c>
    </row>
    <row r="866" spans="1:8" hidden="1">
      <c r="A866" s="87">
        <v>21744631</v>
      </c>
      <c r="B866" s="88" t="s">
        <v>3622</v>
      </c>
      <c r="C866" s="88" t="s">
        <v>3623</v>
      </c>
      <c r="D866" s="88" t="s">
        <v>6994</v>
      </c>
      <c r="E866" s="94">
        <v>43612</v>
      </c>
      <c r="F866" s="91"/>
      <c r="G866" s="223">
        <f t="shared" si="26"/>
        <v>29</v>
      </c>
      <c r="H866" s="222">
        <f t="shared" si="27"/>
        <v>21744631</v>
      </c>
    </row>
    <row r="867" spans="1:8" hidden="1">
      <c r="A867" s="87">
        <v>25735833</v>
      </c>
      <c r="B867" s="88" t="s">
        <v>3622</v>
      </c>
      <c r="C867" s="88" t="s">
        <v>4184</v>
      </c>
      <c r="D867" s="88" t="s">
        <v>6994</v>
      </c>
      <c r="E867" s="94">
        <v>43612</v>
      </c>
      <c r="F867" s="91"/>
      <c r="G867" s="223" t="str">
        <f t="shared" si="26"/>
        <v>sin dato</v>
      </c>
      <c r="H867" s="222">
        <f t="shared" si="27"/>
        <v>25735833</v>
      </c>
    </row>
    <row r="868" spans="1:8" hidden="1">
      <c r="A868" s="87">
        <v>25735261</v>
      </c>
      <c r="B868" s="88" t="s">
        <v>2912</v>
      </c>
      <c r="C868" s="88" t="s">
        <v>2913</v>
      </c>
      <c r="D868" s="88" t="s">
        <v>6994</v>
      </c>
      <c r="E868" s="94">
        <v>43612</v>
      </c>
      <c r="F868" s="91"/>
      <c r="G868" s="223" t="str">
        <f t="shared" si="26"/>
        <v>sin dato</v>
      </c>
      <c r="H868" s="222">
        <f t="shared" si="27"/>
        <v>25735261</v>
      </c>
    </row>
    <row r="869" spans="1:8" hidden="1">
      <c r="A869" s="87">
        <v>12336328</v>
      </c>
      <c r="B869" s="88" t="s">
        <v>1032</v>
      </c>
      <c r="C869" s="88" t="s">
        <v>6070</v>
      </c>
      <c r="D869" s="88" t="s">
        <v>6994</v>
      </c>
      <c r="E869" s="94">
        <v>43612</v>
      </c>
      <c r="F869" s="149" t="s">
        <v>23</v>
      </c>
      <c r="G869" s="223">
        <f t="shared" si="26"/>
        <v>999</v>
      </c>
      <c r="H869" s="222">
        <f t="shared" si="27"/>
        <v>12336328</v>
      </c>
    </row>
    <row r="870" spans="1:8" hidden="1">
      <c r="A870" s="87">
        <v>22336712</v>
      </c>
      <c r="B870" s="88" t="s">
        <v>5262</v>
      </c>
      <c r="C870" s="88" t="s">
        <v>5263</v>
      </c>
      <c r="D870" s="88" t="s">
        <v>6994</v>
      </c>
      <c r="E870" s="94">
        <v>43612</v>
      </c>
      <c r="F870" s="91"/>
      <c r="G870" s="223">
        <f t="shared" si="26"/>
        <v>9</v>
      </c>
      <c r="H870" s="222">
        <f t="shared" si="27"/>
        <v>22336712</v>
      </c>
    </row>
    <row r="871" spans="1:8" hidden="1">
      <c r="A871" s="87">
        <v>23930783</v>
      </c>
      <c r="B871" s="88" t="s">
        <v>4730</v>
      </c>
      <c r="C871" s="88" t="s">
        <v>4676</v>
      </c>
      <c r="D871" s="88" t="s">
        <v>6994</v>
      </c>
      <c r="E871" s="94">
        <v>43612</v>
      </c>
      <c r="F871" s="91"/>
      <c r="G871" s="223">
        <f t="shared" si="26"/>
        <v>23</v>
      </c>
      <c r="H871" s="222">
        <f t="shared" si="27"/>
        <v>23930783</v>
      </c>
    </row>
    <row r="872" spans="1:8" hidden="1">
      <c r="A872" s="87">
        <v>34356805</v>
      </c>
      <c r="B872" s="88" t="s">
        <v>650</v>
      </c>
      <c r="C872" s="88" t="s">
        <v>6991</v>
      </c>
      <c r="D872" s="88" t="s">
        <v>6994</v>
      </c>
      <c r="E872" s="94">
        <v>43612</v>
      </c>
      <c r="F872" s="91"/>
      <c r="G872" s="223">
        <f t="shared" si="26"/>
        <v>30</v>
      </c>
      <c r="H872" s="222">
        <f t="shared" si="27"/>
        <v>34356805</v>
      </c>
    </row>
    <row r="873" spans="1:8" hidden="1">
      <c r="A873" s="87">
        <v>32012359</v>
      </c>
      <c r="B873" s="88" t="s">
        <v>2961</v>
      </c>
      <c r="C873" s="88" t="s">
        <v>253</v>
      </c>
      <c r="D873" s="88" t="s">
        <v>6994</v>
      </c>
      <c r="E873" s="94">
        <v>43612</v>
      </c>
      <c r="F873" s="91"/>
      <c r="G873" s="223">
        <f t="shared" si="26"/>
        <v>19</v>
      </c>
      <c r="H873" s="222">
        <f t="shared" si="27"/>
        <v>32012359</v>
      </c>
    </row>
    <row r="874" spans="1:8" hidden="1">
      <c r="A874" s="87">
        <v>24200383</v>
      </c>
      <c r="B874" s="88" t="s">
        <v>207</v>
      </c>
      <c r="C874" s="88" t="s">
        <v>655</v>
      </c>
      <c r="D874" s="88" t="s">
        <v>6994</v>
      </c>
      <c r="E874" s="94">
        <v>43612</v>
      </c>
      <c r="F874" s="91"/>
      <c r="G874" s="223">
        <f t="shared" si="26"/>
        <v>13</v>
      </c>
      <c r="H874" s="222">
        <f t="shared" si="27"/>
        <v>24200383</v>
      </c>
    </row>
    <row r="875" spans="1:8" hidden="1">
      <c r="A875" s="87">
        <v>18461335</v>
      </c>
      <c r="B875" s="88" t="s">
        <v>2919</v>
      </c>
      <c r="C875" s="88" t="s">
        <v>1003</v>
      </c>
      <c r="D875" s="88" t="s">
        <v>6994</v>
      </c>
      <c r="E875" s="94">
        <v>43612</v>
      </c>
      <c r="F875" s="91"/>
      <c r="G875" s="223" t="str">
        <f t="shared" si="26"/>
        <v>sin dato</v>
      </c>
      <c r="H875" s="222">
        <f t="shared" si="27"/>
        <v>18461335</v>
      </c>
    </row>
    <row r="876" spans="1:8" hidden="1">
      <c r="A876" s="87">
        <v>11475132</v>
      </c>
      <c r="B876" s="88" t="s">
        <v>5034</v>
      </c>
      <c r="C876" s="88" t="s">
        <v>6492</v>
      </c>
      <c r="D876" s="88" t="s">
        <v>6994</v>
      </c>
      <c r="E876" s="94">
        <v>43612</v>
      </c>
      <c r="F876" s="149" t="s">
        <v>23</v>
      </c>
      <c r="G876" s="223">
        <f t="shared" si="26"/>
        <v>82</v>
      </c>
      <c r="H876" s="222">
        <f t="shared" si="27"/>
        <v>11475132</v>
      </c>
    </row>
    <row r="877" spans="1:8" hidden="1">
      <c r="A877" s="87">
        <v>16932642</v>
      </c>
      <c r="B877" s="88" t="s">
        <v>4344</v>
      </c>
      <c r="C877" s="88" t="s">
        <v>767</v>
      </c>
      <c r="D877" s="88" t="s">
        <v>6994</v>
      </c>
      <c r="E877" s="94">
        <v>43612</v>
      </c>
      <c r="F877" s="91"/>
      <c r="G877" s="223">
        <f t="shared" si="26"/>
        <v>21</v>
      </c>
      <c r="H877" s="222">
        <f t="shared" si="27"/>
        <v>16932642</v>
      </c>
    </row>
    <row r="878" spans="1:8" hidden="1">
      <c r="A878" s="87">
        <v>25923655</v>
      </c>
      <c r="B878" s="88" t="s">
        <v>311</v>
      </c>
      <c r="C878" s="88" t="s">
        <v>174</v>
      </c>
      <c r="D878" s="88" t="s">
        <v>6994</v>
      </c>
      <c r="E878" s="94">
        <v>43612</v>
      </c>
      <c r="F878" s="91"/>
      <c r="G878" s="223">
        <f t="shared" si="26"/>
        <v>37</v>
      </c>
      <c r="H878" s="222">
        <f t="shared" si="27"/>
        <v>25923655</v>
      </c>
    </row>
    <row r="879" spans="1:8" hidden="1">
      <c r="A879" s="87">
        <v>25069190</v>
      </c>
      <c r="B879" s="88" t="s">
        <v>842</v>
      </c>
      <c r="C879" s="88" t="s">
        <v>843</v>
      </c>
      <c r="D879" s="88" t="s">
        <v>6994</v>
      </c>
      <c r="E879" s="94">
        <v>43612</v>
      </c>
      <c r="F879" s="91"/>
      <c r="G879" s="223" t="str">
        <f t="shared" si="26"/>
        <v>sin dato</v>
      </c>
      <c r="H879" s="222" t="str">
        <f t="shared" si="27"/>
        <v>999</v>
      </c>
    </row>
    <row r="880" spans="1:8" hidden="1">
      <c r="A880" s="87">
        <v>31275812</v>
      </c>
      <c r="B880" s="88" t="s">
        <v>327</v>
      </c>
      <c r="C880" s="88" t="s">
        <v>838</v>
      </c>
      <c r="D880" s="88" t="s">
        <v>6994</v>
      </c>
      <c r="E880" s="94">
        <v>43612</v>
      </c>
      <c r="F880" s="91"/>
      <c r="G880" s="223">
        <f t="shared" si="26"/>
        <v>37</v>
      </c>
      <c r="H880" s="222">
        <f t="shared" si="27"/>
        <v>31275812</v>
      </c>
    </row>
    <row r="881" spans="1:8" hidden="1">
      <c r="A881" s="87">
        <v>14984183</v>
      </c>
      <c r="B881" s="88" t="s">
        <v>5811</v>
      </c>
      <c r="C881" s="88" t="s">
        <v>876</v>
      </c>
      <c r="D881" s="88" t="s">
        <v>6994</v>
      </c>
      <c r="E881" s="94">
        <v>43612</v>
      </c>
      <c r="F881" s="91"/>
      <c r="G881" s="223" t="str">
        <f t="shared" si="26"/>
        <v>sin dato</v>
      </c>
      <c r="H881" s="222">
        <f t="shared" si="27"/>
        <v>14984183</v>
      </c>
    </row>
    <row r="882" spans="1:8" hidden="1">
      <c r="A882" s="87">
        <v>16314577</v>
      </c>
      <c r="B882" s="88" t="s">
        <v>377</v>
      </c>
      <c r="C882" s="88" t="s">
        <v>378</v>
      </c>
      <c r="D882" s="88" t="s">
        <v>6994</v>
      </c>
      <c r="E882" s="94">
        <v>43612</v>
      </c>
      <c r="F882" s="91"/>
      <c r="G882" s="223">
        <f t="shared" si="26"/>
        <v>11</v>
      </c>
      <c r="H882" s="222">
        <f t="shared" si="27"/>
        <v>16314577</v>
      </c>
    </row>
    <row r="883" spans="1:8" hidden="1">
      <c r="A883" s="87">
        <v>32109721</v>
      </c>
      <c r="B883" s="88" t="s">
        <v>428</v>
      </c>
      <c r="C883" s="88" t="s">
        <v>3549</v>
      </c>
      <c r="D883" s="88" t="s">
        <v>6994</v>
      </c>
      <c r="E883" s="94">
        <v>43612</v>
      </c>
      <c r="F883" s="91"/>
      <c r="G883" s="223">
        <f t="shared" si="26"/>
        <v>25</v>
      </c>
      <c r="H883" s="222">
        <f t="shared" si="27"/>
        <v>32109721</v>
      </c>
    </row>
    <row r="884" spans="1:8" hidden="1">
      <c r="A884" s="87">
        <v>20285487</v>
      </c>
      <c r="B884" s="88" t="s">
        <v>428</v>
      </c>
      <c r="C884" s="88" t="s">
        <v>3318</v>
      </c>
      <c r="D884" s="88" t="s">
        <v>6994</v>
      </c>
      <c r="E884" s="94">
        <v>43612</v>
      </c>
      <c r="F884" s="91"/>
      <c r="G884" s="223">
        <f t="shared" si="26"/>
        <v>28</v>
      </c>
      <c r="H884" s="222">
        <f t="shared" si="27"/>
        <v>20285487</v>
      </c>
    </row>
    <row r="885" spans="1:8" hidden="1">
      <c r="A885" s="87">
        <v>21320060</v>
      </c>
      <c r="B885" s="88" t="s">
        <v>5133</v>
      </c>
      <c r="C885" s="88" t="s">
        <v>5134</v>
      </c>
      <c r="D885" s="88" t="s">
        <v>6994</v>
      </c>
      <c r="E885" s="94">
        <v>43612</v>
      </c>
      <c r="F885" s="91"/>
      <c r="G885" s="223" t="str">
        <f t="shared" si="26"/>
        <v>sin dato</v>
      </c>
      <c r="H885" s="222">
        <f t="shared" si="27"/>
        <v>21320060</v>
      </c>
    </row>
    <row r="886" spans="1:8" hidden="1">
      <c r="A886" s="87">
        <v>21744058</v>
      </c>
      <c r="B886" s="88" t="s">
        <v>1823</v>
      </c>
      <c r="C886" s="88" t="s">
        <v>1138</v>
      </c>
      <c r="D886" s="88" t="s">
        <v>6994</v>
      </c>
      <c r="E886" s="94">
        <v>43612</v>
      </c>
      <c r="F886" s="91"/>
      <c r="G886" s="223">
        <f t="shared" si="26"/>
        <v>21</v>
      </c>
      <c r="H886" s="222">
        <f t="shared" si="27"/>
        <v>21744058</v>
      </c>
    </row>
    <row r="887" spans="1:8" hidden="1">
      <c r="A887" s="87">
        <v>23517103</v>
      </c>
      <c r="B887" s="88" t="s">
        <v>3612</v>
      </c>
      <c r="C887" s="88" t="s">
        <v>3613</v>
      </c>
      <c r="D887" s="88" t="s">
        <v>6994</v>
      </c>
      <c r="E887" s="94">
        <v>43612</v>
      </c>
      <c r="F887" s="91"/>
      <c r="G887" s="223">
        <f t="shared" si="26"/>
        <v>29</v>
      </c>
      <c r="H887" s="222">
        <f t="shared" si="27"/>
        <v>23517103</v>
      </c>
    </row>
    <row r="888" spans="1:8" hidden="1">
      <c r="A888" s="87">
        <v>36420915</v>
      </c>
      <c r="B888" s="88" t="s">
        <v>4213</v>
      </c>
      <c r="C888" s="88" t="s">
        <v>2418</v>
      </c>
      <c r="D888" s="88" t="s">
        <v>6994</v>
      </c>
      <c r="E888" s="94">
        <v>43612</v>
      </c>
      <c r="F888" s="91"/>
      <c r="G888" s="223" t="str">
        <f t="shared" si="26"/>
        <v>sin dato</v>
      </c>
      <c r="H888" s="222" t="str">
        <f t="shared" si="27"/>
        <v>999</v>
      </c>
    </row>
    <row r="889" spans="1:8" hidden="1">
      <c r="A889" s="87">
        <v>24200813</v>
      </c>
      <c r="B889" s="88" t="s">
        <v>2766</v>
      </c>
      <c r="C889" s="88" t="s">
        <v>2767</v>
      </c>
      <c r="D889" s="88" t="s">
        <v>6994</v>
      </c>
      <c r="E889" s="94">
        <v>43612</v>
      </c>
      <c r="F889" s="91"/>
      <c r="G889" s="223">
        <f t="shared" si="26"/>
        <v>58</v>
      </c>
      <c r="H889" s="222">
        <f t="shared" si="27"/>
        <v>24200813</v>
      </c>
    </row>
    <row r="890" spans="1:8" hidden="1">
      <c r="A890" s="87">
        <v>25734593</v>
      </c>
      <c r="B890" s="88" t="s">
        <v>5433</v>
      </c>
      <c r="C890" s="88" t="s">
        <v>5434</v>
      </c>
      <c r="D890" s="88" t="s">
        <v>6994</v>
      </c>
      <c r="E890" s="94">
        <v>43612</v>
      </c>
      <c r="F890" s="91"/>
      <c r="G890" s="223">
        <f t="shared" si="26"/>
        <v>14</v>
      </c>
      <c r="H890" s="222">
        <f t="shared" si="27"/>
        <v>25734593</v>
      </c>
    </row>
    <row r="891" spans="1:8" hidden="1">
      <c r="A891" s="87">
        <v>33756264</v>
      </c>
      <c r="B891" s="88" t="s">
        <v>3895</v>
      </c>
      <c r="C891" s="88" t="s">
        <v>5753</v>
      </c>
      <c r="D891" s="88" t="s">
        <v>6994</v>
      </c>
      <c r="E891" s="94">
        <v>43612</v>
      </c>
      <c r="F891" s="91"/>
      <c r="G891" s="223">
        <f t="shared" si="26"/>
        <v>6</v>
      </c>
      <c r="H891" s="222">
        <f t="shared" si="27"/>
        <v>33756264</v>
      </c>
    </row>
    <row r="892" spans="1:8" hidden="1">
      <c r="A892" s="87">
        <v>36584270</v>
      </c>
      <c r="B892" s="88" t="s">
        <v>5878</v>
      </c>
      <c r="C892" s="88" t="s">
        <v>5879</v>
      </c>
      <c r="D892" s="88" t="s">
        <v>6986</v>
      </c>
      <c r="E892" s="94">
        <v>43593</v>
      </c>
      <c r="F892" s="91"/>
      <c r="G892" s="223" t="str">
        <f t="shared" si="26"/>
        <v>sin dato</v>
      </c>
      <c r="H892" s="222" t="str">
        <f t="shared" si="27"/>
        <v>999</v>
      </c>
    </row>
    <row r="893" spans="1:8" hidden="1">
      <c r="A893" s="87">
        <v>17041554</v>
      </c>
      <c r="B893" s="88" t="s">
        <v>1655</v>
      </c>
      <c r="C893" s="88" t="s">
        <v>5473</v>
      </c>
      <c r="D893" s="88" t="s">
        <v>6986</v>
      </c>
      <c r="E893" s="94">
        <v>43593</v>
      </c>
      <c r="F893" s="91" t="s">
        <v>582</v>
      </c>
      <c r="G893" s="223">
        <f t="shared" si="26"/>
        <v>7</v>
      </c>
      <c r="H893" s="222">
        <f t="shared" si="27"/>
        <v>17041554</v>
      </c>
    </row>
    <row r="894" spans="1:8" hidden="1">
      <c r="A894" s="87">
        <v>22264981</v>
      </c>
      <c r="B894" s="88" t="s">
        <v>5885</v>
      </c>
      <c r="C894" s="88" t="s">
        <v>5886</v>
      </c>
      <c r="D894" s="88" t="s">
        <v>6986</v>
      </c>
      <c r="E894" s="94">
        <v>43593</v>
      </c>
      <c r="F894" s="91"/>
      <c r="G894" s="223">
        <f t="shared" si="26"/>
        <v>10</v>
      </c>
      <c r="H894" s="222">
        <f t="shared" si="27"/>
        <v>22264981</v>
      </c>
    </row>
    <row r="895" spans="1:8" hidden="1">
      <c r="A895" s="87">
        <v>23985536</v>
      </c>
      <c r="B895" s="88" t="s">
        <v>5468</v>
      </c>
      <c r="C895" s="88" t="s">
        <v>131</v>
      </c>
      <c r="D895" s="88" t="s">
        <v>6986</v>
      </c>
      <c r="E895" s="94">
        <v>43593</v>
      </c>
      <c r="F895" s="91"/>
      <c r="G895" s="223">
        <f t="shared" si="26"/>
        <v>7</v>
      </c>
      <c r="H895" s="222">
        <f t="shared" si="27"/>
        <v>23985536</v>
      </c>
    </row>
    <row r="896" spans="1:8" hidden="1">
      <c r="A896" s="87">
        <v>24553198</v>
      </c>
      <c r="B896" s="88" t="s">
        <v>1906</v>
      </c>
      <c r="C896" s="88" t="s">
        <v>5933</v>
      </c>
      <c r="D896" s="88" t="s">
        <v>6986</v>
      </c>
      <c r="E896" s="94">
        <v>43593</v>
      </c>
      <c r="F896" s="91"/>
      <c r="G896" s="223">
        <f t="shared" si="26"/>
        <v>10</v>
      </c>
      <c r="H896" s="222">
        <f t="shared" si="27"/>
        <v>24553198</v>
      </c>
    </row>
    <row r="897" spans="1:8" hidden="1">
      <c r="A897" s="87">
        <v>16458164</v>
      </c>
      <c r="B897" s="88" t="s">
        <v>4706</v>
      </c>
      <c r="C897" s="88" t="s">
        <v>4818</v>
      </c>
      <c r="D897" s="88" t="s">
        <v>6986</v>
      </c>
      <c r="E897" s="94">
        <v>43593</v>
      </c>
      <c r="F897" s="91"/>
      <c r="G897" s="223">
        <f t="shared" si="26"/>
        <v>1</v>
      </c>
      <c r="H897" s="222">
        <f t="shared" si="27"/>
        <v>16458164</v>
      </c>
    </row>
    <row r="898" spans="1:8" hidden="1">
      <c r="A898" s="87">
        <v>12919979</v>
      </c>
      <c r="B898" s="88" t="s">
        <v>3182</v>
      </c>
      <c r="C898" s="88" t="s">
        <v>724</v>
      </c>
      <c r="D898" s="88" t="s">
        <v>6986</v>
      </c>
      <c r="E898" s="94">
        <v>43593</v>
      </c>
      <c r="F898" s="91"/>
      <c r="G898" s="223">
        <f t="shared" ref="G898:G961" si="28">IFERROR(INDEX(unidad,MATCH(VLOOKUP(A898,alum,9,0),unidad2,0),1),"sin dato")</f>
        <v>1</v>
      </c>
      <c r="H898" s="222">
        <f t="shared" ref="H898:H961" si="29">IFERROR(VLOOKUP(A898,alum,1,0),"999")</f>
        <v>12919979</v>
      </c>
    </row>
    <row r="899" spans="1:8" hidden="1">
      <c r="A899" s="87">
        <v>23994367</v>
      </c>
      <c r="B899" s="88" t="s">
        <v>4922</v>
      </c>
      <c r="C899" s="88" t="s">
        <v>4923</v>
      </c>
      <c r="D899" s="88" t="s">
        <v>6986</v>
      </c>
      <c r="E899" s="94">
        <v>43593</v>
      </c>
      <c r="F899" s="91"/>
      <c r="G899" s="223">
        <f t="shared" si="28"/>
        <v>1</v>
      </c>
      <c r="H899" s="222">
        <f t="shared" si="29"/>
        <v>23994367</v>
      </c>
    </row>
    <row r="900" spans="1:8" hidden="1">
      <c r="A900" s="87">
        <v>12607547</v>
      </c>
      <c r="B900" s="88" t="s">
        <v>6516</v>
      </c>
      <c r="C900" s="88" t="s">
        <v>6517</v>
      </c>
      <c r="D900" s="88" t="s">
        <v>6986</v>
      </c>
      <c r="E900" s="94">
        <v>43593</v>
      </c>
      <c r="F900" s="91" t="s">
        <v>582</v>
      </c>
      <c r="G900" s="223">
        <f t="shared" si="28"/>
        <v>85</v>
      </c>
      <c r="H900" s="222">
        <f t="shared" si="29"/>
        <v>12607547</v>
      </c>
    </row>
    <row r="901" spans="1:8" hidden="1">
      <c r="A901" s="87">
        <v>14359872</v>
      </c>
      <c r="B901" s="88" t="s">
        <v>4282</v>
      </c>
      <c r="C901" s="88" t="s">
        <v>4827</v>
      </c>
      <c r="D901" s="88" t="s">
        <v>6986</v>
      </c>
      <c r="E901" s="94">
        <v>43593</v>
      </c>
      <c r="F901" s="91"/>
      <c r="G901" s="223">
        <f t="shared" si="28"/>
        <v>1</v>
      </c>
      <c r="H901" s="222">
        <f t="shared" si="29"/>
        <v>14359872</v>
      </c>
    </row>
    <row r="902" spans="1:8" hidden="1">
      <c r="A902" s="87">
        <v>24098848</v>
      </c>
      <c r="B902" s="88" t="s">
        <v>4830</v>
      </c>
      <c r="C902" s="88" t="s">
        <v>4831</v>
      </c>
      <c r="D902" s="88" t="s">
        <v>6986</v>
      </c>
      <c r="E902" s="94">
        <v>43593</v>
      </c>
      <c r="F902" s="91"/>
      <c r="G902" s="223">
        <f t="shared" si="28"/>
        <v>1</v>
      </c>
      <c r="H902" s="222">
        <f t="shared" si="29"/>
        <v>24098848</v>
      </c>
    </row>
    <row r="903" spans="1:8" hidden="1">
      <c r="A903" s="87">
        <v>20838335</v>
      </c>
      <c r="B903" s="88" t="s">
        <v>5451</v>
      </c>
      <c r="C903" s="88" t="s">
        <v>129</v>
      </c>
      <c r="D903" s="88" t="s">
        <v>6986</v>
      </c>
      <c r="E903" s="94">
        <v>43593</v>
      </c>
      <c r="F903" s="91"/>
      <c r="G903" s="223">
        <f t="shared" si="28"/>
        <v>7</v>
      </c>
      <c r="H903" s="222">
        <f t="shared" si="29"/>
        <v>20838335</v>
      </c>
    </row>
    <row r="904" spans="1:8" hidden="1">
      <c r="A904" s="87">
        <v>29102855</v>
      </c>
      <c r="B904" s="88" t="s">
        <v>650</v>
      </c>
      <c r="C904" s="88" t="s">
        <v>5335</v>
      </c>
      <c r="D904" s="88" t="s">
        <v>6986</v>
      </c>
      <c r="E904" s="94">
        <v>43593</v>
      </c>
      <c r="F904" s="91"/>
      <c r="G904" s="223">
        <f t="shared" si="28"/>
        <v>7</v>
      </c>
      <c r="H904" s="222">
        <f t="shared" si="29"/>
        <v>29102855</v>
      </c>
    </row>
    <row r="905" spans="1:8" hidden="1">
      <c r="A905" s="87">
        <v>25498927</v>
      </c>
      <c r="B905" s="88" t="s">
        <v>5444</v>
      </c>
      <c r="C905" s="88" t="s">
        <v>5445</v>
      </c>
      <c r="D905" s="88" t="s">
        <v>6986</v>
      </c>
      <c r="E905" s="94">
        <v>43593</v>
      </c>
      <c r="F905" s="91"/>
      <c r="G905" s="223">
        <f t="shared" si="28"/>
        <v>7</v>
      </c>
      <c r="H905" s="222">
        <f t="shared" si="29"/>
        <v>25498927</v>
      </c>
    </row>
    <row r="906" spans="1:8" hidden="1">
      <c r="A906" s="87">
        <v>17859090</v>
      </c>
      <c r="B906" s="88" t="s">
        <v>676</v>
      </c>
      <c r="C906" s="88" t="s">
        <v>4854</v>
      </c>
      <c r="D906" s="88" t="s">
        <v>6986</v>
      </c>
      <c r="E906" s="94">
        <v>43593</v>
      </c>
      <c r="F906" s="91"/>
      <c r="G906" s="223">
        <f t="shared" si="28"/>
        <v>1</v>
      </c>
      <c r="H906" s="222">
        <f t="shared" si="29"/>
        <v>17859090</v>
      </c>
    </row>
    <row r="907" spans="1:8" hidden="1">
      <c r="A907" s="87">
        <v>12387324</v>
      </c>
      <c r="B907" s="88" t="s">
        <v>2059</v>
      </c>
      <c r="C907" s="88" t="s">
        <v>4859</v>
      </c>
      <c r="D907" s="88" t="s">
        <v>6986</v>
      </c>
      <c r="E907" s="94">
        <v>43593</v>
      </c>
      <c r="F907" s="91"/>
      <c r="G907" s="223">
        <f t="shared" si="28"/>
        <v>1</v>
      </c>
      <c r="H907" s="222">
        <f t="shared" si="29"/>
        <v>12387324</v>
      </c>
    </row>
    <row r="908" spans="1:8" hidden="1">
      <c r="A908" s="87">
        <v>24059996</v>
      </c>
      <c r="B908" s="88" t="s">
        <v>5359</v>
      </c>
      <c r="C908" s="88" t="s">
        <v>1523</v>
      </c>
      <c r="D908" s="88" t="s">
        <v>6986</v>
      </c>
      <c r="E908" s="94">
        <v>43593</v>
      </c>
      <c r="F908" s="91"/>
      <c r="G908" s="223">
        <f t="shared" si="28"/>
        <v>7</v>
      </c>
      <c r="H908" s="222">
        <f t="shared" si="29"/>
        <v>24059996</v>
      </c>
    </row>
    <row r="909" spans="1:8" hidden="1">
      <c r="A909" s="87">
        <v>16176302</v>
      </c>
      <c r="B909" s="88" t="s">
        <v>5456</v>
      </c>
      <c r="C909" s="88" t="s">
        <v>2184</v>
      </c>
      <c r="D909" s="88" t="s">
        <v>6986</v>
      </c>
      <c r="E909" s="94">
        <v>43593</v>
      </c>
      <c r="F909" s="91"/>
      <c r="G909" s="223">
        <f t="shared" si="28"/>
        <v>7</v>
      </c>
      <c r="H909" s="222">
        <f t="shared" si="29"/>
        <v>16176302</v>
      </c>
    </row>
    <row r="910" spans="1:8" hidden="1">
      <c r="A910" s="87">
        <v>27751639</v>
      </c>
      <c r="B910" s="88" t="s">
        <v>5372</v>
      </c>
      <c r="C910" s="88" t="s">
        <v>5061</v>
      </c>
      <c r="D910" s="88" t="s">
        <v>6986</v>
      </c>
      <c r="E910" s="94">
        <v>43593</v>
      </c>
      <c r="F910" s="91"/>
      <c r="G910" s="223">
        <f t="shared" si="28"/>
        <v>7</v>
      </c>
      <c r="H910" s="222">
        <f t="shared" si="29"/>
        <v>27751639</v>
      </c>
    </row>
    <row r="911" spans="1:8" hidden="1">
      <c r="A911" s="87">
        <v>26028024</v>
      </c>
      <c r="B911" s="88" t="s">
        <v>5376</v>
      </c>
      <c r="C911" s="88" t="s">
        <v>5377</v>
      </c>
      <c r="D911" s="88" t="s">
        <v>6986</v>
      </c>
      <c r="E911" s="94">
        <v>43593</v>
      </c>
      <c r="F911" s="91"/>
      <c r="G911" s="223">
        <f t="shared" si="28"/>
        <v>7</v>
      </c>
      <c r="H911" s="222">
        <f t="shared" si="29"/>
        <v>26028024</v>
      </c>
    </row>
    <row r="912" spans="1:8" hidden="1">
      <c r="A912" s="87">
        <v>16998863</v>
      </c>
      <c r="B912" s="88" t="s">
        <v>863</v>
      </c>
      <c r="C912" s="88" t="s">
        <v>5907</v>
      </c>
      <c r="D912" s="88" t="s">
        <v>6986</v>
      </c>
      <c r="E912" s="94">
        <v>43593</v>
      </c>
      <c r="F912" s="91"/>
      <c r="G912" s="223">
        <f t="shared" si="28"/>
        <v>10</v>
      </c>
      <c r="H912" s="222">
        <f t="shared" si="29"/>
        <v>16998863</v>
      </c>
    </row>
    <row r="913" spans="1:8" hidden="1">
      <c r="A913" s="87">
        <v>28124512</v>
      </c>
      <c r="B913" s="88" t="s">
        <v>5461</v>
      </c>
      <c r="C913" s="88" t="s">
        <v>3858</v>
      </c>
      <c r="D913" s="88" t="s">
        <v>6986</v>
      </c>
      <c r="E913" s="94">
        <v>43593</v>
      </c>
      <c r="F913" s="91"/>
      <c r="G913" s="223">
        <f t="shared" si="28"/>
        <v>7</v>
      </c>
      <c r="H913" s="222">
        <f t="shared" si="29"/>
        <v>28124512</v>
      </c>
    </row>
    <row r="914" spans="1:8" hidden="1">
      <c r="A914" s="87">
        <v>20284994</v>
      </c>
      <c r="B914" s="88" t="s">
        <v>288</v>
      </c>
      <c r="C914" s="88" t="s">
        <v>5937</v>
      </c>
      <c r="D914" s="88" t="s">
        <v>6986</v>
      </c>
      <c r="E914" s="94">
        <v>43593</v>
      </c>
      <c r="F914" s="91"/>
      <c r="G914" s="223">
        <f t="shared" si="28"/>
        <v>10</v>
      </c>
      <c r="H914" s="222">
        <f t="shared" si="29"/>
        <v>20284994</v>
      </c>
    </row>
    <row r="915" spans="1:8" hidden="1">
      <c r="A915" s="87">
        <v>31857331</v>
      </c>
      <c r="B915" s="88" t="s">
        <v>4914</v>
      </c>
      <c r="C915" s="88" t="s">
        <v>2497</v>
      </c>
      <c r="D915" s="88" t="s">
        <v>6986</v>
      </c>
      <c r="E915" s="94">
        <v>43593</v>
      </c>
      <c r="F915" s="91"/>
      <c r="G915" s="223">
        <f t="shared" si="28"/>
        <v>1</v>
      </c>
      <c r="H915" s="222">
        <f t="shared" si="29"/>
        <v>31857331</v>
      </c>
    </row>
    <row r="916" spans="1:8" hidden="1">
      <c r="A916" s="87">
        <v>27575318</v>
      </c>
      <c r="B916" s="88" t="s">
        <v>4929</v>
      </c>
      <c r="C916" s="88" t="s">
        <v>4930</v>
      </c>
      <c r="D916" s="88" t="s">
        <v>6986</v>
      </c>
      <c r="E916" s="94">
        <v>43593</v>
      </c>
      <c r="F916" s="91"/>
      <c r="G916" s="223">
        <f t="shared" si="28"/>
        <v>1</v>
      </c>
      <c r="H916" s="222">
        <f t="shared" si="29"/>
        <v>27575318</v>
      </c>
    </row>
    <row r="917" spans="1:8" hidden="1">
      <c r="A917" s="87">
        <v>14226455</v>
      </c>
      <c r="B917" s="88" t="s">
        <v>6279</v>
      </c>
      <c r="C917" s="88" t="s">
        <v>6280</v>
      </c>
      <c r="D917" s="88" t="s">
        <v>6986</v>
      </c>
      <c r="E917" s="94">
        <v>43593</v>
      </c>
      <c r="F917" s="91"/>
      <c r="G917" s="223">
        <f t="shared" si="28"/>
        <v>999</v>
      </c>
      <c r="H917" s="222">
        <f t="shared" si="29"/>
        <v>14226455</v>
      </c>
    </row>
    <row r="918" spans="1:8" hidden="1">
      <c r="A918" s="87">
        <v>13338781</v>
      </c>
      <c r="B918" s="88" t="s">
        <v>5389</v>
      </c>
      <c r="C918" s="88" t="s">
        <v>5390</v>
      </c>
      <c r="D918" s="88" t="s">
        <v>6986</v>
      </c>
      <c r="E918" s="94">
        <v>43593</v>
      </c>
      <c r="F918" s="91"/>
      <c r="G918" s="223">
        <f t="shared" si="28"/>
        <v>7</v>
      </c>
      <c r="H918" s="222">
        <f t="shared" si="29"/>
        <v>13338781</v>
      </c>
    </row>
    <row r="919" spans="1:8" hidden="1">
      <c r="A919" s="87">
        <v>17947492</v>
      </c>
      <c r="B919" s="88" t="s">
        <v>5914</v>
      </c>
      <c r="C919" s="88" t="s">
        <v>365</v>
      </c>
      <c r="D919" s="88" t="s">
        <v>6986</v>
      </c>
      <c r="E919" s="94">
        <v>43593</v>
      </c>
      <c r="F919" s="91"/>
      <c r="G919" s="223">
        <f t="shared" si="28"/>
        <v>10</v>
      </c>
      <c r="H919" s="222">
        <f t="shared" si="29"/>
        <v>17947492</v>
      </c>
    </row>
    <row r="920" spans="1:8" hidden="1">
      <c r="A920" s="87">
        <v>14298098</v>
      </c>
      <c r="B920" s="88" t="s">
        <v>4779</v>
      </c>
      <c r="C920" s="88" t="s">
        <v>5401</v>
      </c>
      <c r="D920" s="88" t="s">
        <v>6986</v>
      </c>
      <c r="E920" s="94">
        <v>43593</v>
      </c>
      <c r="F920" s="91"/>
      <c r="G920" s="223">
        <f t="shared" si="28"/>
        <v>7</v>
      </c>
      <c r="H920" s="222">
        <f t="shared" si="29"/>
        <v>14298098</v>
      </c>
    </row>
    <row r="921" spans="1:8" hidden="1">
      <c r="A921" s="87">
        <v>16686145</v>
      </c>
      <c r="B921" s="88" t="s">
        <v>1793</v>
      </c>
      <c r="C921" s="88" t="s">
        <v>5406</v>
      </c>
      <c r="D921" s="88" t="s">
        <v>6986</v>
      </c>
      <c r="E921" s="94">
        <v>43593</v>
      </c>
      <c r="F921" s="91"/>
      <c r="G921" s="223">
        <f t="shared" si="28"/>
        <v>10</v>
      </c>
      <c r="H921" s="222">
        <f t="shared" si="29"/>
        <v>16686145</v>
      </c>
    </row>
    <row r="922" spans="1:8" hidden="1">
      <c r="A922" s="87">
        <v>37456249</v>
      </c>
      <c r="B922" s="88" t="s">
        <v>5409</v>
      </c>
      <c r="C922" s="88" t="s">
        <v>5410</v>
      </c>
      <c r="D922" s="88" t="s">
        <v>6986</v>
      </c>
      <c r="E922" s="94">
        <v>43593</v>
      </c>
      <c r="F922" s="91"/>
      <c r="G922" s="223" t="str">
        <f t="shared" si="28"/>
        <v>sin dato</v>
      </c>
      <c r="H922" s="222" t="str">
        <f t="shared" si="29"/>
        <v>999</v>
      </c>
    </row>
    <row r="923" spans="1:8" hidden="1">
      <c r="A923" s="87">
        <v>31253897</v>
      </c>
      <c r="B923" s="88" t="s">
        <v>5415</v>
      </c>
      <c r="C923" s="88" t="s">
        <v>30</v>
      </c>
      <c r="D923" s="88" t="s">
        <v>6986</v>
      </c>
      <c r="E923" s="94">
        <v>43593</v>
      </c>
      <c r="F923" s="91"/>
      <c r="G923" s="223">
        <f t="shared" si="28"/>
        <v>7</v>
      </c>
      <c r="H923" s="222">
        <f t="shared" si="29"/>
        <v>31253897</v>
      </c>
    </row>
    <row r="924" spans="1:8" hidden="1">
      <c r="A924" s="87">
        <v>17040680</v>
      </c>
      <c r="B924" s="88" t="s">
        <v>6355</v>
      </c>
      <c r="C924" s="88" t="s">
        <v>6356</v>
      </c>
      <c r="D924" s="88" t="s">
        <v>6986</v>
      </c>
      <c r="E924" s="94">
        <v>43593</v>
      </c>
      <c r="F924" s="91"/>
      <c r="G924" s="223">
        <f t="shared" si="28"/>
        <v>999</v>
      </c>
      <c r="H924" s="222">
        <f t="shared" si="29"/>
        <v>17040680</v>
      </c>
    </row>
    <row r="925" spans="1:8" hidden="1">
      <c r="A925" s="87">
        <v>26638536</v>
      </c>
      <c r="B925" s="88" t="s">
        <v>901</v>
      </c>
      <c r="C925" s="88" t="s">
        <v>902</v>
      </c>
      <c r="D925" s="88" t="s">
        <v>6986</v>
      </c>
      <c r="E925" s="94">
        <v>43593</v>
      </c>
      <c r="F925" s="91"/>
      <c r="G925" s="223">
        <f t="shared" si="28"/>
        <v>999</v>
      </c>
      <c r="H925" s="222">
        <f t="shared" si="29"/>
        <v>26638536</v>
      </c>
    </row>
    <row r="926" spans="1:8" hidden="1">
      <c r="A926" s="87">
        <v>24982907</v>
      </c>
      <c r="B926" s="88" t="s">
        <v>4900</v>
      </c>
      <c r="C926" s="88" t="s">
        <v>902</v>
      </c>
      <c r="D926" s="88" t="s">
        <v>6986</v>
      </c>
      <c r="E926" s="94">
        <v>43593</v>
      </c>
      <c r="F926" s="91" t="s">
        <v>582</v>
      </c>
      <c r="G926" s="223">
        <f t="shared" si="28"/>
        <v>1</v>
      </c>
      <c r="H926" s="222">
        <f t="shared" si="29"/>
        <v>24982907</v>
      </c>
    </row>
    <row r="927" spans="1:8" hidden="1">
      <c r="A927" s="87">
        <v>14225164</v>
      </c>
      <c r="B927" s="88" t="s">
        <v>1833</v>
      </c>
      <c r="C927" s="88" t="s">
        <v>2102</v>
      </c>
      <c r="D927" s="88" t="s">
        <v>6986</v>
      </c>
      <c r="E927" s="94">
        <v>43593</v>
      </c>
      <c r="F927" s="91"/>
      <c r="G927" s="223">
        <f t="shared" si="28"/>
        <v>1</v>
      </c>
      <c r="H927" s="222">
        <f t="shared" si="29"/>
        <v>14225164</v>
      </c>
    </row>
    <row r="928" spans="1:8" hidden="1">
      <c r="A928" s="87">
        <v>14966562</v>
      </c>
      <c r="B928" s="88" t="s">
        <v>1493</v>
      </c>
      <c r="C928" s="88" t="s">
        <v>4889</v>
      </c>
      <c r="D928" s="88" t="s">
        <v>6986</v>
      </c>
      <c r="E928" s="94">
        <v>43593</v>
      </c>
      <c r="F928" s="91"/>
      <c r="G928" s="223">
        <f t="shared" si="28"/>
        <v>1</v>
      </c>
      <c r="H928" s="222">
        <f t="shared" si="29"/>
        <v>14966562</v>
      </c>
    </row>
    <row r="929" spans="1:8" hidden="1">
      <c r="A929" s="87">
        <v>25734593</v>
      </c>
      <c r="B929" s="88" t="s">
        <v>5433</v>
      </c>
      <c r="C929" s="88" t="s">
        <v>5434</v>
      </c>
      <c r="D929" s="88" t="s">
        <v>6986</v>
      </c>
      <c r="E929" s="94">
        <v>43593</v>
      </c>
      <c r="F929" s="91"/>
      <c r="G929" s="223">
        <f t="shared" si="28"/>
        <v>14</v>
      </c>
      <c r="H929" s="222">
        <f t="shared" si="29"/>
        <v>25734593</v>
      </c>
    </row>
    <row r="930" spans="1:8" hidden="1">
      <c r="A930" s="87">
        <v>21829062</v>
      </c>
      <c r="B930" s="88" t="s">
        <v>2813</v>
      </c>
      <c r="C930" s="88" t="s">
        <v>4843</v>
      </c>
      <c r="D930" s="88" t="s">
        <v>6986</v>
      </c>
      <c r="E930" s="94">
        <v>43593</v>
      </c>
      <c r="F930" s="91"/>
      <c r="G930" s="223">
        <f t="shared" si="28"/>
        <v>1</v>
      </c>
      <c r="H930" s="222">
        <f t="shared" si="29"/>
        <v>21829062</v>
      </c>
    </row>
    <row r="931" spans="1:8" hidden="1">
      <c r="A931" s="87">
        <v>22414527</v>
      </c>
      <c r="B931" s="88" t="s">
        <v>4907</v>
      </c>
      <c r="C931" s="88" t="s">
        <v>4908</v>
      </c>
      <c r="D931" s="88" t="s">
        <v>6986</v>
      </c>
      <c r="E931" s="94">
        <v>43593</v>
      </c>
      <c r="F931" s="91"/>
      <c r="G931" s="223">
        <f t="shared" si="28"/>
        <v>1</v>
      </c>
      <c r="H931" s="222">
        <f t="shared" si="29"/>
        <v>22414527</v>
      </c>
    </row>
    <row r="932" spans="1:8" hidden="1">
      <c r="A932" s="87">
        <v>21026697</v>
      </c>
      <c r="B932" s="88" t="s">
        <v>927</v>
      </c>
      <c r="C932" s="88" t="s">
        <v>930</v>
      </c>
      <c r="D932" s="88" t="s">
        <v>6997</v>
      </c>
      <c r="E932" s="94">
        <v>43577</v>
      </c>
      <c r="F932" s="91"/>
      <c r="G932" s="223">
        <f t="shared" si="28"/>
        <v>14</v>
      </c>
      <c r="H932" s="222">
        <f t="shared" si="29"/>
        <v>21026697</v>
      </c>
    </row>
    <row r="933" spans="1:8" hidden="1">
      <c r="A933" s="87">
        <v>37503443</v>
      </c>
      <c r="B933" s="88" t="s">
        <v>927</v>
      </c>
      <c r="C933" s="88" t="s">
        <v>1871</v>
      </c>
      <c r="D933" s="88" t="s">
        <v>6997</v>
      </c>
      <c r="E933" s="94">
        <v>43577</v>
      </c>
      <c r="F933" s="91"/>
      <c r="G933" s="223" t="str">
        <f t="shared" si="28"/>
        <v>sin dato</v>
      </c>
      <c r="H933" s="222" t="str">
        <f t="shared" si="29"/>
        <v>999</v>
      </c>
    </row>
    <row r="934" spans="1:8" hidden="1">
      <c r="A934" s="87">
        <v>24584184</v>
      </c>
      <c r="B934" s="88" t="s">
        <v>990</v>
      </c>
      <c r="C934" s="88" t="s">
        <v>991</v>
      </c>
      <c r="D934" s="88" t="s">
        <v>6997</v>
      </c>
      <c r="E934" s="94">
        <v>43577</v>
      </c>
      <c r="F934" s="91"/>
      <c r="G934" s="223">
        <f t="shared" si="28"/>
        <v>14</v>
      </c>
      <c r="H934" s="222">
        <f t="shared" si="29"/>
        <v>24584184</v>
      </c>
    </row>
    <row r="935" spans="1:8" hidden="1">
      <c r="A935" s="87">
        <v>12919979</v>
      </c>
      <c r="B935" s="88" t="s">
        <v>3182</v>
      </c>
      <c r="C935" s="88" t="s">
        <v>724</v>
      </c>
      <c r="D935" s="88" t="s">
        <v>6997</v>
      </c>
      <c r="E935" s="94">
        <v>43577</v>
      </c>
      <c r="F935" s="91"/>
      <c r="G935" s="223">
        <f t="shared" si="28"/>
        <v>1</v>
      </c>
      <c r="H935" s="222">
        <f t="shared" si="29"/>
        <v>12919979</v>
      </c>
    </row>
    <row r="936" spans="1:8" hidden="1">
      <c r="A936" s="87">
        <v>12309312</v>
      </c>
      <c r="B936" s="88" t="s">
        <v>156</v>
      </c>
      <c r="C936" s="88" t="s">
        <v>157</v>
      </c>
      <c r="D936" s="88" t="s">
        <v>6997</v>
      </c>
      <c r="E936" s="94">
        <v>43577</v>
      </c>
      <c r="F936" s="91"/>
      <c r="G936" s="223">
        <f t="shared" si="28"/>
        <v>11</v>
      </c>
      <c r="H936" s="222">
        <f t="shared" si="29"/>
        <v>12309312</v>
      </c>
    </row>
    <row r="937" spans="1:8" hidden="1">
      <c r="A937" s="87">
        <v>18189383</v>
      </c>
      <c r="B937" s="88" t="s">
        <v>4842</v>
      </c>
      <c r="C937" s="88" t="s">
        <v>4843</v>
      </c>
      <c r="D937" s="88" t="s">
        <v>6997</v>
      </c>
      <c r="E937" s="94">
        <v>43577</v>
      </c>
      <c r="F937" s="91"/>
      <c r="G937" s="223">
        <f t="shared" si="28"/>
        <v>1</v>
      </c>
      <c r="H937" s="222">
        <f t="shared" si="29"/>
        <v>18189383</v>
      </c>
    </row>
    <row r="938" spans="1:8" hidden="1">
      <c r="A938" s="87">
        <v>18253250</v>
      </c>
      <c r="B938" s="88" t="s">
        <v>680</v>
      </c>
      <c r="C938" s="88" t="s">
        <v>1876</v>
      </c>
      <c r="D938" s="88" t="s">
        <v>6997</v>
      </c>
      <c r="E938" s="94">
        <v>43577</v>
      </c>
      <c r="F938" s="91"/>
      <c r="G938" s="223">
        <f t="shared" si="28"/>
        <v>15</v>
      </c>
      <c r="H938" s="222">
        <f t="shared" si="29"/>
        <v>18253250</v>
      </c>
    </row>
    <row r="939" spans="1:8" hidden="1">
      <c r="A939" s="87">
        <v>14225505</v>
      </c>
      <c r="B939" s="88" t="s">
        <v>260</v>
      </c>
      <c r="C939" s="88" t="s">
        <v>261</v>
      </c>
      <c r="D939" s="88" t="s">
        <v>6997</v>
      </c>
      <c r="E939" s="94">
        <v>43577</v>
      </c>
      <c r="F939" s="91"/>
      <c r="G939" s="223">
        <f t="shared" si="28"/>
        <v>11</v>
      </c>
      <c r="H939" s="222">
        <f t="shared" si="29"/>
        <v>14225505</v>
      </c>
    </row>
    <row r="940" spans="1:8" hidden="1">
      <c r="A940" s="87">
        <v>20433316</v>
      </c>
      <c r="B940" s="88" t="s">
        <v>690</v>
      </c>
      <c r="C940" s="88" t="s">
        <v>6476</v>
      </c>
      <c r="D940" s="88" t="s">
        <v>6997</v>
      </c>
      <c r="E940" s="94">
        <v>43577</v>
      </c>
      <c r="F940" s="91"/>
      <c r="G940" s="223">
        <f t="shared" si="28"/>
        <v>999</v>
      </c>
      <c r="H940" s="222">
        <f t="shared" si="29"/>
        <v>20433316</v>
      </c>
    </row>
    <row r="941" spans="1:8" hidden="1">
      <c r="A941" s="87">
        <v>23116848</v>
      </c>
      <c r="B941" s="88" t="s">
        <v>583</v>
      </c>
      <c r="C941" s="88" t="s">
        <v>584</v>
      </c>
      <c r="D941" s="88" t="s">
        <v>6997</v>
      </c>
      <c r="E941" s="94">
        <v>43577</v>
      </c>
      <c r="F941" s="91"/>
      <c r="G941" s="223">
        <f t="shared" si="28"/>
        <v>11</v>
      </c>
      <c r="H941" s="222">
        <f t="shared" si="29"/>
        <v>23116848</v>
      </c>
    </row>
    <row r="942" spans="1:8" hidden="1">
      <c r="A942" s="87">
        <v>25843480</v>
      </c>
      <c r="B942" s="88" t="s">
        <v>355</v>
      </c>
      <c r="C942" s="88" t="s">
        <v>1778</v>
      </c>
      <c r="D942" s="88" t="s">
        <v>6997</v>
      </c>
      <c r="E942" s="94">
        <v>43577</v>
      </c>
      <c r="F942" s="91"/>
      <c r="G942" s="223">
        <f t="shared" si="28"/>
        <v>15</v>
      </c>
      <c r="H942" s="222">
        <f t="shared" si="29"/>
        <v>25843480</v>
      </c>
    </row>
    <row r="943" spans="1:8" hidden="1">
      <c r="A943" s="87">
        <v>21331893</v>
      </c>
      <c r="B943" s="88" t="s">
        <v>405</v>
      </c>
      <c r="C943" s="88" t="s">
        <v>406</v>
      </c>
      <c r="D943" s="88" t="s">
        <v>6997</v>
      </c>
      <c r="E943" s="94">
        <v>43577</v>
      </c>
      <c r="F943" s="91"/>
      <c r="G943" s="223">
        <f t="shared" si="28"/>
        <v>11</v>
      </c>
      <c r="H943" s="222">
        <f t="shared" si="29"/>
        <v>21331893</v>
      </c>
    </row>
    <row r="944" spans="1:8" hidden="1">
      <c r="A944" s="87">
        <v>17376396</v>
      </c>
      <c r="B944" s="88" t="s">
        <v>1257</v>
      </c>
      <c r="C944" s="88" t="s">
        <v>3405</v>
      </c>
      <c r="D944" s="88" t="s">
        <v>6997</v>
      </c>
      <c r="E944" s="94">
        <v>43577</v>
      </c>
      <c r="F944" s="91"/>
      <c r="G944" s="223">
        <f t="shared" si="28"/>
        <v>24</v>
      </c>
      <c r="H944" s="222">
        <f t="shared" si="29"/>
        <v>17376396</v>
      </c>
    </row>
    <row r="945" spans="1:8" hidden="1">
      <c r="A945" s="87">
        <v>32493293</v>
      </c>
      <c r="B945" s="88" t="s">
        <v>73</v>
      </c>
      <c r="C945" s="88" t="s">
        <v>74</v>
      </c>
      <c r="D945" s="88" t="s">
        <v>6992</v>
      </c>
      <c r="E945" s="94">
        <v>43564</v>
      </c>
      <c r="F945" s="91"/>
      <c r="G945" s="223">
        <f t="shared" si="28"/>
        <v>11</v>
      </c>
      <c r="H945" s="222">
        <f t="shared" si="29"/>
        <v>32493293</v>
      </c>
    </row>
    <row r="946" spans="1:8" hidden="1">
      <c r="A946" s="87">
        <v>13338617</v>
      </c>
      <c r="B946" s="88" t="s">
        <v>83</v>
      </c>
      <c r="C946" s="88" t="s">
        <v>84</v>
      </c>
      <c r="D946" s="88" t="s">
        <v>6992</v>
      </c>
      <c r="E946" s="94">
        <v>43564</v>
      </c>
      <c r="F946" s="91"/>
      <c r="G946" s="223">
        <f t="shared" si="28"/>
        <v>11</v>
      </c>
      <c r="H946" s="222">
        <f t="shared" si="29"/>
        <v>13338617</v>
      </c>
    </row>
    <row r="947" spans="1:8" hidden="1">
      <c r="A947" s="87">
        <v>24553198</v>
      </c>
      <c r="B947" s="88" t="s">
        <v>1906</v>
      </c>
      <c r="C947" s="88" t="s">
        <v>5933</v>
      </c>
      <c r="D947" s="88" t="s">
        <v>6992</v>
      </c>
      <c r="E947" s="94">
        <v>43564</v>
      </c>
      <c r="F947" s="91"/>
      <c r="G947" s="223">
        <f t="shared" si="28"/>
        <v>10</v>
      </c>
      <c r="H947" s="222">
        <f t="shared" si="29"/>
        <v>24553198</v>
      </c>
    </row>
    <row r="948" spans="1:8" hidden="1">
      <c r="A948" s="87">
        <v>17376654</v>
      </c>
      <c r="B948" s="88" t="s">
        <v>4223</v>
      </c>
      <c r="C948" s="88" t="s">
        <v>4224</v>
      </c>
      <c r="D948" s="88" t="s">
        <v>6992</v>
      </c>
      <c r="E948" s="94">
        <v>43564</v>
      </c>
      <c r="F948" s="91"/>
      <c r="G948" s="223" t="str">
        <f t="shared" si="28"/>
        <v>sin dato</v>
      </c>
      <c r="H948" s="222">
        <f t="shared" si="29"/>
        <v>17376654</v>
      </c>
    </row>
    <row r="949" spans="1:8" hidden="1">
      <c r="A949" s="87">
        <v>29060415</v>
      </c>
      <c r="B949" s="88" t="s">
        <v>94</v>
      </c>
      <c r="C949" s="88" t="s">
        <v>455</v>
      </c>
      <c r="D949" s="88" t="s">
        <v>6992</v>
      </c>
      <c r="E949" s="94">
        <v>43564</v>
      </c>
      <c r="F949" s="91"/>
      <c r="G949" s="223">
        <f t="shared" si="28"/>
        <v>1</v>
      </c>
      <c r="H949" s="222">
        <f t="shared" si="29"/>
        <v>29060415</v>
      </c>
    </row>
    <row r="950" spans="1:8" hidden="1">
      <c r="A950" s="87">
        <v>28458542</v>
      </c>
      <c r="B950" s="88" t="s">
        <v>578</v>
      </c>
      <c r="C950" s="88" t="s">
        <v>579</v>
      </c>
      <c r="D950" s="88" t="s">
        <v>6992</v>
      </c>
      <c r="E950" s="94">
        <v>43564</v>
      </c>
      <c r="F950" s="91" t="s">
        <v>582</v>
      </c>
      <c r="G950" s="223">
        <f t="shared" si="28"/>
        <v>11</v>
      </c>
      <c r="H950" s="222">
        <f t="shared" si="29"/>
        <v>28458542</v>
      </c>
    </row>
    <row r="951" spans="1:8" hidden="1">
      <c r="A951" s="87">
        <v>16685844</v>
      </c>
      <c r="B951" s="88" t="s">
        <v>1926</v>
      </c>
      <c r="C951" s="88" t="s">
        <v>1974</v>
      </c>
      <c r="D951" s="88" t="s">
        <v>6992</v>
      </c>
      <c r="E951" s="94">
        <v>43564</v>
      </c>
      <c r="F951" s="91"/>
      <c r="G951" s="223">
        <f t="shared" si="28"/>
        <v>6</v>
      </c>
      <c r="H951" s="222">
        <f t="shared" si="29"/>
        <v>16685844</v>
      </c>
    </row>
    <row r="952" spans="1:8" hidden="1">
      <c r="A952" s="87">
        <v>21744631</v>
      </c>
      <c r="B952" s="88" t="s">
        <v>3622</v>
      </c>
      <c r="C952" s="88" t="s">
        <v>3623</v>
      </c>
      <c r="D952" s="88" t="s">
        <v>6992</v>
      </c>
      <c r="E952" s="94">
        <v>43564</v>
      </c>
      <c r="F952" s="91"/>
      <c r="G952" s="223">
        <f t="shared" si="28"/>
        <v>29</v>
      </c>
      <c r="H952" s="222">
        <f t="shared" si="29"/>
        <v>21744631</v>
      </c>
    </row>
    <row r="953" spans="1:8" hidden="1">
      <c r="A953" s="87">
        <v>25735833</v>
      </c>
      <c r="B953" s="88" t="s">
        <v>3622</v>
      </c>
      <c r="C953" s="88" t="s">
        <v>4184</v>
      </c>
      <c r="D953" s="88" t="s">
        <v>6992</v>
      </c>
      <c r="E953" s="94">
        <v>43564</v>
      </c>
      <c r="F953" s="91"/>
      <c r="G953" s="223" t="str">
        <f t="shared" si="28"/>
        <v>sin dato</v>
      </c>
      <c r="H953" s="222">
        <f t="shared" si="29"/>
        <v>25735833</v>
      </c>
    </row>
    <row r="954" spans="1:8" hidden="1">
      <c r="A954" s="87">
        <v>25735261</v>
      </c>
      <c r="B954" s="88" t="s">
        <v>2912</v>
      </c>
      <c r="C954" s="88" t="s">
        <v>2913</v>
      </c>
      <c r="D954" s="88" t="s">
        <v>6992</v>
      </c>
      <c r="E954" s="94">
        <v>43564</v>
      </c>
      <c r="F954" s="91"/>
      <c r="G954" s="223" t="str">
        <f t="shared" si="28"/>
        <v>sin dato</v>
      </c>
      <c r="H954" s="222">
        <f t="shared" si="29"/>
        <v>25735261</v>
      </c>
    </row>
    <row r="955" spans="1:8" hidden="1">
      <c r="A955" s="87">
        <v>23239528</v>
      </c>
      <c r="B955" s="88" t="s">
        <v>4981</v>
      </c>
      <c r="C955" s="88" t="s">
        <v>4982</v>
      </c>
      <c r="D955" s="88" t="s">
        <v>6992</v>
      </c>
      <c r="E955" s="94">
        <v>43564</v>
      </c>
      <c r="F955" s="91"/>
      <c r="G955" s="223" t="str">
        <f t="shared" si="28"/>
        <v>sin dato</v>
      </c>
      <c r="H955" s="222">
        <f t="shared" si="29"/>
        <v>23239528</v>
      </c>
    </row>
    <row r="956" spans="1:8" hidden="1">
      <c r="A956" s="87">
        <v>27732258</v>
      </c>
      <c r="B956" s="88" t="s">
        <v>1385</v>
      </c>
      <c r="C956" s="88" t="s">
        <v>74</v>
      </c>
      <c r="D956" s="88" t="s">
        <v>6992</v>
      </c>
      <c r="E956" s="94">
        <v>43564</v>
      </c>
      <c r="F956" s="91"/>
      <c r="G956" s="223">
        <f t="shared" si="28"/>
        <v>14</v>
      </c>
      <c r="H956" s="222">
        <f t="shared" si="29"/>
        <v>27732258</v>
      </c>
    </row>
    <row r="957" spans="1:8" hidden="1">
      <c r="A957" s="87">
        <v>22451756</v>
      </c>
      <c r="B957" s="88" t="s">
        <v>983</v>
      </c>
      <c r="C957" s="88" t="s">
        <v>2669</v>
      </c>
      <c r="D957" s="88" t="s">
        <v>6992</v>
      </c>
      <c r="E957" s="94">
        <v>43564</v>
      </c>
      <c r="F957" s="91"/>
      <c r="G957" s="223">
        <f t="shared" si="28"/>
        <v>55</v>
      </c>
      <c r="H957" s="222">
        <f t="shared" si="29"/>
        <v>22451756</v>
      </c>
    </row>
    <row r="958" spans="1:8" hidden="1">
      <c r="A958" s="87">
        <v>12449905</v>
      </c>
      <c r="B958" s="88" t="s">
        <v>2947</v>
      </c>
      <c r="C958" s="88" t="s">
        <v>2948</v>
      </c>
      <c r="D958" s="88" t="s">
        <v>6992</v>
      </c>
      <c r="E958" s="94">
        <v>43564</v>
      </c>
      <c r="F958" s="91"/>
      <c r="G958" s="223">
        <f t="shared" si="28"/>
        <v>19</v>
      </c>
      <c r="H958" s="222">
        <f t="shared" si="29"/>
        <v>12449905</v>
      </c>
    </row>
    <row r="959" spans="1:8" hidden="1">
      <c r="A959" s="87">
        <v>34356805</v>
      </c>
      <c r="B959" s="88" t="s">
        <v>650</v>
      </c>
      <c r="C959" s="88" t="s">
        <v>6991</v>
      </c>
      <c r="D959" s="88" t="s">
        <v>6992</v>
      </c>
      <c r="E959" s="94">
        <v>43564</v>
      </c>
      <c r="F959" s="91"/>
      <c r="G959" s="223">
        <f t="shared" si="28"/>
        <v>30</v>
      </c>
      <c r="H959" s="222">
        <f t="shared" si="29"/>
        <v>34356805</v>
      </c>
    </row>
    <row r="960" spans="1:8" hidden="1">
      <c r="A960" s="87">
        <v>32012359</v>
      </c>
      <c r="B960" s="88" t="s">
        <v>2961</v>
      </c>
      <c r="C960" s="88" t="s">
        <v>253</v>
      </c>
      <c r="D960" s="88" t="s">
        <v>6992</v>
      </c>
      <c r="E960" s="94">
        <v>43564</v>
      </c>
      <c r="F960" s="91"/>
      <c r="G960" s="223">
        <f t="shared" si="28"/>
        <v>19</v>
      </c>
      <c r="H960" s="222">
        <f t="shared" si="29"/>
        <v>32012359</v>
      </c>
    </row>
    <row r="961" spans="1:8" hidden="1">
      <c r="A961" s="87">
        <v>24200383</v>
      </c>
      <c r="B961" s="88" t="s">
        <v>207</v>
      </c>
      <c r="C961" s="88" t="s">
        <v>655</v>
      </c>
      <c r="D961" s="88" t="s">
        <v>6992</v>
      </c>
      <c r="E961" s="94">
        <v>43564</v>
      </c>
      <c r="F961" s="91"/>
      <c r="G961" s="223">
        <f t="shared" si="28"/>
        <v>13</v>
      </c>
      <c r="H961" s="222">
        <f t="shared" si="29"/>
        <v>24200383</v>
      </c>
    </row>
    <row r="962" spans="1:8" hidden="1">
      <c r="A962" s="87">
        <v>32110544</v>
      </c>
      <c r="B962" s="88" t="s">
        <v>3277</v>
      </c>
      <c r="C962" s="88" t="s">
        <v>3278</v>
      </c>
      <c r="D962" s="88" t="s">
        <v>6992</v>
      </c>
      <c r="E962" s="94">
        <v>43564</v>
      </c>
      <c r="F962" s="91" t="s">
        <v>582</v>
      </c>
      <c r="G962" s="223">
        <f t="shared" ref="G962:G1025" si="30">IFERROR(INDEX(unidad,MATCH(VLOOKUP(A962,alum,9,0),unidad2,0),1),"sin dato")</f>
        <v>27</v>
      </c>
      <c r="H962" s="222">
        <f t="shared" ref="H962:H1025" si="31">IFERROR(VLOOKUP(A962,alum,1,0),"999")</f>
        <v>32110544</v>
      </c>
    </row>
    <row r="963" spans="1:8" hidden="1">
      <c r="A963" s="87">
        <v>14352978</v>
      </c>
      <c r="B963" s="88" t="s">
        <v>1434</v>
      </c>
      <c r="C963" s="88" t="s">
        <v>1191</v>
      </c>
      <c r="D963" s="88" t="s">
        <v>6992</v>
      </c>
      <c r="E963" s="94">
        <v>43564</v>
      </c>
      <c r="F963" s="91"/>
      <c r="G963" s="223">
        <f t="shared" si="30"/>
        <v>14</v>
      </c>
      <c r="H963" s="222">
        <f t="shared" si="31"/>
        <v>14352978</v>
      </c>
    </row>
    <row r="964" spans="1:8" hidden="1">
      <c r="A964" s="87">
        <v>22336584</v>
      </c>
      <c r="B964" s="88" t="s">
        <v>4072</v>
      </c>
      <c r="C964" s="88" t="s">
        <v>527</v>
      </c>
      <c r="D964" s="88" t="s">
        <v>6992</v>
      </c>
      <c r="E964" s="94">
        <v>43564</v>
      </c>
      <c r="F964" s="91"/>
      <c r="G964" s="223">
        <f t="shared" si="30"/>
        <v>30</v>
      </c>
      <c r="H964" s="222">
        <f t="shared" si="31"/>
        <v>22336584</v>
      </c>
    </row>
    <row r="965" spans="1:8" hidden="1">
      <c r="A965" s="87">
        <v>14984183</v>
      </c>
      <c r="B965" s="88" t="s">
        <v>5811</v>
      </c>
      <c r="C965" s="88" t="s">
        <v>876</v>
      </c>
      <c r="D965" s="88" t="s">
        <v>6992</v>
      </c>
      <c r="E965" s="94">
        <v>43564</v>
      </c>
      <c r="F965" s="91"/>
      <c r="G965" s="223" t="str">
        <f t="shared" si="30"/>
        <v>sin dato</v>
      </c>
      <c r="H965" s="222">
        <f t="shared" si="31"/>
        <v>14984183</v>
      </c>
    </row>
    <row r="966" spans="1:8" hidden="1">
      <c r="A966" s="87">
        <v>16314577</v>
      </c>
      <c r="B966" s="88" t="s">
        <v>377</v>
      </c>
      <c r="C966" s="88" t="s">
        <v>378</v>
      </c>
      <c r="D966" s="88" t="s">
        <v>6992</v>
      </c>
      <c r="E966" s="94">
        <v>43564</v>
      </c>
      <c r="F966" s="91"/>
      <c r="G966" s="223">
        <f t="shared" si="30"/>
        <v>11</v>
      </c>
      <c r="H966" s="222">
        <f t="shared" si="31"/>
        <v>16314577</v>
      </c>
    </row>
    <row r="967" spans="1:8" hidden="1">
      <c r="A967" s="87">
        <v>22264675</v>
      </c>
      <c r="B967" s="88" t="s">
        <v>399</v>
      </c>
      <c r="C967" s="88" t="s">
        <v>400</v>
      </c>
      <c r="D967" s="88" t="s">
        <v>6992</v>
      </c>
      <c r="E967" s="94">
        <v>43564</v>
      </c>
      <c r="F967" s="91"/>
      <c r="G967" s="223">
        <f t="shared" si="30"/>
        <v>11</v>
      </c>
      <c r="H967" s="222">
        <f t="shared" si="31"/>
        <v>22264675</v>
      </c>
    </row>
    <row r="968" spans="1:8" hidden="1">
      <c r="A968" s="87">
        <v>32109721</v>
      </c>
      <c r="B968" s="88" t="s">
        <v>428</v>
      </c>
      <c r="C968" s="88" t="s">
        <v>3549</v>
      </c>
      <c r="D968" s="88" t="s">
        <v>6992</v>
      </c>
      <c r="E968" s="94">
        <v>43564</v>
      </c>
      <c r="F968" s="91"/>
      <c r="G968" s="223">
        <f t="shared" si="30"/>
        <v>25</v>
      </c>
      <c r="H968" s="222">
        <f t="shared" si="31"/>
        <v>32109721</v>
      </c>
    </row>
    <row r="969" spans="1:8" hidden="1">
      <c r="A969" s="87">
        <v>25843239</v>
      </c>
      <c r="B969" s="88" t="s">
        <v>4874</v>
      </c>
      <c r="C969" s="88" t="s">
        <v>4875</v>
      </c>
      <c r="D969" s="88" t="s">
        <v>6992</v>
      </c>
      <c r="E969" s="94">
        <v>43564</v>
      </c>
      <c r="F969" s="91"/>
      <c r="G969" s="223">
        <f t="shared" si="30"/>
        <v>52</v>
      </c>
      <c r="H969" s="222">
        <f t="shared" si="31"/>
        <v>25843239</v>
      </c>
    </row>
    <row r="970" spans="1:8" hidden="1">
      <c r="A970" s="87">
        <v>11064260</v>
      </c>
      <c r="B970" s="88" t="s">
        <v>574</v>
      </c>
      <c r="C970" s="88" t="s">
        <v>1440</v>
      </c>
      <c r="D970" s="88" t="s">
        <v>6992</v>
      </c>
      <c r="E970" s="94">
        <v>43564</v>
      </c>
      <c r="F970" s="91"/>
      <c r="G970" s="223">
        <f t="shared" si="30"/>
        <v>14</v>
      </c>
      <c r="H970" s="222">
        <f t="shared" si="31"/>
        <v>11064260</v>
      </c>
    </row>
    <row r="971" spans="1:8" hidden="1">
      <c r="A971" s="87">
        <v>24802248</v>
      </c>
      <c r="B971" s="88" t="s">
        <v>1613</v>
      </c>
      <c r="C971" s="88" t="s">
        <v>2418</v>
      </c>
      <c r="D971" s="88" t="s">
        <v>6992</v>
      </c>
      <c r="E971" s="94">
        <v>43564</v>
      </c>
      <c r="F971" s="91" t="s">
        <v>6853</v>
      </c>
      <c r="G971" s="223">
        <f t="shared" si="30"/>
        <v>17</v>
      </c>
      <c r="H971" s="222">
        <f t="shared" si="31"/>
        <v>24802248</v>
      </c>
    </row>
    <row r="972" spans="1:8" hidden="1">
      <c r="A972" s="87">
        <v>17268021</v>
      </c>
      <c r="B972" s="88" t="s">
        <v>4649</v>
      </c>
      <c r="C972" s="88" t="s">
        <v>2184</v>
      </c>
      <c r="D972" s="88" t="s">
        <v>6992</v>
      </c>
      <c r="E972" s="94">
        <v>43564</v>
      </c>
      <c r="F972" s="91"/>
      <c r="G972" s="223">
        <f t="shared" si="30"/>
        <v>22</v>
      </c>
      <c r="H972" s="222">
        <f t="shared" si="31"/>
        <v>17268021</v>
      </c>
    </row>
    <row r="973" spans="1:8" hidden="1">
      <c r="A973" s="87">
        <v>32460682</v>
      </c>
      <c r="B973" s="88" t="s">
        <v>1244</v>
      </c>
      <c r="C973" s="88" t="s">
        <v>351</v>
      </c>
      <c r="D973" s="88" t="s">
        <v>6992</v>
      </c>
      <c r="E973" s="94">
        <v>43564</v>
      </c>
      <c r="F973" s="91"/>
      <c r="G973" s="223">
        <f t="shared" si="30"/>
        <v>14</v>
      </c>
      <c r="H973" s="222">
        <f t="shared" si="31"/>
        <v>32460682</v>
      </c>
    </row>
    <row r="974" spans="1:8" hidden="1">
      <c r="A974" s="87">
        <v>22664437</v>
      </c>
      <c r="B974" s="88" t="s">
        <v>4809</v>
      </c>
      <c r="C974" s="88" t="s">
        <v>4810</v>
      </c>
      <c r="D974" s="88" t="s">
        <v>6992</v>
      </c>
      <c r="E974" s="94">
        <v>43564</v>
      </c>
      <c r="F974" s="91"/>
      <c r="G974" s="223">
        <f t="shared" si="30"/>
        <v>23</v>
      </c>
      <c r="H974" s="222">
        <f t="shared" si="31"/>
        <v>22664437</v>
      </c>
    </row>
    <row r="975" spans="1:8" hidden="1">
      <c r="A975" s="87">
        <v>40630488</v>
      </c>
      <c r="B975" s="88" t="s">
        <v>1427</v>
      </c>
      <c r="C975" s="88" t="s">
        <v>1428</v>
      </c>
      <c r="D975" s="88" t="s">
        <v>6992</v>
      </c>
      <c r="E975" s="94">
        <v>43564</v>
      </c>
      <c r="F975" s="91"/>
      <c r="G975" s="223" t="str">
        <f t="shared" si="30"/>
        <v>sin dato</v>
      </c>
      <c r="H975" s="222" t="str">
        <f t="shared" si="31"/>
        <v>999</v>
      </c>
    </row>
    <row r="976" spans="1:8" hidden="1">
      <c r="A976" s="87">
        <v>22263363</v>
      </c>
      <c r="B976" s="88" t="s">
        <v>472</v>
      </c>
      <c r="C976" s="88" t="s">
        <v>473</v>
      </c>
      <c r="D976" s="88" t="s">
        <v>6992</v>
      </c>
      <c r="E976" s="94">
        <v>43564</v>
      </c>
      <c r="F976" s="91"/>
      <c r="G976" s="223">
        <f t="shared" si="30"/>
        <v>11</v>
      </c>
      <c r="H976" s="222">
        <f t="shared" si="31"/>
        <v>22263363</v>
      </c>
    </row>
    <row r="977" spans="1:8" hidden="1">
      <c r="A977" s="87">
        <v>26454127</v>
      </c>
      <c r="B977" s="88" t="s">
        <v>2622</v>
      </c>
      <c r="C977" s="88" t="s">
        <v>4232</v>
      </c>
      <c r="D977" s="88" t="s">
        <v>6992</v>
      </c>
      <c r="E977" s="94">
        <v>43564</v>
      </c>
      <c r="F977" s="91"/>
      <c r="G977" s="223" t="str">
        <f t="shared" si="30"/>
        <v>sin dato</v>
      </c>
      <c r="H977" s="222">
        <f t="shared" si="31"/>
        <v>26454127</v>
      </c>
    </row>
    <row r="978" spans="1:8" hidden="1">
      <c r="A978" s="87">
        <v>33756264</v>
      </c>
      <c r="B978" s="88" t="s">
        <v>3895</v>
      </c>
      <c r="C978" s="88" t="s">
        <v>5753</v>
      </c>
      <c r="D978" s="88" t="s">
        <v>6992</v>
      </c>
      <c r="E978" s="94">
        <v>43564</v>
      </c>
      <c r="F978" s="91"/>
      <c r="G978" s="223">
        <f t="shared" si="30"/>
        <v>6</v>
      </c>
      <c r="H978" s="222">
        <f t="shared" si="31"/>
        <v>33756264</v>
      </c>
    </row>
    <row r="979" spans="1:8" hidden="1">
      <c r="A979" s="87">
        <v>27732258</v>
      </c>
      <c r="B979" s="88" t="s">
        <v>1385</v>
      </c>
      <c r="C979" s="88" t="s">
        <v>74</v>
      </c>
      <c r="D979" s="88" t="s">
        <v>6992</v>
      </c>
      <c r="E979" s="94">
        <v>43563</v>
      </c>
      <c r="F979" s="91"/>
      <c r="G979" s="223">
        <f t="shared" si="30"/>
        <v>14</v>
      </c>
      <c r="H979" s="222">
        <f t="shared" si="31"/>
        <v>27732258</v>
      </c>
    </row>
    <row r="980" spans="1:8" hidden="1">
      <c r="A980" s="87">
        <v>24200086</v>
      </c>
      <c r="B980" s="88" t="s">
        <v>2364</v>
      </c>
      <c r="C980" s="88" t="s">
        <v>2365</v>
      </c>
      <c r="D980" s="88" t="s">
        <v>9301</v>
      </c>
      <c r="E980" s="94">
        <v>43544</v>
      </c>
      <c r="F980" s="91" t="s">
        <v>9303</v>
      </c>
      <c r="G980" s="223">
        <f t="shared" si="30"/>
        <v>17</v>
      </c>
      <c r="H980" s="222">
        <f t="shared" si="31"/>
        <v>24200086</v>
      </c>
    </row>
    <row r="981" spans="1:8" hidden="1">
      <c r="A981" s="87">
        <v>26743740</v>
      </c>
      <c r="B981" s="88" t="s">
        <v>794</v>
      </c>
      <c r="C981" s="88" t="s">
        <v>2371</v>
      </c>
      <c r="D981" s="88" t="s">
        <v>9301</v>
      </c>
      <c r="E981" s="94">
        <v>43544</v>
      </c>
      <c r="F981" s="91" t="s">
        <v>9303</v>
      </c>
      <c r="G981" s="223">
        <f t="shared" si="30"/>
        <v>17</v>
      </c>
      <c r="H981" s="222">
        <f t="shared" si="31"/>
        <v>26743740</v>
      </c>
    </row>
    <row r="982" spans="1:8" hidden="1">
      <c r="A982" s="87">
        <v>14073031</v>
      </c>
      <c r="B982" s="88" t="s">
        <v>541</v>
      </c>
      <c r="C982" s="88" t="s">
        <v>2382</v>
      </c>
      <c r="D982" s="88" t="s">
        <v>9301</v>
      </c>
      <c r="E982" s="94">
        <v>43544</v>
      </c>
      <c r="F982" s="91" t="s">
        <v>6853</v>
      </c>
      <c r="G982" s="223">
        <f t="shared" si="30"/>
        <v>17</v>
      </c>
      <c r="H982" s="222">
        <f t="shared" si="31"/>
        <v>14073031</v>
      </c>
    </row>
    <row r="983" spans="1:8" hidden="1">
      <c r="A983" s="87">
        <v>22336444</v>
      </c>
      <c r="B983" s="88" t="s">
        <v>40</v>
      </c>
      <c r="C983" s="88" t="s">
        <v>2924</v>
      </c>
      <c r="D983" s="88" t="s">
        <v>7001</v>
      </c>
      <c r="E983" s="94">
        <v>43544</v>
      </c>
      <c r="F983" s="91"/>
      <c r="G983" s="223">
        <f t="shared" si="30"/>
        <v>85</v>
      </c>
      <c r="H983" s="222">
        <f t="shared" si="31"/>
        <v>22336444</v>
      </c>
    </row>
    <row r="984" spans="1:8" hidden="1">
      <c r="A984" s="87">
        <v>22264658</v>
      </c>
      <c r="B984" s="88" t="s">
        <v>4700</v>
      </c>
      <c r="C984" s="88" t="s">
        <v>4701</v>
      </c>
      <c r="D984" s="88" t="s">
        <v>7001</v>
      </c>
      <c r="E984" s="94">
        <v>43544</v>
      </c>
      <c r="F984" s="91"/>
      <c r="G984" s="223">
        <f t="shared" si="30"/>
        <v>22</v>
      </c>
      <c r="H984" s="222">
        <f t="shared" si="31"/>
        <v>22264658</v>
      </c>
    </row>
    <row r="985" spans="1:8" hidden="1">
      <c r="A985" s="87">
        <v>25444256</v>
      </c>
      <c r="B985" s="88" t="s">
        <v>5764</v>
      </c>
      <c r="C985" s="88" t="s">
        <v>5765</v>
      </c>
      <c r="D985" s="88" t="s">
        <v>7001</v>
      </c>
      <c r="E985" s="94">
        <v>43544</v>
      </c>
      <c r="F985" s="91"/>
      <c r="G985" s="223" t="str">
        <f t="shared" si="30"/>
        <v>sin dato</v>
      </c>
      <c r="H985" s="222">
        <f t="shared" si="31"/>
        <v>25444256</v>
      </c>
    </row>
    <row r="986" spans="1:8" hidden="1">
      <c r="A986" s="87">
        <v>24553770</v>
      </c>
      <c r="B986" s="88" t="s">
        <v>2923</v>
      </c>
      <c r="C986" s="88" t="s">
        <v>2924</v>
      </c>
      <c r="D986" s="88" t="s">
        <v>7001</v>
      </c>
      <c r="E986" s="94">
        <v>43544</v>
      </c>
      <c r="F986" s="91"/>
      <c r="G986" s="223">
        <f t="shared" si="30"/>
        <v>19</v>
      </c>
      <c r="H986" s="222">
        <f t="shared" si="31"/>
        <v>24553770</v>
      </c>
    </row>
    <row r="987" spans="1:8" hidden="1">
      <c r="A987" s="87">
        <v>13378152</v>
      </c>
      <c r="B987" s="88" t="s">
        <v>610</v>
      </c>
      <c r="C987" s="88" t="s">
        <v>612</v>
      </c>
      <c r="D987" s="88" t="s">
        <v>7001</v>
      </c>
      <c r="E987" s="94">
        <v>43544</v>
      </c>
      <c r="F987" s="91"/>
      <c r="G987" s="223">
        <f t="shared" si="30"/>
        <v>13</v>
      </c>
      <c r="H987" s="222">
        <f t="shared" si="31"/>
        <v>13378152</v>
      </c>
    </row>
    <row r="988" spans="1:8" hidden="1">
      <c r="A988" s="87">
        <v>22451756</v>
      </c>
      <c r="B988" s="88" t="s">
        <v>983</v>
      </c>
      <c r="C988" s="88" t="s">
        <v>2669</v>
      </c>
      <c r="D988" s="88" t="s">
        <v>7001</v>
      </c>
      <c r="E988" s="94">
        <v>43544</v>
      </c>
      <c r="F988" s="91"/>
      <c r="G988" s="223">
        <f t="shared" si="30"/>
        <v>55</v>
      </c>
      <c r="H988" s="222">
        <f t="shared" si="31"/>
        <v>22451756</v>
      </c>
    </row>
    <row r="989" spans="1:8" hidden="1">
      <c r="A989" s="87">
        <v>21799894</v>
      </c>
      <c r="B989" s="88" t="s">
        <v>3543</v>
      </c>
      <c r="C989" s="88" t="s">
        <v>3544</v>
      </c>
      <c r="D989" s="88" t="s">
        <v>7001</v>
      </c>
      <c r="E989" s="94">
        <v>43544</v>
      </c>
      <c r="F989" s="91"/>
      <c r="G989" s="223">
        <f t="shared" si="30"/>
        <v>25</v>
      </c>
      <c r="H989" s="222">
        <f t="shared" si="31"/>
        <v>21799894</v>
      </c>
    </row>
    <row r="990" spans="1:8" hidden="1">
      <c r="A990" s="87">
        <v>31588509</v>
      </c>
      <c r="B990" s="88" t="s">
        <v>2341</v>
      </c>
      <c r="C990" s="88" t="s">
        <v>2342</v>
      </c>
      <c r="D990" s="88" t="s">
        <v>7001</v>
      </c>
      <c r="E990" s="94">
        <v>43544</v>
      </c>
      <c r="F990" s="91"/>
      <c r="G990" s="223">
        <f t="shared" si="30"/>
        <v>16</v>
      </c>
      <c r="H990" s="222">
        <f t="shared" si="31"/>
        <v>31588509</v>
      </c>
    </row>
    <row r="991" spans="1:8" hidden="1">
      <c r="A991" s="87">
        <v>32493499</v>
      </c>
      <c r="B991" s="88" t="s">
        <v>1422</v>
      </c>
      <c r="C991" s="88" t="s">
        <v>1423</v>
      </c>
      <c r="D991" s="88" t="s">
        <v>7001</v>
      </c>
      <c r="E991" s="94">
        <v>43544</v>
      </c>
      <c r="F991" s="91"/>
      <c r="G991" s="223">
        <f t="shared" si="30"/>
        <v>14</v>
      </c>
      <c r="H991" s="222">
        <f t="shared" si="31"/>
        <v>32493499</v>
      </c>
    </row>
    <row r="992" spans="1:8" hidden="1">
      <c r="A992" s="87">
        <v>25082588</v>
      </c>
      <c r="B992" s="88" t="s">
        <v>2488</v>
      </c>
      <c r="C992" s="88" t="s">
        <v>1585</v>
      </c>
      <c r="D992" s="88" t="s">
        <v>7001</v>
      </c>
      <c r="E992" s="94">
        <v>43544</v>
      </c>
      <c r="F992" s="91"/>
      <c r="G992" s="223">
        <f t="shared" si="30"/>
        <v>14</v>
      </c>
      <c r="H992" s="222">
        <f t="shared" si="31"/>
        <v>25082588</v>
      </c>
    </row>
    <row r="993" spans="1:8" hidden="1">
      <c r="A993" s="87">
        <v>22336712</v>
      </c>
      <c r="B993" s="88" t="s">
        <v>5262</v>
      </c>
      <c r="C993" s="88" t="s">
        <v>5263</v>
      </c>
      <c r="D993" s="88" t="s">
        <v>7001</v>
      </c>
      <c r="E993" s="94">
        <v>43544</v>
      </c>
      <c r="F993" s="91"/>
      <c r="G993" s="223">
        <f t="shared" si="30"/>
        <v>9</v>
      </c>
      <c r="H993" s="222">
        <f t="shared" si="31"/>
        <v>22336712</v>
      </c>
    </row>
    <row r="994" spans="1:8" hidden="1">
      <c r="A994" s="87">
        <v>22613410</v>
      </c>
      <c r="B994" s="88" t="s">
        <v>195</v>
      </c>
      <c r="C994" s="88" t="s">
        <v>1304</v>
      </c>
      <c r="D994" s="88" t="s">
        <v>7001</v>
      </c>
      <c r="E994" s="94">
        <v>43544</v>
      </c>
      <c r="F994" s="91"/>
      <c r="G994" s="223">
        <f t="shared" si="30"/>
        <v>14</v>
      </c>
      <c r="H994" s="222">
        <f t="shared" si="31"/>
        <v>22613410</v>
      </c>
    </row>
    <row r="995" spans="1:8" hidden="1">
      <c r="A995" s="87">
        <v>22263182</v>
      </c>
      <c r="B995" s="88" t="s">
        <v>4490</v>
      </c>
      <c r="C995" s="88" t="s">
        <v>1103</v>
      </c>
      <c r="D995" s="88" t="s">
        <v>7001</v>
      </c>
      <c r="E995" s="94">
        <v>43544</v>
      </c>
      <c r="F995" s="91" t="s">
        <v>582</v>
      </c>
      <c r="G995" s="223">
        <f t="shared" si="30"/>
        <v>21</v>
      </c>
      <c r="H995" s="222">
        <f t="shared" si="31"/>
        <v>22263182</v>
      </c>
    </row>
    <row r="996" spans="1:8" hidden="1">
      <c r="A996" s="87">
        <v>14300445</v>
      </c>
      <c r="B996" s="88" t="s">
        <v>3699</v>
      </c>
      <c r="C996" s="88" t="s">
        <v>363</v>
      </c>
      <c r="D996" s="88" t="s">
        <v>7001</v>
      </c>
      <c r="E996" s="94">
        <v>43544</v>
      </c>
      <c r="F996" s="91"/>
      <c r="G996" s="223">
        <f t="shared" si="30"/>
        <v>20</v>
      </c>
      <c r="H996" s="222">
        <f t="shared" si="31"/>
        <v>14300445</v>
      </c>
    </row>
    <row r="997" spans="1:8" hidden="1">
      <c r="A997" s="87">
        <v>32012359</v>
      </c>
      <c r="B997" s="88" t="s">
        <v>2961</v>
      </c>
      <c r="C997" s="88" t="s">
        <v>253</v>
      </c>
      <c r="D997" s="88" t="s">
        <v>7001</v>
      </c>
      <c r="E997" s="94">
        <v>43544</v>
      </c>
      <c r="F997" s="91"/>
      <c r="G997" s="223">
        <f t="shared" si="30"/>
        <v>19</v>
      </c>
      <c r="H997" s="222">
        <f t="shared" si="31"/>
        <v>32012359</v>
      </c>
    </row>
    <row r="998" spans="1:8" hidden="1">
      <c r="A998" s="87">
        <v>17377987</v>
      </c>
      <c r="B998" s="88" t="s">
        <v>659</v>
      </c>
      <c r="C998" s="88" t="s">
        <v>1082</v>
      </c>
      <c r="D998" s="88" t="s">
        <v>7001</v>
      </c>
      <c r="E998" s="94">
        <v>43544</v>
      </c>
      <c r="F998" s="91"/>
      <c r="G998" s="223">
        <f t="shared" si="30"/>
        <v>999</v>
      </c>
      <c r="H998" s="222">
        <f t="shared" si="31"/>
        <v>17377987</v>
      </c>
    </row>
    <row r="999" spans="1:8" hidden="1">
      <c r="A999" s="87">
        <v>22331870</v>
      </c>
      <c r="B999" s="88" t="s">
        <v>4470</v>
      </c>
      <c r="C999" s="88" t="s">
        <v>4471</v>
      </c>
      <c r="D999" s="88" t="s">
        <v>7001</v>
      </c>
      <c r="E999" s="94">
        <v>43544</v>
      </c>
      <c r="F999" s="91"/>
      <c r="G999" s="223">
        <f t="shared" si="30"/>
        <v>21</v>
      </c>
      <c r="H999" s="222">
        <f t="shared" si="31"/>
        <v>22331870</v>
      </c>
    </row>
    <row r="1000" spans="1:8" hidden="1">
      <c r="A1000" s="87">
        <v>14312881</v>
      </c>
      <c r="B1000" s="88" t="s">
        <v>694</v>
      </c>
      <c r="C1000" s="88" t="s">
        <v>695</v>
      </c>
      <c r="D1000" s="88" t="s">
        <v>7001</v>
      </c>
      <c r="E1000" s="94">
        <v>43544</v>
      </c>
      <c r="F1000" s="91"/>
      <c r="G1000" s="223">
        <f t="shared" si="30"/>
        <v>13</v>
      </c>
      <c r="H1000" s="222">
        <f t="shared" si="31"/>
        <v>14312881</v>
      </c>
    </row>
    <row r="1001" spans="1:8" hidden="1">
      <c r="A1001" s="87">
        <v>13784371</v>
      </c>
      <c r="B1001" s="88" t="s">
        <v>6219</v>
      </c>
      <c r="C1001" s="88" t="s">
        <v>6220</v>
      </c>
      <c r="D1001" s="88" t="s">
        <v>7001</v>
      </c>
      <c r="E1001" s="94">
        <v>43544</v>
      </c>
      <c r="F1001" s="91"/>
      <c r="G1001" s="223">
        <f t="shared" si="30"/>
        <v>999</v>
      </c>
      <c r="H1001" s="222">
        <f t="shared" si="31"/>
        <v>13784371</v>
      </c>
    </row>
    <row r="1002" spans="1:8" hidden="1">
      <c r="A1002" s="87">
        <v>28290152</v>
      </c>
      <c r="B1002" s="88" t="s">
        <v>1547</v>
      </c>
      <c r="C1002" s="88" t="s">
        <v>5708</v>
      </c>
      <c r="D1002" s="88" t="s">
        <v>7001</v>
      </c>
      <c r="E1002" s="94">
        <v>43544</v>
      </c>
      <c r="F1002" s="91"/>
      <c r="G1002" s="223">
        <f t="shared" si="30"/>
        <v>999</v>
      </c>
      <c r="H1002" s="222">
        <f t="shared" si="31"/>
        <v>28290152</v>
      </c>
    </row>
    <row r="1003" spans="1:8" hidden="1">
      <c r="A1003" s="87">
        <v>16458525</v>
      </c>
      <c r="B1003" s="88" t="s">
        <v>327</v>
      </c>
      <c r="C1003" s="88" t="s">
        <v>2882</v>
      </c>
      <c r="D1003" s="88" t="s">
        <v>7001</v>
      </c>
      <c r="E1003" s="94">
        <v>43544</v>
      </c>
      <c r="F1003" s="91" t="s">
        <v>582</v>
      </c>
      <c r="G1003" s="223">
        <f t="shared" si="30"/>
        <v>63</v>
      </c>
      <c r="H1003" s="222">
        <f t="shared" si="31"/>
        <v>16458525</v>
      </c>
    </row>
    <row r="1004" spans="1:8" hidden="1">
      <c r="A1004" s="87">
        <v>28053203</v>
      </c>
      <c r="B1004" s="88" t="s">
        <v>327</v>
      </c>
      <c r="C1004" s="88" t="s">
        <v>4495</v>
      </c>
      <c r="D1004" s="88" t="s">
        <v>7001</v>
      </c>
      <c r="E1004" s="94">
        <v>43544</v>
      </c>
      <c r="F1004" s="91"/>
      <c r="G1004" s="223">
        <f t="shared" si="30"/>
        <v>52</v>
      </c>
      <c r="H1004" s="222">
        <f t="shared" si="31"/>
        <v>28053203</v>
      </c>
    </row>
    <row r="1005" spans="1:8" hidden="1">
      <c r="A1005" s="87">
        <v>13338781</v>
      </c>
      <c r="B1005" s="88" t="s">
        <v>5389</v>
      </c>
      <c r="C1005" s="88" t="s">
        <v>5390</v>
      </c>
      <c r="D1005" s="88" t="s">
        <v>7001</v>
      </c>
      <c r="E1005" s="94">
        <v>43544</v>
      </c>
      <c r="F1005" s="91"/>
      <c r="G1005" s="223">
        <f t="shared" si="30"/>
        <v>7</v>
      </c>
      <c r="H1005" s="222">
        <f t="shared" si="31"/>
        <v>13338781</v>
      </c>
    </row>
    <row r="1006" spans="1:8" hidden="1">
      <c r="A1006" s="87">
        <v>24340614</v>
      </c>
      <c r="B1006" s="88" t="s">
        <v>364</v>
      </c>
      <c r="C1006" s="88" t="s">
        <v>365</v>
      </c>
      <c r="D1006" s="88" t="s">
        <v>7001</v>
      </c>
      <c r="E1006" s="94">
        <v>43544</v>
      </c>
      <c r="F1006" s="91"/>
      <c r="G1006" s="223">
        <f t="shared" si="30"/>
        <v>11</v>
      </c>
      <c r="H1006" s="222">
        <f t="shared" si="31"/>
        <v>24340614</v>
      </c>
    </row>
    <row r="1007" spans="1:8" hidden="1">
      <c r="A1007" s="87">
        <v>277751985</v>
      </c>
      <c r="B1007" s="88" t="s">
        <v>377</v>
      </c>
      <c r="C1007" s="88" t="s">
        <v>3179</v>
      </c>
      <c r="D1007" s="88" t="s">
        <v>7001</v>
      </c>
      <c r="E1007" s="94">
        <v>43544</v>
      </c>
      <c r="F1007" s="91"/>
      <c r="G1007" s="223" t="str">
        <f t="shared" si="30"/>
        <v>sin dato</v>
      </c>
      <c r="H1007" s="222" t="str">
        <f t="shared" si="31"/>
        <v>999</v>
      </c>
    </row>
    <row r="1008" spans="1:8" hidden="1">
      <c r="A1008" s="87">
        <v>17869268</v>
      </c>
      <c r="B1008" s="88" t="s">
        <v>2350</v>
      </c>
      <c r="C1008" s="88" t="s">
        <v>165</v>
      </c>
      <c r="D1008" s="88" t="s">
        <v>7001</v>
      </c>
      <c r="E1008" s="94">
        <v>43544</v>
      </c>
      <c r="F1008" s="91"/>
      <c r="G1008" s="223">
        <f t="shared" si="30"/>
        <v>16</v>
      </c>
      <c r="H1008" s="222">
        <f t="shared" si="31"/>
        <v>17869268</v>
      </c>
    </row>
    <row r="1009" spans="1:8" hidden="1">
      <c r="A1009" s="87">
        <v>16686145</v>
      </c>
      <c r="B1009" s="88" t="s">
        <v>1793</v>
      </c>
      <c r="C1009" s="88" t="s">
        <v>5406</v>
      </c>
      <c r="D1009" s="88" t="s">
        <v>7001</v>
      </c>
      <c r="E1009" s="94">
        <v>43544</v>
      </c>
      <c r="F1009" s="91"/>
      <c r="G1009" s="223">
        <f t="shared" si="30"/>
        <v>10</v>
      </c>
      <c r="H1009" s="222">
        <f t="shared" si="31"/>
        <v>16686145</v>
      </c>
    </row>
    <row r="1010" spans="1:8" hidden="1">
      <c r="A1010" s="87">
        <v>25736369</v>
      </c>
      <c r="B1010" s="88" t="s">
        <v>3389</v>
      </c>
      <c r="C1010" s="88" t="s">
        <v>3390</v>
      </c>
      <c r="D1010" s="88" t="s">
        <v>7001</v>
      </c>
      <c r="E1010" s="94">
        <v>43544</v>
      </c>
      <c r="F1010" s="91"/>
      <c r="G1010" s="223">
        <f t="shared" si="30"/>
        <v>24</v>
      </c>
      <c r="H1010" s="222">
        <f t="shared" si="31"/>
        <v>25736369</v>
      </c>
    </row>
    <row r="1011" spans="1:8" hidden="1">
      <c r="A1011" s="87">
        <v>12796743</v>
      </c>
      <c r="B1011" s="88" t="s">
        <v>734</v>
      </c>
      <c r="C1011" s="88" t="s">
        <v>2346</v>
      </c>
      <c r="D1011" s="88" t="s">
        <v>7001</v>
      </c>
      <c r="E1011" s="94">
        <v>43544</v>
      </c>
      <c r="F1011" s="91"/>
      <c r="G1011" s="223">
        <f t="shared" si="30"/>
        <v>16</v>
      </c>
      <c r="H1011" s="222">
        <f t="shared" si="31"/>
        <v>12796743</v>
      </c>
    </row>
    <row r="1012" spans="1:8" hidden="1">
      <c r="A1012" s="87">
        <v>21745747</v>
      </c>
      <c r="B1012" s="88" t="s">
        <v>3617</v>
      </c>
      <c r="C1012" s="88" t="s">
        <v>3618</v>
      </c>
      <c r="D1012" s="88" t="s">
        <v>7001</v>
      </c>
      <c r="E1012" s="94">
        <v>43544</v>
      </c>
      <c r="F1012" s="91"/>
      <c r="G1012" s="223">
        <f t="shared" si="30"/>
        <v>29</v>
      </c>
      <c r="H1012" s="222">
        <f t="shared" si="31"/>
        <v>21745747</v>
      </c>
    </row>
    <row r="1013" spans="1:8" hidden="1">
      <c r="A1013" s="87">
        <v>25004663</v>
      </c>
      <c r="B1013" s="88" t="s">
        <v>443</v>
      </c>
      <c r="C1013" s="88" t="s">
        <v>2623</v>
      </c>
      <c r="D1013" s="88" t="s">
        <v>7001</v>
      </c>
      <c r="E1013" s="94">
        <v>43544</v>
      </c>
      <c r="F1013" s="91"/>
      <c r="G1013" s="223">
        <f t="shared" si="30"/>
        <v>24</v>
      </c>
      <c r="H1013" s="222">
        <f t="shared" si="31"/>
        <v>25004663</v>
      </c>
    </row>
    <row r="1014" spans="1:8" hidden="1">
      <c r="A1014" s="87">
        <v>25843239</v>
      </c>
      <c r="B1014" s="88" t="s">
        <v>4874</v>
      </c>
      <c r="C1014" s="88" t="s">
        <v>4875</v>
      </c>
      <c r="D1014" s="88" t="s">
        <v>7001</v>
      </c>
      <c r="E1014" s="94">
        <v>43544</v>
      </c>
      <c r="F1014" s="91"/>
      <c r="G1014" s="223">
        <f t="shared" si="30"/>
        <v>52</v>
      </c>
      <c r="H1014" s="222">
        <f t="shared" si="31"/>
        <v>25843239</v>
      </c>
    </row>
    <row r="1015" spans="1:8" hidden="1">
      <c r="A1015" s="87">
        <v>31644470</v>
      </c>
      <c r="B1015" s="88" t="s">
        <v>574</v>
      </c>
      <c r="C1015" s="88" t="s">
        <v>575</v>
      </c>
      <c r="D1015" s="88" t="s">
        <v>7001</v>
      </c>
      <c r="E1015" s="94">
        <v>43544</v>
      </c>
      <c r="F1015" s="91"/>
      <c r="G1015" s="223">
        <f t="shared" si="30"/>
        <v>11</v>
      </c>
      <c r="H1015" s="222">
        <f t="shared" si="31"/>
        <v>31644470</v>
      </c>
    </row>
    <row r="1016" spans="1:8" hidden="1">
      <c r="A1016" s="87">
        <v>25843618</v>
      </c>
      <c r="B1016" s="88" t="s">
        <v>1823</v>
      </c>
      <c r="C1016" s="88" t="s">
        <v>4410</v>
      </c>
      <c r="D1016" s="88" t="s">
        <v>7001</v>
      </c>
      <c r="E1016" s="94">
        <v>43544</v>
      </c>
      <c r="F1016" s="91"/>
      <c r="G1016" s="223">
        <f t="shared" si="30"/>
        <v>21</v>
      </c>
      <c r="H1016" s="222">
        <f t="shared" si="31"/>
        <v>25843618</v>
      </c>
    </row>
    <row r="1017" spans="1:8" hidden="1">
      <c r="A1017" s="87">
        <v>23517103</v>
      </c>
      <c r="B1017" s="88" t="s">
        <v>3612</v>
      </c>
      <c r="C1017" s="88" t="s">
        <v>3613</v>
      </c>
      <c r="D1017" s="88" t="s">
        <v>7001</v>
      </c>
      <c r="E1017" s="94">
        <v>43544</v>
      </c>
      <c r="F1017" s="91"/>
      <c r="G1017" s="223">
        <f t="shared" si="30"/>
        <v>29</v>
      </c>
      <c r="H1017" s="222">
        <f t="shared" si="31"/>
        <v>23517103</v>
      </c>
    </row>
    <row r="1018" spans="1:8" hidden="1">
      <c r="A1018" s="87">
        <v>36420915</v>
      </c>
      <c r="B1018" s="88" t="s">
        <v>4213</v>
      </c>
      <c r="C1018" s="88" t="s">
        <v>2418</v>
      </c>
      <c r="D1018" s="88" t="s">
        <v>7001</v>
      </c>
      <c r="E1018" s="94">
        <v>43544</v>
      </c>
      <c r="F1018" s="91"/>
      <c r="G1018" s="223" t="str">
        <f t="shared" si="30"/>
        <v>sin dato</v>
      </c>
      <c r="H1018" s="222" t="str">
        <f t="shared" si="31"/>
        <v>999</v>
      </c>
    </row>
    <row r="1019" spans="1:8" hidden="1">
      <c r="A1019" s="87">
        <v>14023565</v>
      </c>
      <c r="B1019" s="88" t="s">
        <v>5281</v>
      </c>
      <c r="C1019" s="88" t="s">
        <v>5282</v>
      </c>
      <c r="D1019" s="88" t="s">
        <v>7001</v>
      </c>
      <c r="E1019" s="94">
        <v>43544</v>
      </c>
      <c r="F1019" s="91"/>
      <c r="G1019" s="223">
        <f t="shared" si="30"/>
        <v>9</v>
      </c>
      <c r="H1019" s="222">
        <f t="shared" si="31"/>
        <v>14023565</v>
      </c>
    </row>
    <row r="1020" spans="1:8" hidden="1">
      <c r="A1020" s="87">
        <v>12870523</v>
      </c>
      <c r="B1020" s="88" t="s">
        <v>476</v>
      </c>
      <c r="C1020" s="88" t="s">
        <v>477</v>
      </c>
      <c r="D1020" s="88" t="s">
        <v>7001</v>
      </c>
      <c r="E1020" s="94">
        <v>43544</v>
      </c>
      <c r="F1020" s="91"/>
      <c r="G1020" s="223">
        <f t="shared" si="30"/>
        <v>11</v>
      </c>
      <c r="H1020" s="222">
        <f t="shared" si="31"/>
        <v>12870523</v>
      </c>
    </row>
    <row r="1021" spans="1:8" hidden="1">
      <c r="A1021" s="87">
        <v>16450046</v>
      </c>
      <c r="B1021" s="88" t="s">
        <v>476</v>
      </c>
      <c r="C1021" s="88" t="s">
        <v>2605</v>
      </c>
      <c r="D1021" s="88" t="s">
        <v>7001</v>
      </c>
      <c r="E1021" s="94">
        <v>43544</v>
      </c>
      <c r="F1021" s="91"/>
      <c r="G1021" s="223">
        <f t="shared" si="30"/>
        <v>14</v>
      </c>
      <c r="H1021" s="222">
        <f t="shared" si="31"/>
        <v>16450046</v>
      </c>
    </row>
    <row r="1022" spans="1:8" hidden="1">
      <c r="A1022" s="87">
        <v>32513798</v>
      </c>
      <c r="B1022" s="88" t="s">
        <v>570</v>
      </c>
      <c r="C1022" s="88" t="s">
        <v>571</v>
      </c>
      <c r="D1022" s="88" t="s">
        <v>7001</v>
      </c>
      <c r="E1022" s="94">
        <v>43544</v>
      </c>
      <c r="F1022" s="91"/>
      <c r="G1022" s="223">
        <f t="shared" si="30"/>
        <v>11</v>
      </c>
      <c r="H1022" s="222">
        <f t="shared" si="31"/>
        <v>32513798</v>
      </c>
    </row>
    <row r="1023" spans="1:8" hidden="1">
      <c r="A1023" s="87">
        <v>29997715</v>
      </c>
      <c r="B1023" s="88" t="s">
        <v>2270</v>
      </c>
      <c r="C1023" s="88" t="s">
        <v>363</v>
      </c>
      <c r="D1023" s="88" t="s">
        <v>7001</v>
      </c>
      <c r="E1023" s="94">
        <v>43544</v>
      </c>
      <c r="F1023" s="91"/>
      <c r="G1023" s="223">
        <f t="shared" si="30"/>
        <v>16</v>
      </c>
      <c r="H1023" s="222">
        <f t="shared" si="31"/>
        <v>29997715</v>
      </c>
    </row>
    <row r="1024" spans="1:8" hidden="1">
      <c r="A1024" s="87">
        <v>23238026</v>
      </c>
      <c r="B1024" s="88" t="s">
        <v>4893</v>
      </c>
      <c r="C1024" s="88" t="s">
        <v>1535</v>
      </c>
      <c r="D1024" s="88" t="s">
        <v>7001</v>
      </c>
      <c r="E1024" s="94">
        <v>43544</v>
      </c>
      <c r="F1024" s="91"/>
      <c r="G1024" s="223">
        <f t="shared" si="30"/>
        <v>10</v>
      </c>
      <c r="H1024" s="222">
        <f t="shared" si="31"/>
        <v>23238026</v>
      </c>
    </row>
    <row r="1025" spans="1:8" hidden="1">
      <c r="A1025" s="87">
        <v>16425202</v>
      </c>
      <c r="B1025" s="88" t="s">
        <v>760</v>
      </c>
      <c r="C1025" s="88" t="s">
        <v>3983</v>
      </c>
      <c r="D1025" s="88" t="s">
        <v>7001</v>
      </c>
      <c r="E1025" s="94">
        <v>43544</v>
      </c>
      <c r="F1025" s="91"/>
      <c r="G1025" s="223">
        <f t="shared" si="30"/>
        <v>26</v>
      </c>
      <c r="H1025" s="222">
        <f t="shared" si="31"/>
        <v>16425202</v>
      </c>
    </row>
    <row r="1026" spans="1:8" hidden="1">
      <c r="A1026" s="87">
        <v>20219090</v>
      </c>
      <c r="B1026" s="88" t="s">
        <v>4429</v>
      </c>
      <c r="C1026" s="88" t="s">
        <v>215</v>
      </c>
      <c r="D1026" s="88" t="s">
        <v>7001</v>
      </c>
      <c r="E1026" s="94">
        <v>43544</v>
      </c>
      <c r="F1026" s="91"/>
      <c r="G1026" s="223">
        <f t="shared" ref="G1026:G1089" si="32">IFERROR(INDEX(unidad,MATCH(VLOOKUP(A1026,alum,9,0),unidad2,0),1),"sin dato")</f>
        <v>21</v>
      </c>
      <c r="H1026" s="222">
        <f t="shared" ref="H1026:H1089" si="33">IFERROR(VLOOKUP(A1026,alum,1,0),"999")</f>
        <v>20219090</v>
      </c>
    </row>
    <row r="1027" spans="1:8" hidden="1">
      <c r="A1027" s="87">
        <v>21320089</v>
      </c>
      <c r="B1027" s="88" t="s">
        <v>1839</v>
      </c>
      <c r="C1027" s="88" t="s">
        <v>4485</v>
      </c>
      <c r="D1027" s="88" t="s">
        <v>7001</v>
      </c>
      <c r="E1027" s="94">
        <v>43544</v>
      </c>
      <c r="F1027" s="91"/>
      <c r="G1027" s="223">
        <f t="shared" si="32"/>
        <v>21</v>
      </c>
      <c r="H1027" s="222">
        <f t="shared" si="33"/>
        <v>21320089</v>
      </c>
    </row>
    <row r="1028" spans="1:8" hidden="1">
      <c r="A1028" s="87">
        <v>22146852</v>
      </c>
      <c r="B1028" s="88" t="s">
        <v>2294</v>
      </c>
      <c r="C1028" s="88" t="s">
        <v>3525</v>
      </c>
      <c r="D1028" s="88" t="s">
        <v>7001</v>
      </c>
      <c r="E1028" s="94">
        <v>43544</v>
      </c>
      <c r="F1028" s="91"/>
      <c r="G1028" s="223">
        <f t="shared" si="32"/>
        <v>25</v>
      </c>
      <c r="H1028" s="222">
        <f t="shared" si="33"/>
        <v>22146852</v>
      </c>
    </row>
    <row r="1029" spans="1:8" hidden="1">
      <c r="A1029" s="87">
        <v>22146852</v>
      </c>
      <c r="B1029" s="88" t="s">
        <v>2294</v>
      </c>
      <c r="C1029" s="88" t="s">
        <v>3525</v>
      </c>
      <c r="D1029" s="88" t="s">
        <v>7001</v>
      </c>
      <c r="E1029" s="94">
        <v>43544</v>
      </c>
      <c r="F1029" s="91"/>
      <c r="G1029" s="223">
        <f t="shared" si="32"/>
        <v>25</v>
      </c>
      <c r="H1029" s="222">
        <f t="shared" si="33"/>
        <v>22146852</v>
      </c>
    </row>
    <row r="1030" spans="1:8" hidden="1">
      <c r="A1030" s="87">
        <v>22804573</v>
      </c>
      <c r="B1030" s="88" t="s">
        <v>3530</v>
      </c>
      <c r="C1030" s="88" t="s">
        <v>322</v>
      </c>
      <c r="D1030" s="88" t="s">
        <v>7001</v>
      </c>
      <c r="E1030" s="94">
        <v>43544</v>
      </c>
      <c r="F1030" s="91"/>
      <c r="G1030" s="223">
        <f t="shared" si="32"/>
        <v>25</v>
      </c>
      <c r="H1030" s="222">
        <f t="shared" si="33"/>
        <v>22804573</v>
      </c>
    </row>
    <row r="1031" spans="1:8" hidden="1">
      <c r="A1031" s="87">
        <v>35485322</v>
      </c>
      <c r="B1031" s="88" t="s">
        <v>4227</v>
      </c>
      <c r="C1031" s="88" t="s">
        <v>906</v>
      </c>
      <c r="D1031" s="88" t="s">
        <v>7001</v>
      </c>
      <c r="E1031" s="94">
        <v>43544</v>
      </c>
      <c r="F1031" s="91"/>
      <c r="G1031" s="223" t="str">
        <f t="shared" si="32"/>
        <v>sin dato</v>
      </c>
      <c r="H1031" s="222">
        <f t="shared" si="33"/>
        <v>35485322</v>
      </c>
    </row>
    <row r="1032" spans="1:8" hidden="1">
      <c r="A1032" s="87">
        <v>36766001</v>
      </c>
      <c r="B1032" s="88" t="s">
        <v>4696</v>
      </c>
      <c r="C1032" s="88" t="s">
        <v>4697</v>
      </c>
      <c r="D1032" s="88" t="s">
        <v>6979</v>
      </c>
      <c r="E1032" s="94">
        <v>43413</v>
      </c>
      <c r="F1032" s="91"/>
      <c r="G1032" s="223" t="str">
        <f t="shared" si="32"/>
        <v>sin dato</v>
      </c>
      <c r="H1032" s="222" t="str">
        <f t="shared" si="33"/>
        <v>999</v>
      </c>
    </row>
    <row r="1033" spans="1:8" hidden="1">
      <c r="A1033" s="87">
        <v>11380013</v>
      </c>
      <c r="B1033" s="88" t="s">
        <v>2414</v>
      </c>
      <c r="C1033" s="88" t="s">
        <v>767</v>
      </c>
      <c r="D1033" s="88" t="s">
        <v>6979</v>
      </c>
      <c r="E1033" s="94">
        <v>43413</v>
      </c>
      <c r="F1033" s="91" t="s">
        <v>9303</v>
      </c>
      <c r="G1033" s="223">
        <f t="shared" si="32"/>
        <v>17</v>
      </c>
      <c r="H1033" s="222">
        <f t="shared" si="33"/>
        <v>11380013</v>
      </c>
    </row>
    <row r="1034" spans="1:8" hidden="1">
      <c r="A1034" s="87">
        <v>17494092</v>
      </c>
      <c r="B1034" s="88" t="s">
        <v>1401</v>
      </c>
      <c r="C1034" s="88" t="s">
        <v>1085</v>
      </c>
      <c r="D1034" s="88" t="s">
        <v>6979</v>
      </c>
      <c r="E1034" s="94">
        <v>43413</v>
      </c>
      <c r="F1034" s="91"/>
      <c r="G1034" s="223">
        <f t="shared" si="32"/>
        <v>14</v>
      </c>
      <c r="H1034" s="222">
        <f t="shared" si="33"/>
        <v>17494092</v>
      </c>
    </row>
    <row r="1035" spans="1:8" hidden="1">
      <c r="A1035" s="87">
        <v>16176136</v>
      </c>
      <c r="B1035" s="88" t="s">
        <v>7004</v>
      </c>
      <c r="C1035" s="88" t="s">
        <v>165</v>
      </c>
      <c r="D1035" s="88" t="s">
        <v>6979</v>
      </c>
      <c r="E1035" s="94">
        <v>43413</v>
      </c>
      <c r="F1035" s="91"/>
      <c r="G1035" s="223" t="str">
        <f t="shared" si="32"/>
        <v>sin dato</v>
      </c>
      <c r="H1035" s="222" t="str">
        <f t="shared" si="33"/>
        <v>999</v>
      </c>
    </row>
    <row r="1036" spans="1:8" hidden="1">
      <c r="A1036" s="87">
        <v>27400571</v>
      </c>
      <c r="B1036" s="88" t="s">
        <v>779</v>
      </c>
      <c r="C1036" s="88" t="s">
        <v>780</v>
      </c>
      <c r="D1036" s="88" t="s">
        <v>6979</v>
      </c>
      <c r="E1036" s="94">
        <v>43413</v>
      </c>
      <c r="F1036" s="91"/>
      <c r="G1036" s="223">
        <f t="shared" si="32"/>
        <v>13</v>
      </c>
      <c r="H1036" s="222">
        <f t="shared" si="33"/>
        <v>27400571</v>
      </c>
    </row>
    <row r="1037" spans="1:8" hidden="1">
      <c r="A1037" s="87">
        <v>14358919</v>
      </c>
      <c r="B1037" s="88" t="s">
        <v>1406</v>
      </c>
      <c r="C1037" s="88" t="s">
        <v>758</v>
      </c>
      <c r="D1037" s="88" t="s">
        <v>6979</v>
      </c>
      <c r="E1037" s="94">
        <v>43413</v>
      </c>
      <c r="F1037" s="91"/>
      <c r="G1037" s="223">
        <f t="shared" si="32"/>
        <v>14</v>
      </c>
      <c r="H1037" s="222">
        <f t="shared" si="33"/>
        <v>14358919</v>
      </c>
    </row>
    <row r="1038" spans="1:8" hidden="1">
      <c r="A1038" s="87">
        <v>23239188</v>
      </c>
      <c r="B1038" s="88" t="s">
        <v>983</v>
      </c>
      <c r="C1038" s="88" t="s">
        <v>4800</v>
      </c>
      <c r="D1038" s="88" t="s">
        <v>6979</v>
      </c>
      <c r="E1038" s="94">
        <v>43413</v>
      </c>
      <c r="F1038" s="91"/>
      <c r="G1038" s="223">
        <f t="shared" si="32"/>
        <v>23</v>
      </c>
      <c r="H1038" s="222">
        <f t="shared" si="33"/>
        <v>23239188</v>
      </c>
    </row>
    <row r="1039" spans="1:8" hidden="1">
      <c r="A1039" s="87">
        <v>13475331</v>
      </c>
      <c r="B1039" s="88" t="s">
        <v>996</v>
      </c>
      <c r="C1039" s="88" t="s">
        <v>3670</v>
      </c>
      <c r="D1039" s="88" t="s">
        <v>6979</v>
      </c>
      <c r="E1039" s="94">
        <v>43413</v>
      </c>
      <c r="F1039" s="91"/>
      <c r="G1039" s="223">
        <f t="shared" si="32"/>
        <v>20</v>
      </c>
      <c r="H1039" s="222">
        <f t="shared" si="33"/>
        <v>13475331</v>
      </c>
    </row>
    <row r="1040" spans="1:8" hidden="1">
      <c r="A1040" s="87">
        <v>36865842</v>
      </c>
      <c r="B1040" s="88" t="s">
        <v>1950</v>
      </c>
      <c r="C1040" s="88" t="s">
        <v>95</v>
      </c>
      <c r="D1040" s="88" t="s">
        <v>6979</v>
      </c>
      <c r="E1040" s="94">
        <v>43413</v>
      </c>
      <c r="F1040" s="91"/>
      <c r="G1040" s="223" t="str">
        <f t="shared" si="32"/>
        <v>sin dato</v>
      </c>
      <c r="H1040" s="222" t="str">
        <f t="shared" si="33"/>
        <v>999</v>
      </c>
    </row>
    <row r="1041" spans="1:8" hidden="1">
      <c r="A1041" s="87">
        <v>18617591</v>
      </c>
      <c r="B1041" s="88" t="s">
        <v>1008</v>
      </c>
      <c r="C1041" s="88" t="s">
        <v>761</v>
      </c>
      <c r="D1041" s="88" t="s">
        <v>6979</v>
      </c>
      <c r="E1041" s="94">
        <v>43413</v>
      </c>
      <c r="F1041" s="91"/>
      <c r="G1041" s="223">
        <f t="shared" si="32"/>
        <v>14</v>
      </c>
      <c r="H1041" s="222">
        <f t="shared" si="33"/>
        <v>18617591</v>
      </c>
    </row>
    <row r="1042" spans="1:8" hidden="1">
      <c r="A1042" s="87">
        <v>14300770</v>
      </c>
      <c r="B1042" s="88" t="s">
        <v>3520</v>
      </c>
      <c r="C1042" s="88" t="s">
        <v>414</v>
      </c>
      <c r="D1042" s="88" t="s">
        <v>6979</v>
      </c>
      <c r="E1042" s="94">
        <v>43413</v>
      </c>
      <c r="F1042" s="91"/>
      <c r="G1042" s="223">
        <f t="shared" si="32"/>
        <v>25</v>
      </c>
      <c r="H1042" s="222">
        <f t="shared" si="33"/>
        <v>14300770</v>
      </c>
    </row>
    <row r="1043" spans="1:8" hidden="1">
      <c r="A1043" s="87">
        <v>12449905</v>
      </c>
      <c r="B1043" s="88" t="s">
        <v>2947</v>
      </c>
      <c r="C1043" s="88" t="s">
        <v>2948</v>
      </c>
      <c r="D1043" s="88" t="s">
        <v>6979</v>
      </c>
      <c r="E1043" s="94">
        <v>43413</v>
      </c>
      <c r="F1043" s="91"/>
      <c r="G1043" s="223">
        <f t="shared" si="32"/>
        <v>19</v>
      </c>
      <c r="H1043" s="222">
        <f t="shared" si="33"/>
        <v>12449905</v>
      </c>
    </row>
    <row r="1044" spans="1:8" hidden="1">
      <c r="A1044" s="87">
        <v>30598547</v>
      </c>
      <c r="B1044" s="88" t="s">
        <v>2400</v>
      </c>
      <c r="C1044" s="88" t="s">
        <v>2401</v>
      </c>
      <c r="D1044" s="88" t="s">
        <v>6979</v>
      </c>
      <c r="E1044" s="94">
        <v>43413</v>
      </c>
      <c r="F1044" s="91" t="s">
        <v>7024</v>
      </c>
      <c r="G1044" s="223">
        <f t="shared" si="32"/>
        <v>17</v>
      </c>
      <c r="H1044" s="222">
        <f t="shared" si="33"/>
        <v>30598547</v>
      </c>
    </row>
    <row r="1045" spans="1:8" hidden="1">
      <c r="A1045" s="87">
        <v>33163397</v>
      </c>
      <c r="B1045" s="88" t="s">
        <v>2714</v>
      </c>
      <c r="C1045" s="88" t="s">
        <v>6473</v>
      </c>
      <c r="D1045" s="88" t="s">
        <v>6979</v>
      </c>
      <c r="E1045" s="94">
        <v>43413</v>
      </c>
      <c r="F1045" s="91"/>
      <c r="G1045" s="223">
        <f t="shared" si="32"/>
        <v>999</v>
      </c>
      <c r="H1045" s="222">
        <f t="shared" si="33"/>
        <v>33163397</v>
      </c>
    </row>
    <row r="1046" spans="1:8" hidden="1">
      <c r="A1046" s="87">
        <v>18545210</v>
      </c>
      <c r="B1046" s="88" t="s">
        <v>1720</v>
      </c>
      <c r="C1046" s="88" t="s">
        <v>1721</v>
      </c>
      <c r="D1046" s="88" t="s">
        <v>6979</v>
      </c>
      <c r="E1046" s="94">
        <v>43413</v>
      </c>
      <c r="F1046" s="91"/>
      <c r="G1046" s="223">
        <f t="shared" si="32"/>
        <v>15</v>
      </c>
      <c r="H1046" s="222">
        <f t="shared" si="33"/>
        <v>18545210</v>
      </c>
    </row>
    <row r="1047" spans="1:8" hidden="1">
      <c r="A1047" s="87">
        <v>14351534</v>
      </c>
      <c r="B1047" s="88" t="s">
        <v>2785</v>
      </c>
      <c r="C1047" s="88" t="s">
        <v>2161</v>
      </c>
      <c r="D1047" s="88" t="s">
        <v>6979</v>
      </c>
      <c r="E1047" s="94">
        <v>43413</v>
      </c>
      <c r="F1047" s="91"/>
      <c r="G1047" s="223">
        <f t="shared" si="32"/>
        <v>6</v>
      </c>
      <c r="H1047" s="222">
        <f t="shared" si="33"/>
        <v>14351534</v>
      </c>
    </row>
    <row r="1048" spans="1:8" hidden="1">
      <c r="A1048" s="87">
        <v>27211366</v>
      </c>
      <c r="B1048" s="88" t="s">
        <v>3906</v>
      </c>
      <c r="C1048" s="88" t="s">
        <v>3907</v>
      </c>
      <c r="D1048" s="88" t="s">
        <v>6979</v>
      </c>
      <c r="E1048" s="94">
        <v>43413</v>
      </c>
      <c r="F1048" s="91"/>
      <c r="G1048" s="223">
        <f t="shared" si="32"/>
        <v>20</v>
      </c>
      <c r="H1048" s="222">
        <f t="shared" si="33"/>
        <v>27211366</v>
      </c>
    </row>
    <row r="1049" spans="1:8" hidden="1">
      <c r="A1049" s="87">
        <v>12413563</v>
      </c>
      <c r="B1049" s="88" t="s">
        <v>3052</v>
      </c>
      <c r="C1049" s="88" t="s">
        <v>3053</v>
      </c>
      <c r="D1049" s="88" t="s">
        <v>6979</v>
      </c>
      <c r="E1049" s="94">
        <v>43413</v>
      </c>
      <c r="F1049" s="91"/>
      <c r="G1049" s="223">
        <f t="shared" si="32"/>
        <v>19</v>
      </c>
      <c r="H1049" s="222">
        <f t="shared" si="33"/>
        <v>12413563</v>
      </c>
    </row>
    <row r="1050" spans="1:8" hidden="1">
      <c r="A1050" s="87">
        <v>14351641</v>
      </c>
      <c r="B1050" s="88" t="s">
        <v>774</v>
      </c>
      <c r="C1050" s="88" t="s">
        <v>775</v>
      </c>
      <c r="D1050" s="88" t="s">
        <v>6979</v>
      </c>
      <c r="E1050" s="94">
        <v>43413</v>
      </c>
      <c r="F1050" s="91"/>
      <c r="G1050" s="223">
        <f t="shared" si="32"/>
        <v>13</v>
      </c>
      <c r="H1050" s="222">
        <f t="shared" si="33"/>
        <v>14351641</v>
      </c>
    </row>
    <row r="1051" spans="1:8" hidden="1">
      <c r="A1051" s="87">
        <v>17615005</v>
      </c>
      <c r="B1051" s="88" t="s">
        <v>4752</v>
      </c>
      <c r="C1051" s="88" t="s">
        <v>5741</v>
      </c>
      <c r="D1051" s="88" t="s">
        <v>6979</v>
      </c>
      <c r="E1051" s="94">
        <v>43413</v>
      </c>
      <c r="F1051" s="91"/>
      <c r="G1051" s="223">
        <f t="shared" si="32"/>
        <v>6</v>
      </c>
      <c r="H1051" s="222">
        <f t="shared" si="33"/>
        <v>17615005</v>
      </c>
    </row>
    <row r="1052" spans="1:8" hidden="1">
      <c r="A1052" s="87">
        <v>22031835</v>
      </c>
      <c r="B1052" s="88" t="s">
        <v>273</v>
      </c>
      <c r="C1052" s="88" t="s">
        <v>274</v>
      </c>
      <c r="D1052" s="88" t="s">
        <v>6979</v>
      </c>
      <c r="E1052" s="94">
        <v>43413</v>
      </c>
      <c r="F1052" s="91"/>
      <c r="G1052" s="223">
        <f t="shared" si="32"/>
        <v>11</v>
      </c>
      <c r="H1052" s="222">
        <f t="shared" si="33"/>
        <v>22031835</v>
      </c>
    </row>
    <row r="1053" spans="1:8" hidden="1">
      <c r="A1053" s="87">
        <v>31842375</v>
      </c>
      <c r="B1053" s="88" t="s">
        <v>2335</v>
      </c>
      <c r="C1053" s="88" t="s">
        <v>2336</v>
      </c>
      <c r="D1053" s="88" t="s">
        <v>6979</v>
      </c>
      <c r="E1053" s="94">
        <v>43413</v>
      </c>
      <c r="F1053" s="91"/>
      <c r="G1053" s="223">
        <f t="shared" si="32"/>
        <v>16</v>
      </c>
      <c r="H1053" s="222">
        <f t="shared" si="33"/>
        <v>31842375</v>
      </c>
    </row>
    <row r="1054" spans="1:8" hidden="1">
      <c r="A1054" s="87">
        <v>13710018</v>
      </c>
      <c r="B1054" s="88" t="s">
        <v>2992</v>
      </c>
      <c r="C1054" s="88" t="s">
        <v>2993</v>
      </c>
      <c r="D1054" s="88" t="s">
        <v>6979</v>
      </c>
      <c r="E1054" s="94">
        <v>43413</v>
      </c>
      <c r="F1054" s="91"/>
      <c r="G1054" s="223">
        <f t="shared" si="32"/>
        <v>19</v>
      </c>
      <c r="H1054" s="222">
        <f t="shared" si="33"/>
        <v>13710018</v>
      </c>
    </row>
    <row r="1055" spans="1:8" hidden="1">
      <c r="A1055" s="87">
        <v>16314323</v>
      </c>
      <c r="B1055" s="88" t="s">
        <v>304</v>
      </c>
      <c r="C1055" s="88" t="s">
        <v>4685</v>
      </c>
      <c r="D1055" s="88" t="s">
        <v>6979</v>
      </c>
      <c r="E1055" s="94">
        <v>43413</v>
      </c>
      <c r="F1055" s="91"/>
      <c r="G1055" s="223">
        <f t="shared" si="32"/>
        <v>22</v>
      </c>
      <c r="H1055" s="222">
        <f t="shared" si="33"/>
        <v>16314323</v>
      </c>
    </row>
    <row r="1056" spans="1:8" hidden="1">
      <c r="A1056" s="87">
        <v>17614893</v>
      </c>
      <c r="B1056" s="88" t="s">
        <v>5748</v>
      </c>
      <c r="C1056" s="88" t="s">
        <v>5749</v>
      </c>
      <c r="D1056" s="88" t="s">
        <v>6979</v>
      </c>
      <c r="E1056" s="94">
        <v>43413</v>
      </c>
      <c r="F1056" s="91"/>
      <c r="G1056" s="223">
        <f t="shared" si="32"/>
        <v>6</v>
      </c>
      <c r="H1056" s="222">
        <f t="shared" si="33"/>
        <v>17614893</v>
      </c>
    </row>
    <row r="1057" spans="1:8" hidden="1">
      <c r="A1057" s="87">
        <v>39360162</v>
      </c>
      <c r="B1057" s="88" t="s">
        <v>311</v>
      </c>
      <c r="C1057" s="88" t="s">
        <v>106</v>
      </c>
      <c r="D1057" s="88" t="s">
        <v>6979</v>
      </c>
      <c r="E1057" s="94">
        <v>43413</v>
      </c>
      <c r="F1057" s="91"/>
      <c r="G1057" s="223" t="str">
        <f t="shared" si="32"/>
        <v>sin dato</v>
      </c>
      <c r="H1057" s="222" t="str">
        <f t="shared" si="33"/>
        <v>999</v>
      </c>
    </row>
    <row r="1058" spans="1:8" hidden="1">
      <c r="A1058" s="87">
        <v>18450400</v>
      </c>
      <c r="B1058" s="88" t="s">
        <v>311</v>
      </c>
      <c r="C1058" s="88" t="s">
        <v>5614</v>
      </c>
      <c r="D1058" s="88" t="s">
        <v>6979</v>
      </c>
      <c r="E1058" s="94">
        <v>43413</v>
      </c>
      <c r="F1058" s="91"/>
      <c r="G1058" s="223">
        <f t="shared" si="32"/>
        <v>6</v>
      </c>
      <c r="H1058" s="222">
        <f t="shared" si="33"/>
        <v>18450400</v>
      </c>
    </row>
    <row r="1059" spans="1:8" hidden="1">
      <c r="A1059" s="87">
        <v>39140888</v>
      </c>
      <c r="B1059" s="88" t="s">
        <v>557</v>
      </c>
      <c r="C1059" s="88" t="s">
        <v>558</v>
      </c>
      <c r="D1059" s="88" t="s">
        <v>6979</v>
      </c>
      <c r="E1059" s="94">
        <v>43413</v>
      </c>
      <c r="F1059" s="91"/>
      <c r="G1059" s="223" t="str">
        <f t="shared" si="32"/>
        <v>sin dato</v>
      </c>
      <c r="H1059" s="222" t="str">
        <f t="shared" si="33"/>
        <v>999</v>
      </c>
    </row>
    <row r="1060" spans="1:8" hidden="1">
      <c r="A1060" s="87">
        <v>39138293</v>
      </c>
      <c r="B1060" s="88" t="s">
        <v>3901</v>
      </c>
      <c r="C1060" s="88" t="s">
        <v>3902</v>
      </c>
      <c r="D1060" s="88" t="s">
        <v>6979</v>
      </c>
      <c r="E1060" s="94">
        <v>43413</v>
      </c>
      <c r="F1060" s="91"/>
      <c r="G1060" s="223" t="str">
        <f t="shared" si="32"/>
        <v>sin dato</v>
      </c>
      <c r="H1060" s="222" t="str">
        <f t="shared" si="33"/>
        <v>999</v>
      </c>
    </row>
    <row r="1061" spans="1:8" hidden="1">
      <c r="A1061" s="87">
        <v>39574782</v>
      </c>
      <c r="B1061" s="88" t="s">
        <v>561</v>
      </c>
      <c r="C1061" s="88" t="s">
        <v>562</v>
      </c>
      <c r="D1061" s="88" t="s">
        <v>6979</v>
      </c>
      <c r="E1061" s="94">
        <v>43413</v>
      </c>
      <c r="F1061" s="91"/>
      <c r="G1061" s="223" t="str">
        <f t="shared" si="32"/>
        <v>sin dato</v>
      </c>
      <c r="H1061" s="222" t="str">
        <f t="shared" si="33"/>
        <v>999</v>
      </c>
    </row>
    <row r="1062" spans="1:8" hidden="1">
      <c r="A1062" s="87">
        <v>17860977</v>
      </c>
      <c r="B1062" s="88" t="s">
        <v>327</v>
      </c>
      <c r="C1062" s="88" t="s">
        <v>783</v>
      </c>
      <c r="D1062" s="88" t="s">
        <v>6979</v>
      </c>
      <c r="E1062" s="94">
        <v>43413</v>
      </c>
      <c r="F1062" s="91"/>
      <c r="G1062" s="223">
        <f t="shared" si="32"/>
        <v>13</v>
      </c>
      <c r="H1062" s="222">
        <f t="shared" si="33"/>
        <v>17860977</v>
      </c>
    </row>
    <row r="1063" spans="1:8" hidden="1">
      <c r="A1063" s="87">
        <v>11909595</v>
      </c>
      <c r="B1063" s="88" t="s">
        <v>4691</v>
      </c>
      <c r="C1063" s="88" t="s">
        <v>4692</v>
      </c>
      <c r="D1063" s="88" t="s">
        <v>6979</v>
      </c>
      <c r="E1063" s="94">
        <v>43413</v>
      </c>
      <c r="F1063" s="91"/>
      <c r="G1063" s="223">
        <f t="shared" si="32"/>
        <v>22</v>
      </c>
      <c r="H1063" s="222">
        <f t="shared" si="33"/>
        <v>11909595</v>
      </c>
    </row>
    <row r="1064" spans="1:8" hidden="1">
      <c r="A1064" s="87">
        <v>39140909</v>
      </c>
      <c r="B1064" s="88" t="s">
        <v>1397</v>
      </c>
      <c r="C1064" s="88" t="s">
        <v>1398</v>
      </c>
      <c r="D1064" s="88" t="s">
        <v>6979</v>
      </c>
      <c r="E1064" s="94">
        <v>43413</v>
      </c>
      <c r="F1064" s="91"/>
      <c r="G1064" s="223" t="str">
        <f t="shared" si="32"/>
        <v>sin dato</v>
      </c>
      <c r="H1064" s="222" t="str">
        <f t="shared" si="33"/>
        <v>999</v>
      </c>
    </row>
    <row r="1065" spans="1:8" hidden="1">
      <c r="A1065" s="87">
        <v>28564148</v>
      </c>
      <c r="B1065" s="88" t="s">
        <v>2407</v>
      </c>
      <c r="C1065" s="88" t="s">
        <v>2408</v>
      </c>
      <c r="D1065" s="88" t="s">
        <v>6979</v>
      </c>
      <c r="E1065" s="94">
        <v>43413</v>
      </c>
      <c r="F1065" s="91" t="s">
        <v>9303</v>
      </c>
      <c r="G1065" s="223">
        <f t="shared" si="32"/>
        <v>17</v>
      </c>
      <c r="H1065" s="222">
        <f t="shared" si="33"/>
        <v>28564148</v>
      </c>
    </row>
    <row r="1066" spans="1:8" hidden="1">
      <c r="A1066" s="87">
        <v>13475605</v>
      </c>
      <c r="B1066" s="88" t="s">
        <v>1411</v>
      </c>
      <c r="C1066" s="88" t="s">
        <v>1412</v>
      </c>
      <c r="D1066" s="88" t="s">
        <v>6979</v>
      </c>
      <c r="E1066" s="94">
        <v>43413</v>
      </c>
      <c r="F1066" s="91"/>
      <c r="G1066" s="223">
        <f t="shared" si="32"/>
        <v>14</v>
      </c>
      <c r="H1066" s="222">
        <f t="shared" si="33"/>
        <v>13475605</v>
      </c>
    </row>
    <row r="1067" spans="1:8" hidden="1">
      <c r="A1067" s="87">
        <v>33540716</v>
      </c>
      <c r="B1067" s="88" t="s">
        <v>2652</v>
      </c>
      <c r="C1067" s="88" t="s">
        <v>2653</v>
      </c>
      <c r="D1067" s="88" t="s">
        <v>6979</v>
      </c>
      <c r="E1067" s="94">
        <v>43413</v>
      </c>
      <c r="F1067" s="91"/>
      <c r="G1067" s="223">
        <f t="shared" si="32"/>
        <v>14</v>
      </c>
      <c r="H1067" s="222">
        <f t="shared" si="33"/>
        <v>33540716</v>
      </c>
    </row>
    <row r="1068" spans="1:8" hidden="1">
      <c r="A1068" s="87">
        <v>14947988</v>
      </c>
      <c r="B1068" s="88" t="s">
        <v>574</v>
      </c>
      <c r="C1068" s="88" t="s">
        <v>3515</v>
      </c>
      <c r="D1068" s="88" t="s">
        <v>6979</v>
      </c>
      <c r="E1068" s="94">
        <v>43413</v>
      </c>
      <c r="F1068" s="91"/>
      <c r="G1068" s="223">
        <f t="shared" si="32"/>
        <v>25</v>
      </c>
      <c r="H1068" s="222">
        <f t="shared" si="33"/>
        <v>14947988</v>
      </c>
    </row>
    <row r="1069" spans="1:8" hidden="1">
      <c r="A1069" s="87">
        <v>17859967</v>
      </c>
      <c r="B1069" s="88" t="s">
        <v>3315</v>
      </c>
      <c r="C1069" s="88" t="s">
        <v>1353</v>
      </c>
      <c r="D1069" s="88" t="s">
        <v>6979</v>
      </c>
      <c r="E1069" s="94">
        <v>43413</v>
      </c>
      <c r="F1069" s="91"/>
      <c r="G1069" s="223">
        <f t="shared" si="32"/>
        <v>6</v>
      </c>
      <c r="H1069" s="222">
        <f t="shared" si="33"/>
        <v>17859967</v>
      </c>
    </row>
    <row r="1070" spans="1:8" hidden="1">
      <c r="A1070" s="87">
        <v>29997386</v>
      </c>
      <c r="B1070" s="88" t="s">
        <v>3400</v>
      </c>
      <c r="C1070" s="88" t="s">
        <v>3401</v>
      </c>
      <c r="D1070" s="88" t="s">
        <v>6979</v>
      </c>
      <c r="E1070" s="94">
        <v>43413</v>
      </c>
      <c r="F1070" s="91"/>
      <c r="G1070" s="223">
        <f t="shared" si="32"/>
        <v>24</v>
      </c>
      <c r="H1070" s="222">
        <f t="shared" si="33"/>
        <v>29997386</v>
      </c>
    </row>
    <row r="1071" spans="1:8" hidden="1">
      <c r="A1071" s="87">
        <v>11960881</v>
      </c>
      <c r="B1071" s="88" t="s">
        <v>753</v>
      </c>
      <c r="C1071" s="88" t="s">
        <v>754</v>
      </c>
      <c r="D1071" s="88" t="s">
        <v>6979</v>
      </c>
      <c r="E1071" s="94">
        <v>43413</v>
      </c>
      <c r="F1071" s="91"/>
      <c r="G1071" s="223">
        <f t="shared" si="32"/>
        <v>13</v>
      </c>
      <c r="H1071" s="222">
        <f t="shared" si="33"/>
        <v>11960881</v>
      </c>
    </row>
    <row r="1072" spans="1:8" hidden="1">
      <c r="A1072" s="87">
        <v>14226015</v>
      </c>
      <c r="B1072" s="88" t="s">
        <v>4418</v>
      </c>
      <c r="C1072" s="88" t="s">
        <v>97</v>
      </c>
      <c r="D1072" s="88" t="s">
        <v>6979</v>
      </c>
      <c r="E1072" s="94">
        <v>43413</v>
      </c>
      <c r="F1072" s="91"/>
      <c r="G1072" s="223">
        <f t="shared" si="32"/>
        <v>21</v>
      </c>
      <c r="H1072" s="222">
        <f t="shared" si="33"/>
        <v>14226015</v>
      </c>
    </row>
    <row r="1073" spans="1:8" hidden="1">
      <c r="A1073" s="87">
        <v>17458306</v>
      </c>
      <c r="B1073" s="88" t="s">
        <v>547</v>
      </c>
      <c r="C1073" s="88" t="s">
        <v>548</v>
      </c>
      <c r="D1073" s="88" t="s">
        <v>6979</v>
      </c>
      <c r="E1073" s="94">
        <v>43413</v>
      </c>
      <c r="F1073" s="91"/>
      <c r="G1073" s="223">
        <f t="shared" si="32"/>
        <v>11</v>
      </c>
      <c r="H1073" s="222">
        <f t="shared" si="33"/>
        <v>17458306</v>
      </c>
    </row>
    <row r="1074" spans="1:8" hidden="1">
      <c r="A1074" s="87">
        <v>17494339</v>
      </c>
      <c r="B1074" s="88" t="s">
        <v>547</v>
      </c>
      <c r="C1074" s="88" t="s">
        <v>566</v>
      </c>
      <c r="D1074" s="88" t="s">
        <v>6979</v>
      </c>
      <c r="E1074" s="94">
        <v>43413</v>
      </c>
      <c r="F1074" s="91"/>
      <c r="G1074" s="223">
        <f t="shared" si="32"/>
        <v>11</v>
      </c>
      <c r="H1074" s="222">
        <f t="shared" si="33"/>
        <v>17494339</v>
      </c>
    </row>
    <row r="1075" spans="1:8" hidden="1">
      <c r="A1075" s="87">
        <v>28920031</v>
      </c>
      <c r="B1075" s="88" t="s">
        <v>4170</v>
      </c>
      <c r="C1075" s="88" t="s">
        <v>588</v>
      </c>
      <c r="D1075" s="88" t="s">
        <v>6979</v>
      </c>
      <c r="E1075" s="94">
        <v>43413</v>
      </c>
      <c r="F1075" s="91"/>
      <c r="G1075" s="223">
        <f t="shared" si="32"/>
        <v>999</v>
      </c>
      <c r="H1075" s="222">
        <f t="shared" si="33"/>
        <v>28920031</v>
      </c>
    </row>
    <row r="1076" spans="1:8" hidden="1">
      <c r="A1076" s="87">
        <v>26982736</v>
      </c>
      <c r="B1076" s="88" t="s">
        <v>64</v>
      </c>
      <c r="C1076" s="88" t="s">
        <v>65</v>
      </c>
      <c r="D1076" s="88" t="s">
        <v>7005</v>
      </c>
      <c r="E1076" s="94">
        <v>43384</v>
      </c>
      <c r="F1076" s="91"/>
      <c r="G1076" s="223">
        <f t="shared" si="32"/>
        <v>11</v>
      </c>
      <c r="H1076" s="222">
        <f t="shared" si="33"/>
        <v>26982736</v>
      </c>
    </row>
    <row r="1077" spans="1:8" hidden="1">
      <c r="A1077" s="87">
        <v>17376659</v>
      </c>
      <c r="B1077" s="88" t="s">
        <v>4223</v>
      </c>
      <c r="C1077" s="88" t="s">
        <v>4224</v>
      </c>
      <c r="D1077" s="88" t="s">
        <v>7005</v>
      </c>
      <c r="E1077" s="94">
        <v>43384</v>
      </c>
      <c r="F1077" s="91"/>
      <c r="G1077" s="223" t="str">
        <f t="shared" si="32"/>
        <v>sin dato</v>
      </c>
      <c r="H1077" s="222">
        <f t="shared" si="33"/>
        <v>17376659</v>
      </c>
    </row>
    <row r="1078" spans="1:8" hidden="1">
      <c r="A1078" s="87">
        <v>26028695</v>
      </c>
      <c r="B1078" s="88" t="s">
        <v>1680</v>
      </c>
      <c r="C1078" s="88" t="s">
        <v>1681</v>
      </c>
      <c r="D1078" s="88" t="s">
        <v>7005</v>
      </c>
      <c r="E1078" s="94">
        <v>43384</v>
      </c>
      <c r="F1078" s="91"/>
      <c r="G1078" s="223">
        <f t="shared" si="32"/>
        <v>15</v>
      </c>
      <c r="H1078" s="222">
        <f t="shared" si="33"/>
        <v>26028695</v>
      </c>
    </row>
    <row r="1079" spans="1:8" hidden="1">
      <c r="A1079" s="87">
        <v>18566394</v>
      </c>
      <c r="B1079" s="88" t="s">
        <v>144</v>
      </c>
      <c r="C1079" s="88" t="s">
        <v>283</v>
      </c>
      <c r="D1079" s="88" t="s">
        <v>7005</v>
      </c>
      <c r="E1079" s="94">
        <v>43384</v>
      </c>
      <c r="F1079" s="91"/>
      <c r="G1079" s="223">
        <f t="shared" si="32"/>
        <v>46</v>
      </c>
      <c r="H1079" s="222">
        <f t="shared" si="33"/>
        <v>18566394</v>
      </c>
    </row>
    <row r="1080" spans="1:8" hidden="1">
      <c r="A1080" s="87">
        <v>34356805</v>
      </c>
      <c r="B1080" s="88" t="s">
        <v>650</v>
      </c>
      <c r="C1080" s="88" t="s">
        <v>6991</v>
      </c>
      <c r="D1080" s="88" t="s">
        <v>7005</v>
      </c>
      <c r="E1080" s="94">
        <v>43384</v>
      </c>
      <c r="F1080" s="91"/>
      <c r="G1080" s="223">
        <f t="shared" si="32"/>
        <v>30</v>
      </c>
      <c r="H1080" s="222">
        <f t="shared" si="33"/>
        <v>34356805</v>
      </c>
    </row>
    <row r="1081" spans="1:8" hidden="1">
      <c r="A1081" s="87">
        <v>14225922</v>
      </c>
      <c r="B1081" s="88" t="s">
        <v>207</v>
      </c>
      <c r="C1081" s="88" t="s">
        <v>27</v>
      </c>
      <c r="D1081" s="88" t="s">
        <v>7005</v>
      </c>
      <c r="E1081" s="94">
        <v>43384</v>
      </c>
      <c r="F1081" s="91"/>
      <c r="G1081" s="223">
        <f t="shared" si="32"/>
        <v>15</v>
      </c>
      <c r="H1081" s="222">
        <f t="shared" si="33"/>
        <v>14225922</v>
      </c>
    </row>
    <row r="1082" spans="1:8" hidden="1">
      <c r="A1082" s="87">
        <v>24830971</v>
      </c>
      <c r="B1082" s="88" t="s">
        <v>4333</v>
      </c>
      <c r="C1082" s="88" t="s">
        <v>4334</v>
      </c>
      <c r="D1082" s="88" t="s">
        <v>7005</v>
      </c>
      <c r="E1082" s="94">
        <v>43384</v>
      </c>
      <c r="F1082" s="91"/>
      <c r="G1082" s="223">
        <f t="shared" si="32"/>
        <v>21</v>
      </c>
      <c r="H1082" s="222">
        <f t="shared" si="33"/>
        <v>24830971</v>
      </c>
    </row>
    <row r="1083" spans="1:8" hidden="1">
      <c r="A1083" s="87">
        <v>14984007</v>
      </c>
      <c r="B1083" s="88" t="s">
        <v>3742</v>
      </c>
      <c r="C1083" s="88" t="s">
        <v>3743</v>
      </c>
      <c r="D1083" s="88" t="s">
        <v>7005</v>
      </c>
      <c r="E1083" s="94">
        <v>43384</v>
      </c>
      <c r="F1083" s="91"/>
      <c r="G1083" s="223">
        <f t="shared" si="32"/>
        <v>20</v>
      </c>
      <c r="H1083" s="222">
        <f t="shared" si="33"/>
        <v>14984007</v>
      </c>
    </row>
    <row r="1084" spans="1:8" hidden="1">
      <c r="A1084" s="87">
        <v>16008463</v>
      </c>
      <c r="B1084" s="88" t="s">
        <v>1774</v>
      </c>
      <c r="C1084" s="88" t="s">
        <v>5624</v>
      </c>
      <c r="D1084" s="88" t="s">
        <v>7005</v>
      </c>
      <c r="E1084" s="94">
        <v>43384</v>
      </c>
      <c r="F1084" s="91"/>
      <c r="G1084" s="223">
        <f t="shared" si="32"/>
        <v>6</v>
      </c>
      <c r="H1084" s="222">
        <f t="shared" si="33"/>
        <v>16008463</v>
      </c>
    </row>
    <row r="1085" spans="1:8" hidden="1">
      <c r="A1085" s="87">
        <v>16008463</v>
      </c>
      <c r="B1085" s="88" t="s">
        <v>1774</v>
      </c>
      <c r="C1085" s="88" t="s">
        <v>5624</v>
      </c>
      <c r="D1085" s="88" t="s">
        <v>7005</v>
      </c>
      <c r="E1085" s="94">
        <v>43384</v>
      </c>
      <c r="F1085" s="91"/>
      <c r="G1085" s="223">
        <f t="shared" si="32"/>
        <v>6</v>
      </c>
      <c r="H1085" s="222">
        <f t="shared" si="33"/>
        <v>16008463</v>
      </c>
    </row>
    <row r="1086" spans="1:8" hidden="1">
      <c r="A1086" s="87">
        <v>14359850</v>
      </c>
      <c r="B1086" s="88" t="s">
        <v>5663</v>
      </c>
      <c r="C1086" s="88" t="s">
        <v>5664</v>
      </c>
      <c r="D1086" s="88" t="s">
        <v>7005</v>
      </c>
      <c r="E1086" s="94">
        <v>43384</v>
      </c>
      <c r="F1086" s="91"/>
      <c r="G1086" s="223">
        <f t="shared" si="32"/>
        <v>6</v>
      </c>
      <c r="H1086" s="222">
        <f t="shared" si="33"/>
        <v>14359850</v>
      </c>
    </row>
    <row r="1087" spans="1:8" hidden="1">
      <c r="A1087" s="87">
        <v>24803365</v>
      </c>
      <c r="B1087" s="88" t="s">
        <v>734</v>
      </c>
      <c r="C1087" s="88" t="s">
        <v>7007</v>
      </c>
      <c r="D1087" s="88" t="s">
        <v>7005</v>
      </c>
      <c r="E1087" s="94">
        <v>43384</v>
      </c>
      <c r="F1087" s="91"/>
      <c r="G1087" s="223">
        <f t="shared" si="32"/>
        <v>31</v>
      </c>
      <c r="H1087" s="222">
        <f t="shared" si="33"/>
        <v>24803365</v>
      </c>
    </row>
    <row r="1088" spans="1:8" hidden="1">
      <c r="A1088" s="87">
        <v>14073492</v>
      </c>
      <c r="B1088" s="88" t="s">
        <v>2183</v>
      </c>
      <c r="C1088" s="88" t="s">
        <v>2184</v>
      </c>
      <c r="D1088" s="88" t="s">
        <v>7005</v>
      </c>
      <c r="E1088" s="94">
        <v>43384</v>
      </c>
      <c r="F1088" s="91"/>
      <c r="G1088" s="223">
        <f t="shared" si="32"/>
        <v>16</v>
      </c>
      <c r="H1088" s="222">
        <f t="shared" si="33"/>
        <v>14073492</v>
      </c>
    </row>
    <row r="1089" spans="1:8" hidden="1">
      <c r="A1089" s="87">
        <v>33541638</v>
      </c>
      <c r="B1089" s="88" t="s">
        <v>2310</v>
      </c>
      <c r="C1089" s="88" t="s">
        <v>30</v>
      </c>
      <c r="D1089" s="88" t="s">
        <v>7005</v>
      </c>
      <c r="E1089" s="94">
        <v>43384</v>
      </c>
      <c r="F1089" s="91"/>
      <c r="G1089" s="223">
        <f t="shared" si="32"/>
        <v>16</v>
      </c>
      <c r="H1089" s="222">
        <f t="shared" si="33"/>
        <v>33541638</v>
      </c>
    </row>
    <row r="1090" spans="1:8" hidden="1">
      <c r="A1090" s="87">
        <v>14660614</v>
      </c>
      <c r="B1090" s="88" t="s">
        <v>2355</v>
      </c>
      <c r="C1090" s="88" t="s">
        <v>2356</v>
      </c>
      <c r="D1090" s="88" t="s">
        <v>9300</v>
      </c>
      <c r="E1090" s="94">
        <v>43383</v>
      </c>
      <c r="F1090" s="91" t="s">
        <v>6853</v>
      </c>
      <c r="G1090" s="223">
        <f t="shared" ref="G1090:G1153" si="34">IFERROR(INDEX(unidad,MATCH(VLOOKUP(A1090,alum,9,0),unidad2,0),1),"sin dato")</f>
        <v>17</v>
      </c>
      <c r="H1090" s="222">
        <f t="shared" ref="H1090:H1153" si="35">IFERROR(VLOOKUP(A1090,alum,1,0),"999")</f>
        <v>14660614</v>
      </c>
    </row>
    <row r="1091" spans="1:8" hidden="1">
      <c r="A1091" s="87">
        <v>20178395</v>
      </c>
      <c r="B1091" s="88" t="s">
        <v>2358</v>
      </c>
      <c r="C1091" s="88" t="s">
        <v>902</v>
      </c>
      <c r="D1091" s="88" t="s">
        <v>9300</v>
      </c>
      <c r="E1091" s="94">
        <v>43383</v>
      </c>
      <c r="F1091" s="91" t="s">
        <v>6853</v>
      </c>
      <c r="G1091" s="223">
        <f t="shared" si="34"/>
        <v>17</v>
      </c>
      <c r="H1091" s="222">
        <f t="shared" si="35"/>
        <v>20178395</v>
      </c>
    </row>
    <row r="1092" spans="1:8" hidden="1">
      <c r="A1092" s="87">
        <v>37309662</v>
      </c>
      <c r="B1092" s="88" t="s">
        <v>164</v>
      </c>
      <c r="C1092" s="88" t="s">
        <v>2396</v>
      </c>
      <c r="D1092" s="88" t="s">
        <v>9300</v>
      </c>
      <c r="E1092" s="94">
        <v>43383</v>
      </c>
      <c r="F1092" s="91" t="s">
        <v>9303</v>
      </c>
      <c r="G1092" s="223" t="str">
        <f t="shared" si="34"/>
        <v>sin dato</v>
      </c>
      <c r="H1092" s="222" t="str">
        <f t="shared" si="35"/>
        <v>999</v>
      </c>
    </row>
    <row r="1093" spans="1:8" hidden="1">
      <c r="A1093" s="87">
        <v>17293872</v>
      </c>
      <c r="B1093" s="88" t="s">
        <v>47</v>
      </c>
      <c r="C1093" s="88" t="s">
        <v>4259</v>
      </c>
      <c r="D1093" s="88" t="s">
        <v>7001</v>
      </c>
      <c r="E1093" s="94">
        <v>43383</v>
      </c>
      <c r="F1093" s="91"/>
      <c r="G1093" s="223">
        <f t="shared" si="34"/>
        <v>21</v>
      </c>
      <c r="H1093" s="222">
        <f t="shared" si="35"/>
        <v>17293872</v>
      </c>
    </row>
    <row r="1094" spans="1:8" hidden="1">
      <c r="A1094" s="87">
        <v>25444256</v>
      </c>
      <c r="B1094" s="88" t="s">
        <v>5764</v>
      </c>
      <c r="C1094" s="88" t="s">
        <v>5765</v>
      </c>
      <c r="D1094" s="88" t="s">
        <v>7001</v>
      </c>
      <c r="E1094" s="94">
        <v>43383</v>
      </c>
      <c r="F1094" s="91"/>
      <c r="G1094" s="223" t="str">
        <f t="shared" si="34"/>
        <v>sin dato</v>
      </c>
      <c r="H1094" s="222">
        <f t="shared" si="35"/>
        <v>25444256</v>
      </c>
    </row>
    <row r="1095" spans="1:8" hidden="1">
      <c r="A1095" s="87">
        <v>13338617</v>
      </c>
      <c r="B1095" s="88" t="s">
        <v>83</v>
      </c>
      <c r="C1095" s="88" t="s">
        <v>783</v>
      </c>
      <c r="D1095" s="88" t="s">
        <v>7001</v>
      </c>
      <c r="E1095" s="94">
        <v>43383</v>
      </c>
      <c r="F1095" s="91"/>
      <c r="G1095" s="223">
        <f t="shared" si="34"/>
        <v>11</v>
      </c>
      <c r="H1095" s="222">
        <f t="shared" si="35"/>
        <v>13338617</v>
      </c>
    </row>
    <row r="1096" spans="1:8" hidden="1">
      <c r="A1096" s="87">
        <v>29175472</v>
      </c>
      <c r="B1096" s="88" t="s">
        <v>138</v>
      </c>
      <c r="C1096" s="88" t="s">
        <v>139</v>
      </c>
      <c r="D1096" s="88" t="s">
        <v>7001</v>
      </c>
      <c r="E1096" s="94">
        <v>43383</v>
      </c>
      <c r="F1096" s="91"/>
      <c r="G1096" s="223">
        <f t="shared" si="34"/>
        <v>11</v>
      </c>
      <c r="H1096" s="222">
        <f t="shared" si="35"/>
        <v>29175472</v>
      </c>
    </row>
    <row r="1097" spans="1:8" hidden="1">
      <c r="A1097" s="87">
        <v>32493499</v>
      </c>
      <c r="B1097" s="88" t="s">
        <v>1422</v>
      </c>
      <c r="C1097" s="88" t="s">
        <v>1423</v>
      </c>
      <c r="D1097" s="88" t="s">
        <v>7001</v>
      </c>
      <c r="E1097" s="94">
        <v>43383</v>
      </c>
      <c r="F1097" s="91"/>
      <c r="G1097" s="223">
        <f t="shared" si="34"/>
        <v>14</v>
      </c>
      <c r="H1097" s="222">
        <f t="shared" si="35"/>
        <v>32493499</v>
      </c>
    </row>
    <row r="1098" spans="1:8" hidden="1">
      <c r="A1098" s="87">
        <v>21746943</v>
      </c>
      <c r="B1098" s="88" t="s">
        <v>184</v>
      </c>
      <c r="C1098" s="88" t="s">
        <v>185</v>
      </c>
      <c r="D1098" s="88" t="s">
        <v>7001</v>
      </c>
      <c r="E1098" s="94">
        <v>43383</v>
      </c>
      <c r="F1098" s="91"/>
      <c r="G1098" s="223">
        <f t="shared" si="34"/>
        <v>11</v>
      </c>
      <c r="H1098" s="222">
        <f t="shared" si="35"/>
        <v>21746943</v>
      </c>
    </row>
    <row r="1099" spans="1:8" hidden="1">
      <c r="A1099" s="87">
        <v>22211664</v>
      </c>
      <c r="B1099" s="88" t="s">
        <v>5551</v>
      </c>
      <c r="C1099" s="88" t="s">
        <v>5552</v>
      </c>
      <c r="D1099" s="88" t="s">
        <v>7001</v>
      </c>
      <c r="E1099" s="94">
        <v>43383</v>
      </c>
      <c r="F1099" s="91"/>
      <c r="G1099" s="223">
        <f t="shared" si="34"/>
        <v>6</v>
      </c>
      <c r="H1099" s="222">
        <f t="shared" si="35"/>
        <v>22211664</v>
      </c>
    </row>
    <row r="1100" spans="1:8" hidden="1">
      <c r="A1100" s="87">
        <v>33432151</v>
      </c>
      <c r="B1100" s="88" t="s">
        <v>226</v>
      </c>
      <c r="C1100" s="88" t="s">
        <v>5582</v>
      </c>
      <c r="D1100" s="88" t="s">
        <v>7001</v>
      </c>
      <c r="E1100" s="94">
        <v>43383</v>
      </c>
      <c r="F1100" s="91"/>
      <c r="G1100" s="223">
        <f t="shared" si="34"/>
        <v>6</v>
      </c>
      <c r="H1100" s="222">
        <f t="shared" si="35"/>
        <v>33432151</v>
      </c>
    </row>
    <row r="1101" spans="1:8" hidden="1">
      <c r="A1101" s="87">
        <v>14410428</v>
      </c>
      <c r="B1101" s="88" t="s">
        <v>2731</v>
      </c>
      <c r="C1101" s="88" t="s">
        <v>1061</v>
      </c>
      <c r="D1101" s="88" t="s">
        <v>7001</v>
      </c>
      <c r="E1101" s="94">
        <v>43383</v>
      </c>
      <c r="F1101" s="91"/>
      <c r="G1101" s="223">
        <f t="shared" si="34"/>
        <v>20</v>
      </c>
      <c r="H1101" s="222">
        <f t="shared" si="35"/>
        <v>14410428</v>
      </c>
    </row>
    <row r="1102" spans="1:8" hidden="1">
      <c r="A1102" s="87">
        <v>18464655</v>
      </c>
      <c r="B1102" s="88" t="s">
        <v>247</v>
      </c>
      <c r="C1102" s="88" t="s">
        <v>248</v>
      </c>
      <c r="D1102" s="88" t="s">
        <v>7001</v>
      </c>
      <c r="E1102" s="94">
        <v>43383</v>
      </c>
      <c r="F1102" s="91"/>
      <c r="G1102" s="223">
        <f t="shared" si="34"/>
        <v>11</v>
      </c>
      <c r="H1102" s="222">
        <f t="shared" si="35"/>
        <v>18464655</v>
      </c>
    </row>
    <row r="1103" spans="1:8" hidden="1">
      <c r="A1103" s="87">
        <v>17860924</v>
      </c>
      <c r="B1103" s="88" t="s">
        <v>252</v>
      </c>
      <c r="C1103" s="88" t="s">
        <v>2975</v>
      </c>
      <c r="D1103" s="88" t="s">
        <v>7001</v>
      </c>
      <c r="E1103" s="94">
        <v>43383</v>
      </c>
      <c r="F1103" s="91"/>
      <c r="G1103" s="223">
        <f t="shared" si="34"/>
        <v>19</v>
      </c>
      <c r="H1103" s="222">
        <f t="shared" si="35"/>
        <v>17860924</v>
      </c>
    </row>
    <row r="1104" spans="1:8" hidden="1">
      <c r="A1104" s="87">
        <v>30606953</v>
      </c>
      <c r="B1104" s="88" t="s">
        <v>3606</v>
      </c>
      <c r="C1104" s="88" t="s">
        <v>3607</v>
      </c>
      <c r="D1104" s="88" t="s">
        <v>7001</v>
      </c>
      <c r="E1104" s="94">
        <v>43383</v>
      </c>
      <c r="F1104" s="91"/>
      <c r="G1104" s="223">
        <f t="shared" si="34"/>
        <v>29</v>
      </c>
      <c r="H1104" s="222">
        <f t="shared" si="35"/>
        <v>30606953</v>
      </c>
    </row>
    <row r="1105" spans="1:8" hidden="1">
      <c r="A1105" s="87">
        <v>24830971</v>
      </c>
      <c r="B1105" s="88" t="s">
        <v>4333</v>
      </c>
      <c r="C1105" s="88" t="s">
        <v>4334</v>
      </c>
      <c r="D1105" s="88" t="s">
        <v>7001</v>
      </c>
      <c r="E1105" s="94">
        <v>43383</v>
      </c>
      <c r="F1105" s="91"/>
      <c r="G1105" s="223">
        <f t="shared" si="34"/>
        <v>21</v>
      </c>
      <c r="H1105" s="222">
        <f t="shared" si="35"/>
        <v>24830971</v>
      </c>
    </row>
    <row r="1106" spans="1:8" hidden="1">
      <c r="A1106" s="87">
        <v>23238427</v>
      </c>
      <c r="B1106" s="88" t="s">
        <v>3734</v>
      </c>
      <c r="C1106" s="88" t="s">
        <v>3735</v>
      </c>
      <c r="D1106" s="88" t="s">
        <v>7001</v>
      </c>
      <c r="E1106" s="94">
        <v>43383</v>
      </c>
      <c r="F1106" s="91"/>
      <c r="G1106" s="223">
        <f t="shared" si="34"/>
        <v>20</v>
      </c>
      <c r="H1106" s="222">
        <f t="shared" si="35"/>
        <v>23238427</v>
      </c>
    </row>
    <row r="1107" spans="1:8" hidden="1">
      <c r="A1107" s="87">
        <v>22264316</v>
      </c>
      <c r="B1107" s="88" t="s">
        <v>2687</v>
      </c>
      <c r="C1107" s="88" t="s">
        <v>2688</v>
      </c>
      <c r="D1107" s="88" t="s">
        <v>7001</v>
      </c>
      <c r="E1107" s="94">
        <v>43383</v>
      </c>
      <c r="F1107" s="91"/>
      <c r="G1107" s="223">
        <f t="shared" si="34"/>
        <v>49</v>
      </c>
      <c r="H1107" s="222">
        <f t="shared" si="35"/>
        <v>22264316</v>
      </c>
    </row>
    <row r="1108" spans="1:8" hidden="1">
      <c r="A1108" s="87">
        <v>16541630</v>
      </c>
      <c r="B1108" s="88" t="s">
        <v>3101</v>
      </c>
      <c r="C1108" s="88" t="s">
        <v>3765</v>
      </c>
      <c r="D1108" s="88" t="s">
        <v>7001</v>
      </c>
      <c r="E1108" s="94">
        <v>43383</v>
      </c>
      <c r="F1108" s="91"/>
      <c r="G1108" s="223">
        <f t="shared" si="34"/>
        <v>20</v>
      </c>
      <c r="H1108" s="222">
        <f t="shared" si="35"/>
        <v>16541630</v>
      </c>
    </row>
    <row r="1109" spans="1:8" hidden="1">
      <c r="A1109" s="87">
        <v>17269935</v>
      </c>
      <c r="B1109" s="88" t="s">
        <v>315</v>
      </c>
      <c r="C1109" s="88" t="s">
        <v>1334</v>
      </c>
      <c r="D1109" s="88" t="s">
        <v>7001</v>
      </c>
      <c r="E1109" s="94">
        <v>43383</v>
      </c>
      <c r="F1109" s="91"/>
      <c r="G1109" s="223">
        <f t="shared" si="34"/>
        <v>14</v>
      </c>
      <c r="H1109" s="222">
        <f t="shared" si="35"/>
        <v>17269935</v>
      </c>
    </row>
    <row r="1110" spans="1:8" hidden="1">
      <c r="A1110" s="87">
        <v>32201633</v>
      </c>
      <c r="B1110" s="88" t="s">
        <v>327</v>
      </c>
      <c r="C1110" s="88" t="s">
        <v>3793</v>
      </c>
      <c r="D1110" s="88" t="s">
        <v>7001</v>
      </c>
      <c r="E1110" s="94">
        <v>43383</v>
      </c>
      <c r="F1110" s="91"/>
      <c r="G1110" s="223">
        <f t="shared" si="34"/>
        <v>20</v>
      </c>
      <c r="H1110" s="222">
        <f t="shared" si="35"/>
        <v>32201633</v>
      </c>
    </row>
    <row r="1111" spans="1:8" hidden="1">
      <c r="A1111" s="87">
        <v>32201633</v>
      </c>
      <c r="B1111" s="88" t="s">
        <v>327</v>
      </c>
      <c r="C1111" s="88" t="s">
        <v>3793</v>
      </c>
      <c r="D1111" s="88" t="s">
        <v>7001</v>
      </c>
      <c r="E1111" s="94">
        <v>43383</v>
      </c>
      <c r="F1111" s="91"/>
      <c r="G1111" s="223">
        <f t="shared" si="34"/>
        <v>20</v>
      </c>
      <c r="H1111" s="222">
        <f t="shared" si="35"/>
        <v>32201633</v>
      </c>
    </row>
    <row r="1112" spans="1:8" hidden="1">
      <c r="A1112" s="87">
        <v>25843480</v>
      </c>
      <c r="B1112" s="88" t="s">
        <v>355</v>
      </c>
      <c r="C1112" s="88" t="s">
        <v>1778</v>
      </c>
      <c r="D1112" s="88" t="s">
        <v>7001</v>
      </c>
      <c r="E1112" s="94">
        <v>43383</v>
      </c>
      <c r="F1112" s="91"/>
      <c r="G1112" s="223">
        <f t="shared" si="34"/>
        <v>15</v>
      </c>
      <c r="H1112" s="222">
        <f t="shared" si="35"/>
        <v>25843480</v>
      </c>
    </row>
    <row r="1113" spans="1:8" hidden="1">
      <c r="A1113" s="87">
        <v>25800534</v>
      </c>
      <c r="B1113" s="88" t="s">
        <v>4868</v>
      </c>
      <c r="C1113" s="88" t="s">
        <v>4869</v>
      </c>
      <c r="D1113" s="88" t="s">
        <v>7001</v>
      </c>
      <c r="E1113" s="94">
        <v>43383</v>
      </c>
      <c r="F1113" s="91"/>
      <c r="G1113" s="223">
        <f t="shared" si="34"/>
        <v>1</v>
      </c>
      <c r="H1113" s="222">
        <f t="shared" si="35"/>
        <v>25800534</v>
      </c>
    </row>
    <row r="1114" spans="1:8" hidden="1">
      <c r="A1114" s="87">
        <v>21334713</v>
      </c>
      <c r="B1114" s="88" t="s">
        <v>413</v>
      </c>
      <c r="C1114" s="88" t="s">
        <v>2218</v>
      </c>
      <c r="D1114" s="88" t="s">
        <v>7001</v>
      </c>
      <c r="E1114" s="94">
        <v>43383</v>
      </c>
      <c r="F1114" s="91"/>
      <c r="G1114" s="223">
        <f t="shared" si="34"/>
        <v>25</v>
      </c>
      <c r="H1114" s="222">
        <f t="shared" si="35"/>
        <v>21334713</v>
      </c>
    </row>
    <row r="1115" spans="1:8" hidden="1">
      <c r="A1115" s="87">
        <v>28681684</v>
      </c>
      <c r="B1115" s="88" t="s">
        <v>2642</v>
      </c>
      <c r="C1115" s="88" t="s">
        <v>2643</v>
      </c>
      <c r="D1115" s="88" t="s">
        <v>7001</v>
      </c>
      <c r="E1115" s="94">
        <v>43383</v>
      </c>
      <c r="F1115" s="91"/>
      <c r="G1115" s="223">
        <f t="shared" si="34"/>
        <v>14</v>
      </c>
      <c r="H1115" s="222">
        <f t="shared" si="35"/>
        <v>28681684</v>
      </c>
    </row>
    <row r="1116" spans="1:8" hidden="1">
      <c r="A1116" s="87">
        <v>17040680</v>
      </c>
      <c r="B1116" s="88" t="s">
        <v>6355</v>
      </c>
      <c r="C1116" s="88" t="s">
        <v>6356</v>
      </c>
      <c r="D1116" s="88" t="s">
        <v>7001</v>
      </c>
      <c r="E1116" s="94">
        <v>43383</v>
      </c>
      <c r="F1116" s="91"/>
      <c r="G1116" s="223">
        <f t="shared" si="34"/>
        <v>999</v>
      </c>
      <c r="H1116" s="222">
        <f t="shared" si="35"/>
        <v>17040680</v>
      </c>
    </row>
    <row r="1117" spans="1:8" hidden="1">
      <c r="A1117" s="87">
        <v>21328591</v>
      </c>
      <c r="B1117" s="88" t="s">
        <v>3975</v>
      </c>
      <c r="C1117" s="88" t="s">
        <v>571</v>
      </c>
      <c r="D1117" s="88" t="s">
        <v>7001</v>
      </c>
      <c r="E1117" s="94">
        <v>43383</v>
      </c>
      <c r="F1117" s="91"/>
      <c r="G1117" s="223">
        <f t="shared" si="34"/>
        <v>6</v>
      </c>
      <c r="H1117" s="222">
        <f t="shared" si="35"/>
        <v>21328591</v>
      </c>
    </row>
    <row r="1118" spans="1:8" hidden="1">
      <c r="A1118" s="87">
        <v>20219090</v>
      </c>
      <c r="B1118" s="88" t="s">
        <v>4429</v>
      </c>
      <c r="C1118" s="88" t="s">
        <v>215</v>
      </c>
      <c r="D1118" s="88" t="s">
        <v>7001</v>
      </c>
      <c r="E1118" s="94">
        <v>43383</v>
      </c>
      <c r="F1118" s="91"/>
      <c r="G1118" s="223">
        <f t="shared" si="34"/>
        <v>21</v>
      </c>
      <c r="H1118" s="222">
        <f t="shared" si="35"/>
        <v>20219090</v>
      </c>
    </row>
    <row r="1119" spans="1:8" hidden="1">
      <c r="A1119" s="87">
        <v>16617561</v>
      </c>
      <c r="B1119" s="88" t="s">
        <v>4445</v>
      </c>
      <c r="C1119" s="88" t="s">
        <v>4446</v>
      </c>
      <c r="D1119" s="88" t="s">
        <v>7001</v>
      </c>
      <c r="E1119" s="94">
        <v>43383</v>
      </c>
      <c r="F1119" s="91"/>
      <c r="G1119" s="223">
        <f t="shared" si="34"/>
        <v>21</v>
      </c>
      <c r="H1119" s="222">
        <f t="shared" si="35"/>
        <v>16617561</v>
      </c>
    </row>
    <row r="1120" spans="1:8" hidden="1">
      <c r="A1120" s="87">
        <v>14480554</v>
      </c>
      <c r="B1120" s="88" t="s">
        <v>1671</v>
      </c>
      <c r="C1120" s="88" t="s">
        <v>1672</v>
      </c>
      <c r="D1120" s="88" t="s">
        <v>7009</v>
      </c>
      <c r="E1120" s="94">
        <v>43382</v>
      </c>
      <c r="F1120" s="91"/>
      <c r="G1120" s="223">
        <f t="shared" si="34"/>
        <v>15</v>
      </c>
      <c r="H1120" s="222">
        <f t="shared" si="35"/>
        <v>14480554</v>
      </c>
    </row>
    <row r="1121" spans="1:8" hidden="1">
      <c r="A1121" s="87">
        <v>22877621</v>
      </c>
      <c r="B1121" s="88" t="s">
        <v>2454</v>
      </c>
      <c r="C1121" s="88" t="s">
        <v>106</v>
      </c>
      <c r="D1121" s="88" t="s">
        <v>7009</v>
      </c>
      <c r="E1121" s="94">
        <v>43382</v>
      </c>
      <c r="F1121" s="91"/>
      <c r="G1121" s="223">
        <f t="shared" si="34"/>
        <v>14</v>
      </c>
      <c r="H1121" s="222">
        <f t="shared" si="35"/>
        <v>22877621</v>
      </c>
    </row>
    <row r="1122" spans="1:8" hidden="1">
      <c r="A1122" s="87">
        <v>38744819</v>
      </c>
      <c r="B1122" s="88" t="s">
        <v>1388</v>
      </c>
      <c r="C1122" s="88" t="s">
        <v>1389</v>
      </c>
      <c r="D1122" s="88" t="s">
        <v>7009</v>
      </c>
      <c r="E1122" s="94">
        <v>43382</v>
      </c>
      <c r="F1122" s="91"/>
      <c r="G1122" s="223" t="str">
        <f t="shared" si="34"/>
        <v>sin dato</v>
      </c>
      <c r="H1122" s="222" t="str">
        <f t="shared" si="35"/>
        <v>999</v>
      </c>
    </row>
    <row r="1123" spans="1:8" hidden="1">
      <c r="A1123" s="87">
        <v>33091069</v>
      </c>
      <c r="B1123" s="88" t="s">
        <v>267</v>
      </c>
      <c r="C1123" s="88" t="s">
        <v>1756</v>
      </c>
      <c r="D1123" s="88" t="s">
        <v>7009</v>
      </c>
      <c r="E1123" s="94">
        <v>43382</v>
      </c>
      <c r="F1123" s="91"/>
      <c r="G1123" s="223">
        <f t="shared" si="34"/>
        <v>15</v>
      </c>
      <c r="H1123" s="222">
        <f t="shared" si="35"/>
        <v>33091069</v>
      </c>
    </row>
    <row r="1124" spans="1:8" hidden="1">
      <c r="A1124" s="87">
        <v>34287491</v>
      </c>
      <c r="B1124" s="88" t="s">
        <v>288</v>
      </c>
      <c r="C1124" s="88" t="s">
        <v>2112</v>
      </c>
      <c r="D1124" s="88" t="s">
        <v>7009</v>
      </c>
      <c r="E1124" s="94">
        <v>43382</v>
      </c>
      <c r="F1124" s="91"/>
      <c r="G1124" s="223">
        <f t="shared" si="34"/>
        <v>16</v>
      </c>
      <c r="H1124" s="222">
        <f t="shared" si="35"/>
        <v>34287491</v>
      </c>
    </row>
    <row r="1125" spans="1:8" hidden="1">
      <c r="A1125" s="87">
        <v>14480478</v>
      </c>
      <c r="B1125" s="88" t="s">
        <v>4603</v>
      </c>
      <c r="C1125" s="88" t="s">
        <v>708</v>
      </c>
      <c r="D1125" s="88" t="s">
        <v>7009</v>
      </c>
      <c r="E1125" s="94">
        <v>43382</v>
      </c>
      <c r="F1125" s="91"/>
      <c r="G1125" s="223">
        <f t="shared" si="34"/>
        <v>22</v>
      </c>
      <c r="H1125" s="222">
        <f t="shared" si="35"/>
        <v>14480478</v>
      </c>
    </row>
    <row r="1126" spans="1:8" hidden="1">
      <c r="A1126" s="87">
        <v>28053203</v>
      </c>
      <c r="B1126" s="88" t="s">
        <v>327</v>
      </c>
      <c r="C1126" s="88" t="s">
        <v>4495</v>
      </c>
      <c r="D1126" s="88" t="s">
        <v>7009</v>
      </c>
      <c r="E1126" s="94">
        <v>43382</v>
      </c>
      <c r="F1126" s="91"/>
      <c r="G1126" s="223">
        <f t="shared" si="34"/>
        <v>52</v>
      </c>
      <c r="H1126" s="222">
        <f t="shared" si="35"/>
        <v>28053203</v>
      </c>
    </row>
    <row r="1127" spans="1:8" hidden="1">
      <c r="A1127" s="87">
        <v>23519447</v>
      </c>
      <c r="B1127" s="88" t="s">
        <v>2195</v>
      </c>
      <c r="C1127" s="88" t="s">
        <v>2198</v>
      </c>
      <c r="D1127" s="88" t="s">
        <v>7009</v>
      </c>
      <c r="E1127" s="94">
        <v>43382</v>
      </c>
      <c r="F1127" s="91"/>
      <c r="G1127" s="223">
        <f t="shared" si="34"/>
        <v>16</v>
      </c>
      <c r="H1127" s="222">
        <f t="shared" si="35"/>
        <v>23519447</v>
      </c>
    </row>
    <row r="1128" spans="1:8" hidden="1">
      <c r="A1128" s="87">
        <v>24200921</v>
      </c>
      <c r="B1128" s="88" t="s">
        <v>4784</v>
      </c>
      <c r="C1128" s="88" t="s">
        <v>1085</v>
      </c>
      <c r="D1128" s="88" t="s">
        <v>7009</v>
      </c>
      <c r="E1128" s="94">
        <v>43382</v>
      </c>
      <c r="F1128" s="91"/>
      <c r="G1128" s="223">
        <f t="shared" si="34"/>
        <v>23</v>
      </c>
      <c r="H1128" s="222">
        <f t="shared" si="35"/>
        <v>24200921</v>
      </c>
    </row>
    <row r="1129" spans="1:8" hidden="1">
      <c r="A1129" s="87">
        <v>36838680</v>
      </c>
      <c r="B1129" s="88" t="s">
        <v>1393</v>
      </c>
      <c r="C1129" s="88" t="s">
        <v>97</v>
      </c>
      <c r="D1129" s="88" t="s">
        <v>7009</v>
      </c>
      <c r="E1129" s="94">
        <v>43382</v>
      </c>
      <c r="F1129" s="91"/>
      <c r="G1129" s="223" t="str">
        <f t="shared" si="34"/>
        <v>sin dato</v>
      </c>
      <c r="H1129" s="222" t="str">
        <f t="shared" si="35"/>
        <v>999</v>
      </c>
    </row>
    <row r="1130" spans="1:8" hidden="1">
      <c r="A1130" s="87">
        <v>36224368</v>
      </c>
      <c r="B1130" s="88" t="s">
        <v>1257</v>
      </c>
      <c r="C1130" s="88" t="s">
        <v>1258</v>
      </c>
      <c r="D1130" s="88" t="s">
        <v>7009</v>
      </c>
      <c r="E1130" s="94">
        <v>43382</v>
      </c>
      <c r="F1130" s="91"/>
      <c r="G1130" s="223" t="str">
        <f t="shared" si="34"/>
        <v>sin dato</v>
      </c>
      <c r="H1130" s="222" t="str">
        <f t="shared" si="35"/>
        <v>999</v>
      </c>
    </row>
    <row r="1131" spans="1:8" hidden="1">
      <c r="A1131" s="87">
        <v>20219090</v>
      </c>
      <c r="B1131" s="88" t="s">
        <v>4429</v>
      </c>
      <c r="C1131" s="88" t="s">
        <v>215</v>
      </c>
      <c r="D1131" s="88" t="s">
        <v>7009</v>
      </c>
      <c r="E1131" s="94">
        <v>43382</v>
      </c>
      <c r="F1131" s="91"/>
      <c r="G1131" s="223">
        <f t="shared" si="34"/>
        <v>21</v>
      </c>
      <c r="H1131" s="222">
        <f t="shared" si="35"/>
        <v>20219090</v>
      </c>
    </row>
    <row r="1132" spans="1:8" hidden="1">
      <c r="A1132" s="87">
        <v>11239557</v>
      </c>
      <c r="B1132" s="88" t="s">
        <v>1385</v>
      </c>
      <c r="C1132" s="88" t="s">
        <v>3655</v>
      </c>
      <c r="D1132" s="88" t="s">
        <v>6984</v>
      </c>
      <c r="E1132" s="94">
        <v>43381</v>
      </c>
      <c r="F1132" s="91"/>
      <c r="G1132" s="223">
        <f t="shared" si="34"/>
        <v>20</v>
      </c>
      <c r="H1132" s="222">
        <f t="shared" si="35"/>
        <v>11239557</v>
      </c>
    </row>
    <row r="1133" spans="1:8" hidden="1">
      <c r="A1133" s="87">
        <v>13710155</v>
      </c>
      <c r="B1133" s="88" t="s">
        <v>3182</v>
      </c>
      <c r="C1133" s="88" t="s">
        <v>3664</v>
      </c>
      <c r="D1133" s="88" t="s">
        <v>6984</v>
      </c>
      <c r="E1133" s="94">
        <v>43381</v>
      </c>
      <c r="F1133" s="91"/>
      <c r="G1133" s="223">
        <f t="shared" si="34"/>
        <v>20</v>
      </c>
      <c r="H1133" s="222">
        <f t="shared" si="35"/>
        <v>13710155</v>
      </c>
    </row>
    <row r="1134" spans="1:8" hidden="1">
      <c r="A1134" s="87">
        <v>33163552</v>
      </c>
      <c r="B1134" s="88" t="s">
        <v>190</v>
      </c>
      <c r="C1134" s="88" t="s">
        <v>743</v>
      </c>
      <c r="D1134" s="88" t="s">
        <v>6984</v>
      </c>
      <c r="E1134" s="94">
        <v>43381</v>
      </c>
      <c r="F1134" s="91"/>
      <c r="G1134" s="223">
        <f t="shared" si="34"/>
        <v>20</v>
      </c>
      <c r="H1134" s="222">
        <f t="shared" si="35"/>
        <v>33163552</v>
      </c>
    </row>
    <row r="1135" spans="1:8" hidden="1">
      <c r="A1135" s="87">
        <v>23238427</v>
      </c>
      <c r="B1135" s="88" t="s">
        <v>3734</v>
      </c>
      <c r="C1135" s="88" t="s">
        <v>3735</v>
      </c>
      <c r="D1135" s="88" t="s">
        <v>6984</v>
      </c>
      <c r="E1135" s="94">
        <v>43381</v>
      </c>
      <c r="F1135" s="91"/>
      <c r="G1135" s="223">
        <f t="shared" si="34"/>
        <v>20</v>
      </c>
      <c r="H1135" s="222">
        <f t="shared" si="35"/>
        <v>23238427</v>
      </c>
    </row>
    <row r="1136" spans="1:8" hidden="1">
      <c r="A1136" s="87">
        <v>24553106</v>
      </c>
      <c r="B1136" s="88" t="s">
        <v>3749</v>
      </c>
      <c r="C1136" s="88" t="s">
        <v>3750</v>
      </c>
      <c r="D1136" s="88" t="s">
        <v>6984</v>
      </c>
      <c r="E1136" s="94">
        <v>43381</v>
      </c>
      <c r="F1136" s="91"/>
      <c r="G1136" s="223">
        <f t="shared" si="34"/>
        <v>20</v>
      </c>
      <c r="H1136" s="222">
        <f t="shared" si="35"/>
        <v>24553106</v>
      </c>
    </row>
    <row r="1137" spans="1:8" hidden="1">
      <c r="A1137" s="87">
        <v>23827367</v>
      </c>
      <c r="B1137" s="88" t="s">
        <v>3754</v>
      </c>
      <c r="C1137" s="88" t="s">
        <v>3755</v>
      </c>
      <c r="D1137" s="88" t="s">
        <v>6984</v>
      </c>
      <c r="E1137" s="94">
        <v>43381</v>
      </c>
      <c r="F1137" s="91"/>
      <c r="G1137" s="223">
        <f t="shared" si="34"/>
        <v>20</v>
      </c>
      <c r="H1137" s="222">
        <f t="shared" si="35"/>
        <v>23827367</v>
      </c>
    </row>
    <row r="1138" spans="1:8" hidden="1">
      <c r="A1138" s="87">
        <v>14359662</v>
      </c>
      <c r="B1138" s="88" t="s">
        <v>3770</v>
      </c>
      <c r="C1138" s="88" t="s">
        <v>3771</v>
      </c>
      <c r="D1138" s="88" t="s">
        <v>6984</v>
      </c>
      <c r="E1138" s="94">
        <v>43381</v>
      </c>
      <c r="F1138" s="91"/>
      <c r="G1138" s="223">
        <f t="shared" si="34"/>
        <v>20</v>
      </c>
      <c r="H1138" s="222">
        <f t="shared" si="35"/>
        <v>14359662</v>
      </c>
    </row>
    <row r="1139" spans="1:8" hidden="1">
      <c r="A1139" s="87">
        <v>22263816</v>
      </c>
      <c r="B1139" s="88" t="s">
        <v>1613</v>
      </c>
      <c r="C1139" s="88" t="s">
        <v>3852</v>
      </c>
      <c r="D1139" s="88" t="s">
        <v>6984</v>
      </c>
      <c r="E1139" s="94">
        <v>43381</v>
      </c>
      <c r="F1139" s="91"/>
      <c r="G1139" s="223">
        <f t="shared" si="34"/>
        <v>20</v>
      </c>
      <c r="H1139" s="222">
        <f t="shared" si="35"/>
        <v>22263816</v>
      </c>
    </row>
    <row r="1140" spans="1:8" hidden="1">
      <c r="A1140" s="87">
        <v>23015488</v>
      </c>
      <c r="B1140" s="88" t="s">
        <v>3871</v>
      </c>
      <c r="C1140" s="88" t="s">
        <v>1061</v>
      </c>
      <c r="D1140" s="88" t="s">
        <v>6984</v>
      </c>
      <c r="E1140" s="94">
        <v>43381</v>
      </c>
      <c r="F1140" s="91"/>
      <c r="G1140" s="223">
        <f t="shared" si="34"/>
        <v>20</v>
      </c>
      <c r="H1140" s="222">
        <f t="shared" si="35"/>
        <v>23015488</v>
      </c>
    </row>
    <row r="1141" spans="1:8" hidden="1">
      <c r="A1141" s="87">
        <v>20285028</v>
      </c>
      <c r="B1141" s="88" t="s">
        <v>927</v>
      </c>
      <c r="C1141" s="88" t="s">
        <v>4897</v>
      </c>
      <c r="D1141" s="88" t="s">
        <v>7011</v>
      </c>
      <c r="E1141" s="94">
        <v>43381</v>
      </c>
      <c r="F1141" s="91"/>
      <c r="G1141" s="223">
        <f t="shared" si="34"/>
        <v>14</v>
      </c>
      <c r="H1141" s="222">
        <f t="shared" si="35"/>
        <v>20285028</v>
      </c>
    </row>
    <row r="1142" spans="1:8" hidden="1">
      <c r="A1142" s="87">
        <v>32158209</v>
      </c>
      <c r="B1142" s="88" t="s">
        <v>1900</v>
      </c>
      <c r="C1142" s="88" t="s">
        <v>1901</v>
      </c>
      <c r="D1142" s="88" t="s">
        <v>7011</v>
      </c>
      <c r="E1142" s="94">
        <v>43381</v>
      </c>
      <c r="F1142" s="91"/>
      <c r="G1142" s="223">
        <f t="shared" si="34"/>
        <v>16</v>
      </c>
      <c r="H1142" s="222">
        <f t="shared" si="35"/>
        <v>32158209</v>
      </c>
    </row>
    <row r="1143" spans="1:8" hidden="1">
      <c r="A1143" s="87">
        <v>27732258</v>
      </c>
      <c r="B1143" s="88" t="s">
        <v>1385</v>
      </c>
      <c r="C1143" s="88" t="s">
        <v>74</v>
      </c>
      <c r="D1143" s="88" t="s">
        <v>7011</v>
      </c>
      <c r="E1143" s="94">
        <v>43381</v>
      </c>
      <c r="F1143" s="91"/>
      <c r="G1143" s="223">
        <f t="shared" si="34"/>
        <v>14</v>
      </c>
      <c r="H1143" s="222">
        <f t="shared" si="35"/>
        <v>27732258</v>
      </c>
    </row>
    <row r="1144" spans="1:8" hidden="1">
      <c r="A1144" s="87">
        <v>12869656</v>
      </c>
      <c r="B1144" s="88" t="s">
        <v>1989</v>
      </c>
      <c r="C1144" s="88" t="s">
        <v>1990</v>
      </c>
      <c r="D1144" s="88" t="s">
        <v>7011</v>
      </c>
      <c r="E1144" s="94">
        <v>43381</v>
      </c>
      <c r="F1144" s="91"/>
      <c r="G1144" s="223">
        <f t="shared" si="34"/>
        <v>16</v>
      </c>
      <c r="H1144" s="222">
        <f t="shared" si="35"/>
        <v>12869656</v>
      </c>
    </row>
    <row r="1145" spans="1:8" hidden="1">
      <c r="A1145" s="87">
        <v>16685130</v>
      </c>
      <c r="B1145" s="88" t="s">
        <v>2329</v>
      </c>
      <c r="C1145" s="88" t="s">
        <v>2330</v>
      </c>
      <c r="D1145" s="88" t="s">
        <v>7011</v>
      </c>
      <c r="E1145" s="94">
        <v>43381</v>
      </c>
      <c r="F1145" s="91"/>
      <c r="G1145" s="223">
        <f t="shared" si="34"/>
        <v>16</v>
      </c>
      <c r="H1145" s="222">
        <f t="shared" si="35"/>
        <v>16685130</v>
      </c>
    </row>
    <row r="1146" spans="1:8" hidden="1">
      <c r="A1146" s="87">
        <v>29061095</v>
      </c>
      <c r="B1146" s="88" t="s">
        <v>1864</v>
      </c>
      <c r="C1146" s="88" t="s">
        <v>1585</v>
      </c>
      <c r="D1146" s="88" t="s">
        <v>7011</v>
      </c>
      <c r="E1146" s="94">
        <v>43381</v>
      </c>
      <c r="F1146" s="91"/>
      <c r="G1146" s="223">
        <f t="shared" si="34"/>
        <v>15</v>
      </c>
      <c r="H1146" s="222">
        <f t="shared" si="35"/>
        <v>29061095</v>
      </c>
    </row>
    <row r="1147" spans="1:8" hidden="1">
      <c r="A1147" s="87">
        <v>11475984</v>
      </c>
      <c r="B1147" s="88" t="s">
        <v>3041</v>
      </c>
      <c r="C1147" s="88" t="s">
        <v>783</v>
      </c>
      <c r="D1147" s="88" t="s">
        <v>7011</v>
      </c>
      <c r="E1147" s="94">
        <v>43381</v>
      </c>
      <c r="F1147" s="91"/>
      <c r="G1147" s="223">
        <f t="shared" si="34"/>
        <v>19</v>
      </c>
      <c r="H1147" s="222">
        <f t="shared" si="35"/>
        <v>11475984</v>
      </c>
    </row>
    <row r="1148" spans="1:8" hidden="1">
      <c r="A1148" s="87">
        <v>14226566</v>
      </c>
      <c r="B1148" s="88" t="s">
        <v>547</v>
      </c>
      <c r="C1148" s="88" t="s">
        <v>2827</v>
      </c>
      <c r="D1148" s="88" t="s">
        <v>7011</v>
      </c>
      <c r="E1148" s="94">
        <v>43381</v>
      </c>
      <c r="F1148" s="91"/>
      <c r="G1148" s="223">
        <f t="shared" si="34"/>
        <v>60</v>
      </c>
      <c r="H1148" s="222">
        <f t="shared" si="35"/>
        <v>14226566</v>
      </c>
    </row>
    <row r="1149" spans="1:8" hidden="1">
      <c r="A1149" s="87">
        <v>27365353</v>
      </c>
      <c r="B1149" s="88" t="s">
        <v>5732</v>
      </c>
      <c r="C1149" s="88" t="s">
        <v>5733</v>
      </c>
      <c r="D1149" s="88" t="s">
        <v>7011</v>
      </c>
      <c r="E1149" s="94">
        <v>43381</v>
      </c>
      <c r="F1149" s="91"/>
      <c r="G1149" s="223">
        <f t="shared" si="34"/>
        <v>65</v>
      </c>
      <c r="H1149" s="222">
        <f t="shared" si="35"/>
        <v>27365353</v>
      </c>
    </row>
    <row r="1150" spans="1:8" hidden="1">
      <c r="A1150" s="87">
        <v>14660614</v>
      </c>
      <c r="B1150" s="88" t="s">
        <v>2355</v>
      </c>
      <c r="C1150" s="88" t="s">
        <v>2356</v>
      </c>
      <c r="D1150" s="88" t="s">
        <v>7013</v>
      </c>
      <c r="E1150" s="94">
        <v>43327</v>
      </c>
      <c r="F1150" s="91" t="s">
        <v>7015</v>
      </c>
      <c r="G1150" s="223">
        <f t="shared" si="34"/>
        <v>17</v>
      </c>
      <c r="H1150" s="222">
        <f t="shared" si="35"/>
        <v>14660614</v>
      </c>
    </row>
    <row r="1151" spans="1:8" hidden="1">
      <c r="A1151" s="87">
        <v>20178395</v>
      </c>
      <c r="B1151" s="88" t="s">
        <v>2358</v>
      </c>
      <c r="C1151" s="88" t="s">
        <v>902</v>
      </c>
      <c r="D1151" s="88" t="s">
        <v>7013</v>
      </c>
      <c r="E1151" s="94">
        <v>43327</v>
      </c>
      <c r="F1151" s="91" t="s">
        <v>7015</v>
      </c>
      <c r="G1151" s="223">
        <f t="shared" si="34"/>
        <v>17</v>
      </c>
      <c r="H1151" s="222">
        <f t="shared" si="35"/>
        <v>20178395</v>
      </c>
    </row>
    <row r="1152" spans="1:8" hidden="1">
      <c r="A1152" s="87">
        <v>17293872</v>
      </c>
      <c r="B1152" s="88" t="s">
        <v>47</v>
      </c>
      <c r="C1152" s="88" t="s">
        <v>4259</v>
      </c>
      <c r="D1152" s="88" t="s">
        <v>7013</v>
      </c>
      <c r="E1152" s="94">
        <v>43327</v>
      </c>
      <c r="F1152" s="91" t="s">
        <v>7015</v>
      </c>
      <c r="G1152" s="223">
        <f t="shared" si="34"/>
        <v>21</v>
      </c>
      <c r="H1152" s="222">
        <f t="shared" si="35"/>
        <v>17293872</v>
      </c>
    </row>
    <row r="1153" spans="1:8" hidden="1">
      <c r="A1153" s="87">
        <v>33756495</v>
      </c>
      <c r="B1153" s="88" t="s">
        <v>1385</v>
      </c>
      <c r="C1153" s="88" t="s">
        <v>1867</v>
      </c>
      <c r="D1153" s="88" t="s">
        <v>7013</v>
      </c>
      <c r="E1153" s="94">
        <v>43327</v>
      </c>
      <c r="F1153" s="91" t="s">
        <v>7015</v>
      </c>
      <c r="G1153" s="223">
        <f t="shared" si="34"/>
        <v>15</v>
      </c>
      <c r="H1153" s="222">
        <f t="shared" si="35"/>
        <v>33756495</v>
      </c>
    </row>
    <row r="1154" spans="1:8" hidden="1">
      <c r="A1154" s="87">
        <v>29533058</v>
      </c>
      <c r="B1154" s="88" t="s">
        <v>146</v>
      </c>
      <c r="C1154" s="88" t="s">
        <v>147</v>
      </c>
      <c r="D1154" s="88" t="s">
        <v>7013</v>
      </c>
      <c r="E1154" s="94">
        <v>43327</v>
      </c>
      <c r="F1154" s="91" t="s">
        <v>7015</v>
      </c>
      <c r="G1154" s="223">
        <f t="shared" ref="G1154:G1217" si="36">IFERROR(INDEX(unidad,MATCH(VLOOKUP(A1154,alum,9,0),unidad2,0),1),"sin dato")</f>
        <v>12</v>
      </c>
      <c r="H1154" s="222">
        <f t="shared" ref="H1154:H1217" si="37">IFERROR(VLOOKUP(A1154,alum,1,0),"999")</f>
        <v>29533058</v>
      </c>
    </row>
    <row r="1155" spans="1:8" hidden="1">
      <c r="A1155" s="87">
        <v>25211601</v>
      </c>
      <c r="B1155" s="88" t="s">
        <v>1957</v>
      </c>
      <c r="C1155" s="88" t="s">
        <v>1958</v>
      </c>
      <c r="D1155" s="88" t="s">
        <v>7013</v>
      </c>
      <c r="E1155" s="94">
        <v>43327</v>
      </c>
      <c r="F1155" s="91" t="s">
        <v>7015</v>
      </c>
      <c r="G1155" s="223">
        <f t="shared" si="36"/>
        <v>16</v>
      </c>
      <c r="H1155" s="222">
        <f t="shared" si="37"/>
        <v>25211601</v>
      </c>
    </row>
    <row r="1156" spans="1:8" hidden="1">
      <c r="A1156" s="87">
        <v>27365139</v>
      </c>
      <c r="B1156" s="88" t="s">
        <v>195</v>
      </c>
      <c r="C1156" s="88" t="s">
        <v>1710</v>
      </c>
      <c r="D1156" s="88" t="s">
        <v>7013</v>
      </c>
      <c r="E1156" s="94">
        <v>43327</v>
      </c>
      <c r="F1156" s="91" t="s">
        <v>7015</v>
      </c>
      <c r="G1156" s="223">
        <f t="shared" si="36"/>
        <v>15</v>
      </c>
      <c r="H1156" s="222">
        <f t="shared" si="37"/>
        <v>27365139</v>
      </c>
    </row>
    <row r="1157" spans="1:8" hidden="1">
      <c r="A1157" s="87">
        <v>22211664</v>
      </c>
      <c r="B1157" s="88" t="s">
        <v>5551</v>
      </c>
      <c r="C1157" s="88" t="s">
        <v>5552</v>
      </c>
      <c r="D1157" s="88" t="s">
        <v>7013</v>
      </c>
      <c r="E1157" s="94">
        <v>43327</v>
      </c>
      <c r="F1157" s="91" t="s">
        <v>7015</v>
      </c>
      <c r="G1157" s="223">
        <f t="shared" si="36"/>
        <v>6</v>
      </c>
      <c r="H1157" s="222">
        <f t="shared" si="37"/>
        <v>22211664</v>
      </c>
    </row>
    <row r="1158" spans="1:8" hidden="1">
      <c r="A1158" s="87">
        <v>14296958</v>
      </c>
      <c r="B1158" s="88" t="s">
        <v>5838</v>
      </c>
      <c r="C1158" s="88" t="s">
        <v>5839</v>
      </c>
      <c r="D1158" s="88" t="s">
        <v>7013</v>
      </c>
      <c r="E1158" s="94">
        <v>43327</v>
      </c>
      <c r="F1158" s="91" t="s">
        <v>7015</v>
      </c>
      <c r="G1158" s="223">
        <f t="shared" si="36"/>
        <v>5</v>
      </c>
      <c r="H1158" s="222">
        <f t="shared" si="37"/>
        <v>14296958</v>
      </c>
    </row>
    <row r="1159" spans="1:8" hidden="1">
      <c r="A1159" s="87">
        <v>12413084</v>
      </c>
      <c r="B1159" s="88" t="s">
        <v>5346</v>
      </c>
      <c r="C1159" s="88" t="s">
        <v>5347</v>
      </c>
      <c r="D1159" s="88" t="s">
        <v>7013</v>
      </c>
      <c r="E1159" s="94">
        <v>43327</v>
      </c>
      <c r="F1159" s="91" t="s">
        <v>7015</v>
      </c>
      <c r="G1159" s="223">
        <f t="shared" si="36"/>
        <v>7</v>
      </c>
      <c r="H1159" s="222">
        <f t="shared" si="37"/>
        <v>12413084</v>
      </c>
    </row>
    <row r="1160" spans="1:8" hidden="1">
      <c r="A1160" s="87">
        <v>31425939</v>
      </c>
      <c r="B1160" s="88" t="s">
        <v>218</v>
      </c>
      <c r="C1160" s="88" t="s">
        <v>1741</v>
      </c>
      <c r="D1160" s="88" t="s">
        <v>7013</v>
      </c>
      <c r="E1160" s="94">
        <v>43327</v>
      </c>
      <c r="F1160" s="91" t="s">
        <v>7015</v>
      </c>
      <c r="G1160" s="223">
        <f t="shared" si="36"/>
        <v>15</v>
      </c>
      <c r="H1160" s="222">
        <f t="shared" si="37"/>
        <v>31425939</v>
      </c>
    </row>
    <row r="1161" spans="1:8" hidden="1">
      <c r="A1161" s="87">
        <v>21846191</v>
      </c>
      <c r="B1161" s="88" t="s">
        <v>4330</v>
      </c>
      <c r="C1161" s="88" t="s">
        <v>4331</v>
      </c>
      <c r="D1161" s="88" t="s">
        <v>7013</v>
      </c>
      <c r="E1161" s="94">
        <v>43327</v>
      </c>
      <c r="F1161" s="91" t="s">
        <v>7015</v>
      </c>
      <c r="G1161" s="223">
        <f t="shared" si="36"/>
        <v>21</v>
      </c>
      <c r="H1161" s="222">
        <f t="shared" si="37"/>
        <v>21846191</v>
      </c>
    </row>
    <row r="1162" spans="1:8" hidden="1">
      <c r="A1162" s="87">
        <v>24830971</v>
      </c>
      <c r="B1162" s="88" t="s">
        <v>4333</v>
      </c>
      <c r="C1162" s="88" t="s">
        <v>4334</v>
      </c>
      <c r="D1162" s="88" t="s">
        <v>7013</v>
      </c>
      <c r="E1162" s="94">
        <v>43327</v>
      </c>
      <c r="F1162" s="91" t="s">
        <v>7015</v>
      </c>
      <c r="G1162" s="223">
        <f t="shared" si="36"/>
        <v>21</v>
      </c>
      <c r="H1162" s="222">
        <f t="shared" si="37"/>
        <v>24830971</v>
      </c>
    </row>
    <row r="1163" spans="1:8" hidden="1">
      <c r="A1163" s="87">
        <v>14480444</v>
      </c>
      <c r="B1163" s="88" t="s">
        <v>5781</v>
      </c>
      <c r="C1163" s="88" t="s">
        <v>639</v>
      </c>
      <c r="D1163" s="88" t="s">
        <v>7013</v>
      </c>
      <c r="E1163" s="94">
        <v>43327</v>
      </c>
      <c r="F1163" s="91" t="s">
        <v>7015</v>
      </c>
      <c r="G1163" s="223" t="str">
        <f t="shared" si="36"/>
        <v>sin dato</v>
      </c>
      <c r="H1163" s="222">
        <f t="shared" si="37"/>
        <v>14480444</v>
      </c>
    </row>
    <row r="1164" spans="1:8" hidden="1">
      <c r="A1164" s="87">
        <v>16811619</v>
      </c>
      <c r="B1164" s="88" t="s">
        <v>811</v>
      </c>
      <c r="C1164" s="88" t="s">
        <v>2295</v>
      </c>
      <c r="D1164" s="88" t="s">
        <v>7013</v>
      </c>
      <c r="E1164" s="94">
        <v>43327</v>
      </c>
      <c r="F1164" s="91" t="s">
        <v>7015</v>
      </c>
      <c r="G1164" s="223">
        <f t="shared" si="36"/>
        <v>7</v>
      </c>
      <c r="H1164" s="222">
        <f t="shared" si="37"/>
        <v>16811619</v>
      </c>
    </row>
    <row r="1165" spans="1:8" hidden="1">
      <c r="A1165" s="87">
        <v>22264316</v>
      </c>
      <c r="B1165" s="88" t="s">
        <v>2687</v>
      </c>
      <c r="C1165" s="88" t="s">
        <v>2688</v>
      </c>
      <c r="D1165" s="88" t="s">
        <v>7013</v>
      </c>
      <c r="E1165" s="94">
        <v>43327</v>
      </c>
      <c r="F1165" s="91" t="s">
        <v>7015</v>
      </c>
      <c r="G1165" s="223">
        <f t="shared" si="36"/>
        <v>49</v>
      </c>
      <c r="H1165" s="222">
        <f t="shared" si="37"/>
        <v>22264316</v>
      </c>
    </row>
    <row r="1166" spans="1:8" hidden="1">
      <c r="A1166" s="87">
        <v>12918409</v>
      </c>
      <c r="B1166" s="88" t="s">
        <v>3762</v>
      </c>
      <c r="C1166" s="88" t="s">
        <v>3763</v>
      </c>
      <c r="D1166" s="88" t="s">
        <v>7013</v>
      </c>
      <c r="E1166" s="94">
        <v>43327</v>
      </c>
      <c r="F1166" s="91" t="s">
        <v>7015</v>
      </c>
      <c r="G1166" s="223">
        <f t="shared" si="36"/>
        <v>20</v>
      </c>
      <c r="H1166" s="222">
        <f t="shared" si="37"/>
        <v>12918409</v>
      </c>
    </row>
    <row r="1167" spans="1:8" hidden="1">
      <c r="A1167" s="87">
        <v>14359850</v>
      </c>
      <c r="B1167" s="88" t="s">
        <v>5663</v>
      </c>
      <c r="C1167" s="88" t="s">
        <v>5664</v>
      </c>
      <c r="D1167" s="88" t="s">
        <v>7013</v>
      </c>
      <c r="E1167" s="94">
        <v>43327</v>
      </c>
      <c r="F1167" s="91" t="s">
        <v>7015</v>
      </c>
      <c r="G1167" s="223">
        <f t="shared" si="36"/>
        <v>6</v>
      </c>
      <c r="H1167" s="222">
        <f t="shared" si="37"/>
        <v>14359850</v>
      </c>
    </row>
    <row r="1168" spans="1:8" hidden="1">
      <c r="A1168" s="87">
        <v>25843239</v>
      </c>
      <c r="B1168" s="88" t="s">
        <v>4874</v>
      </c>
      <c r="C1168" s="88" t="s">
        <v>4875</v>
      </c>
      <c r="D1168" s="88" t="s">
        <v>7013</v>
      </c>
      <c r="E1168" s="94">
        <v>43327</v>
      </c>
      <c r="F1168" s="91" t="s">
        <v>7015</v>
      </c>
      <c r="G1168" s="223">
        <f t="shared" si="36"/>
        <v>52</v>
      </c>
      <c r="H1168" s="222">
        <f t="shared" si="37"/>
        <v>25843239</v>
      </c>
    </row>
    <row r="1169" spans="1:8" hidden="1">
      <c r="A1169" s="87">
        <v>21329323</v>
      </c>
      <c r="B1169" s="88" t="s">
        <v>4646</v>
      </c>
      <c r="C1169" s="88" t="s">
        <v>2447</v>
      </c>
      <c r="D1169" s="88" t="s">
        <v>7013</v>
      </c>
      <c r="E1169" s="94">
        <v>43327</v>
      </c>
      <c r="F1169" s="91" t="s">
        <v>7015</v>
      </c>
      <c r="G1169" s="223">
        <f t="shared" si="36"/>
        <v>22</v>
      </c>
      <c r="H1169" s="222">
        <f t="shared" si="37"/>
        <v>21329323</v>
      </c>
    </row>
    <row r="1170" spans="1:8" hidden="1">
      <c r="A1170" s="87">
        <v>21328591</v>
      </c>
      <c r="B1170" s="88" t="s">
        <v>3975</v>
      </c>
      <c r="C1170" s="88" t="s">
        <v>571</v>
      </c>
      <c r="D1170" s="88" t="s">
        <v>7013</v>
      </c>
      <c r="E1170" s="94">
        <v>43327</v>
      </c>
      <c r="F1170" s="91" t="s">
        <v>7015</v>
      </c>
      <c r="G1170" s="223">
        <f t="shared" si="36"/>
        <v>6</v>
      </c>
      <c r="H1170" s="222">
        <f t="shared" si="37"/>
        <v>21328591</v>
      </c>
    </row>
    <row r="1171" spans="1:8" hidden="1">
      <c r="A1171" s="87">
        <v>17613465</v>
      </c>
      <c r="B1171" s="88" t="s">
        <v>2840</v>
      </c>
      <c r="C1171" s="88" t="s">
        <v>687</v>
      </c>
      <c r="D1171" s="88" t="s">
        <v>7013</v>
      </c>
      <c r="E1171" s="94">
        <v>43327</v>
      </c>
      <c r="F1171" s="91" t="s">
        <v>7015</v>
      </c>
      <c r="G1171" s="223">
        <f t="shared" si="36"/>
        <v>999</v>
      </c>
      <c r="H1171" s="222">
        <f t="shared" si="37"/>
        <v>17613465</v>
      </c>
    </row>
    <row r="1172" spans="1:8" hidden="1">
      <c r="A1172" s="87">
        <v>36838188</v>
      </c>
      <c r="B1172" s="88" t="s">
        <v>875</v>
      </c>
      <c r="C1172" s="88" t="s">
        <v>3409</v>
      </c>
      <c r="D1172" s="88" t="s">
        <v>7013</v>
      </c>
      <c r="E1172" s="94">
        <v>43327</v>
      </c>
      <c r="F1172" s="91" t="s">
        <v>7015</v>
      </c>
      <c r="G1172" s="223" t="str">
        <f t="shared" si="36"/>
        <v>sin dato</v>
      </c>
      <c r="H1172" s="222" t="str">
        <f t="shared" si="37"/>
        <v>999</v>
      </c>
    </row>
    <row r="1173" spans="1:8" hidden="1">
      <c r="A1173" s="87">
        <v>23238026</v>
      </c>
      <c r="B1173" s="88" t="s">
        <v>4893</v>
      </c>
      <c r="C1173" s="88" t="s">
        <v>1535</v>
      </c>
      <c r="D1173" s="88" t="s">
        <v>7013</v>
      </c>
      <c r="E1173" s="94">
        <v>43327</v>
      </c>
      <c r="F1173" s="91" t="s">
        <v>7015</v>
      </c>
      <c r="G1173" s="223">
        <f t="shared" si="36"/>
        <v>10</v>
      </c>
      <c r="H1173" s="222">
        <f t="shared" si="37"/>
        <v>23238026</v>
      </c>
    </row>
    <row r="1174" spans="1:8" hidden="1">
      <c r="A1174" s="87">
        <v>16617561</v>
      </c>
      <c r="B1174" s="88" t="s">
        <v>4445</v>
      </c>
      <c r="C1174" s="88" t="s">
        <v>4446</v>
      </c>
      <c r="D1174" s="88" t="s">
        <v>7013</v>
      </c>
      <c r="E1174" s="94">
        <v>43327</v>
      </c>
      <c r="F1174" s="91" t="s">
        <v>7015</v>
      </c>
      <c r="G1174" s="223">
        <f t="shared" si="36"/>
        <v>21</v>
      </c>
      <c r="H1174" s="222">
        <f t="shared" si="37"/>
        <v>16617561</v>
      </c>
    </row>
    <row r="1175" spans="1:8" hidden="1">
      <c r="A1175" s="87">
        <v>23931160</v>
      </c>
      <c r="B1175" s="88" t="s">
        <v>4673</v>
      </c>
      <c r="C1175" s="88" t="s">
        <v>3888</v>
      </c>
      <c r="D1175" s="88" t="s">
        <v>7013</v>
      </c>
      <c r="E1175" s="94">
        <v>43327</v>
      </c>
      <c r="F1175" s="91" t="s">
        <v>7015</v>
      </c>
      <c r="G1175" s="223">
        <f t="shared" si="36"/>
        <v>22</v>
      </c>
      <c r="H1175" s="222">
        <f t="shared" si="37"/>
        <v>23931160</v>
      </c>
    </row>
    <row r="1176" spans="1:8" hidden="1">
      <c r="A1176" s="87">
        <v>25444256</v>
      </c>
      <c r="B1176" s="88" t="s">
        <v>5764</v>
      </c>
      <c r="C1176" s="88" t="s">
        <v>5765</v>
      </c>
      <c r="D1176" s="88" t="s">
        <v>7016</v>
      </c>
      <c r="E1176" s="94">
        <v>43321</v>
      </c>
      <c r="F1176" s="91" t="s">
        <v>7015</v>
      </c>
      <c r="G1176" s="223" t="str">
        <f t="shared" si="36"/>
        <v>sin dato</v>
      </c>
      <c r="H1176" s="222">
        <f t="shared" si="37"/>
        <v>25444256</v>
      </c>
    </row>
    <row r="1177" spans="1:8" hidden="1">
      <c r="A1177" s="87">
        <v>26028695</v>
      </c>
      <c r="B1177" s="88" t="s">
        <v>1680</v>
      </c>
      <c r="C1177" s="88" t="s">
        <v>1681</v>
      </c>
      <c r="D1177" s="88" t="s">
        <v>7016</v>
      </c>
      <c r="E1177" s="94">
        <v>43321</v>
      </c>
      <c r="F1177" s="91" t="s">
        <v>7015</v>
      </c>
      <c r="G1177" s="223">
        <f t="shared" si="36"/>
        <v>15</v>
      </c>
      <c r="H1177" s="222">
        <f t="shared" si="37"/>
        <v>26028695</v>
      </c>
    </row>
    <row r="1178" spans="1:8" hidden="1">
      <c r="A1178" s="87">
        <v>30497540</v>
      </c>
      <c r="B1178" s="88" t="s">
        <v>6606</v>
      </c>
      <c r="C1178" s="88" t="s">
        <v>6607</v>
      </c>
      <c r="D1178" s="88" t="s">
        <v>7016</v>
      </c>
      <c r="E1178" s="94">
        <v>43321</v>
      </c>
      <c r="F1178" s="91" t="s">
        <v>6853</v>
      </c>
      <c r="G1178" s="223">
        <f t="shared" si="36"/>
        <v>33</v>
      </c>
      <c r="H1178" s="222">
        <f t="shared" si="37"/>
        <v>30497540</v>
      </c>
    </row>
    <row r="1179" spans="1:8" hidden="1">
      <c r="A1179" s="87">
        <v>12597724</v>
      </c>
      <c r="B1179" s="88" t="s">
        <v>760</v>
      </c>
      <c r="C1179" s="88" t="s">
        <v>4424</v>
      </c>
      <c r="D1179" s="88" t="s">
        <v>7016</v>
      </c>
      <c r="E1179" s="94">
        <v>43321</v>
      </c>
      <c r="F1179" s="91" t="s">
        <v>7015</v>
      </c>
      <c r="G1179" s="223">
        <f t="shared" si="36"/>
        <v>21</v>
      </c>
      <c r="H1179" s="222">
        <f t="shared" si="37"/>
        <v>12597724</v>
      </c>
    </row>
    <row r="1180" spans="1:8" hidden="1">
      <c r="A1180" s="87">
        <v>22877621</v>
      </c>
      <c r="B1180" s="88" t="s">
        <v>2454</v>
      </c>
      <c r="C1180" s="88" t="s">
        <v>106</v>
      </c>
      <c r="D1180" s="88" t="s">
        <v>7018</v>
      </c>
      <c r="E1180" s="94">
        <v>43319</v>
      </c>
      <c r="F1180" s="91" t="s">
        <v>7015</v>
      </c>
      <c r="G1180" s="223">
        <f t="shared" si="36"/>
        <v>14</v>
      </c>
      <c r="H1180" s="222">
        <f t="shared" si="37"/>
        <v>22877621</v>
      </c>
    </row>
    <row r="1181" spans="1:8" hidden="1">
      <c r="A1181" s="87">
        <v>27206962</v>
      </c>
      <c r="B1181" s="88" t="s">
        <v>2774</v>
      </c>
      <c r="C1181" s="88" t="s">
        <v>2775</v>
      </c>
      <c r="D1181" s="88" t="s">
        <v>7018</v>
      </c>
      <c r="E1181" s="94">
        <v>43319</v>
      </c>
      <c r="F1181" s="91" t="s">
        <v>7015</v>
      </c>
      <c r="G1181" s="223" t="str">
        <f t="shared" si="36"/>
        <v>sin dato</v>
      </c>
      <c r="H1181" s="222">
        <f t="shared" si="37"/>
        <v>27206962</v>
      </c>
    </row>
    <row r="1182" spans="1:8" hidden="1">
      <c r="A1182" s="87">
        <v>24200086</v>
      </c>
      <c r="B1182" s="88" t="s">
        <v>2364</v>
      </c>
      <c r="C1182" s="88" t="s">
        <v>2365</v>
      </c>
      <c r="D1182" s="88" t="s">
        <v>7018</v>
      </c>
      <c r="E1182" s="94">
        <v>43319</v>
      </c>
      <c r="F1182" s="91" t="s">
        <v>7015</v>
      </c>
      <c r="G1182" s="223">
        <f t="shared" si="36"/>
        <v>17</v>
      </c>
      <c r="H1182" s="222">
        <f t="shared" si="37"/>
        <v>24200086</v>
      </c>
    </row>
    <row r="1183" spans="1:8" hidden="1">
      <c r="A1183" s="87">
        <v>33091069</v>
      </c>
      <c r="B1183" s="88" t="s">
        <v>267</v>
      </c>
      <c r="C1183" s="88" t="s">
        <v>1756</v>
      </c>
      <c r="D1183" s="88" t="s">
        <v>7018</v>
      </c>
      <c r="E1183" s="94">
        <v>43319</v>
      </c>
      <c r="F1183" s="91" t="s">
        <v>7015</v>
      </c>
      <c r="G1183" s="223">
        <f t="shared" si="36"/>
        <v>15</v>
      </c>
      <c r="H1183" s="222">
        <f t="shared" si="37"/>
        <v>33091069</v>
      </c>
    </row>
    <row r="1184" spans="1:8" hidden="1">
      <c r="A1184" s="87">
        <v>12540739</v>
      </c>
      <c r="B1184" s="88" t="s">
        <v>4759</v>
      </c>
      <c r="C1184" s="88" t="s">
        <v>4760</v>
      </c>
      <c r="D1184" s="88" t="s">
        <v>7018</v>
      </c>
      <c r="E1184" s="94">
        <v>43319</v>
      </c>
      <c r="F1184" s="91" t="s">
        <v>7015</v>
      </c>
      <c r="G1184" s="223">
        <f t="shared" si="36"/>
        <v>23</v>
      </c>
      <c r="H1184" s="222">
        <f t="shared" si="37"/>
        <v>12540739</v>
      </c>
    </row>
    <row r="1185" spans="1:8" hidden="1">
      <c r="A1185" s="87">
        <v>16008463</v>
      </c>
      <c r="B1185" s="88" t="s">
        <v>1774</v>
      </c>
      <c r="C1185" s="88" t="s">
        <v>5624</v>
      </c>
      <c r="D1185" s="88" t="s">
        <v>7018</v>
      </c>
      <c r="E1185" s="94">
        <v>43319</v>
      </c>
      <c r="F1185" s="91" t="s">
        <v>7015</v>
      </c>
      <c r="G1185" s="223">
        <f t="shared" si="36"/>
        <v>6</v>
      </c>
      <c r="H1185" s="222">
        <f t="shared" si="37"/>
        <v>16008463</v>
      </c>
    </row>
    <row r="1186" spans="1:8" hidden="1">
      <c r="A1186" s="87">
        <v>16008463</v>
      </c>
      <c r="B1186" s="88" t="s">
        <v>1774</v>
      </c>
      <c r="C1186" s="88" t="s">
        <v>5624</v>
      </c>
      <c r="D1186" s="88" t="s">
        <v>7018</v>
      </c>
      <c r="E1186" s="94">
        <v>43319</v>
      </c>
      <c r="F1186" s="91" t="s">
        <v>7015</v>
      </c>
      <c r="G1186" s="223">
        <f t="shared" si="36"/>
        <v>6</v>
      </c>
      <c r="H1186" s="222">
        <f t="shared" si="37"/>
        <v>16008463</v>
      </c>
    </row>
    <row r="1187" spans="1:8" hidden="1">
      <c r="A1187" s="87">
        <v>14480478</v>
      </c>
      <c r="B1187" s="88" t="s">
        <v>4603</v>
      </c>
      <c r="C1187" s="88" t="s">
        <v>708</v>
      </c>
      <c r="D1187" s="88" t="s">
        <v>7018</v>
      </c>
      <c r="E1187" s="94">
        <v>43319</v>
      </c>
      <c r="F1187" s="91" t="s">
        <v>7015</v>
      </c>
      <c r="G1187" s="223">
        <f t="shared" si="36"/>
        <v>22</v>
      </c>
      <c r="H1187" s="222">
        <f t="shared" si="37"/>
        <v>14480478</v>
      </c>
    </row>
    <row r="1188" spans="1:8" hidden="1">
      <c r="A1188" s="87">
        <v>28053203</v>
      </c>
      <c r="B1188" s="88" t="s">
        <v>327</v>
      </c>
      <c r="C1188" s="88" t="s">
        <v>4495</v>
      </c>
      <c r="D1188" s="88" t="s">
        <v>7018</v>
      </c>
      <c r="E1188" s="94">
        <v>43319</v>
      </c>
      <c r="F1188" s="91" t="s">
        <v>7015</v>
      </c>
      <c r="G1188" s="223">
        <f t="shared" si="36"/>
        <v>52</v>
      </c>
      <c r="H1188" s="222">
        <f t="shared" si="37"/>
        <v>28053203</v>
      </c>
    </row>
    <row r="1189" spans="1:8" hidden="1">
      <c r="A1189" s="87">
        <v>25735665</v>
      </c>
      <c r="B1189" s="88" t="s">
        <v>734</v>
      </c>
      <c r="C1189" s="88" t="s">
        <v>737</v>
      </c>
      <c r="D1189" s="88" t="s">
        <v>7018</v>
      </c>
      <c r="E1189" s="94">
        <v>43319</v>
      </c>
      <c r="F1189" s="91" t="s">
        <v>7015</v>
      </c>
      <c r="G1189" s="223">
        <f t="shared" si="36"/>
        <v>13</v>
      </c>
      <c r="H1189" s="222">
        <f t="shared" si="37"/>
        <v>25735665</v>
      </c>
    </row>
    <row r="1190" spans="1:8" hidden="1">
      <c r="A1190" s="87">
        <v>24200921</v>
      </c>
      <c r="B1190" s="88" t="s">
        <v>4784</v>
      </c>
      <c r="C1190" s="88" t="s">
        <v>1085</v>
      </c>
      <c r="D1190" s="88" t="s">
        <v>7018</v>
      </c>
      <c r="E1190" s="94">
        <v>43319</v>
      </c>
      <c r="F1190" s="91" t="s">
        <v>7015</v>
      </c>
      <c r="G1190" s="223">
        <f t="shared" si="36"/>
        <v>23</v>
      </c>
      <c r="H1190" s="222">
        <f t="shared" si="37"/>
        <v>24200921</v>
      </c>
    </row>
    <row r="1191" spans="1:8" hidden="1">
      <c r="A1191" s="87">
        <v>31425836</v>
      </c>
      <c r="B1191" s="88" t="s">
        <v>4067</v>
      </c>
      <c r="C1191" s="88" t="s">
        <v>4068</v>
      </c>
      <c r="D1191" s="88" t="s">
        <v>7018</v>
      </c>
      <c r="E1191" s="94">
        <v>43319</v>
      </c>
      <c r="F1191" s="91" t="s">
        <v>7015</v>
      </c>
      <c r="G1191" s="223">
        <f t="shared" si="36"/>
        <v>30</v>
      </c>
      <c r="H1191" s="222">
        <f t="shared" si="37"/>
        <v>31425836</v>
      </c>
    </row>
    <row r="1192" spans="1:8" hidden="1">
      <c r="A1192" s="87">
        <v>25735232</v>
      </c>
      <c r="B1192" s="88" t="s">
        <v>875</v>
      </c>
      <c r="C1192" s="88" t="s">
        <v>5286</v>
      </c>
      <c r="D1192" s="88" t="s">
        <v>7018</v>
      </c>
      <c r="E1192" s="94">
        <v>43319</v>
      </c>
      <c r="F1192" s="91" t="s">
        <v>7015</v>
      </c>
      <c r="G1192" s="223">
        <f t="shared" si="36"/>
        <v>9</v>
      </c>
      <c r="H1192" s="222">
        <f t="shared" si="37"/>
        <v>25735232</v>
      </c>
    </row>
    <row r="1193" spans="1:8" hidden="1">
      <c r="A1193" s="87">
        <v>31589520</v>
      </c>
      <c r="B1193" s="88" t="s">
        <v>1446</v>
      </c>
      <c r="C1193" s="88" t="s">
        <v>1447</v>
      </c>
      <c r="D1193" s="88" t="s">
        <v>7020</v>
      </c>
      <c r="E1193" s="94">
        <v>43318</v>
      </c>
      <c r="F1193" s="91" t="s">
        <v>7015</v>
      </c>
      <c r="G1193" s="223">
        <f t="shared" si="36"/>
        <v>41</v>
      </c>
      <c r="H1193" s="222">
        <f t="shared" si="37"/>
        <v>31589520</v>
      </c>
    </row>
    <row r="1194" spans="1:8" hidden="1">
      <c r="A1194" s="87">
        <v>22451163</v>
      </c>
      <c r="B1194" s="88" t="s">
        <v>26</v>
      </c>
      <c r="C1194" s="88" t="s">
        <v>2102</v>
      </c>
      <c r="D1194" s="88" t="s">
        <v>7020</v>
      </c>
      <c r="E1194" s="94">
        <v>43318</v>
      </c>
      <c r="F1194" s="91" t="s">
        <v>7015</v>
      </c>
      <c r="G1194" s="223">
        <f t="shared" si="36"/>
        <v>21</v>
      </c>
      <c r="H1194" s="222">
        <f t="shared" si="37"/>
        <v>22451163</v>
      </c>
    </row>
    <row r="1195" spans="1:8" hidden="1">
      <c r="A1195" s="87">
        <v>16811869</v>
      </c>
      <c r="B1195" s="88" t="s">
        <v>3634</v>
      </c>
      <c r="C1195" s="88" t="s">
        <v>215</v>
      </c>
      <c r="D1195" s="88" t="s">
        <v>7020</v>
      </c>
      <c r="E1195" s="94">
        <v>43318</v>
      </c>
      <c r="F1195" s="91" t="s">
        <v>7015</v>
      </c>
      <c r="G1195" s="223">
        <f t="shared" si="36"/>
        <v>20</v>
      </c>
      <c r="H1195" s="222">
        <f t="shared" si="37"/>
        <v>16811869</v>
      </c>
    </row>
    <row r="1196" spans="1:8" hidden="1">
      <c r="A1196" s="87">
        <v>22332403</v>
      </c>
      <c r="B1196" s="88" t="s">
        <v>4279</v>
      </c>
      <c r="C1196" s="88" t="s">
        <v>6045</v>
      </c>
      <c r="D1196" s="88" t="s">
        <v>7020</v>
      </c>
      <c r="E1196" s="94">
        <v>43318</v>
      </c>
      <c r="F1196" s="91" t="s">
        <v>7015</v>
      </c>
      <c r="G1196" s="223">
        <f t="shared" si="36"/>
        <v>1</v>
      </c>
      <c r="H1196" s="222">
        <f t="shared" si="37"/>
        <v>22332403</v>
      </c>
    </row>
    <row r="1197" spans="1:8" hidden="1">
      <c r="A1197" s="87">
        <v>29061095</v>
      </c>
      <c r="B1197" s="88" t="s">
        <v>1864</v>
      </c>
      <c r="C1197" s="88" t="s">
        <v>1585</v>
      </c>
      <c r="D1197" s="88" t="s">
        <v>7020</v>
      </c>
      <c r="E1197" s="94">
        <v>43318</v>
      </c>
      <c r="F1197" s="91" t="s">
        <v>7015</v>
      </c>
      <c r="G1197" s="223">
        <f t="shared" si="36"/>
        <v>15</v>
      </c>
      <c r="H1197" s="222">
        <f t="shared" si="37"/>
        <v>29061095</v>
      </c>
    </row>
    <row r="1198" spans="1:8" hidden="1">
      <c r="A1198" s="87">
        <v>20692487</v>
      </c>
      <c r="B1198" s="88" t="s">
        <v>377</v>
      </c>
      <c r="C1198" s="88" t="s">
        <v>5674</v>
      </c>
      <c r="D1198" s="88" t="s">
        <v>7020</v>
      </c>
      <c r="E1198" s="94">
        <v>43318</v>
      </c>
      <c r="F1198" s="91" t="s">
        <v>7015</v>
      </c>
      <c r="G1198" s="223">
        <f t="shared" si="36"/>
        <v>6</v>
      </c>
      <c r="H1198" s="222">
        <f t="shared" si="37"/>
        <v>20692487</v>
      </c>
    </row>
    <row r="1199" spans="1:8" hidden="1">
      <c r="A1199" s="87">
        <v>26137675</v>
      </c>
      <c r="B1199" s="88" t="s">
        <v>541</v>
      </c>
      <c r="C1199" s="88" t="s">
        <v>542</v>
      </c>
      <c r="D1199" s="88" t="s">
        <v>7020</v>
      </c>
      <c r="E1199" s="94">
        <v>43318</v>
      </c>
      <c r="F1199" s="91" t="s">
        <v>7015</v>
      </c>
      <c r="G1199" s="223">
        <f t="shared" si="36"/>
        <v>11</v>
      </c>
      <c r="H1199" s="222">
        <f t="shared" si="37"/>
        <v>26137675</v>
      </c>
    </row>
    <row r="1200" spans="1:8" hidden="1">
      <c r="A1200" s="87">
        <v>21328591</v>
      </c>
      <c r="B1200" s="88" t="s">
        <v>3975</v>
      </c>
      <c r="C1200" s="88" t="s">
        <v>571</v>
      </c>
      <c r="D1200" s="88" t="s">
        <v>7020</v>
      </c>
      <c r="E1200" s="94">
        <v>43318</v>
      </c>
      <c r="F1200" s="91" t="s">
        <v>7015</v>
      </c>
      <c r="G1200" s="223">
        <f t="shared" si="36"/>
        <v>6</v>
      </c>
      <c r="H1200" s="222">
        <f t="shared" si="37"/>
        <v>21328591</v>
      </c>
    </row>
    <row r="1201" spans="1:8" hidden="1">
      <c r="A1201" s="87">
        <v>17269004</v>
      </c>
      <c r="B1201" s="88" t="s">
        <v>26</v>
      </c>
      <c r="C1201" s="88" t="s">
        <v>30</v>
      </c>
      <c r="D1201" s="88" t="s">
        <v>7022</v>
      </c>
      <c r="E1201" s="94">
        <v>43241</v>
      </c>
      <c r="F1201" s="91" t="s">
        <v>9302</v>
      </c>
      <c r="G1201" s="223">
        <f t="shared" si="36"/>
        <v>11</v>
      </c>
      <c r="H1201" s="222">
        <f t="shared" si="37"/>
        <v>17269004</v>
      </c>
    </row>
    <row r="1202" spans="1:8" hidden="1">
      <c r="A1202" s="87">
        <v>13378080</v>
      </c>
      <c r="B1202" s="88" t="s">
        <v>1660</v>
      </c>
      <c r="C1202" s="88" t="s">
        <v>4461</v>
      </c>
      <c r="D1202" s="88" t="s">
        <v>7022</v>
      </c>
      <c r="E1202" s="94">
        <v>43241</v>
      </c>
      <c r="F1202" s="91" t="s">
        <v>6853</v>
      </c>
      <c r="G1202" s="223">
        <f t="shared" si="36"/>
        <v>21</v>
      </c>
      <c r="H1202" s="222">
        <f t="shared" si="37"/>
        <v>13378080</v>
      </c>
    </row>
    <row r="1203" spans="1:8" hidden="1">
      <c r="A1203" s="87">
        <v>17990691</v>
      </c>
      <c r="B1203" s="88" t="s">
        <v>1660</v>
      </c>
      <c r="C1203" s="88" t="s">
        <v>4455</v>
      </c>
      <c r="D1203" s="88" t="s">
        <v>7022</v>
      </c>
      <c r="E1203" s="94">
        <v>43241</v>
      </c>
      <c r="F1203" s="91" t="s">
        <v>6853</v>
      </c>
      <c r="G1203" s="223">
        <f t="shared" si="36"/>
        <v>21</v>
      </c>
      <c r="H1203" s="222">
        <f t="shared" si="37"/>
        <v>17990691</v>
      </c>
    </row>
    <row r="1204" spans="1:8" hidden="1">
      <c r="A1204" s="87">
        <v>22073712</v>
      </c>
      <c r="B1204" s="88" t="s">
        <v>927</v>
      </c>
      <c r="C1204" s="88" t="s">
        <v>1341</v>
      </c>
      <c r="D1204" s="88" t="s">
        <v>7022</v>
      </c>
      <c r="E1204" s="94">
        <v>43241</v>
      </c>
      <c r="F1204" s="91" t="s">
        <v>6853</v>
      </c>
      <c r="G1204" s="223">
        <f t="shared" si="36"/>
        <v>14</v>
      </c>
      <c r="H1204" s="222">
        <f t="shared" si="37"/>
        <v>22073712</v>
      </c>
    </row>
    <row r="1205" spans="1:8" hidden="1">
      <c r="A1205" s="87">
        <v>28444504</v>
      </c>
      <c r="B1205" s="88" t="s">
        <v>1325</v>
      </c>
      <c r="C1205" s="88" t="s">
        <v>1326</v>
      </c>
      <c r="D1205" s="88" t="s">
        <v>7022</v>
      </c>
      <c r="E1205" s="94">
        <v>43241</v>
      </c>
      <c r="F1205" s="91" t="s">
        <v>6853</v>
      </c>
      <c r="G1205" s="223">
        <f t="shared" si="36"/>
        <v>14</v>
      </c>
      <c r="H1205" s="222">
        <f t="shared" si="37"/>
        <v>28444504</v>
      </c>
    </row>
    <row r="1206" spans="1:8" hidden="1">
      <c r="A1206" s="87">
        <v>17182507</v>
      </c>
      <c r="B1206" s="88" t="s">
        <v>4795</v>
      </c>
      <c r="C1206" s="88" t="s">
        <v>2190</v>
      </c>
      <c r="D1206" s="88" t="s">
        <v>7022</v>
      </c>
      <c r="E1206" s="94">
        <v>43241</v>
      </c>
      <c r="F1206" s="91" t="s">
        <v>9302</v>
      </c>
      <c r="G1206" s="223">
        <f t="shared" si="36"/>
        <v>23</v>
      </c>
      <c r="H1206" s="222">
        <f t="shared" si="37"/>
        <v>17182507</v>
      </c>
    </row>
    <row r="1207" spans="1:8" hidden="1">
      <c r="A1207" s="87">
        <v>32202336</v>
      </c>
      <c r="B1207" s="88" t="s">
        <v>4286</v>
      </c>
      <c r="C1207" s="88" t="s">
        <v>4465</v>
      </c>
      <c r="D1207" s="88" t="s">
        <v>7022</v>
      </c>
      <c r="E1207" s="94">
        <v>43241</v>
      </c>
      <c r="F1207" s="91" t="s">
        <v>6853</v>
      </c>
      <c r="G1207" s="223">
        <f t="shared" si="36"/>
        <v>21</v>
      </c>
      <c r="H1207" s="222">
        <f t="shared" si="37"/>
        <v>32202336</v>
      </c>
    </row>
    <row r="1208" spans="1:8" hidden="1">
      <c r="A1208" s="87">
        <v>11475683</v>
      </c>
      <c r="B1208" s="88" t="s">
        <v>6466</v>
      </c>
      <c r="C1208" s="88" t="s">
        <v>3850</v>
      </c>
      <c r="D1208" s="88" t="s">
        <v>7022</v>
      </c>
      <c r="E1208" s="94">
        <v>43241</v>
      </c>
      <c r="F1208" s="91" t="s">
        <v>6853</v>
      </c>
      <c r="G1208" s="223">
        <f t="shared" si="36"/>
        <v>999</v>
      </c>
      <c r="H1208" s="222">
        <f t="shared" si="37"/>
        <v>11475683</v>
      </c>
    </row>
    <row r="1209" spans="1:8" hidden="1">
      <c r="A1209" s="87">
        <v>12449905</v>
      </c>
      <c r="B1209" s="88" t="s">
        <v>2947</v>
      </c>
      <c r="C1209" s="88" t="s">
        <v>2948</v>
      </c>
      <c r="D1209" s="88" t="s">
        <v>7022</v>
      </c>
      <c r="E1209" s="94">
        <v>43241</v>
      </c>
      <c r="F1209" s="91" t="s">
        <v>6853</v>
      </c>
      <c r="G1209" s="223">
        <f t="shared" si="36"/>
        <v>19</v>
      </c>
      <c r="H1209" s="222">
        <f t="shared" si="37"/>
        <v>12449905</v>
      </c>
    </row>
    <row r="1210" spans="1:8" hidden="1">
      <c r="A1210" s="87">
        <v>17859007</v>
      </c>
      <c r="B1210" s="88" t="s">
        <v>5327</v>
      </c>
      <c r="C1210" s="88" t="s">
        <v>1521</v>
      </c>
      <c r="D1210" s="88" t="s">
        <v>7022</v>
      </c>
      <c r="E1210" s="94">
        <v>43241</v>
      </c>
      <c r="F1210" s="91" t="s">
        <v>6853</v>
      </c>
      <c r="G1210" s="223">
        <f t="shared" si="36"/>
        <v>7</v>
      </c>
      <c r="H1210" s="222">
        <f t="shared" si="37"/>
        <v>17859007</v>
      </c>
    </row>
    <row r="1211" spans="1:8" hidden="1">
      <c r="A1211" s="87">
        <v>25255325</v>
      </c>
      <c r="B1211" s="88" t="s">
        <v>626</v>
      </c>
      <c r="C1211" s="88" t="s">
        <v>627</v>
      </c>
      <c r="D1211" s="88" t="s">
        <v>7022</v>
      </c>
      <c r="E1211" s="94">
        <v>43241</v>
      </c>
      <c r="F1211" s="91" t="s">
        <v>6853</v>
      </c>
      <c r="G1211" s="223">
        <f t="shared" si="36"/>
        <v>13</v>
      </c>
      <c r="H1211" s="222">
        <f t="shared" si="37"/>
        <v>25255325</v>
      </c>
    </row>
    <row r="1212" spans="1:8" hidden="1">
      <c r="A1212" s="87">
        <v>23117670</v>
      </c>
      <c r="B1212" s="88" t="s">
        <v>4994</v>
      </c>
      <c r="C1212" s="88" t="s">
        <v>5734</v>
      </c>
      <c r="D1212" s="88" t="s">
        <v>7022</v>
      </c>
      <c r="E1212" s="94">
        <v>43241</v>
      </c>
      <c r="F1212" s="91" t="s">
        <v>6853</v>
      </c>
      <c r="G1212" s="223">
        <f t="shared" si="36"/>
        <v>6</v>
      </c>
      <c r="H1212" s="222">
        <f t="shared" si="37"/>
        <v>23117670</v>
      </c>
    </row>
    <row r="1213" spans="1:8" hidden="1">
      <c r="A1213" s="87">
        <v>32235561</v>
      </c>
      <c r="B1213" s="88" t="s">
        <v>4478</v>
      </c>
      <c r="C1213" s="88" t="s">
        <v>4479</v>
      </c>
      <c r="D1213" s="88" t="s">
        <v>7022</v>
      </c>
      <c r="E1213" s="94">
        <v>43241</v>
      </c>
      <c r="F1213" s="91" t="s">
        <v>6853</v>
      </c>
      <c r="G1213" s="223">
        <f t="shared" si="36"/>
        <v>21</v>
      </c>
      <c r="H1213" s="222">
        <f t="shared" si="37"/>
        <v>32235561</v>
      </c>
    </row>
    <row r="1214" spans="1:8" hidden="1">
      <c r="A1214" s="87">
        <v>18545210</v>
      </c>
      <c r="B1214" s="88" t="s">
        <v>1720</v>
      </c>
      <c r="C1214" s="88" t="s">
        <v>1721</v>
      </c>
      <c r="D1214" s="88" t="s">
        <v>7022</v>
      </c>
      <c r="E1214" s="94">
        <v>43241</v>
      </c>
      <c r="F1214" s="91" t="s">
        <v>6853</v>
      </c>
      <c r="G1214" s="223">
        <f t="shared" si="36"/>
        <v>15</v>
      </c>
      <c r="H1214" s="222">
        <f t="shared" si="37"/>
        <v>18545210</v>
      </c>
    </row>
    <row r="1215" spans="1:8" hidden="1">
      <c r="A1215" s="87">
        <v>25444258</v>
      </c>
      <c r="B1215" s="88" t="s">
        <v>4847</v>
      </c>
      <c r="C1215" s="88" t="s">
        <v>4848</v>
      </c>
      <c r="D1215" s="88" t="s">
        <v>7022</v>
      </c>
      <c r="E1215" s="94">
        <v>43241</v>
      </c>
      <c r="F1215" s="91" t="s">
        <v>7024</v>
      </c>
      <c r="G1215" s="223">
        <f t="shared" si="36"/>
        <v>1</v>
      </c>
      <c r="H1215" s="222">
        <f t="shared" si="37"/>
        <v>25444258</v>
      </c>
    </row>
    <row r="1216" spans="1:8" hidden="1">
      <c r="A1216" s="87">
        <v>14296958</v>
      </c>
      <c r="B1216" s="88" t="s">
        <v>5838</v>
      </c>
      <c r="C1216" s="88" t="s">
        <v>5839</v>
      </c>
      <c r="D1216" s="88" t="s">
        <v>7022</v>
      </c>
      <c r="E1216" s="94">
        <v>43241</v>
      </c>
      <c r="F1216" s="91" t="s">
        <v>7015</v>
      </c>
      <c r="G1216" s="223">
        <f t="shared" si="36"/>
        <v>5</v>
      </c>
      <c r="H1216" s="222">
        <f t="shared" si="37"/>
        <v>14296958</v>
      </c>
    </row>
    <row r="1217" spans="1:8" hidden="1">
      <c r="A1217" s="87">
        <v>37096427</v>
      </c>
      <c r="B1217" s="88" t="s">
        <v>670</v>
      </c>
      <c r="C1217" s="88" t="s">
        <v>3352</v>
      </c>
      <c r="D1217" s="88" t="s">
        <v>7022</v>
      </c>
      <c r="E1217" s="94">
        <v>43241</v>
      </c>
      <c r="F1217" s="91" t="s">
        <v>6853</v>
      </c>
      <c r="G1217" s="223" t="str">
        <f t="shared" si="36"/>
        <v>sin dato</v>
      </c>
      <c r="H1217" s="222" t="str">
        <f t="shared" si="37"/>
        <v>999</v>
      </c>
    </row>
    <row r="1218" spans="1:8" hidden="1">
      <c r="A1218" s="87">
        <v>29430129</v>
      </c>
      <c r="B1218" s="88" t="s">
        <v>218</v>
      </c>
      <c r="C1218" s="88" t="s">
        <v>527</v>
      </c>
      <c r="D1218" s="88" t="s">
        <v>7022</v>
      </c>
      <c r="E1218" s="94">
        <v>43241</v>
      </c>
      <c r="F1218" s="91" t="s">
        <v>6853</v>
      </c>
      <c r="G1218" s="223">
        <f t="shared" ref="G1218:G1281" si="38">IFERROR(INDEX(unidad,MATCH(VLOOKUP(A1218,alum,9,0),unidad2,0),1),"sin dato")</f>
        <v>11</v>
      </c>
      <c r="H1218" s="222">
        <f t="shared" ref="H1218:H1281" si="39">IFERROR(VLOOKUP(A1218,alum,1,0),"999")</f>
        <v>29430129</v>
      </c>
    </row>
    <row r="1219" spans="1:8" hidden="1">
      <c r="A1219" s="87">
        <v>22331870</v>
      </c>
      <c r="B1219" s="88" t="s">
        <v>4470</v>
      </c>
      <c r="C1219" s="88" t="s">
        <v>4471</v>
      </c>
      <c r="D1219" s="88" t="s">
        <v>7022</v>
      </c>
      <c r="E1219" s="94">
        <v>43241</v>
      </c>
      <c r="F1219" s="91" t="s">
        <v>6853</v>
      </c>
      <c r="G1219" s="223">
        <f t="shared" si="38"/>
        <v>21</v>
      </c>
      <c r="H1219" s="222">
        <f t="shared" si="39"/>
        <v>22331870</v>
      </c>
    </row>
    <row r="1220" spans="1:8" hidden="1">
      <c r="A1220" s="87">
        <v>31127445</v>
      </c>
      <c r="B1220" s="88" t="s">
        <v>5251</v>
      </c>
      <c r="C1220" s="88" t="s">
        <v>1182</v>
      </c>
      <c r="D1220" s="88" t="s">
        <v>7022</v>
      </c>
      <c r="E1220" s="94">
        <v>43241</v>
      </c>
      <c r="F1220" s="91" t="s">
        <v>9302</v>
      </c>
      <c r="G1220" s="223">
        <f t="shared" si="38"/>
        <v>2</v>
      </c>
      <c r="H1220" s="222">
        <f t="shared" si="39"/>
        <v>31127445</v>
      </c>
    </row>
    <row r="1221" spans="1:8" hidden="1">
      <c r="A1221" s="87">
        <v>14410428</v>
      </c>
      <c r="B1221" s="88" t="s">
        <v>2731</v>
      </c>
      <c r="C1221" s="88" t="s">
        <v>1061</v>
      </c>
      <c r="D1221" s="88" t="s">
        <v>7022</v>
      </c>
      <c r="E1221" s="94">
        <v>43241</v>
      </c>
      <c r="F1221" s="91" t="s">
        <v>9302</v>
      </c>
      <c r="G1221" s="223">
        <f t="shared" si="38"/>
        <v>20</v>
      </c>
      <c r="H1221" s="222">
        <f t="shared" si="39"/>
        <v>14410428</v>
      </c>
    </row>
    <row r="1222" spans="1:8" hidden="1">
      <c r="A1222" s="87">
        <v>14226682</v>
      </c>
      <c r="B1222" s="88" t="s">
        <v>685</v>
      </c>
      <c r="C1222" s="88" t="s">
        <v>3719</v>
      </c>
      <c r="D1222" s="88" t="s">
        <v>7022</v>
      </c>
      <c r="E1222" s="94">
        <v>43241</v>
      </c>
      <c r="F1222" s="91" t="s">
        <v>6853</v>
      </c>
      <c r="G1222" s="223">
        <f t="shared" si="38"/>
        <v>20</v>
      </c>
      <c r="H1222" s="222">
        <f t="shared" si="39"/>
        <v>14226682</v>
      </c>
    </row>
    <row r="1223" spans="1:8" hidden="1">
      <c r="A1223" s="87">
        <v>16091162</v>
      </c>
      <c r="B1223" s="88" t="s">
        <v>5866</v>
      </c>
      <c r="C1223" s="88" t="s">
        <v>5867</v>
      </c>
      <c r="D1223" s="88" t="s">
        <v>7022</v>
      </c>
      <c r="E1223" s="94">
        <v>43241</v>
      </c>
      <c r="F1223" s="91" t="s">
        <v>6853</v>
      </c>
      <c r="G1223" s="223">
        <f t="shared" si="38"/>
        <v>3</v>
      </c>
      <c r="H1223" s="222">
        <f t="shared" si="39"/>
        <v>16091162</v>
      </c>
    </row>
    <row r="1224" spans="1:8" hidden="1">
      <c r="A1224" s="87">
        <v>23238427</v>
      </c>
      <c r="B1224" s="88" t="s">
        <v>3734</v>
      </c>
      <c r="C1224" s="88" t="s">
        <v>3735</v>
      </c>
      <c r="D1224" s="88" t="s">
        <v>7022</v>
      </c>
      <c r="E1224" s="94">
        <v>43241</v>
      </c>
      <c r="F1224" s="91" t="s">
        <v>6853</v>
      </c>
      <c r="G1224" s="223">
        <f t="shared" si="38"/>
        <v>20</v>
      </c>
      <c r="H1224" s="222">
        <f t="shared" si="39"/>
        <v>23238427</v>
      </c>
    </row>
    <row r="1225" spans="1:8" hidden="1">
      <c r="A1225" s="87">
        <v>29175641</v>
      </c>
      <c r="B1225" s="88" t="s">
        <v>511</v>
      </c>
      <c r="C1225" s="88" t="s">
        <v>512</v>
      </c>
      <c r="D1225" s="88" t="s">
        <v>7022</v>
      </c>
      <c r="E1225" s="94">
        <v>43241</v>
      </c>
      <c r="F1225" s="91" t="s">
        <v>6853</v>
      </c>
      <c r="G1225" s="223">
        <f t="shared" si="38"/>
        <v>11</v>
      </c>
      <c r="H1225" s="222">
        <f t="shared" si="39"/>
        <v>29175641</v>
      </c>
    </row>
    <row r="1226" spans="1:8" hidden="1">
      <c r="A1226" s="87">
        <v>22805623</v>
      </c>
      <c r="B1226" s="88" t="s">
        <v>2094</v>
      </c>
      <c r="C1226" s="88" t="s">
        <v>3506</v>
      </c>
      <c r="D1226" s="88" t="s">
        <v>7022</v>
      </c>
      <c r="E1226" s="94">
        <v>43241</v>
      </c>
      <c r="F1226" s="91" t="s">
        <v>6853</v>
      </c>
      <c r="G1226" s="223">
        <f t="shared" si="38"/>
        <v>25</v>
      </c>
      <c r="H1226" s="222">
        <f t="shared" si="39"/>
        <v>22805623</v>
      </c>
    </row>
    <row r="1227" spans="1:8" hidden="1">
      <c r="A1227" s="87">
        <v>12654235</v>
      </c>
      <c r="B1227" s="88" t="s">
        <v>863</v>
      </c>
      <c r="C1227" s="88" t="s">
        <v>4576</v>
      </c>
      <c r="D1227" s="88" t="s">
        <v>7022</v>
      </c>
      <c r="E1227" s="94">
        <v>43241</v>
      </c>
      <c r="F1227" s="91" t="s">
        <v>6853</v>
      </c>
      <c r="G1227" s="223">
        <f t="shared" si="38"/>
        <v>22</v>
      </c>
      <c r="H1227" s="222">
        <f t="shared" si="39"/>
        <v>12654235</v>
      </c>
    </row>
    <row r="1228" spans="1:8" hidden="1">
      <c r="A1228" s="87">
        <v>17458926</v>
      </c>
      <c r="B1228" s="88" t="s">
        <v>2531</v>
      </c>
      <c r="C1228" s="88" t="s">
        <v>2532</v>
      </c>
      <c r="D1228" s="88" t="s">
        <v>7022</v>
      </c>
      <c r="E1228" s="94">
        <v>43241</v>
      </c>
      <c r="F1228" s="91" t="s">
        <v>6853</v>
      </c>
      <c r="G1228" s="223">
        <f t="shared" si="38"/>
        <v>14</v>
      </c>
      <c r="H1228" s="222">
        <f t="shared" si="39"/>
        <v>17458926</v>
      </c>
    </row>
    <row r="1229" spans="1:8" hidden="1">
      <c r="A1229" s="87">
        <v>24553106</v>
      </c>
      <c r="B1229" s="88" t="s">
        <v>3749</v>
      </c>
      <c r="C1229" s="88" t="s">
        <v>3750</v>
      </c>
      <c r="D1229" s="88" t="s">
        <v>7022</v>
      </c>
      <c r="E1229" s="94">
        <v>43241</v>
      </c>
      <c r="F1229" s="91" t="s">
        <v>6853</v>
      </c>
      <c r="G1229" s="223">
        <f t="shared" si="38"/>
        <v>20</v>
      </c>
      <c r="H1229" s="222">
        <f t="shared" si="39"/>
        <v>24553106</v>
      </c>
    </row>
    <row r="1230" spans="1:8" hidden="1">
      <c r="A1230" s="87">
        <v>16811619</v>
      </c>
      <c r="B1230" s="88" t="s">
        <v>811</v>
      </c>
      <c r="C1230" s="88" t="s">
        <v>2295</v>
      </c>
      <c r="D1230" s="88" t="s">
        <v>7022</v>
      </c>
      <c r="E1230" s="94">
        <v>43241</v>
      </c>
      <c r="F1230" s="91" t="s">
        <v>6853</v>
      </c>
      <c r="G1230" s="223">
        <f t="shared" si="38"/>
        <v>7</v>
      </c>
      <c r="H1230" s="222">
        <f t="shared" si="39"/>
        <v>16811619</v>
      </c>
    </row>
    <row r="1231" spans="1:8" hidden="1">
      <c r="A1231" s="87">
        <v>25542562</v>
      </c>
      <c r="B1231" s="88" t="s">
        <v>3377</v>
      </c>
      <c r="C1231" s="88" t="s">
        <v>1173</v>
      </c>
      <c r="D1231" s="88" t="s">
        <v>7022</v>
      </c>
      <c r="E1231" s="94">
        <v>43241</v>
      </c>
      <c r="F1231" s="91" t="s">
        <v>6853</v>
      </c>
      <c r="G1231" s="223">
        <f t="shared" si="38"/>
        <v>24</v>
      </c>
      <c r="H1231" s="222">
        <f t="shared" si="39"/>
        <v>25542562</v>
      </c>
    </row>
    <row r="1232" spans="1:8" hidden="1">
      <c r="A1232" s="87">
        <v>24982872</v>
      </c>
      <c r="B1232" s="88" t="s">
        <v>5604</v>
      </c>
      <c r="C1232" s="88" t="s">
        <v>5605</v>
      </c>
      <c r="D1232" s="88" t="s">
        <v>7022</v>
      </c>
      <c r="E1232" s="94">
        <v>43241</v>
      </c>
      <c r="F1232" s="91" t="s">
        <v>6853</v>
      </c>
      <c r="G1232" s="223">
        <f t="shared" si="38"/>
        <v>6</v>
      </c>
      <c r="H1232" s="222">
        <f t="shared" si="39"/>
        <v>24982872</v>
      </c>
    </row>
    <row r="1233" spans="1:8" hidden="1">
      <c r="A1233" s="87">
        <v>22280512</v>
      </c>
      <c r="B1233" s="88" t="s">
        <v>4585</v>
      </c>
      <c r="C1233" s="88" t="s">
        <v>902</v>
      </c>
      <c r="D1233" s="88" t="s">
        <v>7022</v>
      </c>
      <c r="E1233" s="94">
        <v>43241</v>
      </c>
      <c r="F1233" s="91" t="s">
        <v>9302</v>
      </c>
      <c r="G1233" s="223">
        <f t="shared" si="38"/>
        <v>22</v>
      </c>
      <c r="H1233" s="222">
        <f t="shared" si="39"/>
        <v>22280512</v>
      </c>
    </row>
    <row r="1234" spans="1:8" hidden="1">
      <c r="A1234" s="87">
        <v>34132588</v>
      </c>
      <c r="B1234" s="88" t="s">
        <v>308</v>
      </c>
      <c r="C1234" s="88" t="s">
        <v>6462</v>
      </c>
      <c r="D1234" s="88" t="s">
        <v>7022</v>
      </c>
      <c r="E1234" s="94">
        <v>43241</v>
      </c>
      <c r="F1234" s="91" t="s">
        <v>9302</v>
      </c>
      <c r="G1234" s="223">
        <f t="shared" si="38"/>
        <v>999</v>
      </c>
      <c r="H1234" s="222">
        <f t="shared" si="39"/>
        <v>34132588</v>
      </c>
    </row>
    <row r="1235" spans="1:8" hidden="1">
      <c r="A1235" s="87">
        <v>13775146</v>
      </c>
      <c r="B1235" s="88" t="s">
        <v>1371</v>
      </c>
      <c r="C1235" s="88" t="s">
        <v>1061</v>
      </c>
      <c r="D1235" s="88" t="s">
        <v>7022</v>
      </c>
      <c r="E1235" s="94">
        <v>43241</v>
      </c>
      <c r="F1235" s="91" t="s">
        <v>6853</v>
      </c>
      <c r="G1235" s="223">
        <f t="shared" si="38"/>
        <v>14</v>
      </c>
      <c r="H1235" s="222">
        <f t="shared" si="39"/>
        <v>13775146</v>
      </c>
    </row>
    <row r="1236" spans="1:8" hidden="1">
      <c r="A1236" s="87">
        <v>30408472</v>
      </c>
      <c r="B1236" s="88" t="s">
        <v>5204</v>
      </c>
      <c r="C1236" s="88" t="s">
        <v>5205</v>
      </c>
      <c r="D1236" s="88" t="s">
        <v>7022</v>
      </c>
      <c r="E1236" s="94">
        <v>43241</v>
      </c>
      <c r="F1236" s="91" t="s">
        <v>9302</v>
      </c>
      <c r="G1236" s="223">
        <f t="shared" si="38"/>
        <v>2</v>
      </c>
      <c r="H1236" s="222">
        <f t="shared" si="39"/>
        <v>30408472</v>
      </c>
    </row>
    <row r="1237" spans="1:8" hidden="1">
      <c r="A1237" s="87">
        <v>22429208</v>
      </c>
      <c r="B1237" s="88" t="s">
        <v>5245</v>
      </c>
      <c r="C1237" s="88" t="s">
        <v>5246</v>
      </c>
      <c r="D1237" s="88" t="s">
        <v>7022</v>
      </c>
      <c r="E1237" s="94">
        <v>43241</v>
      </c>
      <c r="F1237" s="91" t="s">
        <v>9302</v>
      </c>
      <c r="G1237" s="223">
        <f t="shared" si="38"/>
        <v>2</v>
      </c>
      <c r="H1237" s="222">
        <f t="shared" si="39"/>
        <v>22429208</v>
      </c>
    </row>
    <row r="1238" spans="1:8" hidden="1">
      <c r="A1238" s="87">
        <v>17269935</v>
      </c>
      <c r="B1238" s="88" t="s">
        <v>315</v>
      </c>
      <c r="C1238" s="88" t="s">
        <v>1334</v>
      </c>
      <c r="D1238" s="88" t="s">
        <v>7022</v>
      </c>
      <c r="E1238" s="94">
        <v>43241</v>
      </c>
      <c r="F1238" s="91" t="s">
        <v>6853</v>
      </c>
      <c r="G1238" s="223">
        <f t="shared" si="38"/>
        <v>14</v>
      </c>
      <c r="H1238" s="222">
        <f t="shared" si="39"/>
        <v>17269935</v>
      </c>
    </row>
    <row r="1239" spans="1:8" hidden="1">
      <c r="A1239" s="87">
        <v>21026656</v>
      </c>
      <c r="B1239" s="88" t="s">
        <v>315</v>
      </c>
      <c r="C1239" s="88" t="s">
        <v>1358</v>
      </c>
      <c r="D1239" s="88" t="s">
        <v>7022</v>
      </c>
      <c r="E1239" s="94">
        <v>43241</v>
      </c>
      <c r="F1239" s="91" t="s">
        <v>6853</v>
      </c>
      <c r="G1239" s="223">
        <f t="shared" si="38"/>
        <v>14</v>
      </c>
      <c r="H1239" s="222">
        <f t="shared" si="39"/>
        <v>21026656</v>
      </c>
    </row>
    <row r="1240" spans="1:8" hidden="1">
      <c r="A1240" s="87">
        <v>23116307</v>
      </c>
      <c r="B1240" s="88" t="s">
        <v>1547</v>
      </c>
      <c r="C1240" s="88" t="s">
        <v>1353</v>
      </c>
      <c r="D1240" s="88" t="s">
        <v>7022</v>
      </c>
      <c r="E1240" s="94">
        <v>43241</v>
      </c>
      <c r="F1240" s="91" t="s">
        <v>6853</v>
      </c>
      <c r="G1240" s="223">
        <f t="shared" si="38"/>
        <v>19</v>
      </c>
      <c r="H1240" s="222">
        <f t="shared" si="39"/>
        <v>23116307</v>
      </c>
    </row>
    <row r="1241" spans="1:8" hidden="1">
      <c r="A1241" s="87">
        <v>13311202</v>
      </c>
      <c r="B1241" s="88" t="s">
        <v>1309</v>
      </c>
      <c r="C1241" s="88" t="s">
        <v>1310</v>
      </c>
      <c r="D1241" s="88" t="s">
        <v>7022</v>
      </c>
      <c r="E1241" s="94">
        <v>43241</v>
      </c>
      <c r="F1241" s="91" t="s">
        <v>6853</v>
      </c>
      <c r="G1241" s="223">
        <f t="shared" si="38"/>
        <v>14</v>
      </c>
      <c r="H1241" s="222">
        <f t="shared" si="39"/>
        <v>13311202</v>
      </c>
    </row>
    <row r="1242" spans="1:8" hidden="1">
      <c r="A1242" s="87">
        <v>17458672</v>
      </c>
      <c r="B1242" s="88" t="s">
        <v>2316</v>
      </c>
      <c r="C1242" s="88" t="s">
        <v>2317</v>
      </c>
      <c r="D1242" s="88" t="s">
        <v>7022</v>
      </c>
      <c r="E1242" s="94">
        <v>43241</v>
      </c>
      <c r="F1242" s="91" t="s">
        <v>6853</v>
      </c>
      <c r="G1242" s="223">
        <f t="shared" si="38"/>
        <v>16</v>
      </c>
      <c r="H1242" s="222">
        <f t="shared" si="39"/>
        <v>17458672</v>
      </c>
    </row>
    <row r="1243" spans="1:8" hidden="1">
      <c r="A1243" s="87">
        <v>25709455</v>
      </c>
      <c r="B1243" s="88" t="s">
        <v>5643</v>
      </c>
      <c r="C1243" s="88" t="s">
        <v>5644</v>
      </c>
      <c r="D1243" s="88" t="s">
        <v>7022</v>
      </c>
      <c r="E1243" s="94">
        <v>43241</v>
      </c>
      <c r="F1243" s="91" t="s">
        <v>6853</v>
      </c>
      <c r="G1243" s="223">
        <f t="shared" si="38"/>
        <v>6</v>
      </c>
      <c r="H1243" s="222">
        <f t="shared" si="39"/>
        <v>25709455</v>
      </c>
    </row>
    <row r="1244" spans="1:8" hidden="1">
      <c r="A1244" s="87">
        <v>24340309</v>
      </c>
      <c r="B1244" s="88" t="s">
        <v>2634</v>
      </c>
      <c r="C1244" s="88" t="s">
        <v>2635</v>
      </c>
      <c r="D1244" s="88" t="s">
        <v>7022</v>
      </c>
      <c r="E1244" s="94">
        <v>43241</v>
      </c>
      <c r="F1244" s="91" t="s">
        <v>6853</v>
      </c>
      <c r="G1244" s="223">
        <f t="shared" si="38"/>
        <v>14</v>
      </c>
      <c r="H1244" s="222">
        <f t="shared" si="39"/>
        <v>24340309</v>
      </c>
    </row>
    <row r="1245" spans="1:8" hidden="1">
      <c r="A1245" s="87">
        <v>18230668</v>
      </c>
      <c r="B1245" s="88" t="s">
        <v>2375</v>
      </c>
      <c r="C1245" s="88" t="s">
        <v>2376</v>
      </c>
      <c r="D1245" s="88" t="s">
        <v>7022</v>
      </c>
      <c r="E1245" s="94">
        <v>43241</v>
      </c>
      <c r="F1245" s="91" t="s">
        <v>9302</v>
      </c>
      <c r="G1245" s="223">
        <f t="shared" si="38"/>
        <v>17</v>
      </c>
      <c r="H1245" s="222">
        <f t="shared" si="39"/>
        <v>18230668</v>
      </c>
    </row>
    <row r="1246" spans="1:8" hidden="1">
      <c r="A1246" s="87">
        <v>11707394</v>
      </c>
      <c r="B1246" s="88" t="s">
        <v>5240</v>
      </c>
      <c r="C1246" s="88" t="s">
        <v>5241</v>
      </c>
      <c r="D1246" s="88" t="s">
        <v>7022</v>
      </c>
      <c r="E1246" s="94">
        <v>43241</v>
      </c>
      <c r="F1246" s="91" t="s">
        <v>9302</v>
      </c>
      <c r="G1246" s="223">
        <f t="shared" si="38"/>
        <v>2</v>
      </c>
      <c r="H1246" s="222">
        <f t="shared" si="39"/>
        <v>11707394</v>
      </c>
    </row>
    <row r="1247" spans="1:8" hidden="1">
      <c r="A1247" s="87">
        <v>14225046</v>
      </c>
      <c r="B1247" s="88" t="s">
        <v>350</v>
      </c>
      <c r="C1247" s="88" t="s">
        <v>2322</v>
      </c>
      <c r="D1247" s="88" t="s">
        <v>7022</v>
      </c>
      <c r="E1247" s="94">
        <v>43241</v>
      </c>
      <c r="F1247" s="91" t="s">
        <v>9302</v>
      </c>
      <c r="G1247" s="223">
        <f t="shared" si="38"/>
        <v>16</v>
      </c>
      <c r="H1247" s="222">
        <f t="shared" si="39"/>
        <v>14225046</v>
      </c>
    </row>
    <row r="1248" spans="1:8" hidden="1">
      <c r="A1248" s="87">
        <v>14660159</v>
      </c>
      <c r="B1248" s="88" t="s">
        <v>3023</v>
      </c>
      <c r="C1248" s="88" t="s">
        <v>584</v>
      </c>
      <c r="D1248" s="88" t="s">
        <v>7022</v>
      </c>
      <c r="E1248" s="94">
        <v>43241</v>
      </c>
      <c r="F1248" s="91" t="s">
        <v>6853</v>
      </c>
      <c r="G1248" s="223">
        <f t="shared" si="38"/>
        <v>19</v>
      </c>
      <c r="H1248" s="222">
        <f t="shared" si="39"/>
        <v>14660159</v>
      </c>
    </row>
    <row r="1249" spans="1:8" hidden="1">
      <c r="A1249" s="87">
        <v>16314577</v>
      </c>
      <c r="B1249" s="88" t="s">
        <v>377</v>
      </c>
      <c r="C1249" s="88" t="s">
        <v>378</v>
      </c>
      <c r="D1249" s="88" t="s">
        <v>7022</v>
      </c>
      <c r="E1249" s="94">
        <v>43241</v>
      </c>
      <c r="F1249" s="91" t="s">
        <v>6853</v>
      </c>
      <c r="G1249" s="223">
        <f t="shared" si="38"/>
        <v>11</v>
      </c>
      <c r="H1249" s="222">
        <f t="shared" si="39"/>
        <v>16314577</v>
      </c>
    </row>
    <row r="1250" spans="1:8" hidden="1">
      <c r="A1250" s="87">
        <v>23931397</v>
      </c>
      <c r="B1250" s="88" t="s">
        <v>384</v>
      </c>
      <c r="C1250" s="88" t="s">
        <v>385</v>
      </c>
      <c r="D1250" s="88" t="s">
        <v>7022</v>
      </c>
      <c r="E1250" s="94">
        <v>43241</v>
      </c>
      <c r="F1250" s="91" t="s">
        <v>6853</v>
      </c>
      <c r="G1250" s="223">
        <f t="shared" si="38"/>
        <v>11</v>
      </c>
      <c r="H1250" s="222">
        <f t="shared" si="39"/>
        <v>23931397</v>
      </c>
    </row>
    <row r="1251" spans="1:8" hidden="1">
      <c r="A1251" s="87">
        <v>23931397</v>
      </c>
      <c r="B1251" s="88" t="s">
        <v>384</v>
      </c>
      <c r="C1251" s="88" t="s">
        <v>385</v>
      </c>
      <c r="D1251" s="88" t="s">
        <v>7022</v>
      </c>
      <c r="E1251" s="94">
        <v>43241</v>
      </c>
      <c r="F1251" s="91" t="s">
        <v>6853</v>
      </c>
      <c r="G1251" s="223">
        <f t="shared" si="38"/>
        <v>11</v>
      </c>
      <c r="H1251" s="222">
        <f t="shared" si="39"/>
        <v>23931397</v>
      </c>
    </row>
    <row r="1252" spans="1:8" hidden="1">
      <c r="A1252" s="87">
        <v>20891979</v>
      </c>
      <c r="B1252" s="88" t="s">
        <v>520</v>
      </c>
      <c r="C1252" s="88" t="s">
        <v>521</v>
      </c>
      <c r="D1252" s="88" t="s">
        <v>7022</v>
      </c>
      <c r="E1252" s="94">
        <v>43241</v>
      </c>
      <c r="F1252" s="91" t="s">
        <v>6853</v>
      </c>
      <c r="G1252" s="223">
        <f t="shared" si="38"/>
        <v>11</v>
      </c>
      <c r="H1252" s="222">
        <f t="shared" si="39"/>
        <v>20891979</v>
      </c>
    </row>
    <row r="1253" spans="1:8" hidden="1">
      <c r="A1253" s="87">
        <v>13628734</v>
      </c>
      <c r="B1253" s="88" t="s">
        <v>1194</v>
      </c>
      <c r="C1253" s="88" t="s">
        <v>2218</v>
      </c>
      <c r="D1253" s="88" t="s">
        <v>7022</v>
      </c>
      <c r="E1253" s="94">
        <v>43241</v>
      </c>
      <c r="F1253" s="91" t="s">
        <v>6853</v>
      </c>
      <c r="G1253" s="223">
        <f t="shared" si="38"/>
        <v>16</v>
      </c>
      <c r="H1253" s="222">
        <f t="shared" si="39"/>
        <v>13628734</v>
      </c>
    </row>
    <row r="1254" spans="1:8" hidden="1">
      <c r="A1254" s="87">
        <v>17859768</v>
      </c>
      <c r="B1254" s="88" t="s">
        <v>1808</v>
      </c>
      <c r="C1254" s="88" t="s">
        <v>1809</v>
      </c>
      <c r="D1254" s="88" t="s">
        <v>7022</v>
      </c>
      <c r="E1254" s="94">
        <v>43241</v>
      </c>
      <c r="F1254" s="91" t="s">
        <v>6853</v>
      </c>
      <c r="G1254" s="223">
        <f t="shared" si="38"/>
        <v>15</v>
      </c>
      <c r="H1254" s="222">
        <f t="shared" si="39"/>
        <v>17859768</v>
      </c>
    </row>
    <row r="1255" spans="1:8" hidden="1">
      <c r="A1255" s="87">
        <v>20284448</v>
      </c>
      <c r="B1255" s="88" t="s">
        <v>5213</v>
      </c>
      <c r="C1255" s="88" t="s">
        <v>5214</v>
      </c>
      <c r="D1255" s="88" t="s">
        <v>7022</v>
      </c>
      <c r="E1255" s="94">
        <v>43241</v>
      </c>
      <c r="F1255" s="91" t="s">
        <v>9302</v>
      </c>
      <c r="G1255" s="223">
        <f t="shared" si="38"/>
        <v>2</v>
      </c>
      <c r="H1255" s="222">
        <f t="shared" si="39"/>
        <v>20284448</v>
      </c>
    </row>
    <row r="1256" spans="1:8" hidden="1">
      <c r="A1256" s="87">
        <v>24355788</v>
      </c>
      <c r="B1256" s="88" t="s">
        <v>4395</v>
      </c>
      <c r="C1256" s="88" t="s">
        <v>4396</v>
      </c>
      <c r="D1256" s="88" t="s">
        <v>7022</v>
      </c>
      <c r="E1256" s="94">
        <v>43241</v>
      </c>
      <c r="F1256" s="91" t="s">
        <v>6853</v>
      </c>
      <c r="G1256" s="223">
        <f t="shared" si="38"/>
        <v>21</v>
      </c>
      <c r="H1256" s="222">
        <f t="shared" si="39"/>
        <v>24355788</v>
      </c>
    </row>
    <row r="1257" spans="1:8" hidden="1">
      <c r="A1257" s="87">
        <v>33050647</v>
      </c>
      <c r="B1257" s="88" t="s">
        <v>2579</v>
      </c>
      <c r="C1257" s="88" t="s">
        <v>223</v>
      </c>
      <c r="D1257" s="88" t="s">
        <v>7022</v>
      </c>
      <c r="E1257" s="94">
        <v>43241</v>
      </c>
      <c r="F1257" s="91" t="s">
        <v>9302</v>
      </c>
      <c r="G1257" s="223">
        <f t="shared" si="38"/>
        <v>14</v>
      </c>
      <c r="H1257" s="222">
        <f t="shared" si="39"/>
        <v>33050647</v>
      </c>
    </row>
    <row r="1258" spans="1:8" hidden="1">
      <c r="A1258" s="87">
        <v>25559253</v>
      </c>
      <c r="B1258" s="88" t="s">
        <v>435</v>
      </c>
      <c r="C1258" s="88" t="s">
        <v>436</v>
      </c>
      <c r="D1258" s="88" t="s">
        <v>7022</v>
      </c>
      <c r="E1258" s="94">
        <v>43241</v>
      </c>
      <c r="F1258" s="91" t="s">
        <v>9302</v>
      </c>
      <c r="G1258" s="223">
        <f t="shared" si="38"/>
        <v>11</v>
      </c>
      <c r="H1258" s="222">
        <f t="shared" si="39"/>
        <v>25559253</v>
      </c>
    </row>
    <row r="1259" spans="1:8" hidden="1">
      <c r="A1259" s="87">
        <v>26892754</v>
      </c>
      <c r="B1259" s="88" t="s">
        <v>574</v>
      </c>
      <c r="C1259" s="88" t="s">
        <v>1346</v>
      </c>
      <c r="D1259" s="88" t="s">
        <v>7022</v>
      </c>
      <c r="E1259" s="94">
        <v>43241</v>
      </c>
      <c r="F1259" s="91" t="s">
        <v>9302</v>
      </c>
      <c r="G1259" s="223">
        <f t="shared" si="38"/>
        <v>14</v>
      </c>
      <c r="H1259" s="222">
        <f t="shared" si="39"/>
        <v>26892754</v>
      </c>
    </row>
    <row r="1260" spans="1:8" hidden="1">
      <c r="A1260" s="87">
        <v>12607460</v>
      </c>
      <c r="B1260" s="88" t="s">
        <v>1364</v>
      </c>
      <c r="C1260" s="88" t="s">
        <v>1365</v>
      </c>
      <c r="D1260" s="88" t="s">
        <v>7022</v>
      </c>
      <c r="E1260" s="94">
        <v>43241</v>
      </c>
      <c r="F1260" s="91" t="s">
        <v>6853</v>
      </c>
      <c r="G1260" s="223">
        <f t="shared" si="38"/>
        <v>14</v>
      </c>
      <c r="H1260" s="222">
        <f t="shared" si="39"/>
        <v>12607460</v>
      </c>
    </row>
    <row r="1261" spans="1:8" hidden="1">
      <c r="A1261" s="87">
        <v>16617513</v>
      </c>
      <c r="B1261" s="88" t="s">
        <v>1236</v>
      </c>
      <c r="C1261" s="88" t="s">
        <v>1237</v>
      </c>
      <c r="D1261" s="88" t="s">
        <v>7022</v>
      </c>
      <c r="E1261" s="94">
        <v>43241</v>
      </c>
      <c r="F1261" s="91" t="s">
        <v>6853</v>
      </c>
      <c r="G1261" s="223">
        <f t="shared" si="38"/>
        <v>14</v>
      </c>
      <c r="H1261" s="222">
        <f t="shared" si="39"/>
        <v>16617513</v>
      </c>
    </row>
    <row r="1262" spans="1:8" hidden="1">
      <c r="A1262" s="87">
        <v>28496373</v>
      </c>
      <c r="B1262" s="88" t="s">
        <v>1352</v>
      </c>
      <c r="C1262" s="88" t="s">
        <v>1353</v>
      </c>
      <c r="D1262" s="88" t="s">
        <v>7022</v>
      </c>
      <c r="E1262" s="94">
        <v>43241</v>
      </c>
      <c r="F1262" s="91" t="s">
        <v>6853</v>
      </c>
      <c r="G1262" s="223">
        <f t="shared" si="38"/>
        <v>14</v>
      </c>
      <c r="H1262" s="222">
        <f t="shared" si="39"/>
        <v>28496373</v>
      </c>
    </row>
    <row r="1263" spans="1:8" hidden="1">
      <c r="A1263" s="87">
        <v>36224368</v>
      </c>
      <c r="B1263" s="88" t="s">
        <v>1257</v>
      </c>
      <c r="C1263" s="88" t="s">
        <v>1258</v>
      </c>
      <c r="D1263" s="88" t="s">
        <v>7022</v>
      </c>
      <c r="E1263" s="94">
        <v>43241</v>
      </c>
      <c r="F1263" s="91" t="s">
        <v>6853</v>
      </c>
      <c r="G1263" s="223" t="str">
        <f t="shared" si="38"/>
        <v>sin dato</v>
      </c>
      <c r="H1263" s="222" t="str">
        <f t="shared" si="39"/>
        <v>999</v>
      </c>
    </row>
    <row r="1264" spans="1:8" hidden="1">
      <c r="A1264" s="87">
        <v>25255781</v>
      </c>
      <c r="B1264" s="88" t="s">
        <v>1317</v>
      </c>
      <c r="C1264" s="88" t="s">
        <v>1318</v>
      </c>
      <c r="D1264" s="88" t="s">
        <v>7022</v>
      </c>
      <c r="E1264" s="94">
        <v>43241</v>
      </c>
      <c r="F1264" s="91" t="s">
        <v>9302</v>
      </c>
      <c r="G1264" s="223">
        <f t="shared" si="38"/>
        <v>14</v>
      </c>
      <c r="H1264" s="222">
        <f t="shared" si="39"/>
        <v>25255781</v>
      </c>
    </row>
    <row r="1265" spans="1:8" hidden="1">
      <c r="A1265" s="87">
        <v>33977015</v>
      </c>
      <c r="B1265" s="88" t="s">
        <v>472</v>
      </c>
      <c r="C1265" s="88" t="s">
        <v>5721</v>
      </c>
      <c r="D1265" s="88" t="s">
        <v>7022</v>
      </c>
      <c r="E1265" s="94">
        <v>43241</v>
      </c>
      <c r="F1265" s="91" t="s">
        <v>6853</v>
      </c>
      <c r="G1265" s="223">
        <f t="shared" si="38"/>
        <v>6</v>
      </c>
      <c r="H1265" s="222">
        <f t="shared" si="39"/>
        <v>33977015</v>
      </c>
    </row>
    <row r="1266" spans="1:8" hidden="1">
      <c r="A1266" s="87">
        <v>23015488</v>
      </c>
      <c r="B1266" s="88" t="s">
        <v>3871</v>
      </c>
      <c r="C1266" s="88" t="s">
        <v>1061</v>
      </c>
      <c r="D1266" s="88" t="s">
        <v>7022</v>
      </c>
      <c r="E1266" s="94">
        <v>43241</v>
      </c>
      <c r="F1266" s="91" t="s">
        <v>6853</v>
      </c>
      <c r="G1266" s="223">
        <f t="shared" si="38"/>
        <v>20</v>
      </c>
      <c r="H1266" s="222">
        <f t="shared" si="39"/>
        <v>23015488</v>
      </c>
    </row>
    <row r="1267" spans="1:8" hidden="1">
      <c r="A1267" s="87">
        <v>12733903</v>
      </c>
      <c r="B1267" s="88" t="s">
        <v>4677</v>
      </c>
      <c r="C1267" s="88" t="s">
        <v>2184</v>
      </c>
      <c r="D1267" s="88" t="s">
        <v>7022</v>
      </c>
      <c r="E1267" s="94">
        <v>43241</v>
      </c>
      <c r="F1267" s="91" t="s">
        <v>9302</v>
      </c>
      <c r="G1267" s="223">
        <f t="shared" si="38"/>
        <v>22</v>
      </c>
      <c r="H1267" s="222">
        <f t="shared" si="39"/>
        <v>12733903</v>
      </c>
    </row>
    <row r="1268" spans="1:8" hidden="1">
      <c r="A1268" s="87">
        <v>12402455</v>
      </c>
      <c r="B1268" s="88" t="s">
        <v>1273</v>
      </c>
      <c r="C1268" s="88" t="s">
        <v>274</v>
      </c>
      <c r="D1268" s="88" t="s">
        <v>7022</v>
      </c>
      <c r="E1268" s="94">
        <v>43241</v>
      </c>
      <c r="F1268" s="91" t="s">
        <v>6853</v>
      </c>
      <c r="G1268" s="223">
        <f t="shared" si="38"/>
        <v>14</v>
      </c>
      <c r="H1268" s="222">
        <f t="shared" si="39"/>
        <v>12402455</v>
      </c>
    </row>
    <row r="1269" spans="1:8" hidden="1">
      <c r="A1269" s="87">
        <v>25380707</v>
      </c>
      <c r="B1269" s="88" t="s">
        <v>5150</v>
      </c>
      <c r="C1269" s="88" t="s">
        <v>5151</v>
      </c>
      <c r="D1269" s="88" t="s">
        <v>7022</v>
      </c>
      <c r="E1269" s="94">
        <v>43241</v>
      </c>
      <c r="F1269" s="91" t="s">
        <v>9302</v>
      </c>
      <c r="G1269" s="223" t="str">
        <f t="shared" si="38"/>
        <v>sin dato</v>
      </c>
      <c r="H1269" s="222">
        <f t="shared" si="39"/>
        <v>25380707</v>
      </c>
    </row>
    <row r="1270" spans="1:8" hidden="1">
      <c r="A1270" s="87">
        <v>29060912</v>
      </c>
      <c r="B1270" s="88" t="s">
        <v>760</v>
      </c>
      <c r="C1270" s="88" t="s">
        <v>4373</v>
      </c>
      <c r="D1270" s="88" t="s">
        <v>7022</v>
      </c>
      <c r="E1270" s="94">
        <v>43241</v>
      </c>
      <c r="F1270" s="91" t="s">
        <v>9302</v>
      </c>
      <c r="G1270" s="223">
        <f t="shared" si="38"/>
        <v>10</v>
      </c>
      <c r="H1270" s="222">
        <f t="shared" si="39"/>
        <v>29060912</v>
      </c>
    </row>
    <row r="1271" spans="1:8" hidden="1">
      <c r="A1271" s="87">
        <v>31842029</v>
      </c>
      <c r="B1271" s="88" t="s">
        <v>5233</v>
      </c>
      <c r="C1271" s="88" t="s">
        <v>5234</v>
      </c>
      <c r="D1271" s="88" t="s">
        <v>7022</v>
      </c>
      <c r="E1271" s="94">
        <v>43241</v>
      </c>
      <c r="F1271" s="91" t="s">
        <v>9302</v>
      </c>
      <c r="G1271" s="223">
        <f t="shared" si="38"/>
        <v>2</v>
      </c>
      <c r="H1271" s="222">
        <f t="shared" si="39"/>
        <v>31842029</v>
      </c>
    </row>
    <row r="1272" spans="1:8" hidden="1">
      <c r="A1272" s="87">
        <v>21320089</v>
      </c>
      <c r="B1272" s="88" t="s">
        <v>1839</v>
      </c>
      <c r="C1272" s="88" t="s">
        <v>4485</v>
      </c>
      <c r="D1272" s="88" t="s">
        <v>7022</v>
      </c>
      <c r="E1272" s="94">
        <v>43241</v>
      </c>
      <c r="F1272" s="91" t="s">
        <v>6853</v>
      </c>
      <c r="G1272" s="223">
        <f t="shared" si="38"/>
        <v>21</v>
      </c>
      <c r="H1272" s="222">
        <f t="shared" si="39"/>
        <v>21320089</v>
      </c>
    </row>
    <row r="1273" spans="1:8" hidden="1">
      <c r="A1273" s="87">
        <v>17614415</v>
      </c>
      <c r="B1273" s="88" t="s">
        <v>533</v>
      </c>
      <c r="C1273" s="88" t="s">
        <v>534</v>
      </c>
      <c r="D1273" s="88" t="s">
        <v>7022</v>
      </c>
      <c r="E1273" s="94">
        <v>43241</v>
      </c>
      <c r="F1273" s="91" t="s">
        <v>6853</v>
      </c>
      <c r="G1273" s="223">
        <f t="shared" si="38"/>
        <v>11</v>
      </c>
      <c r="H1273" s="222">
        <f t="shared" si="39"/>
        <v>17614415</v>
      </c>
    </row>
    <row r="1274" spans="1:8" hidden="1">
      <c r="A1274" s="87">
        <v>25444256</v>
      </c>
      <c r="B1274" s="88" t="s">
        <v>5764</v>
      </c>
      <c r="C1274" s="88" t="s">
        <v>5765</v>
      </c>
      <c r="D1274" s="88" t="s">
        <v>7025</v>
      </c>
      <c r="E1274" s="94">
        <v>43237</v>
      </c>
      <c r="F1274" s="91" t="s">
        <v>7027</v>
      </c>
      <c r="G1274" s="223" t="str">
        <f t="shared" si="38"/>
        <v>sin dato</v>
      </c>
      <c r="H1274" s="222">
        <f t="shared" si="39"/>
        <v>25444256</v>
      </c>
    </row>
    <row r="1275" spans="1:8" hidden="1">
      <c r="A1275" s="87">
        <v>27575169</v>
      </c>
      <c r="B1275" s="88" t="s">
        <v>601</v>
      </c>
      <c r="C1275" s="88" t="s">
        <v>602</v>
      </c>
      <c r="D1275" s="88" t="s">
        <v>7025</v>
      </c>
      <c r="E1275" s="94">
        <v>43237</v>
      </c>
      <c r="F1275" s="91" t="s">
        <v>7027</v>
      </c>
      <c r="G1275" s="223">
        <f t="shared" si="38"/>
        <v>13</v>
      </c>
      <c r="H1275" s="222">
        <f t="shared" si="39"/>
        <v>27575169</v>
      </c>
    </row>
    <row r="1276" spans="1:8" hidden="1">
      <c r="A1276" s="87">
        <v>29743258</v>
      </c>
      <c r="B1276" s="88" t="s">
        <v>144</v>
      </c>
      <c r="C1276" s="88" t="s">
        <v>4283</v>
      </c>
      <c r="D1276" s="88" t="s">
        <v>7025</v>
      </c>
      <c r="E1276" s="94">
        <v>43237</v>
      </c>
      <c r="F1276" s="91" t="s">
        <v>7027</v>
      </c>
      <c r="G1276" s="223">
        <f t="shared" si="38"/>
        <v>2</v>
      </c>
      <c r="H1276" s="222">
        <f t="shared" si="39"/>
        <v>29743258</v>
      </c>
    </row>
    <row r="1277" spans="1:8" hidden="1">
      <c r="A1277" s="87">
        <v>28476977</v>
      </c>
      <c r="B1277" s="88" t="s">
        <v>5296</v>
      </c>
      <c r="C1277" s="88" t="s">
        <v>843</v>
      </c>
      <c r="D1277" s="88" t="s">
        <v>7025</v>
      </c>
      <c r="E1277" s="94">
        <v>43237</v>
      </c>
      <c r="F1277" s="91" t="s">
        <v>7027</v>
      </c>
      <c r="G1277" s="223">
        <f t="shared" si="38"/>
        <v>2</v>
      </c>
      <c r="H1277" s="222">
        <f t="shared" si="39"/>
        <v>28476977</v>
      </c>
    </row>
    <row r="1278" spans="1:8" hidden="1">
      <c r="A1278" s="87">
        <v>31322920</v>
      </c>
      <c r="B1278" s="88" t="s">
        <v>2026</v>
      </c>
      <c r="C1278" s="88" t="s">
        <v>5441</v>
      </c>
      <c r="D1278" s="88" t="s">
        <v>7025</v>
      </c>
      <c r="E1278" s="94">
        <v>43237</v>
      </c>
      <c r="F1278" s="91" t="s">
        <v>7028</v>
      </c>
      <c r="G1278" s="223">
        <f t="shared" si="38"/>
        <v>999</v>
      </c>
      <c r="H1278" s="222">
        <f t="shared" si="39"/>
        <v>31322920</v>
      </c>
    </row>
    <row r="1279" spans="1:8" hidden="1">
      <c r="A1279" s="87">
        <v>14984007</v>
      </c>
      <c r="B1279" s="88" t="s">
        <v>3742</v>
      </c>
      <c r="C1279" s="88" t="s">
        <v>3743</v>
      </c>
      <c r="D1279" s="88" t="s">
        <v>7025</v>
      </c>
      <c r="E1279" s="94">
        <v>43237</v>
      </c>
      <c r="F1279" s="91" t="s">
        <v>6853</v>
      </c>
      <c r="G1279" s="223">
        <f t="shared" si="38"/>
        <v>20</v>
      </c>
      <c r="H1279" s="222">
        <f t="shared" si="39"/>
        <v>14984007</v>
      </c>
    </row>
    <row r="1280" spans="1:8" hidden="1">
      <c r="A1280" s="87">
        <v>14984966</v>
      </c>
      <c r="B1280" s="88" t="s">
        <v>1558</v>
      </c>
      <c r="C1280" s="88" t="s">
        <v>1061</v>
      </c>
      <c r="D1280" s="88" t="s">
        <v>7025</v>
      </c>
      <c r="E1280" s="94">
        <v>43237</v>
      </c>
      <c r="F1280" s="91" t="s">
        <v>6853</v>
      </c>
      <c r="G1280" s="223">
        <f t="shared" si="38"/>
        <v>999</v>
      </c>
      <c r="H1280" s="222">
        <f t="shared" si="39"/>
        <v>14984966</v>
      </c>
    </row>
    <row r="1281" spans="1:8" hidden="1">
      <c r="A1281" s="87">
        <v>23519447</v>
      </c>
      <c r="B1281" s="88" t="s">
        <v>2195</v>
      </c>
      <c r="C1281" s="88" t="s">
        <v>2198</v>
      </c>
      <c r="D1281" s="88" t="s">
        <v>7025</v>
      </c>
      <c r="E1281" s="94">
        <v>43237</v>
      </c>
      <c r="F1281" s="91" t="s">
        <v>7027</v>
      </c>
      <c r="G1281" s="223">
        <f t="shared" si="38"/>
        <v>16</v>
      </c>
      <c r="H1281" s="222">
        <f t="shared" si="39"/>
        <v>23519447</v>
      </c>
    </row>
    <row r="1282" spans="1:8" hidden="1">
      <c r="A1282" s="87">
        <v>26638536</v>
      </c>
      <c r="B1282" s="88" t="s">
        <v>901</v>
      </c>
      <c r="C1282" s="88" t="s">
        <v>902</v>
      </c>
      <c r="D1282" s="88" t="s">
        <v>7025</v>
      </c>
      <c r="E1282" s="94">
        <v>43237</v>
      </c>
      <c r="F1282" s="91" t="s">
        <v>6853</v>
      </c>
      <c r="G1282" s="223">
        <f t="shared" ref="G1282:G1345" si="40">IFERROR(INDEX(unidad,MATCH(VLOOKUP(A1282,alum,9,0),unidad2,0),1),"sin dato")</f>
        <v>999</v>
      </c>
      <c r="H1282" s="222">
        <f t="shared" ref="H1282:H1345" si="41">IFERROR(VLOOKUP(A1282,alum,1,0),"999")</f>
        <v>26638536</v>
      </c>
    </row>
    <row r="1283" spans="1:8" hidden="1">
      <c r="A1283" s="87">
        <v>21823138</v>
      </c>
      <c r="B1283" s="88" t="s">
        <v>2840</v>
      </c>
      <c r="C1283" s="88" t="s">
        <v>2841</v>
      </c>
      <c r="D1283" s="88" t="s">
        <v>7025</v>
      </c>
      <c r="E1283" s="94">
        <v>43237</v>
      </c>
      <c r="F1283" s="91" t="s">
        <v>7027</v>
      </c>
      <c r="G1283" s="223">
        <f t="shared" si="40"/>
        <v>61</v>
      </c>
      <c r="H1283" s="222">
        <f t="shared" si="41"/>
        <v>21823138</v>
      </c>
    </row>
    <row r="1284" spans="1:8" hidden="1">
      <c r="A1284" s="87">
        <v>25380707</v>
      </c>
      <c r="B1284" s="88" t="s">
        <v>5150</v>
      </c>
      <c r="C1284" s="88" t="s">
        <v>5151</v>
      </c>
      <c r="D1284" s="88" t="s">
        <v>7025</v>
      </c>
      <c r="E1284" s="94">
        <v>43237</v>
      </c>
      <c r="F1284" s="91" t="s">
        <v>6853</v>
      </c>
      <c r="G1284" s="223" t="str">
        <f t="shared" si="40"/>
        <v>sin dato</v>
      </c>
      <c r="H1284" s="222">
        <f t="shared" si="41"/>
        <v>25380707</v>
      </c>
    </row>
    <row r="1285" spans="1:8" hidden="1">
      <c r="A1285" s="87">
        <v>30268714</v>
      </c>
      <c r="B1285" s="88" t="s">
        <v>499</v>
      </c>
      <c r="C1285" s="88" t="s">
        <v>769</v>
      </c>
      <c r="D1285" s="88" t="s">
        <v>7025</v>
      </c>
      <c r="E1285" s="94">
        <v>43237</v>
      </c>
      <c r="F1285" s="91" t="s">
        <v>7027</v>
      </c>
      <c r="G1285" s="223">
        <f t="shared" si="40"/>
        <v>13</v>
      </c>
      <c r="H1285" s="222">
        <f t="shared" si="41"/>
        <v>30268714</v>
      </c>
    </row>
    <row r="1286" spans="1:8" hidden="1">
      <c r="A1286" s="87">
        <v>24200086</v>
      </c>
      <c r="B1286" s="88" t="s">
        <v>2364</v>
      </c>
      <c r="C1286" s="88" t="s">
        <v>2365</v>
      </c>
      <c r="D1286" s="88" t="s">
        <v>7016</v>
      </c>
      <c r="E1286" s="94">
        <v>43236</v>
      </c>
      <c r="F1286" s="91" t="s">
        <v>6853</v>
      </c>
      <c r="G1286" s="223">
        <f t="shared" si="40"/>
        <v>17</v>
      </c>
      <c r="H1286" s="222">
        <f t="shared" si="41"/>
        <v>24200086</v>
      </c>
    </row>
    <row r="1287" spans="1:8" hidden="1">
      <c r="A1287" s="87">
        <v>36224754</v>
      </c>
      <c r="B1287" s="88" t="s">
        <v>3196</v>
      </c>
      <c r="C1287" s="88" t="s">
        <v>3197</v>
      </c>
      <c r="D1287" s="88" t="s">
        <v>7016</v>
      </c>
      <c r="E1287" s="94">
        <v>43236</v>
      </c>
      <c r="F1287" s="91" t="s">
        <v>6853</v>
      </c>
      <c r="G1287" s="223" t="str">
        <f t="shared" si="40"/>
        <v>sin dato</v>
      </c>
      <c r="H1287" s="222" t="str">
        <f t="shared" si="41"/>
        <v>999</v>
      </c>
    </row>
    <row r="1288" spans="1:8" hidden="1">
      <c r="A1288" s="87">
        <v>27961528</v>
      </c>
      <c r="B1288" s="88" t="s">
        <v>2696</v>
      </c>
      <c r="C1288" s="88" t="s">
        <v>527</v>
      </c>
      <c r="D1288" s="88" t="s">
        <v>7016</v>
      </c>
      <c r="E1288" s="94">
        <v>43236</v>
      </c>
      <c r="F1288" s="91" t="s">
        <v>7024</v>
      </c>
      <c r="G1288" s="223">
        <f t="shared" si="40"/>
        <v>50</v>
      </c>
      <c r="H1288" s="222">
        <f t="shared" si="41"/>
        <v>27961528</v>
      </c>
    </row>
    <row r="1289" spans="1:8" hidden="1">
      <c r="A1289" s="87">
        <v>14352478</v>
      </c>
      <c r="B1289" s="88" t="s">
        <v>4018</v>
      </c>
      <c r="C1289" s="88" t="s">
        <v>4019</v>
      </c>
      <c r="D1289" s="88" t="s">
        <v>7016</v>
      </c>
      <c r="E1289" s="94">
        <v>43236</v>
      </c>
      <c r="F1289" s="91" t="s">
        <v>6853</v>
      </c>
      <c r="G1289" s="223">
        <f t="shared" si="40"/>
        <v>30</v>
      </c>
      <c r="H1289" s="222">
        <f t="shared" si="41"/>
        <v>14352478</v>
      </c>
    </row>
    <row r="1290" spans="1:8" hidden="1">
      <c r="A1290" s="87">
        <v>35921443</v>
      </c>
      <c r="B1290" s="88" t="s">
        <v>680</v>
      </c>
      <c r="C1290" s="88" t="s">
        <v>2706</v>
      </c>
      <c r="D1290" s="88" t="s">
        <v>7016</v>
      </c>
      <c r="E1290" s="94">
        <v>43236</v>
      </c>
      <c r="F1290" s="91" t="s">
        <v>7024</v>
      </c>
      <c r="G1290" s="223" t="str">
        <f t="shared" si="40"/>
        <v>sin dato</v>
      </c>
      <c r="H1290" s="222" t="str">
        <f t="shared" si="41"/>
        <v>999</v>
      </c>
    </row>
    <row r="1291" spans="1:8" hidden="1">
      <c r="A1291" s="87">
        <v>21829290</v>
      </c>
      <c r="B1291" s="88" t="s">
        <v>2521</v>
      </c>
      <c r="C1291" s="88" t="s">
        <v>2522</v>
      </c>
      <c r="D1291" s="88" t="s">
        <v>7016</v>
      </c>
      <c r="E1291" s="94">
        <v>43236</v>
      </c>
      <c r="F1291" s="91" t="s">
        <v>7024</v>
      </c>
      <c r="G1291" s="223">
        <f t="shared" si="40"/>
        <v>18</v>
      </c>
      <c r="H1291" s="222">
        <f t="shared" si="41"/>
        <v>21829290</v>
      </c>
    </row>
    <row r="1292" spans="1:8" hidden="1">
      <c r="A1292" s="87">
        <v>11054779</v>
      </c>
      <c r="B1292" s="88" t="s">
        <v>3745</v>
      </c>
      <c r="C1292" s="88" t="s">
        <v>1185</v>
      </c>
      <c r="D1292" s="88" t="s">
        <v>7016</v>
      </c>
      <c r="E1292" s="94">
        <v>43236</v>
      </c>
      <c r="F1292" s="91" t="s">
        <v>6853</v>
      </c>
      <c r="G1292" s="223">
        <f t="shared" si="40"/>
        <v>20</v>
      </c>
      <c r="H1292" s="222">
        <f t="shared" si="41"/>
        <v>11054779</v>
      </c>
    </row>
    <row r="1293" spans="1:8" hidden="1">
      <c r="A1293" s="87">
        <v>17040749</v>
      </c>
      <c r="B1293" s="88" t="s">
        <v>2132</v>
      </c>
      <c r="C1293" s="88" t="s">
        <v>215</v>
      </c>
      <c r="D1293" s="88" t="s">
        <v>7016</v>
      </c>
      <c r="E1293" s="94">
        <v>43236</v>
      </c>
      <c r="F1293" s="91" t="s">
        <v>6853</v>
      </c>
      <c r="G1293" s="223">
        <f t="shared" si="40"/>
        <v>16</v>
      </c>
      <c r="H1293" s="222">
        <f t="shared" si="41"/>
        <v>17040749</v>
      </c>
    </row>
    <row r="1294" spans="1:8" hidden="1">
      <c r="A1294" s="87">
        <v>22303060</v>
      </c>
      <c r="B1294" s="88" t="s">
        <v>6270</v>
      </c>
      <c r="C1294" s="88" t="s">
        <v>233</v>
      </c>
      <c r="D1294" s="88" t="s">
        <v>7016</v>
      </c>
      <c r="E1294" s="94">
        <v>43236</v>
      </c>
      <c r="F1294" s="91" t="s">
        <v>7027</v>
      </c>
      <c r="G1294" s="223">
        <f t="shared" si="40"/>
        <v>999</v>
      </c>
      <c r="H1294" s="222">
        <f t="shared" si="41"/>
        <v>22303060</v>
      </c>
    </row>
    <row r="1295" spans="1:8" hidden="1">
      <c r="A1295" s="87">
        <v>25800534</v>
      </c>
      <c r="B1295" s="88" t="s">
        <v>4868</v>
      </c>
      <c r="C1295" s="88" t="s">
        <v>4869</v>
      </c>
      <c r="D1295" s="88" t="s">
        <v>7016</v>
      </c>
      <c r="E1295" s="94">
        <v>43236</v>
      </c>
      <c r="F1295" s="91" t="s">
        <v>6853</v>
      </c>
      <c r="G1295" s="223">
        <f t="shared" si="40"/>
        <v>1</v>
      </c>
      <c r="H1295" s="222">
        <f t="shared" si="41"/>
        <v>25800534</v>
      </c>
    </row>
    <row r="1296" spans="1:8" hidden="1">
      <c r="A1296" s="87">
        <v>17042486</v>
      </c>
      <c r="B1296" s="88" t="s">
        <v>2607</v>
      </c>
      <c r="C1296" s="88" t="s">
        <v>2608</v>
      </c>
      <c r="D1296" s="88" t="s">
        <v>7016</v>
      </c>
      <c r="E1296" s="94">
        <v>43236</v>
      </c>
      <c r="F1296" s="91" t="s">
        <v>9302</v>
      </c>
      <c r="G1296" s="223">
        <f t="shared" si="40"/>
        <v>18</v>
      </c>
      <c r="H1296" s="222">
        <f t="shared" si="41"/>
        <v>17042486</v>
      </c>
    </row>
    <row r="1297" spans="1:8" hidden="1">
      <c r="A1297" s="87">
        <v>20219090</v>
      </c>
      <c r="B1297" s="88" t="s">
        <v>4429</v>
      </c>
      <c r="C1297" s="88" t="s">
        <v>215</v>
      </c>
      <c r="D1297" s="88" t="s">
        <v>7016</v>
      </c>
      <c r="E1297" s="94">
        <v>43236</v>
      </c>
      <c r="F1297" s="91" t="s">
        <v>7027</v>
      </c>
      <c r="G1297" s="223">
        <f t="shared" si="40"/>
        <v>21</v>
      </c>
      <c r="H1297" s="222">
        <f t="shared" si="41"/>
        <v>20219090</v>
      </c>
    </row>
    <row r="1298" spans="1:8" hidden="1">
      <c r="A1298" s="87">
        <v>20218225</v>
      </c>
      <c r="B1298" s="88" t="s">
        <v>3282</v>
      </c>
      <c r="C1298" s="88" t="s">
        <v>3283</v>
      </c>
      <c r="D1298" s="88" t="s">
        <v>7009</v>
      </c>
      <c r="E1298" s="94">
        <v>43235</v>
      </c>
      <c r="F1298" s="91" t="s">
        <v>7027</v>
      </c>
      <c r="G1298" s="223">
        <f t="shared" si="40"/>
        <v>28</v>
      </c>
      <c r="H1298" s="222">
        <f t="shared" si="41"/>
        <v>20218225</v>
      </c>
    </row>
    <row r="1299" spans="1:8" hidden="1">
      <c r="A1299" s="87">
        <v>27652555</v>
      </c>
      <c r="B1299" s="88" t="s">
        <v>47</v>
      </c>
      <c r="C1299" s="88" t="s">
        <v>5175</v>
      </c>
      <c r="D1299" s="88" t="s">
        <v>7009</v>
      </c>
      <c r="E1299" s="94">
        <v>43235</v>
      </c>
      <c r="F1299" s="91" t="s">
        <v>7027</v>
      </c>
      <c r="G1299" s="223">
        <f t="shared" si="40"/>
        <v>2</v>
      </c>
      <c r="H1299" s="222">
        <f t="shared" si="41"/>
        <v>27652555</v>
      </c>
    </row>
    <row r="1300" spans="1:8" hidden="1">
      <c r="A1300" s="87">
        <v>14480554</v>
      </c>
      <c r="B1300" s="88" t="s">
        <v>1671</v>
      </c>
      <c r="C1300" s="88" t="s">
        <v>1672</v>
      </c>
      <c r="D1300" s="88" t="s">
        <v>7009</v>
      </c>
      <c r="E1300" s="94">
        <v>43235</v>
      </c>
      <c r="F1300" s="91" t="s">
        <v>7027</v>
      </c>
      <c r="G1300" s="223">
        <f t="shared" si="40"/>
        <v>15</v>
      </c>
      <c r="H1300" s="222">
        <f t="shared" si="41"/>
        <v>14480554</v>
      </c>
    </row>
    <row r="1301" spans="1:8" hidden="1">
      <c r="A1301" s="87">
        <v>22613410</v>
      </c>
      <c r="B1301" s="88" t="s">
        <v>195</v>
      </c>
      <c r="C1301" s="88" t="s">
        <v>1304</v>
      </c>
      <c r="D1301" s="88" t="s">
        <v>7009</v>
      </c>
      <c r="E1301" s="94">
        <v>43235</v>
      </c>
      <c r="F1301" s="91" t="s">
        <v>7024</v>
      </c>
      <c r="G1301" s="223">
        <f t="shared" si="40"/>
        <v>14</v>
      </c>
      <c r="H1301" s="222">
        <f t="shared" si="41"/>
        <v>22613410</v>
      </c>
    </row>
    <row r="1302" spans="1:8" hidden="1">
      <c r="A1302" s="87">
        <v>16541466</v>
      </c>
      <c r="B1302" s="88" t="s">
        <v>3442</v>
      </c>
      <c r="C1302" s="88" t="s">
        <v>3443</v>
      </c>
      <c r="D1302" s="88" t="s">
        <v>7009</v>
      </c>
      <c r="E1302" s="94">
        <v>43235</v>
      </c>
      <c r="F1302" s="91" t="s">
        <v>7027</v>
      </c>
      <c r="G1302" s="223">
        <f t="shared" si="40"/>
        <v>25</v>
      </c>
      <c r="H1302" s="222">
        <f t="shared" si="41"/>
        <v>16541466</v>
      </c>
    </row>
    <row r="1303" spans="1:8" hidden="1">
      <c r="A1303" s="87">
        <v>20222681</v>
      </c>
      <c r="B1303" s="88" t="s">
        <v>662</v>
      </c>
      <c r="C1303" s="88" t="s">
        <v>663</v>
      </c>
      <c r="D1303" s="88" t="s">
        <v>7009</v>
      </c>
      <c r="E1303" s="94">
        <v>43235</v>
      </c>
      <c r="F1303" s="91" t="s">
        <v>7027</v>
      </c>
      <c r="G1303" s="223">
        <f t="shared" si="40"/>
        <v>13</v>
      </c>
      <c r="H1303" s="222">
        <f t="shared" si="41"/>
        <v>20222681</v>
      </c>
    </row>
    <row r="1304" spans="1:8" hidden="1">
      <c r="A1304" s="87">
        <v>24803875</v>
      </c>
      <c r="B1304" s="88" t="s">
        <v>5251</v>
      </c>
      <c r="C1304" s="88" t="s">
        <v>6170</v>
      </c>
      <c r="D1304" s="88" t="s">
        <v>7009</v>
      </c>
      <c r="E1304" s="94">
        <v>43235</v>
      </c>
      <c r="F1304" s="91" t="s">
        <v>7024</v>
      </c>
      <c r="G1304" s="223">
        <f t="shared" si="40"/>
        <v>999</v>
      </c>
      <c r="H1304" s="222">
        <f t="shared" si="41"/>
        <v>24803875</v>
      </c>
    </row>
    <row r="1305" spans="1:8" hidden="1">
      <c r="A1305" s="87">
        <v>17860016</v>
      </c>
      <c r="B1305" s="88" t="s">
        <v>1175</v>
      </c>
      <c r="C1305" s="88" t="s">
        <v>1179</v>
      </c>
      <c r="D1305" s="88" t="s">
        <v>7009</v>
      </c>
      <c r="E1305" s="94">
        <v>43235</v>
      </c>
      <c r="F1305" s="91" t="s">
        <v>7027</v>
      </c>
      <c r="G1305" s="223">
        <f t="shared" si="40"/>
        <v>14</v>
      </c>
      <c r="H1305" s="222">
        <f t="shared" si="41"/>
        <v>17860016</v>
      </c>
    </row>
    <row r="1306" spans="1:8" hidden="1">
      <c r="A1306" s="87">
        <v>23519447</v>
      </c>
      <c r="B1306" s="88" t="s">
        <v>2195</v>
      </c>
      <c r="C1306" s="88" t="s">
        <v>2198</v>
      </c>
      <c r="D1306" s="88" t="s">
        <v>7009</v>
      </c>
      <c r="E1306" s="94">
        <v>43235</v>
      </c>
      <c r="F1306" s="91" t="s">
        <v>7027</v>
      </c>
      <c r="G1306" s="223">
        <f t="shared" si="40"/>
        <v>16</v>
      </c>
      <c r="H1306" s="222">
        <f t="shared" si="41"/>
        <v>23519447</v>
      </c>
    </row>
    <row r="1307" spans="1:8" hidden="1">
      <c r="A1307" s="87">
        <v>27365353</v>
      </c>
      <c r="B1307" s="88" t="s">
        <v>5732</v>
      </c>
      <c r="C1307" s="88" t="s">
        <v>5733</v>
      </c>
      <c r="D1307" s="88" t="s">
        <v>7009</v>
      </c>
      <c r="E1307" s="94">
        <v>43235</v>
      </c>
      <c r="F1307" s="91" t="s">
        <v>6853</v>
      </c>
      <c r="G1307" s="223">
        <f t="shared" si="40"/>
        <v>65</v>
      </c>
      <c r="H1307" s="222">
        <f t="shared" si="41"/>
        <v>27365353</v>
      </c>
    </row>
    <row r="1308" spans="1:8" hidden="1">
      <c r="A1308" s="87">
        <v>31589520</v>
      </c>
      <c r="B1308" s="88" t="s">
        <v>1446</v>
      </c>
      <c r="C1308" s="88" t="s">
        <v>1447</v>
      </c>
      <c r="D1308" s="88" t="s">
        <v>7011</v>
      </c>
      <c r="E1308" s="94">
        <v>43234</v>
      </c>
      <c r="F1308" s="91" t="s">
        <v>9302</v>
      </c>
      <c r="G1308" s="223">
        <f t="shared" si="40"/>
        <v>41</v>
      </c>
      <c r="H1308" s="222">
        <f t="shared" si="41"/>
        <v>31589520</v>
      </c>
    </row>
    <row r="1309" spans="1:8" hidden="1">
      <c r="A1309" s="87">
        <v>26028695</v>
      </c>
      <c r="B1309" s="88" t="s">
        <v>1680</v>
      </c>
      <c r="C1309" s="88" t="s">
        <v>1681</v>
      </c>
      <c r="D1309" s="88" t="s">
        <v>7011</v>
      </c>
      <c r="E1309" s="94">
        <v>43234</v>
      </c>
      <c r="F1309" s="91" t="s">
        <v>6853</v>
      </c>
      <c r="G1309" s="223">
        <f t="shared" si="40"/>
        <v>15</v>
      </c>
      <c r="H1309" s="222">
        <f t="shared" si="41"/>
        <v>26028695</v>
      </c>
    </row>
    <row r="1310" spans="1:8" hidden="1">
      <c r="A1310" s="87">
        <v>26981974</v>
      </c>
      <c r="B1310" s="88" t="s">
        <v>961</v>
      </c>
      <c r="C1310" s="88" t="s">
        <v>962</v>
      </c>
      <c r="D1310" s="88" t="s">
        <v>7011</v>
      </c>
      <c r="E1310" s="94">
        <v>43234</v>
      </c>
      <c r="F1310" s="91" t="s">
        <v>6853</v>
      </c>
      <c r="G1310" s="223">
        <f t="shared" si="40"/>
        <v>14</v>
      </c>
      <c r="H1310" s="222">
        <f t="shared" si="41"/>
        <v>26981974</v>
      </c>
    </row>
    <row r="1311" spans="1:8" hidden="1">
      <c r="A1311" s="87">
        <v>27206962</v>
      </c>
      <c r="B1311" s="88" t="s">
        <v>2774</v>
      </c>
      <c r="C1311" s="88" t="s">
        <v>2775</v>
      </c>
      <c r="D1311" s="88" t="s">
        <v>7011</v>
      </c>
      <c r="E1311" s="94">
        <v>43234</v>
      </c>
      <c r="F1311" s="91" t="s">
        <v>6853</v>
      </c>
      <c r="G1311" s="223" t="str">
        <f t="shared" si="40"/>
        <v>sin dato</v>
      </c>
      <c r="H1311" s="222">
        <f t="shared" si="41"/>
        <v>27206962</v>
      </c>
    </row>
    <row r="1312" spans="1:8" hidden="1">
      <c r="A1312" s="87">
        <v>28222480</v>
      </c>
      <c r="B1312" s="88" t="s">
        <v>1482</v>
      </c>
      <c r="C1312" s="88" t="s">
        <v>7032</v>
      </c>
      <c r="D1312" s="88" t="s">
        <v>7011</v>
      </c>
      <c r="E1312" s="94">
        <v>43234</v>
      </c>
      <c r="F1312" s="91" t="s">
        <v>6853</v>
      </c>
      <c r="G1312" s="223">
        <f t="shared" si="40"/>
        <v>16</v>
      </c>
      <c r="H1312" s="222">
        <f t="shared" si="41"/>
        <v>28222480</v>
      </c>
    </row>
    <row r="1313" spans="1:8" hidden="1">
      <c r="A1313" s="87">
        <v>33091069</v>
      </c>
      <c r="B1313" s="88" t="s">
        <v>267</v>
      </c>
      <c r="C1313" s="88" t="s">
        <v>1756</v>
      </c>
      <c r="D1313" s="88" t="s">
        <v>7011</v>
      </c>
      <c r="E1313" s="94">
        <v>43234</v>
      </c>
      <c r="F1313" s="91" t="s">
        <v>6853</v>
      </c>
      <c r="G1313" s="223">
        <f t="shared" si="40"/>
        <v>15</v>
      </c>
      <c r="H1313" s="222">
        <f t="shared" si="41"/>
        <v>33091069</v>
      </c>
    </row>
    <row r="1314" spans="1:8" hidden="1">
      <c r="A1314" s="87">
        <v>12540739</v>
      </c>
      <c r="B1314" s="88" t="s">
        <v>4759</v>
      </c>
      <c r="C1314" s="88" t="s">
        <v>4760</v>
      </c>
      <c r="D1314" s="88" t="s">
        <v>7011</v>
      </c>
      <c r="E1314" s="94">
        <v>43234</v>
      </c>
      <c r="F1314" s="91" t="s">
        <v>9302</v>
      </c>
      <c r="G1314" s="223">
        <f t="shared" si="40"/>
        <v>23</v>
      </c>
      <c r="H1314" s="222">
        <f t="shared" si="41"/>
        <v>12540739</v>
      </c>
    </row>
    <row r="1315" spans="1:8" hidden="1">
      <c r="A1315" s="87">
        <v>32115718</v>
      </c>
      <c r="B1315" s="88" t="s">
        <v>2389</v>
      </c>
      <c r="C1315" s="88" t="s">
        <v>2390</v>
      </c>
      <c r="D1315" s="88" t="s">
        <v>7011</v>
      </c>
      <c r="E1315" s="94">
        <v>43234</v>
      </c>
      <c r="F1315" s="91" t="s">
        <v>9302</v>
      </c>
      <c r="G1315" s="223">
        <f t="shared" si="40"/>
        <v>17</v>
      </c>
      <c r="H1315" s="222">
        <f t="shared" si="41"/>
        <v>32115718</v>
      </c>
    </row>
    <row r="1316" spans="1:8" hidden="1">
      <c r="A1316" s="87">
        <v>16008463</v>
      </c>
      <c r="B1316" s="88" t="s">
        <v>1774</v>
      </c>
      <c r="C1316" s="88" t="s">
        <v>5624</v>
      </c>
      <c r="D1316" s="88" t="s">
        <v>7011</v>
      </c>
      <c r="E1316" s="94">
        <v>43234</v>
      </c>
      <c r="F1316" s="91" t="s">
        <v>6853</v>
      </c>
      <c r="G1316" s="223">
        <f t="shared" si="40"/>
        <v>6</v>
      </c>
      <c r="H1316" s="222">
        <f t="shared" si="41"/>
        <v>16008463</v>
      </c>
    </row>
    <row r="1317" spans="1:8" hidden="1">
      <c r="A1317" s="87">
        <v>18034548</v>
      </c>
      <c r="B1317" s="88" t="s">
        <v>4623</v>
      </c>
      <c r="C1317" s="88" t="s">
        <v>4624</v>
      </c>
      <c r="D1317" s="88" t="s">
        <v>7011</v>
      </c>
      <c r="E1317" s="94">
        <v>43234</v>
      </c>
      <c r="F1317" s="91" t="s">
        <v>6853</v>
      </c>
      <c r="G1317" s="223">
        <f t="shared" si="40"/>
        <v>22</v>
      </c>
      <c r="H1317" s="222">
        <f t="shared" si="41"/>
        <v>18034548</v>
      </c>
    </row>
    <row r="1318" spans="1:8" hidden="1">
      <c r="A1318" s="87">
        <v>24200921</v>
      </c>
      <c r="B1318" s="88" t="s">
        <v>4784</v>
      </c>
      <c r="C1318" s="88" t="s">
        <v>1085</v>
      </c>
      <c r="D1318" s="88" t="s">
        <v>7011</v>
      </c>
      <c r="E1318" s="94">
        <v>43234</v>
      </c>
      <c r="F1318" s="91" t="s">
        <v>6853</v>
      </c>
      <c r="G1318" s="223">
        <f t="shared" si="40"/>
        <v>23</v>
      </c>
      <c r="H1318" s="222">
        <f t="shared" si="41"/>
        <v>24200921</v>
      </c>
    </row>
    <row r="1319" spans="1:8" hidden="1">
      <c r="A1319" s="87">
        <v>25735232</v>
      </c>
      <c r="B1319" s="88" t="s">
        <v>875</v>
      </c>
      <c r="C1319" s="88" t="s">
        <v>5286</v>
      </c>
      <c r="D1319" s="88" t="s">
        <v>7011</v>
      </c>
      <c r="E1319" s="94">
        <v>43234</v>
      </c>
      <c r="F1319" s="91" t="s">
        <v>6853</v>
      </c>
      <c r="G1319" s="223">
        <f t="shared" si="40"/>
        <v>9</v>
      </c>
      <c r="H1319" s="222">
        <f t="shared" si="41"/>
        <v>25735232</v>
      </c>
    </row>
    <row r="1320" spans="1:8" hidden="1">
      <c r="A1320" s="87">
        <v>31589520</v>
      </c>
      <c r="B1320" s="88" t="s">
        <v>1446</v>
      </c>
      <c r="C1320" s="88" t="s">
        <v>1447</v>
      </c>
      <c r="D1320" s="88" t="s">
        <v>6992</v>
      </c>
      <c r="E1320" s="94">
        <v>43179</v>
      </c>
      <c r="F1320" s="91"/>
      <c r="G1320" s="223">
        <f t="shared" si="40"/>
        <v>41</v>
      </c>
      <c r="H1320" s="222">
        <f t="shared" si="41"/>
        <v>31589520</v>
      </c>
    </row>
    <row r="1321" spans="1:8" hidden="1">
      <c r="A1321" s="87">
        <v>14324672</v>
      </c>
      <c r="B1321" s="88" t="s">
        <v>5496</v>
      </c>
      <c r="C1321" s="88" t="s">
        <v>5497</v>
      </c>
      <c r="D1321" s="88" t="s">
        <v>6992</v>
      </c>
      <c r="E1321" s="94">
        <v>43179</v>
      </c>
      <c r="F1321" s="91"/>
      <c r="G1321" s="223">
        <f t="shared" si="40"/>
        <v>6</v>
      </c>
      <c r="H1321" s="222">
        <f t="shared" si="41"/>
        <v>14324672</v>
      </c>
    </row>
    <row r="1322" spans="1:8" hidden="1">
      <c r="A1322" s="87">
        <v>21745741</v>
      </c>
      <c r="B1322" s="88" t="s">
        <v>107</v>
      </c>
      <c r="C1322" s="88" t="s">
        <v>108</v>
      </c>
      <c r="D1322" s="88" t="s">
        <v>6992</v>
      </c>
      <c r="E1322" s="94">
        <v>43179</v>
      </c>
      <c r="F1322" s="91"/>
      <c r="G1322" s="223">
        <f t="shared" si="40"/>
        <v>11</v>
      </c>
      <c r="H1322" s="222">
        <f t="shared" si="41"/>
        <v>21745741</v>
      </c>
    </row>
    <row r="1323" spans="1:8" hidden="1">
      <c r="A1323" s="87">
        <v>24200086</v>
      </c>
      <c r="B1323" s="88" t="s">
        <v>2364</v>
      </c>
      <c r="C1323" s="88" t="s">
        <v>2365</v>
      </c>
      <c r="D1323" s="88" t="s">
        <v>6992</v>
      </c>
      <c r="E1323" s="94">
        <v>43179</v>
      </c>
      <c r="F1323" s="91" t="s">
        <v>9303</v>
      </c>
      <c r="G1323" s="223">
        <f t="shared" si="40"/>
        <v>17</v>
      </c>
      <c r="H1323" s="222">
        <f t="shared" si="41"/>
        <v>24200086</v>
      </c>
    </row>
    <row r="1324" spans="1:8" hidden="1">
      <c r="A1324" s="87">
        <v>29127108</v>
      </c>
      <c r="B1324" s="88" t="s">
        <v>2941</v>
      </c>
      <c r="C1324" s="88" t="s">
        <v>2942</v>
      </c>
      <c r="D1324" s="88" t="s">
        <v>6992</v>
      </c>
      <c r="E1324" s="94">
        <v>43179</v>
      </c>
      <c r="F1324" s="91"/>
      <c r="G1324" s="223">
        <f t="shared" si="40"/>
        <v>19</v>
      </c>
      <c r="H1324" s="222">
        <f t="shared" si="41"/>
        <v>29127108</v>
      </c>
    </row>
    <row r="1325" spans="1:8" hidden="1">
      <c r="A1325" s="87">
        <v>17866738</v>
      </c>
      <c r="B1325" s="88" t="s">
        <v>4994</v>
      </c>
      <c r="C1325" s="88" t="s">
        <v>2260</v>
      </c>
      <c r="D1325" s="88" t="s">
        <v>6992</v>
      </c>
      <c r="E1325" s="94">
        <v>43179</v>
      </c>
      <c r="F1325" s="91"/>
      <c r="G1325" s="223" t="str">
        <f t="shared" si="40"/>
        <v>sin dato</v>
      </c>
      <c r="H1325" s="222">
        <f t="shared" si="41"/>
        <v>17866738</v>
      </c>
    </row>
    <row r="1326" spans="1:8" hidden="1">
      <c r="A1326" s="87">
        <v>24830971</v>
      </c>
      <c r="B1326" s="88" t="s">
        <v>4333</v>
      </c>
      <c r="C1326" s="88" t="s">
        <v>4334</v>
      </c>
      <c r="D1326" s="88" t="s">
        <v>6992</v>
      </c>
      <c r="E1326" s="94">
        <v>43179</v>
      </c>
      <c r="F1326" s="91"/>
      <c r="G1326" s="223">
        <f t="shared" si="40"/>
        <v>21</v>
      </c>
      <c r="H1326" s="222">
        <f t="shared" si="41"/>
        <v>24830971</v>
      </c>
    </row>
    <row r="1327" spans="1:8" hidden="1">
      <c r="A1327" s="87">
        <v>14480478</v>
      </c>
      <c r="B1327" s="88" t="s">
        <v>4603</v>
      </c>
      <c r="C1327" s="88" t="s">
        <v>708</v>
      </c>
      <c r="D1327" s="88" t="s">
        <v>6992</v>
      </c>
      <c r="E1327" s="94">
        <v>43179</v>
      </c>
      <c r="F1327" s="91"/>
      <c r="G1327" s="223">
        <f t="shared" si="40"/>
        <v>22</v>
      </c>
      <c r="H1327" s="222">
        <f t="shared" si="41"/>
        <v>14480478</v>
      </c>
    </row>
    <row r="1328" spans="1:8" hidden="1">
      <c r="A1328" s="87">
        <v>25843480</v>
      </c>
      <c r="B1328" s="88" t="s">
        <v>355</v>
      </c>
      <c r="C1328" s="88" t="s">
        <v>1778</v>
      </c>
      <c r="D1328" s="88" t="s">
        <v>6992</v>
      </c>
      <c r="E1328" s="94">
        <v>43179</v>
      </c>
      <c r="F1328" s="91"/>
      <c r="G1328" s="223">
        <f t="shared" si="40"/>
        <v>15</v>
      </c>
      <c r="H1328" s="222">
        <f t="shared" si="41"/>
        <v>25843480</v>
      </c>
    </row>
    <row r="1329" spans="1:8" hidden="1">
      <c r="A1329" s="87">
        <v>14359850</v>
      </c>
      <c r="B1329" s="88" t="s">
        <v>5663</v>
      </c>
      <c r="C1329" s="88" t="s">
        <v>5664</v>
      </c>
      <c r="D1329" s="88" t="s">
        <v>6992</v>
      </c>
      <c r="E1329" s="94">
        <v>43179</v>
      </c>
      <c r="F1329" s="91"/>
      <c r="G1329" s="223">
        <f t="shared" si="40"/>
        <v>6</v>
      </c>
      <c r="H1329" s="222">
        <f t="shared" si="41"/>
        <v>14359850</v>
      </c>
    </row>
    <row r="1330" spans="1:8" hidden="1">
      <c r="A1330" s="87">
        <v>30268063</v>
      </c>
      <c r="B1330" s="88" t="s">
        <v>1631</v>
      </c>
      <c r="C1330" s="88" t="s">
        <v>1632</v>
      </c>
      <c r="D1330" s="88" t="s">
        <v>6992</v>
      </c>
      <c r="E1330" s="94">
        <v>43179</v>
      </c>
      <c r="F1330" s="91"/>
      <c r="G1330" s="223">
        <f t="shared" si="40"/>
        <v>14</v>
      </c>
      <c r="H1330" s="222">
        <f t="shared" si="41"/>
        <v>30268063</v>
      </c>
    </row>
    <row r="1331" spans="1:8" hidden="1">
      <c r="A1331" s="87">
        <v>30268063</v>
      </c>
      <c r="B1331" s="88" t="s">
        <v>1631</v>
      </c>
      <c r="C1331" s="88" t="s">
        <v>1632</v>
      </c>
      <c r="D1331" s="88" t="s">
        <v>6992</v>
      </c>
      <c r="E1331" s="94">
        <v>43179</v>
      </c>
      <c r="F1331" s="91"/>
      <c r="G1331" s="223">
        <f t="shared" si="40"/>
        <v>14</v>
      </c>
      <c r="H1331" s="222">
        <f t="shared" si="41"/>
        <v>30268063</v>
      </c>
    </row>
    <row r="1332" spans="1:8" hidden="1">
      <c r="A1332" s="87">
        <v>26028695</v>
      </c>
      <c r="B1332" s="88" t="s">
        <v>1680</v>
      </c>
      <c r="C1332" s="88" t="s">
        <v>1681</v>
      </c>
      <c r="D1332" s="88" t="s">
        <v>7009</v>
      </c>
      <c r="E1332" s="94">
        <v>43167</v>
      </c>
      <c r="F1332" s="91" t="s">
        <v>6853</v>
      </c>
      <c r="G1332" s="223">
        <f t="shared" si="40"/>
        <v>15</v>
      </c>
      <c r="H1332" s="222">
        <f t="shared" si="41"/>
        <v>26028695</v>
      </c>
    </row>
    <row r="1333" spans="1:8" hidden="1">
      <c r="A1333" s="87">
        <v>27575169</v>
      </c>
      <c r="B1333" s="88" t="s">
        <v>601</v>
      </c>
      <c r="C1333" s="88" t="s">
        <v>602</v>
      </c>
      <c r="D1333" s="88" t="s">
        <v>7009</v>
      </c>
      <c r="E1333" s="94">
        <v>43167</v>
      </c>
      <c r="F1333" s="91" t="s">
        <v>7024</v>
      </c>
      <c r="G1333" s="223">
        <f t="shared" si="40"/>
        <v>13</v>
      </c>
      <c r="H1333" s="222">
        <f t="shared" si="41"/>
        <v>27575169</v>
      </c>
    </row>
    <row r="1334" spans="1:8" hidden="1">
      <c r="A1334" s="87">
        <v>29743258</v>
      </c>
      <c r="B1334" s="88" t="s">
        <v>144</v>
      </c>
      <c r="C1334" s="88" t="s">
        <v>4283</v>
      </c>
      <c r="D1334" s="88" t="s">
        <v>7009</v>
      </c>
      <c r="E1334" s="94">
        <v>43167</v>
      </c>
      <c r="F1334" s="91" t="s">
        <v>6853</v>
      </c>
      <c r="G1334" s="223">
        <f t="shared" si="40"/>
        <v>2</v>
      </c>
      <c r="H1334" s="222">
        <f t="shared" si="41"/>
        <v>29743258</v>
      </c>
    </row>
    <row r="1335" spans="1:8" hidden="1">
      <c r="A1335" s="87">
        <v>28476977</v>
      </c>
      <c r="B1335" s="88" t="s">
        <v>5296</v>
      </c>
      <c r="C1335" s="88" t="s">
        <v>843</v>
      </c>
      <c r="D1335" s="88" t="s">
        <v>7009</v>
      </c>
      <c r="E1335" s="94">
        <v>43167</v>
      </c>
      <c r="F1335" s="91" t="s">
        <v>6853</v>
      </c>
      <c r="G1335" s="223">
        <f t="shared" si="40"/>
        <v>2</v>
      </c>
      <c r="H1335" s="222">
        <f t="shared" si="41"/>
        <v>28476977</v>
      </c>
    </row>
    <row r="1336" spans="1:8" hidden="1">
      <c r="A1336" s="87">
        <v>28223716</v>
      </c>
      <c r="B1336" s="88" t="s">
        <v>2889</v>
      </c>
      <c r="C1336" s="88" t="s">
        <v>2678</v>
      </c>
      <c r="D1336" s="88" t="s">
        <v>7009</v>
      </c>
      <c r="E1336" s="94">
        <v>43167</v>
      </c>
      <c r="F1336" s="91" t="s">
        <v>7024</v>
      </c>
      <c r="G1336" s="223">
        <f t="shared" si="40"/>
        <v>81</v>
      </c>
      <c r="H1336" s="222">
        <f t="shared" si="41"/>
        <v>28223716</v>
      </c>
    </row>
    <row r="1337" spans="1:8" hidden="1">
      <c r="A1337" s="87">
        <v>22086112</v>
      </c>
      <c r="B1337" s="88" t="s">
        <v>2087</v>
      </c>
      <c r="C1337" s="88" t="s">
        <v>2896</v>
      </c>
      <c r="D1337" s="88" t="s">
        <v>7009</v>
      </c>
      <c r="E1337" s="94">
        <v>43167</v>
      </c>
      <c r="F1337" s="91" t="s">
        <v>7024</v>
      </c>
      <c r="G1337" s="223">
        <f t="shared" si="40"/>
        <v>81</v>
      </c>
      <c r="H1337" s="222">
        <f t="shared" si="41"/>
        <v>22086112</v>
      </c>
    </row>
    <row r="1338" spans="1:8" hidden="1">
      <c r="A1338" s="87">
        <v>24671172</v>
      </c>
      <c r="B1338" s="88" t="s">
        <v>315</v>
      </c>
      <c r="C1338" s="88" t="s">
        <v>2902</v>
      </c>
      <c r="D1338" s="88" t="s">
        <v>7009</v>
      </c>
      <c r="E1338" s="94">
        <v>43167</v>
      </c>
      <c r="F1338" s="91" t="s">
        <v>7024</v>
      </c>
      <c r="G1338" s="223">
        <f t="shared" si="40"/>
        <v>81</v>
      </c>
      <c r="H1338" s="222">
        <f t="shared" si="41"/>
        <v>24671172</v>
      </c>
    </row>
    <row r="1339" spans="1:8" hidden="1">
      <c r="A1339" s="87">
        <v>17523461</v>
      </c>
      <c r="B1339" s="88" t="s">
        <v>574</v>
      </c>
      <c r="C1339" s="88" t="s">
        <v>571</v>
      </c>
      <c r="D1339" s="88" t="s">
        <v>7009</v>
      </c>
      <c r="E1339" s="94">
        <v>43167</v>
      </c>
      <c r="F1339" s="91" t="s">
        <v>6853</v>
      </c>
      <c r="G1339" s="223">
        <f t="shared" si="40"/>
        <v>2</v>
      </c>
      <c r="H1339" s="222">
        <f t="shared" si="41"/>
        <v>17523461</v>
      </c>
    </row>
    <row r="1340" spans="1:8" hidden="1">
      <c r="A1340" s="87">
        <v>22264981</v>
      </c>
      <c r="B1340" s="88" t="s">
        <v>5885</v>
      </c>
      <c r="C1340" s="88" t="s">
        <v>5886</v>
      </c>
      <c r="D1340" s="88" t="s">
        <v>7018</v>
      </c>
      <c r="E1340" s="94">
        <v>43165</v>
      </c>
      <c r="F1340" s="99" t="s">
        <v>7015</v>
      </c>
      <c r="G1340" s="223">
        <f t="shared" si="40"/>
        <v>10</v>
      </c>
      <c r="H1340" s="222">
        <f t="shared" si="41"/>
        <v>22264981</v>
      </c>
    </row>
    <row r="1341" spans="1:8" hidden="1">
      <c r="A1341" s="87">
        <v>20218225</v>
      </c>
      <c r="B1341" s="88" t="s">
        <v>3282</v>
      </c>
      <c r="C1341" s="88" t="s">
        <v>3283</v>
      </c>
      <c r="D1341" s="88" t="s">
        <v>7018</v>
      </c>
      <c r="E1341" s="94">
        <v>43165</v>
      </c>
      <c r="F1341" s="99" t="s">
        <v>7024</v>
      </c>
      <c r="G1341" s="223">
        <f t="shared" si="40"/>
        <v>28</v>
      </c>
      <c r="H1341" s="222">
        <f t="shared" si="41"/>
        <v>20218225</v>
      </c>
    </row>
    <row r="1342" spans="1:8" hidden="1">
      <c r="A1342" s="87">
        <v>17947952</v>
      </c>
      <c r="B1342" s="88" t="s">
        <v>115</v>
      </c>
      <c r="C1342" s="88" t="s">
        <v>1931</v>
      </c>
      <c r="D1342" s="88" t="s">
        <v>7018</v>
      </c>
      <c r="E1342" s="94">
        <v>43165</v>
      </c>
      <c r="F1342" s="99" t="s">
        <v>7015</v>
      </c>
      <c r="G1342" s="223">
        <f t="shared" si="40"/>
        <v>16</v>
      </c>
      <c r="H1342" s="222">
        <f t="shared" si="41"/>
        <v>17947952</v>
      </c>
    </row>
    <row r="1343" spans="1:8" hidden="1">
      <c r="A1343" s="87">
        <v>23517363</v>
      </c>
      <c r="B1343" s="88" t="s">
        <v>1983</v>
      </c>
      <c r="C1343" s="88" t="s">
        <v>1984</v>
      </c>
      <c r="D1343" s="88" t="s">
        <v>7018</v>
      </c>
      <c r="E1343" s="94">
        <v>43165</v>
      </c>
      <c r="F1343" s="99" t="s">
        <v>6853</v>
      </c>
      <c r="G1343" s="223">
        <f t="shared" si="40"/>
        <v>16</v>
      </c>
      <c r="H1343" s="222">
        <f t="shared" si="41"/>
        <v>23517363</v>
      </c>
    </row>
    <row r="1344" spans="1:8" hidden="1">
      <c r="A1344" s="87">
        <v>16541466</v>
      </c>
      <c r="B1344" s="88" t="s">
        <v>3442</v>
      </c>
      <c r="C1344" s="88" t="s">
        <v>3443</v>
      </c>
      <c r="D1344" s="88" t="s">
        <v>7018</v>
      </c>
      <c r="E1344" s="94">
        <v>43165</v>
      </c>
      <c r="F1344" s="99" t="s">
        <v>7015</v>
      </c>
      <c r="G1344" s="223">
        <f t="shared" si="40"/>
        <v>25</v>
      </c>
      <c r="H1344" s="222">
        <f t="shared" si="41"/>
        <v>16541466</v>
      </c>
    </row>
    <row r="1345" spans="1:8" hidden="1">
      <c r="A1345" s="87">
        <v>36838733</v>
      </c>
      <c r="B1345" s="88" t="s">
        <v>2026</v>
      </c>
      <c r="C1345" s="88" t="s">
        <v>2430</v>
      </c>
      <c r="D1345" s="88" t="s">
        <v>7018</v>
      </c>
      <c r="E1345" s="94">
        <v>43165</v>
      </c>
      <c r="F1345" s="99" t="s">
        <v>7015</v>
      </c>
      <c r="G1345" s="223" t="str">
        <f t="shared" si="40"/>
        <v>sin dato</v>
      </c>
      <c r="H1345" s="222" t="str">
        <f t="shared" si="41"/>
        <v>999</v>
      </c>
    </row>
    <row r="1346" spans="1:8" hidden="1">
      <c r="A1346" s="87">
        <v>28721914</v>
      </c>
      <c r="B1346" s="88" t="s">
        <v>5198</v>
      </c>
      <c r="C1346" s="88" t="s">
        <v>5199</v>
      </c>
      <c r="D1346" s="88" t="s">
        <v>7018</v>
      </c>
      <c r="E1346" s="94">
        <v>43165</v>
      </c>
      <c r="F1346" s="99" t="s">
        <v>6853</v>
      </c>
      <c r="G1346" s="223">
        <f t="shared" ref="G1346:G1409" si="42">IFERROR(INDEX(unidad,MATCH(VLOOKUP(A1346,alum,9,0),unidad2,0),1),"sin dato")</f>
        <v>2</v>
      </c>
      <c r="H1346" s="222">
        <f t="shared" ref="H1346:H1409" si="43">IFERROR(VLOOKUP(A1346,alum,1,0),"999")</f>
        <v>28721914</v>
      </c>
    </row>
    <row r="1347" spans="1:8" hidden="1">
      <c r="A1347" s="87">
        <v>30408472</v>
      </c>
      <c r="B1347" s="88" t="s">
        <v>5204</v>
      </c>
      <c r="C1347" s="88" t="s">
        <v>5205</v>
      </c>
      <c r="D1347" s="88" t="s">
        <v>7018</v>
      </c>
      <c r="E1347" s="94">
        <v>43165</v>
      </c>
      <c r="F1347" s="99" t="s">
        <v>6853</v>
      </c>
      <c r="G1347" s="223">
        <f t="shared" si="42"/>
        <v>2</v>
      </c>
      <c r="H1347" s="222">
        <f t="shared" si="43"/>
        <v>30408472</v>
      </c>
    </row>
    <row r="1348" spans="1:8" hidden="1">
      <c r="A1348" s="87">
        <v>33374199</v>
      </c>
      <c r="B1348" s="88" t="s">
        <v>2576</v>
      </c>
      <c r="C1348" s="88" t="s">
        <v>3813</v>
      </c>
      <c r="D1348" s="88" t="s">
        <v>7018</v>
      </c>
      <c r="E1348" s="94">
        <v>43165</v>
      </c>
      <c r="F1348" s="99" t="s">
        <v>6853</v>
      </c>
      <c r="G1348" s="223">
        <f t="shared" si="42"/>
        <v>20</v>
      </c>
      <c r="H1348" s="222">
        <f t="shared" si="43"/>
        <v>33374199</v>
      </c>
    </row>
    <row r="1349" spans="1:8" hidden="1">
      <c r="A1349" s="87">
        <v>25843239</v>
      </c>
      <c r="B1349" s="88" t="s">
        <v>4874</v>
      </c>
      <c r="C1349" s="88" t="s">
        <v>4875</v>
      </c>
      <c r="D1349" s="88" t="s">
        <v>7018</v>
      </c>
      <c r="E1349" s="94">
        <v>43165</v>
      </c>
      <c r="F1349" s="99" t="s">
        <v>7024</v>
      </c>
      <c r="G1349" s="223">
        <f t="shared" si="42"/>
        <v>52</v>
      </c>
      <c r="H1349" s="222">
        <f t="shared" si="43"/>
        <v>25843239</v>
      </c>
    </row>
    <row r="1350" spans="1:8" hidden="1">
      <c r="A1350" s="87">
        <v>33977912</v>
      </c>
      <c r="B1350" s="88" t="s">
        <v>2275</v>
      </c>
      <c r="C1350" s="88" t="s">
        <v>2276</v>
      </c>
      <c r="D1350" s="88" t="s">
        <v>7018</v>
      </c>
      <c r="E1350" s="94">
        <v>43165</v>
      </c>
      <c r="F1350" s="99" t="s">
        <v>6853</v>
      </c>
      <c r="G1350" s="223">
        <f t="shared" si="42"/>
        <v>16</v>
      </c>
      <c r="H1350" s="222">
        <f t="shared" si="43"/>
        <v>33977912</v>
      </c>
    </row>
    <row r="1351" spans="1:8" hidden="1">
      <c r="A1351" s="87">
        <v>17182244</v>
      </c>
      <c r="B1351" s="88" t="s">
        <v>7034</v>
      </c>
      <c r="C1351" s="88" t="s">
        <v>465</v>
      </c>
      <c r="D1351" s="88" t="s">
        <v>7018</v>
      </c>
      <c r="E1351" s="94">
        <v>43165</v>
      </c>
      <c r="F1351" s="99" t="s">
        <v>7024</v>
      </c>
      <c r="G1351" s="223" t="str">
        <f t="shared" si="42"/>
        <v>sin dato</v>
      </c>
      <c r="H1351" s="222" t="str">
        <f t="shared" si="43"/>
        <v>999</v>
      </c>
    </row>
    <row r="1352" spans="1:8" hidden="1">
      <c r="A1352" s="87">
        <v>27365353</v>
      </c>
      <c r="B1352" s="88" t="s">
        <v>5732</v>
      </c>
      <c r="C1352" s="88" t="s">
        <v>5733</v>
      </c>
      <c r="D1352" s="88" t="s">
        <v>7018</v>
      </c>
      <c r="E1352" s="94">
        <v>43165</v>
      </c>
      <c r="F1352" s="99" t="s">
        <v>6853</v>
      </c>
      <c r="G1352" s="223">
        <f t="shared" si="42"/>
        <v>65</v>
      </c>
      <c r="H1352" s="222">
        <f t="shared" si="43"/>
        <v>27365353</v>
      </c>
    </row>
    <row r="1353" spans="1:8" hidden="1">
      <c r="A1353" s="87">
        <v>26981974</v>
      </c>
      <c r="B1353" s="88" t="s">
        <v>961</v>
      </c>
      <c r="C1353" s="88" t="s">
        <v>962</v>
      </c>
      <c r="D1353" s="88" t="s">
        <v>7020</v>
      </c>
      <c r="E1353" s="94">
        <v>43164</v>
      </c>
      <c r="F1353" s="99" t="s">
        <v>6853</v>
      </c>
      <c r="G1353" s="223">
        <f t="shared" si="42"/>
        <v>14</v>
      </c>
      <c r="H1353" s="222">
        <f t="shared" si="43"/>
        <v>26981974</v>
      </c>
    </row>
    <row r="1354" spans="1:8" hidden="1">
      <c r="A1354" s="87">
        <v>27206962</v>
      </c>
      <c r="B1354" s="88" t="s">
        <v>2774</v>
      </c>
      <c r="C1354" s="88" t="s">
        <v>2775</v>
      </c>
      <c r="D1354" s="88" t="s">
        <v>7020</v>
      </c>
      <c r="E1354" s="94">
        <v>43164</v>
      </c>
      <c r="F1354" s="99" t="s">
        <v>6853</v>
      </c>
      <c r="G1354" s="223" t="str">
        <f t="shared" si="42"/>
        <v>sin dato</v>
      </c>
      <c r="H1354" s="222">
        <f t="shared" si="43"/>
        <v>27206962</v>
      </c>
    </row>
    <row r="1355" spans="1:8" hidden="1">
      <c r="A1355" s="87">
        <v>33091069</v>
      </c>
      <c r="B1355" s="88" t="s">
        <v>267</v>
      </c>
      <c r="C1355" s="88" t="s">
        <v>1756</v>
      </c>
      <c r="D1355" s="88" t="s">
        <v>7020</v>
      </c>
      <c r="E1355" s="94">
        <v>43164</v>
      </c>
      <c r="F1355" s="99" t="s">
        <v>6853</v>
      </c>
      <c r="G1355" s="223">
        <f t="shared" si="42"/>
        <v>15</v>
      </c>
      <c r="H1355" s="222">
        <f t="shared" si="43"/>
        <v>33091069</v>
      </c>
    </row>
    <row r="1356" spans="1:8" hidden="1">
      <c r="A1356" s="87">
        <v>12540739</v>
      </c>
      <c r="B1356" s="88" t="s">
        <v>4759</v>
      </c>
      <c r="C1356" s="88" t="s">
        <v>4760</v>
      </c>
      <c r="D1356" s="88" t="s">
        <v>7020</v>
      </c>
      <c r="E1356" s="94">
        <v>43164</v>
      </c>
      <c r="F1356" s="99" t="s">
        <v>6853</v>
      </c>
      <c r="G1356" s="223">
        <f t="shared" si="42"/>
        <v>23</v>
      </c>
      <c r="H1356" s="222">
        <f t="shared" si="43"/>
        <v>12540739</v>
      </c>
    </row>
    <row r="1357" spans="1:8" hidden="1">
      <c r="A1357" s="87">
        <v>16932642</v>
      </c>
      <c r="B1357" s="88" t="s">
        <v>4344</v>
      </c>
      <c r="C1357" s="88" t="s">
        <v>767</v>
      </c>
      <c r="D1357" s="88" t="s">
        <v>7020</v>
      </c>
      <c r="E1357" s="94">
        <v>43164</v>
      </c>
      <c r="F1357" s="99" t="s">
        <v>6853</v>
      </c>
      <c r="G1357" s="223">
        <f t="shared" si="42"/>
        <v>21</v>
      </c>
      <c r="H1357" s="222">
        <f t="shared" si="43"/>
        <v>16932642</v>
      </c>
    </row>
    <row r="1358" spans="1:8" hidden="1">
      <c r="A1358" s="87">
        <v>16008463</v>
      </c>
      <c r="B1358" s="88" t="s">
        <v>1774</v>
      </c>
      <c r="C1358" s="88" t="s">
        <v>7035</v>
      </c>
      <c r="D1358" s="88" t="s">
        <v>7020</v>
      </c>
      <c r="E1358" s="94">
        <v>43164</v>
      </c>
      <c r="F1358" s="99" t="s">
        <v>6853</v>
      </c>
      <c r="G1358" s="223">
        <f t="shared" si="42"/>
        <v>6</v>
      </c>
      <c r="H1358" s="222">
        <f t="shared" si="43"/>
        <v>16008463</v>
      </c>
    </row>
    <row r="1359" spans="1:8" hidden="1">
      <c r="A1359" s="87">
        <v>18034548</v>
      </c>
      <c r="B1359" s="88" t="s">
        <v>4623</v>
      </c>
      <c r="C1359" s="88" t="s">
        <v>4624</v>
      </c>
      <c r="D1359" s="88" t="s">
        <v>7020</v>
      </c>
      <c r="E1359" s="94">
        <v>43164</v>
      </c>
      <c r="F1359" s="99" t="s">
        <v>6853</v>
      </c>
      <c r="G1359" s="223">
        <f t="shared" si="42"/>
        <v>22</v>
      </c>
      <c r="H1359" s="222">
        <f t="shared" si="43"/>
        <v>18034548</v>
      </c>
    </row>
    <row r="1360" spans="1:8" hidden="1">
      <c r="A1360" s="87">
        <v>24200921</v>
      </c>
      <c r="B1360" s="88" t="s">
        <v>4784</v>
      </c>
      <c r="C1360" s="88" t="s">
        <v>1085</v>
      </c>
      <c r="D1360" s="88" t="s">
        <v>7020</v>
      </c>
      <c r="E1360" s="94">
        <v>43164</v>
      </c>
      <c r="F1360" s="99" t="s">
        <v>6853</v>
      </c>
      <c r="G1360" s="223">
        <f t="shared" si="42"/>
        <v>23</v>
      </c>
      <c r="H1360" s="222">
        <f t="shared" si="43"/>
        <v>24200921</v>
      </c>
    </row>
    <row r="1361" spans="1:8" hidden="1">
      <c r="A1361" s="87">
        <v>25735232</v>
      </c>
      <c r="B1361" s="88" t="s">
        <v>875</v>
      </c>
      <c r="C1361" s="88" t="s">
        <v>5286</v>
      </c>
      <c r="D1361" s="88" t="s">
        <v>7020</v>
      </c>
      <c r="E1361" s="94">
        <v>43164</v>
      </c>
      <c r="F1361" s="99" t="s">
        <v>6853</v>
      </c>
      <c r="G1361" s="223">
        <f t="shared" si="42"/>
        <v>9</v>
      </c>
      <c r="H1361" s="222">
        <f t="shared" si="43"/>
        <v>25735232</v>
      </c>
    </row>
    <row r="1362" spans="1:8" hidden="1">
      <c r="A1362" s="87">
        <v>27651542</v>
      </c>
      <c r="B1362" s="88" t="s">
        <v>5855</v>
      </c>
      <c r="C1362" s="88" t="s">
        <v>5856</v>
      </c>
      <c r="D1362" s="88" t="s">
        <v>7020</v>
      </c>
      <c r="E1362" s="94">
        <v>43164</v>
      </c>
      <c r="F1362" s="99" t="s">
        <v>7024</v>
      </c>
      <c r="G1362" s="223">
        <f t="shared" si="42"/>
        <v>5</v>
      </c>
      <c r="H1362" s="222">
        <f t="shared" si="43"/>
        <v>27651542</v>
      </c>
    </row>
    <row r="1363" spans="1:8" hidden="1">
      <c r="A1363" s="87">
        <v>14359591</v>
      </c>
      <c r="B1363" s="88" t="s">
        <v>4247</v>
      </c>
      <c r="C1363" s="88" t="s">
        <v>2822</v>
      </c>
      <c r="D1363" s="88" t="s">
        <v>7009</v>
      </c>
      <c r="E1363" s="94">
        <v>43020</v>
      </c>
      <c r="F1363" s="91" t="s">
        <v>9302</v>
      </c>
      <c r="G1363" s="223">
        <f t="shared" si="42"/>
        <v>21</v>
      </c>
      <c r="H1363" s="222">
        <f t="shared" si="43"/>
        <v>14359591</v>
      </c>
    </row>
    <row r="1364" spans="1:8" hidden="1">
      <c r="A1364" s="87">
        <v>31644258</v>
      </c>
      <c r="B1364" s="88" t="s">
        <v>927</v>
      </c>
      <c r="C1364" s="88" t="s">
        <v>933</v>
      </c>
      <c r="D1364" s="88" t="s">
        <v>7009</v>
      </c>
      <c r="E1364" s="94">
        <v>43020</v>
      </c>
      <c r="F1364" s="91" t="s">
        <v>6853</v>
      </c>
      <c r="G1364" s="223">
        <f t="shared" si="42"/>
        <v>14</v>
      </c>
      <c r="H1364" s="222">
        <f t="shared" si="43"/>
        <v>31644258</v>
      </c>
    </row>
    <row r="1365" spans="1:8" hidden="1">
      <c r="A1365" s="87">
        <v>25444256</v>
      </c>
      <c r="B1365" s="88" t="s">
        <v>5764</v>
      </c>
      <c r="C1365" s="88" t="s">
        <v>5765</v>
      </c>
      <c r="D1365" s="88" t="s">
        <v>7009</v>
      </c>
      <c r="E1365" s="94">
        <v>43020</v>
      </c>
      <c r="F1365" s="91" t="s">
        <v>6853</v>
      </c>
      <c r="G1365" s="223" t="str">
        <f t="shared" si="42"/>
        <v>sin dato</v>
      </c>
      <c r="H1365" s="222">
        <f t="shared" si="43"/>
        <v>25444256</v>
      </c>
    </row>
    <row r="1366" spans="1:8" hidden="1">
      <c r="A1366" s="87">
        <v>25542562</v>
      </c>
      <c r="B1366" s="88" t="s">
        <v>3377</v>
      </c>
      <c r="C1366" s="88" t="s">
        <v>1173</v>
      </c>
      <c r="D1366" s="88" t="s">
        <v>7009</v>
      </c>
      <c r="E1366" s="94">
        <v>43020</v>
      </c>
      <c r="F1366" s="91" t="s">
        <v>6853</v>
      </c>
      <c r="G1366" s="223">
        <f t="shared" si="42"/>
        <v>24</v>
      </c>
      <c r="H1366" s="222">
        <f t="shared" si="43"/>
        <v>25542562</v>
      </c>
    </row>
    <row r="1367" spans="1:8" hidden="1">
      <c r="A1367" s="87">
        <v>14984966</v>
      </c>
      <c r="B1367" s="88" t="s">
        <v>1558</v>
      </c>
      <c r="C1367" s="88" t="s">
        <v>1061</v>
      </c>
      <c r="D1367" s="88" t="s">
        <v>7009</v>
      </c>
      <c r="E1367" s="94">
        <v>43020</v>
      </c>
      <c r="F1367" s="91" t="s">
        <v>6853</v>
      </c>
      <c r="G1367" s="223">
        <f t="shared" si="42"/>
        <v>999</v>
      </c>
      <c r="H1367" s="222">
        <f t="shared" si="43"/>
        <v>14984966</v>
      </c>
    </row>
    <row r="1368" spans="1:8" hidden="1">
      <c r="A1368" s="87">
        <v>17860016</v>
      </c>
      <c r="B1368" s="88" t="s">
        <v>1175</v>
      </c>
      <c r="C1368" s="88" t="s">
        <v>1179</v>
      </c>
      <c r="D1368" s="88" t="s">
        <v>7009</v>
      </c>
      <c r="E1368" s="94">
        <v>43020</v>
      </c>
      <c r="F1368" s="91" t="s">
        <v>9302</v>
      </c>
      <c r="G1368" s="223">
        <f t="shared" si="42"/>
        <v>14</v>
      </c>
      <c r="H1368" s="222">
        <f t="shared" si="43"/>
        <v>17860016</v>
      </c>
    </row>
    <row r="1369" spans="1:8" hidden="1">
      <c r="A1369" s="87">
        <v>26638536</v>
      </c>
      <c r="B1369" s="88" t="s">
        <v>901</v>
      </c>
      <c r="C1369" s="88" t="s">
        <v>902</v>
      </c>
      <c r="D1369" s="88" t="s">
        <v>7009</v>
      </c>
      <c r="E1369" s="94">
        <v>43020</v>
      </c>
      <c r="F1369" s="91" t="s">
        <v>6853</v>
      </c>
      <c r="G1369" s="223">
        <f t="shared" si="42"/>
        <v>999</v>
      </c>
      <c r="H1369" s="222">
        <f t="shared" si="43"/>
        <v>26638536</v>
      </c>
    </row>
    <row r="1370" spans="1:8" hidden="1">
      <c r="A1370" s="87">
        <v>25213575</v>
      </c>
      <c r="B1370" s="88" t="s">
        <v>64</v>
      </c>
      <c r="C1370" s="88" t="s">
        <v>1453</v>
      </c>
      <c r="D1370" s="88" t="s">
        <v>7025</v>
      </c>
      <c r="E1370" s="94">
        <v>43019</v>
      </c>
      <c r="F1370" s="91" t="s">
        <v>9302</v>
      </c>
      <c r="G1370" s="223">
        <f t="shared" si="42"/>
        <v>41</v>
      </c>
      <c r="H1370" s="222">
        <f t="shared" si="43"/>
        <v>25213575</v>
      </c>
    </row>
    <row r="1371" spans="1:8" hidden="1">
      <c r="A1371" s="87">
        <v>31644419</v>
      </c>
      <c r="B1371" s="88" t="s">
        <v>4504</v>
      </c>
      <c r="C1371" s="88" t="s">
        <v>2613</v>
      </c>
      <c r="D1371" s="88" t="s">
        <v>7025</v>
      </c>
      <c r="E1371" s="94">
        <v>43019</v>
      </c>
      <c r="F1371" s="91" t="s">
        <v>6853</v>
      </c>
      <c r="G1371" s="223">
        <f t="shared" si="42"/>
        <v>22</v>
      </c>
      <c r="H1371" s="222">
        <f t="shared" si="43"/>
        <v>31644419</v>
      </c>
    </row>
    <row r="1372" spans="1:8" hidden="1">
      <c r="A1372" s="87">
        <v>27961528</v>
      </c>
      <c r="B1372" s="88" t="s">
        <v>7036</v>
      </c>
      <c r="C1372" s="88" t="s">
        <v>2519</v>
      </c>
      <c r="D1372" s="88" t="s">
        <v>7025</v>
      </c>
      <c r="E1372" s="94">
        <v>43019</v>
      </c>
      <c r="F1372" s="91" t="s">
        <v>9302</v>
      </c>
      <c r="G1372" s="223">
        <f t="shared" si="42"/>
        <v>50</v>
      </c>
      <c r="H1372" s="222">
        <f t="shared" si="43"/>
        <v>27961528</v>
      </c>
    </row>
    <row r="1373" spans="1:8" hidden="1">
      <c r="A1373" s="87">
        <v>35921443</v>
      </c>
      <c r="B1373" s="88" t="s">
        <v>680</v>
      </c>
      <c r="C1373" s="88" t="s">
        <v>7037</v>
      </c>
      <c r="D1373" s="88" t="s">
        <v>7025</v>
      </c>
      <c r="E1373" s="94">
        <v>43019</v>
      </c>
      <c r="F1373" s="91" t="s">
        <v>9302</v>
      </c>
      <c r="G1373" s="223" t="str">
        <f t="shared" si="42"/>
        <v>sin dato</v>
      </c>
      <c r="H1373" s="222" t="str">
        <f t="shared" si="43"/>
        <v>999</v>
      </c>
    </row>
    <row r="1374" spans="1:8" hidden="1">
      <c r="A1374" s="87">
        <v>31127367</v>
      </c>
      <c r="B1374" s="88" t="s">
        <v>690</v>
      </c>
      <c r="C1374" s="88" t="s">
        <v>1085</v>
      </c>
      <c r="D1374" s="88" t="s">
        <v>7025</v>
      </c>
      <c r="E1374" s="94">
        <v>43019</v>
      </c>
      <c r="F1374" s="91" t="s">
        <v>9302</v>
      </c>
      <c r="G1374" s="223">
        <f t="shared" si="42"/>
        <v>6</v>
      </c>
      <c r="H1374" s="222">
        <f t="shared" si="43"/>
        <v>31127367</v>
      </c>
    </row>
    <row r="1375" spans="1:8" hidden="1">
      <c r="A1375" s="87">
        <v>2498288</v>
      </c>
      <c r="B1375" s="88" t="s">
        <v>299</v>
      </c>
      <c r="C1375" s="88" t="s">
        <v>296</v>
      </c>
      <c r="D1375" s="88" t="s">
        <v>7025</v>
      </c>
      <c r="E1375" s="94">
        <v>43019</v>
      </c>
      <c r="F1375" s="91" t="s">
        <v>9302</v>
      </c>
      <c r="G1375" s="223">
        <f t="shared" si="42"/>
        <v>11</v>
      </c>
      <c r="H1375" s="222">
        <f t="shared" si="43"/>
        <v>2498288</v>
      </c>
    </row>
    <row r="1376" spans="1:8" hidden="1">
      <c r="A1376" s="87">
        <v>27016126</v>
      </c>
      <c r="B1376" s="88" t="s">
        <v>327</v>
      </c>
      <c r="C1376" s="88" t="s">
        <v>2885</v>
      </c>
      <c r="D1376" s="88" t="s">
        <v>7025</v>
      </c>
      <c r="E1376" s="94">
        <v>43019</v>
      </c>
      <c r="F1376" s="91" t="s">
        <v>9302</v>
      </c>
      <c r="G1376" s="223">
        <f t="shared" si="42"/>
        <v>64</v>
      </c>
      <c r="H1376" s="222">
        <f t="shared" si="43"/>
        <v>27016126</v>
      </c>
    </row>
    <row r="1377" spans="1:8" hidden="1">
      <c r="A1377" s="87">
        <v>31619320</v>
      </c>
      <c r="B1377" s="88" t="s">
        <v>350</v>
      </c>
      <c r="C1377" s="88" t="s">
        <v>1562</v>
      </c>
      <c r="D1377" s="88" t="s">
        <v>7025</v>
      </c>
      <c r="E1377" s="94">
        <v>43019</v>
      </c>
      <c r="F1377" s="91" t="s">
        <v>6853</v>
      </c>
      <c r="G1377" s="223">
        <f t="shared" si="42"/>
        <v>17</v>
      </c>
      <c r="H1377" s="222">
        <f t="shared" si="43"/>
        <v>31619320</v>
      </c>
    </row>
    <row r="1378" spans="1:8" hidden="1">
      <c r="A1378" s="87">
        <v>37725924</v>
      </c>
      <c r="B1378" s="88" t="s">
        <v>392</v>
      </c>
      <c r="C1378" s="88" t="s">
        <v>2836</v>
      </c>
      <c r="D1378" s="88" t="s">
        <v>7025</v>
      </c>
      <c r="E1378" s="94">
        <v>43019</v>
      </c>
      <c r="F1378" s="91" t="s">
        <v>6853</v>
      </c>
      <c r="G1378" s="223" t="str">
        <f t="shared" si="42"/>
        <v>sin dato</v>
      </c>
      <c r="H1378" s="222" t="str">
        <f t="shared" si="43"/>
        <v>999</v>
      </c>
    </row>
    <row r="1379" spans="1:8" hidden="1">
      <c r="A1379" s="87">
        <v>30069677</v>
      </c>
      <c r="B1379" s="88" t="s">
        <v>2612</v>
      </c>
      <c r="C1379" s="88" t="s">
        <v>2613</v>
      </c>
      <c r="D1379" s="88" t="s">
        <v>7025</v>
      </c>
      <c r="E1379" s="94">
        <v>43019</v>
      </c>
      <c r="F1379" s="91" t="s">
        <v>6853</v>
      </c>
      <c r="G1379" s="223">
        <f t="shared" si="42"/>
        <v>14</v>
      </c>
      <c r="H1379" s="222">
        <f t="shared" si="43"/>
        <v>30069677</v>
      </c>
    </row>
    <row r="1380" spans="1:8" hidden="1">
      <c r="A1380" s="87">
        <v>22264981</v>
      </c>
      <c r="B1380" s="88" t="s">
        <v>5885</v>
      </c>
      <c r="C1380" s="88" t="s">
        <v>5886</v>
      </c>
      <c r="D1380" s="88" t="s">
        <v>7038</v>
      </c>
      <c r="E1380" s="94">
        <v>43019</v>
      </c>
      <c r="F1380" s="91" t="s">
        <v>6853</v>
      </c>
      <c r="G1380" s="223">
        <f t="shared" si="42"/>
        <v>10</v>
      </c>
      <c r="H1380" s="222">
        <f t="shared" si="43"/>
        <v>22264981</v>
      </c>
    </row>
    <row r="1381" spans="1:8" hidden="1">
      <c r="A1381" s="87">
        <v>18185663</v>
      </c>
      <c r="B1381" s="88" t="s">
        <v>26</v>
      </c>
      <c r="C1381" s="88" t="s">
        <v>5759</v>
      </c>
      <c r="D1381" s="88" t="s">
        <v>7038</v>
      </c>
      <c r="E1381" s="94">
        <v>43019</v>
      </c>
      <c r="F1381" s="91" t="s">
        <v>6853</v>
      </c>
      <c r="G1381" s="223" t="str">
        <f t="shared" si="42"/>
        <v>sin dato</v>
      </c>
      <c r="H1381" s="222">
        <f t="shared" si="43"/>
        <v>18185663</v>
      </c>
    </row>
    <row r="1382" spans="1:8" hidden="1">
      <c r="A1382" s="87">
        <v>20178395</v>
      </c>
      <c r="B1382" s="88" t="s">
        <v>2358</v>
      </c>
      <c r="C1382" s="88" t="s">
        <v>902</v>
      </c>
      <c r="D1382" s="88" t="s">
        <v>7038</v>
      </c>
      <c r="E1382" s="94">
        <v>43019</v>
      </c>
      <c r="F1382" s="91" t="s">
        <v>6853</v>
      </c>
      <c r="G1382" s="223">
        <f t="shared" si="42"/>
        <v>17</v>
      </c>
      <c r="H1382" s="222">
        <f t="shared" si="43"/>
        <v>20178395</v>
      </c>
    </row>
    <row r="1383" spans="1:8" hidden="1">
      <c r="A1383" s="87">
        <v>16540918</v>
      </c>
      <c r="B1383" s="88" t="s">
        <v>595</v>
      </c>
      <c r="C1383" s="88" t="s">
        <v>468</v>
      </c>
      <c r="D1383" s="88" t="s">
        <v>7038</v>
      </c>
      <c r="E1383" s="94">
        <v>43019</v>
      </c>
      <c r="F1383" s="91" t="s">
        <v>9302</v>
      </c>
      <c r="G1383" s="223" t="str">
        <f t="shared" si="42"/>
        <v>sin dato</v>
      </c>
      <c r="H1383" s="222">
        <f t="shared" si="43"/>
        <v>16540918</v>
      </c>
    </row>
    <row r="1384" spans="1:8" hidden="1">
      <c r="A1384" s="87">
        <v>17376756</v>
      </c>
      <c r="B1384" s="88" t="s">
        <v>944</v>
      </c>
      <c r="C1384" s="88" t="s">
        <v>945</v>
      </c>
      <c r="D1384" s="88" t="s">
        <v>7038</v>
      </c>
      <c r="E1384" s="94">
        <v>43019</v>
      </c>
      <c r="F1384" s="91" t="s">
        <v>6853</v>
      </c>
      <c r="G1384" s="223">
        <f t="shared" si="42"/>
        <v>14</v>
      </c>
      <c r="H1384" s="222">
        <f t="shared" si="43"/>
        <v>17376756</v>
      </c>
    </row>
    <row r="1385" spans="1:8" hidden="1">
      <c r="A1385" s="87">
        <v>26028695</v>
      </c>
      <c r="B1385" s="88" t="s">
        <v>1680</v>
      </c>
      <c r="C1385" s="88" t="s">
        <v>1681</v>
      </c>
      <c r="D1385" s="88" t="s">
        <v>7038</v>
      </c>
      <c r="E1385" s="94">
        <v>43019</v>
      </c>
      <c r="F1385" s="91" t="s">
        <v>6853</v>
      </c>
      <c r="G1385" s="223">
        <f t="shared" si="42"/>
        <v>15</v>
      </c>
      <c r="H1385" s="222">
        <f t="shared" si="43"/>
        <v>26028695</v>
      </c>
    </row>
    <row r="1386" spans="1:8" hidden="1">
      <c r="A1386" s="87">
        <v>24802352</v>
      </c>
      <c r="B1386" s="88" t="s">
        <v>3646</v>
      </c>
      <c r="C1386" s="88" t="s">
        <v>455</v>
      </c>
      <c r="D1386" s="88" t="s">
        <v>7038</v>
      </c>
      <c r="E1386" s="94">
        <v>43019</v>
      </c>
      <c r="F1386" s="91" t="s">
        <v>6853</v>
      </c>
      <c r="G1386" s="223">
        <f t="shared" si="42"/>
        <v>20</v>
      </c>
      <c r="H1386" s="222">
        <f t="shared" si="43"/>
        <v>24802352</v>
      </c>
    </row>
    <row r="1387" spans="1:8" hidden="1">
      <c r="A1387" s="87">
        <v>22414324</v>
      </c>
      <c r="B1387" s="88" t="s">
        <v>1926</v>
      </c>
      <c r="C1387" s="88" t="s">
        <v>2815</v>
      </c>
      <c r="D1387" s="88" t="s">
        <v>7038</v>
      </c>
      <c r="E1387" s="94">
        <v>43019</v>
      </c>
      <c r="F1387" s="91" t="s">
        <v>6853</v>
      </c>
      <c r="G1387" s="223">
        <f t="shared" si="42"/>
        <v>59</v>
      </c>
      <c r="H1387" s="222">
        <f t="shared" si="43"/>
        <v>22414324</v>
      </c>
    </row>
    <row r="1388" spans="1:8" hidden="1">
      <c r="A1388" s="87">
        <v>22451756</v>
      </c>
      <c r="B1388" s="88" t="s">
        <v>7039</v>
      </c>
      <c r="C1388" s="88" t="s">
        <v>5325</v>
      </c>
      <c r="D1388" s="88" t="s">
        <v>7038</v>
      </c>
      <c r="E1388" s="94">
        <v>43019</v>
      </c>
      <c r="F1388" s="91" t="s">
        <v>6853</v>
      </c>
      <c r="G1388" s="223">
        <f t="shared" si="42"/>
        <v>55</v>
      </c>
      <c r="H1388" s="222">
        <f t="shared" si="43"/>
        <v>22451756</v>
      </c>
    </row>
    <row r="1389" spans="1:8" hidden="1">
      <c r="A1389" s="87">
        <v>17947952</v>
      </c>
      <c r="B1389" s="88" t="s">
        <v>115</v>
      </c>
      <c r="C1389" s="88" t="s">
        <v>1931</v>
      </c>
      <c r="D1389" s="88" t="s">
        <v>7038</v>
      </c>
      <c r="E1389" s="94">
        <v>43019</v>
      </c>
      <c r="F1389" s="91" t="s">
        <v>6853</v>
      </c>
      <c r="G1389" s="223">
        <f t="shared" si="42"/>
        <v>16</v>
      </c>
      <c r="H1389" s="222">
        <f t="shared" si="43"/>
        <v>17947952</v>
      </c>
    </row>
    <row r="1390" spans="1:8" hidden="1">
      <c r="A1390" s="87">
        <v>24792872</v>
      </c>
      <c r="B1390" s="88" t="s">
        <v>1504</v>
      </c>
      <c r="C1390" s="88" t="s">
        <v>2678</v>
      </c>
      <c r="D1390" s="88" t="s">
        <v>7038</v>
      </c>
      <c r="E1390" s="94">
        <v>43019</v>
      </c>
      <c r="F1390" s="91" t="s">
        <v>6853</v>
      </c>
      <c r="G1390" s="223" t="str">
        <f t="shared" si="42"/>
        <v>sin dato</v>
      </c>
      <c r="H1390" s="222">
        <f t="shared" si="43"/>
        <v>24792872</v>
      </c>
    </row>
    <row r="1391" spans="1:8" hidden="1">
      <c r="A1391" s="87">
        <v>20759580</v>
      </c>
      <c r="B1391" s="88" t="s">
        <v>118</v>
      </c>
      <c r="C1391" s="88" t="s">
        <v>119</v>
      </c>
      <c r="D1391" s="88" t="s">
        <v>7038</v>
      </c>
      <c r="E1391" s="94">
        <v>43019</v>
      </c>
      <c r="F1391" s="91" t="s">
        <v>6853</v>
      </c>
      <c r="G1391" s="223">
        <f t="shared" si="42"/>
        <v>11</v>
      </c>
      <c r="H1391" s="222">
        <f t="shared" si="43"/>
        <v>20759580</v>
      </c>
    </row>
    <row r="1392" spans="1:8" hidden="1">
      <c r="A1392" s="87">
        <v>18102826</v>
      </c>
      <c r="B1392" s="88" t="s">
        <v>3176</v>
      </c>
      <c r="C1392" s="88" t="s">
        <v>3998</v>
      </c>
      <c r="D1392" s="88" t="s">
        <v>7038</v>
      </c>
      <c r="E1392" s="94">
        <v>43019</v>
      </c>
      <c r="F1392" s="91" t="s">
        <v>6853</v>
      </c>
      <c r="G1392" s="223">
        <f t="shared" si="42"/>
        <v>30</v>
      </c>
      <c r="H1392" s="222">
        <f t="shared" si="43"/>
        <v>18102826</v>
      </c>
    </row>
    <row r="1393" spans="1:8" hidden="1">
      <c r="A1393" s="87">
        <v>26638836</v>
      </c>
      <c r="B1393" s="88" t="s">
        <v>3176</v>
      </c>
      <c r="C1393" s="88" t="s">
        <v>5773</v>
      </c>
      <c r="D1393" s="88" t="s">
        <v>7038</v>
      </c>
      <c r="E1393" s="94">
        <v>43019</v>
      </c>
      <c r="F1393" s="91" t="s">
        <v>6853</v>
      </c>
      <c r="G1393" s="223" t="str">
        <f t="shared" si="42"/>
        <v>sin dato</v>
      </c>
      <c r="H1393" s="222">
        <f t="shared" si="43"/>
        <v>26638836</v>
      </c>
    </row>
    <row r="1394" spans="1:8" hidden="1">
      <c r="A1394" s="87">
        <v>23564530</v>
      </c>
      <c r="B1394" s="88" t="s">
        <v>5529</v>
      </c>
      <c r="C1394" s="88" t="s">
        <v>6032</v>
      </c>
      <c r="D1394" s="88" t="s">
        <v>7038</v>
      </c>
      <c r="E1394" s="94">
        <v>43019</v>
      </c>
      <c r="F1394" s="91" t="s">
        <v>6853</v>
      </c>
      <c r="G1394" s="223">
        <f t="shared" si="42"/>
        <v>999</v>
      </c>
      <c r="H1394" s="222">
        <f t="shared" si="43"/>
        <v>23564530</v>
      </c>
    </row>
    <row r="1395" spans="1:8" hidden="1">
      <c r="A1395" s="87">
        <v>22672564</v>
      </c>
      <c r="B1395" s="88" t="s">
        <v>4004</v>
      </c>
      <c r="C1395" s="88" t="s">
        <v>4005</v>
      </c>
      <c r="D1395" s="88" t="s">
        <v>7038</v>
      </c>
      <c r="E1395" s="94">
        <v>43019</v>
      </c>
      <c r="F1395" s="91" t="s">
        <v>6853</v>
      </c>
      <c r="G1395" s="223">
        <f t="shared" si="42"/>
        <v>30</v>
      </c>
      <c r="H1395" s="222">
        <f t="shared" si="43"/>
        <v>22672564</v>
      </c>
    </row>
    <row r="1396" spans="1:8" hidden="1">
      <c r="A1396" s="87">
        <v>17947917</v>
      </c>
      <c r="B1396" s="88" t="s">
        <v>2844</v>
      </c>
      <c r="C1396" s="88" t="s">
        <v>2845</v>
      </c>
      <c r="D1396" s="88" t="s">
        <v>7038</v>
      </c>
      <c r="E1396" s="94">
        <v>43019</v>
      </c>
      <c r="F1396" s="91" t="s">
        <v>9302</v>
      </c>
      <c r="G1396" s="223">
        <f t="shared" si="42"/>
        <v>54</v>
      </c>
      <c r="H1396" s="222">
        <f t="shared" si="43"/>
        <v>17947917</v>
      </c>
    </row>
    <row r="1397" spans="1:8" hidden="1">
      <c r="A1397" s="87">
        <v>14358186</v>
      </c>
      <c r="B1397" s="88" t="s">
        <v>1011</v>
      </c>
      <c r="C1397" s="88" t="s">
        <v>1012</v>
      </c>
      <c r="D1397" s="88" t="s">
        <v>7038</v>
      </c>
      <c r="E1397" s="94">
        <v>43019</v>
      </c>
      <c r="F1397" s="91" t="s">
        <v>6853</v>
      </c>
      <c r="G1397" s="223">
        <f t="shared" si="42"/>
        <v>14</v>
      </c>
      <c r="H1397" s="222">
        <f t="shared" si="43"/>
        <v>14358186</v>
      </c>
    </row>
    <row r="1398" spans="1:8" hidden="1">
      <c r="A1398" s="87">
        <v>28151268</v>
      </c>
      <c r="B1398" s="88" t="s">
        <v>1973</v>
      </c>
      <c r="C1398" s="88" t="s">
        <v>3689</v>
      </c>
      <c r="D1398" s="88" t="s">
        <v>7038</v>
      </c>
      <c r="E1398" s="94">
        <v>43019</v>
      </c>
      <c r="F1398" s="91" t="s">
        <v>9302</v>
      </c>
      <c r="G1398" s="223">
        <f t="shared" si="42"/>
        <v>20</v>
      </c>
      <c r="H1398" s="222">
        <f t="shared" si="43"/>
        <v>28151268</v>
      </c>
    </row>
    <row r="1399" spans="1:8" hidden="1">
      <c r="A1399" s="87">
        <v>17543711</v>
      </c>
      <c r="B1399" s="88" t="s">
        <v>195</v>
      </c>
      <c r="C1399" s="88" t="s">
        <v>296</v>
      </c>
      <c r="D1399" s="88" t="s">
        <v>7038</v>
      </c>
      <c r="E1399" s="94">
        <v>43019</v>
      </c>
      <c r="F1399" s="91" t="s">
        <v>9302</v>
      </c>
      <c r="G1399" s="223" t="str">
        <f t="shared" si="42"/>
        <v>sin dato</v>
      </c>
      <c r="H1399" s="222">
        <f t="shared" si="43"/>
        <v>17543711</v>
      </c>
    </row>
    <row r="1400" spans="1:8" hidden="1">
      <c r="A1400" s="87">
        <v>21328207</v>
      </c>
      <c r="B1400" s="88" t="s">
        <v>5014</v>
      </c>
      <c r="C1400" s="88" t="s">
        <v>5015</v>
      </c>
      <c r="D1400" s="88" t="s">
        <v>7038</v>
      </c>
      <c r="E1400" s="94">
        <v>43019</v>
      </c>
      <c r="F1400" s="91" t="s">
        <v>9302</v>
      </c>
      <c r="G1400" s="223" t="str">
        <f t="shared" si="42"/>
        <v>sin dato</v>
      </c>
      <c r="H1400" s="222">
        <f t="shared" si="43"/>
        <v>21328207</v>
      </c>
    </row>
    <row r="1401" spans="1:8" hidden="1">
      <c r="A1401" s="87">
        <v>14966482</v>
      </c>
      <c r="B1401" s="88" t="s">
        <v>2785</v>
      </c>
      <c r="C1401" s="88" t="s">
        <v>2786</v>
      </c>
      <c r="D1401" s="88" t="s">
        <v>7038</v>
      </c>
      <c r="E1401" s="94">
        <v>43019</v>
      </c>
      <c r="F1401" s="91" t="s">
        <v>6853</v>
      </c>
      <c r="G1401" s="223" t="str">
        <f t="shared" si="42"/>
        <v>sin dato</v>
      </c>
      <c r="H1401" s="222">
        <f t="shared" si="43"/>
        <v>14966482</v>
      </c>
    </row>
    <row r="1402" spans="1:8" hidden="1">
      <c r="A1402" s="87">
        <v>27016351</v>
      </c>
      <c r="B1402" s="88" t="s">
        <v>2026</v>
      </c>
      <c r="C1402" s="88" t="s">
        <v>3662</v>
      </c>
      <c r="D1402" s="88" t="s">
        <v>7038</v>
      </c>
      <c r="E1402" s="94">
        <v>43019</v>
      </c>
      <c r="F1402" s="91" t="s">
        <v>6853</v>
      </c>
      <c r="G1402" s="223">
        <f t="shared" si="42"/>
        <v>22</v>
      </c>
      <c r="H1402" s="222">
        <f t="shared" si="43"/>
        <v>27016351</v>
      </c>
    </row>
    <row r="1403" spans="1:8" hidden="1">
      <c r="A1403" s="87">
        <v>11620975</v>
      </c>
      <c r="B1403" s="88" t="s">
        <v>207</v>
      </c>
      <c r="C1403" s="88" t="s">
        <v>5570</v>
      </c>
      <c r="D1403" s="88" t="s">
        <v>7038</v>
      </c>
      <c r="E1403" s="94">
        <v>43019</v>
      </c>
      <c r="F1403" s="91" t="s">
        <v>9302</v>
      </c>
      <c r="G1403" s="223">
        <f t="shared" si="42"/>
        <v>6</v>
      </c>
      <c r="H1403" s="222">
        <f t="shared" si="43"/>
        <v>11620975</v>
      </c>
    </row>
    <row r="1404" spans="1:8" hidden="1">
      <c r="A1404" s="87">
        <v>14896414</v>
      </c>
      <c r="B1404" s="88" t="s">
        <v>207</v>
      </c>
      <c r="C1404" s="88" t="s">
        <v>6122</v>
      </c>
      <c r="D1404" s="88" t="s">
        <v>7038</v>
      </c>
      <c r="E1404" s="94">
        <v>43019</v>
      </c>
      <c r="F1404" s="91" t="s">
        <v>6853</v>
      </c>
      <c r="G1404" s="223">
        <f t="shared" si="42"/>
        <v>999</v>
      </c>
      <c r="H1404" s="222">
        <f t="shared" si="43"/>
        <v>14896414</v>
      </c>
    </row>
    <row r="1405" spans="1:8" hidden="1">
      <c r="A1405" s="87">
        <v>20178405</v>
      </c>
      <c r="B1405" s="88" t="s">
        <v>6129</v>
      </c>
      <c r="C1405" s="88" t="s">
        <v>6130</v>
      </c>
      <c r="D1405" s="88" t="s">
        <v>7038</v>
      </c>
      <c r="E1405" s="94">
        <v>43019</v>
      </c>
      <c r="F1405" s="91" t="s">
        <v>9302</v>
      </c>
      <c r="G1405" s="223">
        <f t="shared" si="42"/>
        <v>999</v>
      </c>
      <c r="H1405" s="222">
        <f t="shared" si="43"/>
        <v>20178405</v>
      </c>
    </row>
    <row r="1406" spans="1:8" hidden="1">
      <c r="A1406" s="87">
        <v>32501890</v>
      </c>
      <c r="B1406" s="88" t="s">
        <v>2048</v>
      </c>
      <c r="C1406" s="88" t="s">
        <v>2049</v>
      </c>
      <c r="D1406" s="88" t="s">
        <v>7038</v>
      </c>
      <c r="E1406" s="94">
        <v>43019</v>
      </c>
      <c r="F1406" s="91" t="s">
        <v>6853</v>
      </c>
      <c r="G1406" s="223">
        <f t="shared" si="42"/>
        <v>16</v>
      </c>
      <c r="H1406" s="222">
        <f t="shared" si="43"/>
        <v>32501890</v>
      </c>
    </row>
    <row r="1407" spans="1:8" hidden="1">
      <c r="A1407" s="87">
        <v>11475132</v>
      </c>
      <c r="B1407" s="88" t="s">
        <v>5034</v>
      </c>
      <c r="C1407" s="88" t="s">
        <v>6492</v>
      </c>
      <c r="D1407" s="88" t="s">
        <v>7038</v>
      </c>
      <c r="E1407" s="94">
        <v>43019</v>
      </c>
      <c r="F1407" s="91" t="s">
        <v>9302</v>
      </c>
      <c r="G1407" s="223">
        <f t="shared" si="42"/>
        <v>82</v>
      </c>
      <c r="H1407" s="222">
        <f t="shared" si="43"/>
        <v>11475132</v>
      </c>
    </row>
    <row r="1408" spans="1:8" hidden="1">
      <c r="A1408" s="87">
        <v>16216479</v>
      </c>
      <c r="B1408" s="88" t="s">
        <v>5034</v>
      </c>
      <c r="C1408" s="88" t="s">
        <v>5035</v>
      </c>
      <c r="D1408" s="88" t="s">
        <v>7038</v>
      </c>
      <c r="E1408" s="94">
        <v>43019</v>
      </c>
      <c r="F1408" s="91" t="s">
        <v>6853</v>
      </c>
      <c r="G1408" s="223" t="str">
        <f t="shared" si="42"/>
        <v>sin dato</v>
      </c>
      <c r="H1408" s="222">
        <f t="shared" si="43"/>
        <v>16216479</v>
      </c>
    </row>
    <row r="1409" spans="1:8" hidden="1">
      <c r="A1409" s="87">
        <v>21846191</v>
      </c>
      <c r="B1409" s="88" t="s">
        <v>4330</v>
      </c>
      <c r="C1409" s="88" t="s">
        <v>4331</v>
      </c>
      <c r="D1409" s="88" t="s">
        <v>7038</v>
      </c>
      <c r="E1409" s="94">
        <v>43019</v>
      </c>
      <c r="F1409" s="91" t="s">
        <v>9302</v>
      </c>
      <c r="G1409" s="223">
        <f t="shared" si="42"/>
        <v>21</v>
      </c>
      <c r="H1409" s="222">
        <f t="shared" si="43"/>
        <v>21846191</v>
      </c>
    </row>
    <row r="1410" spans="1:8" hidden="1">
      <c r="A1410" s="87">
        <v>30497720</v>
      </c>
      <c r="B1410" s="88" t="s">
        <v>2990</v>
      </c>
      <c r="C1410" s="88" t="s">
        <v>131</v>
      </c>
      <c r="D1410" s="88" t="s">
        <v>7038</v>
      </c>
      <c r="E1410" s="94">
        <v>43019</v>
      </c>
      <c r="F1410" s="91" t="s">
        <v>9302</v>
      </c>
      <c r="G1410" s="223">
        <f t="shared" ref="G1410:G1473" si="44">IFERROR(INDEX(unidad,MATCH(VLOOKUP(A1410,alum,9,0),unidad2,0),1),"sin dato")</f>
        <v>19</v>
      </c>
      <c r="H1410" s="222">
        <f t="shared" ref="H1410:H1473" si="45">IFERROR(VLOOKUP(A1410,alum,1,0),"999")</f>
        <v>30497720</v>
      </c>
    </row>
    <row r="1411" spans="1:8" hidden="1">
      <c r="A1411" s="87">
        <v>16091162</v>
      </c>
      <c r="B1411" s="88" t="s">
        <v>5866</v>
      </c>
      <c r="C1411" s="88" t="s">
        <v>7040</v>
      </c>
      <c r="D1411" s="88" t="s">
        <v>7038</v>
      </c>
      <c r="E1411" s="94">
        <v>43019</v>
      </c>
      <c r="F1411" s="91" t="s">
        <v>9302</v>
      </c>
      <c r="G1411" s="223">
        <f t="shared" si="44"/>
        <v>3</v>
      </c>
      <c r="H1411" s="222">
        <f t="shared" si="45"/>
        <v>16091162</v>
      </c>
    </row>
    <row r="1412" spans="1:8" hidden="1">
      <c r="A1412" s="87">
        <v>16998863</v>
      </c>
      <c r="B1412" s="88" t="s">
        <v>863</v>
      </c>
      <c r="C1412" s="88" t="s">
        <v>5907</v>
      </c>
      <c r="D1412" s="88" t="s">
        <v>7038</v>
      </c>
      <c r="E1412" s="94">
        <v>43019</v>
      </c>
      <c r="F1412" s="91" t="s">
        <v>9302</v>
      </c>
      <c r="G1412" s="223">
        <f t="shared" si="44"/>
        <v>10</v>
      </c>
      <c r="H1412" s="222">
        <f t="shared" si="45"/>
        <v>16998863</v>
      </c>
    </row>
    <row r="1413" spans="1:8" hidden="1">
      <c r="A1413" s="87">
        <v>27944383</v>
      </c>
      <c r="B1413" s="88" t="s">
        <v>863</v>
      </c>
      <c r="C1413" s="88" t="s">
        <v>3294</v>
      </c>
      <c r="D1413" s="88" t="s">
        <v>7038</v>
      </c>
      <c r="E1413" s="94">
        <v>43019</v>
      </c>
      <c r="F1413" s="91" t="s">
        <v>9302</v>
      </c>
      <c r="G1413" s="223">
        <f t="shared" si="44"/>
        <v>22</v>
      </c>
      <c r="H1413" s="222">
        <f t="shared" si="45"/>
        <v>27944383</v>
      </c>
    </row>
    <row r="1414" spans="1:8" hidden="1">
      <c r="A1414" s="87">
        <v>27211228</v>
      </c>
      <c r="B1414" s="88" t="s">
        <v>4126</v>
      </c>
      <c r="C1414" s="88" t="s">
        <v>5054</v>
      </c>
      <c r="D1414" s="88" t="s">
        <v>7038</v>
      </c>
      <c r="E1414" s="94">
        <v>43019</v>
      </c>
      <c r="F1414" s="91" t="s">
        <v>9302</v>
      </c>
      <c r="G1414" s="223" t="str">
        <f t="shared" si="44"/>
        <v>sin dato</v>
      </c>
      <c r="H1414" s="222">
        <f t="shared" si="45"/>
        <v>27211228</v>
      </c>
    </row>
    <row r="1415" spans="1:8" hidden="1">
      <c r="A1415" s="87">
        <v>20262443</v>
      </c>
      <c r="B1415" s="88" t="s">
        <v>6214</v>
      </c>
      <c r="C1415" s="88" t="s">
        <v>6215</v>
      </c>
      <c r="D1415" s="88" t="s">
        <v>7038</v>
      </c>
      <c r="E1415" s="94">
        <v>43019</v>
      </c>
      <c r="F1415" s="91" t="s">
        <v>9302</v>
      </c>
      <c r="G1415" s="223">
        <f t="shared" si="44"/>
        <v>999</v>
      </c>
      <c r="H1415" s="222">
        <f t="shared" si="45"/>
        <v>20262443</v>
      </c>
    </row>
    <row r="1416" spans="1:8" hidden="1">
      <c r="A1416" s="87">
        <v>16811619</v>
      </c>
      <c r="B1416" s="88" t="s">
        <v>811</v>
      </c>
      <c r="C1416" s="88" t="s">
        <v>2295</v>
      </c>
      <c r="D1416" s="88" t="s">
        <v>7038</v>
      </c>
      <c r="E1416" s="94">
        <v>43019</v>
      </c>
      <c r="F1416" s="91" t="s">
        <v>6853</v>
      </c>
      <c r="G1416" s="223">
        <f t="shared" si="44"/>
        <v>7</v>
      </c>
      <c r="H1416" s="222">
        <f t="shared" si="45"/>
        <v>16811619</v>
      </c>
    </row>
    <row r="1417" spans="1:8" hidden="1">
      <c r="A1417" s="87">
        <v>23930162</v>
      </c>
      <c r="B1417" s="88" t="s">
        <v>2749</v>
      </c>
      <c r="C1417" s="88" t="s">
        <v>2143</v>
      </c>
      <c r="D1417" s="88" t="s">
        <v>7038</v>
      </c>
      <c r="E1417" s="94">
        <v>43019</v>
      </c>
      <c r="F1417" s="91" t="s">
        <v>6853</v>
      </c>
      <c r="G1417" s="223">
        <f t="shared" si="44"/>
        <v>54</v>
      </c>
      <c r="H1417" s="222">
        <f t="shared" si="45"/>
        <v>23930162</v>
      </c>
    </row>
    <row r="1418" spans="1:8" hidden="1">
      <c r="A1418" s="87">
        <v>22264316</v>
      </c>
      <c r="B1418" s="88" t="s">
        <v>2687</v>
      </c>
      <c r="C1418" s="88" t="s">
        <v>2688</v>
      </c>
      <c r="D1418" s="88" t="s">
        <v>7038</v>
      </c>
      <c r="E1418" s="94">
        <v>43019</v>
      </c>
      <c r="F1418" s="91" t="s">
        <v>9302</v>
      </c>
      <c r="G1418" s="223">
        <f t="shared" si="44"/>
        <v>49</v>
      </c>
      <c r="H1418" s="222">
        <f t="shared" si="45"/>
        <v>22264316</v>
      </c>
    </row>
    <row r="1419" spans="1:8" hidden="1">
      <c r="A1419" s="87">
        <v>23021324</v>
      </c>
      <c r="B1419" s="88" t="s">
        <v>3380</v>
      </c>
      <c r="C1419" s="88" t="s">
        <v>5066</v>
      </c>
      <c r="D1419" s="88" t="s">
        <v>7038</v>
      </c>
      <c r="E1419" s="94">
        <v>43019</v>
      </c>
      <c r="F1419" s="91" t="s">
        <v>6853</v>
      </c>
      <c r="G1419" s="223" t="str">
        <f t="shared" si="44"/>
        <v>sin dato</v>
      </c>
      <c r="H1419" s="222">
        <f t="shared" si="45"/>
        <v>23021324</v>
      </c>
    </row>
    <row r="1420" spans="1:8" hidden="1">
      <c r="A1420" s="87">
        <v>14966433</v>
      </c>
      <c r="B1420" s="88" t="s">
        <v>1523</v>
      </c>
      <c r="C1420" s="88" t="s">
        <v>2819</v>
      </c>
      <c r="D1420" s="88" t="s">
        <v>7038</v>
      </c>
      <c r="E1420" s="94">
        <v>43019</v>
      </c>
      <c r="F1420" s="91" t="s">
        <v>6853</v>
      </c>
      <c r="G1420" s="223">
        <f t="shared" si="44"/>
        <v>59</v>
      </c>
      <c r="H1420" s="222">
        <f t="shared" si="45"/>
        <v>14966433</v>
      </c>
    </row>
    <row r="1421" spans="1:8" hidden="1">
      <c r="A1421" s="87">
        <v>14083636</v>
      </c>
      <c r="B1421" s="88" t="s">
        <v>4204</v>
      </c>
      <c r="C1421" s="88" t="s">
        <v>2826</v>
      </c>
      <c r="D1421" s="88" t="s">
        <v>7038</v>
      </c>
      <c r="E1421" s="94">
        <v>43019</v>
      </c>
      <c r="F1421" s="91" t="s">
        <v>6853</v>
      </c>
      <c r="G1421" s="223" t="str">
        <f t="shared" si="44"/>
        <v>sin dato</v>
      </c>
      <c r="H1421" s="222">
        <f t="shared" si="45"/>
        <v>14083636</v>
      </c>
    </row>
    <row r="1422" spans="1:8" hidden="1">
      <c r="A1422" s="87">
        <v>23310064</v>
      </c>
      <c r="B1422" s="88" t="s">
        <v>342</v>
      </c>
      <c r="C1422" s="88" t="s">
        <v>2870</v>
      </c>
      <c r="D1422" s="88" t="s">
        <v>7038</v>
      </c>
      <c r="E1422" s="94">
        <v>43019</v>
      </c>
      <c r="F1422" s="91" t="s">
        <v>9302</v>
      </c>
      <c r="G1422" s="223">
        <f t="shared" si="44"/>
        <v>63</v>
      </c>
      <c r="H1422" s="222">
        <f t="shared" si="45"/>
        <v>23310064</v>
      </c>
    </row>
    <row r="1423" spans="1:8" hidden="1">
      <c r="A1423" s="87">
        <v>13066434</v>
      </c>
      <c r="B1423" s="88" t="s">
        <v>1565</v>
      </c>
      <c r="C1423" s="88" t="s">
        <v>758</v>
      </c>
      <c r="D1423" s="88" t="s">
        <v>7038</v>
      </c>
      <c r="E1423" s="94">
        <v>43019</v>
      </c>
      <c r="F1423" s="91" t="s">
        <v>6853</v>
      </c>
      <c r="G1423" s="223" t="str">
        <f t="shared" si="44"/>
        <v>sin dato</v>
      </c>
      <c r="H1423" s="222">
        <f t="shared" si="45"/>
        <v>13066434</v>
      </c>
    </row>
    <row r="1424" spans="1:8" hidden="1">
      <c r="A1424" s="87">
        <v>14359850</v>
      </c>
      <c r="B1424" s="88" t="s">
        <v>5663</v>
      </c>
      <c r="C1424" s="88" t="s">
        <v>5664</v>
      </c>
      <c r="D1424" s="88" t="s">
        <v>7038</v>
      </c>
      <c r="E1424" s="94">
        <v>43019</v>
      </c>
      <c r="F1424" s="91" t="s">
        <v>9302</v>
      </c>
      <c r="G1424" s="223">
        <f t="shared" si="44"/>
        <v>6</v>
      </c>
      <c r="H1424" s="222">
        <f t="shared" si="45"/>
        <v>14359850</v>
      </c>
    </row>
    <row r="1425" spans="1:8" hidden="1">
      <c r="A1425" s="87">
        <v>32455863</v>
      </c>
      <c r="B1425" s="88" t="s">
        <v>2158</v>
      </c>
      <c r="C1425" s="88" t="s">
        <v>2676</v>
      </c>
      <c r="D1425" s="88" t="s">
        <v>7038</v>
      </c>
      <c r="E1425" s="94">
        <v>43019</v>
      </c>
      <c r="F1425" s="91" t="s">
        <v>6853</v>
      </c>
      <c r="G1425" s="223">
        <f t="shared" si="44"/>
        <v>55</v>
      </c>
      <c r="H1425" s="222">
        <f t="shared" si="45"/>
        <v>32455863</v>
      </c>
    </row>
    <row r="1426" spans="1:8" hidden="1">
      <c r="A1426" s="87">
        <v>24503602</v>
      </c>
      <c r="B1426" s="88" t="s">
        <v>394</v>
      </c>
      <c r="C1426" s="88" t="s">
        <v>2873</v>
      </c>
      <c r="D1426" s="88" t="s">
        <v>7038</v>
      </c>
      <c r="E1426" s="94">
        <v>43019</v>
      </c>
      <c r="F1426" s="91" t="s">
        <v>9302</v>
      </c>
      <c r="G1426" s="223">
        <f t="shared" si="44"/>
        <v>63</v>
      </c>
      <c r="H1426" s="222">
        <f t="shared" si="45"/>
        <v>24503602</v>
      </c>
    </row>
    <row r="1427" spans="1:8" hidden="1">
      <c r="A1427" s="87">
        <v>33374199</v>
      </c>
      <c r="B1427" s="88" t="s">
        <v>2576</v>
      </c>
      <c r="C1427" s="88" t="s">
        <v>3813</v>
      </c>
      <c r="D1427" s="88" t="s">
        <v>7038</v>
      </c>
      <c r="E1427" s="94">
        <v>43019</v>
      </c>
      <c r="F1427" s="91" t="s">
        <v>6853</v>
      </c>
      <c r="G1427" s="223">
        <f t="shared" si="44"/>
        <v>20</v>
      </c>
      <c r="H1427" s="222">
        <f t="shared" si="45"/>
        <v>33374199</v>
      </c>
    </row>
    <row r="1428" spans="1:8" hidden="1">
      <c r="A1428" s="87">
        <v>14481830</v>
      </c>
      <c r="B1428" s="88" t="s">
        <v>2664</v>
      </c>
      <c r="C1428" s="88" t="s">
        <v>2665</v>
      </c>
      <c r="D1428" s="88" t="s">
        <v>7038</v>
      </c>
      <c r="E1428" s="94">
        <v>43019</v>
      </c>
      <c r="F1428" s="91" t="s">
        <v>6853</v>
      </c>
      <c r="G1428" s="223">
        <f t="shared" si="44"/>
        <v>47</v>
      </c>
      <c r="H1428" s="222">
        <f t="shared" si="45"/>
        <v>14481830</v>
      </c>
    </row>
    <row r="1429" spans="1:8" hidden="1">
      <c r="A1429" s="87">
        <v>33669170</v>
      </c>
      <c r="B1429" s="88" t="s">
        <v>789</v>
      </c>
      <c r="C1429" s="88" t="s">
        <v>3832</v>
      </c>
      <c r="D1429" s="88" t="s">
        <v>7038</v>
      </c>
      <c r="E1429" s="94">
        <v>43019</v>
      </c>
      <c r="F1429" s="91" t="s">
        <v>6853</v>
      </c>
      <c r="G1429" s="223">
        <f t="shared" si="44"/>
        <v>20</v>
      </c>
      <c r="H1429" s="222">
        <f t="shared" si="45"/>
        <v>33669170</v>
      </c>
    </row>
    <row r="1430" spans="1:8" hidden="1">
      <c r="A1430" s="87">
        <v>27430251</v>
      </c>
      <c r="B1430" s="88" t="s">
        <v>428</v>
      </c>
      <c r="C1430" s="88" t="s">
        <v>803</v>
      </c>
      <c r="D1430" s="88" t="s">
        <v>7038</v>
      </c>
      <c r="E1430" s="94">
        <v>43019</v>
      </c>
      <c r="F1430" s="91" t="s">
        <v>6853</v>
      </c>
      <c r="G1430" s="223">
        <f t="shared" si="44"/>
        <v>36</v>
      </c>
      <c r="H1430" s="222">
        <f t="shared" si="45"/>
        <v>27430251</v>
      </c>
    </row>
    <row r="1431" spans="1:8" hidden="1">
      <c r="A1431" s="87">
        <v>12318006</v>
      </c>
      <c r="B1431" s="88" t="s">
        <v>574</v>
      </c>
      <c r="C1431" s="88" t="s">
        <v>5798</v>
      </c>
      <c r="D1431" s="88" t="s">
        <v>7038</v>
      </c>
      <c r="E1431" s="94">
        <v>43019</v>
      </c>
      <c r="F1431" s="91" t="s">
        <v>6853</v>
      </c>
      <c r="G1431" s="223" t="str">
        <f t="shared" si="44"/>
        <v>sin dato</v>
      </c>
      <c r="H1431" s="222">
        <f t="shared" si="45"/>
        <v>12318006</v>
      </c>
    </row>
    <row r="1432" spans="1:8" hidden="1">
      <c r="A1432" s="87">
        <v>23564843</v>
      </c>
      <c r="B1432" s="88" t="s">
        <v>3837</v>
      </c>
      <c r="C1432" s="88" t="s">
        <v>7041</v>
      </c>
      <c r="D1432" s="88" t="s">
        <v>7038</v>
      </c>
      <c r="E1432" s="94">
        <v>43019</v>
      </c>
      <c r="F1432" s="91" t="s">
        <v>9302</v>
      </c>
      <c r="G1432" s="223">
        <f t="shared" si="44"/>
        <v>20</v>
      </c>
      <c r="H1432" s="222">
        <f t="shared" si="45"/>
        <v>23564843</v>
      </c>
    </row>
    <row r="1433" spans="1:8" hidden="1">
      <c r="A1433" s="87">
        <v>16541537</v>
      </c>
      <c r="B1433" s="88" t="s">
        <v>4643</v>
      </c>
      <c r="C1433" s="88" t="s">
        <v>4644</v>
      </c>
      <c r="D1433" s="88" t="s">
        <v>7038</v>
      </c>
      <c r="E1433" s="94">
        <v>43019</v>
      </c>
      <c r="F1433" s="91" t="s">
        <v>6853</v>
      </c>
      <c r="G1433" s="223">
        <f t="shared" si="44"/>
        <v>22</v>
      </c>
      <c r="H1433" s="222">
        <f t="shared" si="45"/>
        <v>16541537</v>
      </c>
    </row>
    <row r="1434" spans="1:8" hidden="1">
      <c r="A1434" s="87">
        <v>24200813</v>
      </c>
      <c r="B1434" s="88" t="s">
        <v>2766</v>
      </c>
      <c r="C1434" s="88" t="s">
        <v>2767</v>
      </c>
      <c r="D1434" s="88" t="s">
        <v>7038</v>
      </c>
      <c r="E1434" s="94">
        <v>43019</v>
      </c>
      <c r="F1434" s="91" t="s">
        <v>9302</v>
      </c>
      <c r="G1434" s="223">
        <f t="shared" si="44"/>
        <v>58</v>
      </c>
      <c r="H1434" s="222">
        <f t="shared" si="45"/>
        <v>24200813</v>
      </c>
    </row>
    <row r="1435" spans="1:8" hidden="1">
      <c r="A1435" s="87">
        <v>16883300</v>
      </c>
      <c r="B1435" s="88" t="s">
        <v>5729</v>
      </c>
      <c r="C1435" s="88" t="s">
        <v>1299</v>
      </c>
      <c r="D1435" s="88" t="s">
        <v>7038</v>
      </c>
      <c r="E1435" s="94">
        <v>43019</v>
      </c>
      <c r="F1435" s="91" t="s">
        <v>6853</v>
      </c>
      <c r="G1435" s="223">
        <f t="shared" si="44"/>
        <v>6</v>
      </c>
      <c r="H1435" s="222">
        <f t="shared" si="45"/>
        <v>16883300</v>
      </c>
    </row>
    <row r="1436" spans="1:8" hidden="1">
      <c r="A1436" s="87">
        <v>26030971</v>
      </c>
      <c r="B1436" s="88" t="s">
        <v>6446</v>
      </c>
      <c r="C1436" s="88" t="s">
        <v>6447</v>
      </c>
      <c r="D1436" s="88" t="s">
        <v>7038</v>
      </c>
      <c r="E1436" s="94">
        <v>43019</v>
      </c>
      <c r="F1436" s="91" t="s">
        <v>9302</v>
      </c>
      <c r="G1436" s="223">
        <f t="shared" si="44"/>
        <v>999</v>
      </c>
      <c r="H1436" s="222">
        <f t="shared" si="45"/>
        <v>26030971</v>
      </c>
    </row>
    <row r="1437" spans="1:8" hidden="1">
      <c r="A1437" s="87">
        <v>17040565</v>
      </c>
      <c r="B1437" s="88" t="s">
        <v>1665</v>
      </c>
      <c r="C1437" s="88" t="s">
        <v>1666</v>
      </c>
      <c r="D1437" s="88" t="s">
        <v>7016</v>
      </c>
      <c r="E1437" s="94">
        <v>43018</v>
      </c>
      <c r="F1437" s="91" t="s">
        <v>6853</v>
      </c>
      <c r="G1437" s="223">
        <f t="shared" si="44"/>
        <v>15</v>
      </c>
      <c r="H1437" s="222">
        <f t="shared" si="45"/>
        <v>17040565</v>
      </c>
    </row>
    <row r="1438" spans="1:8" hidden="1">
      <c r="A1438" s="87">
        <v>29743258</v>
      </c>
      <c r="B1438" s="88" t="s">
        <v>144</v>
      </c>
      <c r="C1438" s="88" t="s">
        <v>4283</v>
      </c>
      <c r="D1438" s="88" t="s">
        <v>7016</v>
      </c>
      <c r="E1438" s="94">
        <v>43018</v>
      </c>
      <c r="F1438" s="91" t="s">
        <v>9302</v>
      </c>
      <c r="G1438" s="223">
        <f t="shared" si="44"/>
        <v>2</v>
      </c>
      <c r="H1438" s="222">
        <f t="shared" si="45"/>
        <v>29743258</v>
      </c>
    </row>
    <row r="1439" spans="1:8" hidden="1">
      <c r="A1439" s="87">
        <v>36224754</v>
      </c>
      <c r="B1439" s="88" t="s">
        <v>3196</v>
      </c>
      <c r="C1439" s="88" t="s">
        <v>3197</v>
      </c>
      <c r="D1439" s="88" t="s">
        <v>7016</v>
      </c>
      <c r="E1439" s="94">
        <v>43018</v>
      </c>
      <c r="F1439" s="91" t="s">
        <v>9302</v>
      </c>
      <c r="G1439" s="223" t="str">
        <f t="shared" si="44"/>
        <v>sin dato</v>
      </c>
      <c r="H1439" s="222" t="str">
        <f t="shared" si="45"/>
        <v>999</v>
      </c>
    </row>
    <row r="1440" spans="1:8" hidden="1">
      <c r="A1440" s="87">
        <v>29060073</v>
      </c>
      <c r="B1440" s="88" t="s">
        <v>4836</v>
      </c>
      <c r="C1440" s="88" t="s">
        <v>1061</v>
      </c>
      <c r="D1440" s="88" t="s">
        <v>7016</v>
      </c>
      <c r="E1440" s="94">
        <v>43018</v>
      </c>
      <c r="F1440" s="91" t="s">
        <v>6853</v>
      </c>
      <c r="G1440" s="223">
        <f t="shared" si="44"/>
        <v>1</v>
      </c>
      <c r="H1440" s="222">
        <f t="shared" si="45"/>
        <v>29060073</v>
      </c>
    </row>
    <row r="1441" spans="1:8" hidden="1">
      <c r="A1441" s="87">
        <v>13848349</v>
      </c>
      <c r="B1441" s="88" t="s">
        <v>652</v>
      </c>
      <c r="C1441" s="88" t="s">
        <v>465</v>
      </c>
      <c r="D1441" s="88" t="s">
        <v>7016</v>
      </c>
      <c r="E1441" s="94">
        <v>43018</v>
      </c>
      <c r="F1441" s="91" t="s">
        <v>6853</v>
      </c>
      <c r="G1441" s="223">
        <f t="shared" si="44"/>
        <v>999</v>
      </c>
      <c r="H1441" s="222">
        <f t="shared" si="45"/>
        <v>13848349</v>
      </c>
    </row>
    <row r="1442" spans="1:8" hidden="1">
      <c r="A1442" s="87">
        <v>30760295</v>
      </c>
      <c r="B1442" s="88" t="s">
        <v>3706</v>
      </c>
      <c r="C1442" s="88" t="s">
        <v>416</v>
      </c>
      <c r="D1442" s="88" t="s">
        <v>7016</v>
      </c>
      <c r="E1442" s="94">
        <v>43018</v>
      </c>
      <c r="F1442" s="91" t="s">
        <v>6853</v>
      </c>
      <c r="G1442" s="223">
        <f t="shared" si="44"/>
        <v>20</v>
      </c>
      <c r="H1442" s="222">
        <f t="shared" si="45"/>
        <v>30760295</v>
      </c>
    </row>
    <row r="1443" spans="1:8" hidden="1">
      <c r="A1443" s="87">
        <v>93262857</v>
      </c>
      <c r="B1443" s="88" t="s">
        <v>236</v>
      </c>
      <c r="C1443" s="88" t="s">
        <v>237</v>
      </c>
      <c r="D1443" s="88" t="s">
        <v>7016</v>
      </c>
      <c r="E1443" s="94">
        <v>43018</v>
      </c>
      <c r="F1443" s="91" t="s">
        <v>6853</v>
      </c>
      <c r="G1443" s="223" t="str">
        <f t="shared" si="44"/>
        <v>sin dato</v>
      </c>
      <c r="H1443" s="222" t="str">
        <f t="shared" si="45"/>
        <v>999</v>
      </c>
    </row>
    <row r="1444" spans="1:8" hidden="1">
      <c r="A1444" s="87">
        <v>14984007</v>
      </c>
      <c r="B1444" s="88" t="s">
        <v>3742</v>
      </c>
      <c r="C1444" s="88" t="s">
        <v>3743</v>
      </c>
      <c r="D1444" s="88" t="s">
        <v>7016</v>
      </c>
      <c r="E1444" s="94">
        <v>43018</v>
      </c>
      <c r="F1444" s="91" t="s">
        <v>6853</v>
      </c>
      <c r="G1444" s="223">
        <f t="shared" si="44"/>
        <v>20</v>
      </c>
      <c r="H1444" s="222">
        <f t="shared" si="45"/>
        <v>14984007</v>
      </c>
    </row>
    <row r="1445" spans="1:8" hidden="1">
      <c r="A1445" s="87">
        <v>34994170</v>
      </c>
      <c r="B1445" s="88" t="s">
        <v>304</v>
      </c>
      <c r="C1445" s="88" t="s">
        <v>305</v>
      </c>
      <c r="D1445" s="88" t="s">
        <v>7016</v>
      </c>
      <c r="E1445" s="94">
        <v>43018</v>
      </c>
      <c r="F1445" s="91" t="s">
        <v>6853</v>
      </c>
      <c r="G1445" s="223">
        <f t="shared" si="44"/>
        <v>11</v>
      </c>
      <c r="H1445" s="222">
        <f t="shared" si="45"/>
        <v>34994170</v>
      </c>
    </row>
    <row r="1446" spans="1:8" hidden="1">
      <c r="A1446" s="87">
        <v>14984966</v>
      </c>
      <c r="B1446" s="88" t="s">
        <v>1558</v>
      </c>
      <c r="C1446" s="88" t="s">
        <v>1061</v>
      </c>
      <c r="D1446" s="88" t="s">
        <v>7016</v>
      </c>
      <c r="E1446" s="94">
        <v>43018</v>
      </c>
      <c r="F1446" s="91" t="s">
        <v>9302</v>
      </c>
      <c r="G1446" s="223">
        <f t="shared" si="44"/>
        <v>999</v>
      </c>
      <c r="H1446" s="222">
        <f t="shared" si="45"/>
        <v>14984966</v>
      </c>
    </row>
    <row r="1447" spans="1:8" hidden="1">
      <c r="A1447" s="87">
        <v>25498735</v>
      </c>
      <c r="B1447" s="88" t="s">
        <v>4067</v>
      </c>
      <c r="C1447" s="88" t="s">
        <v>6493</v>
      </c>
      <c r="D1447" s="88" t="s">
        <v>7016</v>
      </c>
      <c r="E1447" s="94">
        <v>43018</v>
      </c>
      <c r="F1447" s="91" t="s">
        <v>6853</v>
      </c>
      <c r="G1447" s="223">
        <f t="shared" si="44"/>
        <v>82</v>
      </c>
      <c r="H1447" s="222">
        <f t="shared" si="45"/>
        <v>25498735</v>
      </c>
    </row>
    <row r="1448" spans="1:8" hidden="1">
      <c r="A1448" s="87">
        <v>23931160</v>
      </c>
      <c r="B1448" s="88" t="s">
        <v>4673</v>
      </c>
      <c r="C1448" s="88" t="s">
        <v>3888</v>
      </c>
      <c r="D1448" s="88" t="s">
        <v>7016</v>
      </c>
      <c r="E1448" s="94">
        <v>43018</v>
      </c>
      <c r="F1448" s="91" t="s">
        <v>9302</v>
      </c>
      <c r="G1448" s="223">
        <f t="shared" si="44"/>
        <v>22</v>
      </c>
      <c r="H1448" s="222">
        <f t="shared" si="45"/>
        <v>23931160</v>
      </c>
    </row>
    <row r="1449" spans="1:8" hidden="1">
      <c r="A1449" s="87">
        <v>18185663</v>
      </c>
      <c r="B1449" s="88" t="s">
        <v>26</v>
      </c>
      <c r="C1449" s="88" t="s">
        <v>5759</v>
      </c>
      <c r="D1449" s="88" t="s">
        <v>7042</v>
      </c>
      <c r="E1449" s="94">
        <v>43017</v>
      </c>
      <c r="F1449" s="91" t="s">
        <v>9302</v>
      </c>
      <c r="G1449" s="223" t="str">
        <f t="shared" si="44"/>
        <v>sin dato</v>
      </c>
      <c r="H1449" s="222">
        <f t="shared" si="45"/>
        <v>18185663</v>
      </c>
    </row>
    <row r="1450" spans="1:8" hidden="1">
      <c r="A1450" s="87">
        <v>20285028</v>
      </c>
      <c r="B1450" s="88" t="s">
        <v>927</v>
      </c>
      <c r="C1450" s="88" t="s">
        <v>4897</v>
      </c>
      <c r="D1450" s="88" t="s">
        <v>7042</v>
      </c>
      <c r="E1450" s="94">
        <v>43017</v>
      </c>
      <c r="F1450" s="91" t="s">
        <v>6853</v>
      </c>
      <c r="G1450" s="223">
        <f t="shared" si="44"/>
        <v>14</v>
      </c>
      <c r="H1450" s="222">
        <f t="shared" si="45"/>
        <v>20285028</v>
      </c>
    </row>
    <row r="1451" spans="1:8" hidden="1">
      <c r="A1451" s="87">
        <v>14226968</v>
      </c>
      <c r="B1451" s="88" t="s">
        <v>2460</v>
      </c>
      <c r="C1451" s="88" t="s">
        <v>351</v>
      </c>
      <c r="D1451" s="88" t="s">
        <v>7042</v>
      </c>
      <c r="E1451" s="94">
        <v>43017</v>
      </c>
      <c r="F1451" s="91" t="s">
        <v>9302</v>
      </c>
      <c r="G1451" s="223">
        <f t="shared" si="44"/>
        <v>14</v>
      </c>
      <c r="H1451" s="222">
        <f t="shared" si="45"/>
        <v>14226968</v>
      </c>
    </row>
    <row r="1452" spans="1:8" hidden="1">
      <c r="A1452" s="87">
        <v>26028695</v>
      </c>
      <c r="B1452" s="88" t="s">
        <v>1680</v>
      </c>
      <c r="C1452" s="88" t="s">
        <v>1681</v>
      </c>
      <c r="D1452" s="88" t="s">
        <v>7042</v>
      </c>
      <c r="E1452" s="94">
        <v>43017</v>
      </c>
      <c r="F1452" s="91" t="s">
        <v>6853</v>
      </c>
      <c r="G1452" s="223">
        <f t="shared" si="44"/>
        <v>15</v>
      </c>
      <c r="H1452" s="222">
        <f t="shared" si="45"/>
        <v>26028695</v>
      </c>
    </row>
    <row r="1453" spans="1:8" hidden="1">
      <c r="A1453" s="87">
        <v>36049422</v>
      </c>
      <c r="B1453" s="88" t="s">
        <v>2683</v>
      </c>
      <c r="C1453" s="88" t="s">
        <v>558</v>
      </c>
      <c r="D1453" s="88" t="s">
        <v>7042</v>
      </c>
      <c r="E1453" s="94">
        <v>43017</v>
      </c>
      <c r="F1453" s="91" t="s">
        <v>9302</v>
      </c>
      <c r="G1453" s="223" t="str">
        <f t="shared" si="44"/>
        <v>sin dato</v>
      </c>
      <c r="H1453" s="222" t="str">
        <f t="shared" si="45"/>
        <v>999</v>
      </c>
    </row>
    <row r="1454" spans="1:8" hidden="1">
      <c r="A1454" s="87">
        <v>18229240</v>
      </c>
      <c r="B1454" s="88" t="s">
        <v>3465</v>
      </c>
      <c r="C1454" s="88" t="s">
        <v>3466</v>
      </c>
      <c r="D1454" s="88" t="s">
        <v>7042</v>
      </c>
      <c r="E1454" s="94">
        <v>43017</v>
      </c>
      <c r="F1454" s="91" t="s">
        <v>6853</v>
      </c>
      <c r="G1454" s="223">
        <f t="shared" si="44"/>
        <v>25</v>
      </c>
      <c r="H1454" s="222">
        <f t="shared" si="45"/>
        <v>18229240</v>
      </c>
    </row>
    <row r="1455" spans="1:8" hidden="1">
      <c r="A1455" s="87">
        <v>20219787</v>
      </c>
      <c r="B1455" s="88" t="s">
        <v>311</v>
      </c>
      <c r="C1455" s="88" t="s">
        <v>3585</v>
      </c>
      <c r="D1455" s="88" t="s">
        <v>7042</v>
      </c>
      <c r="E1455" s="94">
        <v>43017</v>
      </c>
      <c r="F1455" s="91" t="s">
        <v>6853</v>
      </c>
      <c r="G1455" s="223">
        <f t="shared" si="44"/>
        <v>29</v>
      </c>
      <c r="H1455" s="222">
        <f t="shared" si="45"/>
        <v>20219787</v>
      </c>
    </row>
    <row r="1456" spans="1:8" hidden="1">
      <c r="A1456" s="87">
        <v>20178922</v>
      </c>
      <c r="B1456" s="88" t="s">
        <v>5788</v>
      </c>
      <c r="C1456" s="88" t="s">
        <v>5789</v>
      </c>
      <c r="D1456" s="88" t="s">
        <v>7042</v>
      </c>
      <c r="E1456" s="94">
        <v>43017</v>
      </c>
      <c r="F1456" s="91" t="s">
        <v>9302</v>
      </c>
      <c r="G1456" s="223" t="str">
        <f t="shared" si="44"/>
        <v>sin dato</v>
      </c>
      <c r="H1456" s="222">
        <f t="shared" si="45"/>
        <v>20178922</v>
      </c>
    </row>
    <row r="1457" spans="1:8" hidden="1">
      <c r="A1457" s="87">
        <v>25542289</v>
      </c>
      <c r="B1457" s="88" t="s">
        <v>1190</v>
      </c>
      <c r="C1457" s="88" t="s">
        <v>2209</v>
      </c>
      <c r="D1457" s="88" t="s">
        <v>7042</v>
      </c>
      <c r="E1457" s="94">
        <v>43017</v>
      </c>
      <c r="F1457" s="91" t="s">
        <v>9302</v>
      </c>
      <c r="G1457" s="223">
        <f t="shared" si="44"/>
        <v>16</v>
      </c>
      <c r="H1457" s="222">
        <f t="shared" si="45"/>
        <v>25542289</v>
      </c>
    </row>
    <row r="1458" spans="1:8" hidden="1">
      <c r="A1458" s="87">
        <v>12318780</v>
      </c>
      <c r="B1458" s="88" t="s">
        <v>2586</v>
      </c>
      <c r="C1458" s="88" t="s">
        <v>2587</v>
      </c>
      <c r="D1458" s="88" t="s">
        <v>7042</v>
      </c>
      <c r="E1458" s="94">
        <v>43017</v>
      </c>
      <c r="F1458" s="91" t="s">
        <v>9302</v>
      </c>
      <c r="G1458" s="223">
        <f t="shared" si="44"/>
        <v>14</v>
      </c>
      <c r="H1458" s="222">
        <f t="shared" si="45"/>
        <v>12318780</v>
      </c>
    </row>
    <row r="1459" spans="1:8" hidden="1">
      <c r="A1459" s="87">
        <v>17523461</v>
      </c>
      <c r="B1459" s="88" t="s">
        <v>574</v>
      </c>
      <c r="C1459" s="88" t="s">
        <v>571</v>
      </c>
      <c r="D1459" s="88" t="s">
        <v>7042</v>
      </c>
      <c r="E1459" s="94">
        <v>43017</v>
      </c>
      <c r="F1459" s="91" t="s">
        <v>6853</v>
      </c>
      <c r="G1459" s="223">
        <f t="shared" si="44"/>
        <v>2</v>
      </c>
      <c r="H1459" s="222">
        <f t="shared" si="45"/>
        <v>17523461</v>
      </c>
    </row>
    <row r="1460" spans="1:8" hidden="1">
      <c r="A1460" s="87">
        <v>29430434</v>
      </c>
      <c r="B1460" s="88" t="s">
        <v>547</v>
      </c>
      <c r="C1460" s="88" t="s">
        <v>4060</v>
      </c>
      <c r="D1460" s="88" t="s">
        <v>7042</v>
      </c>
      <c r="E1460" s="94">
        <v>43017</v>
      </c>
      <c r="F1460" s="91" t="s">
        <v>6853</v>
      </c>
      <c r="G1460" s="223">
        <f t="shared" si="44"/>
        <v>30</v>
      </c>
      <c r="H1460" s="222">
        <f t="shared" si="45"/>
        <v>29430434</v>
      </c>
    </row>
    <row r="1461" spans="1:8" hidden="1">
      <c r="A1461" s="87">
        <v>24944524</v>
      </c>
      <c r="B1461" s="88" t="s">
        <v>6495</v>
      </c>
      <c r="C1461" s="88" t="s">
        <v>6496</v>
      </c>
      <c r="D1461" s="88" t="s">
        <v>7042</v>
      </c>
      <c r="E1461" s="94">
        <v>43017</v>
      </c>
      <c r="F1461" s="91" t="s">
        <v>6853</v>
      </c>
      <c r="G1461" s="223">
        <f t="shared" si="44"/>
        <v>82</v>
      </c>
      <c r="H1461" s="222">
        <f t="shared" si="45"/>
        <v>24944524</v>
      </c>
    </row>
    <row r="1462" spans="1:8" hidden="1">
      <c r="A1462" s="87">
        <v>17239557</v>
      </c>
      <c r="B1462" s="88" t="s">
        <v>1385</v>
      </c>
      <c r="C1462" s="88" t="s">
        <v>3655</v>
      </c>
      <c r="D1462" s="88" t="s">
        <v>7043</v>
      </c>
      <c r="E1462" s="94">
        <v>43010</v>
      </c>
      <c r="F1462" s="91" t="s">
        <v>6853</v>
      </c>
      <c r="G1462" s="223">
        <f t="shared" si="44"/>
        <v>20</v>
      </c>
      <c r="H1462" s="222">
        <f t="shared" si="45"/>
        <v>17239557</v>
      </c>
    </row>
    <row r="1463" spans="1:8" hidden="1">
      <c r="A1463" s="87">
        <v>13710155</v>
      </c>
      <c r="B1463" s="88" t="s">
        <v>3182</v>
      </c>
      <c r="C1463" s="88" t="s">
        <v>3664</v>
      </c>
      <c r="D1463" s="88" t="s">
        <v>7043</v>
      </c>
      <c r="E1463" s="94">
        <v>43010</v>
      </c>
      <c r="F1463" s="91" t="s">
        <v>6853</v>
      </c>
      <c r="G1463" s="223">
        <f t="shared" si="44"/>
        <v>20</v>
      </c>
      <c r="H1463" s="222">
        <f t="shared" si="45"/>
        <v>13710155</v>
      </c>
    </row>
    <row r="1464" spans="1:8" hidden="1">
      <c r="A1464" s="87">
        <v>33163558</v>
      </c>
      <c r="B1464" s="88" t="s">
        <v>190</v>
      </c>
      <c r="C1464" s="88" t="s">
        <v>743</v>
      </c>
      <c r="D1464" s="88" t="s">
        <v>7043</v>
      </c>
      <c r="E1464" s="94">
        <v>43010</v>
      </c>
      <c r="F1464" s="91" t="s">
        <v>6853</v>
      </c>
      <c r="G1464" s="223">
        <f t="shared" si="44"/>
        <v>20</v>
      </c>
      <c r="H1464" s="222">
        <f t="shared" si="45"/>
        <v>33163558</v>
      </c>
    </row>
    <row r="1465" spans="1:8" hidden="1">
      <c r="A1465" s="92"/>
      <c r="B1465" s="88" t="s">
        <v>7044</v>
      </c>
      <c r="C1465" s="88" t="s">
        <v>5546</v>
      </c>
      <c r="D1465" s="88" t="s">
        <v>7043</v>
      </c>
      <c r="E1465" s="94">
        <v>43010</v>
      </c>
      <c r="F1465" s="91" t="s">
        <v>6853</v>
      </c>
      <c r="G1465" s="223" t="str">
        <f t="shared" si="44"/>
        <v>sin dato</v>
      </c>
      <c r="H1465" s="222" t="str">
        <f t="shared" si="45"/>
        <v>999</v>
      </c>
    </row>
    <row r="1466" spans="1:8" hidden="1">
      <c r="A1466" s="87">
        <v>14410428</v>
      </c>
      <c r="B1466" s="88" t="s">
        <v>2731</v>
      </c>
      <c r="C1466" s="88" t="s">
        <v>1061</v>
      </c>
      <c r="D1466" s="88" t="s">
        <v>7043</v>
      </c>
      <c r="E1466" s="94">
        <v>43010</v>
      </c>
      <c r="F1466" s="91" t="s">
        <v>6853</v>
      </c>
      <c r="G1466" s="223">
        <f t="shared" si="44"/>
        <v>20</v>
      </c>
      <c r="H1466" s="222">
        <f t="shared" si="45"/>
        <v>14410428</v>
      </c>
    </row>
    <row r="1467" spans="1:8" hidden="1">
      <c r="A1467" s="87">
        <v>14226682</v>
      </c>
      <c r="B1467" s="88" t="s">
        <v>685</v>
      </c>
      <c r="C1467" s="88" t="s">
        <v>3719</v>
      </c>
      <c r="D1467" s="88" t="s">
        <v>7043</v>
      </c>
      <c r="E1467" s="94">
        <v>43010</v>
      </c>
      <c r="F1467" s="91" t="s">
        <v>6853</v>
      </c>
      <c r="G1467" s="223">
        <f t="shared" si="44"/>
        <v>20</v>
      </c>
      <c r="H1467" s="222">
        <f t="shared" si="45"/>
        <v>14226682</v>
      </c>
    </row>
    <row r="1468" spans="1:8" hidden="1">
      <c r="A1468" s="87">
        <v>23238427</v>
      </c>
      <c r="B1468" s="88" t="s">
        <v>3734</v>
      </c>
      <c r="C1468" s="88" t="s">
        <v>3735</v>
      </c>
      <c r="D1468" s="88" t="s">
        <v>7043</v>
      </c>
      <c r="E1468" s="94">
        <v>43010</v>
      </c>
      <c r="F1468" s="91" t="s">
        <v>6853</v>
      </c>
      <c r="G1468" s="223">
        <f t="shared" si="44"/>
        <v>20</v>
      </c>
      <c r="H1468" s="222">
        <f t="shared" si="45"/>
        <v>23238427</v>
      </c>
    </row>
    <row r="1469" spans="1:8" hidden="1">
      <c r="A1469" s="92"/>
      <c r="B1469" s="88" t="s">
        <v>3749</v>
      </c>
      <c r="C1469" s="88" t="s">
        <v>2810</v>
      </c>
      <c r="D1469" s="88" t="s">
        <v>7043</v>
      </c>
      <c r="E1469" s="94">
        <v>43010</v>
      </c>
      <c r="F1469" s="91" t="s">
        <v>6853</v>
      </c>
      <c r="G1469" s="223" t="str">
        <f t="shared" si="44"/>
        <v>sin dato</v>
      </c>
      <c r="H1469" s="222" t="str">
        <f t="shared" si="45"/>
        <v>999</v>
      </c>
    </row>
    <row r="1470" spans="1:8" hidden="1">
      <c r="A1470" s="87">
        <v>24553106</v>
      </c>
      <c r="B1470" s="88" t="s">
        <v>3749</v>
      </c>
      <c r="C1470" s="88" t="s">
        <v>3750</v>
      </c>
      <c r="D1470" s="88" t="s">
        <v>7043</v>
      </c>
      <c r="E1470" s="94">
        <v>43010</v>
      </c>
      <c r="F1470" s="91" t="s">
        <v>9302</v>
      </c>
      <c r="G1470" s="223">
        <f t="shared" si="44"/>
        <v>20</v>
      </c>
      <c r="H1470" s="222">
        <f t="shared" si="45"/>
        <v>24553106</v>
      </c>
    </row>
    <row r="1471" spans="1:8" hidden="1">
      <c r="A1471" s="87">
        <v>16541630</v>
      </c>
      <c r="B1471" s="88" t="s">
        <v>3101</v>
      </c>
      <c r="C1471" s="88" t="s">
        <v>3765</v>
      </c>
      <c r="D1471" s="88" t="s">
        <v>7043</v>
      </c>
      <c r="E1471" s="94">
        <v>43010</v>
      </c>
      <c r="F1471" s="91" t="s">
        <v>6853</v>
      </c>
      <c r="G1471" s="223">
        <f t="shared" si="44"/>
        <v>20</v>
      </c>
      <c r="H1471" s="222">
        <f t="shared" si="45"/>
        <v>16541630</v>
      </c>
    </row>
    <row r="1472" spans="1:8" hidden="1">
      <c r="A1472" s="87">
        <v>14359662</v>
      </c>
      <c r="B1472" s="88" t="s">
        <v>3770</v>
      </c>
      <c r="C1472" s="88" t="s">
        <v>3771</v>
      </c>
      <c r="D1472" s="88" t="s">
        <v>7043</v>
      </c>
      <c r="E1472" s="94">
        <v>43010</v>
      </c>
      <c r="F1472" s="91" t="s">
        <v>6853</v>
      </c>
      <c r="G1472" s="223">
        <f t="shared" si="44"/>
        <v>20</v>
      </c>
      <c r="H1472" s="222">
        <f t="shared" si="45"/>
        <v>14359662</v>
      </c>
    </row>
    <row r="1473" spans="1:8" hidden="1">
      <c r="A1473" s="87">
        <v>22263816</v>
      </c>
      <c r="B1473" s="88" t="s">
        <v>1613</v>
      </c>
      <c r="C1473" s="88" t="s">
        <v>3852</v>
      </c>
      <c r="D1473" s="88" t="s">
        <v>7043</v>
      </c>
      <c r="E1473" s="94">
        <v>43010</v>
      </c>
      <c r="F1473" s="91" t="s">
        <v>6853</v>
      </c>
      <c r="G1473" s="223">
        <f t="shared" si="44"/>
        <v>20</v>
      </c>
      <c r="H1473" s="222">
        <f t="shared" si="45"/>
        <v>22263816</v>
      </c>
    </row>
    <row r="1474" spans="1:8" hidden="1">
      <c r="A1474" s="87">
        <v>23015488</v>
      </c>
      <c r="B1474" s="88" t="s">
        <v>3871</v>
      </c>
      <c r="C1474" s="88" t="s">
        <v>1061</v>
      </c>
      <c r="D1474" s="88" t="s">
        <v>7043</v>
      </c>
      <c r="E1474" s="94">
        <v>43010</v>
      </c>
      <c r="F1474" s="91" t="s">
        <v>6853</v>
      </c>
      <c r="G1474" s="223">
        <f t="shared" ref="G1474:G1537" si="46">IFERROR(INDEX(unidad,MATCH(VLOOKUP(A1474,alum,9,0),unidad2,0),1),"sin dato")</f>
        <v>20</v>
      </c>
      <c r="H1474" s="222">
        <f t="shared" ref="H1474:H1537" si="47">IFERROR(VLOOKUP(A1474,alum,1,0),"999")</f>
        <v>23015488</v>
      </c>
    </row>
    <row r="1475" spans="1:8" hidden="1">
      <c r="A1475" s="87">
        <v>22336802</v>
      </c>
      <c r="B1475" s="88" t="s">
        <v>1660</v>
      </c>
      <c r="C1475" s="88" t="s">
        <v>1769</v>
      </c>
      <c r="D1475" s="88" t="s">
        <v>7045</v>
      </c>
      <c r="E1475" s="94">
        <v>43000</v>
      </c>
      <c r="F1475" s="91"/>
      <c r="G1475" s="223" t="str">
        <f t="shared" si="46"/>
        <v>sin dato</v>
      </c>
      <c r="H1475" s="222" t="str">
        <f t="shared" si="47"/>
        <v>999</v>
      </c>
    </row>
    <row r="1476" spans="1:8" hidden="1">
      <c r="A1476" s="87">
        <v>21026697</v>
      </c>
      <c r="B1476" s="88" t="s">
        <v>7046</v>
      </c>
      <c r="C1476" s="88" t="s">
        <v>7047</v>
      </c>
      <c r="D1476" s="88" t="s">
        <v>7045</v>
      </c>
      <c r="E1476" s="94">
        <v>43000</v>
      </c>
      <c r="F1476" s="91"/>
      <c r="G1476" s="223">
        <f t="shared" si="46"/>
        <v>14</v>
      </c>
      <c r="H1476" s="222">
        <f t="shared" si="47"/>
        <v>21026697</v>
      </c>
    </row>
    <row r="1477" spans="1:8" hidden="1">
      <c r="A1477" s="87">
        <v>34723722</v>
      </c>
      <c r="B1477" s="88" t="s">
        <v>7048</v>
      </c>
      <c r="C1477" s="88" t="s">
        <v>7049</v>
      </c>
      <c r="D1477" s="88" t="s">
        <v>7045</v>
      </c>
      <c r="E1477" s="94">
        <v>43000</v>
      </c>
      <c r="F1477" s="91"/>
      <c r="G1477" s="223" t="str">
        <f t="shared" si="46"/>
        <v>sin dato</v>
      </c>
      <c r="H1477" s="222" t="str">
        <f t="shared" si="47"/>
        <v>999</v>
      </c>
    </row>
    <row r="1478" spans="1:8" hidden="1">
      <c r="A1478" s="87">
        <v>13279577</v>
      </c>
      <c r="B1478" s="88" t="s">
        <v>948</v>
      </c>
      <c r="C1478" s="88" t="s">
        <v>7050</v>
      </c>
      <c r="D1478" s="88" t="s">
        <v>7045</v>
      </c>
      <c r="E1478" s="94">
        <v>43000</v>
      </c>
      <c r="F1478" s="91"/>
      <c r="G1478" s="223">
        <f t="shared" si="46"/>
        <v>14</v>
      </c>
      <c r="H1478" s="222">
        <f t="shared" si="47"/>
        <v>13279577</v>
      </c>
    </row>
    <row r="1479" spans="1:8" hidden="1">
      <c r="A1479" s="87">
        <v>28877485</v>
      </c>
      <c r="B1479" s="88" t="s">
        <v>990</v>
      </c>
      <c r="C1479" s="88" t="s">
        <v>7051</v>
      </c>
      <c r="D1479" s="88" t="s">
        <v>7045</v>
      </c>
      <c r="E1479" s="94">
        <v>43000</v>
      </c>
      <c r="F1479" s="91"/>
      <c r="G1479" s="223" t="str">
        <f t="shared" si="46"/>
        <v>sin dato</v>
      </c>
      <c r="H1479" s="222" t="str">
        <f t="shared" si="47"/>
        <v>999</v>
      </c>
    </row>
    <row r="1480" spans="1:8" hidden="1">
      <c r="A1480" s="87">
        <v>13627358</v>
      </c>
      <c r="B1480" s="88" t="s">
        <v>7052</v>
      </c>
      <c r="C1480" s="88" t="s">
        <v>7053</v>
      </c>
      <c r="D1480" s="88" t="s">
        <v>7045</v>
      </c>
      <c r="E1480" s="94">
        <v>43000</v>
      </c>
      <c r="F1480" s="91"/>
      <c r="G1480" s="223" t="str">
        <f t="shared" si="46"/>
        <v>sin dato</v>
      </c>
      <c r="H1480" s="222" t="str">
        <f t="shared" si="47"/>
        <v>999</v>
      </c>
    </row>
    <row r="1481" spans="1:8" hidden="1">
      <c r="A1481" s="92"/>
      <c r="B1481" s="88" t="s">
        <v>3686</v>
      </c>
      <c r="C1481" s="88" t="s">
        <v>4956</v>
      </c>
      <c r="D1481" s="88" t="s">
        <v>7045</v>
      </c>
      <c r="E1481" s="94">
        <v>43000</v>
      </c>
      <c r="F1481" s="91"/>
      <c r="G1481" s="223" t="str">
        <f t="shared" si="46"/>
        <v>sin dato</v>
      </c>
      <c r="H1481" s="222" t="str">
        <f t="shared" si="47"/>
        <v>999</v>
      </c>
    </row>
    <row r="1482" spans="1:8" hidden="1">
      <c r="A1482" s="87">
        <v>12449905</v>
      </c>
      <c r="B1482" s="88" t="s">
        <v>7054</v>
      </c>
      <c r="C1482" s="88" t="s">
        <v>7055</v>
      </c>
      <c r="D1482" s="88" t="s">
        <v>7045</v>
      </c>
      <c r="E1482" s="94">
        <v>43000</v>
      </c>
      <c r="F1482" s="91"/>
      <c r="G1482" s="223">
        <f t="shared" si="46"/>
        <v>19</v>
      </c>
      <c r="H1482" s="222">
        <f t="shared" si="47"/>
        <v>12449905</v>
      </c>
    </row>
    <row r="1483" spans="1:8" hidden="1">
      <c r="A1483" s="87">
        <v>20591480</v>
      </c>
      <c r="B1483" s="88" t="s">
        <v>7056</v>
      </c>
      <c r="C1483" s="88" t="s">
        <v>7057</v>
      </c>
      <c r="D1483" s="88" t="s">
        <v>7045</v>
      </c>
      <c r="E1483" s="94">
        <v>43000</v>
      </c>
      <c r="F1483" s="91"/>
      <c r="G1483" s="223" t="str">
        <f t="shared" si="46"/>
        <v>sin dato</v>
      </c>
      <c r="H1483" s="222" t="str">
        <f t="shared" si="47"/>
        <v>999</v>
      </c>
    </row>
    <row r="1484" spans="1:8" hidden="1">
      <c r="A1484" s="87">
        <v>21112311</v>
      </c>
      <c r="B1484" s="88" t="s">
        <v>7058</v>
      </c>
      <c r="C1484" s="88" t="s">
        <v>639</v>
      </c>
      <c r="D1484" s="88" t="s">
        <v>7045</v>
      </c>
      <c r="E1484" s="94">
        <v>43000</v>
      </c>
      <c r="F1484" s="91"/>
      <c r="G1484" s="223" t="str">
        <f t="shared" si="46"/>
        <v>sin dato</v>
      </c>
      <c r="H1484" s="222" t="str">
        <f t="shared" si="47"/>
        <v>999</v>
      </c>
    </row>
    <row r="1485" spans="1:8" hidden="1">
      <c r="A1485" s="87">
        <v>26028852</v>
      </c>
      <c r="B1485" s="88" t="s">
        <v>2856</v>
      </c>
      <c r="C1485" s="88" t="s">
        <v>7059</v>
      </c>
      <c r="D1485" s="88" t="s">
        <v>7045</v>
      </c>
      <c r="E1485" s="94">
        <v>43000</v>
      </c>
      <c r="F1485" s="91"/>
      <c r="G1485" s="223" t="str">
        <f t="shared" si="46"/>
        <v>sin dato</v>
      </c>
      <c r="H1485" s="222" t="str">
        <f t="shared" si="47"/>
        <v>999</v>
      </c>
    </row>
    <row r="1486" spans="1:8" hidden="1">
      <c r="A1486" s="87">
        <v>30598547</v>
      </c>
      <c r="B1486" s="88" t="s">
        <v>2400</v>
      </c>
      <c r="C1486" s="88" t="s">
        <v>2401</v>
      </c>
      <c r="D1486" s="88" t="s">
        <v>7045</v>
      </c>
      <c r="E1486" s="94">
        <v>43000</v>
      </c>
      <c r="F1486" s="91"/>
      <c r="G1486" s="223">
        <f t="shared" si="46"/>
        <v>17</v>
      </c>
      <c r="H1486" s="222">
        <f t="shared" si="47"/>
        <v>30598547</v>
      </c>
    </row>
    <row r="1487" spans="1:8" hidden="1">
      <c r="A1487" s="87">
        <v>33432151</v>
      </c>
      <c r="B1487" s="88" t="s">
        <v>226</v>
      </c>
      <c r="C1487" s="88" t="s">
        <v>7060</v>
      </c>
      <c r="D1487" s="88" t="s">
        <v>7045</v>
      </c>
      <c r="E1487" s="94">
        <v>43000</v>
      </c>
      <c r="F1487" s="91"/>
      <c r="G1487" s="223">
        <f t="shared" si="46"/>
        <v>6</v>
      </c>
      <c r="H1487" s="222">
        <f t="shared" si="47"/>
        <v>33432151</v>
      </c>
    </row>
    <row r="1488" spans="1:8" hidden="1">
      <c r="A1488" s="87">
        <v>25123093</v>
      </c>
      <c r="B1488" s="88" t="s">
        <v>7061</v>
      </c>
      <c r="C1488" s="88" t="s">
        <v>7062</v>
      </c>
      <c r="D1488" s="88" t="s">
        <v>7045</v>
      </c>
      <c r="E1488" s="94">
        <v>43000</v>
      </c>
      <c r="F1488" s="91"/>
      <c r="G1488" s="223" t="str">
        <f t="shared" si="46"/>
        <v>sin dato</v>
      </c>
      <c r="H1488" s="222" t="str">
        <f t="shared" si="47"/>
        <v>999</v>
      </c>
    </row>
    <row r="1489" spans="1:8" hidden="1">
      <c r="A1489" s="87">
        <v>22031835</v>
      </c>
      <c r="B1489" s="88" t="s">
        <v>273</v>
      </c>
      <c r="C1489" s="88" t="s">
        <v>274</v>
      </c>
      <c r="D1489" s="88" t="s">
        <v>7045</v>
      </c>
      <c r="E1489" s="94">
        <v>43000</v>
      </c>
      <c r="F1489" s="91"/>
      <c r="G1489" s="223">
        <f t="shared" si="46"/>
        <v>11</v>
      </c>
      <c r="H1489" s="222">
        <f t="shared" si="47"/>
        <v>22031835</v>
      </c>
    </row>
    <row r="1490" spans="1:8" hidden="1">
      <c r="A1490" s="87">
        <v>33719482</v>
      </c>
      <c r="B1490" s="88" t="s">
        <v>5381</v>
      </c>
      <c r="C1490" s="88" t="s">
        <v>7063</v>
      </c>
      <c r="D1490" s="88" t="s">
        <v>7045</v>
      </c>
      <c r="E1490" s="94">
        <v>43000</v>
      </c>
      <c r="F1490" s="91"/>
      <c r="G1490" s="223" t="str">
        <f t="shared" si="46"/>
        <v>sin dato</v>
      </c>
      <c r="H1490" s="222" t="str">
        <f t="shared" si="47"/>
        <v>999</v>
      </c>
    </row>
    <row r="1491" spans="1:8" hidden="1">
      <c r="A1491" s="87">
        <v>33352251</v>
      </c>
      <c r="B1491" s="88" t="s">
        <v>7064</v>
      </c>
      <c r="C1491" s="88" t="s">
        <v>7065</v>
      </c>
      <c r="D1491" s="88" t="s">
        <v>7045</v>
      </c>
      <c r="E1491" s="94">
        <v>43000</v>
      </c>
      <c r="F1491" s="91"/>
      <c r="G1491" s="223" t="str">
        <f t="shared" si="46"/>
        <v>sin dato</v>
      </c>
      <c r="H1491" s="222" t="str">
        <f t="shared" si="47"/>
        <v>999</v>
      </c>
    </row>
    <row r="1492" spans="1:8" hidden="1">
      <c r="A1492" s="87">
        <v>13775146</v>
      </c>
      <c r="B1492" s="88" t="s">
        <v>1371</v>
      </c>
      <c r="C1492" s="88" t="s">
        <v>7066</v>
      </c>
      <c r="D1492" s="88" t="s">
        <v>7045</v>
      </c>
      <c r="E1492" s="94">
        <v>43000</v>
      </c>
      <c r="F1492" s="91"/>
      <c r="G1492" s="223">
        <f t="shared" si="46"/>
        <v>14</v>
      </c>
      <c r="H1492" s="222">
        <f t="shared" si="47"/>
        <v>13775146</v>
      </c>
    </row>
    <row r="1493" spans="1:8" hidden="1">
      <c r="A1493" s="87">
        <v>24340364</v>
      </c>
      <c r="B1493" s="88" t="s">
        <v>7067</v>
      </c>
      <c r="C1493" s="88" t="s">
        <v>328</v>
      </c>
      <c r="D1493" s="88" t="s">
        <v>7045</v>
      </c>
      <c r="E1493" s="94">
        <v>43000</v>
      </c>
      <c r="F1493" s="91"/>
      <c r="G1493" s="223" t="str">
        <f t="shared" si="46"/>
        <v>sin dato</v>
      </c>
      <c r="H1493" s="222" t="str">
        <f t="shared" si="47"/>
        <v>999</v>
      </c>
    </row>
    <row r="1494" spans="1:8" hidden="1">
      <c r="A1494" s="92"/>
      <c r="B1494" s="88" t="s">
        <v>7068</v>
      </c>
      <c r="C1494" s="88" t="s">
        <v>4756</v>
      </c>
      <c r="D1494" s="88" t="s">
        <v>7045</v>
      </c>
      <c r="E1494" s="94">
        <v>43000</v>
      </c>
      <c r="F1494" s="91"/>
      <c r="G1494" s="223" t="str">
        <f t="shared" si="46"/>
        <v>sin dato</v>
      </c>
      <c r="H1494" s="222" t="str">
        <f t="shared" si="47"/>
        <v>999</v>
      </c>
    </row>
    <row r="1495" spans="1:8" hidden="1">
      <c r="A1495" s="87">
        <v>17859279</v>
      </c>
      <c r="B1495" s="88" t="s">
        <v>327</v>
      </c>
      <c r="C1495" s="88" t="s">
        <v>6526</v>
      </c>
      <c r="D1495" s="88" t="s">
        <v>7045</v>
      </c>
      <c r="E1495" s="94">
        <v>43000</v>
      </c>
      <c r="F1495" s="91"/>
      <c r="G1495" s="223" t="str">
        <f t="shared" si="46"/>
        <v>sin dato</v>
      </c>
      <c r="H1495" s="222">
        <f t="shared" si="47"/>
        <v>17859279</v>
      </c>
    </row>
    <row r="1496" spans="1:8" hidden="1">
      <c r="A1496" s="87">
        <v>17376929</v>
      </c>
      <c r="B1496" s="88" t="s">
        <v>342</v>
      </c>
      <c r="C1496" s="88" t="s">
        <v>6300</v>
      </c>
      <c r="D1496" s="88" t="s">
        <v>7045</v>
      </c>
      <c r="E1496" s="94">
        <v>43000</v>
      </c>
      <c r="F1496" s="91"/>
      <c r="G1496" s="223">
        <f t="shared" si="46"/>
        <v>999</v>
      </c>
      <c r="H1496" s="222">
        <f t="shared" si="47"/>
        <v>17376929</v>
      </c>
    </row>
    <row r="1497" spans="1:8" hidden="1">
      <c r="A1497" s="87">
        <v>37500109</v>
      </c>
      <c r="B1497" s="88" t="s">
        <v>1565</v>
      </c>
      <c r="C1497" s="88" t="s">
        <v>139</v>
      </c>
      <c r="D1497" s="88" t="s">
        <v>7045</v>
      </c>
      <c r="E1497" s="94">
        <v>43000</v>
      </c>
      <c r="F1497" s="91"/>
      <c r="G1497" s="223" t="str">
        <f t="shared" si="46"/>
        <v>sin dato</v>
      </c>
      <c r="H1497" s="222" t="str">
        <f t="shared" si="47"/>
        <v>999</v>
      </c>
    </row>
    <row r="1498" spans="1:8" hidden="1">
      <c r="A1498" s="87">
        <v>28564148</v>
      </c>
      <c r="B1498" s="88" t="s">
        <v>2154</v>
      </c>
      <c r="C1498" s="88" t="s">
        <v>2408</v>
      </c>
      <c r="D1498" s="88" t="s">
        <v>7045</v>
      </c>
      <c r="E1498" s="94">
        <v>43000</v>
      </c>
      <c r="F1498" s="91"/>
      <c r="G1498" s="223">
        <f t="shared" si="46"/>
        <v>17</v>
      </c>
      <c r="H1498" s="222">
        <f t="shared" si="47"/>
        <v>28564148</v>
      </c>
    </row>
    <row r="1499" spans="1:8" hidden="1">
      <c r="A1499" s="92"/>
      <c r="B1499" s="88" t="s">
        <v>7069</v>
      </c>
      <c r="C1499" s="88" t="s">
        <v>6030</v>
      </c>
      <c r="D1499" s="88" t="s">
        <v>7045</v>
      </c>
      <c r="E1499" s="94">
        <v>43000</v>
      </c>
      <c r="F1499" s="91"/>
      <c r="G1499" s="223" t="str">
        <f t="shared" si="46"/>
        <v>sin dato</v>
      </c>
      <c r="H1499" s="222" t="str">
        <f t="shared" si="47"/>
        <v>999</v>
      </c>
    </row>
    <row r="1500" spans="1:8" hidden="1">
      <c r="A1500" s="87">
        <v>33966133</v>
      </c>
      <c r="B1500" s="88" t="s">
        <v>7070</v>
      </c>
      <c r="C1500" s="88" t="s">
        <v>1453</v>
      </c>
      <c r="D1500" s="88" t="s">
        <v>7045</v>
      </c>
      <c r="E1500" s="94">
        <v>43000</v>
      </c>
      <c r="F1500" s="91"/>
      <c r="G1500" s="223" t="str">
        <f t="shared" si="46"/>
        <v>sin dato</v>
      </c>
      <c r="H1500" s="222" t="str">
        <f t="shared" si="47"/>
        <v>999</v>
      </c>
    </row>
    <row r="1501" spans="1:8" hidden="1">
      <c r="A1501" s="87">
        <v>17560343</v>
      </c>
      <c r="B1501" s="88" t="s">
        <v>7071</v>
      </c>
      <c r="C1501" s="88" t="s">
        <v>465</v>
      </c>
      <c r="D1501" s="88" t="s">
        <v>7045</v>
      </c>
      <c r="E1501" s="94">
        <v>43000</v>
      </c>
      <c r="F1501" s="91"/>
      <c r="G1501" s="223" t="str">
        <f t="shared" si="46"/>
        <v>sin dato</v>
      </c>
      <c r="H1501" s="222" t="str">
        <f t="shared" si="47"/>
        <v>999</v>
      </c>
    </row>
    <row r="1502" spans="1:8" hidden="1">
      <c r="A1502" s="87">
        <v>32227159</v>
      </c>
      <c r="B1502" s="88" t="s">
        <v>413</v>
      </c>
      <c r="C1502" s="88" t="s">
        <v>414</v>
      </c>
      <c r="D1502" s="88" t="s">
        <v>7045</v>
      </c>
      <c r="E1502" s="94">
        <v>43000</v>
      </c>
      <c r="F1502" s="91"/>
      <c r="G1502" s="223" t="str">
        <f t="shared" si="46"/>
        <v>sin dato</v>
      </c>
      <c r="H1502" s="222" t="str">
        <f t="shared" si="47"/>
        <v>999</v>
      </c>
    </row>
    <row r="1503" spans="1:8" hidden="1">
      <c r="A1503" s="87">
        <v>21328390</v>
      </c>
      <c r="B1503" s="88" t="s">
        <v>7072</v>
      </c>
      <c r="C1503" s="88" t="s">
        <v>7073</v>
      </c>
      <c r="D1503" s="88" t="s">
        <v>7045</v>
      </c>
      <c r="E1503" s="94">
        <v>43000</v>
      </c>
      <c r="F1503" s="91"/>
      <c r="G1503" s="223">
        <f t="shared" si="46"/>
        <v>14</v>
      </c>
      <c r="H1503" s="222">
        <f t="shared" si="47"/>
        <v>21328390</v>
      </c>
    </row>
    <row r="1504" spans="1:8" hidden="1">
      <c r="A1504" s="87">
        <v>36127056</v>
      </c>
      <c r="B1504" s="88" t="s">
        <v>2228</v>
      </c>
      <c r="C1504" s="88" t="s">
        <v>7074</v>
      </c>
      <c r="D1504" s="88" t="s">
        <v>7045</v>
      </c>
      <c r="E1504" s="94">
        <v>43000</v>
      </c>
      <c r="F1504" s="91"/>
      <c r="G1504" s="223" t="str">
        <f t="shared" si="46"/>
        <v>sin dato</v>
      </c>
      <c r="H1504" s="222" t="str">
        <f t="shared" si="47"/>
        <v>999</v>
      </c>
    </row>
    <row r="1505" spans="1:8" hidden="1">
      <c r="A1505" s="87">
        <v>11116525</v>
      </c>
      <c r="B1505" s="88" t="s">
        <v>7075</v>
      </c>
      <c r="C1505" s="88" t="s">
        <v>1310</v>
      </c>
      <c r="D1505" s="88" t="s">
        <v>7045</v>
      </c>
      <c r="E1505" s="94">
        <v>43000</v>
      </c>
      <c r="F1505" s="91"/>
      <c r="G1505" s="223" t="str">
        <f t="shared" si="46"/>
        <v>sin dato</v>
      </c>
      <c r="H1505" s="222" t="str">
        <f t="shared" si="47"/>
        <v>999</v>
      </c>
    </row>
    <row r="1506" spans="1:8" hidden="1">
      <c r="A1506" s="87">
        <v>17269119</v>
      </c>
      <c r="B1506" s="88" t="s">
        <v>1610</v>
      </c>
      <c r="C1506" s="88" t="s">
        <v>3850</v>
      </c>
      <c r="D1506" s="88" t="s">
        <v>7045</v>
      </c>
      <c r="E1506" s="94">
        <v>43000</v>
      </c>
      <c r="F1506" s="91"/>
      <c r="G1506" s="223">
        <f t="shared" si="46"/>
        <v>20</v>
      </c>
      <c r="H1506" s="222">
        <f t="shared" si="47"/>
        <v>17269119</v>
      </c>
    </row>
    <row r="1507" spans="1:8" hidden="1">
      <c r="A1507" s="87">
        <v>22455086</v>
      </c>
      <c r="B1507" s="88" t="s">
        <v>5166</v>
      </c>
      <c r="C1507" s="88" t="s">
        <v>2447</v>
      </c>
      <c r="D1507" s="88" t="s">
        <v>7045</v>
      </c>
      <c r="E1507" s="94">
        <v>43000</v>
      </c>
      <c r="F1507" s="91"/>
      <c r="G1507" s="223">
        <f t="shared" si="46"/>
        <v>999</v>
      </c>
      <c r="H1507" s="222">
        <f t="shared" si="47"/>
        <v>22455086</v>
      </c>
    </row>
    <row r="1508" spans="1:8" hidden="1">
      <c r="A1508" s="87">
        <v>29997386</v>
      </c>
      <c r="B1508" s="88" t="s">
        <v>3400</v>
      </c>
      <c r="C1508" s="88" t="s">
        <v>3401</v>
      </c>
      <c r="D1508" s="88" t="s">
        <v>7045</v>
      </c>
      <c r="E1508" s="94">
        <v>43000</v>
      </c>
      <c r="F1508" s="91"/>
      <c r="G1508" s="223">
        <f t="shared" si="46"/>
        <v>24</v>
      </c>
      <c r="H1508" s="222">
        <f t="shared" si="47"/>
        <v>29997386</v>
      </c>
    </row>
    <row r="1509" spans="1:8" hidden="1">
      <c r="A1509" s="92"/>
      <c r="B1509" s="88" t="s">
        <v>476</v>
      </c>
      <c r="C1509" s="88" t="s">
        <v>178</v>
      </c>
      <c r="D1509" s="88" t="s">
        <v>7045</v>
      </c>
      <c r="E1509" s="94">
        <v>43000</v>
      </c>
      <c r="F1509" s="91"/>
      <c r="G1509" s="223" t="str">
        <f t="shared" si="46"/>
        <v>sin dato</v>
      </c>
      <c r="H1509" s="222" t="str">
        <f t="shared" si="47"/>
        <v>999</v>
      </c>
    </row>
    <row r="1510" spans="1:8" hidden="1">
      <c r="A1510" s="87">
        <v>29997715</v>
      </c>
      <c r="B1510" s="88" t="s">
        <v>2270</v>
      </c>
      <c r="C1510" s="88" t="s">
        <v>363</v>
      </c>
      <c r="D1510" s="88" t="s">
        <v>7045</v>
      </c>
      <c r="E1510" s="94">
        <v>43000</v>
      </c>
      <c r="F1510" s="91"/>
      <c r="G1510" s="223">
        <f t="shared" si="46"/>
        <v>16</v>
      </c>
      <c r="H1510" s="222">
        <f t="shared" si="47"/>
        <v>29997715</v>
      </c>
    </row>
    <row r="1511" spans="1:8" hidden="1">
      <c r="A1511" s="87">
        <v>20803370</v>
      </c>
      <c r="B1511" s="88" t="s">
        <v>1631</v>
      </c>
      <c r="C1511" s="88" t="s">
        <v>7076</v>
      </c>
      <c r="D1511" s="88" t="s">
        <v>7045</v>
      </c>
      <c r="E1511" s="94">
        <v>43000</v>
      </c>
      <c r="F1511" s="91"/>
      <c r="G1511" s="223">
        <f t="shared" si="46"/>
        <v>17</v>
      </c>
      <c r="H1511" s="222">
        <f t="shared" si="47"/>
        <v>20803370</v>
      </c>
    </row>
    <row r="1512" spans="1:8" hidden="1">
      <c r="A1512" s="87">
        <v>17494339</v>
      </c>
      <c r="B1512" s="88" t="s">
        <v>547</v>
      </c>
      <c r="C1512" s="88" t="s">
        <v>566</v>
      </c>
      <c r="D1512" s="88" t="s">
        <v>7045</v>
      </c>
      <c r="E1512" s="94">
        <v>43000</v>
      </c>
      <c r="F1512" s="91"/>
      <c r="G1512" s="223">
        <f t="shared" si="46"/>
        <v>11</v>
      </c>
      <c r="H1512" s="222">
        <f t="shared" si="47"/>
        <v>17494339</v>
      </c>
    </row>
    <row r="1513" spans="1:8" hidden="1">
      <c r="A1513" s="87">
        <v>13475074</v>
      </c>
      <c r="B1513" s="88" t="s">
        <v>7077</v>
      </c>
      <c r="C1513" s="88" t="s">
        <v>7078</v>
      </c>
      <c r="D1513" s="88" t="s">
        <v>7045</v>
      </c>
      <c r="E1513" s="94">
        <v>43000</v>
      </c>
      <c r="F1513" s="91"/>
      <c r="G1513" s="223" t="str">
        <f t="shared" si="46"/>
        <v>sin dato</v>
      </c>
      <c r="H1513" s="222" t="str">
        <f t="shared" si="47"/>
        <v>999</v>
      </c>
    </row>
    <row r="1514" spans="1:8" hidden="1">
      <c r="A1514" s="87">
        <v>27594362</v>
      </c>
      <c r="B1514" s="88" t="s">
        <v>7079</v>
      </c>
      <c r="C1514" s="88" t="s">
        <v>7080</v>
      </c>
      <c r="D1514" s="88" t="s">
        <v>7045</v>
      </c>
      <c r="E1514" s="94">
        <v>43000</v>
      </c>
      <c r="F1514" s="91"/>
      <c r="G1514" s="223" t="str">
        <f t="shared" si="46"/>
        <v>sin dato</v>
      </c>
      <c r="H1514" s="222" t="str">
        <f t="shared" si="47"/>
        <v>999</v>
      </c>
    </row>
    <row r="1515" spans="1:8" hidden="1">
      <c r="A1515" s="92"/>
      <c r="B1515" s="88" t="s">
        <v>7081</v>
      </c>
      <c r="C1515" s="88" t="s">
        <v>579</v>
      </c>
      <c r="D1515" s="88" t="s">
        <v>7045</v>
      </c>
      <c r="E1515" s="94">
        <v>43000</v>
      </c>
      <c r="F1515" s="91"/>
      <c r="G1515" s="223" t="str">
        <f t="shared" si="46"/>
        <v>sin dato</v>
      </c>
      <c r="H1515" s="222" t="str">
        <f t="shared" si="47"/>
        <v>999</v>
      </c>
    </row>
    <row r="1516" spans="1:8" hidden="1">
      <c r="A1516" s="87">
        <v>22264981</v>
      </c>
      <c r="B1516" s="88" t="s">
        <v>5885</v>
      </c>
      <c r="C1516" s="88" t="s">
        <v>5886</v>
      </c>
      <c r="D1516" s="88" t="s">
        <v>7082</v>
      </c>
      <c r="E1516" s="94">
        <v>42992</v>
      </c>
      <c r="F1516" s="98" t="s">
        <v>6853</v>
      </c>
      <c r="G1516" s="223">
        <f t="shared" si="46"/>
        <v>10</v>
      </c>
      <c r="H1516" s="222">
        <f t="shared" si="47"/>
        <v>22264981</v>
      </c>
    </row>
    <row r="1517" spans="1:8" hidden="1">
      <c r="A1517" s="87">
        <v>27843241</v>
      </c>
      <c r="B1517" s="88" t="s">
        <v>26</v>
      </c>
      <c r="C1517" s="88" t="s">
        <v>36</v>
      </c>
      <c r="D1517" s="88" t="s">
        <v>7082</v>
      </c>
      <c r="E1517" s="94">
        <v>42992</v>
      </c>
      <c r="F1517" s="91" t="s">
        <v>9302</v>
      </c>
      <c r="G1517" s="223">
        <f t="shared" si="46"/>
        <v>11</v>
      </c>
      <c r="H1517" s="222">
        <f t="shared" si="47"/>
        <v>27843241</v>
      </c>
    </row>
    <row r="1518" spans="1:8" hidden="1">
      <c r="A1518" s="87">
        <v>20857513</v>
      </c>
      <c r="B1518" s="88" t="s">
        <v>1469</v>
      </c>
      <c r="C1518" s="88" t="s">
        <v>1470</v>
      </c>
      <c r="D1518" s="88" t="s">
        <v>7082</v>
      </c>
      <c r="E1518" s="94">
        <v>42992</v>
      </c>
      <c r="F1518" s="91" t="s">
        <v>9302</v>
      </c>
      <c r="G1518" s="223">
        <f t="shared" si="46"/>
        <v>43</v>
      </c>
      <c r="H1518" s="222">
        <f t="shared" si="47"/>
        <v>20857513</v>
      </c>
    </row>
    <row r="1519" spans="1:8" hidden="1">
      <c r="A1519" s="87">
        <v>25444256</v>
      </c>
      <c r="B1519" s="88" t="s">
        <v>5764</v>
      </c>
      <c r="C1519" s="88" t="s">
        <v>5765</v>
      </c>
      <c r="D1519" s="88" t="s">
        <v>7082</v>
      </c>
      <c r="E1519" s="94">
        <v>42992</v>
      </c>
      <c r="F1519" s="98" t="s">
        <v>6853</v>
      </c>
      <c r="G1519" s="223" t="str">
        <f t="shared" si="46"/>
        <v>sin dato</v>
      </c>
      <c r="H1519" s="222">
        <f t="shared" si="47"/>
        <v>25444256</v>
      </c>
    </row>
    <row r="1520" spans="1:8" hidden="1">
      <c r="A1520" s="87">
        <v>14480554</v>
      </c>
      <c r="B1520" s="88" t="s">
        <v>1671</v>
      </c>
      <c r="C1520" s="88" t="s">
        <v>1672</v>
      </c>
      <c r="D1520" s="88" t="s">
        <v>7082</v>
      </c>
      <c r="E1520" s="94">
        <v>42992</v>
      </c>
      <c r="F1520" s="98" t="s">
        <v>6853</v>
      </c>
      <c r="G1520" s="223">
        <f t="shared" si="46"/>
        <v>15</v>
      </c>
      <c r="H1520" s="222">
        <f t="shared" si="47"/>
        <v>14480554</v>
      </c>
    </row>
    <row r="1521" spans="1:8" hidden="1">
      <c r="A1521" s="87">
        <v>24553486</v>
      </c>
      <c r="B1521" s="88" t="s">
        <v>94</v>
      </c>
      <c r="C1521" s="88" t="s">
        <v>2260</v>
      </c>
      <c r="D1521" s="88" t="s">
        <v>7082</v>
      </c>
      <c r="E1521" s="94">
        <v>42992</v>
      </c>
      <c r="F1521" s="91" t="s">
        <v>9302</v>
      </c>
      <c r="G1521" s="223">
        <f t="shared" si="46"/>
        <v>5</v>
      </c>
      <c r="H1521" s="222">
        <f t="shared" si="47"/>
        <v>24553486</v>
      </c>
    </row>
    <row r="1522" spans="1:8" hidden="1">
      <c r="A1522" s="87">
        <v>28326318</v>
      </c>
      <c r="B1522" s="88" t="s">
        <v>5830</v>
      </c>
      <c r="C1522" s="88" t="s">
        <v>365</v>
      </c>
      <c r="D1522" s="88" t="s">
        <v>7082</v>
      </c>
      <c r="E1522" s="94">
        <v>42992</v>
      </c>
      <c r="F1522" s="98" t="s">
        <v>6853</v>
      </c>
      <c r="G1522" s="223">
        <f t="shared" si="46"/>
        <v>5</v>
      </c>
      <c r="H1522" s="222">
        <f t="shared" si="47"/>
        <v>28326318</v>
      </c>
    </row>
    <row r="1523" spans="1:8" hidden="1">
      <c r="A1523" s="87">
        <v>29997979</v>
      </c>
      <c r="B1523" s="88" t="s">
        <v>7083</v>
      </c>
      <c r="C1523" s="88" t="s">
        <v>527</v>
      </c>
      <c r="D1523" s="88" t="s">
        <v>7082</v>
      </c>
      <c r="E1523" s="94">
        <v>42992</v>
      </c>
      <c r="F1523" s="98" t="s">
        <v>6853</v>
      </c>
      <c r="G1523" s="223">
        <f t="shared" si="46"/>
        <v>22</v>
      </c>
      <c r="H1523" s="222">
        <f t="shared" si="47"/>
        <v>29997979</v>
      </c>
    </row>
    <row r="1524" spans="1:8" hidden="1">
      <c r="A1524" s="87">
        <v>27016649</v>
      </c>
      <c r="B1524" s="88" t="s">
        <v>3172</v>
      </c>
      <c r="C1524" s="88" t="s">
        <v>3173</v>
      </c>
      <c r="D1524" s="88" t="s">
        <v>7082</v>
      </c>
      <c r="E1524" s="94">
        <v>42992</v>
      </c>
      <c r="F1524" s="91" t="s">
        <v>9302</v>
      </c>
      <c r="G1524" s="223">
        <f t="shared" si="46"/>
        <v>27</v>
      </c>
      <c r="H1524" s="222">
        <f t="shared" si="47"/>
        <v>27016649</v>
      </c>
    </row>
    <row r="1525" spans="1:8" hidden="1">
      <c r="A1525" s="87">
        <v>36585692</v>
      </c>
      <c r="B1525" s="88" t="s">
        <v>608</v>
      </c>
      <c r="C1525" s="88" t="s">
        <v>2931</v>
      </c>
      <c r="D1525" s="88" t="s">
        <v>7082</v>
      </c>
      <c r="E1525" s="94">
        <v>42992</v>
      </c>
      <c r="F1525" s="98" t="s">
        <v>6853</v>
      </c>
      <c r="G1525" s="223" t="str">
        <f t="shared" si="46"/>
        <v>sin dato</v>
      </c>
      <c r="H1525" s="222" t="str">
        <f t="shared" si="47"/>
        <v>999</v>
      </c>
    </row>
    <row r="1526" spans="1:8" hidden="1">
      <c r="A1526" s="87">
        <v>14352896</v>
      </c>
      <c r="B1526" s="88" t="s">
        <v>3428</v>
      </c>
      <c r="C1526" s="88" t="s">
        <v>3429</v>
      </c>
      <c r="D1526" s="88" t="s">
        <v>7082</v>
      </c>
      <c r="E1526" s="94">
        <v>42992</v>
      </c>
      <c r="F1526" s="91" t="s">
        <v>9302</v>
      </c>
      <c r="G1526" s="223">
        <f t="shared" si="46"/>
        <v>25</v>
      </c>
      <c r="H1526" s="222">
        <f t="shared" si="47"/>
        <v>14352896</v>
      </c>
    </row>
    <row r="1527" spans="1:8" hidden="1">
      <c r="A1527" s="87">
        <v>22451756</v>
      </c>
      <c r="B1527" s="88" t="s">
        <v>7039</v>
      </c>
      <c r="C1527" s="88" t="s">
        <v>5325</v>
      </c>
      <c r="D1527" s="88" t="s">
        <v>7082</v>
      </c>
      <c r="E1527" s="94">
        <v>42992</v>
      </c>
      <c r="F1527" s="98" t="s">
        <v>6853</v>
      </c>
      <c r="G1527" s="223">
        <f t="shared" si="46"/>
        <v>55</v>
      </c>
      <c r="H1527" s="222">
        <f t="shared" si="47"/>
        <v>22451756</v>
      </c>
    </row>
    <row r="1528" spans="1:8" hidden="1">
      <c r="A1528" s="87">
        <v>29533058</v>
      </c>
      <c r="B1528" s="88" t="s">
        <v>146</v>
      </c>
      <c r="C1528" s="88" t="s">
        <v>147</v>
      </c>
      <c r="D1528" s="88" t="s">
        <v>7082</v>
      </c>
      <c r="E1528" s="94">
        <v>42992</v>
      </c>
      <c r="F1528" s="98" t="s">
        <v>6853</v>
      </c>
      <c r="G1528" s="223">
        <f t="shared" si="46"/>
        <v>12</v>
      </c>
      <c r="H1528" s="222">
        <f t="shared" si="47"/>
        <v>29533058</v>
      </c>
    </row>
    <row r="1529" spans="1:8" hidden="1">
      <c r="A1529" s="87">
        <v>27962453</v>
      </c>
      <c r="B1529" s="88" t="s">
        <v>3335</v>
      </c>
      <c r="C1529" s="88" t="s">
        <v>3336</v>
      </c>
      <c r="D1529" s="88" t="s">
        <v>7082</v>
      </c>
      <c r="E1529" s="94">
        <v>42992</v>
      </c>
      <c r="F1529" s="91" t="s">
        <v>9302</v>
      </c>
      <c r="G1529" s="223">
        <f t="shared" si="46"/>
        <v>24</v>
      </c>
      <c r="H1529" s="222">
        <f t="shared" si="47"/>
        <v>27962453</v>
      </c>
    </row>
    <row r="1530" spans="1:8" hidden="1">
      <c r="A1530" s="87">
        <v>20977097</v>
      </c>
      <c r="B1530" s="88" t="s">
        <v>167</v>
      </c>
      <c r="C1530" s="88" t="s">
        <v>168</v>
      </c>
      <c r="D1530" s="88" t="s">
        <v>7082</v>
      </c>
      <c r="E1530" s="94">
        <v>42992</v>
      </c>
      <c r="F1530" s="91" t="s">
        <v>9302</v>
      </c>
      <c r="G1530" s="223">
        <f t="shared" si="46"/>
        <v>11</v>
      </c>
      <c r="H1530" s="222">
        <f t="shared" si="47"/>
        <v>20977097</v>
      </c>
    </row>
    <row r="1531" spans="1:8" hidden="1">
      <c r="A1531" s="87">
        <v>17866738</v>
      </c>
      <c r="B1531" s="88" t="s">
        <v>4994</v>
      </c>
      <c r="C1531" s="88" t="s">
        <v>2260</v>
      </c>
      <c r="D1531" s="88" t="s">
        <v>7082</v>
      </c>
      <c r="E1531" s="94">
        <v>42992</v>
      </c>
      <c r="F1531" s="98" t="s">
        <v>6853</v>
      </c>
      <c r="G1531" s="223" t="str">
        <f t="shared" si="46"/>
        <v>sin dato</v>
      </c>
      <c r="H1531" s="222">
        <f t="shared" si="47"/>
        <v>17866738</v>
      </c>
    </row>
    <row r="1532" spans="1:8" hidden="1">
      <c r="A1532" s="87">
        <v>27961528</v>
      </c>
      <c r="B1532" s="88" t="s">
        <v>2696</v>
      </c>
      <c r="C1532" s="88" t="s">
        <v>527</v>
      </c>
      <c r="D1532" s="88" t="s">
        <v>7082</v>
      </c>
      <c r="E1532" s="94">
        <v>42992</v>
      </c>
      <c r="F1532" s="98" t="s">
        <v>6853</v>
      </c>
      <c r="G1532" s="223">
        <f t="shared" si="46"/>
        <v>50</v>
      </c>
      <c r="H1532" s="222">
        <f t="shared" si="47"/>
        <v>27961528</v>
      </c>
    </row>
    <row r="1533" spans="1:8" hidden="1">
      <c r="A1533" s="87">
        <v>34910721</v>
      </c>
      <c r="B1533" s="88" t="s">
        <v>1715</v>
      </c>
      <c r="C1533" s="88" t="s">
        <v>906</v>
      </c>
      <c r="D1533" s="88" t="s">
        <v>7082</v>
      </c>
      <c r="E1533" s="94">
        <v>42992</v>
      </c>
      <c r="F1533" s="98" t="s">
        <v>6853</v>
      </c>
      <c r="G1533" s="223">
        <f t="shared" si="46"/>
        <v>15</v>
      </c>
      <c r="H1533" s="222">
        <f t="shared" si="47"/>
        <v>34910721</v>
      </c>
    </row>
    <row r="1534" spans="1:8" hidden="1">
      <c r="A1534" s="87">
        <v>34356805</v>
      </c>
      <c r="B1534" s="88" t="s">
        <v>650</v>
      </c>
      <c r="C1534" s="88" t="s">
        <v>6991</v>
      </c>
      <c r="D1534" s="88" t="s">
        <v>7082</v>
      </c>
      <c r="E1534" s="94">
        <v>42992</v>
      </c>
      <c r="F1534" s="98" t="s">
        <v>6853</v>
      </c>
      <c r="G1534" s="223">
        <f t="shared" si="46"/>
        <v>30</v>
      </c>
      <c r="H1534" s="222">
        <f t="shared" si="47"/>
        <v>34356805</v>
      </c>
    </row>
    <row r="1535" spans="1:8" hidden="1">
      <c r="A1535" s="87">
        <v>14966482</v>
      </c>
      <c r="B1535" s="88" t="s">
        <v>2785</v>
      </c>
      <c r="C1535" s="88" t="s">
        <v>2786</v>
      </c>
      <c r="D1535" s="88" t="s">
        <v>7082</v>
      </c>
      <c r="E1535" s="94">
        <v>42992</v>
      </c>
      <c r="F1535" s="91" t="s">
        <v>9302</v>
      </c>
      <c r="G1535" s="223" t="str">
        <f t="shared" si="46"/>
        <v>sin dato</v>
      </c>
      <c r="H1535" s="222">
        <f t="shared" si="47"/>
        <v>14966482</v>
      </c>
    </row>
    <row r="1536" spans="1:8" hidden="1">
      <c r="A1536" s="87">
        <v>17859997</v>
      </c>
      <c r="B1536" s="88" t="s">
        <v>3220</v>
      </c>
      <c r="C1536" s="88" t="s">
        <v>3221</v>
      </c>
      <c r="D1536" s="88" t="s">
        <v>7082</v>
      </c>
      <c r="E1536" s="94">
        <v>42992</v>
      </c>
      <c r="F1536" s="91" t="s">
        <v>9302</v>
      </c>
      <c r="G1536" s="223">
        <f t="shared" si="46"/>
        <v>27</v>
      </c>
      <c r="H1536" s="222">
        <f t="shared" si="47"/>
        <v>17859997</v>
      </c>
    </row>
    <row r="1537" spans="1:8" hidden="1">
      <c r="A1537" s="87">
        <v>12413084</v>
      </c>
      <c r="B1537" s="88" t="s">
        <v>5346</v>
      </c>
      <c r="C1537" s="88" t="s">
        <v>5347</v>
      </c>
      <c r="D1537" s="88" t="s">
        <v>7082</v>
      </c>
      <c r="E1537" s="94">
        <v>42992</v>
      </c>
      <c r="F1537" s="98" t="s">
        <v>6853</v>
      </c>
      <c r="G1537" s="223">
        <f t="shared" si="46"/>
        <v>7</v>
      </c>
      <c r="H1537" s="222">
        <f t="shared" si="47"/>
        <v>12413084</v>
      </c>
    </row>
    <row r="1538" spans="1:8" hidden="1">
      <c r="A1538" s="87">
        <v>33430036</v>
      </c>
      <c r="B1538" s="88" t="s">
        <v>2908</v>
      </c>
      <c r="C1538" s="88" t="s">
        <v>2909</v>
      </c>
      <c r="D1538" s="88" t="s">
        <v>7082</v>
      </c>
      <c r="E1538" s="94">
        <v>42992</v>
      </c>
      <c r="F1538" s="91" t="s">
        <v>9302</v>
      </c>
      <c r="G1538" s="223" t="str">
        <f t="shared" ref="G1538:G1601" si="48">IFERROR(INDEX(unidad,MATCH(VLOOKUP(A1538,alum,9,0),unidad2,0),1),"sin dato")</f>
        <v>sin dato</v>
      </c>
      <c r="H1538" s="222">
        <f t="shared" ref="H1538:H1601" si="49">IFERROR(VLOOKUP(A1538,alum,1,0),"999")</f>
        <v>33430036</v>
      </c>
    </row>
    <row r="1539" spans="1:8" hidden="1">
      <c r="A1539" s="87">
        <v>35921443</v>
      </c>
      <c r="B1539" s="88" t="s">
        <v>680</v>
      </c>
      <c r="C1539" s="88" t="s">
        <v>2706</v>
      </c>
      <c r="D1539" s="88" t="s">
        <v>7082</v>
      </c>
      <c r="E1539" s="94">
        <v>42992</v>
      </c>
      <c r="F1539" s="98" t="s">
        <v>6853</v>
      </c>
      <c r="G1539" s="223" t="str">
        <f t="shared" si="48"/>
        <v>sin dato</v>
      </c>
      <c r="H1539" s="222" t="str">
        <f t="shared" si="49"/>
        <v>999</v>
      </c>
    </row>
    <row r="1540" spans="1:8" hidden="1">
      <c r="A1540" s="87">
        <v>30497720</v>
      </c>
      <c r="B1540" s="88" t="s">
        <v>2990</v>
      </c>
      <c r="C1540" s="88" t="s">
        <v>7084</v>
      </c>
      <c r="D1540" s="88" t="s">
        <v>7082</v>
      </c>
      <c r="E1540" s="94">
        <v>42992</v>
      </c>
      <c r="F1540" s="98" t="s">
        <v>6853</v>
      </c>
      <c r="G1540" s="223">
        <f t="shared" si="48"/>
        <v>19</v>
      </c>
      <c r="H1540" s="222">
        <f t="shared" si="49"/>
        <v>30497720</v>
      </c>
    </row>
    <row r="1541" spans="1:8" hidden="1">
      <c r="A1541" s="87">
        <v>30759476</v>
      </c>
      <c r="B1541" s="88" t="s">
        <v>1487</v>
      </c>
      <c r="C1541" s="88" t="s">
        <v>1488</v>
      </c>
      <c r="D1541" s="88" t="s">
        <v>7082</v>
      </c>
      <c r="E1541" s="94">
        <v>42992</v>
      </c>
      <c r="F1541" s="91" t="s">
        <v>9302</v>
      </c>
      <c r="G1541" s="223">
        <f t="shared" si="48"/>
        <v>45</v>
      </c>
      <c r="H1541" s="222">
        <f t="shared" si="49"/>
        <v>30759476</v>
      </c>
    </row>
    <row r="1542" spans="1:8" hidden="1">
      <c r="A1542" s="87">
        <v>33139225</v>
      </c>
      <c r="B1542" s="88" t="s">
        <v>267</v>
      </c>
      <c r="C1542" s="88" t="s">
        <v>268</v>
      </c>
      <c r="D1542" s="88" t="s">
        <v>7082</v>
      </c>
      <c r="E1542" s="94">
        <v>42992</v>
      </c>
      <c r="F1542" s="91" t="s">
        <v>9302</v>
      </c>
      <c r="G1542" s="223">
        <f t="shared" si="48"/>
        <v>11</v>
      </c>
      <c r="H1542" s="222">
        <f t="shared" si="49"/>
        <v>33139225</v>
      </c>
    </row>
    <row r="1543" spans="1:8" hidden="1">
      <c r="A1543" s="87">
        <v>32460389</v>
      </c>
      <c r="B1543" s="88" t="s">
        <v>1762</v>
      </c>
      <c r="C1543" s="88" t="s">
        <v>571</v>
      </c>
      <c r="D1543" s="88" t="s">
        <v>7082</v>
      </c>
      <c r="E1543" s="94">
        <v>42992</v>
      </c>
      <c r="F1543" s="98" t="s">
        <v>6853</v>
      </c>
      <c r="G1543" s="223">
        <f t="shared" si="48"/>
        <v>15</v>
      </c>
      <c r="H1543" s="222">
        <f t="shared" si="49"/>
        <v>32460389</v>
      </c>
    </row>
    <row r="1544" spans="1:8" hidden="1">
      <c r="A1544" s="87">
        <v>27651651</v>
      </c>
      <c r="B1544" s="88" t="s">
        <v>861</v>
      </c>
      <c r="C1544" s="88" t="s">
        <v>5671</v>
      </c>
      <c r="D1544" s="88" t="s">
        <v>7082</v>
      </c>
      <c r="E1544" s="94">
        <v>42992</v>
      </c>
      <c r="F1544" s="98" t="s">
        <v>6853</v>
      </c>
      <c r="G1544" s="223">
        <f t="shared" si="48"/>
        <v>5</v>
      </c>
      <c r="H1544" s="222">
        <f t="shared" si="49"/>
        <v>27651651</v>
      </c>
    </row>
    <row r="1545" spans="1:8" hidden="1">
      <c r="A1545" s="87">
        <v>12654235</v>
      </c>
      <c r="B1545" s="88" t="s">
        <v>863</v>
      </c>
      <c r="C1545" s="88" t="s">
        <v>4576</v>
      </c>
      <c r="D1545" s="88" t="s">
        <v>7082</v>
      </c>
      <c r="E1545" s="94">
        <v>42992</v>
      </c>
      <c r="F1545" s="98" t="s">
        <v>6853</v>
      </c>
      <c r="G1545" s="223">
        <f t="shared" si="48"/>
        <v>22</v>
      </c>
      <c r="H1545" s="222">
        <f t="shared" si="49"/>
        <v>12654235</v>
      </c>
    </row>
    <row r="1546" spans="1:8" hidden="1">
      <c r="A1546" s="87">
        <v>32589448</v>
      </c>
      <c r="B1546" s="88" t="s">
        <v>288</v>
      </c>
      <c r="C1546" s="88" t="s">
        <v>2753</v>
      </c>
      <c r="D1546" s="88" t="s">
        <v>7082</v>
      </c>
      <c r="E1546" s="94">
        <v>42992</v>
      </c>
      <c r="F1546" s="98" t="s">
        <v>6853</v>
      </c>
      <c r="G1546" s="223">
        <f t="shared" si="48"/>
        <v>56</v>
      </c>
      <c r="H1546" s="222">
        <f t="shared" si="49"/>
        <v>32589448</v>
      </c>
    </row>
    <row r="1547" spans="1:8" hidden="1">
      <c r="A1547" s="87">
        <v>33703823</v>
      </c>
      <c r="B1547" s="88" t="s">
        <v>7085</v>
      </c>
      <c r="C1547" s="88" t="s">
        <v>902</v>
      </c>
      <c r="D1547" s="88" t="s">
        <v>7082</v>
      </c>
      <c r="E1547" s="94">
        <v>42992</v>
      </c>
      <c r="F1547" s="98" t="s">
        <v>6853</v>
      </c>
      <c r="G1547" s="223" t="str">
        <f t="shared" si="48"/>
        <v>sin dato</v>
      </c>
      <c r="H1547" s="222" t="str">
        <f t="shared" si="49"/>
        <v>999</v>
      </c>
    </row>
    <row r="1548" spans="1:8" hidden="1">
      <c r="A1548" s="87">
        <v>28211502</v>
      </c>
      <c r="B1548" s="88" t="s">
        <v>1547</v>
      </c>
      <c r="C1548" s="88" t="s">
        <v>1545</v>
      </c>
      <c r="D1548" s="88" t="s">
        <v>7082</v>
      </c>
      <c r="E1548" s="94">
        <v>42992</v>
      </c>
      <c r="F1548" s="91" t="s">
        <v>9302</v>
      </c>
      <c r="G1548" s="223">
        <f t="shared" si="48"/>
        <v>17</v>
      </c>
      <c r="H1548" s="222">
        <f t="shared" si="49"/>
        <v>28211502</v>
      </c>
    </row>
    <row r="1549" spans="1:8" hidden="1">
      <c r="A1549" s="87">
        <v>26743740</v>
      </c>
      <c r="B1549" s="88" t="s">
        <v>794</v>
      </c>
      <c r="C1549" s="88" t="s">
        <v>2371</v>
      </c>
      <c r="D1549" s="88" t="s">
        <v>7082</v>
      </c>
      <c r="E1549" s="94">
        <v>42992</v>
      </c>
      <c r="F1549" s="91" t="s">
        <v>9302</v>
      </c>
      <c r="G1549" s="223">
        <f t="shared" si="48"/>
        <v>17</v>
      </c>
      <c r="H1549" s="222">
        <f t="shared" si="49"/>
        <v>26743740</v>
      </c>
    </row>
    <row r="1550" spans="1:8" hidden="1">
      <c r="A1550" s="87">
        <v>16175799</v>
      </c>
      <c r="B1550" s="88" t="s">
        <v>3537</v>
      </c>
      <c r="C1550" s="88" t="s">
        <v>3538</v>
      </c>
      <c r="D1550" s="88" t="s">
        <v>7082</v>
      </c>
      <c r="E1550" s="94">
        <v>42992</v>
      </c>
      <c r="F1550" s="91" t="s">
        <v>9302</v>
      </c>
      <c r="G1550" s="223">
        <f t="shared" si="48"/>
        <v>25</v>
      </c>
      <c r="H1550" s="222">
        <f t="shared" si="49"/>
        <v>16175799</v>
      </c>
    </row>
    <row r="1551" spans="1:8" hidden="1">
      <c r="A1551" s="87">
        <v>32455863</v>
      </c>
      <c r="B1551" s="88" t="s">
        <v>2158</v>
      </c>
      <c r="C1551" s="88" t="s">
        <v>2676</v>
      </c>
      <c r="D1551" s="88" t="s">
        <v>7082</v>
      </c>
      <c r="E1551" s="94">
        <v>42992</v>
      </c>
      <c r="F1551" s="91" t="s">
        <v>9302</v>
      </c>
      <c r="G1551" s="223">
        <f t="shared" si="48"/>
        <v>55</v>
      </c>
      <c r="H1551" s="222">
        <f t="shared" si="49"/>
        <v>32455863</v>
      </c>
    </row>
    <row r="1552" spans="1:8" hidden="1">
      <c r="A1552" s="87">
        <v>33818840</v>
      </c>
      <c r="B1552" s="88" t="s">
        <v>377</v>
      </c>
      <c r="C1552" s="88" t="s">
        <v>1490</v>
      </c>
      <c r="D1552" s="88" t="s">
        <v>7082</v>
      </c>
      <c r="E1552" s="94">
        <v>42992</v>
      </c>
      <c r="F1552" s="91" t="s">
        <v>9302</v>
      </c>
      <c r="G1552" s="223">
        <f t="shared" si="48"/>
        <v>45</v>
      </c>
      <c r="H1552" s="222">
        <f t="shared" si="49"/>
        <v>33818840</v>
      </c>
    </row>
    <row r="1553" spans="1:8" hidden="1">
      <c r="A1553" s="87">
        <v>27651507</v>
      </c>
      <c r="B1553" s="88" t="s">
        <v>2795</v>
      </c>
      <c r="C1553" s="88" t="s">
        <v>4637</v>
      </c>
      <c r="D1553" s="88" t="s">
        <v>7082</v>
      </c>
      <c r="E1553" s="94">
        <v>42992</v>
      </c>
      <c r="F1553" s="98" t="s">
        <v>6853</v>
      </c>
      <c r="G1553" s="223">
        <f t="shared" si="48"/>
        <v>7</v>
      </c>
      <c r="H1553" s="222">
        <f t="shared" si="49"/>
        <v>27651507</v>
      </c>
    </row>
    <row r="1554" spans="1:8" hidden="1">
      <c r="A1554" s="87">
        <v>27364316</v>
      </c>
      <c r="B1554" s="88" t="s">
        <v>2170</v>
      </c>
      <c r="C1554" s="88" t="s">
        <v>2171</v>
      </c>
      <c r="D1554" s="88" t="s">
        <v>7082</v>
      </c>
      <c r="E1554" s="94">
        <v>42992</v>
      </c>
      <c r="F1554" s="98" t="s">
        <v>6853</v>
      </c>
      <c r="G1554" s="223">
        <f t="shared" si="48"/>
        <v>16</v>
      </c>
      <c r="H1554" s="222">
        <f t="shared" si="49"/>
        <v>27364316</v>
      </c>
    </row>
    <row r="1555" spans="1:8" hidden="1">
      <c r="A1555" s="87">
        <v>30069252</v>
      </c>
      <c r="B1555" s="88" t="s">
        <v>1793</v>
      </c>
      <c r="C1555" s="88" t="s">
        <v>1068</v>
      </c>
      <c r="D1555" s="88" t="s">
        <v>7082</v>
      </c>
      <c r="E1555" s="94">
        <v>42992</v>
      </c>
      <c r="F1555" s="98" t="s">
        <v>6853</v>
      </c>
      <c r="G1555" s="223">
        <f t="shared" si="48"/>
        <v>15</v>
      </c>
      <c r="H1555" s="222">
        <f t="shared" si="49"/>
        <v>30069252</v>
      </c>
    </row>
    <row r="1556" spans="1:8" hidden="1">
      <c r="A1556" s="87">
        <v>32775540</v>
      </c>
      <c r="B1556" s="88" t="s">
        <v>1798</v>
      </c>
      <c r="C1556" s="88" t="s">
        <v>1801</v>
      </c>
      <c r="D1556" s="88" t="s">
        <v>7082</v>
      </c>
      <c r="E1556" s="94">
        <v>42992</v>
      </c>
      <c r="F1556" s="91" t="s">
        <v>9302</v>
      </c>
      <c r="G1556" s="223">
        <f t="shared" si="48"/>
        <v>15</v>
      </c>
      <c r="H1556" s="222">
        <f t="shared" si="49"/>
        <v>32775540</v>
      </c>
    </row>
    <row r="1557" spans="1:8" hidden="1">
      <c r="A1557" s="87">
        <v>17858391</v>
      </c>
      <c r="B1557" s="88" t="s">
        <v>4389</v>
      </c>
      <c r="C1557" s="88" t="s">
        <v>4390</v>
      </c>
      <c r="D1557" s="88" t="s">
        <v>7082</v>
      </c>
      <c r="E1557" s="94">
        <v>42992</v>
      </c>
      <c r="F1557" s="98" t="s">
        <v>6853</v>
      </c>
      <c r="G1557" s="223">
        <f t="shared" si="48"/>
        <v>21</v>
      </c>
      <c r="H1557" s="222">
        <f t="shared" si="49"/>
        <v>17858391</v>
      </c>
    </row>
    <row r="1558" spans="1:8" hidden="1">
      <c r="A1558" s="87">
        <v>27975948</v>
      </c>
      <c r="B1558" s="88" t="s">
        <v>3947</v>
      </c>
      <c r="C1558" s="88" t="s">
        <v>3948</v>
      </c>
      <c r="D1558" s="88" t="s">
        <v>7082</v>
      </c>
      <c r="E1558" s="94">
        <v>42992</v>
      </c>
      <c r="F1558" s="98" t="s">
        <v>6853</v>
      </c>
      <c r="G1558" s="223">
        <f t="shared" si="48"/>
        <v>68</v>
      </c>
      <c r="H1558" s="222">
        <f t="shared" si="49"/>
        <v>27975948</v>
      </c>
    </row>
    <row r="1559" spans="1:8" hidden="1">
      <c r="A1559" s="87">
        <v>25498735</v>
      </c>
      <c r="B1559" s="88" t="s">
        <v>4067</v>
      </c>
      <c r="C1559" s="88" t="s">
        <v>6493</v>
      </c>
      <c r="D1559" s="88" t="s">
        <v>7082</v>
      </c>
      <c r="E1559" s="94">
        <v>42992</v>
      </c>
      <c r="F1559" s="98" t="s">
        <v>6853</v>
      </c>
      <c r="G1559" s="223">
        <f t="shared" si="48"/>
        <v>82</v>
      </c>
      <c r="H1559" s="222">
        <f t="shared" si="49"/>
        <v>25498735</v>
      </c>
    </row>
    <row r="1560" spans="1:8" hidden="1">
      <c r="A1560" s="87">
        <v>25843618</v>
      </c>
      <c r="B1560" s="88" t="s">
        <v>1823</v>
      </c>
      <c r="C1560" s="88" t="s">
        <v>4410</v>
      </c>
      <c r="D1560" s="88" t="s">
        <v>7082</v>
      </c>
      <c r="E1560" s="94">
        <v>42992</v>
      </c>
      <c r="F1560" s="91" t="s">
        <v>9302</v>
      </c>
      <c r="G1560" s="223">
        <f t="shared" si="48"/>
        <v>21</v>
      </c>
      <c r="H1560" s="222">
        <f t="shared" si="49"/>
        <v>25843618</v>
      </c>
    </row>
    <row r="1561" spans="1:8" hidden="1">
      <c r="A1561" s="87">
        <v>34910252</v>
      </c>
      <c r="B1561" s="88" t="s">
        <v>1839</v>
      </c>
      <c r="C1561" s="88" t="s">
        <v>1840</v>
      </c>
      <c r="D1561" s="88" t="s">
        <v>7082</v>
      </c>
      <c r="E1561" s="94">
        <v>42992</v>
      </c>
      <c r="F1561" s="98" t="s">
        <v>6853</v>
      </c>
      <c r="G1561" s="223">
        <f t="shared" si="48"/>
        <v>15</v>
      </c>
      <c r="H1561" s="222">
        <f t="shared" si="49"/>
        <v>34910252</v>
      </c>
    </row>
    <row r="1562" spans="1:8" hidden="1">
      <c r="A1562" s="87">
        <v>27210885</v>
      </c>
      <c r="B1562" s="88" t="s">
        <v>1845</v>
      </c>
      <c r="C1562" s="88" t="s">
        <v>165</v>
      </c>
      <c r="D1562" s="88" t="s">
        <v>7082</v>
      </c>
      <c r="E1562" s="94">
        <v>42992</v>
      </c>
      <c r="F1562" s="98" t="s">
        <v>6853</v>
      </c>
      <c r="G1562" s="223">
        <f t="shared" si="48"/>
        <v>15</v>
      </c>
      <c r="H1562" s="222">
        <f t="shared" si="49"/>
        <v>27210885</v>
      </c>
    </row>
    <row r="1563" spans="1:8" hidden="1">
      <c r="A1563" s="87">
        <v>11463299</v>
      </c>
      <c r="B1563" s="88" t="s">
        <v>1845</v>
      </c>
      <c r="C1563" s="88" t="s">
        <v>1843</v>
      </c>
      <c r="D1563" s="88" t="s">
        <v>7082</v>
      </c>
      <c r="E1563" s="94">
        <v>42992</v>
      </c>
      <c r="F1563" s="98" t="s">
        <v>6853</v>
      </c>
      <c r="G1563" s="223">
        <f t="shared" si="48"/>
        <v>15</v>
      </c>
      <c r="H1563" s="222">
        <f t="shared" si="49"/>
        <v>11463299</v>
      </c>
    </row>
    <row r="1564" spans="1:8" hidden="1">
      <c r="A1564" s="87">
        <v>14410492</v>
      </c>
      <c r="B1564" s="88" t="s">
        <v>5147</v>
      </c>
      <c r="C1564" s="88" t="s">
        <v>5148</v>
      </c>
      <c r="D1564" s="88" t="s">
        <v>7082</v>
      </c>
      <c r="E1564" s="94">
        <v>42992</v>
      </c>
      <c r="F1564" s="98" t="s">
        <v>6853</v>
      </c>
      <c r="G1564" s="223" t="str">
        <f t="shared" si="48"/>
        <v>sin dato</v>
      </c>
      <c r="H1564" s="222">
        <f t="shared" si="49"/>
        <v>14410492</v>
      </c>
    </row>
    <row r="1565" spans="1:8" hidden="1">
      <c r="A1565" s="87">
        <v>16954394</v>
      </c>
      <c r="B1565" s="88" t="s">
        <v>6498</v>
      </c>
      <c r="C1565" s="88" t="s">
        <v>6499</v>
      </c>
      <c r="D1565" s="88" t="s">
        <v>7082</v>
      </c>
      <c r="E1565" s="94">
        <v>42992</v>
      </c>
      <c r="F1565" s="98" t="s">
        <v>6853</v>
      </c>
      <c r="G1565" s="223">
        <f t="shared" si="48"/>
        <v>82</v>
      </c>
      <c r="H1565" s="222">
        <f t="shared" si="49"/>
        <v>16954394</v>
      </c>
    </row>
    <row r="1566" spans="1:8" hidden="1">
      <c r="A1566" s="87">
        <v>36584270</v>
      </c>
      <c r="B1566" s="88" t="s">
        <v>5878</v>
      </c>
      <c r="C1566" s="88" t="s">
        <v>5879</v>
      </c>
      <c r="D1566" s="88" t="s">
        <v>9299</v>
      </c>
      <c r="E1566" s="94">
        <v>42977</v>
      </c>
      <c r="F1566" s="91"/>
      <c r="G1566" s="223" t="str">
        <f t="shared" si="48"/>
        <v>sin dato</v>
      </c>
      <c r="H1566" s="222" t="str">
        <f t="shared" si="49"/>
        <v>999</v>
      </c>
    </row>
    <row r="1567" spans="1:8" hidden="1">
      <c r="A1567" s="87">
        <v>14660614</v>
      </c>
      <c r="B1567" s="88" t="s">
        <v>2355</v>
      </c>
      <c r="C1567" s="88" t="s">
        <v>7087</v>
      </c>
      <c r="D1567" s="88" t="s">
        <v>9299</v>
      </c>
      <c r="E1567" s="94">
        <v>42977</v>
      </c>
      <c r="F1567" s="91"/>
      <c r="G1567" s="223">
        <f t="shared" si="48"/>
        <v>17</v>
      </c>
      <c r="H1567" s="222">
        <f t="shared" si="49"/>
        <v>14660614</v>
      </c>
    </row>
    <row r="1568" spans="1:8" hidden="1">
      <c r="A1568" s="87">
        <v>32115802</v>
      </c>
      <c r="B1568" s="88" t="s">
        <v>2718</v>
      </c>
      <c r="C1568" s="88" t="s">
        <v>2719</v>
      </c>
      <c r="D1568" s="88" t="s">
        <v>9299</v>
      </c>
      <c r="E1568" s="94">
        <v>42977</v>
      </c>
      <c r="F1568" s="91"/>
      <c r="G1568" s="223">
        <f t="shared" si="48"/>
        <v>52</v>
      </c>
      <c r="H1568" s="222">
        <f t="shared" si="49"/>
        <v>32115802</v>
      </c>
    </row>
    <row r="1569" spans="1:8" hidden="1">
      <c r="A1569" s="87">
        <v>16132114</v>
      </c>
      <c r="B1569" s="88" t="s">
        <v>1446</v>
      </c>
      <c r="C1569" s="88" t="s">
        <v>5493</v>
      </c>
      <c r="D1569" s="88" t="s">
        <v>9299</v>
      </c>
      <c r="E1569" s="94">
        <v>42977</v>
      </c>
      <c r="F1569" s="91"/>
      <c r="G1569" s="223">
        <f t="shared" si="48"/>
        <v>6</v>
      </c>
      <c r="H1569" s="222">
        <f t="shared" si="49"/>
        <v>16132114</v>
      </c>
    </row>
    <row r="1570" spans="1:8" hidden="1">
      <c r="A1570" s="87">
        <v>22264981</v>
      </c>
      <c r="B1570" s="88" t="s">
        <v>5885</v>
      </c>
      <c r="C1570" s="88" t="s">
        <v>5886</v>
      </c>
      <c r="D1570" s="88" t="s">
        <v>9299</v>
      </c>
      <c r="E1570" s="94">
        <v>42977</v>
      </c>
      <c r="F1570" s="91"/>
      <c r="G1570" s="223">
        <f t="shared" si="48"/>
        <v>10</v>
      </c>
      <c r="H1570" s="222">
        <f t="shared" si="49"/>
        <v>22264981</v>
      </c>
    </row>
    <row r="1571" spans="1:8" hidden="1">
      <c r="A1571" s="87">
        <v>20857513</v>
      </c>
      <c r="B1571" s="88" t="s">
        <v>7088</v>
      </c>
      <c r="C1571" s="88" t="s">
        <v>7089</v>
      </c>
      <c r="D1571" s="88" t="s">
        <v>9299</v>
      </c>
      <c r="E1571" s="94">
        <v>42977</v>
      </c>
      <c r="F1571" s="91"/>
      <c r="G1571" s="223">
        <f t="shared" si="48"/>
        <v>43</v>
      </c>
      <c r="H1571" s="222">
        <f t="shared" si="49"/>
        <v>20857513</v>
      </c>
    </row>
    <row r="1572" spans="1:8" hidden="1">
      <c r="A1572" s="87">
        <v>27210323</v>
      </c>
      <c r="B1572" s="88" t="s">
        <v>2679</v>
      </c>
      <c r="C1572" s="88" t="s">
        <v>2680</v>
      </c>
      <c r="D1572" s="88" t="s">
        <v>9299</v>
      </c>
      <c r="E1572" s="94">
        <v>42977</v>
      </c>
      <c r="F1572" s="91"/>
      <c r="G1572" s="223">
        <f t="shared" si="48"/>
        <v>49</v>
      </c>
      <c r="H1572" s="222">
        <f t="shared" si="49"/>
        <v>27210323</v>
      </c>
    </row>
    <row r="1573" spans="1:8" hidden="1">
      <c r="A1573" s="87">
        <v>32408684</v>
      </c>
      <c r="B1573" s="88" t="s">
        <v>927</v>
      </c>
      <c r="C1573" s="88" t="s">
        <v>6520</v>
      </c>
      <c r="D1573" s="88" t="s">
        <v>9299</v>
      </c>
      <c r="E1573" s="94">
        <v>42977</v>
      </c>
      <c r="F1573" s="91"/>
      <c r="G1573" s="223">
        <f t="shared" si="48"/>
        <v>86</v>
      </c>
      <c r="H1573" s="222">
        <f t="shared" si="49"/>
        <v>32408684</v>
      </c>
    </row>
    <row r="1574" spans="1:8" hidden="1">
      <c r="A1574" s="87">
        <v>11475297</v>
      </c>
      <c r="B1574" s="88" t="s">
        <v>5503</v>
      </c>
      <c r="C1574" s="88" t="s">
        <v>5504</v>
      </c>
      <c r="D1574" s="88" t="s">
        <v>9299</v>
      </c>
      <c r="E1574" s="94">
        <v>42977</v>
      </c>
      <c r="F1574" s="91"/>
      <c r="G1574" s="223">
        <f t="shared" si="48"/>
        <v>6</v>
      </c>
      <c r="H1574" s="222">
        <f t="shared" si="49"/>
        <v>11475297</v>
      </c>
    </row>
    <row r="1575" spans="1:8" hidden="1">
      <c r="A1575" s="87">
        <v>27594473</v>
      </c>
      <c r="B1575" s="88" t="s">
        <v>1906</v>
      </c>
      <c r="C1575" s="88" t="s">
        <v>1003</v>
      </c>
      <c r="D1575" s="88" t="s">
        <v>9299</v>
      </c>
      <c r="E1575" s="94">
        <v>42977</v>
      </c>
      <c r="F1575" s="91"/>
      <c r="G1575" s="223">
        <f t="shared" si="48"/>
        <v>10</v>
      </c>
      <c r="H1575" s="222">
        <f t="shared" si="49"/>
        <v>27594473</v>
      </c>
    </row>
    <row r="1576" spans="1:8" hidden="1">
      <c r="A1576" s="87">
        <v>24553486</v>
      </c>
      <c r="B1576" s="88" t="s">
        <v>94</v>
      </c>
      <c r="C1576" s="88" t="s">
        <v>427</v>
      </c>
      <c r="D1576" s="88" t="s">
        <v>9299</v>
      </c>
      <c r="E1576" s="94">
        <v>42977</v>
      </c>
      <c r="F1576" s="91"/>
      <c r="G1576" s="223">
        <f t="shared" si="48"/>
        <v>5</v>
      </c>
      <c r="H1576" s="222">
        <f t="shared" si="49"/>
        <v>24553486</v>
      </c>
    </row>
    <row r="1577" spans="1:8" hidden="1">
      <c r="A1577" s="87">
        <v>14251117</v>
      </c>
      <c r="B1577" s="88" t="s">
        <v>961</v>
      </c>
      <c r="C1577" s="88" t="s">
        <v>4968</v>
      </c>
      <c r="D1577" s="88" t="s">
        <v>9299</v>
      </c>
      <c r="E1577" s="94">
        <v>42977</v>
      </c>
      <c r="F1577" s="91"/>
      <c r="G1577" s="223" t="str">
        <f t="shared" si="48"/>
        <v>sin dato</v>
      </c>
      <c r="H1577" s="222">
        <f t="shared" si="49"/>
        <v>14251117</v>
      </c>
    </row>
    <row r="1578" spans="1:8" hidden="1">
      <c r="A1578" s="87">
        <v>26455841</v>
      </c>
      <c r="B1578" s="88" t="s">
        <v>608</v>
      </c>
      <c r="C1578" s="88" t="s">
        <v>1634</v>
      </c>
      <c r="D1578" s="88" t="s">
        <v>9299</v>
      </c>
      <c r="E1578" s="94">
        <v>42977</v>
      </c>
      <c r="F1578" s="91"/>
      <c r="G1578" s="223">
        <f t="shared" si="48"/>
        <v>6</v>
      </c>
      <c r="H1578" s="222">
        <f t="shared" si="49"/>
        <v>26455841</v>
      </c>
    </row>
    <row r="1579" spans="1:8" hidden="1">
      <c r="A1579" s="87">
        <v>25922947</v>
      </c>
      <c r="B1579" s="88" t="s">
        <v>4974</v>
      </c>
      <c r="C1579" s="88" t="s">
        <v>4130</v>
      </c>
      <c r="D1579" s="88" t="s">
        <v>9299</v>
      </c>
      <c r="E1579" s="94">
        <v>42977</v>
      </c>
      <c r="F1579" s="91"/>
      <c r="G1579" s="223" t="str">
        <f t="shared" si="48"/>
        <v>sin dato</v>
      </c>
      <c r="H1579" s="222">
        <f t="shared" si="49"/>
        <v>25922947</v>
      </c>
    </row>
    <row r="1580" spans="1:8" hidden="1">
      <c r="A1580" s="87">
        <v>25843849</v>
      </c>
      <c r="B1580" s="88" t="s">
        <v>3126</v>
      </c>
      <c r="C1580" s="88" t="s">
        <v>1520</v>
      </c>
      <c r="D1580" s="88" t="s">
        <v>9299</v>
      </c>
      <c r="E1580" s="94">
        <v>42977</v>
      </c>
      <c r="F1580" s="91"/>
      <c r="G1580" s="223">
        <f t="shared" si="48"/>
        <v>67</v>
      </c>
      <c r="H1580" s="222">
        <f t="shared" si="49"/>
        <v>25843849</v>
      </c>
    </row>
    <row r="1581" spans="1:8" hidden="1">
      <c r="A1581" s="87">
        <v>14225522</v>
      </c>
      <c r="B1581" s="88" t="s">
        <v>3182</v>
      </c>
      <c r="C1581" s="88" t="s">
        <v>2218</v>
      </c>
      <c r="D1581" s="88" t="s">
        <v>9299</v>
      </c>
      <c r="E1581" s="94">
        <v>42977</v>
      </c>
      <c r="F1581" s="91"/>
      <c r="G1581" s="223">
        <f t="shared" si="48"/>
        <v>87</v>
      </c>
      <c r="H1581" s="222">
        <f t="shared" si="49"/>
        <v>14225522</v>
      </c>
    </row>
    <row r="1582" spans="1:8" hidden="1">
      <c r="A1582" s="87">
        <v>21829343</v>
      </c>
      <c r="B1582" s="88" t="s">
        <v>2722</v>
      </c>
      <c r="C1582" s="88" t="s">
        <v>2723</v>
      </c>
      <c r="D1582" s="88" t="s">
        <v>9299</v>
      </c>
      <c r="E1582" s="94">
        <v>42977</v>
      </c>
      <c r="F1582" s="91"/>
      <c r="G1582" s="223">
        <f t="shared" si="48"/>
        <v>52</v>
      </c>
      <c r="H1582" s="222">
        <f t="shared" si="49"/>
        <v>21829343</v>
      </c>
    </row>
    <row r="1583" spans="1:8" hidden="1">
      <c r="A1583" s="87">
        <v>28223634</v>
      </c>
      <c r="B1583" s="88" t="s">
        <v>5312</v>
      </c>
      <c r="C1583" s="88" t="s">
        <v>2123</v>
      </c>
      <c r="D1583" s="88" t="s">
        <v>9299</v>
      </c>
      <c r="E1583" s="94">
        <v>42977</v>
      </c>
      <c r="F1583" s="91"/>
      <c r="G1583" s="223">
        <f t="shared" si="48"/>
        <v>7</v>
      </c>
      <c r="H1583" s="222">
        <f t="shared" si="49"/>
        <v>28223634</v>
      </c>
    </row>
    <row r="1584" spans="1:8" hidden="1">
      <c r="A1584" s="87">
        <v>18566394</v>
      </c>
      <c r="B1584" s="88" t="s">
        <v>144</v>
      </c>
      <c r="C1584" s="88" t="s">
        <v>283</v>
      </c>
      <c r="D1584" s="88" t="s">
        <v>9299</v>
      </c>
      <c r="E1584" s="94">
        <v>42977</v>
      </c>
      <c r="F1584" s="91"/>
      <c r="G1584" s="223">
        <f t="shared" si="48"/>
        <v>46</v>
      </c>
      <c r="H1584" s="222">
        <f t="shared" si="49"/>
        <v>18566394</v>
      </c>
    </row>
    <row r="1585" spans="1:8" hidden="1">
      <c r="A1585" s="87">
        <v>29997496</v>
      </c>
      <c r="B1585" s="88" t="s">
        <v>5318</v>
      </c>
      <c r="C1585" s="88" t="s">
        <v>5319</v>
      </c>
      <c r="D1585" s="88" t="s">
        <v>9299</v>
      </c>
      <c r="E1585" s="94">
        <v>42977</v>
      </c>
      <c r="F1585" s="91"/>
      <c r="G1585" s="223">
        <f t="shared" si="48"/>
        <v>7</v>
      </c>
      <c r="H1585" s="222">
        <f t="shared" si="49"/>
        <v>29997496</v>
      </c>
    </row>
    <row r="1586" spans="1:8" hidden="1">
      <c r="A1586" s="87">
        <v>17859007</v>
      </c>
      <c r="B1586" s="88" t="s">
        <v>5327</v>
      </c>
      <c r="C1586" s="88" t="s">
        <v>1521</v>
      </c>
      <c r="D1586" s="88" t="s">
        <v>9299</v>
      </c>
      <c r="E1586" s="94">
        <v>42977</v>
      </c>
      <c r="F1586" s="91"/>
      <c r="G1586" s="223">
        <f t="shared" si="48"/>
        <v>7</v>
      </c>
      <c r="H1586" s="222">
        <f t="shared" si="49"/>
        <v>17859007</v>
      </c>
    </row>
    <row r="1587" spans="1:8" hidden="1">
      <c r="A1587" s="87">
        <v>23117670</v>
      </c>
      <c r="B1587" s="88" t="s">
        <v>4994</v>
      </c>
      <c r="C1587" s="88" t="s">
        <v>5734</v>
      </c>
      <c r="D1587" s="88" t="s">
        <v>9299</v>
      </c>
      <c r="E1587" s="94">
        <v>42977</v>
      </c>
      <c r="F1587" s="91"/>
      <c r="G1587" s="223">
        <f t="shared" si="48"/>
        <v>6</v>
      </c>
      <c r="H1587" s="222">
        <f t="shared" si="49"/>
        <v>23117670</v>
      </c>
    </row>
    <row r="1588" spans="1:8" hidden="1">
      <c r="A1588" s="87">
        <v>18433501</v>
      </c>
      <c r="B1588" s="88" t="s">
        <v>2859</v>
      </c>
      <c r="C1588" s="88" t="s">
        <v>2860</v>
      </c>
      <c r="D1588" s="88" t="s">
        <v>9299</v>
      </c>
      <c r="E1588" s="94">
        <v>42977</v>
      </c>
      <c r="F1588" s="91"/>
      <c r="G1588" s="223">
        <f t="shared" si="48"/>
        <v>63</v>
      </c>
      <c r="H1588" s="222">
        <f t="shared" si="49"/>
        <v>18433501</v>
      </c>
    </row>
    <row r="1589" spans="1:8" hidden="1">
      <c r="A1589" s="87">
        <v>20178158</v>
      </c>
      <c r="B1589" s="88" t="s">
        <v>5002</v>
      </c>
      <c r="C1589" s="88" t="s">
        <v>5009</v>
      </c>
      <c r="D1589" s="88" t="s">
        <v>9299</v>
      </c>
      <c r="E1589" s="94">
        <v>42977</v>
      </c>
      <c r="F1589" s="91"/>
      <c r="G1589" s="223" t="str">
        <f t="shared" si="48"/>
        <v>sin dato</v>
      </c>
      <c r="H1589" s="222">
        <f t="shared" si="49"/>
        <v>20178158</v>
      </c>
    </row>
    <row r="1590" spans="1:8" hidden="1">
      <c r="A1590" s="87">
        <v>26684318</v>
      </c>
      <c r="B1590" s="88" t="s">
        <v>2742</v>
      </c>
      <c r="C1590" s="88" t="s">
        <v>2743</v>
      </c>
      <c r="D1590" s="88" t="s">
        <v>9299</v>
      </c>
      <c r="E1590" s="94">
        <v>42977</v>
      </c>
      <c r="F1590" s="91"/>
      <c r="G1590" s="223">
        <f t="shared" si="48"/>
        <v>54</v>
      </c>
      <c r="H1590" s="222">
        <f t="shared" si="49"/>
        <v>26684318</v>
      </c>
    </row>
    <row r="1591" spans="1:8" hidden="1">
      <c r="A1591" s="87">
        <v>22336712</v>
      </c>
      <c r="B1591" s="88" t="s">
        <v>5262</v>
      </c>
      <c r="C1591" s="88" t="s">
        <v>7090</v>
      </c>
      <c r="D1591" s="88" t="s">
        <v>9299</v>
      </c>
      <c r="E1591" s="94">
        <v>42977</v>
      </c>
      <c r="F1591" s="91"/>
      <c r="G1591" s="223">
        <f t="shared" si="48"/>
        <v>9</v>
      </c>
      <c r="H1591" s="222">
        <f t="shared" si="49"/>
        <v>22336712</v>
      </c>
    </row>
    <row r="1592" spans="1:8" hidden="1">
      <c r="A1592" s="87">
        <v>17543711</v>
      </c>
      <c r="B1592" s="88" t="s">
        <v>195</v>
      </c>
      <c r="C1592" s="88" t="s">
        <v>296</v>
      </c>
      <c r="D1592" s="88" t="s">
        <v>9299</v>
      </c>
      <c r="E1592" s="94">
        <v>42977</v>
      </c>
      <c r="F1592" s="91"/>
      <c r="G1592" s="223" t="str">
        <f t="shared" si="48"/>
        <v>sin dato</v>
      </c>
      <c r="H1592" s="222">
        <f t="shared" si="49"/>
        <v>17543711</v>
      </c>
    </row>
    <row r="1593" spans="1:8" hidden="1">
      <c r="A1593" s="87">
        <v>22211664</v>
      </c>
      <c r="B1593" s="88" t="s">
        <v>5551</v>
      </c>
      <c r="C1593" s="88" t="s">
        <v>5552</v>
      </c>
      <c r="D1593" s="88" t="s">
        <v>9299</v>
      </c>
      <c r="E1593" s="94">
        <v>42977</v>
      </c>
      <c r="F1593" s="91"/>
      <c r="G1593" s="223">
        <f t="shared" si="48"/>
        <v>6</v>
      </c>
      <c r="H1593" s="222">
        <f t="shared" si="49"/>
        <v>22211664</v>
      </c>
    </row>
    <row r="1594" spans="1:8" hidden="1">
      <c r="A1594" s="87">
        <v>12414243</v>
      </c>
      <c r="B1594" s="88" t="s">
        <v>4014</v>
      </c>
      <c r="C1594" s="88" t="s">
        <v>5294</v>
      </c>
      <c r="D1594" s="88" t="s">
        <v>9299</v>
      </c>
      <c r="E1594" s="94">
        <v>42977</v>
      </c>
      <c r="F1594" s="91"/>
      <c r="G1594" s="223">
        <f t="shared" si="48"/>
        <v>87</v>
      </c>
      <c r="H1594" s="222">
        <f t="shared" si="49"/>
        <v>12414243</v>
      </c>
    </row>
    <row r="1595" spans="1:8" hidden="1">
      <c r="A1595" s="87">
        <v>13844773</v>
      </c>
      <c r="B1595" s="88" t="s">
        <v>1591</v>
      </c>
      <c r="C1595" s="88" t="s">
        <v>2613</v>
      </c>
      <c r="D1595" s="88" t="s">
        <v>9299</v>
      </c>
      <c r="E1595" s="94">
        <v>42977</v>
      </c>
      <c r="F1595" s="91"/>
      <c r="G1595" s="223">
        <f t="shared" si="48"/>
        <v>70</v>
      </c>
      <c r="H1595" s="222">
        <f t="shared" si="49"/>
        <v>13844773</v>
      </c>
    </row>
    <row r="1596" spans="1:8" hidden="1">
      <c r="A1596" s="87">
        <v>32460837</v>
      </c>
      <c r="B1596" s="88" t="s">
        <v>4112</v>
      </c>
      <c r="C1596" s="88" t="s">
        <v>5341</v>
      </c>
      <c r="D1596" s="88" t="s">
        <v>9299</v>
      </c>
      <c r="E1596" s="94">
        <v>42977</v>
      </c>
      <c r="F1596" s="91"/>
      <c r="G1596" s="223">
        <f t="shared" si="48"/>
        <v>7</v>
      </c>
      <c r="H1596" s="222">
        <f t="shared" si="49"/>
        <v>32460837</v>
      </c>
    </row>
    <row r="1597" spans="1:8" hidden="1">
      <c r="A1597" s="87">
        <v>37511447</v>
      </c>
      <c r="B1597" s="88" t="s">
        <v>2725</v>
      </c>
      <c r="C1597" s="88" t="s">
        <v>2726</v>
      </c>
      <c r="D1597" s="88" t="s">
        <v>9299</v>
      </c>
      <c r="E1597" s="94">
        <v>42977</v>
      </c>
      <c r="F1597" s="91"/>
      <c r="G1597" s="223" t="str">
        <f t="shared" si="48"/>
        <v>sin dato</v>
      </c>
      <c r="H1597" s="222" t="str">
        <f t="shared" si="49"/>
        <v>999</v>
      </c>
    </row>
    <row r="1598" spans="1:8" hidden="1">
      <c r="A1598" s="87">
        <v>13474822</v>
      </c>
      <c r="B1598" s="88" t="s">
        <v>3133</v>
      </c>
      <c r="C1598" s="88" t="s">
        <v>7091</v>
      </c>
      <c r="D1598" s="88" t="s">
        <v>9299</v>
      </c>
      <c r="E1598" s="94">
        <v>42977</v>
      </c>
      <c r="F1598" s="91"/>
      <c r="G1598" s="223">
        <f t="shared" si="48"/>
        <v>67</v>
      </c>
      <c r="H1598" s="222">
        <f t="shared" si="49"/>
        <v>13474822</v>
      </c>
    </row>
    <row r="1599" spans="1:8" hidden="1">
      <c r="A1599" s="87">
        <v>16176626</v>
      </c>
      <c r="B1599" s="88" t="s">
        <v>2026</v>
      </c>
      <c r="C1599" s="88" t="s">
        <v>3993</v>
      </c>
      <c r="D1599" s="88" t="s">
        <v>9299</v>
      </c>
      <c r="E1599" s="94">
        <v>42977</v>
      </c>
      <c r="F1599" s="91"/>
      <c r="G1599" s="223">
        <f t="shared" si="48"/>
        <v>70</v>
      </c>
      <c r="H1599" s="222">
        <f t="shared" si="49"/>
        <v>16176626</v>
      </c>
    </row>
    <row r="1600" spans="1:8" hidden="1">
      <c r="A1600" s="87">
        <v>16806479</v>
      </c>
      <c r="B1600" s="88" t="s">
        <v>774</v>
      </c>
      <c r="C1600" s="88" t="s">
        <v>6523</v>
      </c>
      <c r="D1600" s="88" t="s">
        <v>9299</v>
      </c>
      <c r="E1600" s="94">
        <v>42977</v>
      </c>
      <c r="F1600" s="91"/>
      <c r="G1600" s="223">
        <f t="shared" si="48"/>
        <v>86</v>
      </c>
      <c r="H1600" s="222">
        <f t="shared" si="49"/>
        <v>16806479</v>
      </c>
    </row>
    <row r="1601" spans="1:8" hidden="1">
      <c r="A1601" s="87">
        <v>14023748</v>
      </c>
      <c r="B1601" s="88" t="s">
        <v>774</v>
      </c>
      <c r="C1601" s="88" t="s">
        <v>4123</v>
      </c>
      <c r="D1601" s="88" t="s">
        <v>9299</v>
      </c>
      <c r="E1601" s="94">
        <v>42977</v>
      </c>
      <c r="F1601" s="91"/>
      <c r="G1601" s="223">
        <f t="shared" si="48"/>
        <v>67</v>
      </c>
      <c r="H1601" s="222">
        <f t="shared" si="49"/>
        <v>14023748</v>
      </c>
    </row>
    <row r="1602" spans="1:8" hidden="1">
      <c r="A1602" s="87">
        <v>13784035</v>
      </c>
      <c r="B1602" s="88" t="s">
        <v>2746</v>
      </c>
      <c r="C1602" s="88" t="s">
        <v>1555</v>
      </c>
      <c r="D1602" s="88" t="s">
        <v>9299</v>
      </c>
      <c r="E1602" s="94">
        <v>42977</v>
      </c>
      <c r="F1602" s="91"/>
      <c r="G1602" s="223">
        <f t="shared" ref="G1602:G1665" si="50">IFERROR(INDEX(unidad,MATCH(VLOOKUP(A1602,alum,9,0),unidad2,0),1),"sin dato")</f>
        <v>54</v>
      </c>
      <c r="H1602" s="222">
        <f t="shared" ref="H1602:H1665" si="51">IFERROR(VLOOKUP(A1602,alum,1,0),"999")</f>
        <v>13784035</v>
      </c>
    </row>
    <row r="1603" spans="1:8" hidden="1">
      <c r="A1603" s="87">
        <v>33430063</v>
      </c>
      <c r="B1603" s="88" t="s">
        <v>7092</v>
      </c>
      <c r="C1603" s="88" t="s">
        <v>2909</v>
      </c>
      <c r="D1603" s="88" t="s">
        <v>9299</v>
      </c>
      <c r="E1603" s="94">
        <v>42977</v>
      </c>
      <c r="F1603" s="91"/>
      <c r="G1603" s="223" t="str">
        <f t="shared" si="50"/>
        <v>sin dato</v>
      </c>
      <c r="H1603" s="222">
        <f t="shared" si="51"/>
        <v>33430063</v>
      </c>
    </row>
    <row r="1604" spans="1:8" hidden="1">
      <c r="A1604" s="87">
        <v>17859090</v>
      </c>
      <c r="B1604" s="88" t="s">
        <v>676</v>
      </c>
      <c r="C1604" s="88" t="s">
        <v>4854</v>
      </c>
      <c r="D1604" s="88" t="s">
        <v>9299</v>
      </c>
      <c r="E1604" s="94">
        <v>42977</v>
      </c>
      <c r="F1604" s="91"/>
      <c r="G1604" s="223">
        <f t="shared" si="50"/>
        <v>1</v>
      </c>
      <c r="H1604" s="222">
        <f t="shared" si="51"/>
        <v>17859090</v>
      </c>
    </row>
    <row r="1605" spans="1:8" hidden="1">
      <c r="A1605" s="87">
        <v>21054719</v>
      </c>
      <c r="B1605" s="88" t="s">
        <v>1093</v>
      </c>
      <c r="C1605" s="88" t="s">
        <v>5023</v>
      </c>
      <c r="D1605" s="88" t="s">
        <v>9299</v>
      </c>
      <c r="E1605" s="94">
        <v>42977</v>
      </c>
      <c r="F1605" s="91"/>
      <c r="G1605" s="223" t="str">
        <f t="shared" si="50"/>
        <v>sin dato</v>
      </c>
      <c r="H1605" s="222">
        <f t="shared" si="51"/>
        <v>21054719</v>
      </c>
    </row>
    <row r="1606" spans="1:8" hidden="1">
      <c r="A1606" s="87">
        <v>13784871</v>
      </c>
      <c r="B1606" s="88" t="s">
        <v>2683</v>
      </c>
      <c r="C1606" s="88" t="s">
        <v>2684</v>
      </c>
      <c r="D1606" s="88" t="s">
        <v>9299</v>
      </c>
      <c r="E1606" s="94">
        <v>42977</v>
      </c>
      <c r="F1606" s="91"/>
      <c r="G1606" s="223">
        <f t="shared" si="50"/>
        <v>49</v>
      </c>
      <c r="H1606" s="222">
        <f t="shared" si="51"/>
        <v>13784871</v>
      </c>
    </row>
    <row r="1607" spans="1:8" hidden="1">
      <c r="A1607" s="87">
        <v>14660801</v>
      </c>
      <c r="B1607" s="88" t="s">
        <v>680</v>
      </c>
      <c r="C1607" s="88" t="s">
        <v>2702</v>
      </c>
      <c r="D1607" s="88" t="s">
        <v>9299</v>
      </c>
      <c r="E1607" s="94">
        <v>42977</v>
      </c>
      <c r="F1607" s="91"/>
      <c r="G1607" s="223">
        <f t="shared" si="50"/>
        <v>50</v>
      </c>
      <c r="H1607" s="222">
        <f t="shared" si="51"/>
        <v>14660801</v>
      </c>
    </row>
    <row r="1608" spans="1:8" hidden="1">
      <c r="A1608" s="87">
        <v>24409715</v>
      </c>
      <c r="B1608" s="88" t="s">
        <v>4566</v>
      </c>
      <c r="C1608" s="88" t="s">
        <v>5191</v>
      </c>
      <c r="D1608" s="88" t="s">
        <v>9299</v>
      </c>
      <c r="E1608" s="94">
        <v>42977</v>
      </c>
      <c r="F1608" s="91"/>
      <c r="G1608" s="223">
        <f t="shared" si="50"/>
        <v>2</v>
      </c>
      <c r="H1608" s="222">
        <f t="shared" si="51"/>
        <v>24409715</v>
      </c>
    </row>
    <row r="1609" spans="1:8" hidden="1">
      <c r="A1609" s="87">
        <v>25510655</v>
      </c>
      <c r="B1609" s="88" t="s">
        <v>5589</v>
      </c>
      <c r="C1609" s="88" t="s">
        <v>1453</v>
      </c>
      <c r="D1609" s="88" t="s">
        <v>9299</v>
      </c>
      <c r="E1609" s="94">
        <v>42977</v>
      </c>
      <c r="F1609" s="91"/>
      <c r="G1609" s="223">
        <f t="shared" si="50"/>
        <v>6</v>
      </c>
      <c r="H1609" s="222">
        <f t="shared" si="51"/>
        <v>25510655</v>
      </c>
    </row>
    <row r="1610" spans="1:8" hidden="1">
      <c r="A1610" s="87">
        <v>29183945</v>
      </c>
      <c r="B1610" s="88" t="s">
        <v>2731</v>
      </c>
      <c r="C1610" s="88" t="s">
        <v>2732</v>
      </c>
      <c r="D1610" s="88" t="s">
        <v>9299</v>
      </c>
      <c r="E1610" s="94">
        <v>42977</v>
      </c>
      <c r="F1610" s="91"/>
      <c r="G1610" s="223">
        <f t="shared" si="50"/>
        <v>52</v>
      </c>
      <c r="H1610" s="222">
        <f t="shared" si="51"/>
        <v>29183945</v>
      </c>
    </row>
    <row r="1611" spans="1:8" hidden="1">
      <c r="A1611" s="87">
        <v>16091162</v>
      </c>
      <c r="B1611" s="88" t="s">
        <v>5866</v>
      </c>
      <c r="C1611" s="88" t="s">
        <v>5867</v>
      </c>
      <c r="D1611" s="88" t="s">
        <v>9299</v>
      </c>
      <c r="E1611" s="94">
        <v>42977</v>
      </c>
      <c r="F1611" s="91"/>
      <c r="G1611" s="223">
        <f t="shared" si="50"/>
        <v>3</v>
      </c>
      <c r="H1611" s="222">
        <f t="shared" si="51"/>
        <v>16091162</v>
      </c>
    </row>
    <row r="1612" spans="1:8" hidden="1">
      <c r="A1612" s="87">
        <v>28223716</v>
      </c>
      <c r="B1612" s="88" t="s">
        <v>2889</v>
      </c>
      <c r="C1612" s="88" t="s">
        <v>2678</v>
      </c>
      <c r="D1612" s="88" t="s">
        <v>9299</v>
      </c>
      <c r="E1612" s="94">
        <v>42977</v>
      </c>
      <c r="F1612" s="91"/>
      <c r="G1612" s="223">
        <f t="shared" si="50"/>
        <v>81</v>
      </c>
      <c r="H1612" s="222">
        <f t="shared" si="51"/>
        <v>28223716</v>
      </c>
    </row>
    <row r="1613" spans="1:8" hidden="1">
      <c r="A1613" s="87">
        <v>31127367</v>
      </c>
      <c r="B1613" s="88" t="s">
        <v>690</v>
      </c>
      <c r="C1613" s="88" t="s">
        <v>7093</v>
      </c>
      <c r="D1613" s="88" t="s">
        <v>9299</v>
      </c>
      <c r="E1613" s="94">
        <v>42977</v>
      </c>
      <c r="F1613" s="91"/>
      <c r="G1613" s="223">
        <f t="shared" si="50"/>
        <v>6</v>
      </c>
      <c r="H1613" s="222">
        <f t="shared" si="51"/>
        <v>31127367</v>
      </c>
    </row>
    <row r="1614" spans="1:8" hidden="1">
      <c r="A1614" s="87">
        <v>25498993</v>
      </c>
      <c r="B1614" s="88" t="s">
        <v>511</v>
      </c>
      <c r="C1614" s="88" t="s">
        <v>5871</v>
      </c>
      <c r="D1614" s="88" t="s">
        <v>9299</v>
      </c>
      <c r="E1614" s="94">
        <v>42977</v>
      </c>
      <c r="F1614" s="91"/>
      <c r="G1614" s="223">
        <f t="shared" si="50"/>
        <v>3</v>
      </c>
      <c r="H1614" s="222">
        <f t="shared" si="51"/>
        <v>25498993</v>
      </c>
    </row>
    <row r="1615" spans="1:8" hidden="1">
      <c r="A1615" s="87">
        <v>21329143</v>
      </c>
      <c r="B1615" s="88" t="s">
        <v>511</v>
      </c>
      <c r="C1615" s="88" t="s">
        <v>2830</v>
      </c>
      <c r="D1615" s="88" t="s">
        <v>9299</v>
      </c>
      <c r="E1615" s="94">
        <v>42977</v>
      </c>
      <c r="F1615" s="91"/>
      <c r="G1615" s="223">
        <f t="shared" si="50"/>
        <v>53</v>
      </c>
      <c r="H1615" s="222">
        <f t="shared" si="51"/>
        <v>21329143</v>
      </c>
    </row>
    <row r="1616" spans="1:8" hidden="1">
      <c r="A1616" s="87">
        <v>16932957</v>
      </c>
      <c r="B1616" s="88" t="s">
        <v>50</v>
      </c>
      <c r="C1616" s="88" t="s">
        <v>5043</v>
      </c>
      <c r="D1616" s="88" t="s">
        <v>9299</v>
      </c>
      <c r="E1616" s="94">
        <v>42977</v>
      </c>
      <c r="F1616" s="91"/>
      <c r="G1616" s="223" t="str">
        <f t="shared" si="50"/>
        <v>sin dato</v>
      </c>
      <c r="H1616" s="222">
        <f t="shared" si="51"/>
        <v>16932957</v>
      </c>
    </row>
    <row r="1617" spans="1:8" hidden="1">
      <c r="A1617" s="87">
        <v>21086112</v>
      </c>
      <c r="B1617" s="88" t="s">
        <v>2087</v>
      </c>
      <c r="C1617" s="88" t="s">
        <v>2896</v>
      </c>
      <c r="D1617" s="88" t="s">
        <v>9299</v>
      </c>
      <c r="E1617" s="94">
        <v>42977</v>
      </c>
      <c r="F1617" s="91"/>
      <c r="G1617" s="223">
        <f t="shared" si="50"/>
        <v>10</v>
      </c>
      <c r="H1617" s="222">
        <f t="shared" si="51"/>
        <v>21086112</v>
      </c>
    </row>
    <row r="1618" spans="1:8" hidden="1">
      <c r="A1618" s="87">
        <v>22264316</v>
      </c>
      <c r="B1618" s="88" t="s">
        <v>2687</v>
      </c>
      <c r="C1618" s="88" t="s">
        <v>2688</v>
      </c>
      <c r="D1618" s="88" t="s">
        <v>9299</v>
      </c>
      <c r="E1618" s="94">
        <v>42977</v>
      </c>
      <c r="F1618" s="91"/>
      <c r="G1618" s="223">
        <f t="shared" si="50"/>
        <v>49</v>
      </c>
      <c r="H1618" s="222">
        <f t="shared" si="51"/>
        <v>22264316</v>
      </c>
    </row>
    <row r="1619" spans="1:8" hidden="1">
      <c r="A1619" s="87">
        <v>14661637</v>
      </c>
      <c r="B1619" s="88" t="s">
        <v>308</v>
      </c>
      <c r="C1619" s="88" t="s">
        <v>3996</v>
      </c>
      <c r="D1619" s="88" t="s">
        <v>9299</v>
      </c>
      <c r="E1619" s="94">
        <v>42977</v>
      </c>
      <c r="F1619" s="91"/>
      <c r="G1619" s="223">
        <f t="shared" si="50"/>
        <v>70</v>
      </c>
      <c r="H1619" s="222">
        <f t="shared" si="51"/>
        <v>14661637</v>
      </c>
    </row>
    <row r="1620" spans="1:8" hidden="1">
      <c r="A1620" s="87">
        <v>23984466</v>
      </c>
      <c r="B1620" s="88" t="s">
        <v>5611</v>
      </c>
      <c r="C1620" s="88" t="s">
        <v>215</v>
      </c>
      <c r="D1620" s="88" t="s">
        <v>9299</v>
      </c>
      <c r="E1620" s="94">
        <v>42977</v>
      </c>
      <c r="F1620" s="91"/>
      <c r="G1620" s="223">
        <f t="shared" si="50"/>
        <v>6</v>
      </c>
      <c r="H1620" s="222">
        <f t="shared" si="51"/>
        <v>23984466</v>
      </c>
    </row>
    <row r="1621" spans="1:8" hidden="1">
      <c r="A1621" s="87">
        <v>17040933</v>
      </c>
      <c r="B1621" s="88" t="s">
        <v>818</v>
      </c>
      <c r="C1621" s="88" t="s">
        <v>819</v>
      </c>
      <c r="D1621" s="88" t="s">
        <v>9299</v>
      </c>
      <c r="E1621" s="94">
        <v>42977</v>
      </c>
      <c r="F1621" s="91"/>
      <c r="G1621" s="223">
        <f t="shared" si="50"/>
        <v>9</v>
      </c>
      <c r="H1621" s="222">
        <f t="shared" si="51"/>
        <v>17040933</v>
      </c>
    </row>
    <row r="1622" spans="1:8" hidden="1">
      <c r="A1622" s="87">
        <v>17040933</v>
      </c>
      <c r="B1622" s="88" t="s">
        <v>818</v>
      </c>
      <c r="C1622" s="88" t="s">
        <v>819</v>
      </c>
      <c r="D1622" s="88" t="s">
        <v>9299</v>
      </c>
      <c r="E1622" s="94">
        <v>42977</v>
      </c>
      <c r="F1622" s="91"/>
      <c r="G1622" s="223">
        <f t="shared" si="50"/>
        <v>9</v>
      </c>
      <c r="H1622" s="222">
        <f t="shared" si="51"/>
        <v>17040933</v>
      </c>
    </row>
    <row r="1623" spans="1:8" hidden="1">
      <c r="A1623" s="87">
        <v>30408472</v>
      </c>
      <c r="B1623" s="88" t="s">
        <v>5204</v>
      </c>
      <c r="C1623" s="88" t="s">
        <v>5205</v>
      </c>
      <c r="D1623" s="88" t="s">
        <v>9299</v>
      </c>
      <c r="E1623" s="94">
        <v>42977</v>
      </c>
      <c r="F1623" s="91"/>
      <c r="G1623" s="223">
        <f t="shared" si="50"/>
        <v>2</v>
      </c>
      <c r="H1623" s="222">
        <f t="shared" si="51"/>
        <v>30408472</v>
      </c>
    </row>
    <row r="1624" spans="1:8" hidden="1">
      <c r="A1624" s="87">
        <v>22429208</v>
      </c>
      <c r="B1624" s="88" t="s">
        <v>5245</v>
      </c>
      <c r="C1624" s="88" t="s">
        <v>7094</v>
      </c>
      <c r="D1624" s="88" t="s">
        <v>9299</v>
      </c>
      <c r="E1624" s="94">
        <v>42977</v>
      </c>
      <c r="F1624" s="91"/>
      <c r="G1624" s="223">
        <f t="shared" si="50"/>
        <v>2</v>
      </c>
      <c r="H1624" s="222">
        <f t="shared" si="51"/>
        <v>22429208</v>
      </c>
    </row>
    <row r="1625" spans="1:8" hidden="1">
      <c r="A1625" s="87">
        <v>24671172</v>
      </c>
      <c r="B1625" s="88" t="s">
        <v>315</v>
      </c>
      <c r="C1625" s="88" t="s">
        <v>2902</v>
      </c>
      <c r="D1625" s="88" t="s">
        <v>9299</v>
      </c>
      <c r="E1625" s="94">
        <v>42977</v>
      </c>
      <c r="F1625" s="91"/>
      <c r="G1625" s="223">
        <f t="shared" si="50"/>
        <v>81</v>
      </c>
      <c r="H1625" s="222">
        <f t="shared" si="51"/>
        <v>24671172</v>
      </c>
    </row>
    <row r="1626" spans="1:8" hidden="1">
      <c r="A1626" s="87">
        <v>33139281</v>
      </c>
      <c r="B1626" s="88" t="s">
        <v>1549</v>
      </c>
      <c r="C1626" s="88" t="s">
        <v>5079</v>
      </c>
      <c r="D1626" s="88" t="s">
        <v>9299</v>
      </c>
      <c r="E1626" s="94">
        <v>42977</v>
      </c>
      <c r="F1626" s="91"/>
      <c r="G1626" s="223" t="str">
        <f t="shared" si="50"/>
        <v>sin dato</v>
      </c>
      <c r="H1626" s="222">
        <f t="shared" si="51"/>
        <v>33139281</v>
      </c>
    </row>
    <row r="1627" spans="1:8" hidden="1">
      <c r="A1627" s="87">
        <v>12675403</v>
      </c>
      <c r="B1627" s="88" t="s">
        <v>2821</v>
      </c>
      <c r="C1627" s="88" t="s">
        <v>2822</v>
      </c>
      <c r="D1627" s="88" t="s">
        <v>9299</v>
      </c>
      <c r="E1627" s="94">
        <v>42977</v>
      </c>
      <c r="F1627" s="91"/>
      <c r="G1627" s="223">
        <f t="shared" si="50"/>
        <v>60</v>
      </c>
      <c r="H1627" s="222">
        <f t="shared" si="51"/>
        <v>12675403</v>
      </c>
    </row>
    <row r="1628" spans="1:8" hidden="1">
      <c r="A1628" s="87">
        <v>20398681</v>
      </c>
      <c r="B1628" s="88" t="s">
        <v>1774</v>
      </c>
      <c r="C1628" s="88" t="s">
        <v>1775</v>
      </c>
      <c r="D1628" s="88" t="s">
        <v>9299</v>
      </c>
      <c r="E1628" s="94">
        <v>42977</v>
      </c>
      <c r="F1628" s="91"/>
      <c r="G1628" s="223">
        <f t="shared" si="50"/>
        <v>15</v>
      </c>
      <c r="H1628" s="222">
        <f t="shared" si="51"/>
        <v>20398681</v>
      </c>
    </row>
    <row r="1629" spans="1:8" hidden="1">
      <c r="A1629" s="87">
        <v>32412209</v>
      </c>
      <c r="B1629" s="88" t="s">
        <v>2834</v>
      </c>
      <c r="C1629" s="88" t="s">
        <v>2835</v>
      </c>
      <c r="D1629" s="88" t="s">
        <v>9299</v>
      </c>
      <c r="E1629" s="94">
        <v>42977</v>
      </c>
      <c r="F1629" s="91"/>
      <c r="G1629" s="223">
        <f t="shared" si="50"/>
        <v>53</v>
      </c>
      <c r="H1629" s="222">
        <f t="shared" si="51"/>
        <v>32412209</v>
      </c>
    </row>
    <row r="1630" spans="1:8" hidden="1">
      <c r="A1630" s="87">
        <v>22303060</v>
      </c>
      <c r="B1630" s="88" t="s">
        <v>6270</v>
      </c>
      <c r="C1630" s="88" t="s">
        <v>233</v>
      </c>
      <c r="D1630" s="88" t="s">
        <v>9299</v>
      </c>
      <c r="E1630" s="94">
        <v>42977</v>
      </c>
      <c r="F1630" s="91"/>
      <c r="G1630" s="223">
        <f t="shared" si="50"/>
        <v>999</v>
      </c>
      <c r="H1630" s="222">
        <f t="shared" si="51"/>
        <v>22303060</v>
      </c>
    </row>
    <row r="1631" spans="1:8" hidden="1">
      <c r="A1631" s="87">
        <v>25709455</v>
      </c>
      <c r="B1631" s="88" t="s">
        <v>5643</v>
      </c>
      <c r="C1631" s="88" t="s">
        <v>5644</v>
      </c>
      <c r="D1631" s="88" t="s">
        <v>9299</v>
      </c>
      <c r="E1631" s="94">
        <v>42977</v>
      </c>
      <c r="F1631" s="91"/>
      <c r="G1631" s="223">
        <f t="shared" si="50"/>
        <v>6</v>
      </c>
      <c r="H1631" s="222">
        <f t="shared" si="51"/>
        <v>25709455</v>
      </c>
    </row>
    <row r="1632" spans="1:8" hidden="1">
      <c r="A1632" s="87">
        <v>14083053</v>
      </c>
      <c r="B1632" s="88" t="s">
        <v>327</v>
      </c>
      <c r="C1632" s="88" t="s">
        <v>5295</v>
      </c>
      <c r="D1632" s="88" t="s">
        <v>9299</v>
      </c>
      <c r="E1632" s="94">
        <v>42977</v>
      </c>
      <c r="F1632" s="91"/>
      <c r="G1632" s="223">
        <f t="shared" si="50"/>
        <v>87</v>
      </c>
      <c r="H1632" s="222">
        <f t="shared" si="51"/>
        <v>14083053</v>
      </c>
    </row>
    <row r="1633" spans="1:8" hidden="1">
      <c r="A1633" s="87">
        <v>13338781</v>
      </c>
      <c r="B1633" s="88" t="s">
        <v>327</v>
      </c>
      <c r="C1633" s="88" t="s">
        <v>1191</v>
      </c>
      <c r="D1633" s="88" t="s">
        <v>9299</v>
      </c>
      <c r="E1633" s="94">
        <v>42977</v>
      </c>
      <c r="F1633" s="91"/>
      <c r="G1633" s="223">
        <f t="shared" si="50"/>
        <v>7</v>
      </c>
      <c r="H1633" s="222">
        <f t="shared" si="51"/>
        <v>13338781</v>
      </c>
    </row>
    <row r="1634" spans="1:8" hidden="1">
      <c r="A1634" s="87">
        <v>32201633</v>
      </c>
      <c r="B1634" s="88" t="s">
        <v>327</v>
      </c>
      <c r="C1634" s="88" t="s">
        <v>3793</v>
      </c>
      <c r="D1634" s="88" t="s">
        <v>9299</v>
      </c>
      <c r="E1634" s="94">
        <v>42977</v>
      </c>
      <c r="F1634" s="91"/>
      <c r="G1634" s="223">
        <f t="shared" si="50"/>
        <v>20</v>
      </c>
      <c r="H1634" s="222">
        <f t="shared" si="51"/>
        <v>32201633</v>
      </c>
    </row>
    <row r="1635" spans="1:8" hidden="1">
      <c r="A1635" s="87">
        <v>18230668</v>
      </c>
      <c r="B1635" s="88" t="s">
        <v>2375</v>
      </c>
      <c r="C1635" s="88" t="s">
        <v>2376</v>
      </c>
      <c r="D1635" s="88" t="s">
        <v>9299</v>
      </c>
      <c r="E1635" s="94">
        <v>42977</v>
      </c>
      <c r="F1635" s="91"/>
      <c r="G1635" s="223">
        <f t="shared" si="50"/>
        <v>17</v>
      </c>
      <c r="H1635" s="222">
        <f t="shared" si="51"/>
        <v>18230668</v>
      </c>
    </row>
    <row r="1636" spans="1:8" hidden="1">
      <c r="A1636" s="87">
        <v>20759438</v>
      </c>
      <c r="B1636" s="88" t="s">
        <v>350</v>
      </c>
      <c r="C1636" s="88" t="s">
        <v>5656</v>
      </c>
      <c r="D1636" s="88" t="s">
        <v>9299</v>
      </c>
      <c r="E1636" s="94">
        <v>42977</v>
      </c>
      <c r="F1636" s="91"/>
      <c r="G1636" s="223">
        <f t="shared" si="50"/>
        <v>6</v>
      </c>
      <c r="H1636" s="222">
        <f t="shared" si="51"/>
        <v>20759438</v>
      </c>
    </row>
    <row r="1637" spans="1:8" hidden="1">
      <c r="A1637" s="87">
        <v>10950023</v>
      </c>
      <c r="B1637" s="88" t="s">
        <v>2825</v>
      </c>
      <c r="C1637" s="88" t="s">
        <v>2826</v>
      </c>
      <c r="D1637" s="88" t="s">
        <v>9299</v>
      </c>
      <c r="E1637" s="94">
        <v>42977</v>
      </c>
      <c r="F1637" s="91"/>
      <c r="G1637" s="223">
        <f t="shared" si="50"/>
        <v>60</v>
      </c>
      <c r="H1637" s="222">
        <f t="shared" si="51"/>
        <v>10950023</v>
      </c>
    </row>
    <row r="1638" spans="1:8" hidden="1">
      <c r="A1638" s="87">
        <v>11322668</v>
      </c>
      <c r="B1638" s="88" t="s">
        <v>1565</v>
      </c>
      <c r="C1638" s="88" t="s">
        <v>2751</v>
      </c>
      <c r="D1638" s="88" t="s">
        <v>9299</v>
      </c>
      <c r="E1638" s="94">
        <v>42977</v>
      </c>
      <c r="F1638" s="91"/>
      <c r="G1638" s="223">
        <f t="shared" si="50"/>
        <v>54</v>
      </c>
      <c r="H1638" s="222">
        <f t="shared" si="51"/>
        <v>11322668</v>
      </c>
    </row>
    <row r="1639" spans="1:8" hidden="1">
      <c r="A1639" s="87">
        <v>27595246</v>
      </c>
      <c r="B1639" s="88" t="s">
        <v>6312</v>
      </c>
      <c r="C1639" s="88" t="s">
        <v>328</v>
      </c>
      <c r="D1639" s="88" t="s">
        <v>9299</v>
      </c>
      <c r="E1639" s="94">
        <v>42977</v>
      </c>
      <c r="F1639" s="91"/>
      <c r="G1639" s="223">
        <f t="shared" si="50"/>
        <v>999</v>
      </c>
      <c r="H1639" s="222">
        <f t="shared" si="51"/>
        <v>27595246</v>
      </c>
    </row>
    <row r="1640" spans="1:8" hidden="1">
      <c r="A1640" s="87">
        <v>17614178</v>
      </c>
      <c r="B1640" s="88" t="s">
        <v>1787</v>
      </c>
      <c r="C1640" s="88" t="s">
        <v>3592</v>
      </c>
      <c r="D1640" s="88" t="s">
        <v>9299</v>
      </c>
      <c r="E1640" s="94">
        <v>42977</v>
      </c>
      <c r="F1640" s="91"/>
      <c r="G1640" s="223" t="str">
        <f t="shared" si="50"/>
        <v>sin dato</v>
      </c>
      <c r="H1640" s="222">
        <f t="shared" si="51"/>
        <v>17614178</v>
      </c>
    </row>
    <row r="1641" spans="1:8" hidden="1">
      <c r="A1641" s="87">
        <v>33818840</v>
      </c>
      <c r="B1641" s="88" t="s">
        <v>5846</v>
      </c>
      <c r="C1641" s="88" t="s">
        <v>7095</v>
      </c>
      <c r="D1641" s="88" t="s">
        <v>9299</v>
      </c>
      <c r="E1641" s="94">
        <v>42977</v>
      </c>
      <c r="F1641" s="91"/>
      <c r="G1641" s="223">
        <f t="shared" si="50"/>
        <v>45</v>
      </c>
      <c r="H1641" s="222">
        <f t="shared" si="51"/>
        <v>33818840</v>
      </c>
    </row>
    <row r="1642" spans="1:8" hidden="1">
      <c r="A1642" s="87">
        <v>12414762</v>
      </c>
      <c r="B1642" s="88" t="s">
        <v>5679</v>
      </c>
      <c r="C1642" s="88" t="s">
        <v>2218</v>
      </c>
      <c r="D1642" s="88" t="s">
        <v>9299</v>
      </c>
      <c r="E1642" s="94">
        <v>42977</v>
      </c>
      <c r="F1642" s="91"/>
      <c r="G1642" s="223">
        <f t="shared" si="50"/>
        <v>6</v>
      </c>
      <c r="H1642" s="222">
        <f t="shared" si="51"/>
        <v>12414762</v>
      </c>
    </row>
    <row r="1643" spans="1:8" hidden="1">
      <c r="A1643" s="87">
        <v>16686145</v>
      </c>
      <c r="B1643" s="88" t="s">
        <v>1793</v>
      </c>
      <c r="C1643" s="88" t="s">
        <v>5406</v>
      </c>
      <c r="D1643" s="88" t="s">
        <v>9299</v>
      </c>
      <c r="E1643" s="94">
        <v>42977</v>
      </c>
      <c r="F1643" s="91"/>
      <c r="G1643" s="223">
        <f t="shared" si="50"/>
        <v>10</v>
      </c>
      <c r="H1643" s="222">
        <f t="shared" si="51"/>
        <v>16686145</v>
      </c>
    </row>
    <row r="1644" spans="1:8" hidden="1">
      <c r="A1644" s="87">
        <v>37456249</v>
      </c>
      <c r="B1644" s="88" t="s">
        <v>5409</v>
      </c>
      <c r="C1644" s="88" t="s">
        <v>5410</v>
      </c>
      <c r="D1644" s="88" t="s">
        <v>9299</v>
      </c>
      <c r="E1644" s="94">
        <v>42977</v>
      </c>
      <c r="F1644" s="91"/>
      <c r="G1644" s="223" t="str">
        <f t="shared" si="50"/>
        <v>sin dato</v>
      </c>
      <c r="H1644" s="222" t="str">
        <f t="shared" si="51"/>
        <v>999</v>
      </c>
    </row>
    <row r="1645" spans="1:8" hidden="1">
      <c r="A1645" s="87">
        <v>23931856</v>
      </c>
      <c r="B1645" s="88" t="s">
        <v>5210</v>
      </c>
      <c r="C1645" s="88" t="s">
        <v>4341</v>
      </c>
      <c r="D1645" s="88" t="s">
        <v>9299</v>
      </c>
      <c r="E1645" s="94">
        <v>42977</v>
      </c>
      <c r="F1645" s="91"/>
      <c r="G1645" s="223">
        <f t="shared" si="50"/>
        <v>2</v>
      </c>
      <c r="H1645" s="222">
        <f t="shared" si="51"/>
        <v>23931856</v>
      </c>
    </row>
    <row r="1646" spans="1:8" hidden="1">
      <c r="A1646" s="87">
        <v>31253897</v>
      </c>
      <c r="B1646" s="88" t="s">
        <v>5415</v>
      </c>
      <c r="C1646" s="88" t="s">
        <v>30</v>
      </c>
      <c r="D1646" s="88" t="s">
        <v>9299</v>
      </c>
      <c r="E1646" s="94">
        <v>42977</v>
      </c>
      <c r="F1646" s="91"/>
      <c r="G1646" s="223">
        <f t="shared" si="50"/>
        <v>7</v>
      </c>
      <c r="H1646" s="222">
        <f t="shared" si="51"/>
        <v>31253897</v>
      </c>
    </row>
    <row r="1647" spans="1:8" hidden="1">
      <c r="A1647" s="87">
        <v>12733236</v>
      </c>
      <c r="B1647" s="88" t="s">
        <v>1805</v>
      </c>
      <c r="C1647" s="88" t="s">
        <v>1806</v>
      </c>
      <c r="D1647" s="88" t="s">
        <v>9299</v>
      </c>
      <c r="E1647" s="94">
        <v>42977</v>
      </c>
      <c r="F1647" s="91"/>
      <c r="G1647" s="223">
        <f t="shared" si="50"/>
        <v>15</v>
      </c>
      <c r="H1647" s="222">
        <f t="shared" si="51"/>
        <v>12733236</v>
      </c>
    </row>
    <row r="1648" spans="1:8" hidden="1">
      <c r="A1648" s="87">
        <v>16132179</v>
      </c>
      <c r="B1648" s="88" t="s">
        <v>824</v>
      </c>
      <c r="C1648" s="88" t="s">
        <v>825</v>
      </c>
      <c r="D1648" s="88" t="s">
        <v>9299</v>
      </c>
      <c r="E1648" s="94">
        <v>42977</v>
      </c>
      <c r="F1648" s="91"/>
      <c r="G1648" s="223">
        <f t="shared" si="50"/>
        <v>37</v>
      </c>
      <c r="H1648" s="222">
        <f t="shared" si="51"/>
        <v>16132179</v>
      </c>
    </row>
    <row r="1649" spans="1:8" hidden="1">
      <c r="A1649" s="87">
        <v>20284448</v>
      </c>
      <c r="B1649" s="88" t="s">
        <v>5213</v>
      </c>
      <c r="C1649" s="88" t="s">
        <v>5214</v>
      </c>
      <c r="D1649" s="88" t="s">
        <v>9299</v>
      </c>
      <c r="E1649" s="94">
        <v>42977</v>
      </c>
      <c r="F1649" s="91"/>
      <c r="G1649" s="223">
        <f t="shared" si="50"/>
        <v>2</v>
      </c>
      <c r="H1649" s="222">
        <f t="shared" si="51"/>
        <v>20284448</v>
      </c>
    </row>
    <row r="1650" spans="1:8" hidden="1">
      <c r="A1650" s="87">
        <v>26013921</v>
      </c>
      <c r="B1650" s="88" t="s">
        <v>789</v>
      </c>
      <c r="C1650" s="88" t="s">
        <v>1353</v>
      </c>
      <c r="D1650" s="88" t="s">
        <v>9299</v>
      </c>
      <c r="E1650" s="94">
        <v>42977</v>
      </c>
      <c r="F1650" s="91"/>
      <c r="G1650" s="223" t="str">
        <f t="shared" si="50"/>
        <v>sin dato</v>
      </c>
      <c r="H1650" s="222">
        <f t="shared" si="51"/>
        <v>26013921</v>
      </c>
    </row>
    <row r="1651" spans="1:8" hidden="1">
      <c r="A1651" s="87">
        <v>26277267</v>
      </c>
      <c r="B1651" s="88" t="s">
        <v>428</v>
      </c>
      <c r="C1651" s="88" t="s">
        <v>5700</v>
      </c>
      <c r="D1651" s="88" t="s">
        <v>9299</v>
      </c>
      <c r="E1651" s="94">
        <v>42977</v>
      </c>
      <c r="F1651" s="91"/>
      <c r="G1651" s="223">
        <f t="shared" si="50"/>
        <v>6</v>
      </c>
      <c r="H1651" s="222">
        <f t="shared" si="51"/>
        <v>26277267</v>
      </c>
    </row>
    <row r="1652" spans="1:8" hidden="1">
      <c r="A1652" s="87">
        <v>24338410</v>
      </c>
      <c r="B1652" s="88" t="s">
        <v>5849</v>
      </c>
      <c r="C1652" s="88" t="s">
        <v>455</v>
      </c>
      <c r="D1652" s="88" t="s">
        <v>9299</v>
      </c>
      <c r="E1652" s="94">
        <v>42977</v>
      </c>
      <c r="F1652" s="91"/>
      <c r="G1652" s="223">
        <f t="shared" si="50"/>
        <v>5</v>
      </c>
      <c r="H1652" s="222">
        <f t="shared" si="51"/>
        <v>24338410</v>
      </c>
    </row>
    <row r="1653" spans="1:8" hidden="1">
      <c r="A1653" s="87">
        <v>16458234</v>
      </c>
      <c r="B1653" s="88" t="s">
        <v>2592</v>
      </c>
      <c r="C1653" s="88" t="s">
        <v>2593</v>
      </c>
      <c r="D1653" s="88" t="s">
        <v>9299</v>
      </c>
      <c r="E1653" s="94">
        <v>42977</v>
      </c>
      <c r="F1653" s="91"/>
      <c r="G1653" s="223">
        <f t="shared" si="50"/>
        <v>9</v>
      </c>
      <c r="H1653" s="222">
        <f t="shared" si="51"/>
        <v>16458234</v>
      </c>
    </row>
    <row r="1654" spans="1:8" hidden="1">
      <c r="A1654" s="87">
        <v>17523461</v>
      </c>
      <c r="B1654" s="88" t="s">
        <v>574</v>
      </c>
      <c r="C1654" s="88" t="s">
        <v>571</v>
      </c>
      <c r="D1654" s="88" t="s">
        <v>9299</v>
      </c>
      <c r="E1654" s="94">
        <v>42977</v>
      </c>
      <c r="F1654" s="91"/>
      <c r="G1654" s="223">
        <f t="shared" si="50"/>
        <v>2</v>
      </c>
      <c r="H1654" s="222">
        <f t="shared" si="51"/>
        <v>17523461</v>
      </c>
    </row>
    <row r="1655" spans="1:8" hidden="1">
      <c r="A1655" s="87">
        <v>24553319</v>
      </c>
      <c r="B1655" s="88" t="s">
        <v>1364</v>
      </c>
      <c r="C1655" s="88" t="s">
        <v>5705</v>
      </c>
      <c r="D1655" s="88" t="s">
        <v>9299</v>
      </c>
      <c r="E1655" s="94">
        <v>42977</v>
      </c>
      <c r="F1655" s="91"/>
      <c r="G1655" s="223">
        <f t="shared" si="50"/>
        <v>6</v>
      </c>
      <c r="H1655" s="222">
        <f t="shared" si="51"/>
        <v>24553319</v>
      </c>
    </row>
    <row r="1656" spans="1:8" hidden="1">
      <c r="A1656" s="87">
        <v>20884030</v>
      </c>
      <c r="B1656" s="88" t="s">
        <v>2876</v>
      </c>
      <c r="C1656" s="88" t="s">
        <v>27</v>
      </c>
      <c r="D1656" s="88" t="s">
        <v>9299</v>
      </c>
      <c r="E1656" s="94">
        <v>42977</v>
      </c>
      <c r="F1656" s="91"/>
      <c r="G1656" s="223">
        <f t="shared" si="50"/>
        <v>63</v>
      </c>
      <c r="H1656" s="222">
        <f t="shared" si="51"/>
        <v>20884030</v>
      </c>
    </row>
    <row r="1657" spans="1:8" hidden="1">
      <c r="A1657" s="87">
        <v>24802284</v>
      </c>
      <c r="B1657" s="88" t="s">
        <v>1613</v>
      </c>
      <c r="C1657" s="88" t="s">
        <v>455</v>
      </c>
      <c r="D1657" s="88" t="s">
        <v>9299</v>
      </c>
      <c r="E1657" s="94">
        <v>42977</v>
      </c>
      <c r="F1657" s="91"/>
      <c r="G1657" s="223">
        <f t="shared" si="50"/>
        <v>17</v>
      </c>
      <c r="H1657" s="222">
        <f t="shared" si="51"/>
        <v>24802284</v>
      </c>
    </row>
    <row r="1658" spans="1:8" hidden="1">
      <c r="A1658" s="87">
        <v>20178701</v>
      </c>
      <c r="B1658" s="88" t="s">
        <v>2598</v>
      </c>
      <c r="C1658" s="88" t="s">
        <v>2599</v>
      </c>
      <c r="D1658" s="88" t="s">
        <v>9299</v>
      </c>
      <c r="E1658" s="94">
        <v>42977</v>
      </c>
      <c r="F1658" s="91"/>
      <c r="G1658" s="223">
        <f t="shared" si="50"/>
        <v>14</v>
      </c>
      <c r="H1658" s="222">
        <f t="shared" si="51"/>
        <v>20178701</v>
      </c>
    </row>
    <row r="1659" spans="1:8" hidden="1">
      <c r="A1659" s="87">
        <v>12606192</v>
      </c>
      <c r="B1659" s="88" t="s">
        <v>2737</v>
      </c>
      <c r="C1659" s="88" t="s">
        <v>2738</v>
      </c>
      <c r="D1659" s="88" t="s">
        <v>9299</v>
      </c>
      <c r="E1659" s="94">
        <v>42977</v>
      </c>
      <c r="F1659" s="91"/>
      <c r="G1659" s="223">
        <f t="shared" si="50"/>
        <v>52</v>
      </c>
      <c r="H1659" s="222">
        <f t="shared" si="51"/>
        <v>12606192</v>
      </c>
    </row>
    <row r="1660" spans="1:8" hidden="1">
      <c r="A1660" s="87">
        <v>21320060</v>
      </c>
      <c r="B1660" s="88" t="s">
        <v>5133</v>
      </c>
      <c r="C1660" s="88" t="s">
        <v>5134</v>
      </c>
      <c r="D1660" s="88" t="s">
        <v>9299</v>
      </c>
      <c r="E1660" s="94">
        <v>42977</v>
      </c>
      <c r="F1660" s="91"/>
      <c r="G1660" s="223" t="str">
        <f t="shared" si="50"/>
        <v>sin dato</v>
      </c>
      <c r="H1660" s="222">
        <f t="shared" si="51"/>
        <v>21320060</v>
      </c>
    </row>
    <row r="1661" spans="1:8" hidden="1">
      <c r="A1661" s="87">
        <v>24802894</v>
      </c>
      <c r="B1661" s="88" t="s">
        <v>4407</v>
      </c>
      <c r="C1661" s="88" t="s">
        <v>5227</v>
      </c>
      <c r="D1661" s="88" t="s">
        <v>9299</v>
      </c>
      <c r="E1661" s="94">
        <v>42977</v>
      </c>
      <c r="F1661" s="91"/>
      <c r="G1661" s="223">
        <f t="shared" si="50"/>
        <v>2</v>
      </c>
      <c r="H1661" s="222">
        <f t="shared" si="51"/>
        <v>24802894</v>
      </c>
    </row>
    <row r="1662" spans="1:8" hidden="1">
      <c r="A1662" s="87">
        <v>25380568</v>
      </c>
      <c r="B1662" s="88" t="s">
        <v>1823</v>
      </c>
      <c r="C1662" s="88" t="s">
        <v>2753</v>
      </c>
      <c r="D1662" s="88" t="s">
        <v>9299</v>
      </c>
      <c r="E1662" s="94">
        <v>42977</v>
      </c>
      <c r="F1662" s="91"/>
      <c r="G1662" s="223">
        <f t="shared" si="50"/>
        <v>7</v>
      </c>
      <c r="H1662" s="222">
        <f t="shared" si="51"/>
        <v>25380568</v>
      </c>
    </row>
    <row r="1663" spans="1:8" hidden="1">
      <c r="A1663" s="87">
        <v>33541793</v>
      </c>
      <c r="B1663" s="88" t="s">
        <v>1244</v>
      </c>
      <c r="C1663" s="88" t="s">
        <v>906</v>
      </c>
      <c r="D1663" s="88" t="s">
        <v>9299</v>
      </c>
      <c r="E1663" s="94">
        <v>42977</v>
      </c>
      <c r="F1663" s="91"/>
      <c r="G1663" s="223">
        <f t="shared" si="50"/>
        <v>53</v>
      </c>
      <c r="H1663" s="222">
        <f t="shared" si="51"/>
        <v>33541793</v>
      </c>
    </row>
    <row r="1664" spans="1:8" hidden="1">
      <c r="A1664" s="87">
        <v>25735768</v>
      </c>
      <c r="B1664" s="88" t="s">
        <v>5718</v>
      </c>
      <c r="C1664" s="88" t="s">
        <v>7096</v>
      </c>
      <c r="D1664" s="88" t="s">
        <v>9299</v>
      </c>
      <c r="E1664" s="94">
        <v>42977</v>
      </c>
      <c r="F1664" s="91"/>
      <c r="G1664" s="223">
        <f t="shared" si="50"/>
        <v>6</v>
      </c>
      <c r="H1664" s="222">
        <f t="shared" si="51"/>
        <v>25735768</v>
      </c>
    </row>
    <row r="1665" spans="1:8" hidden="1">
      <c r="A1665" s="87">
        <v>21823138</v>
      </c>
      <c r="B1665" s="88" t="s">
        <v>2840</v>
      </c>
      <c r="C1665" s="88" t="s">
        <v>2841</v>
      </c>
      <c r="D1665" s="88" t="s">
        <v>9299</v>
      </c>
      <c r="E1665" s="94">
        <v>42977</v>
      </c>
      <c r="F1665" s="91"/>
      <c r="G1665" s="223">
        <f t="shared" si="50"/>
        <v>61</v>
      </c>
      <c r="H1665" s="222">
        <f t="shared" si="51"/>
        <v>21823138</v>
      </c>
    </row>
    <row r="1666" spans="1:8" hidden="1">
      <c r="A1666" s="87">
        <v>33977015</v>
      </c>
      <c r="B1666" s="88" t="s">
        <v>472</v>
      </c>
      <c r="C1666" s="88" t="s">
        <v>5721</v>
      </c>
      <c r="D1666" s="88" t="s">
        <v>9299</v>
      </c>
      <c r="E1666" s="94">
        <v>42977</v>
      </c>
      <c r="F1666" s="91"/>
      <c r="G1666" s="223">
        <f t="shared" ref="G1666:G1729" si="52">IFERROR(INDEX(unidad,MATCH(VLOOKUP(A1666,alum,9,0),unidad2,0),1),"sin dato")</f>
        <v>6</v>
      </c>
      <c r="H1666" s="222">
        <f t="shared" ref="H1666:H1729" si="53">IFERROR(VLOOKUP(A1666,alum,1,0),"999")</f>
        <v>33977015</v>
      </c>
    </row>
    <row r="1667" spans="1:8" hidden="1">
      <c r="A1667" s="87">
        <v>30069677</v>
      </c>
      <c r="B1667" s="88" t="s">
        <v>2612</v>
      </c>
      <c r="C1667" s="88" t="s">
        <v>2613</v>
      </c>
      <c r="D1667" s="88" t="s">
        <v>9299</v>
      </c>
      <c r="E1667" s="94">
        <v>42977</v>
      </c>
      <c r="F1667" s="91"/>
      <c r="G1667" s="223">
        <f t="shared" si="52"/>
        <v>14</v>
      </c>
      <c r="H1667" s="222">
        <f t="shared" si="53"/>
        <v>30069677</v>
      </c>
    </row>
    <row r="1668" spans="1:8" hidden="1">
      <c r="A1668" s="87">
        <v>20219100</v>
      </c>
      <c r="B1668" s="88" t="s">
        <v>875</v>
      </c>
      <c r="C1668" s="88" t="s">
        <v>5137</v>
      </c>
      <c r="D1668" s="88" t="s">
        <v>9299</v>
      </c>
      <c r="E1668" s="94">
        <v>42977</v>
      </c>
      <c r="F1668" s="91"/>
      <c r="G1668" s="223" t="str">
        <f t="shared" si="52"/>
        <v>sin dato</v>
      </c>
      <c r="H1668" s="222">
        <f t="shared" si="53"/>
        <v>20219100</v>
      </c>
    </row>
    <row r="1669" spans="1:8" hidden="1">
      <c r="A1669" s="87">
        <v>20301219</v>
      </c>
      <c r="B1669" s="88" t="s">
        <v>5140</v>
      </c>
      <c r="C1669" s="88" t="s">
        <v>5141</v>
      </c>
      <c r="D1669" s="88" t="s">
        <v>9299</v>
      </c>
      <c r="E1669" s="94">
        <v>42977</v>
      </c>
      <c r="F1669" s="91"/>
      <c r="G1669" s="223" t="str">
        <f t="shared" si="52"/>
        <v>sin dato</v>
      </c>
      <c r="H1669" s="222">
        <f t="shared" si="53"/>
        <v>20301219</v>
      </c>
    </row>
    <row r="1670" spans="1:8" hidden="1">
      <c r="A1670" s="87">
        <v>26446257</v>
      </c>
      <c r="B1670" s="88" t="s">
        <v>5425</v>
      </c>
      <c r="C1670" s="88" t="s">
        <v>5426</v>
      </c>
      <c r="D1670" s="88" t="s">
        <v>9299</v>
      </c>
      <c r="E1670" s="94">
        <v>42977</v>
      </c>
      <c r="F1670" s="91"/>
      <c r="G1670" s="223">
        <f t="shared" si="52"/>
        <v>7</v>
      </c>
      <c r="H1670" s="222">
        <f t="shared" si="53"/>
        <v>26446257</v>
      </c>
    </row>
    <row r="1671" spans="1:8" hidden="1">
      <c r="A1671" s="87">
        <v>37309766</v>
      </c>
      <c r="B1671" s="88" t="s">
        <v>547</v>
      </c>
      <c r="C1671" s="88" t="s">
        <v>5851</v>
      </c>
      <c r="D1671" s="88" t="s">
        <v>9299</v>
      </c>
      <c r="E1671" s="94">
        <v>42977</v>
      </c>
      <c r="F1671" s="91"/>
      <c r="G1671" s="223" t="str">
        <f t="shared" si="52"/>
        <v>sin dato</v>
      </c>
      <c r="H1671" s="222" t="str">
        <f t="shared" si="53"/>
        <v>999</v>
      </c>
    </row>
    <row r="1672" spans="1:8" hidden="1">
      <c r="A1672" s="87">
        <v>14226566</v>
      </c>
      <c r="B1672" s="88" t="s">
        <v>547</v>
      </c>
      <c r="C1672" s="88" t="s">
        <v>2827</v>
      </c>
      <c r="D1672" s="88" t="s">
        <v>9299</v>
      </c>
      <c r="E1672" s="94">
        <v>42977</v>
      </c>
      <c r="F1672" s="91"/>
      <c r="G1672" s="223">
        <f t="shared" si="52"/>
        <v>60</v>
      </c>
      <c r="H1672" s="222">
        <f t="shared" si="53"/>
        <v>14226566</v>
      </c>
    </row>
    <row r="1673" spans="1:8" hidden="1">
      <c r="A1673" s="87">
        <v>22877708</v>
      </c>
      <c r="B1673" s="88" t="s">
        <v>2709</v>
      </c>
      <c r="C1673" s="88" t="s">
        <v>2710</v>
      </c>
      <c r="D1673" s="88" t="s">
        <v>9299</v>
      </c>
      <c r="E1673" s="94">
        <v>42977</v>
      </c>
      <c r="F1673" s="91"/>
      <c r="G1673" s="223">
        <f t="shared" si="52"/>
        <v>50</v>
      </c>
      <c r="H1673" s="222">
        <f t="shared" si="53"/>
        <v>22877708</v>
      </c>
    </row>
    <row r="1674" spans="1:8" hidden="1">
      <c r="A1674" s="87">
        <v>15966562</v>
      </c>
      <c r="B1674" s="88" t="s">
        <v>1493</v>
      </c>
      <c r="C1674" s="88" t="s">
        <v>1494</v>
      </c>
      <c r="D1674" s="88" t="s">
        <v>9299</v>
      </c>
      <c r="E1674" s="94">
        <v>42977</v>
      </c>
      <c r="F1674" s="91"/>
      <c r="G1674" s="223">
        <f t="shared" si="52"/>
        <v>45</v>
      </c>
      <c r="H1674" s="222">
        <f t="shared" si="53"/>
        <v>15966562</v>
      </c>
    </row>
    <row r="1675" spans="1:8" hidden="1">
      <c r="A1675" s="87">
        <v>31842029</v>
      </c>
      <c r="B1675" s="88" t="s">
        <v>5233</v>
      </c>
      <c r="C1675" s="88" t="s">
        <v>5234</v>
      </c>
      <c r="D1675" s="88" t="s">
        <v>9299</v>
      </c>
      <c r="E1675" s="94">
        <v>42977</v>
      </c>
      <c r="F1675" s="91"/>
      <c r="G1675" s="223">
        <f t="shared" si="52"/>
        <v>2</v>
      </c>
      <c r="H1675" s="222">
        <f t="shared" si="53"/>
        <v>31842029</v>
      </c>
    </row>
    <row r="1676" spans="1:8" hidden="1">
      <c r="A1676" s="87">
        <v>23319971</v>
      </c>
      <c r="B1676" s="88" t="s">
        <v>2294</v>
      </c>
      <c r="C1676" s="88" t="s">
        <v>3163</v>
      </c>
      <c r="D1676" s="88" t="s">
        <v>9299</v>
      </c>
      <c r="E1676" s="94">
        <v>42977</v>
      </c>
      <c r="F1676" s="91"/>
      <c r="G1676" s="223">
        <f t="shared" si="52"/>
        <v>67</v>
      </c>
      <c r="H1676" s="222">
        <f t="shared" si="53"/>
        <v>23319971</v>
      </c>
    </row>
    <row r="1677" spans="1:8" hidden="1">
      <c r="A1677" s="87">
        <v>13710789</v>
      </c>
      <c r="B1677" s="88" t="s">
        <v>1842</v>
      </c>
      <c r="C1677" s="88" t="s">
        <v>584</v>
      </c>
      <c r="D1677" s="88" t="s">
        <v>9299</v>
      </c>
      <c r="E1677" s="94">
        <v>42977</v>
      </c>
      <c r="F1677" s="91"/>
      <c r="G1677" s="223">
        <f t="shared" si="52"/>
        <v>56</v>
      </c>
      <c r="H1677" s="222">
        <f t="shared" si="53"/>
        <v>13710789</v>
      </c>
    </row>
    <row r="1678" spans="1:8" hidden="1">
      <c r="A1678" s="87">
        <v>16176925</v>
      </c>
      <c r="B1678" s="88" t="s">
        <v>2740</v>
      </c>
      <c r="C1678" s="88" t="s">
        <v>2741</v>
      </c>
      <c r="D1678" s="88" t="s">
        <v>9299</v>
      </c>
      <c r="E1678" s="94">
        <v>42977</v>
      </c>
      <c r="F1678" s="91"/>
      <c r="G1678" s="223">
        <f t="shared" si="52"/>
        <v>52</v>
      </c>
      <c r="H1678" s="222">
        <f t="shared" si="53"/>
        <v>16176925</v>
      </c>
    </row>
    <row r="1679" spans="1:8" hidden="1">
      <c r="A1679" s="87">
        <v>16883300</v>
      </c>
      <c r="B1679" s="88" t="s">
        <v>7097</v>
      </c>
      <c r="C1679" s="88" t="s">
        <v>7098</v>
      </c>
      <c r="D1679" s="88" t="s">
        <v>9299</v>
      </c>
      <c r="E1679" s="94">
        <v>42977</v>
      </c>
      <c r="F1679" s="91"/>
      <c r="G1679" s="223">
        <f t="shared" si="52"/>
        <v>6</v>
      </c>
      <c r="H1679" s="222">
        <f t="shared" si="53"/>
        <v>16883300</v>
      </c>
    </row>
    <row r="1680" spans="1:8" hidden="1">
      <c r="A1680" s="87">
        <v>27365353</v>
      </c>
      <c r="B1680" s="88" t="s">
        <v>5732</v>
      </c>
      <c r="C1680" s="88" t="s">
        <v>5733</v>
      </c>
      <c r="D1680" s="88" t="s">
        <v>9299</v>
      </c>
      <c r="E1680" s="94">
        <v>42977</v>
      </c>
      <c r="F1680" s="91"/>
      <c r="G1680" s="223">
        <f t="shared" si="52"/>
        <v>65</v>
      </c>
      <c r="H1680" s="222">
        <f t="shared" si="53"/>
        <v>27365353</v>
      </c>
    </row>
    <row r="1681" spans="1:8" hidden="1">
      <c r="A1681" s="87">
        <v>18185663</v>
      </c>
      <c r="B1681" s="88" t="s">
        <v>26</v>
      </c>
      <c r="C1681" s="88" t="s">
        <v>5759</v>
      </c>
      <c r="D1681" s="88" t="s">
        <v>7009</v>
      </c>
      <c r="E1681" s="94">
        <v>42958</v>
      </c>
      <c r="F1681" s="91" t="s">
        <v>9302</v>
      </c>
      <c r="G1681" s="223" t="str">
        <f t="shared" si="52"/>
        <v>sin dato</v>
      </c>
      <c r="H1681" s="222">
        <f t="shared" si="53"/>
        <v>18185663</v>
      </c>
    </row>
    <row r="1682" spans="1:8" hidden="1">
      <c r="A1682" s="87">
        <v>25213575</v>
      </c>
      <c r="B1682" s="88" t="s">
        <v>64</v>
      </c>
      <c r="C1682" s="88" t="s">
        <v>1453</v>
      </c>
      <c r="D1682" s="88" t="s">
        <v>7009</v>
      </c>
      <c r="E1682" s="94">
        <v>42958</v>
      </c>
      <c r="F1682" s="98" t="s">
        <v>6853</v>
      </c>
      <c r="G1682" s="223">
        <f t="shared" si="52"/>
        <v>41</v>
      </c>
      <c r="H1682" s="222">
        <f t="shared" si="53"/>
        <v>25213575</v>
      </c>
    </row>
    <row r="1683" spans="1:8" hidden="1">
      <c r="A1683" s="87">
        <v>31644419</v>
      </c>
      <c r="B1683" s="88" t="s">
        <v>4504</v>
      </c>
      <c r="C1683" s="88" t="s">
        <v>2613</v>
      </c>
      <c r="D1683" s="88" t="s">
        <v>7009</v>
      </c>
      <c r="E1683" s="94">
        <v>42958</v>
      </c>
      <c r="F1683" s="98" t="s">
        <v>6853</v>
      </c>
      <c r="G1683" s="223">
        <f t="shared" si="52"/>
        <v>22</v>
      </c>
      <c r="H1683" s="222">
        <f t="shared" si="53"/>
        <v>31644419</v>
      </c>
    </row>
    <row r="1684" spans="1:8" hidden="1">
      <c r="A1684" s="87">
        <v>18889433</v>
      </c>
      <c r="B1684" s="88" t="s">
        <v>967</v>
      </c>
      <c r="C1684" s="88" t="s">
        <v>968</v>
      </c>
      <c r="D1684" s="88" t="s">
        <v>7009</v>
      </c>
      <c r="E1684" s="94">
        <v>42958</v>
      </c>
      <c r="F1684" s="98" t="s">
        <v>6853</v>
      </c>
      <c r="G1684" s="223">
        <f t="shared" si="52"/>
        <v>14</v>
      </c>
      <c r="H1684" s="222">
        <f t="shared" si="53"/>
        <v>18889433</v>
      </c>
    </row>
    <row r="1685" spans="1:8" hidden="1">
      <c r="A1685" s="87">
        <v>27961528</v>
      </c>
      <c r="B1685" s="88" t="s">
        <v>7036</v>
      </c>
      <c r="C1685" s="88" t="s">
        <v>2519</v>
      </c>
      <c r="D1685" s="88" t="s">
        <v>7009</v>
      </c>
      <c r="E1685" s="94">
        <v>42958</v>
      </c>
      <c r="F1685" s="98" t="s">
        <v>6853</v>
      </c>
      <c r="G1685" s="223">
        <f t="shared" si="52"/>
        <v>50</v>
      </c>
      <c r="H1685" s="222">
        <f t="shared" si="53"/>
        <v>27961528</v>
      </c>
    </row>
    <row r="1686" spans="1:8" hidden="1">
      <c r="A1686" s="87">
        <v>33163552</v>
      </c>
      <c r="B1686" s="88" t="s">
        <v>190</v>
      </c>
      <c r="C1686" s="88" t="s">
        <v>743</v>
      </c>
      <c r="D1686" s="88" t="s">
        <v>7009</v>
      </c>
      <c r="E1686" s="94">
        <v>42958</v>
      </c>
      <c r="F1686" s="91" t="s">
        <v>9302</v>
      </c>
      <c r="G1686" s="223">
        <f t="shared" si="52"/>
        <v>20</v>
      </c>
      <c r="H1686" s="222">
        <f t="shared" si="53"/>
        <v>33163552</v>
      </c>
    </row>
    <row r="1687" spans="1:8" hidden="1">
      <c r="A1687" s="87">
        <v>93262857</v>
      </c>
      <c r="B1687" s="88" t="s">
        <v>236</v>
      </c>
      <c r="C1687" s="88" t="s">
        <v>237</v>
      </c>
      <c r="D1687" s="88" t="s">
        <v>7009</v>
      </c>
      <c r="E1687" s="94">
        <v>42958</v>
      </c>
      <c r="F1687" s="98" t="s">
        <v>6853</v>
      </c>
      <c r="G1687" s="223" t="str">
        <f t="shared" si="52"/>
        <v>sin dato</v>
      </c>
      <c r="H1687" s="222" t="str">
        <f t="shared" si="53"/>
        <v>999</v>
      </c>
    </row>
    <row r="1688" spans="1:8" hidden="1">
      <c r="A1688" s="87">
        <v>35921443</v>
      </c>
      <c r="B1688" s="88" t="s">
        <v>680</v>
      </c>
      <c r="C1688" s="88" t="s">
        <v>7037</v>
      </c>
      <c r="D1688" s="88" t="s">
        <v>7009</v>
      </c>
      <c r="E1688" s="94">
        <v>42958</v>
      </c>
      <c r="F1688" s="98" t="s">
        <v>6853</v>
      </c>
      <c r="G1688" s="223" t="str">
        <f t="shared" si="52"/>
        <v>sin dato</v>
      </c>
      <c r="H1688" s="222" t="str">
        <f t="shared" si="53"/>
        <v>999</v>
      </c>
    </row>
    <row r="1689" spans="1:8" hidden="1">
      <c r="A1689" s="87">
        <v>31127367</v>
      </c>
      <c r="B1689" s="88" t="s">
        <v>690</v>
      </c>
      <c r="C1689" s="88" t="s">
        <v>1085</v>
      </c>
      <c r="D1689" s="88" t="s">
        <v>7009</v>
      </c>
      <c r="E1689" s="94">
        <v>42958</v>
      </c>
      <c r="F1689" s="98" t="s">
        <v>6853</v>
      </c>
      <c r="G1689" s="223">
        <f t="shared" si="52"/>
        <v>6</v>
      </c>
      <c r="H1689" s="222">
        <f t="shared" si="53"/>
        <v>31127367</v>
      </c>
    </row>
    <row r="1690" spans="1:8" hidden="1">
      <c r="A1690" s="87">
        <v>31030695</v>
      </c>
      <c r="B1690" s="88" t="s">
        <v>2541</v>
      </c>
      <c r="C1690" s="88" t="s">
        <v>95</v>
      </c>
      <c r="D1690" s="88" t="s">
        <v>7009</v>
      </c>
      <c r="E1690" s="94">
        <v>42958</v>
      </c>
      <c r="F1690" s="91" t="s">
        <v>9302</v>
      </c>
      <c r="G1690" s="223">
        <f t="shared" si="52"/>
        <v>14</v>
      </c>
      <c r="H1690" s="222">
        <f t="shared" si="53"/>
        <v>31030695</v>
      </c>
    </row>
    <row r="1691" spans="1:8" hidden="1">
      <c r="A1691" s="87">
        <v>26982288</v>
      </c>
      <c r="B1691" s="88" t="s">
        <v>299</v>
      </c>
      <c r="C1691" s="88" t="s">
        <v>296</v>
      </c>
      <c r="D1691" s="88" t="s">
        <v>7009</v>
      </c>
      <c r="E1691" s="94">
        <v>42958</v>
      </c>
      <c r="F1691" s="98" t="s">
        <v>6853</v>
      </c>
      <c r="G1691" s="223">
        <f t="shared" si="52"/>
        <v>11</v>
      </c>
      <c r="H1691" s="222">
        <f t="shared" si="53"/>
        <v>26982288</v>
      </c>
    </row>
    <row r="1692" spans="1:8" hidden="1">
      <c r="A1692" s="87">
        <v>34994170</v>
      </c>
      <c r="B1692" s="88" t="s">
        <v>304</v>
      </c>
      <c r="C1692" s="88" t="s">
        <v>305</v>
      </c>
      <c r="D1692" s="88" t="s">
        <v>7009</v>
      </c>
      <c r="E1692" s="94">
        <v>42958</v>
      </c>
      <c r="F1692" s="98" t="s">
        <v>6853</v>
      </c>
      <c r="G1692" s="223">
        <f t="shared" si="52"/>
        <v>11</v>
      </c>
      <c r="H1692" s="222">
        <f t="shared" si="53"/>
        <v>34994170</v>
      </c>
    </row>
    <row r="1693" spans="1:8" hidden="1">
      <c r="A1693" s="87">
        <v>27016126</v>
      </c>
      <c r="B1693" s="88" t="s">
        <v>327</v>
      </c>
      <c r="C1693" s="88" t="s">
        <v>7099</v>
      </c>
      <c r="D1693" s="88" t="s">
        <v>7009</v>
      </c>
      <c r="E1693" s="94">
        <v>42958</v>
      </c>
      <c r="F1693" s="98" t="s">
        <v>6853</v>
      </c>
      <c r="G1693" s="223">
        <f t="shared" si="52"/>
        <v>64</v>
      </c>
      <c r="H1693" s="222">
        <f t="shared" si="53"/>
        <v>27016126</v>
      </c>
    </row>
    <row r="1694" spans="1:8" hidden="1">
      <c r="A1694" s="87">
        <v>31619320</v>
      </c>
      <c r="B1694" s="88" t="s">
        <v>350</v>
      </c>
      <c r="C1694" s="88" t="s">
        <v>1562</v>
      </c>
      <c r="D1694" s="88" t="s">
        <v>7009</v>
      </c>
      <c r="E1694" s="94">
        <v>42958</v>
      </c>
      <c r="F1694" s="98" t="s">
        <v>6853</v>
      </c>
      <c r="G1694" s="223">
        <f t="shared" si="52"/>
        <v>17</v>
      </c>
      <c r="H1694" s="222">
        <f t="shared" si="53"/>
        <v>31619320</v>
      </c>
    </row>
    <row r="1695" spans="1:8" hidden="1">
      <c r="A1695" s="87">
        <v>37725924</v>
      </c>
      <c r="B1695" s="88" t="s">
        <v>392</v>
      </c>
      <c r="C1695" s="88" t="s">
        <v>2836</v>
      </c>
      <c r="D1695" s="88" t="s">
        <v>7009</v>
      </c>
      <c r="E1695" s="94">
        <v>42958</v>
      </c>
      <c r="F1695" s="98" t="s">
        <v>6853</v>
      </c>
      <c r="G1695" s="223" t="str">
        <f t="shared" si="52"/>
        <v>sin dato</v>
      </c>
      <c r="H1695" s="222" t="str">
        <f t="shared" si="53"/>
        <v>999</v>
      </c>
    </row>
    <row r="1696" spans="1:8" hidden="1">
      <c r="A1696" s="87">
        <v>18185663</v>
      </c>
      <c r="B1696" s="88" t="s">
        <v>26</v>
      </c>
      <c r="C1696" s="88" t="s">
        <v>5759</v>
      </c>
      <c r="D1696" s="88" t="s">
        <v>7011</v>
      </c>
      <c r="E1696" s="94">
        <v>42956</v>
      </c>
      <c r="F1696" s="91" t="s">
        <v>6853</v>
      </c>
      <c r="G1696" s="223" t="str">
        <f t="shared" si="52"/>
        <v>sin dato</v>
      </c>
      <c r="H1696" s="222">
        <f t="shared" si="53"/>
        <v>18185663</v>
      </c>
    </row>
    <row r="1697" spans="1:8" hidden="1">
      <c r="A1697" s="87">
        <v>20178395</v>
      </c>
      <c r="B1697" s="88" t="s">
        <v>2358</v>
      </c>
      <c r="C1697" s="88" t="s">
        <v>7100</v>
      </c>
      <c r="D1697" s="88" t="s">
        <v>7011</v>
      </c>
      <c r="E1697" s="94">
        <v>42956</v>
      </c>
      <c r="F1697" s="91" t="s">
        <v>6853</v>
      </c>
      <c r="G1697" s="223">
        <f t="shared" si="52"/>
        <v>17</v>
      </c>
      <c r="H1697" s="222">
        <f t="shared" si="53"/>
        <v>20178395</v>
      </c>
    </row>
    <row r="1698" spans="1:8" hidden="1">
      <c r="A1698" s="87">
        <v>25735261</v>
      </c>
      <c r="B1698" s="88" t="s">
        <v>2912</v>
      </c>
      <c r="C1698" s="88" t="s">
        <v>2913</v>
      </c>
      <c r="D1698" s="88" t="s">
        <v>7011</v>
      </c>
      <c r="E1698" s="94">
        <v>42956</v>
      </c>
      <c r="F1698" s="91" t="s">
        <v>6853</v>
      </c>
      <c r="G1698" s="223" t="str">
        <f t="shared" si="52"/>
        <v>sin dato</v>
      </c>
      <c r="H1698" s="222">
        <f t="shared" si="53"/>
        <v>25735261</v>
      </c>
    </row>
    <row r="1699" spans="1:8" hidden="1">
      <c r="A1699" s="87">
        <v>39478644</v>
      </c>
      <c r="B1699" s="88" t="s">
        <v>1014</v>
      </c>
      <c r="C1699" s="88" t="s">
        <v>1015</v>
      </c>
      <c r="D1699" s="88" t="s">
        <v>7011</v>
      </c>
      <c r="E1699" s="94">
        <v>42956</v>
      </c>
      <c r="F1699" s="91" t="s">
        <v>6853</v>
      </c>
      <c r="G1699" s="223" t="str">
        <f t="shared" si="52"/>
        <v>sin dato</v>
      </c>
      <c r="H1699" s="222" t="str">
        <f t="shared" si="53"/>
        <v>999</v>
      </c>
    </row>
    <row r="1700" spans="1:8" hidden="1">
      <c r="A1700" s="87">
        <v>36049422</v>
      </c>
      <c r="B1700" s="88" t="s">
        <v>2683</v>
      </c>
      <c r="C1700" s="88" t="s">
        <v>558</v>
      </c>
      <c r="D1700" s="88" t="s">
        <v>7011</v>
      </c>
      <c r="E1700" s="94">
        <v>42956</v>
      </c>
      <c r="F1700" s="91" t="s">
        <v>6853</v>
      </c>
      <c r="G1700" s="223" t="str">
        <f t="shared" si="52"/>
        <v>sin dato</v>
      </c>
      <c r="H1700" s="222" t="str">
        <f t="shared" si="53"/>
        <v>999</v>
      </c>
    </row>
    <row r="1701" spans="1:8" hidden="1">
      <c r="A1701" s="87">
        <v>17860924</v>
      </c>
      <c r="B1701" s="88" t="s">
        <v>252</v>
      </c>
      <c r="C1701" s="88" t="s">
        <v>2975</v>
      </c>
      <c r="D1701" s="88" t="s">
        <v>7011</v>
      </c>
      <c r="E1701" s="94">
        <v>42956</v>
      </c>
      <c r="F1701" s="91" t="s">
        <v>9302</v>
      </c>
      <c r="G1701" s="223">
        <f t="shared" si="52"/>
        <v>19</v>
      </c>
      <c r="H1701" s="222">
        <f t="shared" si="53"/>
        <v>17860924</v>
      </c>
    </row>
    <row r="1702" spans="1:8" hidden="1">
      <c r="A1702" s="87">
        <v>11054779</v>
      </c>
      <c r="B1702" s="88" t="s">
        <v>3745</v>
      </c>
      <c r="C1702" s="88" t="s">
        <v>1185</v>
      </c>
      <c r="D1702" s="88" t="s">
        <v>7011</v>
      </c>
      <c r="E1702" s="94">
        <v>42956</v>
      </c>
      <c r="F1702" s="91" t="s">
        <v>6853</v>
      </c>
      <c r="G1702" s="223">
        <f t="shared" si="52"/>
        <v>20</v>
      </c>
      <c r="H1702" s="222">
        <f t="shared" si="53"/>
        <v>11054779</v>
      </c>
    </row>
    <row r="1703" spans="1:8" hidden="1">
      <c r="A1703" s="87">
        <v>26982288</v>
      </c>
      <c r="B1703" s="88" t="s">
        <v>293</v>
      </c>
      <c r="C1703" s="88" t="s">
        <v>296</v>
      </c>
      <c r="D1703" s="88" t="s">
        <v>7011</v>
      </c>
      <c r="E1703" s="94">
        <v>42956</v>
      </c>
      <c r="F1703" s="91" t="s">
        <v>6853</v>
      </c>
      <c r="G1703" s="223">
        <f t="shared" si="52"/>
        <v>11</v>
      </c>
      <c r="H1703" s="222">
        <f t="shared" si="53"/>
        <v>26982288</v>
      </c>
    </row>
    <row r="1704" spans="1:8" hidden="1">
      <c r="A1704" s="87">
        <v>18229240</v>
      </c>
      <c r="B1704" s="88" t="s">
        <v>3465</v>
      </c>
      <c r="C1704" s="88" t="s">
        <v>3466</v>
      </c>
      <c r="D1704" s="88" t="s">
        <v>7011</v>
      </c>
      <c r="E1704" s="94">
        <v>42956</v>
      </c>
      <c r="F1704" s="91" t="s">
        <v>9302</v>
      </c>
      <c r="G1704" s="223">
        <f t="shared" si="52"/>
        <v>25</v>
      </c>
      <c r="H1704" s="222">
        <f t="shared" si="53"/>
        <v>18229240</v>
      </c>
    </row>
    <row r="1705" spans="1:8" hidden="1">
      <c r="A1705" s="87">
        <v>17040749</v>
      </c>
      <c r="B1705" s="88" t="s">
        <v>2132</v>
      </c>
      <c r="C1705" s="88" t="s">
        <v>7101</v>
      </c>
      <c r="D1705" s="88" t="s">
        <v>7011</v>
      </c>
      <c r="E1705" s="94">
        <v>42956</v>
      </c>
      <c r="F1705" s="91" t="s">
        <v>9302</v>
      </c>
      <c r="G1705" s="223">
        <f t="shared" si="52"/>
        <v>16</v>
      </c>
      <c r="H1705" s="222">
        <f t="shared" si="53"/>
        <v>17040749</v>
      </c>
    </row>
    <row r="1706" spans="1:8" hidden="1">
      <c r="A1706" s="87">
        <v>31619320</v>
      </c>
      <c r="B1706" s="88" t="s">
        <v>350</v>
      </c>
      <c r="C1706" s="88" t="s">
        <v>1562</v>
      </c>
      <c r="D1706" s="88" t="s">
        <v>7011</v>
      </c>
      <c r="E1706" s="94">
        <v>42956</v>
      </c>
      <c r="F1706" s="91" t="s">
        <v>6853</v>
      </c>
      <c r="G1706" s="223">
        <f t="shared" si="52"/>
        <v>17</v>
      </c>
      <c r="H1706" s="222">
        <f t="shared" si="53"/>
        <v>31619320</v>
      </c>
    </row>
    <row r="1707" spans="1:8" hidden="1">
      <c r="A1707" s="87">
        <v>24803209</v>
      </c>
      <c r="B1707" s="88" t="s">
        <v>2602</v>
      </c>
      <c r="C1707" s="88" t="s">
        <v>2603</v>
      </c>
      <c r="D1707" s="88" t="s">
        <v>7011</v>
      </c>
      <c r="E1707" s="94">
        <v>42956</v>
      </c>
      <c r="F1707" s="91" t="s">
        <v>9302</v>
      </c>
      <c r="G1707" s="223">
        <f t="shared" si="52"/>
        <v>14</v>
      </c>
      <c r="H1707" s="222">
        <f t="shared" si="53"/>
        <v>24803209</v>
      </c>
    </row>
    <row r="1708" spans="1:8" hidden="1">
      <c r="A1708" s="87">
        <v>25735232</v>
      </c>
      <c r="B1708" s="88" t="s">
        <v>875</v>
      </c>
      <c r="C1708" s="88" t="s">
        <v>5286</v>
      </c>
      <c r="D1708" s="88" t="s">
        <v>7011</v>
      </c>
      <c r="E1708" s="94">
        <v>42956</v>
      </c>
      <c r="F1708" s="91" t="s">
        <v>9302</v>
      </c>
      <c r="G1708" s="223">
        <f t="shared" si="52"/>
        <v>9</v>
      </c>
      <c r="H1708" s="222">
        <f t="shared" si="53"/>
        <v>25735232</v>
      </c>
    </row>
    <row r="1709" spans="1:8" hidden="1">
      <c r="A1709" s="87">
        <v>23239528</v>
      </c>
      <c r="B1709" s="88" t="s">
        <v>4981</v>
      </c>
      <c r="C1709" s="88" t="s">
        <v>4982</v>
      </c>
      <c r="D1709" s="88" t="s">
        <v>7102</v>
      </c>
      <c r="E1709" s="94">
        <v>42955</v>
      </c>
      <c r="F1709" s="91" t="s">
        <v>6853</v>
      </c>
      <c r="G1709" s="223" t="str">
        <f t="shared" si="52"/>
        <v>sin dato</v>
      </c>
      <c r="H1709" s="222">
        <f t="shared" si="53"/>
        <v>23239528</v>
      </c>
    </row>
    <row r="1710" spans="1:8" hidden="1">
      <c r="A1710" s="87">
        <v>22336712</v>
      </c>
      <c r="B1710" s="88" t="s">
        <v>5262</v>
      </c>
      <c r="C1710" s="88" t="s">
        <v>7103</v>
      </c>
      <c r="D1710" s="88" t="s">
        <v>7102</v>
      </c>
      <c r="E1710" s="94">
        <v>42955</v>
      </c>
      <c r="F1710" s="91" t="s">
        <v>9302</v>
      </c>
      <c r="G1710" s="223">
        <f t="shared" si="52"/>
        <v>9</v>
      </c>
      <c r="H1710" s="222">
        <f t="shared" si="53"/>
        <v>22336712</v>
      </c>
    </row>
    <row r="1711" spans="1:8" hidden="1">
      <c r="A1711" s="87">
        <v>14966482</v>
      </c>
      <c r="B1711" s="88" t="s">
        <v>2785</v>
      </c>
      <c r="C1711" s="88" t="s">
        <v>2786</v>
      </c>
      <c r="D1711" s="88" t="s">
        <v>7102</v>
      </c>
      <c r="E1711" s="94">
        <v>42955</v>
      </c>
      <c r="F1711" s="91" t="s">
        <v>6853</v>
      </c>
      <c r="G1711" s="223" t="str">
        <f t="shared" si="52"/>
        <v>sin dato</v>
      </c>
      <c r="H1711" s="222">
        <f t="shared" si="53"/>
        <v>14966482</v>
      </c>
    </row>
    <row r="1712" spans="1:8" hidden="1">
      <c r="A1712" s="87">
        <v>27017415</v>
      </c>
      <c r="B1712" s="88" t="s">
        <v>4556</v>
      </c>
      <c r="C1712" s="88" t="s">
        <v>1109</v>
      </c>
      <c r="D1712" s="88" t="s">
        <v>7102</v>
      </c>
      <c r="E1712" s="94">
        <v>42955</v>
      </c>
      <c r="F1712" s="91" t="s">
        <v>6853</v>
      </c>
      <c r="G1712" s="223">
        <f t="shared" si="52"/>
        <v>22</v>
      </c>
      <c r="H1712" s="222">
        <f t="shared" si="53"/>
        <v>27017415</v>
      </c>
    </row>
    <row r="1713" spans="1:8" hidden="1">
      <c r="A1713" s="87">
        <v>23117847</v>
      </c>
      <c r="B1713" s="88" t="s">
        <v>226</v>
      </c>
      <c r="C1713" s="88" t="s">
        <v>895</v>
      </c>
      <c r="D1713" s="88" t="s">
        <v>7102</v>
      </c>
      <c r="E1713" s="94">
        <v>42955</v>
      </c>
      <c r="F1713" s="91" t="s">
        <v>6853</v>
      </c>
      <c r="G1713" s="223">
        <f t="shared" si="52"/>
        <v>34</v>
      </c>
      <c r="H1713" s="222">
        <f t="shared" si="53"/>
        <v>23117847</v>
      </c>
    </row>
    <row r="1714" spans="1:8" hidden="1">
      <c r="A1714" s="87">
        <v>16842434</v>
      </c>
      <c r="B1714" s="88" t="s">
        <v>863</v>
      </c>
      <c r="C1714" s="88" t="s">
        <v>4578</v>
      </c>
      <c r="D1714" s="88" t="s">
        <v>7102</v>
      </c>
      <c r="E1714" s="94">
        <v>42955</v>
      </c>
      <c r="F1714" s="91" t="s">
        <v>6853</v>
      </c>
      <c r="G1714" s="223">
        <f t="shared" si="52"/>
        <v>22</v>
      </c>
      <c r="H1714" s="222">
        <f t="shared" si="53"/>
        <v>16842434</v>
      </c>
    </row>
    <row r="1715" spans="1:8" hidden="1">
      <c r="A1715" s="87">
        <v>12674864</v>
      </c>
      <c r="B1715" s="88" t="s">
        <v>811</v>
      </c>
      <c r="C1715" s="88" t="s">
        <v>812</v>
      </c>
      <c r="D1715" s="88" t="s">
        <v>7102</v>
      </c>
      <c r="E1715" s="94">
        <v>42955</v>
      </c>
      <c r="F1715" s="91" t="s">
        <v>9302</v>
      </c>
      <c r="G1715" s="223">
        <f t="shared" si="52"/>
        <v>37</v>
      </c>
      <c r="H1715" s="222">
        <f t="shared" si="53"/>
        <v>12674864</v>
      </c>
    </row>
    <row r="1716" spans="1:8" hidden="1">
      <c r="A1716" s="87">
        <v>22264316</v>
      </c>
      <c r="B1716" s="88" t="s">
        <v>2687</v>
      </c>
      <c r="C1716" s="88" t="s">
        <v>2688</v>
      </c>
      <c r="D1716" s="88" t="s">
        <v>7102</v>
      </c>
      <c r="E1716" s="94">
        <v>42955</v>
      </c>
      <c r="F1716" s="91" t="s">
        <v>6853</v>
      </c>
      <c r="G1716" s="223">
        <f t="shared" si="52"/>
        <v>49</v>
      </c>
      <c r="H1716" s="222">
        <f t="shared" si="53"/>
        <v>22264316</v>
      </c>
    </row>
    <row r="1717" spans="1:8" hidden="1">
      <c r="A1717" s="87">
        <v>28883570</v>
      </c>
      <c r="B1717" s="88" t="s">
        <v>814</v>
      </c>
      <c r="C1717" s="88" t="s">
        <v>815</v>
      </c>
      <c r="D1717" s="88" t="s">
        <v>7102</v>
      </c>
      <c r="E1717" s="94">
        <v>42955</v>
      </c>
      <c r="F1717" s="91" t="s">
        <v>6853</v>
      </c>
      <c r="G1717" s="223">
        <f t="shared" si="52"/>
        <v>37</v>
      </c>
      <c r="H1717" s="222">
        <f t="shared" si="53"/>
        <v>28883570</v>
      </c>
    </row>
    <row r="1718" spans="1:8" hidden="1">
      <c r="A1718" s="87">
        <v>17040749</v>
      </c>
      <c r="B1718" s="88" t="s">
        <v>2132</v>
      </c>
      <c r="C1718" s="88" t="s">
        <v>7101</v>
      </c>
      <c r="D1718" s="88" t="s">
        <v>7102</v>
      </c>
      <c r="E1718" s="94">
        <v>42955</v>
      </c>
      <c r="F1718" s="91" t="s">
        <v>9302</v>
      </c>
      <c r="G1718" s="223">
        <f t="shared" si="52"/>
        <v>16</v>
      </c>
      <c r="H1718" s="222">
        <f t="shared" si="53"/>
        <v>17040749</v>
      </c>
    </row>
    <row r="1719" spans="1:8" hidden="1">
      <c r="A1719" s="87">
        <v>26743740</v>
      </c>
      <c r="B1719" s="88" t="s">
        <v>794</v>
      </c>
      <c r="C1719" s="88" t="s">
        <v>2371</v>
      </c>
      <c r="D1719" s="88" t="s">
        <v>7102</v>
      </c>
      <c r="E1719" s="94">
        <v>42955</v>
      </c>
      <c r="F1719" s="91" t="s">
        <v>9302</v>
      </c>
      <c r="G1719" s="223">
        <f t="shared" si="52"/>
        <v>17</v>
      </c>
      <c r="H1719" s="222">
        <f t="shared" si="53"/>
        <v>26743740</v>
      </c>
    </row>
    <row r="1720" spans="1:8" hidden="1">
      <c r="A1720" s="87">
        <v>14226455</v>
      </c>
      <c r="B1720" s="88" t="s">
        <v>6279</v>
      </c>
      <c r="C1720" s="88" t="s">
        <v>6280</v>
      </c>
      <c r="D1720" s="88" t="s">
        <v>7102</v>
      </c>
      <c r="E1720" s="94">
        <v>42955</v>
      </c>
      <c r="F1720" s="91" t="s">
        <v>6853</v>
      </c>
      <c r="G1720" s="223">
        <f t="shared" si="52"/>
        <v>999</v>
      </c>
      <c r="H1720" s="222">
        <f t="shared" si="53"/>
        <v>14226455</v>
      </c>
    </row>
    <row r="1721" spans="1:8" hidden="1">
      <c r="A1721" s="87">
        <v>31038016</v>
      </c>
      <c r="B1721" s="88" t="s">
        <v>822</v>
      </c>
      <c r="C1721" s="88" t="s">
        <v>823</v>
      </c>
      <c r="D1721" s="88" t="s">
        <v>7102</v>
      </c>
      <c r="E1721" s="94">
        <v>42955</v>
      </c>
      <c r="F1721" s="91" t="s">
        <v>6853</v>
      </c>
      <c r="G1721" s="223">
        <f t="shared" si="52"/>
        <v>37</v>
      </c>
      <c r="H1721" s="222">
        <f t="shared" si="53"/>
        <v>31038016</v>
      </c>
    </row>
    <row r="1722" spans="1:8" hidden="1">
      <c r="A1722" s="87">
        <v>12149654</v>
      </c>
      <c r="B1722" s="88" t="s">
        <v>394</v>
      </c>
      <c r="C1722" s="88" t="s">
        <v>395</v>
      </c>
      <c r="D1722" s="88" t="s">
        <v>7102</v>
      </c>
      <c r="E1722" s="94">
        <v>42955</v>
      </c>
      <c r="F1722" s="91" t="s">
        <v>9302</v>
      </c>
      <c r="G1722" s="223">
        <f t="shared" si="52"/>
        <v>11</v>
      </c>
      <c r="H1722" s="222">
        <f t="shared" si="53"/>
        <v>12149654</v>
      </c>
    </row>
    <row r="1723" spans="1:8" hidden="1">
      <c r="A1723" s="87">
        <v>24503602</v>
      </c>
      <c r="B1723" s="88" t="s">
        <v>394</v>
      </c>
      <c r="C1723" s="88" t="s">
        <v>2873</v>
      </c>
      <c r="D1723" s="88" t="s">
        <v>7102</v>
      </c>
      <c r="E1723" s="94">
        <v>42955</v>
      </c>
      <c r="F1723" s="91" t="s">
        <v>6853</v>
      </c>
      <c r="G1723" s="223">
        <f t="shared" si="52"/>
        <v>63</v>
      </c>
      <c r="H1723" s="222">
        <f t="shared" si="53"/>
        <v>24503602</v>
      </c>
    </row>
    <row r="1724" spans="1:8" hidden="1">
      <c r="A1724" s="87">
        <v>29430210</v>
      </c>
      <c r="B1724" s="88" t="s">
        <v>828</v>
      </c>
      <c r="C1724" s="88" t="s">
        <v>829</v>
      </c>
      <c r="D1724" s="88" t="s">
        <v>7102</v>
      </c>
      <c r="E1724" s="94">
        <v>42955</v>
      </c>
      <c r="F1724" s="91" t="s">
        <v>6853</v>
      </c>
      <c r="G1724" s="223">
        <f t="shared" si="52"/>
        <v>37</v>
      </c>
      <c r="H1724" s="222">
        <f t="shared" si="53"/>
        <v>29430210</v>
      </c>
    </row>
    <row r="1725" spans="1:8" hidden="1">
      <c r="A1725" s="87">
        <v>26638839</v>
      </c>
      <c r="B1725" s="88" t="s">
        <v>901</v>
      </c>
      <c r="C1725" s="88" t="s">
        <v>902</v>
      </c>
      <c r="D1725" s="88" t="s">
        <v>7102</v>
      </c>
      <c r="E1725" s="94">
        <v>42955</v>
      </c>
      <c r="F1725" s="91" t="s">
        <v>6853</v>
      </c>
      <c r="G1725" s="223">
        <f t="shared" si="52"/>
        <v>34</v>
      </c>
      <c r="H1725" s="222">
        <f t="shared" si="53"/>
        <v>26638839</v>
      </c>
    </row>
    <row r="1726" spans="1:8" hidden="1">
      <c r="A1726" s="87">
        <v>26782545</v>
      </c>
      <c r="B1726" s="88" t="s">
        <v>1244</v>
      </c>
      <c r="C1726" s="88" t="s">
        <v>3158</v>
      </c>
      <c r="D1726" s="88" t="s">
        <v>7102</v>
      </c>
      <c r="E1726" s="94">
        <v>42955</v>
      </c>
      <c r="F1726" s="91" t="s">
        <v>9302</v>
      </c>
      <c r="G1726" s="223">
        <f t="shared" si="52"/>
        <v>67</v>
      </c>
      <c r="H1726" s="222">
        <f t="shared" si="53"/>
        <v>26782545</v>
      </c>
    </row>
    <row r="1727" spans="1:8" hidden="1">
      <c r="A1727" s="87">
        <v>24200813</v>
      </c>
      <c r="B1727" s="88" t="s">
        <v>2766</v>
      </c>
      <c r="C1727" s="88" t="s">
        <v>2767</v>
      </c>
      <c r="D1727" s="88" t="s">
        <v>7102</v>
      </c>
      <c r="E1727" s="94">
        <v>42955</v>
      </c>
      <c r="F1727" s="91" t="s">
        <v>6853</v>
      </c>
      <c r="G1727" s="223">
        <f t="shared" si="52"/>
        <v>58</v>
      </c>
      <c r="H1727" s="222">
        <f t="shared" si="53"/>
        <v>24200813</v>
      </c>
    </row>
    <row r="1728" spans="1:8" hidden="1">
      <c r="A1728" s="87">
        <v>12597724</v>
      </c>
      <c r="B1728" s="88" t="s">
        <v>760</v>
      </c>
      <c r="C1728" s="88" t="s">
        <v>4424</v>
      </c>
      <c r="D1728" s="88" t="s">
        <v>7102</v>
      </c>
      <c r="E1728" s="94">
        <v>42955</v>
      </c>
      <c r="F1728" s="91" t="s">
        <v>9302</v>
      </c>
      <c r="G1728" s="223">
        <f t="shared" si="52"/>
        <v>21</v>
      </c>
      <c r="H1728" s="222">
        <f t="shared" si="53"/>
        <v>12597724</v>
      </c>
    </row>
    <row r="1729" spans="1:8" hidden="1">
      <c r="A1729" s="87">
        <v>20171458</v>
      </c>
      <c r="B1729" s="88" t="s">
        <v>2813</v>
      </c>
      <c r="C1729" s="88" t="s">
        <v>5808</v>
      </c>
      <c r="D1729" s="88" t="s">
        <v>7102</v>
      </c>
      <c r="E1729" s="94">
        <v>42955</v>
      </c>
      <c r="F1729" s="91" t="s">
        <v>9302</v>
      </c>
      <c r="G1729" s="223" t="str">
        <f t="shared" si="52"/>
        <v>sin dato</v>
      </c>
      <c r="H1729" s="222">
        <f t="shared" si="53"/>
        <v>20171458</v>
      </c>
    </row>
    <row r="1730" spans="1:8" hidden="1">
      <c r="A1730" s="87">
        <v>12413333</v>
      </c>
      <c r="B1730" s="88" t="s">
        <v>497</v>
      </c>
      <c r="C1730" s="88" t="s">
        <v>832</v>
      </c>
      <c r="D1730" s="88" t="s">
        <v>7102</v>
      </c>
      <c r="E1730" s="94">
        <v>42955</v>
      </c>
      <c r="F1730" s="91" t="s">
        <v>6853</v>
      </c>
      <c r="G1730" s="223">
        <f t="shared" ref="G1730:G1793" si="54">IFERROR(INDEX(unidad,MATCH(VLOOKUP(A1730,alum,9,0),unidad2,0),1),"sin dato")</f>
        <v>37</v>
      </c>
      <c r="H1730" s="222">
        <f t="shared" ref="H1730:H1793" si="55">IFERROR(VLOOKUP(A1730,alum,1,0),"999")</f>
        <v>12413333</v>
      </c>
    </row>
    <row r="1731" spans="1:8" hidden="1">
      <c r="A1731" s="87">
        <v>37500942</v>
      </c>
      <c r="B1731" s="88" t="s">
        <v>2304</v>
      </c>
      <c r="C1731" s="88" t="s">
        <v>2305</v>
      </c>
      <c r="D1731" s="88" t="s">
        <v>7102</v>
      </c>
      <c r="E1731" s="94">
        <v>42955</v>
      </c>
      <c r="F1731" s="91" t="s">
        <v>6853</v>
      </c>
      <c r="G1731" s="223" t="str">
        <f t="shared" si="54"/>
        <v>sin dato</v>
      </c>
      <c r="H1731" s="222" t="str">
        <f t="shared" si="55"/>
        <v>999</v>
      </c>
    </row>
    <row r="1732" spans="1:8" hidden="1">
      <c r="A1732" s="87">
        <v>20285028</v>
      </c>
      <c r="B1732" s="88" t="s">
        <v>927</v>
      </c>
      <c r="C1732" s="88" t="s">
        <v>4897</v>
      </c>
      <c r="D1732" s="88" t="s">
        <v>7020</v>
      </c>
      <c r="E1732" s="94">
        <v>42955</v>
      </c>
      <c r="F1732" s="91" t="s">
        <v>6853</v>
      </c>
      <c r="G1732" s="223">
        <f t="shared" si="54"/>
        <v>14</v>
      </c>
      <c r="H1732" s="222">
        <f t="shared" si="55"/>
        <v>20285028</v>
      </c>
    </row>
    <row r="1733" spans="1:8" hidden="1">
      <c r="A1733" s="87">
        <v>14226968</v>
      </c>
      <c r="B1733" s="88" t="s">
        <v>2460</v>
      </c>
      <c r="C1733" s="88" t="s">
        <v>351</v>
      </c>
      <c r="D1733" s="88" t="s">
        <v>7020</v>
      </c>
      <c r="E1733" s="94">
        <v>42955</v>
      </c>
      <c r="F1733" s="91" t="s">
        <v>6853</v>
      </c>
      <c r="G1733" s="223">
        <f t="shared" si="54"/>
        <v>14</v>
      </c>
      <c r="H1733" s="222">
        <f t="shared" si="55"/>
        <v>14226968</v>
      </c>
    </row>
    <row r="1734" spans="1:8" hidden="1">
      <c r="A1734" s="87">
        <v>26028695</v>
      </c>
      <c r="B1734" s="88" t="s">
        <v>1680</v>
      </c>
      <c r="C1734" s="88" t="s">
        <v>1681</v>
      </c>
      <c r="D1734" s="88" t="s">
        <v>7020</v>
      </c>
      <c r="E1734" s="94">
        <v>42955</v>
      </c>
      <c r="F1734" s="91" t="s">
        <v>6853</v>
      </c>
      <c r="G1734" s="223">
        <f t="shared" si="54"/>
        <v>15</v>
      </c>
      <c r="H1734" s="222">
        <f t="shared" si="55"/>
        <v>26028695</v>
      </c>
    </row>
    <row r="1735" spans="1:8" hidden="1">
      <c r="A1735" s="87">
        <v>12414462</v>
      </c>
      <c r="B1735" s="88" t="s">
        <v>1973</v>
      </c>
      <c r="C1735" s="88" t="s">
        <v>4292</v>
      </c>
      <c r="D1735" s="88" t="s">
        <v>7020</v>
      </c>
      <c r="E1735" s="94">
        <v>42955</v>
      </c>
      <c r="F1735" s="91" t="s">
        <v>9302</v>
      </c>
      <c r="G1735" s="223">
        <f t="shared" si="54"/>
        <v>21</v>
      </c>
      <c r="H1735" s="222">
        <f t="shared" si="55"/>
        <v>12414462</v>
      </c>
    </row>
    <row r="1736" spans="1:8" hidden="1">
      <c r="A1736" s="87">
        <v>27016096</v>
      </c>
      <c r="B1736" s="88" t="s">
        <v>3290</v>
      </c>
      <c r="C1736" s="88" t="s">
        <v>3291</v>
      </c>
      <c r="D1736" s="88" t="s">
        <v>7020</v>
      </c>
      <c r="E1736" s="94">
        <v>42955</v>
      </c>
      <c r="F1736" s="91" t="s">
        <v>6853</v>
      </c>
      <c r="G1736" s="223">
        <f t="shared" si="54"/>
        <v>28</v>
      </c>
      <c r="H1736" s="222">
        <f t="shared" si="55"/>
        <v>27016096</v>
      </c>
    </row>
    <row r="1737" spans="1:8" hidden="1">
      <c r="A1737" s="87">
        <v>16541630</v>
      </c>
      <c r="B1737" s="88" t="s">
        <v>3101</v>
      </c>
      <c r="C1737" s="88" t="s">
        <v>3765</v>
      </c>
      <c r="D1737" s="88" t="s">
        <v>7020</v>
      </c>
      <c r="E1737" s="94">
        <v>42955</v>
      </c>
      <c r="F1737" s="91" t="s">
        <v>9302</v>
      </c>
      <c r="G1737" s="223">
        <f t="shared" si="54"/>
        <v>20</v>
      </c>
      <c r="H1737" s="222">
        <f t="shared" si="55"/>
        <v>16541630</v>
      </c>
    </row>
    <row r="1738" spans="1:8" hidden="1">
      <c r="A1738" s="87">
        <v>34286519</v>
      </c>
      <c r="B1738" s="88" t="s">
        <v>1523</v>
      </c>
      <c r="C1738" s="88" t="s">
        <v>1182</v>
      </c>
      <c r="D1738" s="88" t="s">
        <v>7020</v>
      </c>
      <c r="E1738" s="94">
        <v>42955</v>
      </c>
      <c r="F1738" s="91" t="s">
        <v>9302</v>
      </c>
      <c r="G1738" s="223">
        <f t="shared" si="54"/>
        <v>25</v>
      </c>
      <c r="H1738" s="222">
        <f t="shared" si="55"/>
        <v>34286519</v>
      </c>
    </row>
    <row r="1739" spans="1:8" hidden="1">
      <c r="A1739" s="87">
        <v>28221502</v>
      </c>
      <c r="B1739" s="88" t="s">
        <v>315</v>
      </c>
      <c r="C1739" s="88" t="s">
        <v>1545</v>
      </c>
      <c r="D1739" s="88" t="s">
        <v>7020</v>
      </c>
      <c r="E1739" s="94">
        <v>42955</v>
      </c>
      <c r="F1739" s="91" t="s">
        <v>9302</v>
      </c>
      <c r="G1739" s="223">
        <f t="shared" si="54"/>
        <v>17</v>
      </c>
      <c r="H1739" s="222">
        <f t="shared" si="55"/>
        <v>28221502</v>
      </c>
    </row>
    <row r="1740" spans="1:8" hidden="1">
      <c r="A1740" s="87">
        <v>20178922</v>
      </c>
      <c r="B1740" s="88" t="s">
        <v>5788</v>
      </c>
      <c r="C1740" s="88" t="s">
        <v>5789</v>
      </c>
      <c r="D1740" s="88" t="s">
        <v>7020</v>
      </c>
      <c r="E1740" s="94">
        <v>42955</v>
      </c>
      <c r="F1740" s="91" t="s">
        <v>6853</v>
      </c>
      <c r="G1740" s="223" t="str">
        <f t="shared" si="54"/>
        <v>sin dato</v>
      </c>
      <c r="H1740" s="222">
        <f t="shared" si="55"/>
        <v>20178922</v>
      </c>
    </row>
    <row r="1741" spans="1:8" hidden="1">
      <c r="A1741" s="87">
        <v>25542289</v>
      </c>
      <c r="B1741" s="88" t="s">
        <v>1190</v>
      </c>
      <c r="C1741" s="88" t="s">
        <v>2209</v>
      </c>
      <c r="D1741" s="88" t="s">
        <v>7020</v>
      </c>
      <c r="E1741" s="94">
        <v>42955</v>
      </c>
      <c r="F1741" s="91" t="s">
        <v>6853</v>
      </c>
      <c r="G1741" s="223">
        <f t="shared" si="54"/>
        <v>16</v>
      </c>
      <c r="H1741" s="222">
        <f t="shared" si="55"/>
        <v>25542289</v>
      </c>
    </row>
    <row r="1742" spans="1:8" hidden="1">
      <c r="A1742" s="87">
        <v>12318780</v>
      </c>
      <c r="B1742" s="88" t="s">
        <v>2586</v>
      </c>
      <c r="C1742" s="88" t="s">
        <v>2587</v>
      </c>
      <c r="D1742" s="88" t="s">
        <v>7020</v>
      </c>
      <c r="E1742" s="94">
        <v>42955</v>
      </c>
      <c r="F1742" s="91" t="s">
        <v>9302</v>
      </c>
      <c r="G1742" s="223">
        <f t="shared" si="54"/>
        <v>14</v>
      </c>
      <c r="H1742" s="222">
        <f t="shared" si="55"/>
        <v>12318780</v>
      </c>
    </row>
    <row r="1743" spans="1:8" hidden="1">
      <c r="A1743" s="87">
        <v>16686494</v>
      </c>
      <c r="B1743" s="88" t="s">
        <v>458</v>
      </c>
      <c r="C1743" s="88" t="s">
        <v>459</v>
      </c>
      <c r="D1743" s="88" t="s">
        <v>7020</v>
      </c>
      <c r="E1743" s="94">
        <v>42955</v>
      </c>
      <c r="F1743" s="91" t="s">
        <v>9302</v>
      </c>
      <c r="G1743" s="223">
        <f t="shared" si="54"/>
        <v>11</v>
      </c>
      <c r="H1743" s="222">
        <f t="shared" si="55"/>
        <v>16686494</v>
      </c>
    </row>
    <row r="1744" spans="1:8" hidden="1">
      <c r="A1744" s="87">
        <v>29290647</v>
      </c>
      <c r="B1744" s="88" t="s">
        <v>467</v>
      </c>
      <c r="C1744" s="88" t="s">
        <v>469</v>
      </c>
      <c r="D1744" s="88" t="s">
        <v>7020</v>
      </c>
      <c r="E1744" s="94">
        <v>42955</v>
      </c>
      <c r="F1744" s="91" t="s">
        <v>9302</v>
      </c>
      <c r="G1744" s="223">
        <f t="shared" si="54"/>
        <v>11</v>
      </c>
      <c r="H1744" s="222">
        <f t="shared" si="55"/>
        <v>29290647</v>
      </c>
    </row>
    <row r="1745" spans="1:8" hidden="1">
      <c r="A1745" s="87">
        <v>30069677</v>
      </c>
      <c r="B1745" s="88" t="s">
        <v>2612</v>
      </c>
      <c r="C1745" s="88" t="s">
        <v>2613</v>
      </c>
      <c r="D1745" s="88" t="s">
        <v>7020</v>
      </c>
      <c r="E1745" s="94">
        <v>42955</v>
      </c>
      <c r="F1745" s="91" t="s">
        <v>6853</v>
      </c>
      <c r="G1745" s="223">
        <f t="shared" si="54"/>
        <v>14</v>
      </c>
      <c r="H1745" s="222">
        <f t="shared" si="55"/>
        <v>30069677</v>
      </c>
    </row>
    <row r="1746" spans="1:8" hidden="1">
      <c r="A1746" s="87">
        <v>14359591</v>
      </c>
      <c r="B1746" s="88" t="s">
        <v>4247</v>
      </c>
      <c r="C1746" s="88" t="s">
        <v>2822</v>
      </c>
      <c r="D1746" s="88" t="s">
        <v>7042</v>
      </c>
      <c r="E1746" s="94">
        <v>42954</v>
      </c>
      <c r="F1746" s="91" t="s">
        <v>6853</v>
      </c>
      <c r="G1746" s="223">
        <f t="shared" si="54"/>
        <v>21</v>
      </c>
      <c r="H1746" s="222">
        <f t="shared" si="55"/>
        <v>14359591</v>
      </c>
    </row>
    <row r="1747" spans="1:8" hidden="1">
      <c r="A1747" s="87">
        <v>25444256</v>
      </c>
      <c r="B1747" s="88" t="s">
        <v>5764</v>
      </c>
      <c r="C1747" s="88" t="s">
        <v>7104</v>
      </c>
      <c r="D1747" s="88" t="s">
        <v>7042</v>
      </c>
      <c r="E1747" s="94">
        <v>42954</v>
      </c>
      <c r="F1747" s="91" t="s">
        <v>6853</v>
      </c>
      <c r="G1747" s="223" t="str">
        <f t="shared" si="54"/>
        <v>sin dato</v>
      </c>
      <c r="H1747" s="222">
        <f t="shared" si="55"/>
        <v>25444256</v>
      </c>
    </row>
    <row r="1748" spans="1:8" hidden="1">
      <c r="A1748" s="87">
        <v>20218566</v>
      </c>
      <c r="B1748" s="88" t="s">
        <v>944</v>
      </c>
      <c r="C1748" s="88" t="s">
        <v>1085</v>
      </c>
      <c r="D1748" s="88" t="s">
        <v>7042</v>
      </c>
      <c r="E1748" s="94">
        <v>42954</v>
      </c>
      <c r="F1748" s="91" t="s">
        <v>9302</v>
      </c>
      <c r="G1748" s="223">
        <f t="shared" si="54"/>
        <v>21</v>
      </c>
      <c r="H1748" s="222">
        <f t="shared" si="55"/>
        <v>20218566</v>
      </c>
    </row>
    <row r="1749" spans="1:8" hidden="1">
      <c r="A1749" s="87">
        <v>24553486</v>
      </c>
      <c r="B1749" s="88" t="s">
        <v>94</v>
      </c>
      <c r="C1749" s="88" t="s">
        <v>6150</v>
      </c>
      <c r="D1749" s="88" t="s">
        <v>7042</v>
      </c>
      <c r="E1749" s="94">
        <v>42954</v>
      </c>
      <c r="F1749" s="91" t="s">
        <v>9302</v>
      </c>
      <c r="G1749" s="223">
        <f t="shared" si="54"/>
        <v>5</v>
      </c>
      <c r="H1749" s="222">
        <f t="shared" si="55"/>
        <v>24553486</v>
      </c>
    </row>
    <row r="1750" spans="1:8" hidden="1">
      <c r="A1750" s="87">
        <v>17655489</v>
      </c>
      <c r="B1750" s="88" t="s">
        <v>1973</v>
      </c>
      <c r="C1750" s="88" t="s">
        <v>106</v>
      </c>
      <c r="D1750" s="88" t="s">
        <v>7042</v>
      </c>
      <c r="E1750" s="94">
        <v>42954</v>
      </c>
      <c r="F1750" s="91" t="s">
        <v>9302</v>
      </c>
      <c r="G1750" s="223" t="str">
        <f t="shared" si="54"/>
        <v>sin dato</v>
      </c>
      <c r="H1750" s="222">
        <f t="shared" si="55"/>
        <v>17655489</v>
      </c>
    </row>
    <row r="1751" spans="1:8" hidden="1">
      <c r="A1751" s="87">
        <v>12721505</v>
      </c>
      <c r="B1751" s="88" t="s">
        <v>1040</v>
      </c>
      <c r="C1751" s="88" t="s">
        <v>2139</v>
      </c>
      <c r="D1751" s="88" t="s">
        <v>7042</v>
      </c>
      <c r="E1751" s="94">
        <v>42954</v>
      </c>
      <c r="F1751" s="91" t="s">
        <v>9302</v>
      </c>
      <c r="G1751" s="223">
        <f t="shared" si="54"/>
        <v>14</v>
      </c>
      <c r="H1751" s="222">
        <f t="shared" si="55"/>
        <v>12721505</v>
      </c>
    </row>
    <row r="1752" spans="1:8" hidden="1">
      <c r="A1752" s="87">
        <v>25082588</v>
      </c>
      <c r="B1752" s="88" t="s">
        <v>2488</v>
      </c>
      <c r="C1752" s="88" t="s">
        <v>1585</v>
      </c>
      <c r="D1752" s="88" t="s">
        <v>7042</v>
      </c>
      <c r="E1752" s="94">
        <v>42954</v>
      </c>
      <c r="F1752" s="91" t="s">
        <v>9302</v>
      </c>
      <c r="G1752" s="223">
        <f t="shared" si="54"/>
        <v>14</v>
      </c>
      <c r="H1752" s="222">
        <f t="shared" si="55"/>
        <v>25082588</v>
      </c>
    </row>
    <row r="1753" spans="1:8" hidden="1">
      <c r="A1753" s="87">
        <v>20222681</v>
      </c>
      <c r="B1753" s="88" t="s">
        <v>662</v>
      </c>
      <c r="C1753" s="88" t="s">
        <v>663</v>
      </c>
      <c r="D1753" s="88" t="s">
        <v>7042</v>
      </c>
      <c r="E1753" s="94">
        <v>42954</v>
      </c>
      <c r="F1753" s="91" t="s">
        <v>6853</v>
      </c>
      <c r="G1753" s="223">
        <f t="shared" si="54"/>
        <v>13</v>
      </c>
      <c r="H1753" s="222">
        <f t="shared" si="55"/>
        <v>20222681</v>
      </c>
    </row>
    <row r="1754" spans="1:8" hidden="1">
      <c r="A1754" s="87">
        <v>28721914</v>
      </c>
      <c r="B1754" s="88" t="s">
        <v>5198</v>
      </c>
      <c r="C1754" s="88" t="s">
        <v>5199</v>
      </c>
      <c r="D1754" s="88" t="s">
        <v>7042</v>
      </c>
      <c r="E1754" s="94">
        <v>42954</v>
      </c>
      <c r="F1754" s="91" t="s">
        <v>9302</v>
      </c>
      <c r="G1754" s="223">
        <f t="shared" si="54"/>
        <v>2</v>
      </c>
      <c r="H1754" s="222">
        <f t="shared" si="55"/>
        <v>28721914</v>
      </c>
    </row>
    <row r="1755" spans="1:8" hidden="1">
      <c r="A1755" s="87">
        <v>13784371</v>
      </c>
      <c r="B1755" s="88" t="s">
        <v>6219</v>
      </c>
      <c r="C1755" s="88" t="s">
        <v>6220</v>
      </c>
      <c r="D1755" s="88" t="s">
        <v>7042</v>
      </c>
      <c r="E1755" s="94">
        <v>42954</v>
      </c>
      <c r="F1755" s="91" t="s">
        <v>9302</v>
      </c>
      <c r="G1755" s="223">
        <f t="shared" si="54"/>
        <v>999</v>
      </c>
      <c r="H1755" s="222">
        <f t="shared" si="55"/>
        <v>13784371</v>
      </c>
    </row>
    <row r="1756" spans="1:8" hidden="1">
      <c r="A1756" s="87">
        <v>16541630</v>
      </c>
      <c r="B1756" s="88" t="s">
        <v>3101</v>
      </c>
      <c r="C1756" s="88" t="s">
        <v>3765</v>
      </c>
      <c r="D1756" s="88" t="s">
        <v>7042</v>
      </c>
      <c r="E1756" s="94">
        <v>42954</v>
      </c>
      <c r="F1756" s="91" t="s">
        <v>9302</v>
      </c>
      <c r="G1756" s="223">
        <f t="shared" si="54"/>
        <v>20</v>
      </c>
      <c r="H1756" s="222">
        <f t="shared" si="55"/>
        <v>16541630</v>
      </c>
    </row>
    <row r="1757" spans="1:8" hidden="1">
      <c r="A1757" s="87">
        <v>17860016</v>
      </c>
      <c r="B1757" s="88" t="s">
        <v>1175</v>
      </c>
      <c r="C1757" s="88" t="s">
        <v>1176</v>
      </c>
      <c r="D1757" s="88" t="s">
        <v>7042</v>
      </c>
      <c r="E1757" s="94">
        <v>42954</v>
      </c>
      <c r="F1757" s="91" t="s">
        <v>6853</v>
      </c>
      <c r="G1757" s="223">
        <f t="shared" si="54"/>
        <v>14</v>
      </c>
      <c r="H1757" s="222">
        <f t="shared" si="55"/>
        <v>17860016</v>
      </c>
    </row>
    <row r="1758" spans="1:8" hidden="1">
      <c r="A1758" s="87">
        <v>17269443</v>
      </c>
      <c r="B1758" s="88" t="s">
        <v>497</v>
      </c>
      <c r="C1758" s="88" t="s">
        <v>4439</v>
      </c>
      <c r="D1758" s="88" t="s">
        <v>7042</v>
      </c>
      <c r="E1758" s="94">
        <v>42954</v>
      </c>
      <c r="F1758" s="91" t="s">
        <v>9302</v>
      </c>
      <c r="G1758" s="223">
        <f t="shared" si="54"/>
        <v>21</v>
      </c>
      <c r="H1758" s="222">
        <f t="shared" si="55"/>
        <v>17269443</v>
      </c>
    </row>
    <row r="1759" spans="1:8" hidden="1">
      <c r="A1759" s="87">
        <v>17268324</v>
      </c>
      <c r="B1759" s="88" t="s">
        <v>4441</v>
      </c>
      <c r="C1759" s="88" t="s">
        <v>4442</v>
      </c>
      <c r="D1759" s="88" t="s">
        <v>7042</v>
      </c>
      <c r="E1759" s="94">
        <v>42954</v>
      </c>
      <c r="F1759" s="91" t="s">
        <v>9302</v>
      </c>
      <c r="G1759" s="223">
        <f t="shared" si="54"/>
        <v>21</v>
      </c>
      <c r="H1759" s="222">
        <f t="shared" si="55"/>
        <v>17268324</v>
      </c>
    </row>
    <row r="1760" spans="1:8" hidden="1">
      <c r="A1760" s="97">
        <v>22264981</v>
      </c>
      <c r="B1760" s="90" t="s">
        <v>5885</v>
      </c>
      <c r="C1760" s="90" t="s">
        <v>5886</v>
      </c>
      <c r="D1760" s="88" t="s">
        <v>7105</v>
      </c>
      <c r="E1760" s="94">
        <v>42915</v>
      </c>
      <c r="F1760" s="98" t="s">
        <v>6853</v>
      </c>
      <c r="G1760" s="223">
        <f t="shared" si="54"/>
        <v>10</v>
      </c>
      <c r="H1760" s="222">
        <f t="shared" si="55"/>
        <v>22264981</v>
      </c>
    </row>
    <row r="1761" spans="1:8" hidden="1">
      <c r="A1761" s="97">
        <v>21026697</v>
      </c>
      <c r="B1761" s="90" t="s">
        <v>927</v>
      </c>
      <c r="C1761" s="90" t="s">
        <v>930</v>
      </c>
      <c r="D1761" s="88" t="s">
        <v>7105</v>
      </c>
      <c r="E1761" s="94">
        <v>42915</v>
      </c>
      <c r="F1761" s="98" t="s">
        <v>6853</v>
      </c>
      <c r="G1761" s="223">
        <f t="shared" si="54"/>
        <v>14</v>
      </c>
      <c r="H1761" s="222">
        <f t="shared" si="55"/>
        <v>21026697</v>
      </c>
    </row>
    <row r="1762" spans="1:8" hidden="1">
      <c r="A1762" s="97">
        <v>25444256</v>
      </c>
      <c r="B1762" s="90" t="s">
        <v>5764</v>
      </c>
      <c r="C1762" s="90" t="s">
        <v>5765</v>
      </c>
      <c r="D1762" s="88" t="s">
        <v>7105</v>
      </c>
      <c r="E1762" s="94">
        <v>42915</v>
      </c>
      <c r="F1762" s="91" t="s">
        <v>9302</v>
      </c>
      <c r="G1762" s="223" t="str">
        <f t="shared" si="54"/>
        <v>sin dato</v>
      </c>
      <c r="H1762" s="222">
        <f t="shared" si="55"/>
        <v>25444256</v>
      </c>
    </row>
    <row r="1763" spans="1:8" hidden="1">
      <c r="A1763" s="97">
        <v>24553486</v>
      </c>
      <c r="B1763" s="90" t="s">
        <v>94</v>
      </c>
      <c r="C1763" s="90" t="s">
        <v>2260</v>
      </c>
      <c r="D1763" s="88" t="s">
        <v>7105</v>
      </c>
      <c r="E1763" s="94">
        <v>42915</v>
      </c>
      <c r="F1763" s="91" t="s">
        <v>9302</v>
      </c>
      <c r="G1763" s="223">
        <f t="shared" si="54"/>
        <v>5</v>
      </c>
      <c r="H1763" s="222">
        <f t="shared" si="55"/>
        <v>24553486</v>
      </c>
    </row>
    <row r="1764" spans="1:8" hidden="1">
      <c r="A1764" s="97">
        <v>28326318</v>
      </c>
      <c r="B1764" s="90" t="s">
        <v>5830</v>
      </c>
      <c r="C1764" s="90" t="s">
        <v>365</v>
      </c>
      <c r="D1764" s="88" t="s">
        <v>7105</v>
      </c>
      <c r="E1764" s="94">
        <v>42915</v>
      </c>
      <c r="F1764" s="91" t="s">
        <v>9302</v>
      </c>
      <c r="G1764" s="223">
        <f t="shared" si="54"/>
        <v>5</v>
      </c>
      <c r="H1764" s="222">
        <f t="shared" si="55"/>
        <v>28326318</v>
      </c>
    </row>
    <row r="1765" spans="1:8" hidden="1">
      <c r="A1765" s="97">
        <v>11768665</v>
      </c>
      <c r="B1765" s="90" t="s">
        <v>1910</v>
      </c>
      <c r="C1765" s="90" t="s">
        <v>1911</v>
      </c>
      <c r="D1765" s="88" t="s">
        <v>7105</v>
      </c>
      <c r="E1765" s="94">
        <v>42915</v>
      </c>
      <c r="F1765" s="98" t="s">
        <v>6853</v>
      </c>
      <c r="G1765" s="223">
        <f t="shared" si="54"/>
        <v>16</v>
      </c>
      <c r="H1765" s="222">
        <f t="shared" si="55"/>
        <v>11768665</v>
      </c>
    </row>
    <row r="1766" spans="1:8" hidden="1">
      <c r="A1766" s="97">
        <v>32927760</v>
      </c>
      <c r="B1766" s="90" t="s">
        <v>1913</v>
      </c>
      <c r="C1766" s="90" t="s">
        <v>1914</v>
      </c>
      <c r="D1766" s="88" t="s">
        <v>7105</v>
      </c>
      <c r="E1766" s="94">
        <v>42915</v>
      </c>
      <c r="F1766" s="98" t="s">
        <v>6853</v>
      </c>
      <c r="G1766" s="223">
        <f t="shared" si="54"/>
        <v>16</v>
      </c>
      <c r="H1766" s="222">
        <f t="shared" si="55"/>
        <v>32927760</v>
      </c>
    </row>
    <row r="1767" spans="1:8" hidden="1">
      <c r="A1767" s="97">
        <v>14352896</v>
      </c>
      <c r="B1767" s="90" t="s">
        <v>3428</v>
      </c>
      <c r="C1767" s="90" t="s">
        <v>3429</v>
      </c>
      <c r="D1767" s="88" t="s">
        <v>7105</v>
      </c>
      <c r="E1767" s="94">
        <v>42915</v>
      </c>
      <c r="F1767" s="91" t="s">
        <v>9302</v>
      </c>
      <c r="G1767" s="223">
        <f t="shared" si="54"/>
        <v>25</v>
      </c>
      <c r="H1767" s="222">
        <f t="shared" si="55"/>
        <v>14352896</v>
      </c>
    </row>
    <row r="1768" spans="1:8" hidden="1">
      <c r="A1768" s="97">
        <v>23116558</v>
      </c>
      <c r="B1768" s="90" t="s">
        <v>1500</v>
      </c>
      <c r="C1768" s="90" t="s">
        <v>1501</v>
      </c>
      <c r="D1768" s="88" t="s">
        <v>7105</v>
      </c>
      <c r="E1768" s="94">
        <v>42915</v>
      </c>
      <c r="F1768" s="98" t="s">
        <v>6853</v>
      </c>
      <c r="G1768" s="223">
        <f t="shared" si="54"/>
        <v>17</v>
      </c>
      <c r="H1768" s="222">
        <f t="shared" si="55"/>
        <v>23116558</v>
      </c>
    </row>
    <row r="1769" spans="1:8" hidden="1">
      <c r="A1769" s="97">
        <v>27206962</v>
      </c>
      <c r="B1769" s="90" t="s">
        <v>2774</v>
      </c>
      <c r="C1769" s="90" t="s">
        <v>2775</v>
      </c>
      <c r="D1769" s="88" t="s">
        <v>7105</v>
      </c>
      <c r="E1769" s="94">
        <v>42915</v>
      </c>
      <c r="F1769" s="98" t="s">
        <v>6853</v>
      </c>
      <c r="G1769" s="223" t="str">
        <f t="shared" si="54"/>
        <v>sin dato</v>
      </c>
      <c r="H1769" s="222">
        <f t="shared" si="55"/>
        <v>27206962</v>
      </c>
    </row>
    <row r="1770" spans="1:8" hidden="1">
      <c r="A1770" s="97">
        <v>24864426</v>
      </c>
      <c r="B1770" s="90" t="s">
        <v>1504</v>
      </c>
      <c r="C1770" s="90" t="s">
        <v>1505</v>
      </c>
      <c r="D1770" s="88" t="s">
        <v>7105</v>
      </c>
      <c r="E1770" s="94">
        <v>42915</v>
      </c>
      <c r="F1770" s="98" t="s">
        <v>6853</v>
      </c>
      <c r="G1770" s="223">
        <f t="shared" si="54"/>
        <v>17</v>
      </c>
      <c r="H1770" s="222">
        <f t="shared" si="55"/>
        <v>24864426</v>
      </c>
    </row>
    <row r="1771" spans="1:8" hidden="1">
      <c r="A1771" s="97">
        <v>22073108</v>
      </c>
      <c r="B1771" s="90" t="s">
        <v>3176</v>
      </c>
      <c r="C1771" s="90" t="s">
        <v>671</v>
      </c>
      <c r="D1771" s="88" t="s">
        <v>7105</v>
      </c>
      <c r="E1771" s="94">
        <v>42915</v>
      </c>
      <c r="F1771" s="98" t="s">
        <v>6853</v>
      </c>
      <c r="G1771" s="223">
        <f t="shared" si="54"/>
        <v>24</v>
      </c>
      <c r="H1771" s="222">
        <f t="shared" si="55"/>
        <v>22073108</v>
      </c>
    </row>
    <row r="1772" spans="1:8" hidden="1">
      <c r="A1772" s="97">
        <v>12413488</v>
      </c>
      <c r="B1772" s="90" t="s">
        <v>1697</v>
      </c>
      <c r="C1772" s="90" t="s">
        <v>1698</v>
      </c>
      <c r="D1772" s="88" t="s">
        <v>7105</v>
      </c>
      <c r="E1772" s="94">
        <v>42915</v>
      </c>
      <c r="F1772" s="98" t="s">
        <v>6853</v>
      </c>
      <c r="G1772" s="223">
        <f t="shared" si="54"/>
        <v>15</v>
      </c>
      <c r="H1772" s="222">
        <f t="shared" si="55"/>
        <v>12413488</v>
      </c>
    </row>
    <row r="1773" spans="1:8" hidden="1">
      <c r="A1773" s="97">
        <v>30760509</v>
      </c>
      <c r="B1773" s="90" t="s">
        <v>130</v>
      </c>
      <c r="C1773" s="90" t="s">
        <v>131</v>
      </c>
      <c r="D1773" s="88" t="s">
        <v>7105</v>
      </c>
      <c r="E1773" s="94">
        <v>42915</v>
      </c>
      <c r="F1773" s="98" t="s">
        <v>6853</v>
      </c>
      <c r="G1773" s="223">
        <f t="shared" si="54"/>
        <v>11</v>
      </c>
      <c r="H1773" s="222">
        <f t="shared" si="55"/>
        <v>30760509</v>
      </c>
    </row>
    <row r="1774" spans="1:8" hidden="1">
      <c r="A1774" s="97">
        <v>18566394</v>
      </c>
      <c r="B1774" s="90" t="s">
        <v>144</v>
      </c>
      <c r="C1774" s="90" t="s">
        <v>283</v>
      </c>
      <c r="D1774" s="88" t="s">
        <v>7105</v>
      </c>
      <c r="E1774" s="94">
        <v>42915</v>
      </c>
      <c r="F1774" s="98" t="s">
        <v>6853</v>
      </c>
      <c r="G1774" s="223">
        <f t="shared" si="54"/>
        <v>46</v>
      </c>
      <c r="H1774" s="222">
        <f t="shared" si="55"/>
        <v>18566394</v>
      </c>
    </row>
    <row r="1775" spans="1:8" hidden="1">
      <c r="A1775" s="97">
        <v>29533058</v>
      </c>
      <c r="B1775" s="90" t="s">
        <v>146</v>
      </c>
      <c r="C1775" s="90" t="s">
        <v>147</v>
      </c>
      <c r="D1775" s="88" t="s">
        <v>7105</v>
      </c>
      <c r="E1775" s="94">
        <v>42915</v>
      </c>
      <c r="F1775" s="98" t="s">
        <v>6853</v>
      </c>
      <c r="G1775" s="223">
        <f t="shared" si="54"/>
        <v>12</v>
      </c>
      <c r="H1775" s="222">
        <f t="shared" si="55"/>
        <v>29533058</v>
      </c>
    </row>
    <row r="1776" spans="1:8" hidden="1">
      <c r="A1776" s="97">
        <v>33755283</v>
      </c>
      <c r="B1776" s="90" t="s">
        <v>2481</v>
      </c>
      <c r="C1776" s="90" t="s">
        <v>2482</v>
      </c>
      <c r="D1776" s="88" t="s">
        <v>7105</v>
      </c>
      <c r="E1776" s="94">
        <v>42915</v>
      </c>
      <c r="F1776" s="98" t="s">
        <v>6853</v>
      </c>
      <c r="G1776" s="223">
        <f t="shared" si="54"/>
        <v>14</v>
      </c>
      <c r="H1776" s="222">
        <f t="shared" si="55"/>
        <v>33755283</v>
      </c>
    </row>
    <row r="1777" spans="1:8" hidden="1">
      <c r="A1777" s="97">
        <v>23019235</v>
      </c>
      <c r="B1777" s="90" t="s">
        <v>2856</v>
      </c>
      <c r="C1777" s="90" t="s">
        <v>2857</v>
      </c>
      <c r="D1777" s="88" t="s">
        <v>7105</v>
      </c>
      <c r="E1777" s="94">
        <v>42915</v>
      </c>
      <c r="F1777" s="98" t="s">
        <v>6853</v>
      </c>
      <c r="G1777" s="223">
        <f t="shared" si="54"/>
        <v>10</v>
      </c>
      <c r="H1777" s="222">
        <f t="shared" si="55"/>
        <v>23019235</v>
      </c>
    </row>
    <row r="1778" spans="1:8" hidden="1">
      <c r="A1778" s="97">
        <v>27961528</v>
      </c>
      <c r="B1778" s="90" t="s">
        <v>2696</v>
      </c>
      <c r="C1778" s="90" t="s">
        <v>527</v>
      </c>
      <c r="D1778" s="88" t="s">
        <v>7105</v>
      </c>
      <c r="E1778" s="94">
        <v>42915</v>
      </c>
      <c r="F1778" s="98" t="s">
        <v>6853</v>
      </c>
      <c r="G1778" s="223">
        <f t="shared" si="54"/>
        <v>50</v>
      </c>
      <c r="H1778" s="222">
        <f t="shared" si="55"/>
        <v>27961528</v>
      </c>
    </row>
    <row r="1779" spans="1:8" hidden="1">
      <c r="A1779" s="97">
        <v>22336712</v>
      </c>
      <c r="B1779" s="90" t="s">
        <v>5262</v>
      </c>
      <c r="C1779" s="90" t="s">
        <v>5263</v>
      </c>
      <c r="D1779" s="88" t="s">
        <v>7105</v>
      </c>
      <c r="E1779" s="94">
        <v>42915</v>
      </c>
      <c r="F1779" s="98" t="s">
        <v>6853</v>
      </c>
      <c r="G1779" s="223">
        <f t="shared" si="54"/>
        <v>9</v>
      </c>
      <c r="H1779" s="222">
        <f t="shared" si="55"/>
        <v>22336712</v>
      </c>
    </row>
    <row r="1780" spans="1:8" hidden="1">
      <c r="A1780" s="97">
        <v>27365139</v>
      </c>
      <c r="B1780" s="90" t="s">
        <v>195</v>
      </c>
      <c r="C1780" s="90" t="s">
        <v>1710</v>
      </c>
      <c r="D1780" s="88" t="s">
        <v>7105</v>
      </c>
      <c r="E1780" s="94">
        <v>42915</v>
      </c>
      <c r="F1780" s="91" t="s">
        <v>9302</v>
      </c>
      <c r="G1780" s="223">
        <f t="shared" si="54"/>
        <v>15</v>
      </c>
      <c r="H1780" s="222">
        <f t="shared" si="55"/>
        <v>27365139</v>
      </c>
    </row>
    <row r="1781" spans="1:8" hidden="1">
      <c r="A1781" s="97">
        <v>22211664</v>
      </c>
      <c r="B1781" s="90" t="s">
        <v>5551</v>
      </c>
      <c r="C1781" s="90" t="s">
        <v>5552</v>
      </c>
      <c r="D1781" s="88" t="s">
        <v>7105</v>
      </c>
      <c r="E1781" s="94">
        <v>42915</v>
      </c>
      <c r="F1781" s="91" t="s">
        <v>9302</v>
      </c>
      <c r="G1781" s="223">
        <f t="shared" si="54"/>
        <v>6</v>
      </c>
      <c r="H1781" s="222">
        <f t="shared" si="55"/>
        <v>22211664</v>
      </c>
    </row>
    <row r="1782" spans="1:8" hidden="1">
      <c r="A1782" s="97">
        <v>13203535</v>
      </c>
      <c r="B1782" s="90" t="s">
        <v>650</v>
      </c>
      <c r="C1782" s="90" t="s">
        <v>2016</v>
      </c>
      <c r="D1782" s="88" t="s">
        <v>7105</v>
      </c>
      <c r="E1782" s="94">
        <v>42915</v>
      </c>
      <c r="F1782" s="91" t="s">
        <v>9302</v>
      </c>
      <c r="G1782" s="223">
        <f t="shared" si="54"/>
        <v>16</v>
      </c>
      <c r="H1782" s="222">
        <f t="shared" si="55"/>
        <v>13203535</v>
      </c>
    </row>
    <row r="1783" spans="1:8" hidden="1">
      <c r="A1783" s="97">
        <v>34356805</v>
      </c>
      <c r="B1783" s="90" t="s">
        <v>650</v>
      </c>
      <c r="C1783" s="90" t="s">
        <v>6991</v>
      </c>
      <c r="D1783" s="88" t="s">
        <v>7105</v>
      </c>
      <c r="E1783" s="94">
        <v>42915</v>
      </c>
      <c r="F1783" s="98" t="s">
        <v>6853</v>
      </c>
      <c r="G1783" s="223">
        <f t="shared" si="54"/>
        <v>30</v>
      </c>
      <c r="H1783" s="222">
        <f t="shared" si="55"/>
        <v>34356805</v>
      </c>
    </row>
    <row r="1784" spans="1:8" hidden="1">
      <c r="A1784" s="97">
        <v>29102855</v>
      </c>
      <c r="B1784" s="90" t="s">
        <v>650</v>
      </c>
      <c r="C1784" s="90" t="s">
        <v>5335</v>
      </c>
      <c r="D1784" s="88" t="s">
        <v>7105</v>
      </c>
      <c r="E1784" s="94">
        <v>42915</v>
      </c>
      <c r="F1784" s="98" t="s">
        <v>6853</v>
      </c>
      <c r="G1784" s="223">
        <f t="shared" si="54"/>
        <v>7</v>
      </c>
      <c r="H1784" s="222">
        <f t="shared" si="55"/>
        <v>29102855</v>
      </c>
    </row>
    <row r="1785" spans="1:8" hidden="1">
      <c r="A1785" s="97">
        <v>13784794</v>
      </c>
      <c r="B1785" s="90" t="s">
        <v>2021</v>
      </c>
      <c r="C1785" s="90" t="s">
        <v>1146</v>
      </c>
      <c r="D1785" s="88" t="s">
        <v>7105</v>
      </c>
      <c r="E1785" s="94">
        <v>42915</v>
      </c>
      <c r="F1785" s="91" t="s">
        <v>9302</v>
      </c>
      <c r="G1785" s="223">
        <f t="shared" si="54"/>
        <v>16</v>
      </c>
      <c r="H1785" s="222">
        <f t="shared" si="55"/>
        <v>13784794</v>
      </c>
    </row>
    <row r="1786" spans="1:8" hidden="1">
      <c r="A1786" s="97">
        <v>14966482</v>
      </c>
      <c r="B1786" s="90" t="s">
        <v>2785</v>
      </c>
      <c r="C1786" s="90" t="s">
        <v>2786</v>
      </c>
      <c r="D1786" s="88" t="s">
        <v>7105</v>
      </c>
      <c r="E1786" s="94">
        <v>42915</v>
      </c>
      <c r="F1786" s="98" t="s">
        <v>6853</v>
      </c>
      <c r="G1786" s="223" t="str">
        <f t="shared" si="54"/>
        <v>sin dato</v>
      </c>
      <c r="H1786" s="222">
        <f t="shared" si="55"/>
        <v>14966482</v>
      </c>
    </row>
    <row r="1787" spans="1:8" hidden="1">
      <c r="A1787" s="97">
        <v>28221010</v>
      </c>
      <c r="B1787" s="90" t="s">
        <v>666</v>
      </c>
      <c r="C1787" s="90" t="s">
        <v>667</v>
      </c>
      <c r="D1787" s="88" t="s">
        <v>7105</v>
      </c>
      <c r="E1787" s="94">
        <v>42915</v>
      </c>
      <c r="F1787" s="91" t="s">
        <v>9302</v>
      </c>
      <c r="G1787" s="223">
        <f t="shared" si="54"/>
        <v>13</v>
      </c>
      <c r="H1787" s="222">
        <f t="shared" si="55"/>
        <v>28221010</v>
      </c>
    </row>
    <row r="1788" spans="1:8" hidden="1">
      <c r="A1788" s="97">
        <v>31425939</v>
      </c>
      <c r="B1788" s="90" t="s">
        <v>218</v>
      </c>
      <c r="C1788" s="90" t="s">
        <v>1741</v>
      </c>
      <c r="D1788" s="88" t="s">
        <v>7105</v>
      </c>
      <c r="E1788" s="94">
        <v>42915</v>
      </c>
      <c r="F1788" s="98" t="s">
        <v>6853</v>
      </c>
      <c r="G1788" s="223">
        <f t="shared" si="54"/>
        <v>15</v>
      </c>
      <c r="H1788" s="222">
        <f t="shared" si="55"/>
        <v>31425939</v>
      </c>
    </row>
    <row r="1789" spans="1:8" hidden="1">
      <c r="A1789" s="97">
        <v>22877863</v>
      </c>
      <c r="B1789" s="90" t="s">
        <v>2053</v>
      </c>
      <c r="C1789" s="90" t="s">
        <v>97</v>
      </c>
      <c r="D1789" s="88" t="s">
        <v>7105</v>
      </c>
      <c r="E1789" s="94">
        <v>42915</v>
      </c>
      <c r="F1789" s="91" t="s">
        <v>9302</v>
      </c>
      <c r="G1789" s="223">
        <f t="shared" si="54"/>
        <v>16</v>
      </c>
      <c r="H1789" s="222">
        <f t="shared" si="55"/>
        <v>22877863</v>
      </c>
    </row>
    <row r="1790" spans="1:8" hidden="1">
      <c r="A1790" s="97">
        <v>33430036</v>
      </c>
      <c r="B1790" s="90" t="s">
        <v>2908</v>
      </c>
      <c r="C1790" s="90" t="s">
        <v>2909</v>
      </c>
      <c r="D1790" s="88" t="s">
        <v>7105</v>
      </c>
      <c r="E1790" s="94">
        <v>42915</v>
      </c>
      <c r="F1790" s="91" t="s">
        <v>9302</v>
      </c>
      <c r="G1790" s="223" t="str">
        <f t="shared" si="54"/>
        <v>sin dato</v>
      </c>
      <c r="H1790" s="222">
        <f t="shared" si="55"/>
        <v>33430036</v>
      </c>
    </row>
    <row r="1791" spans="1:8" hidden="1">
      <c r="A1791" s="97">
        <v>35921443</v>
      </c>
      <c r="B1791" s="90" t="s">
        <v>680</v>
      </c>
      <c r="C1791" s="90" t="s">
        <v>2706</v>
      </c>
      <c r="D1791" s="88" t="s">
        <v>7105</v>
      </c>
      <c r="E1791" s="94">
        <v>42915</v>
      </c>
      <c r="F1791" s="98" t="s">
        <v>6853</v>
      </c>
      <c r="G1791" s="223" t="str">
        <f t="shared" si="54"/>
        <v>sin dato</v>
      </c>
      <c r="H1791" s="222" t="str">
        <f t="shared" si="55"/>
        <v>999</v>
      </c>
    </row>
    <row r="1792" spans="1:8" hidden="1">
      <c r="A1792" s="97">
        <v>25510655</v>
      </c>
      <c r="B1792" s="90" t="s">
        <v>5589</v>
      </c>
      <c r="C1792" s="90" t="s">
        <v>1103</v>
      </c>
      <c r="D1792" s="88" t="s">
        <v>7105</v>
      </c>
      <c r="E1792" s="94">
        <v>42915</v>
      </c>
      <c r="F1792" s="91" t="s">
        <v>9302</v>
      </c>
      <c r="G1792" s="223">
        <f t="shared" si="54"/>
        <v>6</v>
      </c>
      <c r="H1792" s="222">
        <f t="shared" si="55"/>
        <v>25510655</v>
      </c>
    </row>
    <row r="1793" spans="1:8" hidden="1">
      <c r="A1793" s="97">
        <v>18464655</v>
      </c>
      <c r="B1793" s="90" t="s">
        <v>247</v>
      </c>
      <c r="C1793" s="90" t="s">
        <v>248</v>
      </c>
      <c r="D1793" s="88" t="s">
        <v>7105</v>
      </c>
      <c r="E1793" s="94">
        <v>42915</v>
      </c>
      <c r="F1793" s="98" t="s">
        <v>6853</v>
      </c>
      <c r="G1793" s="223">
        <f t="shared" si="54"/>
        <v>11</v>
      </c>
      <c r="H1793" s="222">
        <f t="shared" si="55"/>
        <v>18464655</v>
      </c>
    </row>
    <row r="1794" spans="1:8" hidden="1">
      <c r="A1794" s="97">
        <v>12734180</v>
      </c>
      <c r="B1794" s="90" t="s">
        <v>252</v>
      </c>
      <c r="C1794" s="90" t="s">
        <v>4324</v>
      </c>
      <c r="D1794" s="88" t="s">
        <v>7105</v>
      </c>
      <c r="E1794" s="94">
        <v>42915</v>
      </c>
      <c r="F1794" s="98" t="s">
        <v>6853</v>
      </c>
      <c r="G1794" s="223">
        <f t="shared" ref="G1794:G1857" si="56">IFERROR(INDEX(unidad,MATCH(VLOOKUP(A1794,alum,9,0),unidad2,0),1),"sin dato")</f>
        <v>21</v>
      </c>
      <c r="H1794" s="222">
        <f t="shared" ref="H1794:H1857" si="57">IFERROR(VLOOKUP(A1794,alum,1,0),"999")</f>
        <v>12734180</v>
      </c>
    </row>
    <row r="1795" spans="1:8" hidden="1">
      <c r="A1795" s="97">
        <v>22799483</v>
      </c>
      <c r="B1795" s="90" t="s">
        <v>5902</v>
      </c>
      <c r="C1795" s="90" t="s">
        <v>5903</v>
      </c>
      <c r="D1795" s="88" t="s">
        <v>7105</v>
      </c>
      <c r="E1795" s="94">
        <v>42915</v>
      </c>
      <c r="F1795" s="91" t="s">
        <v>9302</v>
      </c>
      <c r="G1795" s="223">
        <f t="shared" si="56"/>
        <v>10</v>
      </c>
      <c r="H1795" s="222">
        <f t="shared" si="57"/>
        <v>22799483</v>
      </c>
    </row>
    <row r="1796" spans="1:8" hidden="1">
      <c r="A1796" s="97">
        <v>30759476</v>
      </c>
      <c r="B1796" s="90" t="s">
        <v>1487</v>
      </c>
      <c r="C1796" s="90" t="s">
        <v>1488</v>
      </c>
      <c r="D1796" s="88" t="s">
        <v>7105</v>
      </c>
      <c r="E1796" s="94">
        <v>42915</v>
      </c>
      <c r="F1796" s="91" t="s">
        <v>9302</v>
      </c>
      <c r="G1796" s="223">
        <f t="shared" si="56"/>
        <v>45</v>
      </c>
      <c r="H1796" s="222">
        <f t="shared" si="57"/>
        <v>30759476</v>
      </c>
    </row>
    <row r="1797" spans="1:8" hidden="1">
      <c r="A1797" s="97">
        <v>22031835</v>
      </c>
      <c r="B1797" s="90" t="s">
        <v>273</v>
      </c>
      <c r="C1797" s="90" t="s">
        <v>274</v>
      </c>
      <c r="D1797" s="88" t="s">
        <v>7105</v>
      </c>
      <c r="E1797" s="94">
        <v>42915</v>
      </c>
      <c r="F1797" s="91" t="s">
        <v>9302</v>
      </c>
      <c r="G1797" s="223">
        <f t="shared" si="56"/>
        <v>11</v>
      </c>
      <c r="H1797" s="222">
        <f t="shared" si="57"/>
        <v>22031835</v>
      </c>
    </row>
    <row r="1798" spans="1:8" hidden="1">
      <c r="A1798" s="97">
        <v>12540739</v>
      </c>
      <c r="B1798" s="90" t="s">
        <v>4759</v>
      </c>
      <c r="C1798" s="90" t="s">
        <v>4760</v>
      </c>
      <c r="D1798" s="88" t="s">
        <v>7105</v>
      </c>
      <c r="E1798" s="94">
        <v>42915</v>
      </c>
      <c r="F1798" s="98" t="s">
        <v>6853</v>
      </c>
      <c r="G1798" s="223">
        <f t="shared" si="56"/>
        <v>23</v>
      </c>
      <c r="H1798" s="222">
        <f t="shared" si="57"/>
        <v>12540739</v>
      </c>
    </row>
    <row r="1799" spans="1:8" hidden="1">
      <c r="A1799" s="97">
        <v>27651651</v>
      </c>
      <c r="B1799" s="90" t="s">
        <v>861</v>
      </c>
      <c r="C1799" s="90" t="s">
        <v>5671</v>
      </c>
      <c r="D1799" s="88" t="s">
        <v>7105</v>
      </c>
      <c r="E1799" s="94">
        <v>42915</v>
      </c>
      <c r="F1799" s="98" t="s">
        <v>6853</v>
      </c>
      <c r="G1799" s="223">
        <f t="shared" si="56"/>
        <v>5</v>
      </c>
      <c r="H1799" s="222">
        <f t="shared" si="57"/>
        <v>27651651</v>
      </c>
    </row>
    <row r="1800" spans="1:8" hidden="1">
      <c r="A1800" s="97">
        <v>12654235</v>
      </c>
      <c r="B1800" s="90" t="s">
        <v>863</v>
      </c>
      <c r="C1800" s="90" t="s">
        <v>4576</v>
      </c>
      <c r="D1800" s="88" t="s">
        <v>7105</v>
      </c>
      <c r="E1800" s="94">
        <v>42915</v>
      </c>
      <c r="F1800" s="98" t="s">
        <v>6853</v>
      </c>
      <c r="G1800" s="223">
        <f t="shared" si="56"/>
        <v>22</v>
      </c>
      <c r="H1800" s="222">
        <f t="shared" si="57"/>
        <v>12654235</v>
      </c>
    </row>
    <row r="1801" spans="1:8" hidden="1">
      <c r="A1801" s="97">
        <v>26722130</v>
      </c>
      <c r="B1801" s="90" t="s">
        <v>863</v>
      </c>
      <c r="C1801" s="90" t="s">
        <v>579</v>
      </c>
      <c r="D1801" s="88" t="s">
        <v>7105</v>
      </c>
      <c r="E1801" s="94">
        <v>42915</v>
      </c>
      <c r="F1801" s="98" t="s">
        <v>6853</v>
      </c>
      <c r="G1801" s="223">
        <f t="shared" si="56"/>
        <v>14</v>
      </c>
      <c r="H1801" s="222">
        <f t="shared" si="57"/>
        <v>26722130</v>
      </c>
    </row>
    <row r="1802" spans="1:8" hidden="1">
      <c r="A1802" s="97">
        <v>31809903</v>
      </c>
      <c r="B1802" s="90" t="s">
        <v>3380</v>
      </c>
      <c r="C1802" s="90" t="s">
        <v>3381</v>
      </c>
      <c r="D1802" s="88" t="s">
        <v>7105</v>
      </c>
      <c r="E1802" s="94">
        <v>42915</v>
      </c>
      <c r="F1802" s="98" t="s">
        <v>6853</v>
      </c>
      <c r="G1802" s="223">
        <f t="shared" si="56"/>
        <v>24</v>
      </c>
      <c r="H1802" s="222">
        <f t="shared" si="57"/>
        <v>31809903</v>
      </c>
    </row>
    <row r="1803" spans="1:8" hidden="1">
      <c r="A1803" s="97">
        <v>17040749</v>
      </c>
      <c r="B1803" s="90" t="s">
        <v>2132</v>
      </c>
      <c r="C1803" s="90" t="s">
        <v>7106</v>
      </c>
      <c r="D1803" s="88" t="s">
        <v>7105</v>
      </c>
      <c r="E1803" s="94">
        <v>42915</v>
      </c>
      <c r="F1803" s="98" t="s">
        <v>6853</v>
      </c>
      <c r="G1803" s="223">
        <f t="shared" si="56"/>
        <v>16</v>
      </c>
      <c r="H1803" s="222">
        <f t="shared" si="57"/>
        <v>17040749</v>
      </c>
    </row>
    <row r="1804" spans="1:8" hidden="1">
      <c r="A1804" s="97">
        <v>25483050</v>
      </c>
      <c r="B1804" s="90" t="s">
        <v>4033</v>
      </c>
      <c r="C1804" s="90" t="s">
        <v>4034</v>
      </c>
      <c r="D1804" s="88" t="s">
        <v>7105</v>
      </c>
      <c r="E1804" s="94">
        <v>42915</v>
      </c>
      <c r="F1804" s="98" t="s">
        <v>6853</v>
      </c>
      <c r="G1804" s="223">
        <f t="shared" si="56"/>
        <v>30</v>
      </c>
      <c r="H1804" s="222">
        <f t="shared" si="57"/>
        <v>25483050</v>
      </c>
    </row>
    <row r="1805" spans="1:8" hidden="1">
      <c r="A1805" s="97">
        <v>25653571</v>
      </c>
      <c r="B1805" s="90" t="s">
        <v>1160</v>
      </c>
      <c r="C1805" s="90" t="s">
        <v>1161</v>
      </c>
      <c r="D1805" s="88" t="s">
        <v>7105</v>
      </c>
      <c r="E1805" s="94">
        <v>42915</v>
      </c>
      <c r="F1805" s="98" t="s">
        <v>6853</v>
      </c>
      <c r="G1805" s="223">
        <f t="shared" si="56"/>
        <v>14</v>
      </c>
      <c r="H1805" s="222">
        <f t="shared" si="57"/>
        <v>25653571</v>
      </c>
    </row>
    <row r="1806" spans="1:8" hidden="1">
      <c r="A1806" s="97">
        <v>22303060</v>
      </c>
      <c r="B1806" s="90" t="s">
        <v>6270</v>
      </c>
      <c r="C1806" s="90" t="s">
        <v>233</v>
      </c>
      <c r="D1806" s="88" t="s">
        <v>7105</v>
      </c>
      <c r="E1806" s="94">
        <v>42915</v>
      </c>
      <c r="F1806" s="91" t="s">
        <v>9302</v>
      </c>
      <c r="G1806" s="223">
        <f t="shared" si="56"/>
        <v>999</v>
      </c>
      <c r="H1806" s="222">
        <f t="shared" si="57"/>
        <v>22303060</v>
      </c>
    </row>
    <row r="1807" spans="1:8" hidden="1">
      <c r="A1807" s="97">
        <v>23015469</v>
      </c>
      <c r="B1807" s="90" t="s">
        <v>714</v>
      </c>
      <c r="C1807" s="90" t="s">
        <v>715</v>
      </c>
      <c r="D1807" s="88" t="s">
        <v>7105</v>
      </c>
      <c r="E1807" s="94">
        <v>42915</v>
      </c>
      <c r="F1807" s="98" t="s">
        <v>6853</v>
      </c>
      <c r="G1807" s="223">
        <f t="shared" si="56"/>
        <v>13</v>
      </c>
      <c r="H1807" s="222">
        <f t="shared" si="57"/>
        <v>23015469</v>
      </c>
    </row>
    <row r="1808" spans="1:8" hidden="1">
      <c r="A1808" s="97">
        <v>16685790</v>
      </c>
      <c r="B1808" s="90" t="s">
        <v>3016</v>
      </c>
      <c r="C1808" s="90" t="s">
        <v>3017</v>
      </c>
      <c r="D1808" s="88" t="s">
        <v>7105</v>
      </c>
      <c r="E1808" s="94">
        <v>42915</v>
      </c>
      <c r="F1808" s="98" t="s">
        <v>6853</v>
      </c>
      <c r="G1808" s="223">
        <f t="shared" si="56"/>
        <v>19</v>
      </c>
      <c r="H1808" s="222">
        <f t="shared" si="57"/>
        <v>16685790</v>
      </c>
    </row>
    <row r="1809" spans="1:8" hidden="1">
      <c r="A1809" s="97">
        <v>28147332</v>
      </c>
      <c r="B1809" s="90" t="s">
        <v>7107</v>
      </c>
      <c r="C1809" s="90" t="s">
        <v>7108</v>
      </c>
      <c r="D1809" s="88" t="s">
        <v>7105</v>
      </c>
      <c r="E1809" s="94">
        <v>42915</v>
      </c>
      <c r="F1809" s="91" t="s">
        <v>9302</v>
      </c>
      <c r="G1809" s="223" t="str">
        <f t="shared" si="56"/>
        <v>sin dato</v>
      </c>
      <c r="H1809" s="222" t="str">
        <f t="shared" si="57"/>
        <v>999</v>
      </c>
    </row>
    <row r="1810" spans="1:8" hidden="1">
      <c r="A1810" s="97">
        <v>30357304</v>
      </c>
      <c r="B1810" s="90" t="s">
        <v>350</v>
      </c>
      <c r="C1810" s="90" t="s">
        <v>588</v>
      </c>
      <c r="D1810" s="88" t="s">
        <v>7105</v>
      </c>
      <c r="E1810" s="94">
        <v>42915</v>
      </c>
      <c r="F1810" s="91" t="s">
        <v>9302</v>
      </c>
      <c r="G1810" s="223">
        <f t="shared" si="56"/>
        <v>35</v>
      </c>
      <c r="H1810" s="222">
        <f t="shared" si="57"/>
        <v>30357304</v>
      </c>
    </row>
    <row r="1811" spans="1:8" hidden="1">
      <c r="A1811" s="97">
        <v>26736021</v>
      </c>
      <c r="B1811" s="90" t="s">
        <v>359</v>
      </c>
      <c r="C1811" s="90" t="s">
        <v>1785</v>
      </c>
      <c r="D1811" s="88" t="s">
        <v>7105</v>
      </c>
      <c r="E1811" s="94">
        <v>42915</v>
      </c>
      <c r="F1811" s="98" t="s">
        <v>6853</v>
      </c>
      <c r="G1811" s="223">
        <f t="shared" si="56"/>
        <v>15</v>
      </c>
      <c r="H1811" s="222">
        <f t="shared" si="57"/>
        <v>26736021</v>
      </c>
    </row>
    <row r="1812" spans="1:8" hidden="1">
      <c r="A1812" s="97">
        <v>14660159</v>
      </c>
      <c r="B1812" s="90" t="s">
        <v>3023</v>
      </c>
      <c r="C1812" s="90" t="s">
        <v>584</v>
      </c>
      <c r="D1812" s="88" t="s">
        <v>7105</v>
      </c>
      <c r="E1812" s="94">
        <v>42915</v>
      </c>
      <c r="F1812" s="91" t="s">
        <v>9302</v>
      </c>
      <c r="G1812" s="223">
        <f t="shared" si="56"/>
        <v>19</v>
      </c>
      <c r="H1812" s="222">
        <f t="shared" si="57"/>
        <v>14660159</v>
      </c>
    </row>
    <row r="1813" spans="1:8" hidden="1">
      <c r="A1813" s="97">
        <v>30759570</v>
      </c>
      <c r="B1813" s="90" t="s">
        <v>2795</v>
      </c>
      <c r="C1813" s="90" t="s">
        <v>2796</v>
      </c>
      <c r="D1813" s="88" t="s">
        <v>7105</v>
      </c>
      <c r="E1813" s="94">
        <v>42915</v>
      </c>
      <c r="F1813" s="98" t="s">
        <v>6853</v>
      </c>
      <c r="G1813" s="223" t="str">
        <f t="shared" si="56"/>
        <v>sin dato</v>
      </c>
      <c r="H1813" s="222">
        <f t="shared" si="57"/>
        <v>30759570</v>
      </c>
    </row>
    <row r="1814" spans="1:8" hidden="1">
      <c r="A1814" s="97">
        <v>24503602</v>
      </c>
      <c r="B1814" s="90" t="s">
        <v>394</v>
      </c>
      <c r="C1814" s="90" t="s">
        <v>2873</v>
      </c>
      <c r="D1814" s="88" t="s">
        <v>7105</v>
      </c>
      <c r="E1814" s="94">
        <v>42915</v>
      </c>
      <c r="F1814" s="98" t="s">
        <v>6853</v>
      </c>
      <c r="G1814" s="223">
        <f t="shared" si="56"/>
        <v>63</v>
      </c>
      <c r="H1814" s="222">
        <f t="shared" si="57"/>
        <v>24503602</v>
      </c>
    </row>
    <row r="1815" spans="1:8" hidden="1">
      <c r="A1815" s="97">
        <v>23518746</v>
      </c>
      <c r="B1815" s="90" t="s">
        <v>734</v>
      </c>
      <c r="C1815" s="90" t="s">
        <v>1187</v>
      </c>
      <c r="D1815" s="88" t="s">
        <v>7105</v>
      </c>
      <c r="E1815" s="94">
        <v>42915</v>
      </c>
      <c r="F1815" s="98" t="s">
        <v>6853</v>
      </c>
      <c r="G1815" s="223">
        <f t="shared" si="56"/>
        <v>14</v>
      </c>
      <c r="H1815" s="222">
        <f t="shared" si="57"/>
        <v>23518746</v>
      </c>
    </row>
    <row r="1816" spans="1:8" hidden="1">
      <c r="A1816" s="97">
        <v>14073492</v>
      </c>
      <c r="B1816" s="90" t="s">
        <v>2183</v>
      </c>
      <c r="C1816" s="90" t="s">
        <v>2184</v>
      </c>
      <c r="D1816" s="88" t="s">
        <v>7105</v>
      </c>
      <c r="E1816" s="94">
        <v>42915</v>
      </c>
      <c r="F1816" s="91" t="s">
        <v>9302</v>
      </c>
      <c r="G1816" s="223">
        <f t="shared" si="56"/>
        <v>16</v>
      </c>
      <c r="H1816" s="222">
        <f t="shared" si="57"/>
        <v>14073492</v>
      </c>
    </row>
    <row r="1817" spans="1:8" hidden="1">
      <c r="A1817" s="97">
        <v>33374199</v>
      </c>
      <c r="B1817" s="90" t="s">
        <v>2576</v>
      </c>
      <c r="C1817" s="90" t="s">
        <v>3813</v>
      </c>
      <c r="D1817" s="88" t="s">
        <v>7105</v>
      </c>
      <c r="E1817" s="94">
        <v>42915</v>
      </c>
      <c r="F1817" s="98" t="s">
        <v>6853</v>
      </c>
      <c r="G1817" s="223">
        <f t="shared" si="56"/>
        <v>20</v>
      </c>
      <c r="H1817" s="222">
        <f t="shared" si="57"/>
        <v>33374199</v>
      </c>
    </row>
    <row r="1818" spans="1:8" hidden="1">
      <c r="A1818" s="97">
        <v>37457738</v>
      </c>
      <c r="B1818" s="90" t="s">
        <v>1190</v>
      </c>
      <c r="C1818" s="90" t="s">
        <v>2212</v>
      </c>
      <c r="D1818" s="88" t="s">
        <v>7105</v>
      </c>
      <c r="E1818" s="94">
        <v>42915</v>
      </c>
      <c r="F1818" s="98" t="s">
        <v>6853</v>
      </c>
      <c r="G1818" s="223" t="str">
        <f t="shared" si="56"/>
        <v>sin dato</v>
      </c>
      <c r="H1818" s="222" t="str">
        <f t="shared" si="57"/>
        <v>999</v>
      </c>
    </row>
    <row r="1819" spans="1:8" hidden="1">
      <c r="A1819" s="97">
        <v>35548263</v>
      </c>
      <c r="B1819" s="90" t="s">
        <v>415</v>
      </c>
      <c r="C1819" s="90" t="s">
        <v>416</v>
      </c>
      <c r="D1819" s="88" t="s">
        <v>7105</v>
      </c>
      <c r="E1819" s="94">
        <v>42915</v>
      </c>
      <c r="F1819" s="98" t="s">
        <v>6853</v>
      </c>
      <c r="G1819" s="223" t="str">
        <f t="shared" si="56"/>
        <v>sin dato</v>
      </c>
      <c r="H1819" s="222" t="str">
        <f t="shared" si="57"/>
        <v>999</v>
      </c>
    </row>
    <row r="1820" spans="1:8" hidden="1">
      <c r="A1820" s="97">
        <v>24200921</v>
      </c>
      <c r="B1820" s="90" t="s">
        <v>4784</v>
      </c>
      <c r="C1820" s="90" t="s">
        <v>7093</v>
      </c>
      <c r="D1820" s="88" t="s">
        <v>7105</v>
      </c>
      <c r="E1820" s="94">
        <v>42915</v>
      </c>
      <c r="F1820" s="98" t="s">
        <v>6853</v>
      </c>
      <c r="G1820" s="223">
        <f t="shared" si="56"/>
        <v>23</v>
      </c>
      <c r="H1820" s="222">
        <f t="shared" si="57"/>
        <v>24200921</v>
      </c>
    </row>
    <row r="1821" spans="1:8" hidden="1">
      <c r="A1821" s="97">
        <v>26176914</v>
      </c>
      <c r="B1821" s="90" t="s">
        <v>1216</v>
      </c>
      <c r="C1821" s="90" t="s">
        <v>5122</v>
      </c>
      <c r="D1821" s="88" t="s">
        <v>7105</v>
      </c>
      <c r="E1821" s="94">
        <v>42915</v>
      </c>
      <c r="F1821" s="91" t="s">
        <v>9302</v>
      </c>
      <c r="G1821" s="223" t="str">
        <f t="shared" si="56"/>
        <v>sin dato</v>
      </c>
      <c r="H1821" s="222">
        <f t="shared" si="57"/>
        <v>26176914</v>
      </c>
    </row>
    <row r="1822" spans="1:8" hidden="1">
      <c r="A1822" s="97">
        <v>22428522</v>
      </c>
      <c r="B1822" s="90" t="s">
        <v>4879</v>
      </c>
      <c r="C1822" s="90" t="s">
        <v>4880</v>
      </c>
      <c r="D1822" s="88" t="s">
        <v>7105</v>
      </c>
      <c r="E1822" s="94">
        <v>42915</v>
      </c>
      <c r="F1822" s="98" t="s">
        <v>6853</v>
      </c>
      <c r="G1822" s="223">
        <f t="shared" si="56"/>
        <v>1</v>
      </c>
      <c r="H1822" s="222">
        <f t="shared" si="57"/>
        <v>22428522</v>
      </c>
    </row>
    <row r="1823" spans="1:8" hidden="1">
      <c r="A1823" s="97">
        <v>25735768</v>
      </c>
      <c r="B1823" s="90" t="s">
        <v>5718</v>
      </c>
      <c r="C1823" s="90" t="s">
        <v>2643</v>
      </c>
      <c r="D1823" s="88" t="s">
        <v>7105</v>
      </c>
      <c r="E1823" s="94">
        <v>42915</v>
      </c>
      <c r="F1823" s="91" t="s">
        <v>9302</v>
      </c>
      <c r="G1823" s="223">
        <f t="shared" si="56"/>
        <v>6</v>
      </c>
      <c r="H1823" s="222">
        <f t="shared" si="57"/>
        <v>25735768</v>
      </c>
    </row>
    <row r="1824" spans="1:8" hidden="1">
      <c r="A1824" s="97">
        <v>22945322</v>
      </c>
      <c r="B1824" s="90" t="s">
        <v>5229</v>
      </c>
      <c r="C1824" s="90" t="s">
        <v>5230</v>
      </c>
      <c r="D1824" s="88" t="s">
        <v>7105</v>
      </c>
      <c r="E1824" s="94">
        <v>42915</v>
      </c>
      <c r="F1824" s="91" t="s">
        <v>9302</v>
      </c>
      <c r="G1824" s="223">
        <f t="shared" si="56"/>
        <v>2</v>
      </c>
      <c r="H1824" s="222">
        <f t="shared" si="57"/>
        <v>22945322</v>
      </c>
    </row>
    <row r="1825" spans="1:8" hidden="1">
      <c r="A1825" s="97">
        <v>33977912</v>
      </c>
      <c r="B1825" s="90" t="s">
        <v>2275</v>
      </c>
      <c r="C1825" s="90" t="s">
        <v>2276</v>
      </c>
      <c r="D1825" s="88" t="s">
        <v>7105</v>
      </c>
      <c r="E1825" s="94">
        <v>42915</v>
      </c>
      <c r="F1825" s="98" t="s">
        <v>6853</v>
      </c>
      <c r="G1825" s="223">
        <f t="shared" si="56"/>
        <v>16</v>
      </c>
      <c r="H1825" s="222">
        <f t="shared" si="57"/>
        <v>33977912</v>
      </c>
    </row>
    <row r="1826" spans="1:8" hidden="1">
      <c r="A1826" s="97">
        <v>14272258</v>
      </c>
      <c r="B1826" s="90" t="s">
        <v>1273</v>
      </c>
      <c r="C1826" s="90" t="s">
        <v>2618</v>
      </c>
      <c r="D1826" s="88" t="s">
        <v>7105</v>
      </c>
      <c r="E1826" s="94">
        <v>42915</v>
      </c>
      <c r="F1826" s="98" t="s">
        <v>6853</v>
      </c>
      <c r="G1826" s="223">
        <f t="shared" si="56"/>
        <v>14</v>
      </c>
      <c r="H1826" s="222">
        <f t="shared" si="57"/>
        <v>14272258</v>
      </c>
    </row>
    <row r="1827" spans="1:8" hidden="1">
      <c r="A1827" s="97">
        <v>21219090</v>
      </c>
      <c r="B1827" s="90" t="s">
        <v>4429</v>
      </c>
      <c r="C1827" s="90" t="s">
        <v>4436</v>
      </c>
      <c r="D1827" s="88" t="s">
        <v>7105</v>
      </c>
      <c r="E1827" s="94">
        <v>42915</v>
      </c>
      <c r="F1827" s="98" t="s">
        <v>6853</v>
      </c>
      <c r="G1827" s="223">
        <f t="shared" si="56"/>
        <v>21</v>
      </c>
      <c r="H1827" s="222">
        <f t="shared" si="57"/>
        <v>21219090</v>
      </c>
    </row>
    <row r="1828" spans="1:8" hidden="1">
      <c r="A1828" s="97">
        <v>25734593</v>
      </c>
      <c r="B1828" s="90" t="s">
        <v>5433</v>
      </c>
      <c r="C1828" s="90" t="s">
        <v>5434</v>
      </c>
      <c r="D1828" s="88" t="s">
        <v>7105</v>
      </c>
      <c r="E1828" s="94">
        <v>42915</v>
      </c>
      <c r="F1828" s="98" t="s">
        <v>6853</v>
      </c>
      <c r="G1828" s="223">
        <f t="shared" si="56"/>
        <v>14</v>
      </c>
      <c r="H1828" s="222">
        <f t="shared" si="57"/>
        <v>25734593</v>
      </c>
    </row>
    <row r="1829" spans="1:8" hidden="1">
      <c r="A1829" s="97">
        <v>14410492</v>
      </c>
      <c r="B1829" s="90" t="s">
        <v>5147</v>
      </c>
      <c r="C1829" s="90" t="s">
        <v>5148</v>
      </c>
      <c r="D1829" s="88" t="s">
        <v>7105</v>
      </c>
      <c r="E1829" s="94">
        <v>42915</v>
      </c>
      <c r="F1829" s="98" t="s">
        <v>6853</v>
      </c>
      <c r="G1829" s="223" t="str">
        <f t="shared" si="56"/>
        <v>sin dato</v>
      </c>
      <c r="H1829" s="222">
        <f t="shared" si="57"/>
        <v>14410492</v>
      </c>
    </row>
    <row r="1830" spans="1:8" hidden="1">
      <c r="A1830" s="97">
        <v>13989089</v>
      </c>
      <c r="B1830" s="90" t="s">
        <v>2307</v>
      </c>
      <c r="C1830" s="90" t="s">
        <v>2308</v>
      </c>
      <c r="D1830" s="88" t="s">
        <v>7105</v>
      </c>
      <c r="E1830" s="94">
        <v>42915</v>
      </c>
      <c r="F1830" s="91" t="s">
        <v>9302</v>
      </c>
      <c r="G1830" s="223">
        <f t="shared" si="56"/>
        <v>16</v>
      </c>
      <c r="H1830" s="222">
        <f t="shared" si="57"/>
        <v>13989089</v>
      </c>
    </row>
    <row r="1831" spans="1:8" hidden="1">
      <c r="A1831" s="97">
        <v>17613733</v>
      </c>
      <c r="B1831" s="90" t="s">
        <v>883</v>
      </c>
      <c r="C1831" s="90" t="s">
        <v>1652</v>
      </c>
      <c r="D1831" s="88" t="s">
        <v>7105</v>
      </c>
      <c r="E1831" s="94">
        <v>42915</v>
      </c>
      <c r="F1831" s="98" t="s">
        <v>6853</v>
      </c>
      <c r="G1831" s="223">
        <f t="shared" si="56"/>
        <v>17</v>
      </c>
      <c r="H1831" s="222">
        <f t="shared" si="57"/>
        <v>17613733</v>
      </c>
    </row>
    <row r="1832" spans="1:8" hidden="1">
      <c r="A1832" s="87">
        <v>34287762</v>
      </c>
      <c r="B1832" s="88" t="s">
        <v>1879</v>
      </c>
      <c r="C1832" s="88" t="s">
        <v>1880</v>
      </c>
      <c r="D1832" s="88" t="s">
        <v>7109</v>
      </c>
      <c r="E1832" s="94">
        <v>42893</v>
      </c>
      <c r="F1832" s="91" t="s">
        <v>6853</v>
      </c>
      <c r="G1832" s="223">
        <f t="shared" si="56"/>
        <v>16</v>
      </c>
      <c r="H1832" s="222">
        <f t="shared" si="57"/>
        <v>34287762</v>
      </c>
    </row>
    <row r="1833" spans="1:8" hidden="1">
      <c r="A1833" s="87">
        <v>27575100</v>
      </c>
      <c r="B1833" s="88" t="s">
        <v>3649</v>
      </c>
      <c r="C1833" s="88" t="s">
        <v>436</v>
      </c>
      <c r="D1833" s="88" t="s">
        <v>7109</v>
      </c>
      <c r="E1833" s="94">
        <v>42893</v>
      </c>
      <c r="F1833" s="91" t="s">
        <v>9302</v>
      </c>
      <c r="G1833" s="223">
        <f t="shared" si="56"/>
        <v>20</v>
      </c>
      <c r="H1833" s="222">
        <f t="shared" si="57"/>
        <v>27575100</v>
      </c>
    </row>
    <row r="1834" spans="1:8" hidden="1">
      <c r="A1834" s="87">
        <v>18889433</v>
      </c>
      <c r="B1834" s="88" t="s">
        <v>970</v>
      </c>
      <c r="C1834" s="88" t="s">
        <v>968</v>
      </c>
      <c r="D1834" s="88" t="s">
        <v>7109</v>
      </c>
      <c r="E1834" s="94">
        <v>42893</v>
      </c>
      <c r="F1834" s="91" t="s">
        <v>9302</v>
      </c>
      <c r="G1834" s="223">
        <f t="shared" si="56"/>
        <v>14</v>
      </c>
      <c r="H1834" s="222">
        <f t="shared" si="57"/>
        <v>18889433</v>
      </c>
    </row>
    <row r="1835" spans="1:8" hidden="1">
      <c r="A1835" s="87">
        <v>23518101</v>
      </c>
      <c r="B1835" s="88" t="s">
        <v>891</v>
      </c>
      <c r="C1835" s="88" t="s">
        <v>892</v>
      </c>
      <c r="D1835" s="88" t="s">
        <v>7109</v>
      </c>
      <c r="E1835" s="94">
        <v>42893</v>
      </c>
      <c r="F1835" s="91" t="s">
        <v>6853</v>
      </c>
      <c r="G1835" s="223">
        <f t="shared" si="56"/>
        <v>34</v>
      </c>
      <c r="H1835" s="222">
        <f t="shared" si="57"/>
        <v>23518101</v>
      </c>
    </row>
    <row r="1836" spans="1:8" hidden="1">
      <c r="A1836" s="87">
        <v>16685009</v>
      </c>
      <c r="B1836" s="88" t="s">
        <v>2936</v>
      </c>
      <c r="C1836" s="88" t="s">
        <v>2937</v>
      </c>
      <c r="D1836" s="88" t="s">
        <v>7109</v>
      </c>
      <c r="E1836" s="94">
        <v>42893</v>
      </c>
      <c r="F1836" s="91" t="s">
        <v>9302</v>
      </c>
      <c r="G1836" s="223">
        <f t="shared" si="56"/>
        <v>19</v>
      </c>
      <c r="H1836" s="222">
        <f t="shared" si="57"/>
        <v>16685009</v>
      </c>
    </row>
    <row r="1837" spans="1:8" hidden="1">
      <c r="A1837" s="87">
        <v>23239528</v>
      </c>
      <c r="B1837" s="88" t="s">
        <v>4981</v>
      </c>
      <c r="C1837" s="88" t="s">
        <v>4982</v>
      </c>
      <c r="D1837" s="88" t="s">
        <v>7109</v>
      </c>
      <c r="E1837" s="94">
        <v>42893</v>
      </c>
      <c r="F1837" s="91" t="s">
        <v>6853</v>
      </c>
      <c r="G1837" s="223" t="str">
        <f t="shared" si="56"/>
        <v>sin dato</v>
      </c>
      <c r="H1837" s="222">
        <f t="shared" si="57"/>
        <v>23239528</v>
      </c>
    </row>
    <row r="1838" spans="1:8" hidden="1">
      <c r="A1838" s="87">
        <v>13710155</v>
      </c>
      <c r="B1838" s="88" t="s">
        <v>3182</v>
      </c>
      <c r="C1838" s="88" t="s">
        <v>4988</v>
      </c>
      <c r="D1838" s="88" t="s">
        <v>7109</v>
      </c>
      <c r="E1838" s="94">
        <v>42893</v>
      </c>
      <c r="F1838" s="91" t="s">
        <v>9302</v>
      </c>
      <c r="G1838" s="223">
        <f t="shared" si="56"/>
        <v>20</v>
      </c>
      <c r="H1838" s="222">
        <f t="shared" si="57"/>
        <v>13710155</v>
      </c>
    </row>
    <row r="1839" spans="1:8" hidden="1">
      <c r="A1839" s="87">
        <v>17947736</v>
      </c>
      <c r="B1839" s="88" t="s">
        <v>806</v>
      </c>
      <c r="C1839" s="88" t="s">
        <v>807</v>
      </c>
      <c r="D1839" s="88" t="s">
        <v>7109</v>
      </c>
      <c r="E1839" s="94">
        <v>42893</v>
      </c>
      <c r="F1839" s="91" t="s">
        <v>9302</v>
      </c>
      <c r="G1839" s="223">
        <f t="shared" si="56"/>
        <v>37</v>
      </c>
      <c r="H1839" s="222">
        <f t="shared" si="57"/>
        <v>17947736</v>
      </c>
    </row>
    <row r="1840" spans="1:8" hidden="1">
      <c r="A1840" s="87">
        <v>18566394</v>
      </c>
      <c r="B1840" s="88" t="s">
        <v>144</v>
      </c>
      <c r="C1840" s="88" t="s">
        <v>283</v>
      </c>
      <c r="D1840" s="88" t="s">
        <v>7109</v>
      </c>
      <c r="E1840" s="94">
        <v>42893</v>
      </c>
      <c r="F1840" s="91" t="s">
        <v>9302</v>
      </c>
      <c r="G1840" s="223">
        <f t="shared" si="56"/>
        <v>46</v>
      </c>
      <c r="H1840" s="222">
        <f t="shared" si="57"/>
        <v>18566394</v>
      </c>
    </row>
    <row r="1841" spans="1:8" hidden="1">
      <c r="A1841" s="87">
        <v>22336712</v>
      </c>
      <c r="B1841" s="88" t="s">
        <v>5262</v>
      </c>
      <c r="C1841" s="88" t="s">
        <v>7103</v>
      </c>
      <c r="D1841" s="88" t="s">
        <v>7109</v>
      </c>
      <c r="E1841" s="94">
        <v>42893</v>
      </c>
      <c r="F1841" s="91" t="s">
        <v>6853</v>
      </c>
      <c r="G1841" s="223">
        <f t="shared" si="56"/>
        <v>9</v>
      </c>
      <c r="H1841" s="222">
        <f t="shared" si="57"/>
        <v>22336712</v>
      </c>
    </row>
    <row r="1842" spans="1:8" hidden="1">
      <c r="A1842" s="87">
        <v>14966482</v>
      </c>
      <c r="B1842" s="88" t="s">
        <v>2785</v>
      </c>
      <c r="C1842" s="88" t="s">
        <v>2786</v>
      </c>
      <c r="D1842" s="88" t="s">
        <v>7109</v>
      </c>
      <c r="E1842" s="94">
        <v>42893</v>
      </c>
      <c r="F1842" s="91" t="s">
        <v>6853</v>
      </c>
      <c r="G1842" s="223" t="str">
        <f t="shared" si="56"/>
        <v>sin dato</v>
      </c>
      <c r="H1842" s="222">
        <f t="shared" si="57"/>
        <v>14966482</v>
      </c>
    </row>
    <row r="1843" spans="1:8" hidden="1">
      <c r="A1843" s="87">
        <v>16016486</v>
      </c>
      <c r="B1843" s="88" t="s">
        <v>1474</v>
      </c>
      <c r="C1843" s="88" t="s">
        <v>1475</v>
      </c>
      <c r="D1843" s="88" t="s">
        <v>7109</v>
      </c>
      <c r="E1843" s="94">
        <v>42893</v>
      </c>
      <c r="F1843" s="91" t="s">
        <v>9302</v>
      </c>
      <c r="G1843" s="223">
        <f t="shared" si="56"/>
        <v>43</v>
      </c>
      <c r="H1843" s="222">
        <f t="shared" si="57"/>
        <v>16016486</v>
      </c>
    </row>
    <row r="1844" spans="1:8" hidden="1">
      <c r="A1844" s="87">
        <v>23178847</v>
      </c>
      <c r="B1844" s="88" t="s">
        <v>226</v>
      </c>
      <c r="C1844" s="88" t="s">
        <v>895</v>
      </c>
      <c r="D1844" s="88" t="s">
        <v>7109</v>
      </c>
      <c r="E1844" s="94">
        <v>42893</v>
      </c>
      <c r="F1844" s="91" t="s">
        <v>6853</v>
      </c>
      <c r="G1844" s="223">
        <f t="shared" si="56"/>
        <v>999</v>
      </c>
      <c r="H1844" s="222">
        <f t="shared" si="57"/>
        <v>23178847</v>
      </c>
    </row>
    <row r="1845" spans="1:8" hidden="1">
      <c r="A1845" s="87">
        <v>16842434</v>
      </c>
      <c r="B1845" s="88" t="s">
        <v>863</v>
      </c>
      <c r="C1845" s="88" t="s">
        <v>4578</v>
      </c>
      <c r="D1845" s="88" t="s">
        <v>7109</v>
      </c>
      <c r="E1845" s="94">
        <v>42893</v>
      </c>
      <c r="F1845" s="91" t="s">
        <v>6853</v>
      </c>
      <c r="G1845" s="223">
        <f t="shared" si="56"/>
        <v>22</v>
      </c>
      <c r="H1845" s="222">
        <f t="shared" si="57"/>
        <v>16842434</v>
      </c>
    </row>
    <row r="1846" spans="1:8" hidden="1">
      <c r="A1846" s="87">
        <v>22264316</v>
      </c>
      <c r="B1846" s="88" t="s">
        <v>2687</v>
      </c>
      <c r="C1846" s="88" t="s">
        <v>2688</v>
      </c>
      <c r="D1846" s="88" t="s">
        <v>7109</v>
      </c>
      <c r="E1846" s="94">
        <v>42893</v>
      </c>
      <c r="F1846" s="91" t="s">
        <v>6853</v>
      </c>
      <c r="G1846" s="223">
        <f t="shared" si="56"/>
        <v>49</v>
      </c>
      <c r="H1846" s="222">
        <f t="shared" si="57"/>
        <v>22264316</v>
      </c>
    </row>
    <row r="1847" spans="1:8" hidden="1">
      <c r="A1847" s="87">
        <v>14226455</v>
      </c>
      <c r="B1847" s="88" t="s">
        <v>6279</v>
      </c>
      <c r="C1847" s="88" t="s">
        <v>7110</v>
      </c>
      <c r="D1847" s="88" t="s">
        <v>7109</v>
      </c>
      <c r="E1847" s="94">
        <v>42893</v>
      </c>
      <c r="F1847" s="91" t="s">
        <v>6853</v>
      </c>
      <c r="G1847" s="223">
        <f t="shared" si="56"/>
        <v>999</v>
      </c>
      <c r="H1847" s="222">
        <f t="shared" si="57"/>
        <v>14226455</v>
      </c>
    </row>
    <row r="1848" spans="1:8" hidden="1">
      <c r="A1848" s="87">
        <v>40357718</v>
      </c>
      <c r="B1848" s="88" t="s">
        <v>5783</v>
      </c>
      <c r="C1848" s="88" t="s">
        <v>5784</v>
      </c>
      <c r="D1848" s="88" t="s">
        <v>7109</v>
      </c>
      <c r="E1848" s="94">
        <v>42893</v>
      </c>
      <c r="F1848" s="91" t="s">
        <v>9302</v>
      </c>
      <c r="G1848" s="223" t="str">
        <f t="shared" si="56"/>
        <v>sin dato</v>
      </c>
      <c r="H1848" s="222" t="str">
        <f t="shared" si="57"/>
        <v>999</v>
      </c>
    </row>
    <row r="1849" spans="1:8" hidden="1">
      <c r="A1849" s="87">
        <v>14984966</v>
      </c>
      <c r="B1849" s="88" t="s">
        <v>1558</v>
      </c>
      <c r="C1849" s="88" t="s">
        <v>1061</v>
      </c>
      <c r="D1849" s="88" t="s">
        <v>7109</v>
      </c>
      <c r="E1849" s="94">
        <v>42893</v>
      </c>
      <c r="F1849" s="91" t="s">
        <v>6853</v>
      </c>
      <c r="G1849" s="223">
        <f t="shared" si="56"/>
        <v>999</v>
      </c>
      <c r="H1849" s="222">
        <f t="shared" si="57"/>
        <v>14984966</v>
      </c>
    </row>
    <row r="1850" spans="1:8" hidden="1">
      <c r="A1850" s="87">
        <v>25843480</v>
      </c>
      <c r="B1850" s="88" t="s">
        <v>355</v>
      </c>
      <c r="C1850" s="88" t="s">
        <v>1778</v>
      </c>
      <c r="D1850" s="88" t="s">
        <v>7109</v>
      </c>
      <c r="E1850" s="94">
        <v>42893</v>
      </c>
      <c r="F1850" s="91" t="s">
        <v>9302</v>
      </c>
      <c r="G1850" s="223">
        <f t="shared" si="56"/>
        <v>15</v>
      </c>
      <c r="H1850" s="222">
        <f t="shared" si="57"/>
        <v>25843480</v>
      </c>
    </row>
    <row r="1851" spans="1:8" hidden="1">
      <c r="A1851" s="87">
        <v>17947900</v>
      </c>
      <c r="B1851" s="88" t="s">
        <v>355</v>
      </c>
      <c r="C1851" s="88" t="s">
        <v>356</v>
      </c>
      <c r="D1851" s="88" t="s">
        <v>7109</v>
      </c>
      <c r="E1851" s="94">
        <v>42893</v>
      </c>
      <c r="F1851" s="91" t="s">
        <v>9302</v>
      </c>
      <c r="G1851" s="223">
        <f t="shared" si="56"/>
        <v>11</v>
      </c>
      <c r="H1851" s="222">
        <f t="shared" si="57"/>
        <v>17947900</v>
      </c>
    </row>
    <row r="1852" spans="1:8" hidden="1">
      <c r="A1852" s="87">
        <v>17779601</v>
      </c>
      <c r="B1852" s="88" t="s">
        <v>364</v>
      </c>
      <c r="C1852" s="88" t="s">
        <v>2161</v>
      </c>
      <c r="D1852" s="88" t="s">
        <v>7109</v>
      </c>
      <c r="E1852" s="94">
        <v>42893</v>
      </c>
      <c r="F1852" s="91" t="s">
        <v>9302</v>
      </c>
      <c r="G1852" s="223" t="str">
        <f t="shared" si="56"/>
        <v>sin dato</v>
      </c>
      <c r="H1852" s="222">
        <f t="shared" si="57"/>
        <v>17779601</v>
      </c>
    </row>
    <row r="1853" spans="1:8" hidden="1">
      <c r="A1853" s="87">
        <v>24503602</v>
      </c>
      <c r="B1853" s="88" t="s">
        <v>394</v>
      </c>
      <c r="C1853" s="88" t="s">
        <v>5784</v>
      </c>
      <c r="D1853" s="88" t="s">
        <v>7109</v>
      </c>
      <c r="E1853" s="94">
        <v>42893</v>
      </c>
      <c r="F1853" s="91" t="s">
        <v>6853</v>
      </c>
      <c r="G1853" s="223">
        <f t="shared" si="56"/>
        <v>63</v>
      </c>
      <c r="H1853" s="222">
        <f t="shared" si="57"/>
        <v>24503602</v>
      </c>
    </row>
    <row r="1854" spans="1:8" hidden="1">
      <c r="A1854" s="87">
        <v>14073492</v>
      </c>
      <c r="B1854" s="88" t="s">
        <v>2183</v>
      </c>
      <c r="C1854" s="88" t="s">
        <v>2184</v>
      </c>
      <c r="D1854" s="88" t="s">
        <v>7109</v>
      </c>
      <c r="E1854" s="94">
        <v>42893</v>
      </c>
      <c r="F1854" s="91" t="s">
        <v>6853</v>
      </c>
      <c r="G1854" s="223">
        <f t="shared" si="56"/>
        <v>16</v>
      </c>
      <c r="H1854" s="222">
        <f t="shared" si="57"/>
        <v>14073492</v>
      </c>
    </row>
    <row r="1855" spans="1:8" hidden="1">
      <c r="A1855" s="87">
        <v>23381097</v>
      </c>
      <c r="B1855" s="88" t="s">
        <v>3842</v>
      </c>
      <c r="C1855" s="88" t="s">
        <v>902</v>
      </c>
      <c r="D1855" s="88" t="s">
        <v>7109</v>
      </c>
      <c r="E1855" s="94">
        <v>42893</v>
      </c>
      <c r="F1855" s="91" t="s">
        <v>6853</v>
      </c>
      <c r="G1855" s="223">
        <f t="shared" si="56"/>
        <v>20</v>
      </c>
      <c r="H1855" s="222">
        <f t="shared" si="57"/>
        <v>23381097</v>
      </c>
    </row>
    <row r="1856" spans="1:8" hidden="1">
      <c r="A1856" s="87">
        <v>26638536</v>
      </c>
      <c r="B1856" s="88" t="s">
        <v>901</v>
      </c>
      <c r="C1856" s="88" t="s">
        <v>902</v>
      </c>
      <c r="D1856" s="88" t="s">
        <v>7109</v>
      </c>
      <c r="E1856" s="94">
        <v>42893</v>
      </c>
      <c r="F1856" s="91" t="s">
        <v>6853</v>
      </c>
      <c r="G1856" s="223">
        <f t="shared" si="56"/>
        <v>999</v>
      </c>
      <c r="H1856" s="222">
        <f t="shared" si="57"/>
        <v>26638536</v>
      </c>
    </row>
    <row r="1857" spans="1:8" hidden="1">
      <c r="A1857" s="87">
        <v>25734543</v>
      </c>
      <c r="B1857" s="88" t="s">
        <v>5420</v>
      </c>
      <c r="C1857" s="88" t="s">
        <v>5421</v>
      </c>
      <c r="D1857" s="88" t="s">
        <v>7109</v>
      </c>
      <c r="E1857" s="94">
        <v>42893</v>
      </c>
      <c r="F1857" s="91" t="s">
        <v>9302</v>
      </c>
      <c r="G1857" s="223">
        <f t="shared" si="56"/>
        <v>7</v>
      </c>
      <c r="H1857" s="222">
        <f t="shared" si="57"/>
        <v>25734543</v>
      </c>
    </row>
    <row r="1858" spans="1:8" hidden="1">
      <c r="A1858" s="87">
        <v>24200813</v>
      </c>
      <c r="B1858" s="88" t="s">
        <v>2766</v>
      </c>
      <c r="C1858" s="88" t="s">
        <v>2767</v>
      </c>
      <c r="D1858" s="88" t="s">
        <v>7109</v>
      </c>
      <c r="E1858" s="94">
        <v>42893</v>
      </c>
      <c r="F1858" s="91" t="s">
        <v>9302</v>
      </c>
      <c r="G1858" s="223">
        <f t="shared" ref="G1858:G1921" si="58">IFERROR(INDEX(unidad,MATCH(VLOOKUP(A1858,alum,9,0),unidad2,0),1),"sin dato")</f>
        <v>58</v>
      </c>
      <c r="H1858" s="222">
        <f t="shared" ref="H1858:H1921" si="59">IFERROR(VLOOKUP(A1858,alum,1,0),"999")</f>
        <v>24200813</v>
      </c>
    </row>
    <row r="1859" spans="1:8" hidden="1">
      <c r="A1859" s="87">
        <v>22877708</v>
      </c>
      <c r="B1859" s="88" t="s">
        <v>2709</v>
      </c>
      <c r="C1859" s="88" t="s">
        <v>2710</v>
      </c>
      <c r="D1859" s="88" t="s">
        <v>7109</v>
      </c>
      <c r="E1859" s="94">
        <v>42893</v>
      </c>
      <c r="F1859" s="91" t="s">
        <v>9302</v>
      </c>
      <c r="G1859" s="223">
        <f t="shared" si="58"/>
        <v>50</v>
      </c>
      <c r="H1859" s="222">
        <f t="shared" si="59"/>
        <v>22877708</v>
      </c>
    </row>
    <row r="1860" spans="1:8" hidden="1">
      <c r="A1860" s="87">
        <v>24059021</v>
      </c>
      <c r="B1860" s="88" t="s">
        <v>3887</v>
      </c>
      <c r="C1860" s="88" t="s">
        <v>3888</v>
      </c>
      <c r="D1860" s="88" t="s">
        <v>7109</v>
      </c>
      <c r="E1860" s="94">
        <v>42893</v>
      </c>
      <c r="F1860" s="91" t="s">
        <v>6853</v>
      </c>
      <c r="G1860" s="223">
        <f t="shared" si="58"/>
        <v>20</v>
      </c>
      <c r="H1860" s="222">
        <f t="shared" si="59"/>
        <v>24059021</v>
      </c>
    </row>
    <row r="1861" spans="1:8" hidden="1">
      <c r="A1861" s="87">
        <v>22264981</v>
      </c>
      <c r="B1861" s="88" t="s">
        <v>5885</v>
      </c>
      <c r="C1861" s="88" t="s">
        <v>5886</v>
      </c>
      <c r="D1861" s="88" t="s">
        <v>9298</v>
      </c>
      <c r="E1861" s="94">
        <v>42888</v>
      </c>
      <c r="F1861" s="91"/>
      <c r="G1861" s="223">
        <f t="shared" si="58"/>
        <v>10</v>
      </c>
      <c r="H1861" s="222">
        <f t="shared" si="59"/>
        <v>22264981</v>
      </c>
    </row>
    <row r="1862" spans="1:8" hidden="1">
      <c r="A1862" s="87">
        <v>25380689</v>
      </c>
      <c r="B1862" s="88" t="s">
        <v>1660</v>
      </c>
      <c r="C1862" s="88" t="s">
        <v>1688</v>
      </c>
      <c r="D1862" s="88" t="s">
        <v>9298</v>
      </c>
      <c r="E1862" s="94">
        <v>42888</v>
      </c>
      <c r="F1862" s="91"/>
      <c r="G1862" s="223">
        <f t="shared" si="58"/>
        <v>999</v>
      </c>
      <c r="H1862" s="222">
        <f t="shared" si="59"/>
        <v>25380689</v>
      </c>
    </row>
    <row r="1863" spans="1:8" hidden="1">
      <c r="A1863" s="87">
        <v>20889209</v>
      </c>
      <c r="B1863" s="88" t="s">
        <v>927</v>
      </c>
      <c r="C1863" s="88" t="s">
        <v>106</v>
      </c>
      <c r="D1863" s="88" t="s">
        <v>9298</v>
      </c>
      <c r="E1863" s="94">
        <v>42888</v>
      </c>
      <c r="F1863" s="91"/>
      <c r="G1863" s="223">
        <f t="shared" si="58"/>
        <v>999</v>
      </c>
      <c r="H1863" s="222">
        <f t="shared" si="59"/>
        <v>20889209</v>
      </c>
    </row>
    <row r="1864" spans="1:8" hidden="1">
      <c r="A1864" s="87">
        <v>22805647</v>
      </c>
      <c r="B1864" s="88" t="s">
        <v>927</v>
      </c>
      <c r="C1864" s="88" t="s">
        <v>153</v>
      </c>
      <c r="D1864" s="88" t="s">
        <v>9298</v>
      </c>
      <c r="E1864" s="94">
        <v>42888</v>
      </c>
      <c r="F1864" s="91"/>
      <c r="G1864" s="223">
        <f t="shared" si="58"/>
        <v>999</v>
      </c>
      <c r="H1864" s="222">
        <f t="shared" si="59"/>
        <v>22805647</v>
      </c>
    </row>
    <row r="1865" spans="1:8" hidden="1">
      <c r="A1865" s="87">
        <v>26722853</v>
      </c>
      <c r="B1865" s="88" t="s">
        <v>5974</v>
      </c>
      <c r="C1865" s="88" t="s">
        <v>5975</v>
      </c>
      <c r="D1865" s="88" t="s">
        <v>9298</v>
      </c>
      <c r="E1865" s="94">
        <v>42888</v>
      </c>
      <c r="F1865" s="91"/>
      <c r="G1865" s="223">
        <f t="shared" si="58"/>
        <v>999</v>
      </c>
      <c r="H1865" s="222">
        <f t="shared" si="59"/>
        <v>26722853</v>
      </c>
    </row>
    <row r="1866" spans="1:8" hidden="1">
      <c r="A1866" s="87">
        <v>31429138</v>
      </c>
      <c r="B1866" s="88" t="s">
        <v>1401</v>
      </c>
      <c r="C1866" s="88" t="s">
        <v>5989</v>
      </c>
      <c r="D1866" s="88" t="s">
        <v>9298</v>
      </c>
      <c r="E1866" s="94">
        <v>42888</v>
      </c>
      <c r="F1866" s="91"/>
      <c r="G1866" s="223">
        <f t="shared" si="58"/>
        <v>999</v>
      </c>
      <c r="H1866" s="222">
        <f t="shared" si="59"/>
        <v>31429138</v>
      </c>
    </row>
    <row r="1867" spans="1:8" hidden="1">
      <c r="A1867" s="87">
        <v>24553486</v>
      </c>
      <c r="B1867" s="88" t="s">
        <v>94</v>
      </c>
      <c r="C1867" s="88" t="s">
        <v>427</v>
      </c>
      <c r="D1867" s="88" t="s">
        <v>9298</v>
      </c>
      <c r="E1867" s="94">
        <v>42888</v>
      </c>
      <c r="F1867" s="91"/>
      <c r="G1867" s="223">
        <f t="shared" si="58"/>
        <v>5</v>
      </c>
      <c r="H1867" s="222">
        <f t="shared" si="59"/>
        <v>24553486</v>
      </c>
    </row>
    <row r="1868" spans="1:8" hidden="1">
      <c r="A1868" s="87">
        <v>27460133</v>
      </c>
      <c r="B1868" s="88" t="s">
        <v>5998</v>
      </c>
      <c r="C1868" s="88" t="s">
        <v>876</v>
      </c>
      <c r="D1868" s="88" t="s">
        <v>9298</v>
      </c>
      <c r="E1868" s="94">
        <v>42888</v>
      </c>
      <c r="F1868" s="91"/>
      <c r="G1868" s="223">
        <f t="shared" si="58"/>
        <v>999</v>
      </c>
      <c r="H1868" s="222">
        <f t="shared" si="59"/>
        <v>27460133</v>
      </c>
    </row>
    <row r="1869" spans="1:8" hidden="1">
      <c r="A1869" s="87">
        <v>17947467</v>
      </c>
      <c r="B1869" s="88" t="s">
        <v>601</v>
      </c>
      <c r="C1869" s="88" t="s">
        <v>1751</v>
      </c>
      <c r="D1869" s="88" t="s">
        <v>9298</v>
      </c>
      <c r="E1869" s="94">
        <v>42888</v>
      </c>
      <c r="F1869" s="91"/>
      <c r="G1869" s="223">
        <f t="shared" si="58"/>
        <v>999</v>
      </c>
      <c r="H1869" s="222">
        <f t="shared" si="59"/>
        <v>17947467</v>
      </c>
    </row>
    <row r="1870" spans="1:8" hidden="1">
      <c r="A1870" s="87">
        <v>23117708</v>
      </c>
      <c r="B1870" s="88" t="s">
        <v>6018</v>
      </c>
      <c r="C1870" s="88" t="s">
        <v>6019</v>
      </c>
      <c r="D1870" s="88" t="s">
        <v>9298</v>
      </c>
      <c r="E1870" s="94">
        <v>42888</v>
      </c>
      <c r="F1870" s="91"/>
      <c r="G1870" s="223">
        <f t="shared" si="58"/>
        <v>999</v>
      </c>
      <c r="H1870" s="222">
        <f t="shared" si="59"/>
        <v>23117708</v>
      </c>
    </row>
    <row r="1871" spans="1:8" hidden="1">
      <c r="A1871" s="87">
        <v>17940596</v>
      </c>
      <c r="B1871" s="88" t="s">
        <v>6034</v>
      </c>
      <c r="C1871" s="88" t="s">
        <v>6035</v>
      </c>
      <c r="D1871" s="88" t="s">
        <v>9298</v>
      </c>
      <c r="E1871" s="94">
        <v>42888</v>
      </c>
      <c r="F1871" s="91"/>
      <c r="G1871" s="223">
        <f t="shared" si="58"/>
        <v>999</v>
      </c>
      <c r="H1871" s="222">
        <f t="shared" si="59"/>
        <v>17940596</v>
      </c>
    </row>
    <row r="1872" spans="1:8" hidden="1">
      <c r="A1872" s="87">
        <v>12449228</v>
      </c>
      <c r="B1872" s="88" t="s">
        <v>5312</v>
      </c>
      <c r="C1872" s="88" t="s">
        <v>6036</v>
      </c>
      <c r="D1872" s="88" t="s">
        <v>9298</v>
      </c>
      <c r="E1872" s="94">
        <v>42888</v>
      </c>
      <c r="F1872" s="91"/>
      <c r="G1872" s="223">
        <f t="shared" si="58"/>
        <v>999</v>
      </c>
      <c r="H1872" s="222">
        <f t="shared" si="59"/>
        <v>12449228</v>
      </c>
    </row>
    <row r="1873" spans="1:8" hidden="1">
      <c r="A1873" s="87">
        <v>12606733</v>
      </c>
      <c r="B1873" s="88" t="s">
        <v>4286</v>
      </c>
      <c r="C1873" s="88" t="s">
        <v>6055</v>
      </c>
      <c r="D1873" s="88" t="s">
        <v>9298</v>
      </c>
      <c r="E1873" s="94">
        <v>42888</v>
      </c>
      <c r="F1873" s="91"/>
      <c r="G1873" s="223">
        <f t="shared" si="58"/>
        <v>999</v>
      </c>
      <c r="H1873" s="222">
        <f t="shared" si="59"/>
        <v>12606733</v>
      </c>
    </row>
    <row r="1874" spans="1:8" hidden="1">
      <c r="A1874" s="87">
        <v>31589812</v>
      </c>
      <c r="B1874" s="88" t="s">
        <v>6068</v>
      </c>
      <c r="C1874" s="88" t="s">
        <v>363</v>
      </c>
      <c r="D1874" s="88" t="s">
        <v>9298</v>
      </c>
      <c r="E1874" s="94">
        <v>42888</v>
      </c>
      <c r="F1874" s="91"/>
      <c r="G1874" s="223">
        <f t="shared" si="58"/>
        <v>999</v>
      </c>
      <c r="H1874" s="222">
        <f t="shared" si="59"/>
        <v>31589812</v>
      </c>
    </row>
    <row r="1875" spans="1:8" hidden="1">
      <c r="A1875" s="87">
        <v>17543711</v>
      </c>
      <c r="B1875" s="88" t="s">
        <v>195</v>
      </c>
      <c r="C1875" s="88" t="s">
        <v>296</v>
      </c>
      <c r="D1875" s="88" t="s">
        <v>9298</v>
      </c>
      <c r="E1875" s="94">
        <v>42888</v>
      </c>
      <c r="F1875" s="91"/>
      <c r="G1875" s="223" t="str">
        <f t="shared" si="58"/>
        <v>sin dato</v>
      </c>
      <c r="H1875" s="222">
        <f t="shared" si="59"/>
        <v>17543711</v>
      </c>
    </row>
    <row r="1876" spans="1:8" hidden="1">
      <c r="A1876" s="87">
        <v>16932690</v>
      </c>
      <c r="B1876" s="88" t="s">
        <v>106</v>
      </c>
      <c r="C1876" s="88" t="s">
        <v>4988</v>
      </c>
      <c r="D1876" s="88" t="s">
        <v>9298</v>
      </c>
      <c r="E1876" s="94">
        <v>42888</v>
      </c>
      <c r="F1876" s="91"/>
      <c r="G1876" s="223">
        <f t="shared" si="58"/>
        <v>999</v>
      </c>
      <c r="H1876" s="222">
        <f t="shared" si="59"/>
        <v>16932690</v>
      </c>
    </row>
    <row r="1877" spans="1:8" hidden="1">
      <c r="A1877" s="87">
        <v>33430063</v>
      </c>
      <c r="B1877" s="88" t="s">
        <v>2908</v>
      </c>
      <c r="C1877" s="88" t="s">
        <v>3152</v>
      </c>
      <c r="D1877" s="88" t="s">
        <v>9298</v>
      </c>
      <c r="E1877" s="94">
        <v>42888</v>
      </c>
      <c r="F1877" s="91"/>
      <c r="G1877" s="223" t="str">
        <f t="shared" si="58"/>
        <v>sin dato</v>
      </c>
      <c r="H1877" s="222">
        <f t="shared" si="59"/>
        <v>33430063</v>
      </c>
    </row>
    <row r="1878" spans="1:8" hidden="1">
      <c r="A1878" s="87">
        <v>33352021</v>
      </c>
      <c r="B1878" s="88" t="s">
        <v>3364</v>
      </c>
      <c r="C1878" s="88" t="s">
        <v>416</v>
      </c>
      <c r="D1878" s="88" t="s">
        <v>9298</v>
      </c>
      <c r="E1878" s="94">
        <v>42888</v>
      </c>
      <c r="F1878" s="91"/>
      <c r="G1878" s="223">
        <f t="shared" si="58"/>
        <v>999</v>
      </c>
      <c r="H1878" s="222">
        <f t="shared" si="59"/>
        <v>33352021</v>
      </c>
    </row>
    <row r="1879" spans="1:8" hidden="1">
      <c r="A1879" s="87">
        <v>23518386</v>
      </c>
      <c r="B1879" s="88" t="s">
        <v>260</v>
      </c>
      <c r="C1879" s="88" t="s">
        <v>6195</v>
      </c>
      <c r="D1879" s="88" t="s">
        <v>9298</v>
      </c>
      <c r="E1879" s="94">
        <v>42888</v>
      </c>
      <c r="F1879" s="91"/>
      <c r="G1879" s="223">
        <f t="shared" si="58"/>
        <v>999</v>
      </c>
      <c r="H1879" s="222">
        <f t="shared" si="59"/>
        <v>23518386</v>
      </c>
    </row>
    <row r="1880" spans="1:8" hidden="1">
      <c r="A1880" s="87">
        <v>26783489</v>
      </c>
      <c r="B1880" s="88" t="s">
        <v>511</v>
      </c>
      <c r="C1880" s="88" t="s">
        <v>1389</v>
      </c>
      <c r="D1880" s="88" t="s">
        <v>9298</v>
      </c>
      <c r="E1880" s="94">
        <v>42888</v>
      </c>
      <c r="F1880" s="91"/>
      <c r="G1880" s="223">
        <f t="shared" si="58"/>
        <v>999</v>
      </c>
      <c r="H1880" s="222">
        <f t="shared" si="59"/>
        <v>26783489</v>
      </c>
    </row>
    <row r="1881" spans="1:8" hidden="1">
      <c r="A1881" s="87">
        <v>23517781</v>
      </c>
      <c r="B1881" s="88" t="s">
        <v>288</v>
      </c>
      <c r="C1881" s="88" t="s">
        <v>6225</v>
      </c>
      <c r="D1881" s="88" t="s">
        <v>9298</v>
      </c>
      <c r="E1881" s="94">
        <v>42888</v>
      </c>
      <c r="F1881" s="91"/>
      <c r="G1881" s="223">
        <f t="shared" si="58"/>
        <v>999</v>
      </c>
      <c r="H1881" s="222">
        <f t="shared" si="59"/>
        <v>23517781</v>
      </c>
    </row>
    <row r="1882" spans="1:8" hidden="1">
      <c r="A1882" s="87">
        <v>22877918</v>
      </c>
      <c r="B1882" s="88" t="s">
        <v>6231</v>
      </c>
      <c r="C1882" s="88" t="s">
        <v>548</v>
      </c>
      <c r="D1882" s="88" t="s">
        <v>9298</v>
      </c>
      <c r="E1882" s="94">
        <v>42888</v>
      </c>
      <c r="F1882" s="91"/>
      <c r="G1882" s="223">
        <f t="shared" si="58"/>
        <v>999</v>
      </c>
      <c r="H1882" s="222">
        <f t="shared" si="59"/>
        <v>22877918</v>
      </c>
    </row>
    <row r="1883" spans="1:8" hidden="1">
      <c r="A1883" s="87">
        <v>30177792</v>
      </c>
      <c r="B1883" s="88" t="s">
        <v>304</v>
      </c>
      <c r="C1883" s="88" t="s">
        <v>129</v>
      </c>
      <c r="D1883" s="88" t="s">
        <v>9298</v>
      </c>
      <c r="E1883" s="94">
        <v>42888</v>
      </c>
      <c r="F1883" s="91"/>
      <c r="G1883" s="223">
        <f t="shared" si="58"/>
        <v>999</v>
      </c>
      <c r="H1883" s="222">
        <f t="shared" si="59"/>
        <v>30177792</v>
      </c>
    </row>
    <row r="1884" spans="1:8" hidden="1">
      <c r="A1884" s="87">
        <v>31127261</v>
      </c>
      <c r="B1884" s="88" t="s">
        <v>7112</v>
      </c>
      <c r="C1884" s="88" t="s">
        <v>5631</v>
      </c>
      <c r="D1884" s="88" t="s">
        <v>9298</v>
      </c>
      <c r="E1884" s="94">
        <v>42888</v>
      </c>
      <c r="F1884" s="91"/>
      <c r="G1884" s="223">
        <f t="shared" si="58"/>
        <v>6</v>
      </c>
      <c r="H1884" s="222">
        <f t="shared" si="59"/>
        <v>31127261</v>
      </c>
    </row>
    <row r="1885" spans="1:8" hidden="1">
      <c r="A1885" s="87">
        <v>29786084</v>
      </c>
      <c r="B1885" s="88" t="s">
        <v>3474</v>
      </c>
      <c r="C1885" s="88" t="s">
        <v>512</v>
      </c>
      <c r="D1885" s="88" t="s">
        <v>9298</v>
      </c>
      <c r="E1885" s="94">
        <v>42888</v>
      </c>
      <c r="F1885" s="91"/>
      <c r="G1885" s="223">
        <f t="shared" si="58"/>
        <v>999</v>
      </c>
      <c r="H1885" s="222">
        <f t="shared" si="59"/>
        <v>29786084</v>
      </c>
    </row>
    <row r="1886" spans="1:8" hidden="1">
      <c r="A1886" s="87">
        <v>27595246</v>
      </c>
      <c r="B1886" s="88" t="s">
        <v>6312</v>
      </c>
      <c r="C1886" s="88" t="s">
        <v>328</v>
      </c>
      <c r="D1886" s="88" t="s">
        <v>9298</v>
      </c>
      <c r="E1886" s="94">
        <v>42888</v>
      </c>
      <c r="F1886" s="91"/>
      <c r="G1886" s="223">
        <f t="shared" si="58"/>
        <v>999</v>
      </c>
      <c r="H1886" s="222">
        <f t="shared" si="59"/>
        <v>27595246</v>
      </c>
    </row>
    <row r="1887" spans="1:8" hidden="1">
      <c r="A1887" s="87">
        <v>22704602</v>
      </c>
      <c r="B1887" s="88" t="s">
        <v>6365</v>
      </c>
      <c r="C1887" s="88" t="s">
        <v>1632</v>
      </c>
      <c r="D1887" s="88" t="s">
        <v>9298</v>
      </c>
      <c r="E1887" s="94">
        <v>42888</v>
      </c>
      <c r="F1887" s="91"/>
      <c r="G1887" s="223">
        <f t="shared" si="58"/>
        <v>999</v>
      </c>
      <c r="H1887" s="222">
        <f t="shared" si="59"/>
        <v>22704602</v>
      </c>
    </row>
    <row r="1888" spans="1:8" hidden="1">
      <c r="A1888" s="87">
        <v>18185644</v>
      </c>
      <c r="B1888" s="88" t="s">
        <v>2262</v>
      </c>
      <c r="C1888" s="88" t="s">
        <v>6382</v>
      </c>
      <c r="D1888" s="88" t="s">
        <v>9298</v>
      </c>
      <c r="E1888" s="94">
        <v>42888</v>
      </c>
      <c r="F1888" s="91"/>
      <c r="G1888" s="223">
        <f t="shared" si="58"/>
        <v>999</v>
      </c>
      <c r="H1888" s="222">
        <f t="shared" si="59"/>
        <v>18185644</v>
      </c>
    </row>
    <row r="1889" spans="1:8" hidden="1">
      <c r="A1889" s="87">
        <v>31588049</v>
      </c>
      <c r="B1889" s="88" t="s">
        <v>6386</v>
      </c>
      <c r="C1889" s="88" t="s">
        <v>1353</v>
      </c>
      <c r="D1889" s="88" t="s">
        <v>9298</v>
      </c>
      <c r="E1889" s="94">
        <v>42888</v>
      </c>
      <c r="F1889" s="91"/>
      <c r="G1889" s="223">
        <f t="shared" si="58"/>
        <v>999</v>
      </c>
      <c r="H1889" s="222">
        <f t="shared" si="59"/>
        <v>31588049</v>
      </c>
    </row>
    <row r="1890" spans="1:8" hidden="1">
      <c r="A1890" s="87">
        <v>28532245</v>
      </c>
      <c r="B1890" s="88" t="s">
        <v>6415</v>
      </c>
      <c r="C1890" s="88" t="s">
        <v>6416</v>
      </c>
      <c r="D1890" s="88" t="s">
        <v>9298</v>
      </c>
      <c r="E1890" s="94">
        <v>42888</v>
      </c>
      <c r="F1890" s="91"/>
      <c r="G1890" s="223">
        <f t="shared" si="58"/>
        <v>999</v>
      </c>
      <c r="H1890" s="222">
        <f t="shared" si="59"/>
        <v>28532245</v>
      </c>
    </row>
    <row r="1891" spans="1:8" hidden="1">
      <c r="A1891" s="87">
        <v>25843849</v>
      </c>
      <c r="B1891" s="88" t="s">
        <v>3126</v>
      </c>
      <c r="C1891" s="88" t="s">
        <v>427</v>
      </c>
      <c r="D1891" s="88" t="s">
        <v>7043</v>
      </c>
      <c r="E1891" s="94">
        <v>42873</v>
      </c>
      <c r="F1891" s="91" t="s">
        <v>6853</v>
      </c>
      <c r="G1891" s="223">
        <f t="shared" si="58"/>
        <v>67</v>
      </c>
      <c r="H1891" s="222">
        <f t="shared" si="59"/>
        <v>25843849</v>
      </c>
    </row>
    <row r="1892" spans="1:8" hidden="1">
      <c r="A1892" s="87">
        <v>20159202</v>
      </c>
      <c r="B1892" s="88" t="s">
        <v>3129</v>
      </c>
      <c r="C1892" s="88" t="s">
        <v>3130</v>
      </c>
      <c r="D1892" s="88" t="s">
        <v>7043</v>
      </c>
      <c r="E1892" s="94">
        <v>42873</v>
      </c>
      <c r="F1892" s="91" t="s">
        <v>6853</v>
      </c>
      <c r="G1892" s="223">
        <f t="shared" si="58"/>
        <v>67</v>
      </c>
      <c r="H1892" s="222">
        <f t="shared" si="59"/>
        <v>20159202</v>
      </c>
    </row>
    <row r="1893" spans="1:8" hidden="1">
      <c r="A1893" s="87">
        <v>13474822</v>
      </c>
      <c r="B1893" s="88" t="s">
        <v>3133</v>
      </c>
      <c r="C1893" s="88" t="s">
        <v>1965</v>
      </c>
      <c r="D1893" s="88" t="s">
        <v>7043</v>
      </c>
      <c r="E1893" s="94">
        <v>42873</v>
      </c>
      <c r="F1893" s="91" t="s">
        <v>6853</v>
      </c>
      <c r="G1893" s="223">
        <f t="shared" si="58"/>
        <v>67</v>
      </c>
      <c r="H1893" s="222">
        <f t="shared" si="59"/>
        <v>13474822</v>
      </c>
    </row>
    <row r="1894" spans="1:8" hidden="1">
      <c r="A1894" s="87">
        <v>14023748</v>
      </c>
      <c r="B1894" s="88" t="s">
        <v>774</v>
      </c>
      <c r="C1894" s="88" t="s">
        <v>468</v>
      </c>
      <c r="D1894" s="88" t="s">
        <v>7043</v>
      </c>
      <c r="E1894" s="94">
        <v>42873</v>
      </c>
      <c r="F1894" s="91" t="s">
        <v>6853</v>
      </c>
      <c r="G1894" s="223">
        <f t="shared" si="58"/>
        <v>67</v>
      </c>
      <c r="H1894" s="222">
        <f t="shared" si="59"/>
        <v>14023748</v>
      </c>
    </row>
    <row r="1895" spans="1:8" hidden="1">
      <c r="A1895" s="87">
        <v>34185492</v>
      </c>
      <c r="B1895" s="88" t="s">
        <v>774</v>
      </c>
      <c r="C1895" s="88" t="s">
        <v>97</v>
      </c>
      <c r="D1895" s="88" t="s">
        <v>7043</v>
      </c>
      <c r="E1895" s="94">
        <v>42873</v>
      </c>
      <c r="F1895" s="91" t="s">
        <v>9302</v>
      </c>
      <c r="G1895" s="223">
        <f t="shared" si="58"/>
        <v>67</v>
      </c>
      <c r="H1895" s="222">
        <f t="shared" si="59"/>
        <v>34185492</v>
      </c>
    </row>
    <row r="1896" spans="1:8" hidden="1">
      <c r="A1896" s="87">
        <v>32828709</v>
      </c>
      <c r="B1896" s="88" t="s">
        <v>2087</v>
      </c>
      <c r="C1896" s="88" t="s">
        <v>3140</v>
      </c>
      <c r="D1896" s="88" t="s">
        <v>7043</v>
      </c>
      <c r="E1896" s="94">
        <v>42873</v>
      </c>
      <c r="F1896" s="91" t="s">
        <v>6853</v>
      </c>
      <c r="G1896" s="223">
        <f t="shared" si="58"/>
        <v>67</v>
      </c>
      <c r="H1896" s="222">
        <f t="shared" si="59"/>
        <v>32828709</v>
      </c>
    </row>
    <row r="1897" spans="1:8" hidden="1">
      <c r="A1897" s="87">
        <v>38347811</v>
      </c>
      <c r="B1897" s="88" t="s">
        <v>3142</v>
      </c>
      <c r="C1897" s="88" t="s">
        <v>3143</v>
      </c>
      <c r="D1897" s="88" t="s">
        <v>7043</v>
      </c>
      <c r="E1897" s="94">
        <v>42873</v>
      </c>
      <c r="F1897" s="91" t="s">
        <v>9302</v>
      </c>
      <c r="G1897" s="223" t="str">
        <f t="shared" si="58"/>
        <v>sin dato</v>
      </c>
      <c r="H1897" s="222" t="str">
        <f t="shared" si="59"/>
        <v>999</v>
      </c>
    </row>
    <row r="1898" spans="1:8" hidden="1">
      <c r="A1898" s="87">
        <v>24641950</v>
      </c>
      <c r="B1898" s="88" t="s">
        <v>1787</v>
      </c>
      <c r="C1898" s="88" t="s">
        <v>3146</v>
      </c>
      <c r="D1898" s="88" t="s">
        <v>7043</v>
      </c>
      <c r="E1898" s="94">
        <v>42873</v>
      </c>
      <c r="F1898" s="91" t="s">
        <v>6853</v>
      </c>
      <c r="G1898" s="223">
        <f t="shared" si="58"/>
        <v>67</v>
      </c>
      <c r="H1898" s="222">
        <f t="shared" si="59"/>
        <v>24641950</v>
      </c>
    </row>
    <row r="1899" spans="1:8" hidden="1">
      <c r="A1899" s="87">
        <v>33050519</v>
      </c>
      <c r="B1899" s="88" t="s">
        <v>377</v>
      </c>
      <c r="C1899" s="88" t="s">
        <v>876</v>
      </c>
      <c r="D1899" s="88" t="s">
        <v>7043</v>
      </c>
      <c r="E1899" s="94">
        <v>42873</v>
      </c>
      <c r="F1899" s="91" t="s">
        <v>6853</v>
      </c>
      <c r="G1899" s="223">
        <f t="shared" si="58"/>
        <v>67</v>
      </c>
      <c r="H1899" s="222">
        <f t="shared" si="59"/>
        <v>33050519</v>
      </c>
    </row>
    <row r="1900" spans="1:8" hidden="1">
      <c r="A1900" s="87">
        <v>20498164</v>
      </c>
      <c r="B1900" s="88" t="s">
        <v>3149</v>
      </c>
      <c r="C1900" s="88" t="s">
        <v>135</v>
      </c>
      <c r="D1900" s="88" t="s">
        <v>7043</v>
      </c>
      <c r="E1900" s="94">
        <v>42873</v>
      </c>
      <c r="F1900" s="91" t="s">
        <v>6853</v>
      </c>
      <c r="G1900" s="223">
        <f t="shared" si="58"/>
        <v>67</v>
      </c>
      <c r="H1900" s="222">
        <f t="shared" si="59"/>
        <v>20498164</v>
      </c>
    </row>
    <row r="1901" spans="1:8" hidden="1">
      <c r="A1901" s="87">
        <v>14351475</v>
      </c>
      <c r="B1901" s="88" t="s">
        <v>2231</v>
      </c>
      <c r="C1901" s="88" t="s">
        <v>3152</v>
      </c>
      <c r="D1901" s="88" t="s">
        <v>7043</v>
      </c>
      <c r="E1901" s="94">
        <v>42873</v>
      </c>
      <c r="F1901" s="91" t="s">
        <v>6853</v>
      </c>
      <c r="G1901" s="223">
        <f t="shared" si="58"/>
        <v>67</v>
      </c>
      <c r="H1901" s="222">
        <f t="shared" si="59"/>
        <v>14351475</v>
      </c>
    </row>
    <row r="1902" spans="1:8" hidden="1">
      <c r="A1902" s="87">
        <v>27400154</v>
      </c>
      <c r="B1902" s="88" t="s">
        <v>428</v>
      </c>
      <c r="C1902" s="88" t="s">
        <v>3154</v>
      </c>
      <c r="D1902" s="88" t="s">
        <v>7043</v>
      </c>
      <c r="E1902" s="94">
        <v>42873</v>
      </c>
      <c r="F1902" s="91" t="s">
        <v>6853</v>
      </c>
      <c r="G1902" s="223">
        <f t="shared" si="58"/>
        <v>67</v>
      </c>
      <c r="H1902" s="222">
        <f t="shared" si="59"/>
        <v>27400154</v>
      </c>
    </row>
    <row r="1903" spans="1:8" hidden="1">
      <c r="A1903" s="87">
        <v>24553185</v>
      </c>
      <c r="B1903" s="88" t="s">
        <v>1613</v>
      </c>
      <c r="C1903" s="88" t="s">
        <v>3156</v>
      </c>
      <c r="D1903" s="88" t="s">
        <v>7043</v>
      </c>
      <c r="E1903" s="94">
        <v>42873</v>
      </c>
      <c r="F1903" s="91" t="s">
        <v>6853</v>
      </c>
      <c r="G1903" s="223">
        <f t="shared" si="58"/>
        <v>67</v>
      </c>
      <c r="H1903" s="222">
        <f t="shared" si="59"/>
        <v>24553185</v>
      </c>
    </row>
    <row r="1904" spans="1:8" hidden="1">
      <c r="A1904" s="87">
        <v>23931682</v>
      </c>
      <c r="B1904" s="88" t="s">
        <v>3160</v>
      </c>
      <c r="C1904" s="88" t="s">
        <v>1149</v>
      </c>
      <c r="D1904" s="88" t="s">
        <v>7043</v>
      </c>
      <c r="E1904" s="94">
        <v>42873</v>
      </c>
      <c r="F1904" s="91" t="s">
        <v>6853</v>
      </c>
      <c r="G1904" s="223">
        <f t="shared" si="58"/>
        <v>67</v>
      </c>
      <c r="H1904" s="222">
        <f t="shared" si="59"/>
        <v>23931682</v>
      </c>
    </row>
    <row r="1905" spans="1:8" hidden="1">
      <c r="A1905" s="87">
        <v>23319971</v>
      </c>
      <c r="B1905" s="88" t="s">
        <v>2294</v>
      </c>
      <c r="C1905" s="88" t="s">
        <v>3163</v>
      </c>
      <c r="D1905" s="88" t="s">
        <v>7043</v>
      </c>
      <c r="E1905" s="94">
        <v>42873</v>
      </c>
      <c r="F1905" s="91" t="s">
        <v>6853</v>
      </c>
      <c r="G1905" s="223">
        <f t="shared" si="58"/>
        <v>67</v>
      </c>
      <c r="H1905" s="222">
        <f t="shared" si="59"/>
        <v>23319971</v>
      </c>
    </row>
    <row r="1906" spans="1:8" hidden="1">
      <c r="A1906" s="87">
        <v>14324672</v>
      </c>
      <c r="B1906" s="88" t="s">
        <v>5496</v>
      </c>
      <c r="C1906" s="88" t="s">
        <v>7113</v>
      </c>
      <c r="D1906" s="88" t="s">
        <v>7114</v>
      </c>
      <c r="E1906" s="94">
        <v>42871</v>
      </c>
      <c r="F1906" s="91" t="s">
        <v>7028</v>
      </c>
      <c r="G1906" s="223">
        <f t="shared" si="58"/>
        <v>6</v>
      </c>
      <c r="H1906" s="222">
        <f t="shared" si="59"/>
        <v>14324672</v>
      </c>
    </row>
    <row r="1907" spans="1:8" hidden="1">
      <c r="A1907" s="87">
        <v>22805288</v>
      </c>
      <c r="B1907" s="88" t="s">
        <v>68</v>
      </c>
      <c r="C1907" s="88" t="s">
        <v>69</v>
      </c>
      <c r="D1907" s="88" t="s">
        <v>7114</v>
      </c>
      <c r="E1907" s="94">
        <v>42871</v>
      </c>
      <c r="F1907" s="91" t="s">
        <v>6853</v>
      </c>
      <c r="G1907" s="223">
        <f t="shared" si="58"/>
        <v>11</v>
      </c>
      <c r="H1907" s="222">
        <f t="shared" si="59"/>
        <v>22805288</v>
      </c>
    </row>
    <row r="1908" spans="1:8" hidden="1">
      <c r="A1908" s="87">
        <v>31644419</v>
      </c>
      <c r="B1908" s="88" t="s">
        <v>4504</v>
      </c>
      <c r="C1908" s="88" t="s">
        <v>2613</v>
      </c>
      <c r="D1908" s="88" t="s">
        <v>7114</v>
      </c>
      <c r="E1908" s="94">
        <v>42871</v>
      </c>
      <c r="F1908" s="91" t="s">
        <v>6853</v>
      </c>
      <c r="G1908" s="223">
        <f t="shared" si="58"/>
        <v>22</v>
      </c>
      <c r="H1908" s="222">
        <f t="shared" si="59"/>
        <v>31644419</v>
      </c>
    </row>
    <row r="1909" spans="1:8" hidden="1">
      <c r="A1909" s="87">
        <v>22211664</v>
      </c>
      <c r="B1909" s="88" t="s">
        <v>5551</v>
      </c>
      <c r="C1909" s="88" t="s">
        <v>1172</v>
      </c>
      <c r="D1909" s="88" t="s">
        <v>7114</v>
      </c>
      <c r="E1909" s="94">
        <v>42871</v>
      </c>
      <c r="F1909" s="91" t="s">
        <v>7028</v>
      </c>
      <c r="G1909" s="223">
        <f t="shared" si="58"/>
        <v>6</v>
      </c>
      <c r="H1909" s="222">
        <f t="shared" si="59"/>
        <v>22211664</v>
      </c>
    </row>
    <row r="1910" spans="1:8" hidden="1">
      <c r="A1910" s="87">
        <v>28721630</v>
      </c>
      <c r="B1910" s="88" t="s">
        <v>203</v>
      </c>
      <c r="C1910" s="88" t="s">
        <v>204</v>
      </c>
      <c r="D1910" s="88" t="s">
        <v>7114</v>
      </c>
      <c r="E1910" s="94">
        <v>42871</v>
      </c>
      <c r="F1910" s="91" t="s">
        <v>6853</v>
      </c>
      <c r="G1910" s="223">
        <f t="shared" si="58"/>
        <v>11</v>
      </c>
      <c r="H1910" s="222">
        <f t="shared" si="59"/>
        <v>28721630</v>
      </c>
    </row>
    <row r="1911" spans="1:8" hidden="1">
      <c r="A1911" s="87">
        <v>29743945</v>
      </c>
      <c r="B1911" s="88" t="s">
        <v>5843</v>
      </c>
      <c r="C1911" s="88" t="s">
        <v>2179</v>
      </c>
      <c r="D1911" s="88" t="s">
        <v>7114</v>
      </c>
      <c r="E1911" s="94">
        <v>42871</v>
      </c>
      <c r="F1911" s="91" t="s">
        <v>6853</v>
      </c>
      <c r="G1911" s="223">
        <f t="shared" si="58"/>
        <v>5</v>
      </c>
      <c r="H1911" s="222">
        <f t="shared" si="59"/>
        <v>29743945</v>
      </c>
    </row>
    <row r="1912" spans="1:8" hidden="1">
      <c r="A1912" s="87">
        <v>22263439</v>
      </c>
      <c r="B1912" s="88" t="s">
        <v>774</v>
      </c>
      <c r="C1912" s="88" t="s">
        <v>2684</v>
      </c>
      <c r="D1912" s="88" t="s">
        <v>7114</v>
      </c>
      <c r="E1912" s="94">
        <v>42871</v>
      </c>
      <c r="F1912" s="91" t="s">
        <v>6853</v>
      </c>
      <c r="G1912" s="223" t="str">
        <f t="shared" si="58"/>
        <v>sin dato</v>
      </c>
      <c r="H1912" s="222" t="str">
        <f t="shared" si="59"/>
        <v>999</v>
      </c>
    </row>
    <row r="1913" spans="1:8" hidden="1">
      <c r="A1913" s="87">
        <v>25510655</v>
      </c>
      <c r="B1913" s="88" t="s">
        <v>5589</v>
      </c>
      <c r="C1913" s="88" t="s">
        <v>1103</v>
      </c>
      <c r="D1913" s="88" t="s">
        <v>7114</v>
      </c>
      <c r="E1913" s="94">
        <v>42871</v>
      </c>
      <c r="F1913" s="91" t="s">
        <v>6853</v>
      </c>
      <c r="G1913" s="223">
        <f t="shared" si="58"/>
        <v>6</v>
      </c>
      <c r="H1913" s="222">
        <f t="shared" si="59"/>
        <v>25510655</v>
      </c>
    </row>
    <row r="1914" spans="1:8" hidden="1">
      <c r="A1914" s="87">
        <v>20880016</v>
      </c>
      <c r="B1914" s="88" t="s">
        <v>685</v>
      </c>
      <c r="C1914" s="88" t="s">
        <v>687</v>
      </c>
      <c r="D1914" s="88" t="s">
        <v>7114</v>
      </c>
      <c r="E1914" s="94">
        <v>42871</v>
      </c>
      <c r="F1914" s="91" t="s">
        <v>6853</v>
      </c>
      <c r="G1914" s="223">
        <f t="shared" si="58"/>
        <v>13</v>
      </c>
      <c r="H1914" s="222">
        <f t="shared" si="59"/>
        <v>20880016</v>
      </c>
    </row>
    <row r="1915" spans="1:8" hidden="1">
      <c r="A1915" s="87">
        <v>11708670</v>
      </c>
      <c r="B1915" s="88" t="s">
        <v>7115</v>
      </c>
      <c r="C1915" s="88" t="s">
        <v>7116</v>
      </c>
      <c r="D1915" s="88" t="s">
        <v>7114</v>
      </c>
      <c r="E1915" s="94">
        <v>42871</v>
      </c>
      <c r="F1915" s="91" t="s">
        <v>6853</v>
      </c>
      <c r="G1915" s="223" t="str">
        <f t="shared" si="58"/>
        <v>sin dato</v>
      </c>
      <c r="H1915" s="222" t="str">
        <f t="shared" si="59"/>
        <v>999</v>
      </c>
    </row>
    <row r="1916" spans="1:8" hidden="1">
      <c r="A1916" s="87">
        <v>14480478</v>
      </c>
      <c r="B1916" s="88" t="s">
        <v>4603</v>
      </c>
      <c r="C1916" s="88" t="s">
        <v>7117</v>
      </c>
      <c r="D1916" s="88" t="s">
        <v>7114</v>
      </c>
      <c r="E1916" s="94">
        <v>42871</v>
      </c>
      <c r="F1916" s="91" t="s">
        <v>6853</v>
      </c>
      <c r="G1916" s="223">
        <f t="shared" si="58"/>
        <v>22</v>
      </c>
      <c r="H1916" s="222">
        <f t="shared" si="59"/>
        <v>14480478</v>
      </c>
    </row>
    <row r="1917" spans="1:8" hidden="1">
      <c r="A1917" s="87">
        <v>31842029</v>
      </c>
      <c r="B1917" s="88" t="s">
        <v>7118</v>
      </c>
      <c r="C1917" s="88" t="s">
        <v>7119</v>
      </c>
      <c r="D1917" s="88" t="s">
        <v>7114</v>
      </c>
      <c r="E1917" s="94">
        <v>42871</v>
      </c>
      <c r="F1917" s="91" t="s">
        <v>6853</v>
      </c>
      <c r="G1917" s="223">
        <f t="shared" si="58"/>
        <v>2</v>
      </c>
      <c r="H1917" s="222">
        <f t="shared" si="59"/>
        <v>31842029</v>
      </c>
    </row>
    <row r="1918" spans="1:8" hidden="1">
      <c r="A1918" s="87">
        <v>25734593</v>
      </c>
      <c r="B1918" s="88" t="s">
        <v>5433</v>
      </c>
      <c r="C1918" s="88" t="s">
        <v>5434</v>
      </c>
      <c r="D1918" s="88" t="s">
        <v>7114</v>
      </c>
      <c r="E1918" s="94">
        <v>42871</v>
      </c>
      <c r="F1918" s="91" t="s">
        <v>6853</v>
      </c>
      <c r="G1918" s="223">
        <f t="shared" si="58"/>
        <v>14</v>
      </c>
      <c r="H1918" s="222">
        <f t="shared" si="59"/>
        <v>25734593</v>
      </c>
    </row>
    <row r="1919" spans="1:8" hidden="1">
      <c r="A1919" s="97">
        <v>14480554</v>
      </c>
      <c r="B1919" s="90" t="s">
        <v>1671</v>
      </c>
      <c r="C1919" s="90" t="s">
        <v>1672</v>
      </c>
      <c r="D1919" s="88" t="s">
        <v>7114</v>
      </c>
      <c r="E1919" s="94">
        <v>42866</v>
      </c>
      <c r="F1919" s="91" t="s">
        <v>6853</v>
      </c>
      <c r="G1919" s="223">
        <f t="shared" si="58"/>
        <v>15</v>
      </c>
      <c r="H1919" s="222">
        <f t="shared" si="59"/>
        <v>14480554</v>
      </c>
    </row>
    <row r="1920" spans="1:8" hidden="1">
      <c r="A1920" s="97">
        <v>11239557</v>
      </c>
      <c r="B1920" s="90" t="s">
        <v>1385</v>
      </c>
      <c r="C1920" s="90" t="s">
        <v>3655</v>
      </c>
      <c r="D1920" s="88" t="s">
        <v>7114</v>
      </c>
      <c r="E1920" s="94">
        <v>42866</v>
      </c>
      <c r="F1920" s="98" t="s">
        <v>6853</v>
      </c>
      <c r="G1920" s="223">
        <f t="shared" si="58"/>
        <v>20</v>
      </c>
      <c r="H1920" s="222">
        <f t="shared" si="59"/>
        <v>11239557</v>
      </c>
    </row>
    <row r="1921" spans="1:8" hidden="1">
      <c r="A1921" s="97">
        <v>13710155</v>
      </c>
      <c r="B1921" s="90" t="s">
        <v>3182</v>
      </c>
      <c r="C1921" s="90" t="s">
        <v>7120</v>
      </c>
      <c r="D1921" s="88" t="s">
        <v>7114</v>
      </c>
      <c r="E1921" s="94">
        <v>42866</v>
      </c>
      <c r="F1921" s="91" t="s">
        <v>6853</v>
      </c>
      <c r="G1921" s="223">
        <f t="shared" si="58"/>
        <v>20</v>
      </c>
      <c r="H1921" s="222">
        <f t="shared" si="59"/>
        <v>13710155</v>
      </c>
    </row>
    <row r="1922" spans="1:8" hidden="1">
      <c r="A1922" s="97">
        <v>30760509</v>
      </c>
      <c r="B1922" s="90" t="s">
        <v>130</v>
      </c>
      <c r="C1922" s="90" t="s">
        <v>7121</v>
      </c>
      <c r="D1922" s="88" t="s">
        <v>7114</v>
      </c>
      <c r="E1922" s="94">
        <v>42866</v>
      </c>
      <c r="F1922" s="91" t="s">
        <v>6853</v>
      </c>
      <c r="G1922" s="223">
        <f t="shared" ref="G1922:G1968" si="60">IFERROR(INDEX(unidad,MATCH(VLOOKUP(A1922,alum,9,0),unidad2,0),1),"sin dato")</f>
        <v>11</v>
      </c>
      <c r="H1922" s="222">
        <f t="shared" ref="H1922:H1968" si="61">IFERROR(VLOOKUP(A1922,alum,1,0),"999")</f>
        <v>30760509</v>
      </c>
    </row>
    <row r="1923" spans="1:8" hidden="1">
      <c r="A1923" s="97">
        <v>20760236</v>
      </c>
      <c r="B1923" s="90" t="s">
        <v>144</v>
      </c>
      <c r="C1923" s="90" t="s">
        <v>1507</v>
      </c>
      <c r="D1923" s="88" t="s">
        <v>7114</v>
      </c>
      <c r="E1923" s="94">
        <v>42866</v>
      </c>
      <c r="F1923" s="91" t="s">
        <v>6853</v>
      </c>
      <c r="G1923" s="223">
        <f t="shared" si="60"/>
        <v>17</v>
      </c>
      <c r="H1923" s="222">
        <f t="shared" si="61"/>
        <v>20760236</v>
      </c>
    </row>
    <row r="1924" spans="1:8" hidden="1">
      <c r="A1924" s="97">
        <v>14358186</v>
      </c>
      <c r="B1924" s="90" t="s">
        <v>1011</v>
      </c>
      <c r="C1924" s="90" t="s">
        <v>1012</v>
      </c>
      <c r="D1924" s="88" t="s">
        <v>7114</v>
      </c>
      <c r="E1924" s="94">
        <v>42866</v>
      </c>
      <c r="F1924" s="91" t="s">
        <v>6853</v>
      </c>
      <c r="G1924" s="223">
        <f t="shared" si="60"/>
        <v>14</v>
      </c>
      <c r="H1924" s="222">
        <f t="shared" si="61"/>
        <v>14358186</v>
      </c>
    </row>
    <row r="1925" spans="1:8" hidden="1">
      <c r="A1925" s="97">
        <v>28151197</v>
      </c>
      <c r="B1925" s="90" t="s">
        <v>1032</v>
      </c>
      <c r="C1925" s="90" t="s">
        <v>1523</v>
      </c>
      <c r="D1925" s="88" t="s">
        <v>7114</v>
      </c>
      <c r="E1925" s="94">
        <v>42866</v>
      </c>
      <c r="F1925" s="91" t="s">
        <v>6853</v>
      </c>
      <c r="G1925" s="223">
        <f t="shared" si="60"/>
        <v>16</v>
      </c>
      <c r="H1925" s="222">
        <f t="shared" si="61"/>
        <v>28151197</v>
      </c>
    </row>
    <row r="1926" spans="1:8" hidden="1">
      <c r="A1926" s="97">
        <v>14358676</v>
      </c>
      <c r="B1926" s="90" t="s">
        <v>2966</v>
      </c>
      <c r="C1926" s="90" t="s">
        <v>2967</v>
      </c>
      <c r="D1926" s="88" t="s">
        <v>7114</v>
      </c>
      <c r="E1926" s="94">
        <v>42866</v>
      </c>
      <c r="F1926" s="91" t="s">
        <v>7028</v>
      </c>
      <c r="G1926" s="223">
        <f t="shared" si="60"/>
        <v>19</v>
      </c>
      <c r="H1926" s="222">
        <f t="shared" si="61"/>
        <v>14358676</v>
      </c>
    </row>
    <row r="1927" spans="1:8" hidden="1">
      <c r="A1927" s="97">
        <v>12734180</v>
      </c>
      <c r="B1927" s="90" t="s">
        <v>252</v>
      </c>
      <c r="C1927" s="90" t="s">
        <v>7122</v>
      </c>
      <c r="D1927" s="88" t="s">
        <v>7114</v>
      </c>
      <c r="E1927" s="94">
        <v>42866</v>
      </c>
      <c r="F1927" s="91" t="s">
        <v>6853</v>
      </c>
      <c r="G1927" s="223">
        <f t="shared" si="60"/>
        <v>21</v>
      </c>
      <c r="H1927" s="222">
        <f t="shared" si="61"/>
        <v>12734180</v>
      </c>
    </row>
    <row r="1928" spans="1:8" hidden="1">
      <c r="A1928" s="97">
        <v>13339907</v>
      </c>
      <c r="B1928" s="90" t="s">
        <v>350</v>
      </c>
      <c r="C1928" s="90" t="s">
        <v>351</v>
      </c>
      <c r="D1928" s="88" t="s">
        <v>7114</v>
      </c>
      <c r="E1928" s="94">
        <v>42866</v>
      </c>
      <c r="F1928" s="91" t="s">
        <v>9302</v>
      </c>
      <c r="G1928" s="223">
        <f t="shared" si="60"/>
        <v>11</v>
      </c>
      <c r="H1928" s="222">
        <f t="shared" si="61"/>
        <v>13339907</v>
      </c>
    </row>
    <row r="1929" spans="1:8" hidden="1">
      <c r="A1929" s="97">
        <v>14660159</v>
      </c>
      <c r="B1929" s="90" t="s">
        <v>3023</v>
      </c>
      <c r="C1929" s="90" t="s">
        <v>584</v>
      </c>
      <c r="D1929" s="88" t="s">
        <v>7114</v>
      </c>
      <c r="E1929" s="94">
        <v>42866</v>
      </c>
      <c r="F1929" s="91" t="s">
        <v>7028</v>
      </c>
      <c r="G1929" s="223">
        <f t="shared" si="60"/>
        <v>19</v>
      </c>
      <c r="H1929" s="222">
        <f t="shared" si="61"/>
        <v>14660159</v>
      </c>
    </row>
    <row r="1930" spans="1:8" hidden="1">
      <c r="A1930" s="97">
        <v>12149611</v>
      </c>
      <c r="B1930" s="90" t="s">
        <v>428</v>
      </c>
      <c r="C1930" s="90" t="s">
        <v>1813</v>
      </c>
      <c r="D1930" s="88" t="s">
        <v>7114</v>
      </c>
      <c r="E1930" s="94">
        <v>42866</v>
      </c>
      <c r="F1930" s="91" t="s">
        <v>6853</v>
      </c>
      <c r="G1930" s="223">
        <f t="shared" si="60"/>
        <v>15</v>
      </c>
      <c r="H1930" s="222">
        <f t="shared" si="61"/>
        <v>12149611</v>
      </c>
    </row>
    <row r="1931" spans="1:8" hidden="1">
      <c r="A1931" s="87">
        <v>25735971</v>
      </c>
      <c r="B1931" s="88" t="s">
        <v>1482</v>
      </c>
      <c r="C1931" s="88" t="s">
        <v>1483</v>
      </c>
      <c r="D1931" s="88" t="s">
        <v>7123</v>
      </c>
      <c r="E1931" s="94">
        <v>42831</v>
      </c>
      <c r="F1931" s="91"/>
      <c r="G1931" s="223">
        <f t="shared" si="60"/>
        <v>45</v>
      </c>
      <c r="H1931" s="224">
        <f t="shared" si="61"/>
        <v>25735971</v>
      </c>
    </row>
    <row r="1932" spans="1:8" hidden="1">
      <c r="A1932" s="87">
        <v>24098848</v>
      </c>
      <c r="B1932" s="88" t="s">
        <v>4830</v>
      </c>
      <c r="C1932" s="88" t="s">
        <v>4831</v>
      </c>
      <c r="D1932" s="88" t="s">
        <v>7123</v>
      </c>
      <c r="E1932" s="94">
        <v>42831</v>
      </c>
      <c r="F1932" s="91"/>
      <c r="G1932" s="223">
        <f t="shared" si="60"/>
        <v>1</v>
      </c>
      <c r="H1932" s="224">
        <f t="shared" si="61"/>
        <v>24098848</v>
      </c>
    </row>
    <row r="1933" spans="1:8" hidden="1">
      <c r="A1933" s="87">
        <v>31052533</v>
      </c>
      <c r="B1933" s="88" t="s">
        <v>676</v>
      </c>
      <c r="C1933" s="88" t="s">
        <v>1087</v>
      </c>
      <c r="D1933" s="88" t="s">
        <v>7123</v>
      </c>
      <c r="E1933" s="94">
        <v>42831</v>
      </c>
      <c r="F1933" s="91"/>
      <c r="G1933" s="223">
        <f t="shared" si="60"/>
        <v>14</v>
      </c>
      <c r="H1933" s="224">
        <f t="shared" si="61"/>
        <v>31052533</v>
      </c>
    </row>
    <row r="1934" spans="1:8" hidden="1">
      <c r="A1934" s="87">
        <v>34994170</v>
      </c>
      <c r="B1934" s="88" t="s">
        <v>304</v>
      </c>
      <c r="C1934" s="88" t="s">
        <v>2623</v>
      </c>
      <c r="D1934" s="88" t="s">
        <v>7123</v>
      </c>
      <c r="E1934" s="94">
        <v>42831</v>
      </c>
      <c r="F1934" s="91"/>
      <c r="G1934" s="223">
        <f t="shared" si="60"/>
        <v>11</v>
      </c>
      <c r="H1934" s="224">
        <f t="shared" si="61"/>
        <v>34994170</v>
      </c>
    </row>
    <row r="1935" spans="1:8" hidden="1">
      <c r="A1935" s="87">
        <v>18034548</v>
      </c>
      <c r="B1935" s="88" t="s">
        <v>4623</v>
      </c>
      <c r="C1935" s="88" t="s">
        <v>4624</v>
      </c>
      <c r="D1935" s="88" t="s">
        <v>7123</v>
      </c>
      <c r="E1935" s="94">
        <v>42831</v>
      </c>
      <c r="F1935" s="91"/>
      <c r="G1935" s="223">
        <f t="shared" si="60"/>
        <v>22</v>
      </c>
      <c r="H1935" s="224">
        <f t="shared" si="61"/>
        <v>18034548</v>
      </c>
    </row>
    <row r="1936" spans="1:8" hidden="1">
      <c r="A1936" s="87">
        <v>22854008</v>
      </c>
      <c r="B1936" s="88" t="s">
        <v>4370</v>
      </c>
      <c r="C1936" s="88" t="s">
        <v>4371</v>
      </c>
      <c r="D1936" s="88" t="s">
        <v>7123</v>
      </c>
      <c r="E1936" s="94">
        <v>42831</v>
      </c>
      <c r="F1936" s="91"/>
      <c r="G1936" s="223">
        <f t="shared" si="60"/>
        <v>21</v>
      </c>
      <c r="H1936" s="224">
        <f t="shared" si="61"/>
        <v>22854008</v>
      </c>
    </row>
    <row r="1937" spans="1:8" hidden="1">
      <c r="A1937" s="87">
        <v>25255910</v>
      </c>
      <c r="B1937" s="88" t="s">
        <v>377</v>
      </c>
      <c r="C1937" s="88" t="s">
        <v>4373</v>
      </c>
      <c r="D1937" s="88" t="s">
        <v>7123</v>
      </c>
      <c r="E1937" s="94">
        <v>42831</v>
      </c>
      <c r="F1937" s="91"/>
      <c r="G1937" s="223">
        <f t="shared" si="60"/>
        <v>21</v>
      </c>
      <c r="H1937" s="222">
        <f t="shared" si="61"/>
        <v>25255910</v>
      </c>
    </row>
    <row r="1938" spans="1:8" hidden="1">
      <c r="A1938" s="87">
        <v>30539453</v>
      </c>
      <c r="B1938" s="88" t="s">
        <v>2919</v>
      </c>
      <c r="C1938" s="88" t="s">
        <v>3712</v>
      </c>
      <c r="D1938" s="88" t="s">
        <v>7124</v>
      </c>
      <c r="E1938" s="94">
        <v>42831</v>
      </c>
      <c r="F1938" s="91"/>
      <c r="G1938" s="223">
        <f t="shared" si="60"/>
        <v>20</v>
      </c>
      <c r="H1938" s="222">
        <f t="shared" si="61"/>
        <v>30539453</v>
      </c>
    </row>
    <row r="1939" spans="1:8" hidden="1">
      <c r="A1939" s="87">
        <v>11054779</v>
      </c>
      <c r="B1939" s="88" t="s">
        <v>3745</v>
      </c>
      <c r="C1939" s="88" t="s">
        <v>1185</v>
      </c>
      <c r="D1939" s="88" t="s">
        <v>7124</v>
      </c>
      <c r="E1939" s="94">
        <v>42831</v>
      </c>
      <c r="F1939" s="91"/>
      <c r="G1939" s="223">
        <f t="shared" si="60"/>
        <v>20</v>
      </c>
      <c r="H1939" s="222">
        <f t="shared" si="61"/>
        <v>11054779</v>
      </c>
    </row>
    <row r="1940" spans="1:8" hidden="1">
      <c r="A1940" s="87">
        <v>40357718</v>
      </c>
      <c r="B1940" s="88" t="s">
        <v>5783</v>
      </c>
      <c r="C1940" s="88" t="s">
        <v>2873</v>
      </c>
      <c r="D1940" s="88" t="s">
        <v>7124</v>
      </c>
      <c r="E1940" s="94">
        <v>42831</v>
      </c>
      <c r="F1940" s="91"/>
      <c r="G1940" s="223" t="str">
        <f t="shared" si="60"/>
        <v>sin dato</v>
      </c>
      <c r="H1940" s="222" t="str">
        <f t="shared" si="61"/>
        <v>999</v>
      </c>
    </row>
    <row r="1941" spans="1:8" hidden="1">
      <c r="A1941" s="87">
        <v>17505908</v>
      </c>
      <c r="B1941" s="88" t="s">
        <v>350</v>
      </c>
      <c r="C1941" s="88" t="s">
        <v>2684</v>
      </c>
      <c r="D1941" s="88" t="s">
        <v>7124</v>
      </c>
      <c r="E1941" s="94">
        <v>42831</v>
      </c>
      <c r="F1941" s="91"/>
      <c r="G1941" s="223">
        <f t="shared" si="60"/>
        <v>20</v>
      </c>
      <c r="H1941" s="222">
        <f t="shared" si="61"/>
        <v>17505908</v>
      </c>
    </row>
    <row r="1942" spans="1:8" hidden="1">
      <c r="A1942" s="87">
        <v>30357304</v>
      </c>
      <c r="B1942" s="88" t="s">
        <v>350</v>
      </c>
      <c r="C1942" s="88" t="s">
        <v>588</v>
      </c>
      <c r="D1942" s="88" t="s">
        <v>7124</v>
      </c>
      <c r="E1942" s="94">
        <v>42831</v>
      </c>
      <c r="F1942" s="91"/>
      <c r="G1942" s="223">
        <f t="shared" si="60"/>
        <v>35</v>
      </c>
      <c r="H1942" s="222">
        <f t="shared" si="61"/>
        <v>30357304</v>
      </c>
    </row>
    <row r="1943" spans="1:8" hidden="1">
      <c r="A1943" s="87">
        <v>25758684</v>
      </c>
      <c r="B1943" s="88" t="s">
        <v>428</v>
      </c>
      <c r="C1943" s="88" t="s">
        <v>1208</v>
      </c>
      <c r="D1943" s="88" t="s">
        <v>7124</v>
      </c>
      <c r="E1943" s="94">
        <v>42831</v>
      </c>
      <c r="F1943" s="91"/>
      <c r="G1943" s="223">
        <f t="shared" si="60"/>
        <v>14</v>
      </c>
      <c r="H1943" s="222">
        <f t="shared" si="61"/>
        <v>25758684</v>
      </c>
    </row>
    <row r="1944" spans="1:8" hidden="1">
      <c r="A1944" s="87">
        <v>27016270</v>
      </c>
      <c r="B1944" s="88" t="s">
        <v>2291</v>
      </c>
      <c r="C1944" s="88" t="s">
        <v>579</v>
      </c>
      <c r="D1944" s="88" t="s">
        <v>7124</v>
      </c>
      <c r="E1944" s="94">
        <v>42831</v>
      </c>
      <c r="F1944" s="91"/>
      <c r="G1944" s="223">
        <f t="shared" si="60"/>
        <v>16</v>
      </c>
      <c r="H1944" s="222">
        <f t="shared" si="61"/>
        <v>27016270</v>
      </c>
    </row>
    <row r="1945" spans="1:8" hidden="1">
      <c r="A1945" s="87">
        <v>27575100</v>
      </c>
      <c r="B1945" s="88" t="s">
        <v>3649</v>
      </c>
      <c r="C1945" s="88" t="s">
        <v>7125</v>
      </c>
      <c r="D1945" s="88" t="s">
        <v>7126</v>
      </c>
      <c r="E1945" s="94">
        <v>42823</v>
      </c>
      <c r="F1945" s="91" t="s">
        <v>6853</v>
      </c>
      <c r="G1945" s="223">
        <f t="shared" si="60"/>
        <v>20</v>
      </c>
      <c r="H1945" s="222">
        <f t="shared" si="61"/>
        <v>27575100</v>
      </c>
    </row>
    <row r="1946" spans="1:8" hidden="1">
      <c r="A1946" s="87">
        <v>17947736</v>
      </c>
      <c r="B1946" s="88" t="s">
        <v>806</v>
      </c>
      <c r="C1946" s="88" t="s">
        <v>807</v>
      </c>
      <c r="D1946" s="88" t="s">
        <v>7126</v>
      </c>
      <c r="E1946" s="94">
        <v>42823</v>
      </c>
      <c r="F1946" s="91" t="s">
        <v>6853</v>
      </c>
      <c r="G1946" s="223">
        <f t="shared" si="60"/>
        <v>37</v>
      </c>
      <c r="H1946" s="222">
        <f t="shared" si="61"/>
        <v>17947736</v>
      </c>
    </row>
    <row r="1947" spans="1:8" hidden="1">
      <c r="A1947" s="87">
        <v>14966482</v>
      </c>
      <c r="B1947" s="88" t="s">
        <v>2785</v>
      </c>
      <c r="C1947" s="88" t="s">
        <v>2786</v>
      </c>
      <c r="D1947" s="88" t="s">
        <v>7126</v>
      </c>
      <c r="E1947" s="94">
        <v>42823</v>
      </c>
      <c r="F1947" s="91" t="s">
        <v>6853</v>
      </c>
      <c r="G1947" s="223" t="str">
        <f t="shared" si="60"/>
        <v>sin dato</v>
      </c>
      <c r="H1947" s="222">
        <f t="shared" si="61"/>
        <v>14966482</v>
      </c>
    </row>
    <row r="1948" spans="1:8" hidden="1">
      <c r="A1948" s="87">
        <v>14225922</v>
      </c>
      <c r="B1948" s="88" t="s">
        <v>207</v>
      </c>
      <c r="C1948" s="88" t="s">
        <v>27</v>
      </c>
      <c r="D1948" s="88" t="s">
        <v>7126</v>
      </c>
      <c r="E1948" s="94">
        <v>42823</v>
      </c>
      <c r="F1948" s="148" t="s">
        <v>9302</v>
      </c>
      <c r="G1948" s="223">
        <f t="shared" si="60"/>
        <v>15</v>
      </c>
      <c r="H1948" s="222">
        <f t="shared" si="61"/>
        <v>14225922</v>
      </c>
    </row>
    <row r="1949" spans="1:8" hidden="1">
      <c r="A1949" s="87">
        <v>24200313</v>
      </c>
      <c r="B1949" s="88" t="s">
        <v>207</v>
      </c>
      <c r="C1949" s="88" t="s">
        <v>655</v>
      </c>
      <c r="D1949" s="88" t="s">
        <v>7126</v>
      </c>
      <c r="E1949" s="94">
        <v>42823</v>
      </c>
      <c r="F1949" s="91" t="s">
        <v>9302</v>
      </c>
      <c r="G1949" s="223">
        <f t="shared" si="60"/>
        <v>13</v>
      </c>
      <c r="H1949" s="222">
        <f t="shared" si="61"/>
        <v>24200313</v>
      </c>
    </row>
    <row r="1950" spans="1:8" hidden="1">
      <c r="A1950" s="87">
        <v>17377987</v>
      </c>
      <c r="B1950" s="88" t="s">
        <v>659</v>
      </c>
      <c r="C1950" s="88" t="s">
        <v>1082</v>
      </c>
      <c r="D1950" s="88" t="s">
        <v>7126</v>
      </c>
      <c r="E1950" s="94">
        <v>42823</v>
      </c>
      <c r="F1950" s="91" t="s">
        <v>9302</v>
      </c>
      <c r="G1950" s="223">
        <f t="shared" si="60"/>
        <v>999</v>
      </c>
      <c r="H1950" s="222">
        <f t="shared" si="61"/>
        <v>17377987</v>
      </c>
    </row>
    <row r="1951" spans="1:8" hidden="1">
      <c r="A1951" s="87">
        <v>16016486</v>
      </c>
      <c r="B1951" s="88" t="s">
        <v>1474</v>
      </c>
      <c r="C1951" s="88" t="s">
        <v>7127</v>
      </c>
      <c r="D1951" s="88" t="s">
        <v>7126</v>
      </c>
      <c r="E1951" s="94">
        <v>42823</v>
      </c>
      <c r="F1951" s="91" t="s">
        <v>6853</v>
      </c>
      <c r="G1951" s="223">
        <f t="shared" si="60"/>
        <v>43</v>
      </c>
      <c r="H1951" s="222">
        <f t="shared" si="61"/>
        <v>16016486</v>
      </c>
    </row>
    <row r="1952" spans="1:8" hidden="1">
      <c r="A1952" s="87">
        <v>17860924</v>
      </c>
      <c r="B1952" s="88" t="s">
        <v>252</v>
      </c>
      <c r="C1952" s="88" t="s">
        <v>2975</v>
      </c>
      <c r="D1952" s="88" t="s">
        <v>7126</v>
      </c>
      <c r="E1952" s="94">
        <v>42823</v>
      </c>
      <c r="F1952" s="91" t="s">
        <v>9302</v>
      </c>
      <c r="G1952" s="223">
        <f t="shared" si="60"/>
        <v>19</v>
      </c>
      <c r="H1952" s="222">
        <f t="shared" si="61"/>
        <v>17860924</v>
      </c>
    </row>
    <row r="1953" spans="1:8" hidden="1">
      <c r="A1953" s="87">
        <v>12918721</v>
      </c>
      <c r="B1953" s="88" t="s">
        <v>279</v>
      </c>
      <c r="C1953" s="88" t="s">
        <v>280</v>
      </c>
      <c r="D1953" s="88" t="s">
        <v>7126</v>
      </c>
      <c r="E1953" s="94">
        <v>42823</v>
      </c>
      <c r="F1953" s="91" t="s">
        <v>9302</v>
      </c>
      <c r="G1953" s="223">
        <f t="shared" si="60"/>
        <v>11</v>
      </c>
      <c r="H1953" s="222">
        <f t="shared" si="61"/>
        <v>12918721</v>
      </c>
    </row>
    <row r="1954" spans="1:8" hidden="1">
      <c r="A1954" s="87">
        <v>22280512</v>
      </c>
      <c r="B1954" s="88" t="s">
        <v>4585</v>
      </c>
      <c r="C1954" s="88" t="s">
        <v>902</v>
      </c>
      <c r="D1954" s="88" t="s">
        <v>7126</v>
      </c>
      <c r="E1954" s="94">
        <v>42823</v>
      </c>
      <c r="F1954" s="91" t="s">
        <v>6853</v>
      </c>
      <c r="G1954" s="223">
        <f t="shared" si="60"/>
        <v>22</v>
      </c>
      <c r="H1954" s="222">
        <f t="shared" si="61"/>
        <v>22280512</v>
      </c>
    </row>
    <row r="1955" spans="1:8" hidden="1">
      <c r="A1955" s="87">
        <v>40357718</v>
      </c>
      <c r="B1955" s="88" t="s">
        <v>5783</v>
      </c>
      <c r="C1955" s="88" t="s">
        <v>5784</v>
      </c>
      <c r="D1955" s="88" t="s">
        <v>7126</v>
      </c>
      <c r="E1955" s="94">
        <v>42823</v>
      </c>
      <c r="F1955" s="91" t="s">
        <v>6853</v>
      </c>
      <c r="G1955" s="223" t="str">
        <f t="shared" si="60"/>
        <v>sin dato</v>
      </c>
      <c r="H1955" s="222" t="str">
        <f t="shared" si="61"/>
        <v>999</v>
      </c>
    </row>
    <row r="1956" spans="1:8" hidden="1">
      <c r="A1956" s="87">
        <v>17947492</v>
      </c>
      <c r="B1956" s="88" t="s">
        <v>5914</v>
      </c>
      <c r="C1956" s="88" t="s">
        <v>365</v>
      </c>
      <c r="D1956" s="88" t="s">
        <v>7126</v>
      </c>
      <c r="E1956" s="94">
        <v>42823</v>
      </c>
      <c r="F1956" s="91" t="s">
        <v>6853</v>
      </c>
      <c r="G1956" s="223">
        <f t="shared" si="60"/>
        <v>10</v>
      </c>
      <c r="H1956" s="222">
        <f t="shared" si="61"/>
        <v>17947492</v>
      </c>
    </row>
    <row r="1957" spans="1:8" hidden="1">
      <c r="A1957" s="87">
        <v>18592248</v>
      </c>
      <c r="B1957" s="88" t="s">
        <v>350</v>
      </c>
      <c r="C1957" s="88" t="s">
        <v>4612</v>
      </c>
      <c r="D1957" s="88" t="s">
        <v>7126</v>
      </c>
      <c r="E1957" s="94">
        <v>42823</v>
      </c>
      <c r="F1957" s="91" t="s">
        <v>9302</v>
      </c>
      <c r="G1957" s="223">
        <f t="shared" si="60"/>
        <v>22</v>
      </c>
      <c r="H1957" s="222">
        <f t="shared" si="61"/>
        <v>18592248</v>
      </c>
    </row>
    <row r="1958" spans="1:8" hidden="1">
      <c r="A1958" s="87">
        <v>35257502</v>
      </c>
      <c r="B1958" s="88" t="s">
        <v>2848</v>
      </c>
      <c r="C1958" s="88" t="s">
        <v>2849</v>
      </c>
      <c r="D1958" s="88" t="s">
        <v>7126</v>
      </c>
      <c r="E1958" s="94">
        <v>42823</v>
      </c>
      <c r="F1958" s="91" t="s">
        <v>9302</v>
      </c>
      <c r="G1958" s="223">
        <f t="shared" si="60"/>
        <v>62</v>
      </c>
      <c r="H1958" s="222">
        <f t="shared" si="61"/>
        <v>35257502</v>
      </c>
    </row>
    <row r="1959" spans="1:8" hidden="1">
      <c r="A1959" s="87">
        <v>24503602</v>
      </c>
      <c r="B1959" s="88" t="s">
        <v>394</v>
      </c>
      <c r="C1959" s="88" t="s">
        <v>2873</v>
      </c>
      <c r="D1959" s="88" t="s">
        <v>7126</v>
      </c>
      <c r="E1959" s="94">
        <v>42823</v>
      </c>
      <c r="F1959" s="91" t="s">
        <v>6853</v>
      </c>
      <c r="G1959" s="223">
        <f t="shared" si="60"/>
        <v>63</v>
      </c>
      <c r="H1959" s="222">
        <f t="shared" si="61"/>
        <v>24503602</v>
      </c>
    </row>
    <row r="1960" spans="1:8" hidden="1">
      <c r="A1960" s="87">
        <v>17494803</v>
      </c>
      <c r="B1960" s="88" t="s">
        <v>734</v>
      </c>
      <c r="C1960" s="88" t="s">
        <v>735</v>
      </c>
      <c r="D1960" s="88" t="s">
        <v>7126</v>
      </c>
      <c r="E1960" s="94">
        <v>42823</v>
      </c>
      <c r="F1960" s="91" t="s">
        <v>6853</v>
      </c>
      <c r="G1960" s="223">
        <f t="shared" si="60"/>
        <v>13</v>
      </c>
      <c r="H1960" s="222">
        <f t="shared" si="61"/>
        <v>17494803</v>
      </c>
    </row>
    <row r="1961" spans="1:8" hidden="1">
      <c r="A1961" s="87">
        <v>32775540</v>
      </c>
      <c r="B1961" s="88" t="s">
        <v>1798</v>
      </c>
      <c r="C1961" s="88" t="s">
        <v>1801</v>
      </c>
      <c r="D1961" s="88" t="s">
        <v>7126</v>
      </c>
      <c r="E1961" s="94">
        <v>42823</v>
      </c>
      <c r="F1961" s="91" t="s">
        <v>6853</v>
      </c>
      <c r="G1961" s="223">
        <f t="shared" si="60"/>
        <v>15</v>
      </c>
      <c r="H1961" s="222">
        <f t="shared" si="61"/>
        <v>32775540</v>
      </c>
    </row>
    <row r="1962" spans="1:8" hidden="1">
      <c r="A1962" s="87">
        <v>22263937</v>
      </c>
      <c r="B1962" s="88" t="s">
        <v>419</v>
      </c>
      <c r="C1962" s="88" t="s">
        <v>420</v>
      </c>
      <c r="D1962" s="88" t="s">
        <v>7126</v>
      </c>
      <c r="E1962" s="94">
        <v>42823</v>
      </c>
      <c r="F1962" s="91" t="s">
        <v>9302</v>
      </c>
      <c r="G1962" s="223">
        <f t="shared" si="60"/>
        <v>11</v>
      </c>
      <c r="H1962" s="222">
        <f t="shared" si="61"/>
        <v>22263937</v>
      </c>
    </row>
    <row r="1963" spans="1:8" hidden="1">
      <c r="A1963" s="87">
        <v>23387097</v>
      </c>
      <c r="B1963" s="88" t="s">
        <v>3842</v>
      </c>
      <c r="C1963" s="88" t="s">
        <v>902</v>
      </c>
      <c r="D1963" s="88" t="s">
        <v>7126</v>
      </c>
      <c r="E1963" s="94">
        <v>42823</v>
      </c>
      <c r="F1963" s="91" t="s">
        <v>6853</v>
      </c>
      <c r="G1963" s="223">
        <f t="shared" si="60"/>
        <v>20</v>
      </c>
      <c r="H1963" s="222">
        <f t="shared" si="61"/>
        <v>23387097</v>
      </c>
    </row>
    <row r="1964" spans="1:8" hidden="1">
      <c r="A1964" s="87">
        <v>17268021</v>
      </c>
      <c r="B1964" s="88" t="s">
        <v>4649</v>
      </c>
      <c r="C1964" s="88" t="s">
        <v>2184</v>
      </c>
      <c r="D1964" s="88" t="s">
        <v>7126</v>
      </c>
      <c r="E1964" s="94">
        <v>42823</v>
      </c>
      <c r="F1964" s="91" t="s">
        <v>9302</v>
      </c>
      <c r="G1964" s="223">
        <f t="shared" si="60"/>
        <v>22</v>
      </c>
      <c r="H1964" s="222">
        <f t="shared" si="61"/>
        <v>17268021</v>
      </c>
    </row>
    <row r="1965" spans="1:8" hidden="1">
      <c r="A1965" s="87">
        <v>36420915</v>
      </c>
      <c r="B1965" s="88" t="s">
        <v>4213</v>
      </c>
      <c r="C1965" s="88" t="s">
        <v>2418</v>
      </c>
      <c r="D1965" s="88" t="s">
        <v>7126</v>
      </c>
      <c r="E1965" s="94">
        <v>42823</v>
      </c>
      <c r="F1965" s="91" t="s">
        <v>9302</v>
      </c>
      <c r="G1965" s="223" t="str">
        <f t="shared" si="60"/>
        <v>sin dato</v>
      </c>
      <c r="H1965" s="222" t="str">
        <f t="shared" si="61"/>
        <v>999</v>
      </c>
    </row>
    <row r="1966" spans="1:8" hidden="1">
      <c r="A1966" s="87">
        <v>24200813</v>
      </c>
      <c r="B1966" s="88" t="s">
        <v>2766</v>
      </c>
      <c r="C1966" s="88" t="s">
        <v>2767</v>
      </c>
      <c r="D1966" s="88" t="s">
        <v>7126</v>
      </c>
      <c r="E1966" s="94">
        <v>42823</v>
      </c>
      <c r="F1966" s="91" t="s">
        <v>6853</v>
      </c>
      <c r="G1966" s="223">
        <f t="shared" si="60"/>
        <v>58</v>
      </c>
      <c r="H1966" s="222">
        <f t="shared" si="61"/>
        <v>24200813</v>
      </c>
    </row>
    <row r="1967" spans="1:8" hidden="1">
      <c r="A1967" s="87">
        <v>12597724</v>
      </c>
      <c r="B1967" s="88" t="s">
        <v>760</v>
      </c>
      <c r="C1967" s="88" t="s">
        <v>4424</v>
      </c>
      <c r="D1967" s="88" t="s">
        <v>7126</v>
      </c>
      <c r="E1967" s="94">
        <v>42823</v>
      </c>
      <c r="F1967" s="91" t="s">
        <v>6853</v>
      </c>
      <c r="G1967" s="223">
        <f t="shared" si="60"/>
        <v>21</v>
      </c>
      <c r="H1967" s="224">
        <f t="shared" si="61"/>
        <v>12597724</v>
      </c>
    </row>
    <row r="1968" spans="1:8" hidden="1">
      <c r="A1968" s="87">
        <v>24059021</v>
      </c>
      <c r="B1968" s="88" t="s">
        <v>3887</v>
      </c>
      <c r="C1968" s="88" t="s">
        <v>3888</v>
      </c>
      <c r="D1968" s="88" t="s">
        <v>7126</v>
      </c>
      <c r="E1968" s="94">
        <v>42823</v>
      </c>
      <c r="F1968" s="91" t="s">
        <v>6853</v>
      </c>
      <c r="G1968" s="223">
        <f t="shared" si="60"/>
        <v>20</v>
      </c>
      <c r="H1968" s="224">
        <f t="shared" si="61"/>
        <v>24059021</v>
      </c>
    </row>
    <row r="1969" spans="1:8">
      <c r="A1969" s="242">
        <v>14660614</v>
      </c>
      <c r="B1969" s="243" t="s">
        <v>6878</v>
      </c>
      <c r="C1969" s="243" t="s">
        <v>6895</v>
      </c>
      <c r="D1969" s="243" t="s">
        <v>9911</v>
      </c>
      <c r="E1969" s="244">
        <v>45567</v>
      </c>
      <c r="F1969" s="245" t="s">
        <v>9302</v>
      </c>
      <c r="G1969" s="246">
        <f t="shared" ref="G1969:G2013" si="62">IFERROR(INDEX(unidad,MATCH(VLOOKUP(A1969,alum,9,0),unidad2,0),1),"sin dato")</f>
        <v>17</v>
      </c>
      <c r="H1969" s="247">
        <f t="shared" ref="H1969:H2013" si="63">IFERROR(VLOOKUP(A1969,alum,1,0),"999")</f>
        <v>14660614</v>
      </c>
    </row>
    <row r="1970" spans="1:8">
      <c r="A1970" s="242">
        <v>33541698</v>
      </c>
      <c r="B1970" s="243" t="s">
        <v>7966</v>
      </c>
      <c r="C1970" s="243" t="s">
        <v>9871</v>
      </c>
      <c r="D1970" s="243" t="s">
        <v>9911</v>
      </c>
      <c r="E1970" s="244">
        <v>45567</v>
      </c>
      <c r="F1970" s="245" t="s">
        <v>6853</v>
      </c>
      <c r="G1970" s="246">
        <f t="shared" si="62"/>
        <v>8</v>
      </c>
      <c r="H1970" s="247">
        <f t="shared" si="63"/>
        <v>33541698</v>
      </c>
    </row>
    <row r="1971" spans="1:8">
      <c r="A1971" s="242">
        <v>20178395</v>
      </c>
      <c r="B1971" s="243" t="s">
        <v>6883</v>
      </c>
      <c r="C1971" s="243" t="s">
        <v>7403</v>
      </c>
      <c r="D1971" s="243" t="s">
        <v>9911</v>
      </c>
      <c r="E1971" s="244">
        <v>45567</v>
      </c>
      <c r="F1971" s="245" t="s">
        <v>9302</v>
      </c>
      <c r="G1971" s="246">
        <f t="shared" si="62"/>
        <v>17</v>
      </c>
      <c r="H1971" s="247">
        <f t="shared" si="63"/>
        <v>20178395</v>
      </c>
    </row>
    <row r="1972" spans="1:8">
      <c r="A1972" s="242">
        <v>21026697</v>
      </c>
      <c r="B1972" s="243" t="s">
        <v>7583</v>
      </c>
      <c r="C1972" s="243" t="s">
        <v>9872</v>
      </c>
      <c r="D1972" s="243" t="s">
        <v>9911</v>
      </c>
      <c r="E1972" s="244">
        <v>45567</v>
      </c>
      <c r="F1972" s="245" t="s">
        <v>6853</v>
      </c>
      <c r="G1972" s="246">
        <f t="shared" si="62"/>
        <v>14</v>
      </c>
      <c r="H1972" s="247">
        <f t="shared" si="63"/>
        <v>21026697</v>
      </c>
    </row>
    <row r="1973" spans="1:8">
      <c r="A1973" s="242">
        <v>20630868</v>
      </c>
      <c r="B1973" s="243" t="s">
        <v>3425</v>
      </c>
      <c r="C1973" s="243" t="s">
        <v>2723</v>
      </c>
      <c r="D1973" s="243" t="s">
        <v>9911</v>
      </c>
      <c r="E1973" s="244">
        <v>45567</v>
      </c>
      <c r="F1973" s="245" t="s">
        <v>6853</v>
      </c>
      <c r="G1973" s="246">
        <f t="shared" si="62"/>
        <v>25</v>
      </c>
      <c r="H1973" s="247">
        <f t="shared" si="63"/>
        <v>20630868</v>
      </c>
    </row>
    <row r="1974" spans="1:8">
      <c r="A1974" s="242">
        <v>20433083</v>
      </c>
      <c r="B1974" s="243" t="s">
        <v>8981</v>
      </c>
      <c r="C1974" s="243" t="s">
        <v>7304</v>
      </c>
      <c r="D1974" s="243" t="s">
        <v>9911</v>
      </c>
      <c r="E1974" s="244">
        <v>45567</v>
      </c>
      <c r="F1974" s="245" t="s">
        <v>6853</v>
      </c>
      <c r="G1974" s="246">
        <f t="shared" si="62"/>
        <v>9</v>
      </c>
      <c r="H1974" s="247">
        <f t="shared" si="63"/>
        <v>20433083</v>
      </c>
    </row>
    <row r="1975" spans="1:8">
      <c r="A1975" s="242">
        <v>16993790</v>
      </c>
      <c r="B1975" s="243" t="s">
        <v>9873</v>
      </c>
      <c r="C1975" s="243" t="s">
        <v>9874</v>
      </c>
      <c r="D1975" s="243" t="s">
        <v>9911</v>
      </c>
      <c r="E1975" s="244">
        <v>45567</v>
      </c>
      <c r="F1975" s="245" t="s">
        <v>6853</v>
      </c>
      <c r="G1975" s="246">
        <f t="shared" si="62"/>
        <v>22</v>
      </c>
      <c r="H1975" s="247">
        <f t="shared" si="63"/>
        <v>16993790</v>
      </c>
    </row>
    <row r="1976" spans="1:8">
      <c r="A1976" s="242">
        <v>27732258</v>
      </c>
      <c r="B1976" s="243" t="s">
        <v>6850</v>
      </c>
      <c r="C1976" s="243" t="s">
        <v>9025</v>
      </c>
      <c r="D1976" s="243" t="s">
        <v>9911</v>
      </c>
      <c r="E1976" s="244">
        <v>45567</v>
      </c>
      <c r="F1976" s="245" t="s">
        <v>6853</v>
      </c>
      <c r="G1976" s="246">
        <f t="shared" si="62"/>
        <v>14</v>
      </c>
      <c r="H1976" s="247">
        <f t="shared" si="63"/>
        <v>27732258</v>
      </c>
    </row>
    <row r="1977" spans="1:8">
      <c r="A1977" s="242">
        <v>37997702</v>
      </c>
      <c r="B1977" s="243" t="s">
        <v>9875</v>
      </c>
      <c r="C1977" s="243" t="s">
        <v>9876</v>
      </c>
      <c r="D1977" s="243" t="s">
        <v>9911</v>
      </c>
      <c r="E1977" s="244">
        <v>45567</v>
      </c>
      <c r="F1977" s="245" t="s">
        <v>9302</v>
      </c>
      <c r="G1977" s="246" t="str">
        <f t="shared" si="62"/>
        <v>sin dato</v>
      </c>
      <c r="H1977" s="247" t="str">
        <f t="shared" si="63"/>
        <v>999</v>
      </c>
    </row>
    <row r="1978" spans="1:8">
      <c r="A1978" s="242">
        <v>22073971</v>
      </c>
      <c r="B1978" s="243" t="s">
        <v>9877</v>
      </c>
      <c r="C1978" s="243" t="s">
        <v>9878</v>
      </c>
      <c r="D1978" s="243" t="s">
        <v>9911</v>
      </c>
      <c r="E1978" s="244">
        <v>45567</v>
      </c>
      <c r="F1978" s="245" t="s">
        <v>6853</v>
      </c>
      <c r="G1978" s="246">
        <f t="shared" si="62"/>
        <v>22</v>
      </c>
      <c r="H1978" s="247">
        <f t="shared" si="63"/>
        <v>22073971</v>
      </c>
    </row>
    <row r="1979" spans="1:8">
      <c r="A1979" s="242">
        <v>29242462</v>
      </c>
      <c r="B1979" s="243" t="s">
        <v>8287</v>
      </c>
      <c r="C1979" s="243" t="s">
        <v>9879</v>
      </c>
      <c r="D1979" s="243" t="s">
        <v>9911</v>
      </c>
      <c r="E1979" s="244">
        <v>45567</v>
      </c>
      <c r="F1979" s="245" t="s">
        <v>6853</v>
      </c>
      <c r="G1979" s="246">
        <f t="shared" si="62"/>
        <v>9</v>
      </c>
      <c r="H1979" s="247">
        <f t="shared" si="63"/>
        <v>29242462</v>
      </c>
    </row>
    <row r="1980" spans="1:8">
      <c r="A1980" s="242">
        <v>33756717</v>
      </c>
      <c r="B1980" s="243" t="s">
        <v>9880</v>
      </c>
      <c r="C1980" s="243" t="s">
        <v>7545</v>
      </c>
      <c r="D1980" s="243" t="s">
        <v>9911</v>
      </c>
      <c r="E1980" s="244">
        <v>45567</v>
      </c>
      <c r="F1980" s="245" t="s">
        <v>9302</v>
      </c>
      <c r="G1980" s="246">
        <f t="shared" si="62"/>
        <v>29</v>
      </c>
      <c r="H1980" s="247">
        <f t="shared" si="63"/>
        <v>33756717</v>
      </c>
    </row>
    <row r="1981" spans="1:8">
      <c r="A1981" s="242">
        <v>25844620</v>
      </c>
      <c r="B1981" s="243" t="s">
        <v>7293</v>
      </c>
      <c r="C1981" s="243" t="s">
        <v>7294</v>
      </c>
      <c r="D1981" s="243" t="s">
        <v>9911</v>
      </c>
      <c r="E1981" s="244">
        <v>45567</v>
      </c>
      <c r="F1981" s="245" t="s">
        <v>6853</v>
      </c>
      <c r="G1981" s="246">
        <f t="shared" si="62"/>
        <v>8</v>
      </c>
      <c r="H1981" s="247">
        <f t="shared" si="63"/>
        <v>25844620</v>
      </c>
    </row>
    <row r="1982" spans="1:8">
      <c r="A1982" s="242">
        <v>23019235</v>
      </c>
      <c r="B1982" s="243" t="s">
        <v>7757</v>
      </c>
      <c r="C1982" s="243" t="s">
        <v>9881</v>
      </c>
      <c r="D1982" s="243" t="s">
        <v>9911</v>
      </c>
      <c r="E1982" s="244">
        <v>45567</v>
      </c>
      <c r="F1982" s="245" t="s">
        <v>9302</v>
      </c>
      <c r="G1982" s="246">
        <f t="shared" si="62"/>
        <v>10</v>
      </c>
      <c r="H1982" s="247">
        <f t="shared" si="63"/>
        <v>23019235</v>
      </c>
    </row>
    <row r="1983" spans="1:8">
      <c r="A1983" s="242">
        <v>16541466</v>
      </c>
      <c r="B1983" s="243" t="s">
        <v>9882</v>
      </c>
      <c r="C1983" s="243" t="s">
        <v>7486</v>
      </c>
      <c r="D1983" s="243" t="s">
        <v>9911</v>
      </c>
      <c r="E1983" s="244">
        <v>45567</v>
      </c>
      <c r="F1983" s="245" t="s">
        <v>6853</v>
      </c>
      <c r="G1983" s="246">
        <f t="shared" si="62"/>
        <v>25</v>
      </c>
      <c r="H1983" s="247">
        <f t="shared" si="63"/>
        <v>16541466</v>
      </c>
    </row>
    <row r="1984" spans="1:8">
      <c r="A1984" s="242">
        <v>41144515</v>
      </c>
      <c r="B1984" s="243" t="s">
        <v>7487</v>
      </c>
      <c r="C1984" s="243" t="s">
        <v>6933</v>
      </c>
      <c r="D1984" s="243" t="s">
        <v>9911</v>
      </c>
      <c r="E1984" s="244">
        <v>45567</v>
      </c>
      <c r="F1984" s="245" t="s">
        <v>9302</v>
      </c>
      <c r="G1984" s="246" t="str">
        <f t="shared" si="62"/>
        <v>sin dato</v>
      </c>
      <c r="H1984" s="247" t="str">
        <f t="shared" si="63"/>
        <v>999</v>
      </c>
    </row>
    <row r="1985" spans="1:8">
      <c r="A1985" s="242">
        <v>34356805</v>
      </c>
      <c r="B1985" s="243" t="s">
        <v>9883</v>
      </c>
      <c r="C1985" s="243" t="s">
        <v>7488</v>
      </c>
      <c r="D1985" s="243" t="s">
        <v>9911</v>
      </c>
      <c r="E1985" s="244">
        <v>45567</v>
      </c>
      <c r="F1985" s="245" t="s">
        <v>6853</v>
      </c>
      <c r="G1985" s="246">
        <f t="shared" si="62"/>
        <v>30</v>
      </c>
      <c r="H1985" s="247">
        <f t="shared" si="63"/>
        <v>34356805</v>
      </c>
    </row>
    <row r="1986" spans="1:8">
      <c r="A1986" s="242">
        <v>24981470</v>
      </c>
      <c r="B1986" s="243" t="s">
        <v>9884</v>
      </c>
      <c r="C1986" s="243" t="s">
        <v>7413</v>
      </c>
      <c r="D1986" s="243" t="s">
        <v>9911</v>
      </c>
      <c r="E1986" s="244">
        <v>45567</v>
      </c>
      <c r="F1986" s="245" t="s">
        <v>6853</v>
      </c>
      <c r="G1986" s="246">
        <f t="shared" si="62"/>
        <v>8</v>
      </c>
      <c r="H1986" s="247">
        <f t="shared" si="63"/>
        <v>24981470</v>
      </c>
    </row>
    <row r="1987" spans="1:8">
      <c r="A1987" s="242">
        <v>29750470</v>
      </c>
      <c r="B1987" s="243" t="s">
        <v>9885</v>
      </c>
      <c r="C1987" s="243" t="s">
        <v>9886</v>
      </c>
      <c r="D1987" s="243" t="s">
        <v>9911</v>
      </c>
      <c r="E1987" s="244">
        <v>45567</v>
      </c>
      <c r="F1987" s="245" t="s">
        <v>9302</v>
      </c>
      <c r="G1987" s="246">
        <f t="shared" si="62"/>
        <v>33</v>
      </c>
      <c r="H1987" s="247">
        <f t="shared" si="63"/>
        <v>29750470</v>
      </c>
    </row>
    <row r="1988" spans="1:8">
      <c r="A1988" s="242">
        <v>27210849</v>
      </c>
      <c r="B1988" s="243" t="s">
        <v>9887</v>
      </c>
      <c r="C1988" s="243" t="s">
        <v>9269</v>
      </c>
      <c r="D1988" s="243" t="s">
        <v>9911</v>
      </c>
      <c r="E1988" s="244">
        <v>45567</v>
      </c>
      <c r="F1988" s="245" t="s">
        <v>6853</v>
      </c>
      <c r="G1988" s="246">
        <f t="shared" si="62"/>
        <v>22</v>
      </c>
      <c r="H1988" s="247">
        <f t="shared" si="63"/>
        <v>27210849</v>
      </c>
    </row>
    <row r="1989" spans="1:8">
      <c r="A1989" s="242">
        <v>30497540</v>
      </c>
      <c r="B1989" s="243" t="s">
        <v>6868</v>
      </c>
      <c r="C1989" s="243" t="s">
        <v>8923</v>
      </c>
      <c r="D1989" s="243" t="s">
        <v>9911</v>
      </c>
      <c r="E1989" s="244">
        <v>45567</v>
      </c>
      <c r="F1989" s="245" t="s">
        <v>9302</v>
      </c>
      <c r="G1989" s="246">
        <f t="shared" si="62"/>
        <v>33</v>
      </c>
      <c r="H1989" s="247">
        <f t="shared" si="63"/>
        <v>30497540</v>
      </c>
    </row>
    <row r="1990" spans="1:8">
      <c r="A1990" s="242">
        <v>33139225</v>
      </c>
      <c r="B1990" s="263" t="s">
        <v>8856</v>
      </c>
      <c r="C1990" s="243" t="s">
        <v>9889</v>
      </c>
      <c r="D1990" s="243" t="s">
        <v>9911</v>
      </c>
      <c r="E1990" s="244">
        <v>45567</v>
      </c>
      <c r="F1990" s="245" t="s">
        <v>6853</v>
      </c>
      <c r="G1990" s="246">
        <f t="shared" si="62"/>
        <v>11</v>
      </c>
      <c r="H1990" s="247">
        <f t="shared" si="63"/>
        <v>33139225</v>
      </c>
    </row>
    <row r="1991" spans="1:8">
      <c r="A1991" s="242">
        <v>24355229</v>
      </c>
      <c r="B1991" s="243" t="s">
        <v>9069</v>
      </c>
      <c r="C1991" s="243" t="s">
        <v>9890</v>
      </c>
      <c r="D1991" s="243" t="s">
        <v>9911</v>
      </c>
      <c r="E1991" s="244">
        <v>45567</v>
      </c>
      <c r="F1991" s="245" t="s">
        <v>9302</v>
      </c>
      <c r="G1991" s="246">
        <f t="shared" si="62"/>
        <v>22</v>
      </c>
      <c r="H1991" s="247">
        <f t="shared" si="63"/>
        <v>24355229</v>
      </c>
    </row>
    <row r="1992" spans="1:8">
      <c r="A1992" s="242">
        <v>21086112</v>
      </c>
      <c r="B1992" s="243" t="s">
        <v>9260</v>
      </c>
      <c r="C1992" s="243" t="s">
        <v>9891</v>
      </c>
      <c r="D1992" s="243" t="s">
        <v>9911</v>
      </c>
      <c r="E1992" s="244">
        <v>45567</v>
      </c>
      <c r="F1992" s="245" t="s">
        <v>9302</v>
      </c>
      <c r="G1992" s="246">
        <f t="shared" si="62"/>
        <v>10</v>
      </c>
      <c r="H1992" s="247">
        <f t="shared" si="63"/>
        <v>21086112</v>
      </c>
    </row>
    <row r="1993" spans="1:8">
      <c r="A1993" s="242">
        <v>27944383</v>
      </c>
      <c r="B1993" s="243" t="s">
        <v>9542</v>
      </c>
      <c r="C1993" s="243" t="s">
        <v>3294</v>
      </c>
      <c r="D1993" s="243" t="s">
        <v>9911</v>
      </c>
      <c r="E1993" s="244">
        <v>45567</v>
      </c>
      <c r="F1993" s="245" t="s">
        <v>9302</v>
      </c>
      <c r="G1993" s="246">
        <f t="shared" si="62"/>
        <v>22</v>
      </c>
      <c r="H1993" s="247">
        <f t="shared" si="63"/>
        <v>27944383</v>
      </c>
    </row>
    <row r="1994" spans="1:8">
      <c r="A1994" s="242">
        <v>20294273</v>
      </c>
      <c r="B1994" s="243" t="s">
        <v>7853</v>
      </c>
      <c r="C1994" s="243" t="s">
        <v>9892</v>
      </c>
      <c r="D1994" s="243" t="s">
        <v>9911</v>
      </c>
      <c r="E1994" s="244">
        <v>45567</v>
      </c>
      <c r="F1994" s="245" t="s">
        <v>6853</v>
      </c>
      <c r="G1994" s="246">
        <f t="shared" si="62"/>
        <v>14</v>
      </c>
      <c r="H1994" s="247">
        <f t="shared" si="63"/>
        <v>20294273</v>
      </c>
    </row>
    <row r="1995" spans="1:8">
      <c r="A1995" s="242">
        <v>28223470</v>
      </c>
      <c r="B1995" s="243" t="s">
        <v>9893</v>
      </c>
      <c r="C1995" s="243" t="s">
        <v>7841</v>
      </c>
      <c r="D1995" s="243" t="s">
        <v>9911</v>
      </c>
      <c r="E1995" s="244">
        <v>45567</v>
      </c>
      <c r="F1995" s="245" t="s">
        <v>6853</v>
      </c>
      <c r="G1995" s="246">
        <f t="shared" si="62"/>
        <v>21</v>
      </c>
      <c r="H1995" s="247">
        <f t="shared" si="63"/>
        <v>28223470</v>
      </c>
    </row>
    <row r="1996" spans="1:8">
      <c r="A1996" s="242">
        <v>17040933</v>
      </c>
      <c r="B1996" s="243" t="s">
        <v>9894</v>
      </c>
      <c r="C1996" s="243" t="s">
        <v>9895</v>
      </c>
      <c r="D1996" s="243" t="s">
        <v>9911</v>
      </c>
      <c r="E1996" s="244">
        <v>45567</v>
      </c>
      <c r="F1996" s="245" t="s">
        <v>9302</v>
      </c>
      <c r="G1996" s="246">
        <f t="shared" si="62"/>
        <v>9</v>
      </c>
      <c r="H1996" s="247">
        <f t="shared" si="63"/>
        <v>17040933</v>
      </c>
    </row>
    <row r="1997" spans="1:8">
      <c r="A1997" s="242">
        <v>33540499</v>
      </c>
      <c r="B1997" s="243" t="s">
        <v>8998</v>
      </c>
      <c r="C1997" s="243" t="s">
        <v>6946</v>
      </c>
      <c r="D1997" s="243" t="s">
        <v>9911</v>
      </c>
      <c r="E1997" s="244">
        <v>45567</v>
      </c>
      <c r="F1997" s="245" t="s">
        <v>6853</v>
      </c>
      <c r="G1997" s="246">
        <f t="shared" si="62"/>
        <v>13</v>
      </c>
      <c r="H1997" s="247">
        <f t="shared" si="63"/>
        <v>33540499</v>
      </c>
    </row>
    <row r="1998" spans="1:8">
      <c r="A1998" s="242">
        <v>33756026</v>
      </c>
      <c r="B1998" s="243" t="s">
        <v>9896</v>
      </c>
      <c r="C1998" s="243" t="s">
        <v>9897</v>
      </c>
      <c r="D1998" s="243" t="s">
        <v>9911</v>
      </c>
      <c r="E1998" s="244">
        <v>45567</v>
      </c>
      <c r="F1998" s="245" t="s">
        <v>9302</v>
      </c>
      <c r="G1998" s="246">
        <f t="shared" si="62"/>
        <v>29</v>
      </c>
      <c r="H1998" s="247">
        <f t="shared" si="63"/>
        <v>33756026</v>
      </c>
    </row>
    <row r="1999" spans="1:8">
      <c r="A1999" s="242">
        <v>31589271</v>
      </c>
      <c r="B1999" s="243" t="s">
        <v>7911</v>
      </c>
      <c r="C1999" s="243" t="s">
        <v>9898</v>
      </c>
      <c r="D1999" s="243" t="s">
        <v>9911</v>
      </c>
      <c r="E1999" s="244">
        <v>45567</v>
      </c>
      <c r="F1999" s="245" t="s">
        <v>6853</v>
      </c>
      <c r="G1999" s="246">
        <f t="shared" si="62"/>
        <v>22</v>
      </c>
      <c r="H1999" s="247">
        <f t="shared" si="63"/>
        <v>31589271</v>
      </c>
    </row>
    <row r="2000" spans="1:8">
      <c r="A2000" s="242">
        <v>31809569</v>
      </c>
      <c r="B2000" s="243" t="s">
        <v>9899</v>
      </c>
      <c r="C2000" s="243" t="s">
        <v>9900</v>
      </c>
      <c r="D2000" s="243" t="s">
        <v>9911</v>
      </c>
      <c r="E2000" s="244">
        <v>45567</v>
      </c>
      <c r="F2000" s="245" t="s">
        <v>9302</v>
      </c>
      <c r="G2000" s="246">
        <f t="shared" si="62"/>
        <v>14</v>
      </c>
      <c r="H2000" s="247">
        <f t="shared" si="63"/>
        <v>31809569</v>
      </c>
    </row>
    <row r="2001" spans="1:8">
      <c r="A2001" s="242">
        <v>16686145</v>
      </c>
      <c r="B2001" s="243" t="s">
        <v>7727</v>
      </c>
      <c r="C2001" s="243" t="s">
        <v>9901</v>
      </c>
      <c r="D2001" s="243" t="s">
        <v>9911</v>
      </c>
      <c r="E2001" s="244">
        <v>45567</v>
      </c>
      <c r="F2001" s="245" t="s">
        <v>9302</v>
      </c>
      <c r="G2001" s="246">
        <f t="shared" si="62"/>
        <v>10</v>
      </c>
      <c r="H2001" s="247">
        <f t="shared" si="63"/>
        <v>16686145</v>
      </c>
    </row>
    <row r="2002" spans="1:8">
      <c r="A2002" s="242">
        <v>17614040</v>
      </c>
      <c r="B2002" s="243" t="s">
        <v>9902</v>
      </c>
      <c r="C2002" s="243" t="s">
        <v>7427</v>
      </c>
      <c r="D2002" s="243" t="s">
        <v>9911</v>
      </c>
      <c r="E2002" s="244">
        <v>45567</v>
      </c>
      <c r="F2002" s="245" t="s">
        <v>6853</v>
      </c>
      <c r="G2002" s="246">
        <f t="shared" si="62"/>
        <v>21</v>
      </c>
      <c r="H2002" s="247">
        <f t="shared" si="63"/>
        <v>17614040</v>
      </c>
    </row>
    <row r="2003" spans="1:8">
      <c r="A2003" s="242">
        <v>24346967</v>
      </c>
      <c r="B2003" s="243" t="s">
        <v>9903</v>
      </c>
      <c r="C2003" s="243" t="s">
        <v>9904</v>
      </c>
      <c r="D2003" s="243" t="s">
        <v>9911</v>
      </c>
      <c r="E2003" s="244">
        <v>45567</v>
      </c>
      <c r="F2003" s="245" t="s">
        <v>9302</v>
      </c>
      <c r="G2003" s="246">
        <f t="shared" si="62"/>
        <v>10</v>
      </c>
      <c r="H2003" s="247">
        <f t="shared" si="63"/>
        <v>24346967</v>
      </c>
    </row>
    <row r="2004" spans="1:8">
      <c r="A2004" s="242">
        <v>30760033</v>
      </c>
      <c r="B2004" s="243" t="s">
        <v>9737</v>
      </c>
      <c r="C2004" s="243" t="s">
        <v>1453</v>
      </c>
      <c r="D2004" s="243" t="s">
        <v>9911</v>
      </c>
      <c r="E2004" s="244">
        <v>45567</v>
      </c>
      <c r="F2004" s="245" t="s">
        <v>9302</v>
      </c>
      <c r="G2004" s="246">
        <f t="shared" si="62"/>
        <v>29</v>
      </c>
      <c r="H2004" s="247">
        <f t="shared" si="63"/>
        <v>30760033</v>
      </c>
    </row>
    <row r="2005" spans="1:8">
      <c r="A2005" s="242">
        <v>23238026</v>
      </c>
      <c r="B2005" s="243" t="s">
        <v>9905</v>
      </c>
      <c r="C2005" s="243" t="s">
        <v>8345</v>
      </c>
      <c r="D2005" s="243" t="s">
        <v>9911</v>
      </c>
      <c r="E2005" s="244">
        <v>45567</v>
      </c>
      <c r="F2005" s="245" t="s">
        <v>6853</v>
      </c>
      <c r="G2005" s="246">
        <f t="shared" si="62"/>
        <v>10</v>
      </c>
      <c r="H2005" s="247">
        <f t="shared" si="63"/>
        <v>23238026</v>
      </c>
    </row>
    <row r="2006" spans="1:8">
      <c r="A2006" s="242">
        <v>20422928</v>
      </c>
      <c r="B2006" s="243" t="s">
        <v>9906</v>
      </c>
      <c r="C2006" s="243" t="s">
        <v>9907</v>
      </c>
      <c r="D2006" s="243" t="s">
        <v>9911</v>
      </c>
      <c r="E2006" s="244">
        <v>45567</v>
      </c>
      <c r="F2006" s="245" t="s">
        <v>9302</v>
      </c>
      <c r="G2006" s="246">
        <f t="shared" si="62"/>
        <v>11</v>
      </c>
      <c r="H2006" s="247">
        <f t="shared" si="63"/>
        <v>20422928</v>
      </c>
    </row>
    <row r="2007" spans="1:8">
      <c r="A2007" s="242">
        <v>20219090</v>
      </c>
      <c r="B2007" s="243" t="s">
        <v>8086</v>
      </c>
      <c r="C2007" s="243" t="s">
        <v>7435</v>
      </c>
      <c r="D2007" s="243" t="s">
        <v>9911</v>
      </c>
      <c r="E2007" s="244">
        <v>45567</v>
      </c>
      <c r="F2007" s="245" t="s">
        <v>6853</v>
      </c>
      <c r="G2007" s="246">
        <f t="shared" si="62"/>
        <v>21</v>
      </c>
      <c r="H2007" s="247">
        <f t="shared" si="63"/>
        <v>20219090</v>
      </c>
    </row>
    <row r="2008" spans="1:8">
      <c r="A2008" s="242">
        <v>25734593</v>
      </c>
      <c r="B2008" s="243" t="s">
        <v>9148</v>
      </c>
      <c r="C2008" s="243" t="s">
        <v>9149</v>
      </c>
      <c r="D2008" s="243" t="s">
        <v>9911</v>
      </c>
      <c r="E2008" s="244">
        <v>45567</v>
      </c>
      <c r="F2008" s="245" t="s">
        <v>6853</v>
      </c>
      <c r="G2008" s="246">
        <f t="shared" si="62"/>
        <v>14</v>
      </c>
      <c r="H2008" s="247">
        <f t="shared" si="63"/>
        <v>25734593</v>
      </c>
    </row>
    <row r="2009" spans="1:8">
      <c r="A2009" s="242">
        <v>27364281</v>
      </c>
      <c r="B2009" s="243" t="s">
        <v>6928</v>
      </c>
      <c r="C2009" s="243" t="s">
        <v>6907</v>
      </c>
      <c r="D2009" s="243" t="s">
        <v>9911</v>
      </c>
      <c r="E2009" s="244">
        <v>45567</v>
      </c>
      <c r="F2009" s="245" t="s">
        <v>9302</v>
      </c>
      <c r="G2009" s="246">
        <f t="shared" si="62"/>
        <v>29</v>
      </c>
      <c r="H2009" s="247">
        <f t="shared" si="63"/>
        <v>27364281</v>
      </c>
    </row>
    <row r="2010" spans="1:8">
      <c r="A2010" s="242">
        <v>23167760</v>
      </c>
      <c r="B2010" s="243" t="s">
        <v>9036</v>
      </c>
      <c r="C2010" s="243" t="s">
        <v>9037</v>
      </c>
      <c r="D2010" s="243" t="s">
        <v>9911</v>
      </c>
      <c r="E2010" s="244">
        <v>45567</v>
      </c>
      <c r="F2010" s="245" t="s">
        <v>6853</v>
      </c>
      <c r="G2010" s="246">
        <f t="shared" si="62"/>
        <v>17</v>
      </c>
      <c r="H2010" s="247">
        <f t="shared" si="63"/>
        <v>23167760</v>
      </c>
    </row>
    <row r="2011" spans="1:8">
      <c r="A2011" s="242">
        <v>27365353</v>
      </c>
      <c r="B2011" s="243" t="s">
        <v>9019</v>
      </c>
      <c r="C2011" s="243" t="s">
        <v>9020</v>
      </c>
      <c r="D2011" s="243" t="s">
        <v>9911</v>
      </c>
      <c r="E2011" s="244">
        <v>45567</v>
      </c>
      <c r="F2011" s="245" t="s">
        <v>6853</v>
      </c>
      <c r="G2011" s="246">
        <f t="shared" si="62"/>
        <v>65</v>
      </c>
      <c r="H2011" s="247">
        <f t="shared" si="63"/>
        <v>27365353</v>
      </c>
    </row>
    <row r="2012" spans="1:8">
      <c r="A2012" s="242">
        <v>20179103</v>
      </c>
      <c r="B2012" s="243" t="s">
        <v>8373</v>
      </c>
      <c r="C2012" s="243" t="s">
        <v>9908</v>
      </c>
      <c r="D2012" s="243" t="s">
        <v>9911</v>
      </c>
      <c r="E2012" s="244">
        <v>45567</v>
      </c>
      <c r="F2012" s="245" t="s">
        <v>6853</v>
      </c>
      <c r="G2012" s="246">
        <f t="shared" si="62"/>
        <v>14</v>
      </c>
      <c r="H2012" s="247">
        <f t="shared" si="63"/>
        <v>20179103</v>
      </c>
    </row>
    <row r="2013" spans="1:8">
      <c r="A2013" s="248">
        <v>36866428</v>
      </c>
      <c r="B2013" s="249" t="s">
        <v>9909</v>
      </c>
      <c r="C2013" s="249" t="s">
        <v>9910</v>
      </c>
      <c r="D2013" s="243" t="s">
        <v>9911</v>
      </c>
      <c r="E2013" s="244">
        <v>45567</v>
      </c>
      <c r="F2013" s="245" t="s">
        <v>9302</v>
      </c>
      <c r="G2013" s="250" t="str">
        <f t="shared" si="62"/>
        <v>sin dato</v>
      </c>
      <c r="H2013" s="251" t="str">
        <f t="shared" si="63"/>
        <v>999</v>
      </c>
    </row>
    <row r="2014" spans="1:8">
      <c r="B2014" s="111"/>
      <c r="C2014" s="111"/>
      <c r="D2014" s="111"/>
      <c r="E2014" s="112"/>
    </row>
    <row r="2015" spans="1:8">
      <c r="A2015" s="110"/>
      <c r="B2015" s="111"/>
      <c r="C2015" s="111"/>
      <c r="D2015" s="111"/>
      <c r="E2015" s="112"/>
    </row>
    <row r="2016" spans="1:8">
      <c r="A2016" s="110"/>
      <c r="B2016" s="111"/>
      <c r="C2016" s="111"/>
      <c r="D2016" s="111"/>
      <c r="E2016" s="112"/>
    </row>
    <row r="2017" spans="1:5">
      <c r="B2017" s="111"/>
      <c r="C2017" s="111"/>
      <c r="D2017" s="111"/>
      <c r="E2017" s="112"/>
    </row>
    <row r="2018" spans="1:5">
      <c r="A2018" s="110"/>
      <c r="B2018" s="111"/>
      <c r="C2018" s="111"/>
      <c r="D2018" s="111"/>
      <c r="E2018" s="112"/>
    </row>
    <row r="2019" spans="1:5">
      <c r="A2019" s="110"/>
      <c r="B2019" s="111"/>
      <c r="C2019" s="111"/>
      <c r="D2019" s="111"/>
      <c r="E2019" s="112"/>
    </row>
    <row r="2020" spans="1:5">
      <c r="A2020" s="110"/>
      <c r="B2020" s="111"/>
      <c r="C2020" s="111"/>
      <c r="D2020" s="111"/>
      <c r="E2020" s="112"/>
    </row>
    <row r="2021" spans="1:5">
      <c r="A2021" s="110"/>
      <c r="B2021" s="111"/>
      <c r="C2021" s="111"/>
      <c r="D2021" s="111"/>
      <c r="E2021" s="112"/>
    </row>
    <row r="2022" spans="1:5">
      <c r="A2022" s="110"/>
      <c r="B2022" s="111"/>
      <c r="C2022" s="111"/>
      <c r="D2022" s="111"/>
      <c r="E2022" s="112"/>
    </row>
    <row r="2023" spans="1:5">
      <c r="A2023" s="110"/>
      <c r="B2023" s="111"/>
      <c r="C2023" s="111"/>
      <c r="D2023" s="111"/>
      <c r="E2023" s="112"/>
    </row>
    <row r="2024" spans="1:5">
      <c r="A2024" s="110"/>
      <c r="B2024" s="111"/>
      <c r="C2024" s="111"/>
      <c r="D2024" s="111"/>
      <c r="E2024" s="112"/>
    </row>
    <row r="2025" spans="1:5">
      <c r="A2025" s="110"/>
      <c r="B2025" s="111"/>
      <c r="C2025" s="111"/>
      <c r="D2025" s="111"/>
      <c r="E2025" s="112"/>
    </row>
    <row r="2026" spans="1:5">
      <c r="B2026" s="111"/>
      <c r="C2026" s="111"/>
      <c r="D2026" s="111"/>
      <c r="E2026" s="112"/>
    </row>
    <row r="2027" spans="1:5">
      <c r="A2027" s="110"/>
      <c r="B2027" s="111"/>
      <c r="C2027" s="111"/>
      <c r="D2027" s="111"/>
      <c r="E2027" s="112"/>
    </row>
    <row r="2028" spans="1:5">
      <c r="A2028" s="110"/>
      <c r="B2028" s="111"/>
      <c r="C2028" s="111"/>
      <c r="D2028" s="111"/>
      <c r="E2028" s="112"/>
    </row>
    <row r="2029" spans="1:5">
      <c r="B2029" s="111"/>
      <c r="C2029" s="111"/>
      <c r="D2029" s="111"/>
      <c r="E2029" s="112"/>
    </row>
    <row r="2030" spans="1:5">
      <c r="A2030" s="110"/>
      <c r="B2030" s="111"/>
      <c r="C2030" s="111"/>
      <c r="D2030" s="111"/>
      <c r="E2030" s="112"/>
    </row>
    <row r="2031" spans="1:5">
      <c r="B2031" s="111"/>
      <c r="C2031" s="111"/>
      <c r="D2031" s="111"/>
      <c r="E2031" s="112"/>
    </row>
    <row r="2032" spans="1:5">
      <c r="A2032" s="110"/>
      <c r="B2032" s="111"/>
      <c r="C2032" s="111"/>
      <c r="D2032" s="111"/>
      <c r="E2032" s="112"/>
    </row>
    <row r="2033" spans="1:5">
      <c r="A2033" s="110"/>
      <c r="B2033" s="111"/>
      <c r="C2033" s="111"/>
      <c r="D2033" s="111"/>
      <c r="E2033" s="112"/>
    </row>
    <row r="2034" spans="1:5">
      <c r="A2034" s="110"/>
      <c r="B2034" s="111"/>
      <c r="C2034" s="111"/>
      <c r="D2034" s="111"/>
      <c r="E2034" s="112"/>
    </row>
    <row r="2035" spans="1:5">
      <c r="A2035" s="110"/>
      <c r="B2035" s="111"/>
      <c r="C2035" s="111"/>
      <c r="D2035" s="111"/>
      <c r="E2035" s="112"/>
    </row>
    <row r="2036" spans="1:5">
      <c r="A2036" s="110"/>
      <c r="B2036" s="111"/>
      <c r="C2036" s="111"/>
      <c r="D2036" s="111"/>
      <c r="E2036" s="112"/>
    </row>
    <row r="2037" spans="1:5">
      <c r="A2037" s="110"/>
      <c r="B2037" s="111"/>
      <c r="C2037" s="111"/>
      <c r="D2037" s="111"/>
      <c r="E2037" s="112"/>
    </row>
    <row r="2038" spans="1:5">
      <c r="A2038" s="110"/>
      <c r="B2038" s="111"/>
      <c r="C2038" s="111"/>
      <c r="D2038" s="111"/>
      <c r="E2038" s="112"/>
    </row>
    <row r="2039" spans="1:5">
      <c r="A2039" s="110"/>
      <c r="B2039" s="111"/>
      <c r="C2039" s="111"/>
      <c r="D2039" s="111"/>
      <c r="E2039" s="112"/>
    </row>
    <row r="2040" spans="1:5">
      <c r="A2040" s="110"/>
      <c r="B2040" s="111"/>
      <c r="C2040" s="111"/>
      <c r="D2040" s="111"/>
      <c r="E2040" s="112"/>
    </row>
    <row r="2041" spans="1:5">
      <c r="A2041" s="110"/>
      <c r="B2041" s="111"/>
      <c r="C2041" s="111"/>
      <c r="D2041" s="111"/>
      <c r="E2041" s="112"/>
    </row>
    <row r="2042" spans="1:5">
      <c r="A2042" s="110"/>
      <c r="B2042" s="111"/>
      <c r="C2042" s="111"/>
      <c r="D2042" s="111"/>
      <c r="E2042" s="112"/>
    </row>
    <row r="2043" spans="1:5">
      <c r="A2043" s="110"/>
      <c r="B2043" s="111"/>
      <c r="C2043" s="111"/>
      <c r="D2043" s="111"/>
      <c r="E2043" s="112"/>
    </row>
    <row r="2044" spans="1:5">
      <c r="A2044" s="110"/>
      <c r="B2044" s="111"/>
      <c r="C2044" s="111"/>
      <c r="D2044" s="111"/>
      <c r="E2044" s="112"/>
    </row>
    <row r="2045" spans="1:5">
      <c r="A2045" s="110"/>
      <c r="B2045" s="111"/>
      <c r="C2045" s="111"/>
      <c r="D2045" s="111"/>
      <c r="E2045" s="112"/>
    </row>
    <row r="2046" spans="1:5">
      <c r="A2046" s="110"/>
      <c r="B2046" s="111"/>
      <c r="C2046" s="111"/>
      <c r="D2046" s="111"/>
      <c r="E2046" s="112"/>
    </row>
    <row r="2047" spans="1:5">
      <c r="A2047" s="110"/>
      <c r="B2047" s="111"/>
      <c r="C2047" s="111"/>
      <c r="D2047" s="111"/>
      <c r="E2047" s="112"/>
    </row>
    <row r="2048" spans="1:5">
      <c r="A2048" s="110"/>
      <c r="B2048" s="111"/>
      <c r="C2048" s="111"/>
      <c r="D2048" s="111"/>
      <c r="E2048" s="112"/>
    </row>
    <row r="2049" spans="1:5">
      <c r="A2049" s="110"/>
      <c r="B2049" s="111"/>
      <c r="C2049" s="111"/>
      <c r="D2049" s="111"/>
      <c r="E2049" s="112"/>
    </row>
    <row r="2050" spans="1:5">
      <c r="A2050" s="110"/>
      <c r="B2050" s="111"/>
      <c r="C2050" s="111"/>
      <c r="D2050" s="111"/>
      <c r="E2050" s="112"/>
    </row>
    <row r="2051" spans="1:5">
      <c r="B2051" s="111"/>
      <c r="C2051" s="111"/>
      <c r="D2051" s="111"/>
      <c r="E2051" s="112"/>
    </row>
    <row r="2052" spans="1:5">
      <c r="A2052" s="110"/>
      <c r="B2052" s="111"/>
      <c r="C2052" s="111"/>
      <c r="D2052" s="111"/>
      <c r="E2052" s="112"/>
    </row>
    <row r="2053" spans="1:5">
      <c r="A2053" s="110"/>
      <c r="B2053" s="111"/>
      <c r="C2053" s="111"/>
      <c r="D2053" s="111"/>
      <c r="E2053" s="112"/>
    </row>
    <row r="2054" spans="1:5">
      <c r="A2054" s="110"/>
      <c r="B2054" s="111"/>
      <c r="C2054" s="111"/>
      <c r="D2054" s="111"/>
      <c r="E2054" s="112"/>
    </row>
    <row r="2055" spans="1:5">
      <c r="A2055" s="110"/>
      <c r="B2055" s="111"/>
      <c r="C2055" s="111"/>
      <c r="D2055" s="111"/>
      <c r="E2055" s="112"/>
    </row>
    <row r="2056" spans="1:5">
      <c r="A2056" s="110"/>
      <c r="B2056" s="111"/>
      <c r="C2056" s="111"/>
      <c r="D2056" s="111"/>
      <c r="E2056" s="112"/>
    </row>
    <row r="2057" spans="1:5">
      <c r="A2057" s="110"/>
      <c r="B2057" s="111"/>
      <c r="C2057" s="111"/>
      <c r="D2057" s="111"/>
      <c r="E2057" s="112"/>
    </row>
    <row r="2058" spans="1:5">
      <c r="A2058" s="110"/>
      <c r="B2058" s="111"/>
      <c r="C2058" s="111"/>
      <c r="D2058" s="111"/>
      <c r="E2058" s="112"/>
    </row>
    <row r="2059" spans="1:5">
      <c r="A2059" s="110"/>
      <c r="B2059" s="111"/>
      <c r="C2059" s="111"/>
      <c r="D2059" s="111"/>
      <c r="E2059" s="112"/>
    </row>
    <row r="2060" spans="1:5">
      <c r="A2060" s="110"/>
      <c r="B2060" s="111"/>
      <c r="C2060" s="111"/>
      <c r="D2060" s="111"/>
      <c r="E2060" s="112"/>
    </row>
    <row r="2061" spans="1:5">
      <c r="A2061" s="110"/>
      <c r="B2061" s="111"/>
      <c r="C2061" s="111"/>
      <c r="D2061" s="111"/>
      <c r="E2061" s="112"/>
    </row>
    <row r="2062" spans="1:5">
      <c r="A2062" s="110"/>
      <c r="B2062" s="111"/>
      <c r="C2062" s="111"/>
      <c r="D2062" s="111"/>
      <c r="E2062" s="112"/>
    </row>
    <row r="2063" spans="1:5">
      <c r="A2063" s="110"/>
      <c r="B2063" s="111"/>
      <c r="C2063" s="111"/>
      <c r="D2063" s="111"/>
      <c r="E2063" s="112"/>
    </row>
    <row r="2064" spans="1:5">
      <c r="A2064" s="110"/>
      <c r="B2064" s="111"/>
      <c r="C2064" s="111"/>
      <c r="D2064" s="111"/>
      <c r="E2064" s="112"/>
    </row>
    <row r="2065" spans="1:5">
      <c r="A2065" s="110"/>
      <c r="B2065" s="111"/>
      <c r="C2065" s="111"/>
      <c r="D2065" s="111"/>
      <c r="E2065" s="112"/>
    </row>
    <row r="2066" spans="1:5">
      <c r="A2066" s="110"/>
      <c r="B2066" s="111"/>
      <c r="C2066" s="111"/>
      <c r="D2066" s="111"/>
      <c r="E2066" s="112"/>
    </row>
    <row r="2067" spans="1:5">
      <c r="A2067" s="110"/>
      <c r="B2067" s="111"/>
      <c r="C2067" s="111"/>
      <c r="D2067" s="111"/>
      <c r="E2067" s="112"/>
    </row>
    <row r="2068" spans="1:5">
      <c r="A2068" s="110"/>
      <c r="B2068" s="111"/>
      <c r="C2068" s="111"/>
      <c r="D2068" s="111"/>
      <c r="E2068" s="112"/>
    </row>
    <row r="2069" spans="1:5">
      <c r="A2069" s="110"/>
      <c r="B2069" s="111"/>
      <c r="C2069" s="111"/>
      <c r="D2069" s="111"/>
      <c r="E2069" s="112"/>
    </row>
    <row r="2070" spans="1:5">
      <c r="A2070" s="110"/>
      <c r="B2070" s="111"/>
      <c r="C2070" s="111"/>
      <c r="D2070" s="111"/>
      <c r="E2070" s="112"/>
    </row>
    <row r="2071" spans="1:5">
      <c r="A2071" s="110"/>
      <c r="B2071" s="111"/>
      <c r="C2071" s="111"/>
      <c r="D2071" s="111"/>
      <c r="E2071" s="112"/>
    </row>
    <row r="2072" spans="1:5">
      <c r="A2072" s="110"/>
      <c r="B2072" s="111"/>
      <c r="C2072" s="111"/>
      <c r="D2072" s="111"/>
      <c r="E2072" s="112"/>
    </row>
    <row r="2073" spans="1:5">
      <c r="A2073" s="110"/>
      <c r="B2073" s="111"/>
      <c r="C2073" s="111"/>
      <c r="D2073" s="111"/>
      <c r="E2073" s="112"/>
    </row>
    <row r="2074" spans="1:5">
      <c r="A2074" s="110"/>
      <c r="B2074" s="111"/>
      <c r="C2074" s="111"/>
      <c r="D2074" s="111"/>
      <c r="E2074" s="112"/>
    </row>
    <row r="2075" spans="1:5">
      <c r="A2075" s="110"/>
      <c r="B2075" s="111"/>
      <c r="C2075" s="111"/>
      <c r="D2075" s="111"/>
      <c r="E2075" s="112"/>
    </row>
    <row r="2076" spans="1:5">
      <c r="A2076" s="110"/>
      <c r="B2076" s="111"/>
      <c r="C2076" s="111"/>
      <c r="D2076" s="111"/>
      <c r="E2076" s="112"/>
    </row>
    <row r="2077" spans="1:5">
      <c r="A2077" s="110"/>
      <c r="B2077" s="111"/>
      <c r="C2077" s="111"/>
      <c r="D2077" s="111"/>
      <c r="E2077" s="112"/>
    </row>
    <row r="2078" spans="1:5">
      <c r="A2078" s="110"/>
      <c r="B2078" s="111"/>
      <c r="C2078" s="111"/>
      <c r="D2078" s="111"/>
      <c r="E2078" s="112"/>
    </row>
    <row r="2079" spans="1:5">
      <c r="A2079" s="110"/>
      <c r="B2079" s="111"/>
      <c r="C2079" s="111"/>
      <c r="D2079" s="111"/>
      <c r="E2079" s="112"/>
    </row>
    <row r="2080" spans="1:5">
      <c r="A2080" s="110"/>
      <c r="B2080" s="111"/>
      <c r="C2080" s="111"/>
      <c r="D2080" s="111"/>
      <c r="E2080" s="112"/>
    </row>
    <row r="2081" spans="1:5">
      <c r="A2081" s="110"/>
      <c r="B2081" s="111"/>
      <c r="C2081" s="111"/>
      <c r="D2081" s="111"/>
      <c r="E2081" s="112"/>
    </row>
    <row r="2082" spans="1:5">
      <c r="A2082" s="110"/>
      <c r="B2082" s="111"/>
      <c r="C2082" s="111"/>
      <c r="D2082" s="111"/>
      <c r="E2082" s="112"/>
    </row>
    <row r="2083" spans="1:5">
      <c r="A2083" s="110"/>
      <c r="B2083" s="111"/>
      <c r="C2083" s="111"/>
      <c r="D2083" s="111"/>
      <c r="E2083" s="112"/>
    </row>
    <row r="2084" spans="1:5">
      <c r="A2084" s="110"/>
      <c r="B2084" s="111"/>
      <c r="C2084" s="111"/>
      <c r="D2084" s="111"/>
      <c r="E2084" s="112"/>
    </row>
    <row r="2085" spans="1:5">
      <c r="A2085" s="110"/>
      <c r="B2085" s="111"/>
      <c r="C2085" s="111"/>
      <c r="D2085" s="111"/>
      <c r="E2085" s="112"/>
    </row>
    <row r="2086" spans="1:5">
      <c r="A2086" s="110"/>
      <c r="B2086" s="111"/>
      <c r="C2086" s="111"/>
      <c r="D2086" s="111"/>
      <c r="E2086" s="112"/>
    </row>
    <row r="2087" spans="1:5">
      <c r="A2087" s="110"/>
      <c r="B2087" s="111"/>
      <c r="C2087" s="111"/>
      <c r="D2087" s="111"/>
      <c r="E2087" s="112"/>
    </row>
    <row r="2088" spans="1:5">
      <c r="A2088" s="110"/>
      <c r="B2088" s="111"/>
      <c r="C2088" s="111"/>
      <c r="D2088" s="111"/>
      <c r="E2088" s="112"/>
    </row>
    <row r="2089" spans="1:5">
      <c r="A2089" s="110"/>
      <c r="B2089" s="111"/>
      <c r="C2089" s="111"/>
      <c r="D2089" s="111"/>
      <c r="E2089" s="112"/>
    </row>
    <row r="2090" spans="1:5">
      <c r="A2090" s="110"/>
      <c r="B2090" s="111"/>
      <c r="C2090" s="111"/>
      <c r="D2090" s="111"/>
      <c r="E2090" s="112"/>
    </row>
    <row r="2091" spans="1:5">
      <c r="A2091" s="110"/>
      <c r="B2091" s="111"/>
      <c r="C2091" s="111"/>
      <c r="D2091" s="111"/>
      <c r="E2091" s="112"/>
    </row>
    <row r="2092" spans="1:5">
      <c r="A2092" s="110"/>
      <c r="B2092" s="111"/>
      <c r="C2092" s="111"/>
      <c r="D2092" s="111"/>
      <c r="E2092" s="112"/>
    </row>
    <row r="2093" spans="1:5">
      <c r="A2093" s="110"/>
      <c r="B2093" s="111"/>
      <c r="C2093" s="111"/>
      <c r="D2093" s="111"/>
      <c r="E2093" s="112"/>
    </row>
    <row r="2094" spans="1:5">
      <c r="A2094" s="110"/>
      <c r="B2094" s="111"/>
      <c r="C2094" s="111"/>
      <c r="D2094" s="111"/>
      <c r="E2094" s="112"/>
    </row>
    <row r="2095" spans="1:5">
      <c r="A2095" s="110"/>
      <c r="B2095" s="111"/>
      <c r="C2095" s="111"/>
      <c r="D2095" s="111"/>
      <c r="E2095" s="112"/>
    </row>
    <row r="2096" spans="1:5">
      <c r="A2096" s="110"/>
      <c r="B2096" s="111"/>
      <c r="C2096" s="111"/>
      <c r="D2096" s="111"/>
      <c r="E2096" s="112"/>
    </row>
    <row r="2097" spans="1:5">
      <c r="A2097" s="110"/>
      <c r="B2097" s="111"/>
      <c r="C2097" s="111"/>
      <c r="D2097" s="111"/>
      <c r="E2097" s="112"/>
    </row>
    <row r="2098" spans="1:5">
      <c r="A2098" s="110"/>
      <c r="B2098" s="111"/>
      <c r="C2098" s="111"/>
      <c r="D2098" s="111"/>
      <c r="E2098" s="112"/>
    </row>
    <row r="2099" spans="1:5">
      <c r="A2099" s="110"/>
      <c r="B2099" s="111"/>
      <c r="C2099" s="111"/>
      <c r="D2099" s="111"/>
      <c r="E2099" s="112"/>
    </row>
    <row r="2100" spans="1:5">
      <c r="A2100" s="110"/>
      <c r="B2100" s="111"/>
      <c r="C2100" s="111"/>
      <c r="D2100" s="111"/>
      <c r="E2100" s="112"/>
    </row>
    <row r="2101" spans="1:5">
      <c r="A2101" s="110"/>
      <c r="B2101" s="111"/>
      <c r="C2101" s="111"/>
      <c r="D2101" s="111"/>
      <c r="E2101" s="112"/>
    </row>
    <row r="2102" spans="1:5">
      <c r="A2102" s="110"/>
      <c r="B2102" s="111"/>
      <c r="C2102" s="111"/>
      <c r="D2102" s="111"/>
      <c r="E2102" s="112"/>
    </row>
    <row r="2103" spans="1:5">
      <c r="A2103" s="110"/>
      <c r="B2103" s="111"/>
      <c r="C2103" s="111"/>
      <c r="D2103" s="111"/>
      <c r="E2103" s="112"/>
    </row>
    <row r="2104" spans="1:5">
      <c r="A2104" s="110"/>
      <c r="B2104" s="111"/>
      <c r="C2104" s="111"/>
      <c r="D2104" s="111"/>
      <c r="E2104" s="112"/>
    </row>
    <row r="2105" spans="1:5">
      <c r="A2105" s="110"/>
      <c r="B2105" s="111"/>
      <c r="C2105" s="111"/>
      <c r="D2105" s="111"/>
      <c r="E2105" s="112"/>
    </row>
    <row r="2106" spans="1:5">
      <c r="A2106" s="110"/>
      <c r="B2106" s="111"/>
      <c r="C2106" s="111"/>
      <c r="D2106" s="111"/>
      <c r="E2106" s="112"/>
    </row>
    <row r="2107" spans="1:5">
      <c r="A2107" s="110"/>
      <c r="B2107" s="111"/>
      <c r="C2107" s="111"/>
      <c r="D2107" s="111"/>
      <c r="E2107" s="112"/>
    </row>
    <row r="2108" spans="1:5">
      <c r="A2108" s="110"/>
      <c r="B2108" s="111"/>
      <c r="C2108" s="111"/>
      <c r="D2108" s="111"/>
      <c r="E2108" s="112"/>
    </row>
    <row r="2109" spans="1:5">
      <c r="A2109" s="110"/>
      <c r="B2109" s="111"/>
      <c r="C2109" s="111"/>
      <c r="D2109" s="111"/>
      <c r="E2109" s="112"/>
    </row>
    <row r="2110" spans="1:5">
      <c r="A2110" s="110"/>
      <c r="B2110" s="111"/>
      <c r="C2110" s="111"/>
      <c r="D2110" s="111"/>
      <c r="E2110" s="112"/>
    </row>
    <row r="2111" spans="1:5">
      <c r="A2111" s="110"/>
      <c r="B2111" s="111"/>
      <c r="C2111" s="111"/>
      <c r="D2111" s="111"/>
      <c r="E2111" s="112"/>
    </row>
    <row r="2112" spans="1:5">
      <c r="A2112" s="110"/>
      <c r="B2112" s="111"/>
      <c r="C2112" s="111"/>
      <c r="D2112" s="111"/>
      <c r="E2112" s="112"/>
    </row>
    <row r="2113" spans="1:5">
      <c r="A2113" s="110"/>
      <c r="B2113" s="111"/>
      <c r="C2113" s="111"/>
      <c r="D2113" s="111"/>
      <c r="E2113" s="112"/>
    </row>
    <row r="2114" spans="1:5">
      <c r="A2114" s="110"/>
      <c r="B2114" s="111"/>
      <c r="C2114" s="111"/>
      <c r="D2114" s="111"/>
      <c r="E2114" s="112"/>
    </row>
    <row r="2115" spans="1:5">
      <c r="A2115" s="110"/>
      <c r="B2115" s="111"/>
      <c r="C2115" s="111"/>
      <c r="D2115" s="111"/>
      <c r="E2115" s="112"/>
    </row>
    <row r="2116" spans="1:5">
      <c r="A2116" s="110"/>
      <c r="B2116" s="111"/>
      <c r="C2116" s="111"/>
      <c r="D2116" s="111"/>
      <c r="E2116" s="112"/>
    </row>
    <row r="2117" spans="1:5">
      <c r="A2117" s="110"/>
      <c r="B2117" s="111"/>
      <c r="C2117" s="111"/>
      <c r="D2117" s="111"/>
      <c r="E2117" s="112"/>
    </row>
    <row r="2118" spans="1:5">
      <c r="A2118" s="110"/>
      <c r="B2118" s="111"/>
      <c r="C2118" s="111"/>
      <c r="D2118" s="111"/>
      <c r="E2118" s="112"/>
    </row>
    <row r="2119" spans="1:5">
      <c r="A2119" s="110"/>
      <c r="B2119" s="111"/>
      <c r="C2119" s="111"/>
      <c r="D2119" s="111"/>
      <c r="E2119" s="112"/>
    </row>
    <row r="2120" spans="1:5">
      <c r="A2120" s="110"/>
      <c r="B2120" s="111"/>
      <c r="C2120" s="111"/>
      <c r="D2120" s="111"/>
      <c r="E2120" s="112"/>
    </row>
    <row r="2121" spans="1:5">
      <c r="A2121" s="110"/>
      <c r="B2121" s="111"/>
      <c r="C2121" s="111"/>
      <c r="D2121" s="111"/>
      <c r="E2121" s="112"/>
    </row>
    <row r="2122" spans="1:5">
      <c r="A2122" s="110"/>
      <c r="B2122" s="111"/>
      <c r="C2122" s="111"/>
      <c r="D2122" s="111"/>
      <c r="E2122" s="112"/>
    </row>
    <row r="2123" spans="1:5">
      <c r="A2123" s="110"/>
      <c r="B2123" s="111"/>
      <c r="C2123" s="111"/>
      <c r="D2123" s="111"/>
      <c r="E2123" s="112"/>
    </row>
    <row r="2124" spans="1:5">
      <c r="A2124" s="110"/>
      <c r="B2124" s="111"/>
      <c r="C2124" s="111"/>
      <c r="D2124" s="111"/>
      <c r="E2124" s="112"/>
    </row>
    <row r="2125" spans="1:5">
      <c r="A2125" s="110"/>
      <c r="B2125" s="111"/>
      <c r="C2125" s="111"/>
      <c r="D2125" s="111"/>
      <c r="E2125" s="112"/>
    </row>
    <row r="2126" spans="1:5">
      <c r="A2126" s="110"/>
      <c r="B2126" s="111"/>
      <c r="C2126" s="111"/>
      <c r="D2126" s="111"/>
      <c r="E2126" s="112"/>
    </row>
    <row r="2127" spans="1:5">
      <c r="A2127" s="110"/>
      <c r="B2127" s="111"/>
      <c r="C2127" s="111"/>
      <c r="D2127" s="111"/>
      <c r="E2127" s="112"/>
    </row>
    <row r="2128" spans="1:5">
      <c r="A2128" s="110"/>
      <c r="B2128" s="111"/>
      <c r="C2128" s="111"/>
      <c r="D2128" s="111"/>
      <c r="E2128" s="112"/>
    </row>
    <row r="2129" spans="1:5">
      <c r="A2129" s="110"/>
      <c r="B2129" s="111"/>
      <c r="C2129" s="111"/>
      <c r="D2129" s="111"/>
      <c r="E2129" s="112"/>
    </row>
    <row r="2130" spans="1:5">
      <c r="A2130" s="110"/>
      <c r="B2130" s="111"/>
      <c r="C2130" s="111"/>
      <c r="D2130" s="111"/>
      <c r="E2130" s="112"/>
    </row>
    <row r="2131" spans="1:5">
      <c r="A2131" s="110"/>
      <c r="B2131" s="111"/>
      <c r="C2131" s="111"/>
      <c r="D2131" s="111"/>
      <c r="E2131" s="112"/>
    </row>
    <row r="2132" spans="1:5">
      <c r="A2132" s="110"/>
      <c r="B2132" s="111"/>
      <c r="C2132" s="111"/>
      <c r="D2132" s="111"/>
      <c r="E2132" s="112"/>
    </row>
    <row r="2133" spans="1:5">
      <c r="A2133" s="110"/>
      <c r="B2133" s="111"/>
      <c r="C2133" s="111"/>
      <c r="D2133" s="111"/>
      <c r="E2133" s="112"/>
    </row>
    <row r="2134" spans="1:5">
      <c r="A2134" s="110"/>
      <c r="B2134" s="111"/>
      <c r="C2134" s="111"/>
      <c r="D2134" s="111"/>
      <c r="E2134" s="112"/>
    </row>
    <row r="2135" spans="1:5">
      <c r="A2135" s="110"/>
      <c r="B2135" s="111"/>
      <c r="C2135" s="111"/>
      <c r="D2135" s="111"/>
      <c r="E2135" s="112"/>
    </row>
    <row r="2136" spans="1:5">
      <c r="A2136" s="110"/>
      <c r="B2136" s="111"/>
      <c r="C2136" s="111"/>
      <c r="D2136" s="111"/>
      <c r="E2136" s="112"/>
    </row>
    <row r="2137" spans="1:5">
      <c r="A2137" s="110"/>
      <c r="B2137" s="111"/>
      <c r="C2137" s="111"/>
      <c r="D2137" s="111"/>
      <c r="E2137" s="112"/>
    </row>
    <row r="2138" spans="1:5">
      <c r="A2138" s="110"/>
      <c r="B2138" s="111"/>
      <c r="C2138" s="111"/>
      <c r="D2138" s="111"/>
      <c r="E2138" s="112"/>
    </row>
    <row r="2139" spans="1:5">
      <c r="A2139" s="110"/>
      <c r="B2139" s="111"/>
      <c r="C2139" s="111"/>
      <c r="D2139" s="111"/>
      <c r="E2139" s="112"/>
    </row>
    <row r="2140" spans="1:5">
      <c r="A2140" s="110"/>
      <c r="B2140" s="111"/>
      <c r="C2140" s="111"/>
      <c r="D2140" s="111"/>
      <c r="E2140" s="112"/>
    </row>
    <row r="2141" spans="1:5">
      <c r="A2141" s="110"/>
      <c r="B2141" s="111"/>
      <c r="C2141" s="111"/>
      <c r="D2141" s="111"/>
      <c r="E2141" s="112"/>
    </row>
    <row r="2142" spans="1:5">
      <c r="A2142" s="110"/>
      <c r="B2142" s="111"/>
      <c r="C2142" s="111"/>
      <c r="D2142" s="111"/>
      <c r="E2142" s="112"/>
    </row>
    <row r="2143" spans="1:5">
      <c r="A2143" s="110"/>
      <c r="B2143" s="111"/>
      <c r="C2143" s="111"/>
      <c r="D2143" s="111"/>
      <c r="E2143" s="112"/>
    </row>
    <row r="2144" spans="1:5">
      <c r="A2144" s="110"/>
      <c r="B2144" s="111"/>
      <c r="C2144" s="111"/>
      <c r="D2144" s="111"/>
      <c r="E2144" s="112"/>
    </row>
    <row r="2145" spans="1:5">
      <c r="A2145" s="110"/>
      <c r="B2145" s="111"/>
      <c r="C2145" s="111"/>
      <c r="D2145" s="111"/>
      <c r="E2145" s="112"/>
    </row>
    <row r="2146" spans="1:5">
      <c r="A2146" s="110"/>
      <c r="B2146" s="111"/>
      <c r="C2146" s="111"/>
      <c r="D2146" s="111"/>
      <c r="E2146" s="112"/>
    </row>
    <row r="2147" spans="1:5">
      <c r="A2147" s="110"/>
      <c r="B2147" s="111"/>
      <c r="C2147" s="111"/>
      <c r="D2147" s="111"/>
      <c r="E2147" s="112"/>
    </row>
    <row r="2148" spans="1:5">
      <c r="A2148" s="110"/>
      <c r="B2148" s="111"/>
      <c r="C2148" s="111"/>
      <c r="D2148" s="111"/>
      <c r="E2148" s="112"/>
    </row>
    <row r="2149" spans="1:5">
      <c r="A2149" s="110"/>
      <c r="B2149" s="111"/>
      <c r="C2149" s="111"/>
      <c r="D2149" s="111"/>
      <c r="E2149" s="112"/>
    </row>
    <row r="2150" spans="1:5">
      <c r="A2150" s="110"/>
      <c r="B2150" s="111"/>
      <c r="C2150" s="111"/>
      <c r="D2150" s="111"/>
      <c r="E2150" s="112"/>
    </row>
    <row r="2151" spans="1:5">
      <c r="A2151" s="110"/>
      <c r="B2151" s="111"/>
      <c r="C2151" s="111"/>
      <c r="D2151" s="111"/>
      <c r="E2151" s="112"/>
    </row>
    <row r="2152" spans="1:5">
      <c r="A2152" s="110"/>
      <c r="B2152" s="111"/>
      <c r="C2152" s="111"/>
      <c r="D2152" s="111"/>
      <c r="E2152" s="112"/>
    </row>
    <row r="2153" spans="1:5">
      <c r="A2153" s="110"/>
      <c r="B2153" s="111"/>
      <c r="C2153" s="111"/>
      <c r="D2153" s="111"/>
      <c r="E2153" s="112"/>
    </row>
    <row r="2154" spans="1:5">
      <c r="A2154" s="110"/>
      <c r="B2154" s="111"/>
      <c r="C2154" s="111"/>
      <c r="D2154" s="111"/>
      <c r="E2154" s="112"/>
    </row>
    <row r="2155" spans="1:5">
      <c r="A2155" s="110"/>
      <c r="B2155" s="111"/>
      <c r="C2155" s="111"/>
      <c r="D2155" s="111"/>
      <c r="E2155" s="112"/>
    </row>
    <row r="2156" spans="1:5">
      <c r="A2156" s="110"/>
      <c r="B2156" s="111"/>
      <c r="C2156" s="111"/>
      <c r="D2156" s="111"/>
      <c r="E2156" s="112"/>
    </row>
    <row r="2157" spans="1:5">
      <c r="A2157" s="110"/>
      <c r="B2157" s="111"/>
      <c r="C2157" s="111"/>
      <c r="D2157" s="111"/>
      <c r="E2157" s="112"/>
    </row>
    <row r="2158" spans="1:5">
      <c r="A2158" s="110"/>
      <c r="B2158" s="111"/>
      <c r="C2158" s="111"/>
      <c r="D2158" s="111"/>
      <c r="E2158" s="112"/>
    </row>
    <row r="2159" spans="1:5">
      <c r="A2159" s="110"/>
      <c r="B2159" s="111"/>
      <c r="C2159" s="111"/>
      <c r="D2159" s="111"/>
      <c r="E2159" s="112"/>
    </row>
    <row r="2160" spans="1:5">
      <c r="A2160" s="110"/>
      <c r="B2160" s="111"/>
      <c r="C2160" s="111"/>
      <c r="D2160" s="111"/>
      <c r="E2160" s="112"/>
    </row>
    <row r="2161" spans="1:5">
      <c r="A2161" s="110"/>
      <c r="B2161" s="111"/>
      <c r="C2161" s="111"/>
      <c r="D2161" s="111"/>
      <c r="E2161" s="112"/>
    </row>
    <row r="2162" spans="1:5">
      <c r="A2162" s="110"/>
      <c r="B2162" s="111"/>
      <c r="C2162" s="111"/>
      <c r="D2162" s="111"/>
      <c r="E2162" s="112"/>
    </row>
    <row r="2163" spans="1:5">
      <c r="A2163" s="110"/>
      <c r="B2163" s="111"/>
      <c r="C2163" s="111"/>
      <c r="D2163" s="111"/>
      <c r="E2163" s="112"/>
    </row>
    <row r="2164" spans="1:5">
      <c r="A2164" s="110"/>
      <c r="B2164" s="111"/>
      <c r="C2164" s="111"/>
      <c r="D2164" s="111"/>
      <c r="E2164" s="112"/>
    </row>
    <row r="2165" spans="1:5">
      <c r="A2165" s="110"/>
      <c r="B2165" s="111"/>
      <c r="C2165" s="111"/>
      <c r="D2165" s="111"/>
      <c r="E2165" s="112"/>
    </row>
    <row r="2166" spans="1:5">
      <c r="A2166" s="110"/>
      <c r="B2166" s="111"/>
      <c r="C2166" s="111"/>
      <c r="D2166" s="111"/>
      <c r="E2166" s="112"/>
    </row>
    <row r="2167" spans="1:5">
      <c r="A2167" s="110"/>
      <c r="B2167" s="111"/>
      <c r="C2167" s="111"/>
      <c r="D2167" s="111"/>
      <c r="E2167" s="112"/>
    </row>
    <row r="2168" spans="1:5">
      <c r="A2168" s="110"/>
      <c r="B2168" s="111"/>
      <c r="C2168" s="111"/>
      <c r="D2168" s="111"/>
      <c r="E2168" s="112"/>
    </row>
    <row r="2169" spans="1:5">
      <c r="A2169" s="110"/>
      <c r="B2169" s="111"/>
      <c r="C2169" s="111"/>
      <c r="D2169" s="111"/>
      <c r="E2169" s="112"/>
    </row>
    <row r="2170" spans="1:5">
      <c r="A2170" s="110"/>
      <c r="B2170" s="111"/>
      <c r="C2170" s="111"/>
      <c r="D2170" s="111"/>
      <c r="E2170" s="112"/>
    </row>
    <row r="2171" spans="1:5">
      <c r="A2171" s="110"/>
      <c r="B2171" s="111"/>
      <c r="C2171" s="111"/>
      <c r="D2171" s="111"/>
      <c r="E2171" s="112"/>
    </row>
    <row r="2172" spans="1:5">
      <c r="A2172" s="110"/>
      <c r="B2172" s="111"/>
      <c r="C2172" s="111"/>
      <c r="D2172" s="111"/>
      <c r="E2172" s="112"/>
    </row>
    <row r="2173" spans="1:5">
      <c r="A2173" s="110"/>
      <c r="B2173" s="111"/>
      <c r="C2173" s="111"/>
      <c r="D2173" s="111"/>
      <c r="E2173" s="112"/>
    </row>
    <row r="2174" spans="1:5">
      <c r="A2174" s="110"/>
      <c r="B2174" s="111"/>
      <c r="C2174" s="111"/>
      <c r="D2174" s="111"/>
      <c r="E2174" s="112"/>
    </row>
    <row r="2175" spans="1:5">
      <c r="A2175" s="110"/>
      <c r="B2175" s="111"/>
      <c r="C2175" s="111"/>
      <c r="D2175" s="111"/>
      <c r="E2175" s="112"/>
    </row>
    <row r="2176" spans="1:5">
      <c r="A2176" s="110"/>
      <c r="B2176" s="111"/>
      <c r="C2176" s="111"/>
      <c r="D2176" s="111"/>
      <c r="E2176" s="112"/>
    </row>
    <row r="2177" spans="1:5">
      <c r="A2177" s="110"/>
      <c r="B2177" s="111"/>
      <c r="C2177" s="111"/>
      <c r="D2177" s="111"/>
      <c r="E2177" s="112"/>
    </row>
    <row r="2178" spans="1:5">
      <c r="A2178" s="110"/>
      <c r="B2178" s="111"/>
      <c r="C2178" s="111"/>
      <c r="D2178" s="111"/>
      <c r="E2178" s="112"/>
    </row>
    <row r="2179" spans="1:5">
      <c r="A2179" s="110"/>
      <c r="B2179" s="111"/>
      <c r="C2179" s="111"/>
      <c r="D2179" s="111"/>
      <c r="E2179" s="112"/>
    </row>
    <row r="2180" spans="1:5">
      <c r="A2180" s="110"/>
      <c r="B2180" s="111"/>
      <c r="C2180" s="111"/>
      <c r="D2180" s="111"/>
      <c r="E2180" s="112"/>
    </row>
    <row r="2181" spans="1:5">
      <c r="A2181" s="110"/>
      <c r="B2181" s="111"/>
      <c r="C2181" s="111"/>
      <c r="D2181" s="111"/>
      <c r="E2181" s="112"/>
    </row>
    <row r="2182" spans="1:5">
      <c r="A2182" s="110"/>
      <c r="B2182" s="111"/>
      <c r="C2182" s="111"/>
      <c r="D2182" s="111"/>
      <c r="E2182" s="112"/>
    </row>
    <row r="2183" spans="1:5">
      <c r="A2183" s="110"/>
      <c r="B2183" s="111"/>
      <c r="C2183" s="111"/>
      <c r="D2183" s="111"/>
      <c r="E2183" s="112"/>
    </row>
    <row r="2184" spans="1:5">
      <c r="A2184" s="110"/>
      <c r="B2184" s="111"/>
      <c r="C2184" s="111"/>
      <c r="D2184" s="111"/>
      <c r="E2184" s="112"/>
    </row>
    <row r="2185" spans="1:5">
      <c r="A2185" s="110"/>
      <c r="B2185" s="111"/>
      <c r="C2185" s="111"/>
      <c r="D2185" s="111"/>
      <c r="E2185" s="112"/>
    </row>
    <row r="2186" spans="1:5">
      <c r="A2186" s="110"/>
      <c r="B2186" s="111"/>
      <c r="C2186" s="111"/>
      <c r="D2186" s="111"/>
      <c r="E2186" s="112"/>
    </row>
    <row r="2187" spans="1:5">
      <c r="A2187" s="110"/>
      <c r="B2187" s="111"/>
      <c r="C2187" s="111"/>
      <c r="D2187" s="111"/>
      <c r="E2187" s="112"/>
    </row>
    <row r="2188" spans="1:5">
      <c r="A2188" s="110"/>
      <c r="B2188" s="111"/>
      <c r="C2188" s="111"/>
      <c r="D2188" s="111"/>
      <c r="E2188" s="112"/>
    </row>
    <row r="2189" spans="1:5">
      <c r="A2189" s="110"/>
      <c r="B2189" s="111"/>
      <c r="C2189" s="111"/>
      <c r="D2189" s="111"/>
      <c r="E2189" s="112"/>
    </row>
    <row r="2190" spans="1:5">
      <c r="A2190" s="110"/>
      <c r="B2190" s="111"/>
      <c r="C2190" s="111"/>
      <c r="D2190" s="111"/>
      <c r="E2190" s="112"/>
    </row>
    <row r="2191" spans="1:5">
      <c r="A2191" s="110"/>
      <c r="B2191" s="111"/>
      <c r="C2191" s="111"/>
      <c r="D2191" s="111"/>
      <c r="E2191" s="112"/>
    </row>
    <row r="2192" spans="1:5">
      <c r="A2192" s="110"/>
      <c r="B2192" s="111"/>
      <c r="C2192" s="111"/>
      <c r="D2192" s="111"/>
      <c r="E2192" s="112"/>
    </row>
    <row r="2193" spans="1:5">
      <c r="A2193" s="110"/>
      <c r="B2193" s="111"/>
      <c r="C2193" s="111"/>
      <c r="D2193" s="111"/>
      <c r="E2193" s="112"/>
    </row>
    <row r="2194" spans="1:5">
      <c r="A2194" s="110"/>
      <c r="B2194" s="111"/>
      <c r="C2194" s="111"/>
      <c r="D2194" s="111"/>
      <c r="E2194" s="112"/>
    </row>
    <row r="2195" spans="1:5">
      <c r="A2195" s="110"/>
      <c r="B2195" s="111"/>
      <c r="C2195" s="111"/>
      <c r="D2195" s="111"/>
      <c r="E2195" s="112"/>
    </row>
    <row r="2196" spans="1:5">
      <c r="B2196" s="111"/>
      <c r="C2196" s="111"/>
      <c r="D2196" s="111"/>
      <c r="E2196" s="112"/>
    </row>
    <row r="2197" spans="1:5">
      <c r="A2197" s="110"/>
      <c r="B2197" s="111"/>
      <c r="C2197" s="111"/>
      <c r="D2197" s="111"/>
      <c r="E2197" s="112"/>
    </row>
    <row r="2198" spans="1:5">
      <c r="A2198" s="110"/>
      <c r="B2198" s="111"/>
      <c r="C2198" s="111"/>
      <c r="D2198" s="111"/>
      <c r="E2198" s="112"/>
    </row>
    <row r="2199" spans="1:5">
      <c r="A2199" s="110"/>
      <c r="B2199" s="111"/>
      <c r="C2199" s="111"/>
      <c r="D2199" s="111"/>
      <c r="E2199" s="112"/>
    </row>
    <row r="2200" spans="1:5">
      <c r="A2200" s="110"/>
      <c r="B2200" s="111"/>
      <c r="C2200" s="111"/>
      <c r="D2200" s="111"/>
      <c r="E2200" s="112"/>
    </row>
    <row r="2201" spans="1:5">
      <c r="A2201" s="110"/>
      <c r="B2201" s="111"/>
      <c r="C2201" s="111"/>
      <c r="D2201" s="111"/>
      <c r="E2201" s="112"/>
    </row>
    <row r="2202" spans="1:5">
      <c r="A2202" s="110"/>
      <c r="B2202" s="111"/>
      <c r="C2202" s="111"/>
      <c r="D2202" s="111"/>
      <c r="E2202" s="112"/>
    </row>
    <row r="2203" spans="1:5">
      <c r="A2203" s="110"/>
      <c r="B2203" s="111"/>
      <c r="C2203" s="111"/>
      <c r="D2203" s="111"/>
      <c r="E2203" s="112"/>
    </row>
    <row r="2204" spans="1:5">
      <c r="A2204" s="110"/>
      <c r="B2204" s="111"/>
      <c r="C2204" s="111"/>
      <c r="D2204" s="111"/>
      <c r="E2204" s="112"/>
    </row>
    <row r="2205" spans="1:5">
      <c r="A2205" s="110"/>
      <c r="B2205" s="111"/>
      <c r="C2205" s="111"/>
      <c r="D2205" s="111"/>
      <c r="E2205" s="112"/>
    </row>
    <row r="2206" spans="1:5">
      <c r="A2206" s="110"/>
      <c r="B2206" s="111"/>
      <c r="C2206" s="111"/>
      <c r="D2206" s="111"/>
      <c r="E2206" s="112"/>
    </row>
    <row r="2207" spans="1:5">
      <c r="A2207" s="110"/>
      <c r="B2207" s="111"/>
      <c r="C2207" s="111"/>
      <c r="D2207" s="111"/>
      <c r="E2207" s="112"/>
    </row>
    <row r="2208" spans="1:5">
      <c r="A2208" s="110"/>
      <c r="B2208" s="111"/>
      <c r="C2208" s="111"/>
      <c r="D2208" s="111"/>
      <c r="E2208" s="112"/>
    </row>
    <row r="2209" spans="1:5">
      <c r="A2209" s="110"/>
      <c r="B2209" s="111"/>
      <c r="C2209" s="111"/>
      <c r="D2209" s="111"/>
      <c r="E2209" s="112"/>
    </row>
    <row r="2210" spans="1:5">
      <c r="A2210" s="110"/>
      <c r="B2210" s="111"/>
      <c r="C2210" s="111"/>
      <c r="D2210" s="111"/>
      <c r="E2210" s="112"/>
    </row>
    <row r="2211" spans="1:5">
      <c r="A2211" s="110"/>
      <c r="B2211" s="111"/>
      <c r="C2211" s="111"/>
      <c r="D2211" s="111"/>
      <c r="E2211" s="112"/>
    </row>
    <row r="2212" spans="1:5">
      <c r="A2212" s="110"/>
      <c r="B2212" s="111"/>
      <c r="C2212" s="111"/>
      <c r="D2212" s="111"/>
      <c r="E2212" s="112"/>
    </row>
    <row r="2213" spans="1:5">
      <c r="A2213" s="110"/>
      <c r="B2213" s="111"/>
      <c r="C2213" s="111"/>
      <c r="D2213" s="111"/>
      <c r="E2213" s="112"/>
    </row>
    <row r="2214" spans="1:5">
      <c r="A2214" s="110"/>
      <c r="B2214" s="111"/>
      <c r="C2214" s="111"/>
      <c r="D2214" s="111"/>
      <c r="E2214" s="112"/>
    </row>
    <row r="2215" spans="1:5">
      <c r="A2215" s="110"/>
      <c r="B2215" s="111"/>
      <c r="C2215" s="111"/>
      <c r="D2215" s="111"/>
      <c r="E2215" s="112"/>
    </row>
    <row r="2216" spans="1:5">
      <c r="A2216" s="110"/>
      <c r="B2216" s="111"/>
      <c r="C2216" s="111"/>
      <c r="D2216" s="111"/>
      <c r="E2216" s="112"/>
    </row>
    <row r="2217" spans="1:5">
      <c r="A2217" s="110"/>
      <c r="B2217" s="111"/>
      <c r="C2217" s="111"/>
      <c r="D2217" s="111"/>
      <c r="E2217" s="112"/>
    </row>
    <row r="2218" spans="1:5">
      <c r="A2218" s="110"/>
      <c r="B2218" s="111"/>
      <c r="C2218" s="111"/>
      <c r="D2218" s="111"/>
      <c r="E2218" s="112"/>
    </row>
    <row r="2219" spans="1:5">
      <c r="A2219" s="110"/>
      <c r="B2219" s="111"/>
      <c r="C2219" s="111"/>
      <c r="D2219" s="111"/>
      <c r="E2219" s="112"/>
    </row>
    <row r="2220" spans="1:5">
      <c r="A2220" s="110"/>
      <c r="B2220" s="111"/>
      <c r="C2220" s="111"/>
      <c r="D2220" s="111"/>
      <c r="E2220" s="112"/>
    </row>
    <row r="2221" spans="1:5">
      <c r="A2221" s="110"/>
      <c r="B2221" s="111"/>
      <c r="C2221" s="111"/>
      <c r="D2221" s="111"/>
      <c r="E2221" s="112"/>
    </row>
    <row r="2222" spans="1:5">
      <c r="A2222" s="110"/>
      <c r="B2222" s="111"/>
      <c r="C2222" s="111"/>
      <c r="D2222" s="111"/>
      <c r="E2222" s="112"/>
    </row>
    <row r="2223" spans="1:5">
      <c r="A2223" s="110"/>
      <c r="B2223" s="111"/>
      <c r="C2223" s="111"/>
      <c r="D2223" s="111"/>
      <c r="E2223" s="112"/>
    </row>
    <row r="2224" spans="1:5">
      <c r="A2224" s="110"/>
      <c r="B2224" s="111"/>
      <c r="C2224" s="111"/>
      <c r="D2224" s="111"/>
      <c r="E2224" s="112"/>
    </row>
    <row r="2225" spans="1:5">
      <c r="A2225" s="110"/>
      <c r="B2225" s="111"/>
      <c r="C2225" s="111"/>
      <c r="D2225" s="111"/>
      <c r="E2225" s="112"/>
    </row>
    <row r="2226" spans="1:5">
      <c r="A2226" s="110"/>
      <c r="B2226" s="111"/>
      <c r="C2226" s="111"/>
      <c r="D2226" s="111"/>
      <c r="E2226" s="112"/>
    </row>
    <row r="2227" spans="1:5">
      <c r="A2227" s="110"/>
      <c r="B2227" s="111"/>
      <c r="C2227" s="111"/>
      <c r="D2227" s="111"/>
      <c r="E2227" s="112"/>
    </row>
    <row r="2228" spans="1:5">
      <c r="A2228" s="110"/>
      <c r="B2228" s="111"/>
      <c r="C2228" s="111"/>
      <c r="D2228" s="111"/>
      <c r="E2228" s="112"/>
    </row>
    <row r="2229" spans="1:5">
      <c r="A2229" s="110"/>
      <c r="B2229" s="111"/>
      <c r="C2229" s="111"/>
      <c r="D2229" s="111"/>
      <c r="E2229" s="112"/>
    </row>
    <row r="2230" spans="1:5">
      <c r="A2230" s="110"/>
      <c r="B2230" s="111"/>
      <c r="C2230" s="111"/>
      <c r="D2230" s="111"/>
      <c r="E2230" s="112"/>
    </row>
    <row r="2231" spans="1:5">
      <c r="A2231" s="110"/>
      <c r="B2231" s="111"/>
      <c r="C2231" s="111"/>
      <c r="D2231" s="111"/>
      <c r="E2231" s="112"/>
    </row>
    <row r="2232" spans="1:5">
      <c r="A2232" s="110"/>
      <c r="B2232" s="111"/>
      <c r="C2232" s="111"/>
      <c r="D2232" s="111"/>
      <c r="E2232" s="112"/>
    </row>
    <row r="2233" spans="1:5">
      <c r="A2233" s="110"/>
      <c r="B2233" s="111"/>
      <c r="C2233" s="111"/>
      <c r="D2233" s="111"/>
      <c r="E2233" s="112"/>
    </row>
    <row r="2234" spans="1:5">
      <c r="A2234" s="110"/>
      <c r="B2234" s="111"/>
      <c r="C2234" s="111"/>
      <c r="D2234" s="111"/>
      <c r="E2234" s="112"/>
    </row>
    <row r="2235" spans="1:5">
      <c r="A2235" s="110"/>
      <c r="B2235" s="111"/>
      <c r="C2235" s="111"/>
      <c r="D2235" s="111"/>
      <c r="E2235" s="112"/>
    </row>
    <row r="2236" spans="1:5">
      <c r="A2236" s="110"/>
      <c r="B2236" s="111"/>
      <c r="C2236" s="111"/>
      <c r="D2236" s="111"/>
      <c r="E2236" s="112"/>
    </row>
    <row r="2237" spans="1:5">
      <c r="A2237" s="110"/>
      <c r="B2237" s="111"/>
      <c r="C2237" s="111"/>
      <c r="D2237" s="111"/>
      <c r="E2237" s="112"/>
    </row>
    <row r="2238" spans="1:5">
      <c r="A2238" s="110"/>
      <c r="B2238" s="111"/>
      <c r="C2238" s="111"/>
      <c r="D2238" s="111"/>
      <c r="E2238" s="112"/>
    </row>
    <row r="2239" spans="1:5">
      <c r="A2239" s="110"/>
      <c r="B2239" s="111"/>
      <c r="C2239" s="111"/>
      <c r="D2239" s="111"/>
      <c r="E2239" s="112"/>
    </row>
    <row r="2240" spans="1:5">
      <c r="A2240" s="110"/>
      <c r="B2240" s="111"/>
      <c r="C2240" s="111"/>
      <c r="D2240" s="111"/>
      <c r="E2240" s="112"/>
    </row>
    <row r="2241" spans="1:5">
      <c r="A2241" s="110"/>
      <c r="B2241" s="111"/>
      <c r="C2241" s="111"/>
      <c r="D2241" s="111"/>
      <c r="E2241" s="112"/>
    </row>
    <row r="2242" spans="1:5">
      <c r="A2242" s="110"/>
      <c r="B2242" s="111"/>
      <c r="C2242" s="111"/>
      <c r="D2242" s="111"/>
      <c r="E2242" s="112"/>
    </row>
    <row r="2243" spans="1:5">
      <c r="A2243" s="110"/>
      <c r="B2243" s="111"/>
      <c r="C2243" s="111"/>
      <c r="D2243" s="111"/>
      <c r="E2243" s="112"/>
    </row>
    <row r="2244" spans="1:5">
      <c r="A2244" s="110"/>
      <c r="B2244" s="111"/>
      <c r="C2244" s="111"/>
      <c r="D2244" s="111"/>
      <c r="E2244" s="112"/>
    </row>
    <row r="2245" spans="1:5">
      <c r="A2245" s="110"/>
      <c r="B2245" s="111"/>
      <c r="C2245" s="111"/>
      <c r="D2245" s="111"/>
      <c r="E2245" s="112"/>
    </row>
    <row r="2246" spans="1:5">
      <c r="A2246" s="110"/>
      <c r="B2246" s="111"/>
      <c r="C2246" s="111"/>
      <c r="D2246" s="111"/>
      <c r="E2246" s="112"/>
    </row>
    <row r="2247" spans="1:5">
      <c r="A2247" s="110"/>
      <c r="B2247" s="111"/>
      <c r="C2247" s="111"/>
      <c r="D2247" s="111"/>
      <c r="E2247" s="112"/>
    </row>
    <row r="2248" spans="1:5">
      <c r="A2248" s="110"/>
      <c r="B2248" s="111"/>
      <c r="C2248" s="111"/>
      <c r="D2248" s="111"/>
      <c r="E2248" s="112"/>
    </row>
    <row r="2249" spans="1:5">
      <c r="A2249" s="110"/>
      <c r="B2249" s="111"/>
      <c r="C2249" s="111"/>
      <c r="D2249" s="111"/>
      <c r="E2249" s="112"/>
    </row>
    <row r="2250" spans="1:5">
      <c r="A2250" s="110"/>
      <c r="B2250" s="111"/>
      <c r="C2250" s="111"/>
      <c r="D2250" s="111"/>
      <c r="E2250" s="112"/>
    </row>
    <row r="2251" spans="1:5">
      <c r="A2251" s="110"/>
      <c r="B2251" s="111"/>
      <c r="C2251" s="111"/>
      <c r="D2251" s="111"/>
      <c r="E2251" s="112"/>
    </row>
    <row r="2252" spans="1:5">
      <c r="A2252" s="110"/>
      <c r="B2252" s="111"/>
      <c r="C2252" s="111"/>
      <c r="D2252" s="111"/>
      <c r="E2252" s="112"/>
    </row>
    <row r="2253" spans="1:5">
      <c r="A2253" s="110"/>
      <c r="B2253" s="111"/>
      <c r="C2253" s="111"/>
      <c r="D2253" s="111"/>
      <c r="E2253" s="112"/>
    </row>
    <row r="2254" spans="1:5">
      <c r="A2254" s="110"/>
      <c r="B2254" s="111"/>
      <c r="C2254" s="111"/>
      <c r="D2254" s="111"/>
      <c r="E2254" s="112"/>
    </row>
    <row r="2255" spans="1:5">
      <c r="A2255" s="110"/>
      <c r="B2255" s="111"/>
      <c r="C2255" s="111"/>
      <c r="D2255" s="111"/>
      <c r="E2255" s="112"/>
    </row>
    <row r="2256" spans="1:5">
      <c r="A2256" s="110"/>
      <c r="B2256" s="111"/>
      <c r="C2256" s="111"/>
      <c r="D2256" s="111"/>
      <c r="E2256" s="112"/>
    </row>
    <row r="2257" spans="1:5">
      <c r="A2257" s="110"/>
      <c r="B2257" s="111"/>
      <c r="C2257" s="111"/>
      <c r="D2257" s="111"/>
      <c r="E2257" s="112"/>
    </row>
    <row r="2258" spans="1:5">
      <c r="A2258" s="110"/>
      <c r="B2258" s="111"/>
      <c r="C2258" s="111"/>
      <c r="D2258" s="111"/>
      <c r="E2258" s="112"/>
    </row>
    <row r="2259" spans="1:5">
      <c r="A2259" s="110"/>
      <c r="B2259" s="111"/>
      <c r="C2259" s="111"/>
      <c r="D2259" s="111"/>
      <c r="E2259" s="112"/>
    </row>
    <row r="2260" spans="1:5">
      <c r="A2260" s="110"/>
      <c r="B2260" s="111"/>
      <c r="C2260" s="111"/>
      <c r="D2260" s="111"/>
      <c r="E2260" s="112"/>
    </row>
    <row r="2261" spans="1:5">
      <c r="A2261" s="110"/>
      <c r="B2261" s="111"/>
      <c r="C2261" s="111"/>
      <c r="D2261" s="111"/>
      <c r="E2261" s="112"/>
    </row>
    <row r="2262" spans="1:5">
      <c r="A2262" s="110"/>
      <c r="B2262" s="111"/>
      <c r="C2262" s="111"/>
      <c r="D2262" s="111"/>
      <c r="E2262" s="112"/>
    </row>
    <row r="2263" spans="1:5">
      <c r="A2263" s="110"/>
      <c r="B2263" s="111"/>
      <c r="C2263" s="111"/>
      <c r="D2263" s="111"/>
      <c r="E2263" s="112"/>
    </row>
    <row r="2264" spans="1:5">
      <c r="A2264" s="110"/>
      <c r="B2264" s="111"/>
      <c r="C2264" s="111"/>
      <c r="D2264" s="111"/>
      <c r="E2264" s="112"/>
    </row>
    <row r="2265" spans="1:5">
      <c r="A2265" s="110"/>
      <c r="B2265" s="111"/>
      <c r="C2265" s="111"/>
      <c r="D2265" s="111"/>
      <c r="E2265" s="112"/>
    </row>
    <row r="2266" spans="1:5">
      <c r="A2266" s="110"/>
      <c r="B2266" s="111"/>
      <c r="C2266" s="111"/>
      <c r="D2266" s="111"/>
      <c r="E2266" s="112"/>
    </row>
    <row r="2267" spans="1:5">
      <c r="A2267" s="110"/>
      <c r="B2267" s="111"/>
      <c r="C2267" s="111"/>
      <c r="D2267" s="111"/>
      <c r="E2267" s="112"/>
    </row>
    <row r="2268" spans="1:5">
      <c r="A2268" s="110"/>
      <c r="B2268" s="111"/>
      <c r="C2268" s="111"/>
      <c r="D2268" s="111"/>
      <c r="E2268" s="112"/>
    </row>
    <row r="2269" spans="1:5">
      <c r="A2269" s="110"/>
      <c r="B2269" s="111"/>
      <c r="C2269" s="111"/>
      <c r="D2269" s="111"/>
      <c r="E2269" s="112"/>
    </row>
    <row r="2270" spans="1:5">
      <c r="A2270" s="110"/>
      <c r="B2270" s="111"/>
      <c r="C2270" s="111"/>
      <c r="D2270" s="111"/>
      <c r="E2270" s="112"/>
    </row>
    <row r="2271" spans="1:5">
      <c r="A2271" s="110"/>
      <c r="B2271" s="111"/>
      <c r="C2271" s="111"/>
      <c r="D2271" s="111"/>
      <c r="E2271" s="112"/>
    </row>
    <row r="2272" spans="1:5">
      <c r="A2272" s="110"/>
      <c r="B2272" s="111"/>
      <c r="C2272" s="111"/>
      <c r="D2272" s="111"/>
      <c r="E2272" s="112"/>
    </row>
    <row r="2273" spans="1:5">
      <c r="A2273" s="110"/>
      <c r="B2273" s="111"/>
      <c r="C2273" s="111"/>
      <c r="D2273" s="111"/>
      <c r="E2273" s="112"/>
    </row>
    <row r="2274" spans="1:5">
      <c r="A2274" s="110"/>
      <c r="B2274" s="111"/>
      <c r="C2274" s="111"/>
      <c r="D2274" s="111"/>
      <c r="E2274" s="112"/>
    </row>
    <row r="2275" spans="1:5">
      <c r="A2275" s="115"/>
      <c r="B2275" s="116"/>
      <c r="C2275" s="116"/>
      <c r="D2275" s="111"/>
      <c r="E2275" s="112"/>
    </row>
    <row r="2276" spans="1:5">
      <c r="A2276" s="110"/>
      <c r="B2276" s="111"/>
      <c r="C2276" s="111"/>
      <c r="D2276" s="111"/>
      <c r="E2276" s="112"/>
    </row>
    <row r="2277" spans="1:5">
      <c r="A2277" s="115"/>
      <c r="B2277" s="116"/>
      <c r="C2277" s="116"/>
      <c r="D2277" s="111"/>
      <c r="E2277" s="112"/>
    </row>
    <row r="2278" spans="1:5">
      <c r="A2278" s="110"/>
      <c r="B2278" s="111"/>
      <c r="C2278" s="111"/>
      <c r="D2278" s="111"/>
      <c r="E2278" s="112"/>
    </row>
    <row r="2279" spans="1:5">
      <c r="A2279" s="110"/>
      <c r="B2279" s="111"/>
      <c r="C2279" s="111"/>
      <c r="D2279" s="111"/>
      <c r="E2279" s="112"/>
    </row>
    <row r="2280" spans="1:5">
      <c r="A2280" s="115"/>
      <c r="B2280" s="116"/>
      <c r="C2280" s="116"/>
      <c r="D2280" s="111"/>
      <c r="E2280" s="112"/>
    </row>
    <row r="2281" spans="1:5">
      <c r="A2281" s="110"/>
      <c r="B2281" s="111"/>
      <c r="C2281" s="111"/>
      <c r="D2281" s="111"/>
      <c r="E2281" s="112"/>
    </row>
    <row r="2282" spans="1:5">
      <c r="A2282" s="110"/>
      <c r="B2282" s="111"/>
      <c r="C2282" s="111"/>
      <c r="D2282" s="111"/>
      <c r="E2282" s="112"/>
    </row>
    <row r="2283" spans="1:5">
      <c r="A2283" s="110"/>
      <c r="B2283" s="111"/>
      <c r="C2283" s="111"/>
      <c r="D2283" s="111"/>
      <c r="E2283" s="112"/>
    </row>
    <row r="2284" spans="1:5">
      <c r="A2284" s="115"/>
      <c r="B2284" s="116"/>
      <c r="C2284" s="116"/>
      <c r="D2284" s="111"/>
      <c r="E2284" s="112"/>
    </row>
    <row r="2285" spans="1:5">
      <c r="A2285" s="110"/>
      <c r="B2285" s="111"/>
      <c r="C2285" s="111"/>
      <c r="D2285" s="111"/>
      <c r="E2285" s="112"/>
    </row>
    <row r="2286" spans="1:5">
      <c r="A2286" s="110"/>
      <c r="B2286" s="111"/>
      <c r="C2286" s="111"/>
      <c r="D2286" s="111"/>
      <c r="E2286" s="112"/>
    </row>
    <row r="2287" spans="1:5">
      <c r="A2287" s="110"/>
      <c r="B2287" s="111"/>
      <c r="C2287" s="111"/>
      <c r="D2287" s="111"/>
      <c r="E2287" s="112"/>
    </row>
    <row r="2288" spans="1:5">
      <c r="A2288" s="110"/>
      <c r="B2288" s="111"/>
      <c r="C2288" s="111"/>
      <c r="D2288" s="111"/>
      <c r="E2288" s="112"/>
    </row>
    <row r="2289" spans="1:5">
      <c r="A2289" s="110"/>
      <c r="B2289" s="111"/>
      <c r="C2289" s="111"/>
      <c r="D2289" s="111"/>
      <c r="E2289" s="112"/>
    </row>
    <row r="2290" spans="1:5">
      <c r="A2290" s="110"/>
      <c r="B2290" s="111"/>
      <c r="C2290" s="111"/>
      <c r="D2290" s="111"/>
      <c r="E2290" s="112"/>
    </row>
    <row r="2291" spans="1:5">
      <c r="A2291" s="110"/>
      <c r="B2291" s="111"/>
      <c r="C2291" s="111"/>
      <c r="D2291" s="111"/>
      <c r="E2291" s="112"/>
    </row>
    <row r="2292" spans="1:5">
      <c r="A2292" s="110"/>
      <c r="B2292" s="111"/>
      <c r="C2292" s="111"/>
      <c r="D2292" s="111"/>
      <c r="E2292" s="112"/>
    </row>
    <row r="2293" spans="1:5">
      <c r="A2293" s="110"/>
      <c r="B2293" s="111"/>
      <c r="C2293" s="111"/>
      <c r="D2293" s="111"/>
      <c r="E2293" s="112"/>
    </row>
    <row r="2294" spans="1:5">
      <c r="A2294" s="110"/>
      <c r="B2294" s="111"/>
      <c r="C2294" s="111"/>
      <c r="D2294" s="111"/>
      <c r="E2294" s="112"/>
    </row>
    <row r="2295" spans="1:5">
      <c r="A2295" s="110"/>
      <c r="B2295" s="111"/>
      <c r="C2295" s="111"/>
      <c r="D2295" s="111"/>
      <c r="E2295" s="112"/>
    </row>
    <row r="2296" spans="1:5">
      <c r="A2296" s="110"/>
      <c r="B2296" s="111"/>
      <c r="C2296" s="111"/>
      <c r="D2296" s="111"/>
      <c r="E2296" s="112"/>
    </row>
    <row r="2297" spans="1:5">
      <c r="A2297" s="110"/>
      <c r="B2297" s="111"/>
      <c r="C2297" s="111"/>
      <c r="D2297" s="111"/>
      <c r="E2297" s="112"/>
    </row>
    <row r="2298" spans="1:5">
      <c r="A2298" s="110"/>
      <c r="B2298" s="111"/>
      <c r="C2298" s="111"/>
      <c r="D2298" s="111"/>
      <c r="E2298" s="112"/>
    </row>
    <row r="2299" spans="1:5">
      <c r="A2299" s="110"/>
      <c r="B2299" s="111"/>
      <c r="C2299" s="111"/>
      <c r="D2299" s="111"/>
      <c r="E2299" s="112"/>
    </row>
    <row r="2300" spans="1:5">
      <c r="A2300" s="110"/>
      <c r="B2300" s="111"/>
      <c r="C2300" s="111"/>
      <c r="D2300" s="111"/>
      <c r="E2300" s="112"/>
    </row>
    <row r="2301" spans="1:5">
      <c r="A2301" s="110"/>
      <c r="B2301" s="111"/>
      <c r="C2301" s="111"/>
      <c r="D2301" s="111"/>
      <c r="E2301" s="112"/>
    </row>
    <row r="2302" spans="1:5">
      <c r="A2302" s="110"/>
      <c r="B2302" s="111"/>
      <c r="C2302" s="111"/>
      <c r="D2302" s="111"/>
      <c r="E2302" s="112"/>
    </row>
    <row r="2303" spans="1:5">
      <c r="A2303" s="110"/>
      <c r="B2303" s="111"/>
      <c r="C2303" s="111"/>
      <c r="D2303" s="111"/>
      <c r="E2303" s="112"/>
    </row>
    <row r="2304" spans="1:5">
      <c r="A2304" s="110"/>
      <c r="B2304" s="111"/>
      <c r="C2304" s="111"/>
      <c r="D2304" s="111"/>
      <c r="E2304" s="112"/>
    </row>
    <row r="2305" spans="1:5">
      <c r="A2305" s="110"/>
      <c r="B2305" s="111"/>
      <c r="C2305" s="111"/>
      <c r="D2305" s="111"/>
      <c r="E2305" s="112"/>
    </row>
    <row r="2306" spans="1:5">
      <c r="A2306" s="110"/>
      <c r="B2306" s="111"/>
      <c r="C2306" s="111"/>
      <c r="D2306" s="111"/>
      <c r="E2306" s="112"/>
    </row>
    <row r="2307" spans="1:5">
      <c r="A2307" s="110"/>
      <c r="B2307" s="111"/>
      <c r="C2307" s="111"/>
      <c r="D2307" s="111"/>
      <c r="E2307" s="112"/>
    </row>
    <row r="2308" spans="1:5">
      <c r="A2308" s="110"/>
      <c r="B2308" s="111"/>
      <c r="C2308" s="111"/>
      <c r="D2308" s="111"/>
      <c r="E2308" s="112"/>
    </row>
    <row r="2309" spans="1:5">
      <c r="A2309" s="110"/>
      <c r="B2309" s="111"/>
      <c r="C2309" s="111"/>
      <c r="D2309" s="111"/>
      <c r="E2309" s="112"/>
    </row>
    <row r="2310" spans="1:5">
      <c r="A2310" s="110"/>
      <c r="B2310" s="111"/>
      <c r="C2310" s="111"/>
      <c r="D2310" s="111"/>
      <c r="E2310" s="112"/>
    </row>
    <row r="2311" spans="1:5">
      <c r="A2311" s="110"/>
      <c r="B2311" s="111"/>
      <c r="C2311" s="111"/>
      <c r="D2311" s="111"/>
      <c r="E2311" s="112"/>
    </row>
    <row r="2312" spans="1:5">
      <c r="A2312" s="110"/>
      <c r="B2312" s="111"/>
      <c r="C2312" s="111"/>
      <c r="D2312" s="111"/>
      <c r="E2312" s="112"/>
    </row>
    <row r="2313" spans="1:5">
      <c r="A2313" s="110"/>
      <c r="B2313" s="111"/>
      <c r="C2313" s="111"/>
      <c r="D2313" s="111"/>
      <c r="E2313" s="112"/>
    </row>
    <row r="2314" spans="1:5">
      <c r="A2314" s="110"/>
      <c r="B2314" s="111"/>
      <c r="C2314" s="111"/>
      <c r="D2314" s="111"/>
      <c r="E2314" s="112"/>
    </row>
    <row r="2315" spans="1:5">
      <c r="A2315" s="110"/>
      <c r="B2315" s="111"/>
      <c r="C2315" s="111"/>
      <c r="D2315" s="111"/>
      <c r="E2315" s="112"/>
    </row>
    <row r="2316" spans="1:5">
      <c r="A2316" s="110"/>
      <c r="B2316" s="111"/>
      <c r="C2316" s="111"/>
      <c r="D2316" s="111"/>
      <c r="E2316" s="112"/>
    </row>
    <row r="2317" spans="1:5">
      <c r="A2317" s="110"/>
      <c r="B2317" s="111"/>
      <c r="C2317" s="111"/>
      <c r="D2317" s="111"/>
      <c r="E2317" s="112"/>
    </row>
    <row r="2318" spans="1:5">
      <c r="A2318" s="110"/>
      <c r="B2318" s="111"/>
      <c r="C2318" s="111"/>
      <c r="D2318" s="111"/>
      <c r="E2318" s="112"/>
    </row>
    <row r="2319" spans="1:5">
      <c r="A2319" s="110"/>
      <c r="B2319" s="111"/>
      <c r="C2319" s="111"/>
      <c r="D2319" s="111"/>
      <c r="E2319" s="112"/>
    </row>
    <row r="2320" spans="1:5">
      <c r="A2320" s="110"/>
      <c r="B2320" s="111"/>
      <c r="C2320" s="111"/>
      <c r="D2320" s="111"/>
      <c r="E2320" s="112"/>
    </row>
    <row r="2321" spans="1:5">
      <c r="A2321" s="110"/>
      <c r="B2321" s="111"/>
      <c r="C2321" s="111"/>
      <c r="D2321" s="111"/>
      <c r="E2321" s="112"/>
    </row>
    <row r="2322" spans="1:5">
      <c r="A2322" s="110"/>
      <c r="B2322" s="111"/>
      <c r="C2322" s="111"/>
      <c r="D2322" s="111"/>
      <c r="E2322" s="112"/>
    </row>
    <row r="2323" spans="1:5">
      <c r="A2323" s="110"/>
      <c r="B2323" s="111"/>
      <c r="C2323" s="111"/>
      <c r="D2323" s="111"/>
      <c r="E2323" s="112"/>
    </row>
    <row r="2324" spans="1:5">
      <c r="A2324" s="110"/>
      <c r="B2324" s="111"/>
      <c r="C2324" s="111"/>
      <c r="D2324" s="111"/>
      <c r="E2324" s="112"/>
    </row>
    <row r="2325" spans="1:5">
      <c r="A2325" s="110"/>
      <c r="B2325" s="111"/>
      <c r="C2325" s="111"/>
      <c r="D2325" s="111"/>
      <c r="E2325" s="112"/>
    </row>
    <row r="2326" spans="1:5">
      <c r="A2326" s="110"/>
      <c r="B2326" s="111"/>
      <c r="C2326" s="111"/>
      <c r="D2326" s="111"/>
      <c r="E2326" s="112"/>
    </row>
    <row r="2327" spans="1:5">
      <c r="A2327" s="110"/>
      <c r="B2327" s="111"/>
      <c r="C2327" s="111"/>
      <c r="D2327" s="111"/>
      <c r="E2327" s="112"/>
    </row>
    <row r="2328" spans="1:5">
      <c r="A2328" s="110"/>
      <c r="B2328" s="111"/>
      <c r="C2328" s="111"/>
      <c r="D2328" s="111"/>
      <c r="E2328" s="112"/>
    </row>
    <row r="2329" spans="1:5">
      <c r="A2329" s="110"/>
      <c r="B2329" s="111"/>
      <c r="C2329" s="111"/>
      <c r="D2329" s="111"/>
      <c r="E2329" s="112"/>
    </row>
    <row r="2330" spans="1:5">
      <c r="A2330" s="110"/>
      <c r="B2330" s="111"/>
      <c r="C2330" s="111"/>
      <c r="D2330" s="111"/>
      <c r="E2330" s="112"/>
    </row>
    <row r="2331" spans="1:5">
      <c r="A2331" s="110"/>
      <c r="B2331" s="111"/>
      <c r="C2331" s="111"/>
      <c r="D2331" s="111"/>
      <c r="E2331" s="112"/>
    </row>
    <row r="2332" spans="1:5">
      <c r="A2332" s="110"/>
      <c r="B2332" s="111"/>
      <c r="C2332" s="111"/>
      <c r="D2332" s="111"/>
      <c r="E2332" s="112"/>
    </row>
    <row r="2333" spans="1:5">
      <c r="A2333" s="110"/>
      <c r="B2333" s="111"/>
      <c r="C2333" s="111"/>
      <c r="D2333" s="111"/>
      <c r="E2333" s="112"/>
    </row>
    <row r="2334" spans="1:5">
      <c r="A2334" s="110"/>
      <c r="B2334" s="111"/>
      <c r="C2334" s="111"/>
      <c r="D2334" s="111"/>
      <c r="E2334" s="112"/>
    </row>
    <row r="2335" spans="1:5">
      <c r="A2335" s="110"/>
      <c r="B2335" s="111"/>
      <c r="C2335" s="111"/>
      <c r="D2335" s="111"/>
      <c r="E2335" s="112"/>
    </row>
    <row r="2336" spans="1:5">
      <c r="A2336" s="110"/>
      <c r="B2336" s="111"/>
      <c r="C2336" s="111"/>
      <c r="D2336" s="111"/>
      <c r="E2336" s="112"/>
    </row>
    <row r="2337" spans="1:5">
      <c r="A2337" s="110"/>
      <c r="B2337" s="111"/>
      <c r="C2337" s="111"/>
      <c r="D2337" s="111"/>
      <c r="E2337" s="112"/>
    </row>
    <row r="2338" spans="1:5">
      <c r="A2338" s="110"/>
      <c r="B2338" s="111"/>
      <c r="C2338" s="111"/>
      <c r="D2338" s="111"/>
      <c r="E2338" s="112"/>
    </row>
    <row r="2339" spans="1:5">
      <c r="A2339" s="110"/>
      <c r="B2339" s="111"/>
      <c r="C2339" s="111"/>
      <c r="D2339" s="111"/>
      <c r="E2339" s="112"/>
    </row>
    <row r="2340" spans="1:5">
      <c r="A2340" s="110"/>
      <c r="B2340" s="111"/>
      <c r="C2340" s="111"/>
      <c r="D2340" s="111"/>
      <c r="E2340" s="112"/>
    </row>
    <row r="2341" spans="1:5">
      <c r="A2341" s="110"/>
      <c r="B2341" s="111"/>
      <c r="C2341" s="111"/>
      <c r="D2341" s="111"/>
      <c r="E2341" s="112"/>
    </row>
    <row r="2342" spans="1:5">
      <c r="A2342" s="110"/>
      <c r="B2342" s="111"/>
      <c r="C2342" s="111"/>
      <c r="D2342" s="111"/>
      <c r="E2342" s="112"/>
    </row>
    <row r="2343" spans="1:5">
      <c r="A2343" s="110"/>
      <c r="B2343" s="111"/>
      <c r="C2343" s="111"/>
      <c r="D2343" s="111"/>
      <c r="E2343" s="112"/>
    </row>
    <row r="2344" spans="1:5">
      <c r="A2344" s="110"/>
      <c r="B2344" s="111"/>
      <c r="C2344" s="111"/>
      <c r="D2344" s="111"/>
      <c r="E2344" s="112"/>
    </row>
    <row r="2345" spans="1:5">
      <c r="A2345" s="110"/>
      <c r="B2345" s="111"/>
      <c r="C2345" s="111"/>
      <c r="D2345" s="111"/>
      <c r="E2345" s="112"/>
    </row>
    <row r="2346" spans="1:5">
      <c r="A2346" s="110"/>
      <c r="B2346" s="111"/>
      <c r="C2346" s="111"/>
      <c r="D2346" s="111"/>
      <c r="E2346" s="112"/>
    </row>
    <row r="2347" spans="1:5">
      <c r="A2347" s="110"/>
      <c r="B2347" s="111"/>
      <c r="C2347" s="111"/>
      <c r="D2347" s="111"/>
      <c r="E2347" s="112"/>
    </row>
    <row r="2348" spans="1:5">
      <c r="A2348" s="110"/>
      <c r="B2348" s="111"/>
      <c r="C2348" s="111"/>
      <c r="D2348" s="111"/>
      <c r="E2348" s="112"/>
    </row>
    <row r="2349" spans="1:5">
      <c r="A2349" s="110"/>
      <c r="B2349" s="111"/>
      <c r="C2349" s="111"/>
      <c r="D2349" s="111"/>
      <c r="E2349" s="112"/>
    </row>
    <row r="2350" spans="1:5">
      <c r="A2350" s="110"/>
      <c r="B2350" s="111"/>
      <c r="C2350" s="111"/>
      <c r="D2350" s="111"/>
      <c r="E2350" s="112"/>
    </row>
    <row r="2351" spans="1:5">
      <c r="A2351" s="110"/>
      <c r="B2351" s="111"/>
      <c r="C2351" s="111"/>
      <c r="D2351" s="111"/>
      <c r="E2351" s="112"/>
    </row>
    <row r="2352" spans="1:5">
      <c r="A2352" s="110"/>
      <c r="B2352" s="111"/>
      <c r="C2352" s="111"/>
      <c r="D2352" s="111"/>
      <c r="E2352" s="112"/>
    </row>
    <row r="2353" spans="1:5">
      <c r="A2353" s="110"/>
      <c r="B2353" s="111"/>
      <c r="C2353" s="111"/>
      <c r="D2353" s="111"/>
      <c r="E2353" s="112"/>
    </row>
    <row r="2354" spans="1:5">
      <c r="A2354" s="110"/>
      <c r="B2354" s="111"/>
      <c r="C2354" s="111"/>
      <c r="D2354" s="111"/>
      <c r="E2354" s="112"/>
    </row>
    <row r="2355" spans="1:5">
      <c r="A2355" s="110"/>
      <c r="B2355" s="111"/>
      <c r="C2355" s="111"/>
      <c r="D2355" s="111"/>
      <c r="E2355" s="112"/>
    </row>
    <row r="2356" spans="1:5">
      <c r="A2356" s="110"/>
      <c r="B2356" s="111"/>
      <c r="C2356" s="111"/>
      <c r="D2356" s="111"/>
      <c r="E2356" s="112"/>
    </row>
    <row r="2357" spans="1:5">
      <c r="A2357" s="110"/>
      <c r="B2357" s="111"/>
      <c r="C2357" s="111"/>
      <c r="D2357" s="111"/>
      <c r="E2357" s="112"/>
    </row>
    <row r="2358" spans="1:5">
      <c r="A2358" s="110"/>
      <c r="B2358" s="111"/>
      <c r="C2358" s="111"/>
      <c r="D2358" s="111"/>
      <c r="E2358" s="112"/>
    </row>
    <row r="2359" spans="1:5">
      <c r="A2359" s="110"/>
      <c r="B2359" s="111"/>
      <c r="C2359" s="111"/>
      <c r="D2359" s="111"/>
      <c r="E2359" s="112"/>
    </row>
    <row r="2360" spans="1:5">
      <c r="A2360" s="110"/>
      <c r="B2360" s="111"/>
      <c r="C2360" s="111"/>
      <c r="D2360" s="111"/>
      <c r="E2360" s="112"/>
    </row>
    <row r="2361" spans="1:5">
      <c r="A2361" s="110"/>
      <c r="B2361" s="111"/>
      <c r="C2361" s="111"/>
      <c r="D2361" s="111"/>
      <c r="E2361" s="112"/>
    </row>
    <row r="2362" spans="1:5">
      <c r="A2362" s="110"/>
      <c r="B2362" s="111"/>
      <c r="C2362" s="111"/>
      <c r="D2362" s="111"/>
      <c r="E2362" s="112"/>
    </row>
    <row r="2363" spans="1:5">
      <c r="A2363" s="110"/>
      <c r="B2363" s="111"/>
      <c r="C2363" s="111"/>
      <c r="D2363" s="111"/>
      <c r="E2363" s="112"/>
    </row>
    <row r="2364" spans="1:5">
      <c r="A2364" s="110"/>
      <c r="B2364" s="111"/>
      <c r="C2364" s="111"/>
      <c r="D2364" s="111"/>
      <c r="E2364" s="112"/>
    </row>
    <row r="2365" spans="1:5">
      <c r="B2365" s="111"/>
      <c r="C2365" s="111"/>
      <c r="D2365" s="111"/>
      <c r="E2365" s="112"/>
    </row>
    <row r="2366" spans="1:5">
      <c r="A2366" s="110"/>
      <c r="B2366" s="111"/>
      <c r="C2366" s="111"/>
      <c r="D2366" s="111"/>
      <c r="E2366" s="112"/>
    </row>
    <row r="2367" spans="1:5">
      <c r="A2367" s="110"/>
      <c r="B2367" s="111"/>
      <c r="C2367" s="111"/>
      <c r="D2367" s="111"/>
      <c r="E2367" s="112"/>
    </row>
    <row r="2368" spans="1:5">
      <c r="A2368" s="110"/>
      <c r="B2368" s="111"/>
      <c r="C2368" s="111"/>
      <c r="D2368" s="111"/>
      <c r="E2368" s="112"/>
    </row>
    <row r="2369" spans="1:5">
      <c r="A2369" s="110"/>
      <c r="B2369" s="111"/>
      <c r="C2369" s="111"/>
      <c r="D2369" s="111"/>
      <c r="E2369" s="112"/>
    </row>
    <row r="2370" spans="1:5">
      <c r="B2370" s="111"/>
      <c r="C2370" s="111"/>
      <c r="D2370" s="111"/>
      <c r="E2370" s="112"/>
    </row>
    <row r="2371" spans="1:5">
      <c r="B2371" s="111"/>
      <c r="C2371" s="111"/>
      <c r="D2371" s="111"/>
      <c r="E2371" s="112"/>
    </row>
    <row r="2372" spans="1:5">
      <c r="B2372" s="111"/>
      <c r="C2372" s="111"/>
      <c r="D2372" s="111"/>
      <c r="E2372" s="112"/>
    </row>
    <row r="2373" spans="1:5">
      <c r="A2373" s="110"/>
      <c r="B2373" s="111"/>
      <c r="C2373" s="111"/>
      <c r="D2373" s="111"/>
      <c r="E2373" s="112"/>
    </row>
    <row r="2374" spans="1:5">
      <c r="A2374" s="110"/>
      <c r="B2374" s="111"/>
      <c r="C2374" s="111"/>
      <c r="D2374" s="111"/>
      <c r="E2374" s="112"/>
    </row>
    <row r="2375" spans="1:5">
      <c r="A2375" s="110"/>
      <c r="B2375" s="111"/>
      <c r="C2375" s="111"/>
      <c r="D2375" s="111"/>
      <c r="E2375" s="112"/>
    </row>
    <row r="2376" spans="1:5">
      <c r="A2376" s="110"/>
      <c r="B2376" s="111"/>
      <c r="C2376" s="111"/>
      <c r="D2376" s="111"/>
      <c r="E2376" s="112"/>
    </row>
    <row r="2377" spans="1:5">
      <c r="A2377" s="110"/>
      <c r="B2377" s="111"/>
      <c r="C2377" s="111"/>
      <c r="D2377" s="111"/>
      <c r="E2377" s="112"/>
    </row>
    <row r="2378" spans="1:5">
      <c r="B2378" s="111"/>
      <c r="C2378" s="111"/>
      <c r="D2378" s="111"/>
      <c r="E2378" s="112"/>
    </row>
    <row r="2379" spans="1:5">
      <c r="A2379" s="110"/>
      <c r="B2379" s="111"/>
      <c r="C2379" s="111"/>
      <c r="D2379" s="111"/>
      <c r="E2379" s="112"/>
    </row>
    <row r="2380" spans="1:5">
      <c r="B2380" s="111"/>
      <c r="C2380" s="111"/>
      <c r="D2380" s="111"/>
      <c r="E2380" s="112"/>
    </row>
    <row r="2381" spans="1:5">
      <c r="A2381" s="110"/>
      <c r="B2381" s="111"/>
      <c r="C2381" s="111"/>
      <c r="D2381" s="111"/>
      <c r="E2381" s="112"/>
    </row>
    <row r="2382" spans="1:5">
      <c r="A2382" s="110"/>
      <c r="B2382" s="111"/>
      <c r="C2382" s="111"/>
      <c r="D2382" s="111"/>
      <c r="E2382" s="112"/>
    </row>
    <row r="2383" spans="1:5">
      <c r="B2383" s="111"/>
      <c r="C2383" s="111"/>
      <c r="D2383" s="111"/>
      <c r="E2383" s="112"/>
    </row>
    <row r="2384" spans="1:5">
      <c r="B2384" s="111"/>
      <c r="C2384" s="111"/>
      <c r="D2384" s="111"/>
      <c r="E2384" s="112"/>
    </row>
    <row r="2385" spans="1:5">
      <c r="A2385" s="110"/>
      <c r="B2385" s="111"/>
      <c r="C2385" s="111"/>
      <c r="D2385" s="111"/>
      <c r="E2385" s="112"/>
    </row>
    <row r="2386" spans="1:5">
      <c r="A2386" s="110"/>
      <c r="B2386" s="111"/>
      <c r="C2386" s="111"/>
      <c r="D2386" s="111"/>
      <c r="E2386" s="112"/>
    </row>
    <row r="2387" spans="1:5">
      <c r="A2387" s="110"/>
      <c r="B2387" s="111"/>
      <c r="C2387" s="111"/>
      <c r="D2387" s="111"/>
      <c r="E2387" s="112"/>
    </row>
    <row r="2388" spans="1:5">
      <c r="B2388" s="111"/>
      <c r="C2388" s="111"/>
      <c r="D2388" s="111"/>
      <c r="E2388" s="112"/>
    </row>
    <row r="2389" spans="1:5">
      <c r="B2389" s="111"/>
      <c r="C2389" s="111"/>
      <c r="D2389" s="111"/>
      <c r="E2389" s="112"/>
    </row>
    <row r="2390" spans="1:5">
      <c r="B2390" s="111"/>
      <c r="C2390" s="111"/>
      <c r="D2390" s="111"/>
      <c r="E2390" s="112"/>
    </row>
    <row r="2391" spans="1:5">
      <c r="A2391" s="110"/>
      <c r="B2391" s="111"/>
      <c r="C2391" s="111"/>
      <c r="D2391" s="111"/>
      <c r="E2391" s="112"/>
    </row>
    <row r="2392" spans="1:5">
      <c r="A2392" s="110"/>
      <c r="B2392" s="111"/>
      <c r="C2392" s="111"/>
      <c r="D2392" s="111"/>
      <c r="E2392" s="112"/>
    </row>
    <row r="2393" spans="1:5">
      <c r="A2393" s="110"/>
      <c r="B2393" s="111"/>
      <c r="C2393" s="111"/>
      <c r="D2393" s="111"/>
      <c r="E2393" s="112"/>
    </row>
    <row r="2394" spans="1:5">
      <c r="B2394" s="111"/>
      <c r="C2394" s="111"/>
      <c r="D2394" s="111"/>
      <c r="E2394" s="112"/>
    </row>
    <row r="2395" spans="1:5">
      <c r="A2395" s="110"/>
      <c r="B2395" s="111"/>
      <c r="C2395" s="111"/>
      <c r="D2395" s="111"/>
      <c r="E2395" s="112"/>
    </row>
    <row r="2396" spans="1:5">
      <c r="A2396" s="110"/>
      <c r="B2396" s="111"/>
      <c r="C2396" s="111"/>
      <c r="D2396" s="111"/>
      <c r="E2396" s="112"/>
    </row>
    <row r="2397" spans="1:5">
      <c r="A2397" s="110"/>
      <c r="B2397" s="111"/>
      <c r="C2397" s="111"/>
      <c r="D2397" s="111"/>
      <c r="E2397" s="112"/>
    </row>
    <row r="2398" spans="1:5">
      <c r="A2398" s="110"/>
      <c r="B2398" s="111"/>
      <c r="C2398" s="111"/>
      <c r="D2398" s="111"/>
      <c r="E2398" s="112"/>
    </row>
    <row r="2399" spans="1:5">
      <c r="A2399" s="110"/>
      <c r="B2399" s="111"/>
      <c r="C2399" s="111"/>
      <c r="D2399" s="111"/>
      <c r="E2399" s="112"/>
    </row>
    <row r="2400" spans="1:5">
      <c r="B2400" s="111"/>
      <c r="C2400" s="111"/>
      <c r="D2400" s="111"/>
      <c r="E2400" s="112"/>
    </row>
    <row r="2401" spans="1:5">
      <c r="A2401" s="110"/>
      <c r="B2401" s="111"/>
      <c r="C2401" s="111"/>
      <c r="D2401" s="111"/>
      <c r="E2401" s="112"/>
    </row>
    <row r="2402" spans="1:5">
      <c r="A2402" s="110"/>
      <c r="B2402" s="111"/>
      <c r="C2402" s="111"/>
      <c r="D2402" s="111"/>
      <c r="E2402" s="112"/>
    </row>
    <row r="2403" spans="1:5">
      <c r="B2403" s="111"/>
      <c r="C2403" s="111"/>
      <c r="D2403" s="111"/>
      <c r="E2403" s="112"/>
    </row>
    <row r="2404" spans="1:5">
      <c r="B2404" s="111"/>
      <c r="C2404" s="111"/>
      <c r="D2404" s="111"/>
      <c r="E2404" s="112"/>
    </row>
    <row r="2405" spans="1:5">
      <c r="A2405" s="110"/>
      <c r="B2405" s="111"/>
      <c r="C2405" s="111"/>
      <c r="D2405" s="111"/>
      <c r="E2405" s="112"/>
    </row>
    <row r="2406" spans="1:5">
      <c r="B2406" s="111"/>
      <c r="C2406" s="111"/>
      <c r="D2406" s="111"/>
      <c r="E2406" s="112"/>
    </row>
    <row r="2407" spans="1:5">
      <c r="A2407" s="110"/>
      <c r="B2407" s="111"/>
      <c r="C2407" s="111"/>
      <c r="D2407" s="111"/>
      <c r="E2407" s="112"/>
    </row>
    <row r="2408" spans="1:5">
      <c r="A2408" s="110"/>
      <c r="B2408" s="111"/>
      <c r="C2408" s="111"/>
      <c r="D2408" s="111"/>
      <c r="E2408" s="112"/>
    </row>
    <row r="2409" spans="1:5">
      <c r="A2409" s="110"/>
      <c r="B2409" s="111"/>
      <c r="C2409" s="111"/>
      <c r="D2409" s="111"/>
      <c r="E2409" s="112"/>
    </row>
    <row r="2410" spans="1:5">
      <c r="A2410" s="110"/>
      <c r="B2410" s="111"/>
      <c r="C2410" s="111"/>
      <c r="D2410" s="111"/>
      <c r="E2410" s="112"/>
    </row>
    <row r="2411" spans="1:5">
      <c r="B2411" s="111"/>
      <c r="C2411" s="111"/>
      <c r="D2411" s="111"/>
      <c r="E2411" s="112"/>
    </row>
    <row r="2412" spans="1:5">
      <c r="A2412" s="110"/>
      <c r="B2412" s="111"/>
      <c r="C2412" s="111"/>
      <c r="D2412" s="111"/>
      <c r="E2412" s="112"/>
    </row>
    <row r="2413" spans="1:5">
      <c r="B2413" s="111"/>
      <c r="C2413" s="111"/>
      <c r="D2413" s="111"/>
      <c r="E2413" s="112"/>
    </row>
    <row r="2414" spans="1:5">
      <c r="A2414" s="110"/>
      <c r="B2414" s="111"/>
      <c r="C2414" s="111"/>
      <c r="D2414" s="111"/>
      <c r="E2414" s="112"/>
    </row>
    <row r="2415" spans="1:5">
      <c r="A2415" s="110"/>
      <c r="B2415" s="111"/>
      <c r="C2415" s="111"/>
      <c r="D2415" s="111"/>
      <c r="E2415" s="112"/>
    </row>
    <row r="2416" spans="1:5">
      <c r="B2416" s="111"/>
      <c r="C2416" s="111"/>
      <c r="D2416" s="111"/>
      <c r="E2416" s="112"/>
    </row>
    <row r="2417" spans="1:5">
      <c r="A2417" s="110"/>
      <c r="B2417" s="111"/>
      <c r="C2417" s="111"/>
      <c r="D2417" s="111"/>
      <c r="E2417" s="112"/>
    </row>
    <row r="2418" spans="1:5">
      <c r="A2418" s="110"/>
      <c r="B2418" s="111"/>
      <c r="C2418" s="111"/>
      <c r="D2418" s="111"/>
      <c r="E2418" s="112"/>
    </row>
    <row r="2419" spans="1:5">
      <c r="B2419" s="111"/>
      <c r="C2419" s="111"/>
      <c r="D2419" s="111"/>
      <c r="E2419" s="112"/>
    </row>
    <row r="2420" spans="1:5">
      <c r="A2420" s="110"/>
      <c r="B2420" s="111"/>
      <c r="C2420" s="111"/>
      <c r="D2420" s="111"/>
      <c r="E2420" s="112"/>
    </row>
    <row r="2421" spans="1:5">
      <c r="A2421" s="110"/>
      <c r="B2421" s="111"/>
      <c r="C2421" s="111"/>
      <c r="D2421" s="111"/>
      <c r="E2421" s="112"/>
    </row>
    <row r="2422" spans="1:5">
      <c r="B2422" s="111"/>
      <c r="C2422" s="111"/>
      <c r="D2422" s="111"/>
      <c r="E2422" s="112"/>
    </row>
    <row r="2423" spans="1:5">
      <c r="B2423" s="111"/>
      <c r="C2423" s="111"/>
      <c r="D2423" s="111"/>
      <c r="E2423" s="112"/>
    </row>
    <row r="2424" spans="1:5">
      <c r="A2424" s="110"/>
      <c r="B2424" s="111"/>
      <c r="C2424" s="111"/>
      <c r="D2424" s="111"/>
      <c r="E2424" s="112"/>
    </row>
    <row r="2425" spans="1:5">
      <c r="A2425" s="110"/>
      <c r="B2425" s="111"/>
      <c r="C2425" s="111"/>
      <c r="D2425" s="111"/>
      <c r="E2425" s="112"/>
    </row>
    <row r="2426" spans="1:5">
      <c r="A2426" s="110"/>
      <c r="B2426" s="111"/>
      <c r="C2426" s="111"/>
      <c r="D2426" s="111"/>
      <c r="E2426" s="112"/>
    </row>
    <row r="2427" spans="1:5">
      <c r="B2427" s="111"/>
      <c r="C2427" s="111"/>
      <c r="D2427" s="111"/>
      <c r="E2427" s="112"/>
    </row>
    <row r="2428" spans="1:5">
      <c r="A2428" s="110"/>
      <c r="B2428" s="111"/>
      <c r="C2428" s="111"/>
      <c r="D2428" s="111"/>
      <c r="E2428" s="112"/>
    </row>
    <row r="2429" spans="1:5">
      <c r="A2429" s="110"/>
      <c r="B2429" s="111"/>
      <c r="C2429" s="111"/>
      <c r="D2429" s="111"/>
      <c r="E2429" s="112"/>
    </row>
    <row r="2430" spans="1:5">
      <c r="B2430" s="111"/>
      <c r="C2430" s="111"/>
      <c r="D2430" s="111"/>
      <c r="E2430" s="112"/>
    </row>
    <row r="2431" spans="1:5">
      <c r="A2431" s="110"/>
      <c r="B2431" s="111"/>
      <c r="C2431" s="111"/>
      <c r="D2431" s="111"/>
      <c r="E2431" s="112"/>
    </row>
    <row r="2432" spans="1:5">
      <c r="A2432" s="110"/>
      <c r="B2432" s="111"/>
      <c r="C2432" s="111"/>
      <c r="D2432" s="111"/>
      <c r="E2432" s="112"/>
    </row>
    <row r="2433" spans="1:5">
      <c r="A2433" s="110"/>
      <c r="B2433" s="111"/>
      <c r="C2433" s="111"/>
      <c r="D2433" s="111"/>
      <c r="E2433" s="112"/>
    </row>
    <row r="2434" spans="1:5">
      <c r="A2434" s="110"/>
      <c r="B2434" s="111"/>
      <c r="C2434" s="111"/>
      <c r="D2434" s="111"/>
      <c r="E2434" s="112"/>
    </row>
    <row r="2435" spans="1:5">
      <c r="A2435" s="110"/>
      <c r="B2435" s="111"/>
      <c r="C2435" s="111"/>
      <c r="D2435" s="111"/>
      <c r="E2435" s="112"/>
    </row>
    <row r="2436" spans="1:5">
      <c r="A2436" s="110"/>
      <c r="B2436" s="111"/>
      <c r="C2436" s="111"/>
      <c r="D2436" s="111"/>
      <c r="E2436" s="112"/>
    </row>
    <row r="2437" spans="1:5">
      <c r="A2437" s="110"/>
      <c r="B2437" s="111"/>
      <c r="C2437" s="111"/>
      <c r="D2437" s="111"/>
      <c r="E2437" s="112"/>
    </row>
    <row r="2438" spans="1:5">
      <c r="A2438" s="110"/>
      <c r="B2438" s="111"/>
      <c r="C2438" s="111"/>
      <c r="D2438" s="111"/>
      <c r="E2438" s="112"/>
    </row>
    <row r="2439" spans="1:5">
      <c r="A2439" s="110"/>
      <c r="B2439" s="111"/>
      <c r="C2439" s="111"/>
      <c r="D2439" s="111"/>
      <c r="E2439" s="112"/>
    </row>
    <row r="2440" spans="1:5">
      <c r="A2440" s="110"/>
      <c r="B2440" s="111"/>
      <c r="C2440" s="111"/>
      <c r="D2440" s="111"/>
      <c r="E2440" s="112"/>
    </row>
    <row r="2441" spans="1:5">
      <c r="B2441" s="111"/>
      <c r="C2441" s="111"/>
      <c r="D2441" s="111"/>
      <c r="E2441" s="112"/>
    </row>
    <row r="2442" spans="1:5">
      <c r="A2442" s="110"/>
      <c r="B2442" s="111"/>
      <c r="C2442" s="111"/>
      <c r="D2442" s="111"/>
      <c r="E2442" s="112"/>
    </row>
    <row r="2443" spans="1:5">
      <c r="B2443" s="111"/>
      <c r="C2443" s="111"/>
      <c r="D2443" s="111"/>
      <c r="E2443" s="112"/>
    </row>
    <row r="2444" spans="1:5">
      <c r="A2444" s="110"/>
      <c r="B2444" s="111"/>
      <c r="C2444" s="111"/>
      <c r="D2444" s="111"/>
      <c r="E2444" s="112"/>
    </row>
    <row r="2445" spans="1:5">
      <c r="A2445" s="110"/>
      <c r="B2445" s="111"/>
      <c r="C2445" s="111"/>
      <c r="D2445" s="111"/>
      <c r="E2445" s="112"/>
    </row>
    <row r="2446" spans="1:5">
      <c r="A2446" s="110"/>
      <c r="B2446" s="111"/>
      <c r="C2446" s="111"/>
      <c r="D2446" s="111"/>
      <c r="E2446" s="112"/>
    </row>
    <row r="2447" spans="1:5">
      <c r="B2447" s="111"/>
      <c r="C2447" s="111"/>
      <c r="D2447" s="111"/>
      <c r="E2447" s="112"/>
    </row>
    <row r="2448" spans="1:5">
      <c r="B2448" s="111"/>
      <c r="C2448" s="111"/>
      <c r="D2448" s="111"/>
      <c r="E2448" s="112"/>
    </row>
    <row r="2449" spans="1:5">
      <c r="A2449" s="110"/>
      <c r="B2449" s="111"/>
      <c r="C2449" s="111"/>
      <c r="D2449" s="111"/>
      <c r="E2449" s="112"/>
    </row>
    <row r="2450" spans="1:5">
      <c r="A2450" s="110"/>
      <c r="B2450" s="111"/>
      <c r="C2450" s="111"/>
      <c r="D2450" s="111"/>
      <c r="E2450" s="112"/>
    </row>
    <row r="2451" spans="1:5">
      <c r="A2451" s="110"/>
      <c r="B2451" s="111"/>
      <c r="C2451" s="111"/>
      <c r="D2451" s="111"/>
      <c r="E2451" s="112"/>
    </row>
    <row r="2452" spans="1:5">
      <c r="A2452" s="110"/>
      <c r="B2452" s="111"/>
      <c r="C2452" s="111"/>
      <c r="D2452" s="111"/>
      <c r="E2452" s="112"/>
    </row>
    <row r="2453" spans="1:5">
      <c r="A2453" s="110"/>
      <c r="B2453" s="111"/>
      <c r="C2453" s="111"/>
      <c r="D2453" s="111"/>
      <c r="E2453" s="112"/>
    </row>
    <row r="2454" spans="1:5">
      <c r="A2454" s="110"/>
      <c r="B2454" s="111"/>
      <c r="C2454" s="111"/>
      <c r="D2454" s="111"/>
      <c r="E2454" s="112"/>
    </row>
    <row r="2455" spans="1:5">
      <c r="A2455" s="110"/>
      <c r="B2455" s="111"/>
      <c r="C2455" s="111"/>
      <c r="D2455" s="111"/>
      <c r="E2455" s="112"/>
    </row>
    <row r="2456" spans="1:5">
      <c r="A2456" s="110"/>
      <c r="B2456" s="111"/>
      <c r="C2456" s="111"/>
      <c r="D2456" s="111"/>
      <c r="E2456" s="112"/>
    </row>
    <row r="2457" spans="1:5">
      <c r="A2457" s="110"/>
      <c r="B2457" s="111"/>
      <c r="C2457" s="111"/>
      <c r="D2457" s="111"/>
      <c r="E2457" s="112"/>
    </row>
    <row r="2458" spans="1:5">
      <c r="A2458" s="110"/>
      <c r="B2458" s="111"/>
      <c r="C2458" s="111"/>
      <c r="D2458" s="111"/>
      <c r="E2458" s="112"/>
    </row>
    <row r="2459" spans="1:5">
      <c r="A2459" s="110"/>
      <c r="B2459" s="111"/>
      <c r="C2459" s="111"/>
      <c r="D2459" s="111"/>
      <c r="E2459" s="112"/>
    </row>
    <row r="2460" spans="1:5">
      <c r="A2460" s="110"/>
      <c r="B2460" s="111"/>
      <c r="C2460" s="111"/>
      <c r="D2460" s="111"/>
      <c r="E2460" s="112"/>
    </row>
    <row r="2461" spans="1:5">
      <c r="A2461" s="110"/>
      <c r="B2461" s="111"/>
      <c r="C2461" s="111"/>
      <c r="D2461" s="111"/>
      <c r="E2461" s="112"/>
    </row>
    <row r="2462" spans="1:5">
      <c r="A2462" s="110"/>
      <c r="B2462" s="111"/>
      <c r="C2462" s="111"/>
      <c r="D2462" s="111"/>
      <c r="E2462" s="112"/>
    </row>
    <row r="2463" spans="1:5">
      <c r="A2463" s="110"/>
      <c r="B2463" s="111"/>
      <c r="C2463" s="111"/>
      <c r="D2463" s="111"/>
      <c r="E2463" s="112"/>
    </row>
    <row r="2464" spans="1:5">
      <c r="A2464" s="110"/>
      <c r="B2464" s="111"/>
      <c r="C2464" s="111"/>
      <c r="D2464" s="111"/>
      <c r="E2464" s="112"/>
    </row>
    <row r="2465" spans="1:5">
      <c r="A2465" s="110"/>
      <c r="B2465" s="111"/>
      <c r="C2465" s="111"/>
      <c r="D2465" s="111"/>
      <c r="E2465" s="112"/>
    </row>
    <row r="2466" spans="1:5">
      <c r="A2466" s="110"/>
      <c r="B2466" s="111"/>
      <c r="C2466" s="111"/>
      <c r="D2466" s="111"/>
      <c r="E2466" s="112"/>
    </row>
    <row r="2467" spans="1:5">
      <c r="A2467" s="110"/>
      <c r="B2467" s="111"/>
      <c r="C2467" s="111"/>
      <c r="D2467" s="111"/>
      <c r="E2467" s="112"/>
    </row>
    <row r="2468" spans="1:5">
      <c r="A2468" s="110"/>
      <c r="B2468" s="111"/>
      <c r="C2468" s="111"/>
      <c r="D2468" s="111"/>
      <c r="E2468" s="112"/>
    </row>
    <row r="2469" spans="1:5">
      <c r="A2469" s="110"/>
      <c r="B2469" s="111"/>
      <c r="C2469" s="111"/>
      <c r="D2469" s="111"/>
      <c r="E2469" s="112"/>
    </row>
    <row r="2470" spans="1:5">
      <c r="A2470" s="110"/>
      <c r="B2470" s="111"/>
      <c r="C2470" s="111"/>
      <c r="D2470" s="111"/>
      <c r="E2470" s="112"/>
    </row>
    <row r="2471" spans="1:5">
      <c r="A2471" s="110"/>
      <c r="B2471" s="111"/>
      <c r="C2471" s="111"/>
      <c r="D2471" s="111"/>
      <c r="E2471" s="112"/>
    </row>
    <row r="2472" spans="1:5">
      <c r="A2472" s="110"/>
      <c r="B2472" s="111"/>
      <c r="C2472" s="111"/>
      <c r="D2472" s="111"/>
      <c r="E2472" s="112"/>
    </row>
    <row r="2473" spans="1:5">
      <c r="A2473" s="110"/>
      <c r="B2473" s="111"/>
      <c r="C2473" s="111"/>
      <c r="D2473" s="111"/>
      <c r="E2473" s="112"/>
    </row>
    <row r="2474" spans="1:5">
      <c r="A2474" s="110"/>
      <c r="B2474" s="111"/>
      <c r="C2474" s="111"/>
      <c r="D2474" s="111"/>
      <c r="E2474" s="112"/>
    </row>
    <row r="2475" spans="1:5">
      <c r="A2475" s="110"/>
      <c r="B2475" s="111"/>
      <c r="C2475" s="111"/>
      <c r="D2475" s="111"/>
      <c r="E2475" s="112"/>
    </row>
    <row r="2476" spans="1:5">
      <c r="A2476" s="110"/>
      <c r="B2476" s="111"/>
      <c r="C2476" s="111"/>
      <c r="D2476" s="111"/>
      <c r="E2476" s="112"/>
    </row>
    <row r="2477" spans="1:5">
      <c r="A2477" s="110"/>
      <c r="B2477" s="111"/>
      <c r="C2477" s="111"/>
      <c r="D2477" s="111"/>
      <c r="E2477" s="112"/>
    </row>
    <row r="2478" spans="1:5">
      <c r="A2478" s="110"/>
      <c r="B2478" s="111"/>
      <c r="C2478" s="111"/>
      <c r="D2478" s="111"/>
      <c r="E2478" s="112"/>
    </row>
    <row r="2479" spans="1:5">
      <c r="A2479" s="110"/>
      <c r="B2479" s="111"/>
      <c r="C2479" s="111"/>
      <c r="D2479" s="111"/>
      <c r="E2479" s="112"/>
    </row>
    <row r="2480" spans="1:5">
      <c r="A2480" s="110"/>
      <c r="B2480" s="111"/>
      <c r="C2480" s="111"/>
      <c r="D2480" s="111"/>
      <c r="E2480" s="112"/>
    </row>
    <row r="2481" spans="1:5">
      <c r="A2481" s="110"/>
      <c r="B2481" s="111"/>
      <c r="C2481" s="111"/>
      <c r="D2481" s="111"/>
      <c r="E2481" s="112"/>
    </row>
    <row r="2482" spans="1:5">
      <c r="A2482" s="110"/>
      <c r="B2482" s="111"/>
      <c r="C2482" s="111"/>
      <c r="D2482" s="111"/>
      <c r="E2482" s="112"/>
    </row>
    <row r="2483" spans="1:5">
      <c r="A2483" s="110"/>
      <c r="B2483" s="111"/>
      <c r="C2483" s="111"/>
      <c r="D2483" s="111"/>
      <c r="E2483" s="112"/>
    </row>
    <row r="2484" spans="1:5">
      <c r="A2484" s="110"/>
      <c r="B2484" s="111"/>
      <c r="C2484" s="111"/>
      <c r="D2484" s="111"/>
      <c r="E2484" s="112"/>
    </row>
    <row r="2485" spans="1:5">
      <c r="A2485" s="110"/>
      <c r="B2485" s="111"/>
      <c r="C2485" s="111"/>
      <c r="D2485" s="111"/>
      <c r="E2485" s="112"/>
    </row>
    <row r="2486" spans="1:5">
      <c r="A2486" s="110"/>
      <c r="B2486" s="111"/>
      <c r="C2486" s="111"/>
      <c r="D2486" s="111"/>
      <c r="E2486" s="112"/>
    </row>
    <row r="2487" spans="1:5">
      <c r="A2487" s="110"/>
      <c r="B2487" s="111"/>
      <c r="C2487" s="111"/>
      <c r="D2487" s="111"/>
      <c r="E2487" s="112"/>
    </row>
    <row r="2488" spans="1:5">
      <c r="A2488" s="110"/>
      <c r="B2488" s="111"/>
      <c r="C2488" s="111"/>
      <c r="D2488" s="111"/>
      <c r="E2488" s="112"/>
    </row>
    <row r="2489" spans="1:5">
      <c r="A2489" s="110"/>
      <c r="B2489" s="111"/>
      <c r="C2489" s="111"/>
      <c r="D2489" s="111"/>
      <c r="E2489" s="112"/>
    </row>
    <row r="2490" spans="1:5">
      <c r="A2490" s="110"/>
      <c r="B2490" s="111"/>
      <c r="C2490" s="111"/>
      <c r="D2490" s="111"/>
      <c r="E2490" s="112"/>
    </row>
    <row r="2491" spans="1:5">
      <c r="B2491" s="111"/>
      <c r="C2491" s="111"/>
      <c r="D2491" s="111"/>
      <c r="E2491" s="112"/>
    </row>
    <row r="2492" spans="1:5">
      <c r="A2492" s="110"/>
      <c r="B2492" s="111"/>
      <c r="C2492" s="111"/>
      <c r="D2492" s="111"/>
      <c r="E2492" s="112"/>
    </row>
    <row r="2493" spans="1:5">
      <c r="A2493" s="110"/>
      <c r="B2493" s="111"/>
      <c r="C2493" s="111"/>
      <c r="D2493" s="111"/>
      <c r="E2493" s="112"/>
    </row>
    <row r="2494" spans="1:5">
      <c r="A2494" s="110"/>
      <c r="B2494" s="111"/>
      <c r="C2494" s="111"/>
      <c r="D2494" s="111"/>
      <c r="E2494" s="112"/>
    </row>
    <row r="2495" spans="1:5">
      <c r="A2495" s="110"/>
      <c r="B2495" s="111"/>
      <c r="C2495" s="111"/>
      <c r="D2495" s="111"/>
      <c r="E2495" s="112"/>
    </row>
    <row r="2496" spans="1:5">
      <c r="A2496" s="110"/>
      <c r="B2496" s="111"/>
      <c r="C2496" s="111"/>
      <c r="D2496" s="111"/>
      <c r="E2496" s="112"/>
    </row>
    <row r="2497" spans="1:5">
      <c r="A2497" s="110"/>
      <c r="B2497" s="111"/>
      <c r="C2497" s="111"/>
      <c r="D2497" s="111"/>
      <c r="E2497" s="112"/>
    </row>
    <row r="2498" spans="1:5">
      <c r="A2498" s="110"/>
      <c r="B2498" s="111"/>
      <c r="C2498" s="111"/>
      <c r="D2498" s="111"/>
      <c r="E2498" s="112"/>
    </row>
    <row r="2499" spans="1:5">
      <c r="A2499" s="110"/>
      <c r="B2499" s="111"/>
      <c r="C2499" s="111"/>
      <c r="D2499" s="111"/>
      <c r="E2499" s="112"/>
    </row>
    <row r="2500" spans="1:5">
      <c r="A2500" s="110"/>
      <c r="B2500" s="111"/>
      <c r="C2500" s="111"/>
      <c r="D2500" s="111"/>
      <c r="E2500" s="112"/>
    </row>
    <row r="2501" spans="1:5">
      <c r="A2501" s="110"/>
      <c r="B2501" s="111"/>
      <c r="C2501" s="111"/>
      <c r="D2501" s="111"/>
      <c r="E2501" s="112"/>
    </row>
    <row r="2502" spans="1:5">
      <c r="A2502" s="110"/>
      <c r="B2502" s="111"/>
      <c r="C2502" s="111"/>
      <c r="D2502" s="111"/>
      <c r="E2502" s="112"/>
    </row>
    <row r="2503" spans="1:5">
      <c r="A2503" s="110"/>
      <c r="B2503" s="111"/>
      <c r="C2503" s="111"/>
      <c r="D2503" s="111"/>
      <c r="E2503" s="112"/>
    </row>
    <row r="2504" spans="1:5">
      <c r="A2504" s="110"/>
      <c r="B2504" s="111"/>
      <c r="C2504" s="111"/>
      <c r="D2504" s="111"/>
      <c r="E2504" s="112"/>
    </row>
    <row r="2505" spans="1:5">
      <c r="A2505" s="110"/>
      <c r="B2505" s="111"/>
      <c r="C2505" s="111"/>
      <c r="D2505" s="111"/>
      <c r="E2505" s="112"/>
    </row>
    <row r="2506" spans="1:5">
      <c r="A2506" s="110"/>
      <c r="B2506" s="111"/>
      <c r="C2506" s="111"/>
      <c r="D2506" s="111"/>
      <c r="E2506" s="112"/>
    </row>
    <row r="2507" spans="1:5">
      <c r="A2507" s="110"/>
      <c r="B2507" s="111"/>
      <c r="C2507" s="111"/>
      <c r="D2507" s="111"/>
      <c r="E2507" s="112"/>
    </row>
    <row r="2508" spans="1:5">
      <c r="A2508" s="110"/>
      <c r="B2508" s="111"/>
      <c r="C2508" s="111"/>
      <c r="D2508" s="111"/>
      <c r="E2508" s="112"/>
    </row>
    <row r="2509" spans="1:5">
      <c r="A2509" s="110"/>
      <c r="B2509" s="111"/>
      <c r="C2509" s="111"/>
      <c r="D2509" s="111"/>
      <c r="E2509" s="112"/>
    </row>
    <row r="2510" spans="1:5">
      <c r="A2510" s="110"/>
      <c r="B2510" s="111"/>
      <c r="C2510" s="111"/>
      <c r="D2510" s="111"/>
      <c r="E2510" s="112"/>
    </row>
    <row r="2511" spans="1:5">
      <c r="A2511" s="110"/>
      <c r="B2511" s="111"/>
      <c r="C2511" s="111"/>
      <c r="D2511" s="111"/>
      <c r="E2511" s="112"/>
    </row>
    <row r="2512" spans="1:5">
      <c r="A2512" s="110"/>
      <c r="B2512" s="111"/>
      <c r="C2512" s="111"/>
      <c r="D2512" s="111"/>
      <c r="E2512" s="112"/>
    </row>
    <row r="2513" spans="1:5">
      <c r="A2513" s="110"/>
      <c r="B2513" s="111"/>
      <c r="C2513" s="111"/>
      <c r="D2513" s="111"/>
      <c r="E2513" s="112"/>
    </row>
    <row r="2514" spans="1:5">
      <c r="A2514" s="110"/>
      <c r="B2514" s="111"/>
      <c r="C2514" s="111"/>
      <c r="D2514" s="111"/>
      <c r="E2514" s="112"/>
    </row>
    <row r="2515" spans="1:5">
      <c r="A2515" s="110"/>
      <c r="B2515" s="111"/>
      <c r="C2515" s="111"/>
      <c r="D2515" s="111"/>
      <c r="E2515" s="112"/>
    </row>
    <row r="2516" spans="1:5">
      <c r="A2516" s="110"/>
      <c r="B2516" s="111"/>
      <c r="C2516" s="111"/>
      <c r="D2516" s="111"/>
      <c r="E2516" s="112"/>
    </row>
    <row r="2517" spans="1:5">
      <c r="A2517" s="110"/>
      <c r="B2517" s="111"/>
      <c r="C2517" s="111"/>
      <c r="D2517" s="111"/>
      <c r="E2517" s="112"/>
    </row>
    <row r="2518" spans="1:5">
      <c r="A2518" s="110"/>
      <c r="B2518" s="111"/>
      <c r="C2518" s="111"/>
      <c r="D2518" s="111"/>
      <c r="E2518" s="112"/>
    </row>
    <row r="2519" spans="1:5">
      <c r="A2519" s="110"/>
      <c r="B2519" s="111"/>
      <c r="C2519" s="111"/>
      <c r="D2519" s="111"/>
      <c r="E2519" s="112"/>
    </row>
    <row r="2520" spans="1:5">
      <c r="A2520" s="110"/>
      <c r="B2520" s="111"/>
      <c r="C2520" s="111"/>
      <c r="D2520" s="111"/>
      <c r="E2520" s="112"/>
    </row>
    <row r="2521" spans="1:5">
      <c r="A2521" s="110"/>
      <c r="B2521" s="111"/>
      <c r="C2521" s="111"/>
      <c r="D2521" s="111"/>
      <c r="E2521" s="112"/>
    </row>
    <row r="2522" spans="1:5">
      <c r="A2522" s="110"/>
      <c r="B2522" s="111"/>
      <c r="C2522" s="111"/>
      <c r="D2522" s="111"/>
      <c r="E2522" s="112"/>
    </row>
    <row r="2523" spans="1:5">
      <c r="A2523" s="110"/>
      <c r="B2523" s="111"/>
      <c r="C2523" s="111"/>
      <c r="D2523" s="111"/>
      <c r="E2523" s="112"/>
    </row>
    <row r="2524" spans="1:5">
      <c r="A2524" s="110"/>
      <c r="B2524" s="111"/>
      <c r="C2524" s="111"/>
      <c r="D2524" s="111"/>
      <c r="E2524" s="112"/>
    </row>
    <row r="2525" spans="1:5">
      <c r="A2525" s="110"/>
      <c r="B2525" s="111"/>
      <c r="C2525" s="111"/>
      <c r="D2525" s="111"/>
      <c r="E2525" s="112"/>
    </row>
    <row r="2526" spans="1:5">
      <c r="A2526" s="110"/>
      <c r="B2526" s="111"/>
      <c r="C2526" s="111"/>
      <c r="D2526" s="111"/>
      <c r="E2526" s="112"/>
    </row>
    <row r="2527" spans="1:5">
      <c r="A2527" s="110"/>
      <c r="B2527" s="111"/>
      <c r="C2527" s="111"/>
      <c r="D2527" s="111"/>
      <c r="E2527" s="112"/>
    </row>
    <row r="2528" spans="1:5">
      <c r="A2528" s="110"/>
      <c r="B2528" s="111"/>
      <c r="C2528" s="111"/>
      <c r="D2528" s="111"/>
      <c r="E2528" s="112"/>
    </row>
    <row r="2529" spans="1:5">
      <c r="A2529" s="110"/>
      <c r="B2529" s="111"/>
      <c r="C2529" s="111"/>
      <c r="D2529" s="111"/>
      <c r="E2529" s="112"/>
    </row>
    <row r="2530" spans="1:5">
      <c r="A2530" s="110"/>
      <c r="B2530" s="111"/>
      <c r="C2530" s="111"/>
      <c r="D2530" s="111"/>
      <c r="E2530" s="112"/>
    </row>
    <row r="2531" spans="1:5">
      <c r="A2531" s="110"/>
      <c r="B2531" s="111"/>
      <c r="C2531" s="111"/>
      <c r="D2531" s="111"/>
      <c r="E2531" s="112"/>
    </row>
    <row r="2532" spans="1:5">
      <c r="A2532" s="110"/>
      <c r="B2532" s="111"/>
      <c r="C2532" s="111"/>
      <c r="D2532" s="111"/>
      <c r="E2532" s="112"/>
    </row>
    <row r="2533" spans="1:5">
      <c r="A2533" s="110"/>
      <c r="B2533" s="111"/>
      <c r="C2533" s="111"/>
      <c r="D2533" s="111"/>
      <c r="E2533" s="112"/>
    </row>
    <row r="2534" spans="1:5">
      <c r="A2534" s="110"/>
      <c r="B2534" s="111"/>
      <c r="C2534" s="111"/>
      <c r="D2534" s="111"/>
      <c r="E2534" s="112"/>
    </row>
    <row r="2535" spans="1:5">
      <c r="A2535" s="110"/>
      <c r="B2535" s="111"/>
      <c r="C2535" s="111"/>
      <c r="D2535" s="111"/>
      <c r="E2535" s="112"/>
    </row>
    <row r="2536" spans="1:5">
      <c r="A2536" s="110"/>
      <c r="B2536" s="111"/>
      <c r="C2536" s="111"/>
      <c r="D2536" s="111"/>
      <c r="E2536" s="112"/>
    </row>
    <row r="2537" spans="1:5">
      <c r="A2537" s="110"/>
      <c r="B2537" s="111"/>
      <c r="C2537" s="111"/>
      <c r="D2537" s="111"/>
      <c r="E2537" s="112"/>
    </row>
    <row r="2538" spans="1:5">
      <c r="A2538" s="110"/>
      <c r="B2538" s="111"/>
      <c r="C2538" s="111"/>
      <c r="D2538" s="111"/>
      <c r="E2538" s="112"/>
    </row>
    <row r="2539" spans="1:5">
      <c r="A2539" s="110"/>
      <c r="B2539" s="111"/>
      <c r="C2539" s="111"/>
      <c r="D2539" s="111"/>
      <c r="E2539" s="112"/>
    </row>
    <row r="2540" spans="1:5">
      <c r="A2540" s="110"/>
      <c r="B2540" s="111"/>
      <c r="C2540" s="111"/>
      <c r="D2540" s="111"/>
      <c r="E2540" s="112"/>
    </row>
    <row r="2541" spans="1:5">
      <c r="A2541" s="110"/>
      <c r="B2541" s="111"/>
      <c r="C2541" s="111"/>
      <c r="D2541" s="111"/>
      <c r="E2541" s="112"/>
    </row>
    <row r="2542" spans="1:5">
      <c r="A2542" s="110"/>
      <c r="B2542" s="111"/>
      <c r="C2542" s="111"/>
      <c r="D2542" s="111"/>
      <c r="E2542" s="112"/>
    </row>
    <row r="2543" spans="1:5">
      <c r="A2543" s="110"/>
      <c r="B2543" s="111"/>
      <c r="C2543" s="111"/>
      <c r="D2543" s="111"/>
      <c r="E2543" s="112"/>
    </row>
    <row r="2544" spans="1:5">
      <c r="A2544" s="110"/>
      <c r="B2544" s="111"/>
      <c r="C2544" s="111"/>
      <c r="D2544" s="111"/>
      <c r="E2544" s="112"/>
    </row>
    <row r="2545" spans="1:5">
      <c r="A2545" s="110"/>
      <c r="B2545" s="111"/>
      <c r="C2545" s="111"/>
      <c r="D2545" s="111"/>
      <c r="E2545" s="112"/>
    </row>
    <row r="2546" spans="1:5">
      <c r="A2546" s="110"/>
      <c r="B2546" s="111"/>
      <c r="C2546" s="111"/>
      <c r="D2546" s="111"/>
      <c r="E2546" s="112"/>
    </row>
    <row r="2547" spans="1:5">
      <c r="A2547" s="110"/>
      <c r="B2547" s="111"/>
      <c r="C2547" s="111"/>
      <c r="D2547" s="111"/>
      <c r="E2547" s="112"/>
    </row>
    <row r="2548" spans="1:5">
      <c r="A2548" s="110"/>
      <c r="B2548" s="111"/>
      <c r="C2548" s="111"/>
      <c r="D2548" s="111"/>
      <c r="E2548" s="112"/>
    </row>
    <row r="2549" spans="1:5">
      <c r="A2549" s="110"/>
      <c r="B2549" s="111"/>
      <c r="C2549" s="111"/>
      <c r="D2549" s="111"/>
      <c r="E2549" s="112"/>
    </row>
    <row r="2550" spans="1:5">
      <c r="A2550" s="110"/>
      <c r="B2550" s="111"/>
      <c r="C2550" s="111"/>
      <c r="D2550" s="111"/>
      <c r="E2550" s="112"/>
    </row>
    <row r="2551" spans="1:5">
      <c r="A2551" s="110"/>
      <c r="B2551" s="111"/>
      <c r="C2551" s="111"/>
      <c r="D2551" s="111"/>
      <c r="E2551" s="112"/>
    </row>
    <row r="2552" spans="1:5">
      <c r="A2552" s="110"/>
      <c r="B2552" s="111"/>
      <c r="C2552" s="111"/>
      <c r="D2552" s="111"/>
      <c r="E2552" s="112"/>
    </row>
    <row r="2553" spans="1:5">
      <c r="A2553" s="110"/>
      <c r="B2553" s="111"/>
      <c r="C2553" s="111"/>
      <c r="D2553" s="111"/>
      <c r="E2553" s="112"/>
    </row>
    <row r="2554" spans="1:5">
      <c r="A2554" s="110"/>
      <c r="B2554" s="111"/>
      <c r="C2554" s="111"/>
      <c r="D2554" s="111"/>
      <c r="E2554" s="112"/>
    </row>
    <row r="2555" spans="1:5">
      <c r="A2555" s="110"/>
      <c r="B2555" s="111"/>
      <c r="C2555" s="111"/>
      <c r="D2555" s="111"/>
      <c r="E2555" s="112"/>
    </row>
    <row r="2556" spans="1:5">
      <c r="A2556" s="110"/>
      <c r="B2556" s="111"/>
      <c r="C2556" s="111"/>
      <c r="D2556" s="111"/>
      <c r="E2556" s="112"/>
    </row>
    <row r="2557" spans="1:5">
      <c r="A2557" s="110"/>
      <c r="B2557" s="111"/>
      <c r="C2557" s="111"/>
      <c r="D2557" s="111"/>
      <c r="E2557" s="112"/>
    </row>
    <row r="2558" spans="1:5">
      <c r="A2558" s="110"/>
      <c r="B2558" s="111"/>
      <c r="C2558" s="111"/>
      <c r="D2558" s="111"/>
      <c r="E2558" s="112"/>
    </row>
    <row r="2559" spans="1:5">
      <c r="A2559" s="110"/>
      <c r="B2559" s="111"/>
      <c r="C2559" s="111"/>
      <c r="D2559" s="111"/>
      <c r="E2559" s="112"/>
    </row>
    <row r="2560" spans="1:5">
      <c r="A2560" s="110"/>
      <c r="B2560" s="111"/>
      <c r="C2560" s="111"/>
      <c r="D2560" s="111"/>
      <c r="E2560" s="112"/>
    </row>
    <row r="2561" spans="1:5">
      <c r="A2561" s="110"/>
      <c r="B2561" s="111"/>
      <c r="C2561" s="111"/>
      <c r="D2561" s="111"/>
      <c r="E2561" s="112"/>
    </row>
    <row r="2562" spans="1:5">
      <c r="A2562" s="110"/>
      <c r="B2562" s="111"/>
      <c r="C2562" s="111"/>
      <c r="D2562" s="111"/>
      <c r="E2562" s="112"/>
    </row>
    <row r="2563" spans="1:5">
      <c r="A2563" s="110"/>
      <c r="B2563" s="111"/>
      <c r="C2563" s="111"/>
      <c r="D2563" s="111"/>
      <c r="E2563" s="112"/>
    </row>
    <row r="2564" spans="1:5">
      <c r="A2564" s="110"/>
      <c r="B2564" s="111"/>
      <c r="C2564" s="111"/>
      <c r="D2564" s="111"/>
      <c r="E2564" s="112"/>
    </row>
    <row r="2565" spans="1:5">
      <c r="A2565" s="110"/>
      <c r="B2565" s="111"/>
      <c r="C2565" s="111"/>
      <c r="D2565" s="111"/>
      <c r="E2565" s="112"/>
    </row>
    <row r="2566" spans="1:5">
      <c r="A2566" s="110"/>
      <c r="B2566" s="111"/>
      <c r="C2566" s="111"/>
      <c r="D2566" s="111"/>
      <c r="E2566" s="112"/>
    </row>
    <row r="2567" spans="1:5">
      <c r="A2567" s="110"/>
      <c r="B2567" s="111"/>
      <c r="C2567" s="111"/>
      <c r="D2567" s="111"/>
      <c r="E2567" s="112"/>
    </row>
    <row r="2568" spans="1:5">
      <c r="A2568" s="110"/>
      <c r="B2568" s="111"/>
      <c r="C2568" s="111"/>
      <c r="D2568" s="111"/>
      <c r="E2568" s="112"/>
    </row>
    <row r="2569" spans="1:5">
      <c r="A2569" s="110"/>
      <c r="B2569" s="111"/>
      <c r="C2569" s="111"/>
      <c r="D2569" s="111"/>
      <c r="E2569" s="112"/>
    </row>
    <row r="2570" spans="1:5">
      <c r="A2570" s="110"/>
      <c r="B2570" s="111"/>
      <c r="C2570" s="111"/>
      <c r="D2570" s="111"/>
      <c r="E2570" s="112"/>
    </row>
    <row r="2571" spans="1:5">
      <c r="A2571" s="110"/>
      <c r="B2571" s="111"/>
      <c r="C2571" s="111"/>
      <c r="D2571" s="111"/>
      <c r="E2571" s="112"/>
    </row>
    <row r="2572" spans="1:5">
      <c r="A2572" s="110"/>
      <c r="B2572" s="111"/>
      <c r="C2572" s="111"/>
      <c r="D2572" s="111"/>
      <c r="E2572" s="112"/>
    </row>
    <row r="2573" spans="1:5">
      <c r="A2573" s="110"/>
      <c r="B2573" s="111"/>
      <c r="C2573" s="111"/>
      <c r="D2573" s="111"/>
      <c r="E2573" s="112"/>
    </row>
    <row r="2574" spans="1:5">
      <c r="A2574" s="110"/>
      <c r="B2574" s="111"/>
      <c r="C2574" s="111"/>
      <c r="D2574" s="111"/>
      <c r="E2574" s="112"/>
    </row>
    <row r="2575" spans="1:5">
      <c r="A2575" s="110"/>
      <c r="B2575" s="111"/>
      <c r="C2575" s="111"/>
      <c r="D2575" s="111"/>
      <c r="E2575" s="112"/>
    </row>
    <row r="2576" spans="1:5">
      <c r="A2576" s="110"/>
      <c r="B2576" s="111"/>
      <c r="C2576" s="111"/>
      <c r="D2576" s="111"/>
      <c r="E2576" s="112"/>
    </row>
    <row r="2577" spans="1:5">
      <c r="A2577" s="110"/>
      <c r="B2577" s="111"/>
      <c r="C2577" s="111"/>
      <c r="D2577" s="111"/>
      <c r="E2577" s="112"/>
    </row>
    <row r="2578" spans="1:5">
      <c r="A2578" s="110"/>
      <c r="B2578" s="111"/>
      <c r="C2578" s="111"/>
      <c r="D2578" s="111"/>
      <c r="E2578" s="112"/>
    </row>
    <row r="2579" spans="1:5">
      <c r="A2579" s="110"/>
      <c r="B2579" s="111"/>
      <c r="C2579" s="111"/>
      <c r="D2579" s="111"/>
      <c r="E2579" s="112"/>
    </row>
    <row r="2580" spans="1:5">
      <c r="A2580" s="110"/>
      <c r="B2580" s="111"/>
      <c r="C2580" s="111"/>
      <c r="D2580" s="111"/>
      <c r="E2580" s="112"/>
    </row>
    <row r="2581" spans="1:5">
      <c r="A2581" s="110"/>
      <c r="B2581" s="111"/>
      <c r="C2581" s="111"/>
      <c r="D2581" s="111"/>
      <c r="E2581" s="112"/>
    </row>
    <row r="2582" spans="1:5">
      <c r="A2582" s="110"/>
      <c r="B2582" s="111"/>
      <c r="C2582" s="111"/>
      <c r="D2582" s="111"/>
      <c r="E2582" s="112"/>
    </row>
    <row r="2583" spans="1:5">
      <c r="A2583" s="110"/>
      <c r="B2583" s="111"/>
      <c r="C2583" s="111"/>
      <c r="D2583" s="111"/>
      <c r="E2583" s="112"/>
    </row>
    <row r="2584" spans="1:5">
      <c r="A2584" s="110"/>
      <c r="B2584" s="111"/>
      <c r="C2584" s="111"/>
      <c r="D2584" s="111"/>
      <c r="E2584" s="112"/>
    </row>
    <row r="2585" spans="1:5">
      <c r="A2585" s="110"/>
      <c r="B2585" s="111"/>
      <c r="C2585" s="111"/>
      <c r="D2585" s="111"/>
      <c r="E2585" s="112"/>
    </row>
    <row r="2586" spans="1:5">
      <c r="A2586" s="110"/>
      <c r="B2586" s="111"/>
      <c r="C2586" s="111"/>
      <c r="D2586" s="111"/>
      <c r="E2586" s="112"/>
    </row>
    <row r="2587" spans="1:5">
      <c r="A2587" s="110"/>
      <c r="B2587" s="111"/>
      <c r="C2587" s="111"/>
      <c r="D2587" s="111"/>
      <c r="E2587" s="112"/>
    </row>
    <row r="2588" spans="1:5">
      <c r="A2588" s="110"/>
      <c r="B2588" s="111"/>
      <c r="C2588" s="111"/>
      <c r="D2588" s="111"/>
      <c r="E2588" s="112"/>
    </row>
    <row r="2589" spans="1:5">
      <c r="A2589" s="110"/>
      <c r="B2589" s="111"/>
      <c r="C2589" s="111"/>
      <c r="D2589" s="111"/>
      <c r="E2589" s="112"/>
    </row>
    <row r="2590" spans="1:5">
      <c r="A2590" s="110"/>
      <c r="B2590" s="111"/>
      <c r="C2590" s="111"/>
      <c r="D2590" s="111"/>
      <c r="E2590" s="112"/>
    </row>
    <row r="2591" spans="1:5">
      <c r="A2591" s="110"/>
      <c r="B2591" s="111"/>
      <c r="C2591" s="111"/>
      <c r="D2591" s="111"/>
      <c r="E2591" s="112"/>
    </row>
    <row r="2592" spans="1:5">
      <c r="A2592" s="110"/>
      <c r="B2592" s="111"/>
      <c r="C2592" s="111"/>
      <c r="D2592" s="111"/>
      <c r="E2592" s="112"/>
    </row>
    <row r="2593" spans="1:5">
      <c r="A2593" s="110"/>
      <c r="B2593" s="111"/>
      <c r="C2593" s="111"/>
      <c r="D2593" s="111"/>
      <c r="E2593" s="112"/>
    </row>
    <row r="2594" spans="1:5">
      <c r="A2594" s="110"/>
      <c r="B2594" s="111"/>
      <c r="C2594" s="111"/>
      <c r="D2594" s="111"/>
      <c r="E2594" s="112"/>
    </row>
    <row r="2595" spans="1:5">
      <c r="A2595" s="110"/>
      <c r="B2595" s="111"/>
      <c r="C2595" s="111"/>
      <c r="D2595" s="111"/>
      <c r="E2595" s="112"/>
    </row>
    <row r="2596" spans="1:5">
      <c r="B2596" s="111"/>
      <c r="C2596" s="111"/>
      <c r="D2596" s="111"/>
      <c r="E2596" s="112"/>
    </row>
    <row r="2597" spans="1:5">
      <c r="A2597" s="110"/>
      <c r="B2597" s="111"/>
      <c r="C2597" s="111"/>
      <c r="D2597" s="111"/>
      <c r="E2597" s="112"/>
    </row>
    <row r="2598" spans="1:5">
      <c r="A2598" s="110"/>
      <c r="B2598" s="111"/>
      <c r="C2598" s="111"/>
      <c r="D2598" s="111"/>
      <c r="E2598" s="112"/>
    </row>
    <row r="2599" spans="1:5">
      <c r="A2599" s="110"/>
      <c r="B2599" s="111"/>
      <c r="C2599" s="111"/>
      <c r="D2599" s="111"/>
      <c r="E2599" s="112"/>
    </row>
    <row r="2600" spans="1:5">
      <c r="A2600" s="110"/>
      <c r="B2600" s="111"/>
      <c r="C2600" s="111"/>
      <c r="D2600" s="111"/>
      <c r="E2600" s="112"/>
    </row>
    <row r="2601" spans="1:5">
      <c r="B2601" s="111"/>
      <c r="C2601" s="111"/>
      <c r="D2601" s="111"/>
      <c r="E2601" s="112"/>
    </row>
    <row r="2602" spans="1:5">
      <c r="B2602" s="111"/>
      <c r="C2602" s="111"/>
      <c r="D2602" s="111"/>
      <c r="E2602" s="112"/>
    </row>
    <row r="2603" spans="1:5">
      <c r="A2603" s="110"/>
      <c r="B2603" s="111"/>
      <c r="C2603" s="111"/>
      <c r="D2603" s="111"/>
      <c r="E2603" s="112"/>
    </row>
    <row r="2604" spans="1:5">
      <c r="A2604" s="110"/>
      <c r="B2604" s="111"/>
      <c r="C2604" s="111"/>
      <c r="D2604" s="111"/>
      <c r="E2604" s="112"/>
    </row>
    <row r="2605" spans="1:5">
      <c r="A2605" s="110"/>
      <c r="B2605" s="111"/>
      <c r="C2605" s="111"/>
      <c r="D2605" s="111"/>
      <c r="E2605" s="112"/>
    </row>
    <row r="2606" spans="1:5">
      <c r="A2606" s="110"/>
      <c r="B2606" s="111"/>
      <c r="C2606" s="111"/>
      <c r="D2606" s="111"/>
      <c r="E2606" s="112"/>
    </row>
    <row r="2607" spans="1:5">
      <c r="A2607" s="110"/>
      <c r="B2607" s="111"/>
      <c r="C2607" s="111"/>
      <c r="D2607" s="111"/>
      <c r="E2607" s="112"/>
    </row>
    <row r="2608" spans="1:5">
      <c r="A2608" s="110"/>
      <c r="B2608" s="111"/>
      <c r="C2608" s="111"/>
      <c r="D2608" s="111"/>
      <c r="E2608" s="112"/>
    </row>
    <row r="2609" spans="1:5">
      <c r="A2609" s="110"/>
      <c r="B2609" s="111"/>
      <c r="C2609" s="111"/>
      <c r="D2609" s="111"/>
      <c r="E2609" s="112"/>
    </row>
    <row r="2610" spans="1:5">
      <c r="A2610" s="110"/>
      <c r="B2610" s="111"/>
      <c r="C2610" s="111"/>
      <c r="D2610" s="111"/>
      <c r="E2610" s="112"/>
    </row>
    <row r="2611" spans="1:5">
      <c r="A2611" s="110"/>
      <c r="B2611" s="111"/>
      <c r="C2611" s="111"/>
      <c r="D2611" s="111"/>
      <c r="E2611" s="112"/>
    </row>
    <row r="2612" spans="1:5">
      <c r="A2612" s="110"/>
      <c r="B2612" s="111"/>
      <c r="C2612" s="111"/>
      <c r="D2612" s="111"/>
      <c r="E2612" s="112"/>
    </row>
    <row r="2613" spans="1:5">
      <c r="A2613" s="110"/>
      <c r="B2613" s="111"/>
      <c r="C2613" s="111"/>
      <c r="D2613" s="111"/>
      <c r="E2613" s="112"/>
    </row>
    <row r="2614" spans="1:5">
      <c r="A2614" s="110"/>
      <c r="B2614" s="111"/>
      <c r="C2614" s="111"/>
      <c r="D2614" s="111"/>
      <c r="E2614" s="112"/>
    </row>
    <row r="2615" spans="1:5">
      <c r="A2615" s="110"/>
      <c r="B2615" s="111"/>
      <c r="C2615" s="111"/>
      <c r="D2615" s="111"/>
      <c r="E2615" s="112"/>
    </row>
    <row r="2616" spans="1:5">
      <c r="A2616" s="110"/>
      <c r="B2616" s="111"/>
      <c r="C2616" s="111"/>
      <c r="D2616" s="111"/>
      <c r="E2616" s="112"/>
    </row>
    <row r="2617" spans="1:5">
      <c r="A2617" s="110"/>
      <c r="B2617" s="111"/>
      <c r="C2617" s="111"/>
      <c r="D2617" s="111"/>
      <c r="E2617" s="112"/>
    </row>
    <row r="2618" spans="1:5">
      <c r="A2618" s="110"/>
      <c r="B2618" s="111"/>
      <c r="C2618" s="111"/>
      <c r="D2618" s="111"/>
      <c r="E2618" s="112"/>
    </row>
    <row r="2619" spans="1:5">
      <c r="A2619" s="110"/>
      <c r="B2619" s="111"/>
      <c r="C2619" s="111"/>
      <c r="D2619" s="111"/>
      <c r="E2619" s="112"/>
    </row>
    <row r="2620" spans="1:5">
      <c r="A2620" s="110"/>
      <c r="B2620" s="111"/>
      <c r="C2620" s="111"/>
      <c r="D2620" s="111"/>
      <c r="E2620" s="112"/>
    </row>
    <row r="2621" spans="1:5">
      <c r="A2621" s="110"/>
      <c r="B2621" s="111"/>
      <c r="C2621" s="111"/>
      <c r="D2621" s="111"/>
      <c r="E2621" s="112"/>
    </row>
    <row r="2622" spans="1:5">
      <c r="A2622" s="110"/>
      <c r="B2622" s="111"/>
      <c r="C2622" s="111"/>
      <c r="D2622" s="111"/>
      <c r="E2622" s="112"/>
    </row>
    <row r="2623" spans="1:5">
      <c r="A2623" s="110"/>
      <c r="B2623" s="111"/>
      <c r="C2623" s="111"/>
      <c r="D2623" s="111"/>
      <c r="E2623" s="112"/>
    </row>
    <row r="2624" spans="1:5">
      <c r="A2624" s="110"/>
      <c r="B2624" s="111"/>
      <c r="C2624" s="111"/>
      <c r="D2624" s="111"/>
      <c r="E2624" s="112"/>
    </row>
    <row r="2625" spans="1:5">
      <c r="A2625" s="110"/>
      <c r="B2625" s="111"/>
      <c r="C2625" s="111"/>
      <c r="D2625" s="111"/>
      <c r="E2625" s="112"/>
    </row>
    <row r="2626" spans="1:5">
      <c r="A2626" s="110"/>
      <c r="B2626" s="111"/>
      <c r="C2626" s="111"/>
      <c r="D2626" s="111"/>
      <c r="E2626" s="112"/>
    </row>
    <row r="2627" spans="1:5">
      <c r="A2627" s="110"/>
      <c r="B2627" s="111"/>
      <c r="C2627" s="111"/>
      <c r="D2627" s="111"/>
      <c r="E2627" s="112"/>
    </row>
    <row r="2628" spans="1:5">
      <c r="A2628" s="110"/>
      <c r="B2628" s="111"/>
      <c r="C2628" s="111"/>
      <c r="D2628" s="111"/>
      <c r="E2628" s="112"/>
    </row>
    <row r="2629" spans="1:5">
      <c r="A2629" s="110"/>
      <c r="B2629" s="111"/>
      <c r="C2629" s="111"/>
      <c r="D2629" s="111"/>
      <c r="E2629" s="112"/>
    </row>
    <row r="2630" spans="1:5">
      <c r="A2630" s="110"/>
      <c r="B2630" s="111"/>
      <c r="C2630" s="111"/>
      <c r="D2630" s="111"/>
      <c r="E2630" s="112"/>
    </row>
    <row r="2631" spans="1:5">
      <c r="A2631" s="110"/>
      <c r="B2631" s="111"/>
      <c r="C2631" s="111"/>
      <c r="D2631" s="111"/>
      <c r="E2631" s="112"/>
    </row>
    <row r="2632" spans="1:5">
      <c r="A2632" s="110"/>
      <c r="B2632" s="111"/>
      <c r="C2632" s="111"/>
      <c r="D2632" s="111"/>
      <c r="E2632" s="112"/>
    </row>
    <row r="2633" spans="1:5">
      <c r="A2633" s="110"/>
      <c r="B2633" s="111"/>
      <c r="C2633" s="111"/>
      <c r="D2633" s="111"/>
      <c r="E2633" s="112"/>
    </row>
    <row r="2634" spans="1:5">
      <c r="A2634" s="110"/>
      <c r="B2634" s="111"/>
      <c r="C2634" s="111"/>
      <c r="D2634" s="111"/>
      <c r="E2634" s="112"/>
    </row>
    <row r="2635" spans="1:5">
      <c r="B2635" s="111"/>
      <c r="C2635" s="111"/>
      <c r="D2635" s="111"/>
      <c r="E2635" s="112"/>
    </row>
    <row r="2636" spans="1:5">
      <c r="B2636" s="111"/>
      <c r="C2636" s="111"/>
      <c r="D2636" s="111"/>
      <c r="E2636" s="112"/>
    </row>
    <row r="2637" spans="1:5">
      <c r="B2637" s="111"/>
      <c r="C2637" s="111"/>
      <c r="D2637" s="111"/>
      <c r="E2637" s="112"/>
    </row>
    <row r="2638" spans="1:5">
      <c r="B2638" s="111"/>
      <c r="C2638" s="111"/>
      <c r="D2638" s="111"/>
      <c r="E2638" s="112"/>
    </row>
    <row r="2639" spans="1:5">
      <c r="B2639" s="111"/>
      <c r="C2639" s="111"/>
      <c r="D2639" s="111"/>
      <c r="E2639" s="112"/>
    </row>
    <row r="2640" spans="1:5">
      <c r="B2640" s="111"/>
      <c r="C2640" s="111"/>
      <c r="D2640" s="111"/>
      <c r="E2640" s="112"/>
    </row>
    <row r="2641" spans="1:5">
      <c r="B2641" s="111"/>
      <c r="C2641" s="111"/>
      <c r="D2641" s="111"/>
      <c r="E2641" s="112"/>
    </row>
    <row r="2642" spans="1:5">
      <c r="B2642" s="111"/>
      <c r="C2642" s="111"/>
      <c r="D2642" s="111"/>
      <c r="E2642" s="112"/>
    </row>
    <row r="2643" spans="1:5">
      <c r="B2643" s="111"/>
      <c r="C2643" s="111"/>
      <c r="D2643" s="111"/>
      <c r="E2643" s="112"/>
    </row>
    <row r="2644" spans="1:5">
      <c r="A2644" s="110"/>
      <c r="B2644" s="111"/>
      <c r="C2644" s="111"/>
      <c r="D2644" s="111"/>
      <c r="E2644" s="112"/>
    </row>
    <row r="2645" spans="1:5">
      <c r="A2645" s="110"/>
      <c r="B2645" s="111"/>
      <c r="C2645" s="111"/>
      <c r="D2645" s="111"/>
      <c r="E2645" s="112"/>
    </row>
    <row r="2646" spans="1:5">
      <c r="A2646" s="110"/>
      <c r="B2646" s="111"/>
      <c r="C2646" s="111"/>
      <c r="D2646" s="111"/>
      <c r="E2646" s="112"/>
    </row>
    <row r="2647" spans="1:5">
      <c r="A2647" s="110"/>
      <c r="B2647" s="111"/>
      <c r="C2647" s="111"/>
      <c r="D2647" s="111"/>
      <c r="E2647" s="112"/>
    </row>
    <row r="2648" spans="1:5">
      <c r="A2648" s="110"/>
      <c r="B2648" s="111"/>
      <c r="C2648" s="111"/>
      <c r="D2648" s="111"/>
      <c r="E2648" s="112"/>
    </row>
    <row r="2649" spans="1:5">
      <c r="A2649" s="110"/>
      <c r="B2649" s="111"/>
      <c r="C2649" s="111"/>
      <c r="D2649" s="111"/>
      <c r="E2649" s="112"/>
    </row>
    <row r="2650" spans="1:5">
      <c r="A2650" s="110"/>
      <c r="B2650" s="111"/>
      <c r="C2650" s="111"/>
      <c r="D2650" s="111"/>
      <c r="E2650" s="112"/>
    </row>
    <row r="2651" spans="1:5">
      <c r="A2651" s="110"/>
      <c r="B2651" s="111"/>
      <c r="C2651" s="111"/>
      <c r="D2651" s="111"/>
      <c r="E2651" s="112"/>
    </row>
    <row r="2652" spans="1:5">
      <c r="A2652" s="110"/>
      <c r="B2652" s="111"/>
      <c r="C2652" s="111"/>
      <c r="D2652" s="111"/>
      <c r="E2652" s="112"/>
    </row>
    <row r="2653" spans="1:5">
      <c r="A2653" s="110"/>
      <c r="B2653" s="111"/>
      <c r="C2653" s="111"/>
      <c r="D2653" s="111"/>
      <c r="E2653" s="112"/>
    </row>
    <row r="2654" spans="1:5">
      <c r="A2654" s="110"/>
      <c r="B2654" s="111"/>
      <c r="C2654" s="111"/>
      <c r="D2654" s="111"/>
      <c r="E2654" s="112"/>
    </row>
    <row r="2655" spans="1:5">
      <c r="A2655" s="110"/>
      <c r="B2655" s="111"/>
      <c r="C2655" s="111"/>
      <c r="D2655" s="111"/>
      <c r="E2655" s="112"/>
    </row>
    <row r="2656" spans="1:5">
      <c r="A2656" s="110"/>
      <c r="B2656" s="111"/>
      <c r="C2656" s="111"/>
      <c r="D2656" s="111"/>
      <c r="E2656" s="112"/>
    </row>
    <row r="2657" spans="1:5">
      <c r="A2657" s="110"/>
      <c r="B2657" s="111"/>
      <c r="C2657" s="111"/>
      <c r="D2657" s="111"/>
      <c r="E2657" s="112"/>
    </row>
    <row r="2658" spans="1:5">
      <c r="A2658" s="110"/>
      <c r="B2658" s="111"/>
      <c r="C2658" s="111"/>
      <c r="D2658" s="111"/>
      <c r="E2658" s="112"/>
    </row>
    <row r="2659" spans="1:5">
      <c r="A2659" s="110"/>
      <c r="B2659" s="111"/>
      <c r="C2659" s="111"/>
      <c r="D2659" s="111"/>
      <c r="E2659" s="112"/>
    </row>
    <row r="2660" spans="1:5">
      <c r="A2660" s="110"/>
      <c r="B2660" s="111"/>
      <c r="C2660" s="111"/>
      <c r="D2660" s="111"/>
      <c r="E2660" s="112"/>
    </row>
    <row r="2661" spans="1:5">
      <c r="A2661" s="110"/>
      <c r="B2661" s="111"/>
      <c r="C2661" s="111"/>
      <c r="D2661" s="111"/>
      <c r="E2661" s="112"/>
    </row>
    <row r="2662" spans="1:5">
      <c r="A2662" s="110"/>
      <c r="B2662" s="111"/>
      <c r="C2662" s="111"/>
      <c r="D2662" s="111"/>
      <c r="E2662" s="112"/>
    </row>
    <row r="2663" spans="1:5">
      <c r="A2663" s="110"/>
      <c r="B2663" s="111"/>
      <c r="C2663" s="111"/>
      <c r="D2663" s="111"/>
      <c r="E2663" s="112"/>
    </row>
    <row r="2664" spans="1:5">
      <c r="A2664" s="110"/>
      <c r="B2664" s="111"/>
      <c r="C2664" s="111"/>
      <c r="D2664" s="111"/>
      <c r="E2664" s="112"/>
    </row>
    <row r="2665" spans="1:5">
      <c r="A2665" s="110"/>
      <c r="B2665" s="111"/>
      <c r="C2665" s="111"/>
      <c r="D2665" s="111"/>
      <c r="E2665" s="112"/>
    </row>
    <row r="2666" spans="1:5">
      <c r="A2666" s="110"/>
      <c r="B2666" s="111"/>
      <c r="C2666" s="111"/>
      <c r="D2666" s="111"/>
      <c r="E2666" s="112"/>
    </row>
    <row r="2667" spans="1:5">
      <c r="A2667" s="110"/>
      <c r="B2667" s="111"/>
      <c r="C2667" s="111"/>
      <c r="D2667" s="111"/>
      <c r="E2667" s="112"/>
    </row>
    <row r="2668" spans="1:5">
      <c r="A2668" s="110"/>
      <c r="B2668" s="111"/>
      <c r="C2668" s="111"/>
      <c r="D2668" s="111"/>
      <c r="E2668" s="112"/>
    </row>
    <row r="2669" spans="1:5">
      <c r="A2669" s="110"/>
      <c r="B2669" s="111"/>
      <c r="C2669" s="111"/>
      <c r="D2669" s="111"/>
      <c r="E2669" s="112"/>
    </row>
    <row r="2670" spans="1:5">
      <c r="A2670" s="110"/>
      <c r="B2670" s="111"/>
      <c r="C2670" s="111"/>
      <c r="D2670" s="111"/>
      <c r="E2670" s="112"/>
    </row>
    <row r="2671" spans="1:5">
      <c r="A2671" s="110"/>
      <c r="B2671" s="111"/>
      <c r="C2671" s="111"/>
      <c r="D2671" s="111"/>
      <c r="E2671" s="112"/>
    </row>
    <row r="2672" spans="1:5">
      <c r="A2672" s="110"/>
      <c r="B2672" s="111"/>
      <c r="C2672" s="111"/>
      <c r="D2672" s="111"/>
      <c r="E2672" s="112"/>
    </row>
    <row r="2673" spans="1:5">
      <c r="A2673" s="110"/>
      <c r="B2673" s="111"/>
      <c r="C2673" s="111"/>
      <c r="D2673" s="111"/>
      <c r="E2673" s="112"/>
    </row>
    <row r="2674" spans="1:5">
      <c r="A2674" s="110"/>
      <c r="B2674" s="111"/>
      <c r="C2674" s="111"/>
      <c r="D2674" s="111"/>
      <c r="E2674" s="112"/>
    </row>
    <row r="2675" spans="1:5">
      <c r="A2675" s="110"/>
      <c r="B2675" s="111"/>
      <c r="C2675" s="111"/>
      <c r="D2675" s="111"/>
      <c r="E2675" s="112"/>
    </row>
    <row r="2676" spans="1:5">
      <c r="A2676" s="110"/>
      <c r="B2676" s="111"/>
      <c r="C2676" s="111"/>
      <c r="D2676" s="111"/>
      <c r="E2676" s="112"/>
    </row>
    <row r="2677" spans="1:5">
      <c r="A2677" s="110"/>
      <c r="B2677" s="111"/>
      <c r="C2677" s="111"/>
      <c r="D2677" s="111"/>
      <c r="E2677" s="112"/>
    </row>
    <row r="2678" spans="1:5">
      <c r="A2678" s="110"/>
      <c r="B2678" s="111"/>
      <c r="C2678" s="111"/>
      <c r="D2678" s="111"/>
      <c r="E2678" s="112"/>
    </row>
    <row r="2679" spans="1:5">
      <c r="A2679" s="110"/>
      <c r="B2679" s="111"/>
      <c r="C2679" s="111"/>
      <c r="D2679" s="111"/>
      <c r="E2679" s="112"/>
    </row>
    <row r="2680" spans="1:5">
      <c r="A2680" s="110"/>
      <c r="B2680" s="111"/>
      <c r="C2680" s="111"/>
      <c r="D2680" s="111"/>
      <c r="E2680" s="112"/>
    </row>
    <row r="2681" spans="1:5">
      <c r="A2681" s="110"/>
      <c r="B2681" s="111"/>
      <c r="C2681" s="111"/>
      <c r="D2681" s="111"/>
      <c r="E2681" s="112"/>
    </row>
    <row r="2682" spans="1:5">
      <c r="A2682" s="110"/>
      <c r="B2682" s="111"/>
      <c r="C2682" s="111"/>
      <c r="D2682" s="111"/>
      <c r="E2682" s="112"/>
    </row>
    <row r="2683" spans="1:5">
      <c r="A2683" s="110"/>
      <c r="B2683" s="111"/>
      <c r="C2683" s="111"/>
      <c r="D2683" s="111"/>
      <c r="E2683" s="112"/>
    </row>
    <row r="2684" spans="1:5">
      <c r="A2684" s="110"/>
      <c r="B2684" s="111"/>
      <c r="C2684" s="111"/>
      <c r="D2684" s="111"/>
      <c r="E2684" s="112"/>
    </row>
    <row r="2685" spans="1:5">
      <c r="A2685" s="110"/>
      <c r="B2685" s="111"/>
      <c r="C2685" s="111"/>
      <c r="D2685" s="111"/>
      <c r="E2685" s="112"/>
    </row>
    <row r="2686" spans="1:5">
      <c r="A2686" s="110"/>
      <c r="B2686" s="111"/>
      <c r="C2686" s="111"/>
      <c r="D2686" s="111"/>
      <c r="E2686" s="112"/>
    </row>
    <row r="2687" spans="1:5">
      <c r="A2687" s="110"/>
      <c r="B2687" s="111"/>
      <c r="C2687" s="111"/>
      <c r="D2687" s="111"/>
      <c r="E2687" s="112"/>
    </row>
    <row r="2688" spans="1:5">
      <c r="A2688" s="110"/>
      <c r="B2688" s="111"/>
      <c r="C2688" s="111"/>
      <c r="D2688" s="111"/>
      <c r="E2688" s="112"/>
    </row>
    <row r="2689" spans="1:5">
      <c r="A2689" s="110"/>
      <c r="B2689" s="111"/>
      <c r="C2689" s="111"/>
      <c r="D2689" s="111"/>
      <c r="E2689" s="112"/>
    </row>
    <row r="2690" spans="1:5">
      <c r="A2690" s="110"/>
      <c r="B2690" s="111"/>
      <c r="C2690" s="111"/>
      <c r="D2690" s="111"/>
      <c r="E2690" s="112"/>
    </row>
    <row r="2691" spans="1:5">
      <c r="A2691" s="110"/>
      <c r="B2691" s="111"/>
      <c r="C2691" s="111"/>
      <c r="D2691" s="111"/>
      <c r="E2691" s="112"/>
    </row>
    <row r="2692" spans="1:5">
      <c r="A2692" s="110"/>
      <c r="B2692" s="111"/>
      <c r="C2692" s="111"/>
      <c r="D2692" s="111"/>
      <c r="E2692" s="112"/>
    </row>
    <row r="2693" spans="1:5">
      <c r="A2693" s="110"/>
      <c r="B2693" s="111"/>
      <c r="C2693" s="111"/>
      <c r="D2693" s="111"/>
      <c r="E2693" s="112"/>
    </row>
    <row r="2694" spans="1:5">
      <c r="A2694" s="110"/>
      <c r="B2694" s="111"/>
      <c r="C2694" s="111"/>
      <c r="D2694" s="111"/>
      <c r="E2694" s="112"/>
    </row>
    <row r="2695" spans="1:5">
      <c r="A2695" s="110"/>
      <c r="B2695" s="111"/>
      <c r="C2695" s="111"/>
      <c r="D2695" s="111"/>
      <c r="E2695" s="112"/>
    </row>
    <row r="2696" spans="1:5">
      <c r="A2696" s="110"/>
      <c r="B2696" s="111"/>
      <c r="C2696" s="111"/>
      <c r="D2696" s="111"/>
      <c r="E2696" s="112"/>
    </row>
    <row r="2697" spans="1:5">
      <c r="A2697" s="110"/>
      <c r="B2697" s="111"/>
      <c r="C2697" s="111"/>
      <c r="D2697" s="111"/>
      <c r="E2697" s="112"/>
    </row>
    <row r="2698" spans="1:5">
      <c r="A2698" s="110"/>
      <c r="B2698" s="111"/>
      <c r="C2698" s="111"/>
      <c r="D2698" s="111"/>
      <c r="E2698" s="112"/>
    </row>
    <row r="2699" spans="1:5">
      <c r="A2699" s="110"/>
      <c r="B2699" s="111"/>
      <c r="C2699" s="111"/>
      <c r="D2699" s="111"/>
      <c r="E2699" s="112"/>
    </row>
    <row r="2700" spans="1:5">
      <c r="A2700" s="110"/>
      <c r="B2700" s="111"/>
      <c r="C2700" s="111"/>
      <c r="D2700" s="111"/>
      <c r="E2700" s="112"/>
    </row>
    <row r="2701" spans="1:5">
      <c r="A2701" s="110"/>
      <c r="B2701" s="111"/>
      <c r="C2701" s="111"/>
      <c r="D2701" s="111"/>
      <c r="E2701" s="112"/>
    </row>
    <row r="2702" spans="1:5">
      <c r="A2702" s="110"/>
      <c r="B2702" s="111"/>
      <c r="C2702" s="111"/>
      <c r="D2702" s="111"/>
      <c r="E2702" s="112"/>
    </row>
    <row r="2703" spans="1:5">
      <c r="A2703" s="110"/>
      <c r="B2703" s="111"/>
      <c r="C2703" s="111"/>
      <c r="D2703" s="111"/>
      <c r="E2703" s="112"/>
    </row>
    <row r="2704" spans="1:5">
      <c r="A2704" s="110"/>
      <c r="B2704" s="111"/>
      <c r="C2704" s="111"/>
      <c r="D2704" s="111"/>
      <c r="E2704" s="112"/>
    </row>
    <row r="2705" spans="1:5">
      <c r="A2705" s="110"/>
      <c r="B2705" s="111"/>
      <c r="C2705" s="111"/>
      <c r="D2705" s="111"/>
      <c r="E2705" s="112"/>
    </row>
    <row r="2706" spans="1:5">
      <c r="A2706" s="110"/>
      <c r="B2706" s="111"/>
      <c r="C2706" s="111"/>
      <c r="D2706" s="111"/>
      <c r="E2706" s="112"/>
    </row>
    <row r="2707" spans="1:5">
      <c r="A2707" s="110"/>
      <c r="B2707" s="111"/>
      <c r="C2707" s="111"/>
      <c r="D2707" s="111"/>
      <c r="E2707" s="112"/>
    </row>
    <row r="2708" spans="1:5">
      <c r="A2708" s="110"/>
      <c r="B2708" s="111"/>
      <c r="C2708" s="111"/>
      <c r="D2708" s="111"/>
      <c r="E2708" s="112"/>
    </row>
    <row r="2709" spans="1:5">
      <c r="A2709" s="110"/>
      <c r="B2709" s="111"/>
      <c r="C2709" s="111"/>
      <c r="D2709" s="111"/>
      <c r="E2709" s="112"/>
    </row>
    <row r="2710" spans="1:5">
      <c r="A2710" s="110"/>
      <c r="B2710" s="111"/>
      <c r="C2710" s="111"/>
      <c r="D2710" s="111"/>
      <c r="E2710" s="112"/>
    </row>
    <row r="2711" spans="1:5">
      <c r="A2711" s="110"/>
      <c r="B2711" s="111"/>
      <c r="C2711" s="111"/>
      <c r="D2711" s="111"/>
      <c r="E2711" s="112"/>
    </row>
    <row r="2712" spans="1:5">
      <c r="A2712" s="110"/>
      <c r="B2712" s="111"/>
      <c r="C2712" s="111"/>
      <c r="D2712" s="111"/>
      <c r="E2712" s="112"/>
    </row>
    <row r="2713" spans="1:5">
      <c r="A2713" s="110"/>
      <c r="B2713" s="111"/>
      <c r="C2713" s="111"/>
      <c r="D2713" s="111"/>
      <c r="E2713" s="112"/>
    </row>
    <row r="2714" spans="1:5">
      <c r="A2714" s="110"/>
      <c r="B2714" s="111"/>
      <c r="C2714" s="111"/>
      <c r="D2714" s="111"/>
      <c r="E2714" s="112"/>
    </row>
    <row r="2715" spans="1:5">
      <c r="A2715" s="110"/>
      <c r="B2715" s="111"/>
      <c r="C2715" s="111"/>
      <c r="D2715" s="111"/>
      <c r="E2715" s="112"/>
    </row>
    <row r="2716" spans="1:5">
      <c r="A2716" s="110"/>
      <c r="B2716" s="111"/>
      <c r="C2716" s="111"/>
      <c r="D2716" s="111"/>
      <c r="E2716" s="112"/>
    </row>
    <row r="2717" spans="1:5">
      <c r="A2717" s="110"/>
      <c r="B2717" s="111"/>
      <c r="C2717" s="111"/>
      <c r="D2717" s="111"/>
      <c r="E2717" s="112"/>
    </row>
    <row r="2718" spans="1:5">
      <c r="A2718" s="110"/>
      <c r="B2718" s="111"/>
      <c r="C2718" s="111"/>
      <c r="D2718" s="111"/>
      <c r="E2718" s="112"/>
    </row>
    <row r="2719" spans="1:5">
      <c r="A2719" s="110"/>
      <c r="B2719" s="111"/>
      <c r="C2719" s="111"/>
      <c r="D2719" s="111"/>
      <c r="E2719" s="112"/>
    </row>
    <row r="2720" spans="1:5">
      <c r="A2720" s="110"/>
      <c r="B2720" s="111"/>
      <c r="C2720" s="111"/>
      <c r="D2720" s="111"/>
      <c r="E2720" s="112"/>
    </row>
    <row r="2721" spans="1:5">
      <c r="A2721" s="110"/>
      <c r="B2721" s="111"/>
      <c r="C2721" s="111"/>
      <c r="D2721" s="111"/>
      <c r="E2721" s="112"/>
    </row>
    <row r="2722" spans="1:5">
      <c r="A2722" s="110"/>
      <c r="B2722" s="111"/>
      <c r="C2722" s="111"/>
      <c r="D2722" s="111"/>
      <c r="E2722" s="112"/>
    </row>
    <row r="2723" spans="1:5">
      <c r="A2723" s="110"/>
      <c r="B2723" s="111"/>
      <c r="C2723" s="111"/>
      <c r="D2723" s="111"/>
      <c r="E2723" s="112"/>
    </row>
    <row r="2724" spans="1:5">
      <c r="A2724" s="110"/>
      <c r="B2724" s="111"/>
      <c r="C2724" s="111"/>
      <c r="D2724" s="111"/>
      <c r="E2724" s="112"/>
    </row>
    <row r="2725" spans="1:5">
      <c r="A2725" s="110"/>
      <c r="B2725" s="111"/>
      <c r="C2725" s="111"/>
      <c r="D2725" s="111"/>
      <c r="E2725" s="112"/>
    </row>
    <row r="2726" spans="1:5">
      <c r="A2726" s="110"/>
      <c r="B2726" s="111"/>
      <c r="C2726" s="111"/>
      <c r="D2726" s="111"/>
      <c r="E2726" s="112"/>
    </row>
    <row r="2727" spans="1:5">
      <c r="A2727" s="110"/>
      <c r="B2727" s="111"/>
      <c r="C2727" s="111"/>
      <c r="D2727" s="111"/>
      <c r="E2727" s="112"/>
    </row>
    <row r="2728" spans="1:5">
      <c r="A2728" s="110"/>
      <c r="B2728" s="111"/>
      <c r="C2728" s="111"/>
      <c r="D2728" s="111"/>
      <c r="E2728" s="112"/>
    </row>
    <row r="2729" spans="1:5">
      <c r="A2729" s="110"/>
      <c r="B2729" s="111"/>
      <c r="C2729" s="111"/>
      <c r="D2729" s="111"/>
      <c r="E2729" s="112"/>
    </row>
    <row r="2730" spans="1:5">
      <c r="A2730" s="110"/>
      <c r="B2730" s="111"/>
      <c r="C2730" s="111"/>
      <c r="D2730" s="111"/>
      <c r="E2730" s="112"/>
    </row>
    <row r="2731" spans="1:5">
      <c r="A2731" s="110"/>
      <c r="B2731" s="111"/>
      <c r="C2731" s="111"/>
      <c r="D2731" s="111"/>
      <c r="E2731" s="112"/>
    </row>
    <row r="2732" spans="1:5">
      <c r="A2732" s="110"/>
      <c r="B2732" s="111"/>
      <c r="C2732" s="111"/>
      <c r="D2732" s="111"/>
      <c r="E2732" s="112"/>
    </row>
    <row r="2733" spans="1:5">
      <c r="A2733" s="110"/>
      <c r="B2733" s="111"/>
      <c r="C2733" s="111"/>
      <c r="D2733" s="111"/>
      <c r="E2733" s="112"/>
    </row>
    <row r="2734" spans="1:5">
      <c r="A2734" s="110"/>
      <c r="B2734" s="111"/>
      <c r="C2734" s="111"/>
      <c r="D2734" s="111"/>
      <c r="E2734" s="112"/>
    </row>
    <row r="2735" spans="1:5">
      <c r="A2735" s="110"/>
      <c r="B2735" s="111"/>
      <c r="C2735" s="111"/>
      <c r="D2735" s="111"/>
      <c r="E2735" s="112"/>
    </row>
    <row r="2736" spans="1:5">
      <c r="A2736" s="110"/>
      <c r="B2736" s="111"/>
      <c r="C2736" s="111"/>
      <c r="D2736" s="111"/>
      <c r="E2736" s="112"/>
    </row>
    <row r="2737" spans="1:5">
      <c r="A2737" s="110"/>
      <c r="B2737" s="111"/>
      <c r="C2737" s="111"/>
      <c r="D2737" s="111"/>
      <c r="E2737" s="112"/>
    </row>
    <row r="2738" spans="1:5">
      <c r="A2738" s="110"/>
      <c r="B2738" s="111"/>
      <c r="C2738" s="111"/>
      <c r="D2738" s="111"/>
      <c r="E2738" s="112"/>
    </row>
    <row r="2739" spans="1:5">
      <c r="A2739" s="110"/>
      <c r="B2739" s="111"/>
      <c r="C2739" s="111"/>
      <c r="D2739" s="111"/>
      <c r="E2739" s="112"/>
    </row>
    <row r="2740" spans="1:5">
      <c r="A2740" s="110"/>
      <c r="B2740" s="111"/>
      <c r="C2740" s="111"/>
      <c r="D2740" s="111"/>
      <c r="E2740" s="112"/>
    </row>
    <row r="2741" spans="1:5">
      <c r="A2741" s="110"/>
      <c r="B2741" s="111"/>
      <c r="C2741" s="111"/>
      <c r="D2741" s="111"/>
      <c r="E2741" s="112"/>
    </row>
    <row r="2742" spans="1:5">
      <c r="A2742" s="110"/>
      <c r="B2742" s="111"/>
      <c r="C2742" s="111"/>
      <c r="D2742" s="111"/>
      <c r="E2742" s="112"/>
    </row>
    <row r="2743" spans="1:5">
      <c r="A2743" s="110"/>
      <c r="B2743" s="111"/>
      <c r="C2743" s="111"/>
      <c r="D2743" s="111"/>
      <c r="E2743" s="112"/>
    </row>
    <row r="2744" spans="1:5">
      <c r="A2744" s="110"/>
      <c r="B2744" s="111"/>
      <c r="C2744" s="111"/>
      <c r="D2744" s="111"/>
      <c r="E2744" s="112"/>
    </row>
    <row r="2745" spans="1:5">
      <c r="A2745" s="110"/>
      <c r="B2745" s="111"/>
      <c r="C2745" s="111"/>
      <c r="D2745" s="111"/>
      <c r="E2745" s="112"/>
    </row>
    <row r="2746" spans="1:5">
      <c r="A2746" s="110"/>
      <c r="B2746" s="111"/>
      <c r="C2746" s="111"/>
      <c r="D2746" s="111"/>
      <c r="E2746" s="112"/>
    </row>
    <row r="2747" spans="1:5">
      <c r="A2747" s="110"/>
      <c r="B2747" s="111"/>
      <c r="C2747" s="111"/>
      <c r="D2747" s="111"/>
      <c r="E2747" s="112"/>
    </row>
    <row r="2748" spans="1:5">
      <c r="A2748" s="110"/>
      <c r="B2748" s="111"/>
      <c r="C2748" s="111"/>
      <c r="D2748" s="111"/>
      <c r="E2748" s="112"/>
    </row>
    <row r="2749" spans="1:5">
      <c r="A2749" s="110"/>
      <c r="B2749" s="111"/>
      <c r="C2749" s="111"/>
      <c r="D2749" s="111"/>
      <c r="E2749" s="112"/>
    </row>
    <row r="2750" spans="1:5">
      <c r="A2750" s="110"/>
      <c r="B2750" s="111"/>
      <c r="C2750" s="111"/>
      <c r="D2750" s="111"/>
      <c r="E2750" s="112"/>
    </row>
    <row r="2751" spans="1:5">
      <c r="A2751" s="110"/>
      <c r="B2751" s="111"/>
      <c r="C2751" s="111"/>
      <c r="D2751" s="111"/>
      <c r="E2751" s="112"/>
    </row>
    <row r="2752" spans="1:5">
      <c r="A2752" s="110"/>
      <c r="B2752" s="111"/>
      <c r="C2752" s="111"/>
      <c r="D2752" s="111"/>
      <c r="E2752" s="112"/>
    </row>
    <row r="2753" spans="1:5">
      <c r="A2753" s="110"/>
      <c r="B2753" s="111"/>
      <c r="C2753" s="111"/>
      <c r="D2753" s="111"/>
      <c r="E2753" s="112"/>
    </row>
    <row r="2754" spans="1:5">
      <c r="A2754" s="110"/>
      <c r="B2754" s="111"/>
      <c r="C2754" s="111"/>
      <c r="D2754" s="111"/>
      <c r="E2754" s="112"/>
    </row>
    <row r="2755" spans="1:5">
      <c r="A2755" s="110"/>
      <c r="B2755" s="111"/>
      <c r="C2755" s="111"/>
      <c r="D2755" s="111"/>
      <c r="E2755" s="112"/>
    </row>
    <row r="2756" spans="1:5">
      <c r="A2756" s="110"/>
      <c r="B2756" s="111"/>
      <c r="C2756" s="111"/>
      <c r="D2756" s="111"/>
      <c r="E2756" s="112"/>
    </row>
    <row r="2757" spans="1:5">
      <c r="D2757" s="111"/>
      <c r="E2757" s="112"/>
    </row>
    <row r="2758" spans="1:5">
      <c r="D2758" s="111"/>
      <c r="E2758" s="112"/>
    </row>
    <row r="2759" spans="1:5">
      <c r="D2759" s="111"/>
      <c r="E2759" s="112"/>
    </row>
    <row r="2760" spans="1:5">
      <c r="D2760" s="111"/>
      <c r="E2760" s="112"/>
    </row>
    <row r="2761" spans="1:5">
      <c r="D2761" s="111"/>
      <c r="E2761" s="112"/>
    </row>
    <row r="2762" spans="1:5">
      <c r="D2762" s="111"/>
      <c r="E2762" s="112"/>
    </row>
    <row r="2763" spans="1:5">
      <c r="D2763" s="111"/>
      <c r="E2763" s="112"/>
    </row>
    <row r="2764" spans="1:5">
      <c r="D2764" s="111"/>
      <c r="E2764" s="112"/>
    </row>
    <row r="2765" spans="1:5">
      <c r="D2765" s="111"/>
      <c r="E2765" s="112"/>
    </row>
    <row r="2766" spans="1:5">
      <c r="D2766" s="111"/>
      <c r="E2766" s="112"/>
    </row>
    <row r="2767" spans="1:5">
      <c r="D2767" s="111"/>
      <c r="E2767" s="112"/>
    </row>
    <row r="2768" spans="1:5">
      <c r="D2768" s="111"/>
      <c r="E2768" s="112"/>
    </row>
    <row r="2769" spans="4:5">
      <c r="D2769" s="111"/>
      <c r="E2769" s="112"/>
    </row>
    <row r="2770" spans="4:5">
      <c r="D2770" s="111"/>
      <c r="E2770" s="112"/>
    </row>
    <row r="2771" spans="4:5">
      <c r="D2771" s="111"/>
      <c r="E2771" s="112"/>
    </row>
    <row r="2772" spans="4:5">
      <c r="D2772" s="111"/>
      <c r="E2772" s="112"/>
    </row>
    <row r="2773" spans="4:5">
      <c r="D2773" s="111"/>
      <c r="E2773" s="112"/>
    </row>
    <row r="2774" spans="4:5">
      <c r="D2774" s="111"/>
      <c r="E2774" s="112"/>
    </row>
    <row r="2775" spans="4:5">
      <c r="D2775" s="111"/>
      <c r="E2775" s="112"/>
    </row>
    <row r="2776" spans="4:5">
      <c r="D2776" s="111"/>
      <c r="E2776" s="112"/>
    </row>
    <row r="2777" spans="4:5">
      <c r="D2777" s="111"/>
      <c r="E2777" s="112"/>
    </row>
    <row r="2778" spans="4:5">
      <c r="D2778" s="111"/>
      <c r="E2778" s="112"/>
    </row>
    <row r="2779" spans="4:5">
      <c r="D2779" s="111"/>
      <c r="E2779" s="112"/>
    </row>
    <row r="2780" spans="4:5">
      <c r="D2780" s="111"/>
      <c r="E2780" s="112"/>
    </row>
    <row r="2781" spans="4:5">
      <c r="D2781" s="111"/>
      <c r="E2781" s="112"/>
    </row>
    <row r="2782" spans="4:5">
      <c r="D2782" s="111"/>
      <c r="E2782" s="112"/>
    </row>
    <row r="2783" spans="4:5">
      <c r="D2783" s="111"/>
      <c r="E2783" s="112"/>
    </row>
    <row r="2784" spans="4:5">
      <c r="D2784" s="111"/>
      <c r="E2784" s="112"/>
    </row>
    <row r="2785" spans="1:5">
      <c r="D2785" s="111"/>
      <c r="E2785" s="112"/>
    </row>
    <row r="2786" spans="1:5">
      <c r="D2786" s="111"/>
      <c r="E2786" s="112"/>
    </row>
    <row r="2787" spans="1:5">
      <c r="D2787" s="111"/>
      <c r="E2787" s="112"/>
    </row>
    <row r="2788" spans="1:5">
      <c r="A2788" s="110"/>
      <c r="B2788" s="111"/>
      <c r="C2788" s="111"/>
      <c r="D2788" s="111"/>
      <c r="E2788" s="112"/>
    </row>
    <row r="2789" spans="1:5">
      <c r="A2789" s="110"/>
      <c r="B2789" s="111"/>
      <c r="C2789" s="111"/>
      <c r="D2789" s="111"/>
      <c r="E2789" s="112"/>
    </row>
    <row r="2790" spans="1:5">
      <c r="A2790" s="110"/>
      <c r="B2790" s="111"/>
      <c r="C2790" s="111"/>
      <c r="D2790" s="111"/>
      <c r="E2790" s="112"/>
    </row>
    <row r="2791" spans="1:5">
      <c r="A2791" s="110"/>
      <c r="B2791" s="111"/>
      <c r="C2791" s="111"/>
      <c r="D2791" s="111"/>
      <c r="E2791" s="112"/>
    </row>
    <row r="2792" spans="1:5">
      <c r="A2792" s="110"/>
      <c r="B2792" s="111"/>
      <c r="C2792" s="111"/>
      <c r="D2792" s="111"/>
      <c r="E2792" s="112"/>
    </row>
    <row r="2793" spans="1:5">
      <c r="A2793" s="110"/>
      <c r="B2793" s="111"/>
      <c r="C2793" s="111"/>
      <c r="D2793" s="111"/>
      <c r="E2793" s="112"/>
    </row>
    <row r="2794" spans="1:5">
      <c r="A2794" s="110"/>
      <c r="B2794" s="111"/>
      <c r="C2794" s="111"/>
      <c r="D2794" s="111"/>
      <c r="E2794" s="112"/>
    </row>
    <row r="2795" spans="1:5">
      <c r="A2795" s="110"/>
      <c r="B2795" s="111"/>
      <c r="C2795" s="111"/>
      <c r="D2795" s="111"/>
      <c r="E2795" s="112"/>
    </row>
    <row r="2796" spans="1:5">
      <c r="A2796" s="110"/>
      <c r="B2796" s="111"/>
      <c r="C2796" s="111"/>
      <c r="D2796" s="111"/>
      <c r="E2796" s="112"/>
    </row>
    <row r="2797" spans="1:5">
      <c r="A2797" s="110"/>
      <c r="B2797" s="111"/>
      <c r="C2797" s="111"/>
      <c r="D2797" s="111"/>
      <c r="E2797" s="112"/>
    </row>
    <row r="2798" spans="1:5">
      <c r="A2798" s="110"/>
      <c r="B2798" s="111"/>
      <c r="C2798" s="111"/>
      <c r="D2798" s="111"/>
      <c r="E2798" s="112"/>
    </row>
    <row r="2799" spans="1:5">
      <c r="A2799" s="110"/>
      <c r="B2799" s="111"/>
      <c r="C2799" s="111"/>
      <c r="D2799" s="111"/>
      <c r="E2799" s="112"/>
    </row>
    <row r="2800" spans="1:5">
      <c r="A2800" s="110"/>
      <c r="B2800" s="111"/>
      <c r="C2800" s="111"/>
      <c r="D2800" s="111"/>
      <c r="E2800" s="112"/>
    </row>
    <row r="2801" spans="1:5">
      <c r="A2801" s="110"/>
      <c r="B2801" s="111"/>
      <c r="C2801" s="111"/>
      <c r="D2801" s="111"/>
      <c r="E2801" s="112"/>
    </row>
    <row r="2802" spans="1:5">
      <c r="A2802" s="110"/>
      <c r="B2802" s="111"/>
      <c r="C2802" s="111"/>
      <c r="D2802" s="111"/>
      <c r="E2802" s="112"/>
    </row>
    <row r="2803" spans="1:5">
      <c r="A2803" s="110"/>
      <c r="B2803" s="111"/>
      <c r="C2803" s="111"/>
      <c r="D2803" s="111"/>
      <c r="E2803" s="112"/>
    </row>
    <row r="2804" spans="1:5">
      <c r="A2804" s="110"/>
      <c r="B2804" s="111"/>
      <c r="C2804" s="111"/>
      <c r="D2804" s="111"/>
      <c r="E2804" s="112"/>
    </row>
    <row r="2805" spans="1:5">
      <c r="A2805" s="110"/>
      <c r="B2805" s="111"/>
      <c r="C2805" s="111"/>
      <c r="D2805" s="111"/>
      <c r="E2805" s="112"/>
    </row>
    <row r="2806" spans="1:5">
      <c r="A2806" s="110"/>
      <c r="B2806" s="111"/>
      <c r="C2806" s="111"/>
      <c r="D2806" s="111"/>
      <c r="E2806" s="112"/>
    </row>
    <row r="2807" spans="1:5">
      <c r="A2807" s="110"/>
      <c r="B2807" s="111"/>
      <c r="C2807" s="111"/>
      <c r="D2807" s="111"/>
      <c r="E2807" s="112"/>
    </row>
    <row r="2808" spans="1:5">
      <c r="A2808" s="110"/>
      <c r="B2808" s="111"/>
      <c r="C2808" s="111"/>
      <c r="D2808" s="111"/>
      <c r="E2808" s="112"/>
    </row>
    <row r="2809" spans="1:5">
      <c r="A2809" s="110"/>
      <c r="B2809" s="111"/>
      <c r="C2809" s="111"/>
      <c r="D2809" s="111"/>
      <c r="E2809" s="112"/>
    </row>
    <row r="2810" spans="1:5">
      <c r="A2810" s="110"/>
      <c r="B2810" s="111"/>
      <c r="C2810" s="111"/>
      <c r="D2810" s="111"/>
      <c r="E2810" s="112"/>
    </row>
    <row r="2811" spans="1:5">
      <c r="A2811" s="110"/>
      <c r="B2811" s="111"/>
      <c r="C2811" s="111"/>
      <c r="D2811" s="111"/>
      <c r="E2811" s="112"/>
    </row>
    <row r="2812" spans="1:5">
      <c r="A2812" s="110"/>
      <c r="B2812" s="111"/>
      <c r="C2812" s="111"/>
      <c r="D2812" s="111"/>
      <c r="E2812" s="112"/>
    </row>
    <row r="2813" spans="1:5">
      <c r="A2813" s="110"/>
      <c r="B2813" s="111"/>
      <c r="C2813" s="111"/>
      <c r="D2813" s="111"/>
      <c r="E2813" s="112"/>
    </row>
    <row r="2814" spans="1:5">
      <c r="A2814" s="110"/>
      <c r="B2814" s="111"/>
      <c r="C2814" s="111"/>
      <c r="D2814" s="111"/>
      <c r="E2814" s="112"/>
    </row>
    <row r="2815" spans="1:5">
      <c r="A2815" s="110"/>
      <c r="B2815" s="111"/>
      <c r="C2815" s="111"/>
      <c r="D2815" s="111"/>
      <c r="E2815" s="112"/>
    </row>
    <row r="2816" spans="1:5">
      <c r="A2816" s="110"/>
      <c r="B2816" s="111"/>
      <c r="C2816" s="111"/>
      <c r="D2816" s="111"/>
      <c r="E2816" s="112"/>
    </row>
    <row r="2817" spans="1:5">
      <c r="A2817" s="110"/>
      <c r="B2817" s="111"/>
      <c r="C2817" s="111"/>
      <c r="D2817" s="111"/>
      <c r="E2817" s="112"/>
    </row>
    <row r="2818" spans="1:5">
      <c r="A2818" s="110"/>
      <c r="B2818" s="111"/>
      <c r="C2818" s="111"/>
      <c r="D2818" s="111"/>
      <c r="E2818" s="112"/>
    </row>
    <row r="2819" spans="1:5">
      <c r="A2819" s="110"/>
      <c r="B2819" s="111"/>
      <c r="C2819" s="111"/>
      <c r="D2819" s="111"/>
      <c r="E2819" s="112"/>
    </row>
    <row r="2820" spans="1:5">
      <c r="A2820" s="110"/>
      <c r="B2820" s="111"/>
      <c r="C2820" s="111"/>
      <c r="D2820" s="111"/>
      <c r="E2820" s="112"/>
    </row>
    <row r="2821" spans="1:5">
      <c r="A2821" s="110"/>
      <c r="B2821" s="111"/>
      <c r="C2821" s="111"/>
      <c r="D2821" s="111"/>
      <c r="E2821" s="112"/>
    </row>
    <row r="2822" spans="1:5">
      <c r="A2822" s="110"/>
      <c r="B2822" s="111"/>
      <c r="C2822" s="111"/>
      <c r="D2822" s="111"/>
      <c r="E2822" s="112"/>
    </row>
    <row r="2823" spans="1:5">
      <c r="A2823" s="110"/>
      <c r="B2823" s="111"/>
      <c r="C2823" s="111"/>
      <c r="D2823" s="111"/>
      <c r="E2823" s="112"/>
    </row>
    <row r="2824" spans="1:5">
      <c r="A2824" s="110"/>
      <c r="B2824" s="111"/>
      <c r="C2824" s="111"/>
      <c r="D2824" s="111"/>
      <c r="E2824" s="112"/>
    </row>
    <row r="2825" spans="1:5">
      <c r="A2825" s="110"/>
      <c r="B2825" s="111"/>
      <c r="C2825" s="111"/>
      <c r="D2825" s="111"/>
      <c r="E2825" s="112"/>
    </row>
    <row r="2826" spans="1:5">
      <c r="A2826" s="110"/>
      <c r="B2826" s="111"/>
      <c r="C2826" s="111"/>
      <c r="D2826" s="111"/>
      <c r="E2826" s="112"/>
    </row>
    <row r="2827" spans="1:5">
      <c r="A2827" s="110"/>
      <c r="B2827" s="111"/>
      <c r="C2827" s="111"/>
      <c r="D2827" s="111"/>
      <c r="E2827" s="112"/>
    </row>
    <row r="2828" spans="1:5">
      <c r="A2828" s="110"/>
      <c r="B2828" s="111"/>
      <c r="C2828" s="111"/>
      <c r="D2828" s="111"/>
      <c r="E2828" s="112"/>
    </row>
    <row r="2829" spans="1:5">
      <c r="A2829" s="110"/>
      <c r="B2829" s="111"/>
      <c r="C2829" s="111"/>
      <c r="D2829" s="111"/>
      <c r="E2829" s="112"/>
    </row>
    <row r="2830" spans="1:5">
      <c r="A2830" s="110"/>
      <c r="B2830" s="111"/>
      <c r="C2830" s="111"/>
      <c r="D2830" s="111"/>
      <c r="E2830" s="112"/>
    </row>
    <row r="2831" spans="1:5">
      <c r="A2831" s="110"/>
      <c r="B2831" s="111"/>
      <c r="C2831" s="111"/>
      <c r="D2831" s="111"/>
      <c r="E2831" s="112"/>
    </row>
    <row r="2832" spans="1:5">
      <c r="A2832" s="110"/>
      <c r="B2832" s="111"/>
      <c r="C2832" s="111"/>
      <c r="D2832" s="111"/>
      <c r="E2832" s="112"/>
    </row>
    <row r="2833" spans="1:5">
      <c r="A2833" s="110"/>
      <c r="B2833" s="111"/>
      <c r="C2833" s="111"/>
      <c r="D2833" s="111"/>
      <c r="E2833" s="112"/>
    </row>
    <row r="2834" spans="1:5">
      <c r="A2834" s="110"/>
      <c r="B2834" s="111"/>
      <c r="C2834" s="111"/>
      <c r="D2834" s="111"/>
      <c r="E2834" s="112"/>
    </row>
    <row r="2835" spans="1:5">
      <c r="B2835" s="111"/>
      <c r="C2835" s="111"/>
      <c r="D2835" s="111"/>
      <c r="E2835" s="112"/>
    </row>
    <row r="2836" spans="1:5">
      <c r="A2836" s="110"/>
      <c r="B2836" s="111"/>
      <c r="C2836" s="111"/>
      <c r="D2836" s="111"/>
      <c r="E2836" s="112"/>
    </row>
    <row r="2837" spans="1:5">
      <c r="A2837" s="110"/>
      <c r="B2837" s="111"/>
      <c r="C2837" s="111"/>
      <c r="D2837" s="111"/>
      <c r="E2837" s="112"/>
    </row>
    <row r="2838" spans="1:5">
      <c r="A2838" s="110"/>
      <c r="B2838" s="111"/>
      <c r="C2838" s="111"/>
      <c r="D2838" s="111"/>
      <c r="E2838" s="112"/>
    </row>
    <row r="2839" spans="1:5">
      <c r="A2839" s="110"/>
      <c r="B2839" s="111"/>
      <c r="C2839" s="111"/>
      <c r="D2839" s="111"/>
      <c r="E2839" s="112"/>
    </row>
    <row r="2840" spans="1:5">
      <c r="A2840" s="110"/>
      <c r="B2840" s="111"/>
      <c r="C2840" s="111"/>
      <c r="D2840" s="111"/>
      <c r="E2840" s="112"/>
    </row>
    <row r="2841" spans="1:5">
      <c r="A2841" s="110"/>
      <c r="B2841" s="111"/>
      <c r="C2841" s="111"/>
      <c r="D2841" s="111"/>
      <c r="E2841" s="112"/>
    </row>
    <row r="2842" spans="1:5">
      <c r="A2842" s="110"/>
      <c r="B2842" s="111"/>
      <c r="C2842" s="111"/>
      <c r="D2842" s="111"/>
      <c r="E2842" s="112"/>
    </row>
    <row r="2843" spans="1:5">
      <c r="A2843" s="110"/>
      <c r="B2843" s="111"/>
      <c r="C2843" s="111"/>
      <c r="D2843" s="111"/>
      <c r="E2843" s="112"/>
    </row>
    <row r="2844" spans="1:5">
      <c r="A2844" s="110"/>
      <c r="B2844" s="111"/>
      <c r="C2844" s="111"/>
      <c r="D2844" s="111"/>
      <c r="E2844" s="112"/>
    </row>
    <row r="2845" spans="1:5">
      <c r="A2845" s="110"/>
      <c r="B2845" s="111"/>
      <c r="C2845" s="111"/>
      <c r="D2845" s="111"/>
      <c r="E2845" s="112"/>
    </row>
    <row r="2846" spans="1:5">
      <c r="A2846" s="110"/>
      <c r="B2846" s="111"/>
      <c r="C2846" s="111"/>
      <c r="D2846" s="111"/>
      <c r="E2846" s="112"/>
    </row>
    <row r="2847" spans="1:5">
      <c r="A2847" s="110"/>
      <c r="B2847" s="111"/>
      <c r="C2847" s="111"/>
      <c r="D2847" s="111"/>
      <c r="E2847" s="112"/>
    </row>
    <row r="2848" spans="1:5">
      <c r="A2848" s="110"/>
      <c r="B2848" s="111"/>
      <c r="C2848" s="111"/>
      <c r="D2848" s="111"/>
      <c r="E2848" s="112"/>
    </row>
    <row r="2849" spans="1:5">
      <c r="A2849" s="110"/>
      <c r="B2849" s="111"/>
      <c r="C2849" s="111"/>
      <c r="D2849" s="111"/>
      <c r="E2849" s="112"/>
    </row>
    <row r="2850" spans="1:5">
      <c r="A2850" s="110"/>
      <c r="B2850" s="111"/>
      <c r="C2850" s="111"/>
      <c r="D2850" s="111"/>
      <c r="E2850" s="112"/>
    </row>
    <row r="2851" spans="1:5">
      <c r="A2851" s="110"/>
      <c r="B2851" s="111"/>
      <c r="C2851" s="111"/>
      <c r="D2851" s="111"/>
      <c r="E2851" s="112"/>
    </row>
    <row r="2852" spans="1:5">
      <c r="A2852" s="110"/>
      <c r="B2852" s="111"/>
      <c r="C2852" s="111"/>
      <c r="D2852" s="111"/>
      <c r="E2852" s="112"/>
    </row>
    <row r="2853" spans="1:5">
      <c r="A2853" s="110"/>
      <c r="B2853" s="111"/>
      <c r="C2853" s="111"/>
      <c r="D2853" s="111"/>
      <c r="E2853" s="112"/>
    </row>
    <row r="2854" spans="1:5">
      <c r="A2854" s="110"/>
      <c r="B2854" s="111"/>
      <c r="C2854" s="111"/>
      <c r="D2854" s="111"/>
      <c r="E2854" s="112"/>
    </row>
    <row r="2855" spans="1:5">
      <c r="A2855" s="110"/>
      <c r="B2855" s="111"/>
      <c r="C2855" s="111"/>
      <c r="D2855" s="111"/>
      <c r="E2855" s="112"/>
    </row>
    <row r="2856" spans="1:5">
      <c r="A2856" s="110"/>
      <c r="B2856" s="111"/>
      <c r="C2856" s="111"/>
      <c r="D2856" s="111"/>
      <c r="E2856" s="112"/>
    </row>
    <row r="2857" spans="1:5">
      <c r="A2857" s="110"/>
      <c r="B2857" s="111"/>
      <c r="C2857" s="111"/>
      <c r="D2857" s="111"/>
      <c r="E2857" s="112"/>
    </row>
    <row r="2858" spans="1:5">
      <c r="A2858" s="110"/>
      <c r="B2858" s="111"/>
      <c r="C2858" s="111"/>
      <c r="D2858" s="111"/>
      <c r="E2858" s="112"/>
    </row>
    <row r="2859" spans="1:5">
      <c r="A2859" s="110"/>
      <c r="B2859" s="111"/>
      <c r="C2859" s="111"/>
      <c r="D2859" s="111"/>
      <c r="E2859" s="112"/>
    </row>
    <row r="2860" spans="1:5">
      <c r="A2860" s="110"/>
      <c r="B2860" s="111"/>
      <c r="C2860" s="111"/>
      <c r="D2860" s="111"/>
      <c r="E2860" s="112"/>
    </row>
    <row r="2861" spans="1:5">
      <c r="A2861" s="110"/>
      <c r="B2861" s="111"/>
      <c r="C2861" s="111"/>
      <c r="D2861" s="111"/>
      <c r="E2861" s="112"/>
    </row>
    <row r="2862" spans="1:5">
      <c r="A2862" s="110"/>
      <c r="B2862" s="111"/>
      <c r="C2862" s="111"/>
      <c r="D2862" s="111"/>
      <c r="E2862" s="112"/>
    </row>
    <row r="2863" spans="1:5">
      <c r="A2863" s="110"/>
      <c r="B2863" s="111"/>
      <c r="C2863" s="111"/>
      <c r="D2863" s="111"/>
      <c r="E2863" s="112"/>
    </row>
    <row r="2864" spans="1:5">
      <c r="A2864" s="110"/>
      <c r="B2864" s="111"/>
      <c r="C2864" s="111"/>
      <c r="D2864" s="111"/>
      <c r="E2864" s="112"/>
    </row>
    <row r="2865" spans="1:5">
      <c r="A2865" s="110"/>
      <c r="B2865" s="111"/>
      <c r="C2865" s="111"/>
      <c r="D2865" s="111"/>
      <c r="E2865" s="112"/>
    </row>
    <row r="2866" spans="1:5">
      <c r="A2866" s="110"/>
      <c r="B2866" s="111"/>
      <c r="C2866" s="111"/>
      <c r="D2866" s="111"/>
      <c r="E2866" s="112"/>
    </row>
    <row r="2867" spans="1:5">
      <c r="A2867" s="110"/>
      <c r="B2867" s="111"/>
      <c r="C2867" s="111"/>
      <c r="D2867" s="111"/>
      <c r="E2867" s="112"/>
    </row>
    <row r="2868" spans="1:5">
      <c r="A2868" s="110"/>
      <c r="B2868" s="111"/>
      <c r="C2868" s="111"/>
      <c r="D2868" s="111"/>
      <c r="E2868" s="112"/>
    </row>
    <row r="2869" spans="1:5">
      <c r="A2869" s="110"/>
      <c r="B2869" s="111"/>
      <c r="C2869" s="111"/>
      <c r="D2869" s="111"/>
      <c r="E2869" s="112"/>
    </row>
    <row r="2870" spans="1:5">
      <c r="A2870" s="110"/>
      <c r="B2870" s="111"/>
      <c r="C2870" s="111"/>
      <c r="D2870" s="111"/>
      <c r="E2870" s="112"/>
    </row>
    <row r="2871" spans="1:5">
      <c r="A2871" s="110"/>
      <c r="B2871" s="111"/>
      <c r="C2871" s="111"/>
      <c r="D2871" s="111"/>
      <c r="E2871" s="112"/>
    </row>
    <row r="2872" spans="1:5">
      <c r="A2872" s="110"/>
      <c r="B2872" s="111"/>
      <c r="C2872" s="111"/>
      <c r="D2872" s="111"/>
      <c r="E2872" s="112"/>
    </row>
    <row r="2873" spans="1:5">
      <c r="A2873" s="110"/>
      <c r="B2873" s="111"/>
      <c r="C2873" s="111"/>
      <c r="D2873" s="111"/>
      <c r="E2873" s="112"/>
    </row>
    <row r="2874" spans="1:5">
      <c r="A2874" s="110"/>
      <c r="B2874" s="111"/>
      <c r="C2874" s="111"/>
      <c r="D2874" s="111"/>
      <c r="E2874" s="112"/>
    </row>
    <row r="2875" spans="1:5">
      <c r="A2875" s="110"/>
      <c r="B2875" s="111"/>
      <c r="C2875" s="111"/>
      <c r="D2875" s="111"/>
      <c r="E2875" s="112"/>
    </row>
    <row r="2876" spans="1:5">
      <c r="A2876" s="110"/>
      <c r="B2876" s="111"/>
      <c r="C2876" s="111"/>
      <c r="D2876" s="111"/>
      <c r="E2876" s="112"/>
    </row>
    <row r="2877" spans="1:5">
      <c r="A2877" s="110"/>
      <c r="B2877" s="111"/>
      <c r="C2877" s="111"/>
      <c r="D2877" s="111"/>
      <c r="E2877" s="112"/>
    </row>
    <row r="2878" spans="1:5">
      <c r="A2878" s="110"/>
      <c r="B2878" s="111"/>
      <c r="C2878" s="111"/>
      <c r="D2878" s="111"/>
      <c r="E2878" s="112"/>
    </row>
    <row r="2879" spans="1:5">
      <c r="A2879" s="110"/>
      <c r="B2879" s="111"/>
      <c r="C2879" s="111"/>
      <c r="D2879" s="111"/>
      <c r="E2879" s="112"/>
    </row>
    <row r="2880" spans="1:5">
      <c r="A2880" s="110"/>
      <c r="B2880" s="111"/>
      <c r="C2880" s="111"/>
      <c r="D2880" s="111"/>
      <c r="E2880" s="112"/>
    </row>
    <row r="2881" spans="1:5">
      <c r="A2881" s="110"/>
      <c r="B2881" s="111"/>
      <c r="C2881" s="111"/>
      <c r="D2881" s="111"/>
      <c r="E2881" s="112"/>
    </row>
    <row r="2882" spans="1:5">
      <c r="A2882" s="110"/>
      <c r="B2882" s="111"/>
      <c r="C2882" s="111"/>
      <c r="D2882" s="111"/>
      <c r="E2882" s="112"/>
    </row>
    <row r="2883" spans="1:5">
      <c r="A2883" s="110"/>
      <c r="B2883" s="111"/>
      <c r="C2883" s="111"/>
      <c r="D2883" s="111"/>
      <c r="E2883" s="112"/>
    </row>
    <row r="2884" spans="1:5">
      <c r="A2884" s="110"/>
      <c r="B2884" s="111"/>
      <c r="C2884" s="111"/>
      <c r="D2884" s="111"/>
      <c r="E2884" s="112"/>
    </row>
    <row r="2885" spans="1:5">
      <c r="A2885" s="110"/>
      <c r="B2885" s="111"/>
      <c r="C2885" s="111"/>
      <c r="D2885" s="111"/>
      <c r="E2885" s="112"/>
    </row>
    <row r="2886" spans="1:5">
      <c r="A2886" s="110"/>
      <c r="B2886" s="111"/>
      <c r="C2886" s="111"/>
      <c r="D2886" s="111"/>
      <c r="E2886" s="112"/>
    </row>
    <row r="2887" spans="1:5">
      <c r="A2887" s="110"/>
      <c r="B2887" s="111"/>
      <c r="C2887" s="111"/>
      <c r="D2887" s="111"/>
      <c r="E2887" s="112"/>
    </row>
    <row r="2888" spans="1:5">
      <c r="A2888" s="110"/>
      <c r="B2888" s="111"/>
      <c r="C2888" s="111"/>
      <c r="D2888" s="111"/>
      <c r="E2888" s="112"/>
    </row>
    <row r="2889" spans="1:5">
      <c r="A2889" s="110"/>
      <c r="B2889" s="111"/>
      <c r="C2889" s="111"/>
      <c r="D2889" s="111"/>
      <c r="E2889" s="112"/>
    </row>
    <row r="2890" spans="1:5">
      <c r="A2890" s="110"/>
      <c r="B2890" s="111"/>
      <c r="C2890" s="111"/>
      <c r="D2890" s="111"/>
      <c r="E2890" s="112"/>
    </row>
    <row r="2891" spans="1:5">
      <c r="A2891" s="110"/>
      <c r="B2891" s="111"/>
      <c r="C2891" s="111"/>
      <c r="D2891" s="111"/>
      <c r="E2891" s="112"/>
    </row>
    <row r="2892" spans="1:5">
      <c r="A2892" s="110"/>
      <c r="B2892" s="111"/>
      <c r="C2892" s="111"/>
      <c r="D2892" s="111"/>
      <c r="E2892" s="112"/>
    </row>
    <row r="2893" spans="1:5">
      <c r="A2893" s="110"/>
      <c r="B2893" s="111"/>
      <c r="C2893" s="111"/>
      <c r="D2893" s="111"/>
      <c r="E2893" s="112"/>
    </row>
    <row r="2894" spans="1:5">
      <c r="A2894" s="110"/>
      <c r="B2894" s="111"/>
      <c r="C2894" s="111"/>
      <c r="D2894" s="111"/>
      <c r="E2894" s="112"/>
    </row>
    <row r="2895" spans="1:5">
      <c r="A2895" s="110"/>
      <c r="B2895" s="111"/>
      <c r="C2895" s="111"/>
      <c r="D2895" s="111"/>
      <c r="E2895" s="112"/>
    </row>
    <row r="2896" spans="1:5">
      <c r="A2896" s="110"/>
      <c r="B2896" s="111"/>
      <c r="C2896" s="111"/>
      <c r="D2896" s="111"/>
      <c r="E2896" s="112"/>
    </row>
    <row r="2897" spans="1:5">
      <c r="A2897" s="110"/>
      <c r="B2897" s="111"/>
      <c r="C2897" s="111"/>
      <c r="D2897" s="111"/>
      <c r="E2897" s="112"/>
    </row>
    <row r="2898" spans="1:5">
      <c r="A2898" s="110"/>
      <c r="B2898" s="111"/>
      <c r="C2898" s="111"/>
      <c r="D2898" s="111"/>
      <c r="E2898" s="112"/>
    </row>
    <row r="2899" spans="1:5">
      <c r="A2899" s="110"/>
      <c r="B2899" s="111"/>
      <c r="C2899" s="111"/>
      <c r="D2899" s="111"/>
      <c r="E2899" s="112"/>
    </row>
    <row r="2900" spans="1:5">
      <c r="A2900" s="110"/>
      <c r="B2900" s="111"/>
      <c r="C2900" s="111"/>
      <c r="D2900" s="111"/>
      <c r="E2900" s="112"/>
    </row>
    <row r="2901" spans="1:5">
      <c r="A2901" s="110"/>
      <c r="B2901" s="111"/>
      <c r="C2901" s="111"/>
      <c r="D2901" s="111"/>
      <c r="E2901" s="112"/>
    </row>
    <row r="2902" spans="1:5">
      <c r="A2902" s="110"/>
      <c r="B2902" s="111"/>
      <c r="C2902" s="111"/>
      <c r="D2902" s="111"/>
      <c r="E2902" s="112"/>
    </row>
    <row r="2903" spans="1:5">
      <c r="A2903" s="110"/>
      <c r="B2903" s="111"/>
      <c r="C2903" s="111"/>
      <c r="D2903" s="111"/>
      <c r="E2903" s="112"/>
    </row>
    <row r="2904" spans="1:5">
      <c r="A2904" s="110"/>
      <c r="B2904" s="111"/>
      <c r="C2904" s="111"/>
      <c r="D2904" s="111"/>
      <c r="E2904" s="112"/>
    </row>
    <row r="2905" spans="1:5">
      <c r="A2905" s="110"/>
      <c r="B2905" s="111"/>
      <c r="C2905" s="111"/>
      <c r="D2905" s="111"/>
      <c r="E2905" s="112"/>
    </row>
    <row r="2906" spans="1:5">
      <c r="A2906" s="110"/>
      <c r="B2906" s="111"/>
      <c r="C2906" s="111"/>
      <c r="D2906" s="111"/>
      <c r="E2906" s="112"/>
    </row>
    <row r="2907" spans="1:5">
      <c r="A2907" s="110"/>
      <c r="B2907" s="111"/>
      <c r="C2907" s="111"/>
      <c r="D2907" s="111"/>
      <c r="E2907" s="112"/>
    </row>
    <row r="2908" spans="1:5">
      <c r="D2908" s="111"/>
      <c r="E2908" s="112"/>
    </row>
    <row r="2909" spans="1:5">
      <c r="D2909" s="111"/>
      <c r="E2909" s="112"/>
    </row>
    <row r="2910" spans="1:5">
      <c r="D2910" s="111"/>
      <c r="E2910" s="112"/>
    </row>
    <row r="2911" spans="1:5">
      <c r="D2911" s="111"/>
      <c r="E2911" s="112"/>
    </row>
    <row r="2912" spans="1:5">
      <c r="D2912" s="111"/>
      <c r="E2912" s="112"/>
    </row>
    <row r="2913" spans="1:5">
      <c r="D2913" s="111"/>
      <c r="E2913" s="112"/>
    </row>
    <row r="2914" spans="1:5">
      <c r="D2914" s="111"/>
      <c r="E2914" s="112"/>
    </row>
    <row r="2915" spans="1:5">
      <c r="D2915" s="111"/>
      <c r="E2915" s="112"/>
    </row>
    <row r="2916" spans="1:5">
      <c r="D2916" s="111"/>
      <c r="E2916" s="112"/>
    </row>
    <row r="2917" spans="1:5">
      <c r="D2917" s="111"/>
      <c r="E2917" s="112"/>
    </row>
    <row r="2918" spans="1:5">
      <c r="A2918" s="110"/>
      <c r="B2918" s="111"/>
      <c r="C2918" s="111"/>
      <c r="D2918" s="111"/>
      <c r="E2918" s="112"/>
    </row>
    <row r="2919" spans="1:5">
      <c r="A2919" s="110"/>
      <c r="B2919" s="111"/>
      <c r="C2919" s="111"/>
      <c r="D2919" s="111"/>
      <c r="E2919" s="112"/>
    </row>
    <row r="2920" spans="1:5">
      <c r="A2920" s="110"/>
      <c r="B2920" s="111"/>
      <c r="C2920" s="111"/>
      <c r="D2920" s="111"/>
      <c r="E2920" s="112"/>
    </row>
    <row r="2921" spans="1:5">
      <c r="A2921" s="110"/>
      <c r="B2921" s="111"/>
      <c r="C2921" s="111"/>
      <c r="D2921" s="111"/>
      <c r="E2921" s="112"/>
    </row>
    <row r="2922" spans="1:5">
      <c r="A2922" s="110"/>
      <c r="B2922" s="111"/>
      <c r="C2922" s="111"/>
      <c r="D2922" s="111"/>
      <c r="E2922" s="112"/>
    </row>
    <row r="2923" spans="1:5">
      <c r="A2923" s="110"/>
      <c r="B2923" s="111"/>
      <c r="C2923" s="111"/>
      <c r="D2923" s="111"/>
      <c r="E2923" s="112"/>
    </row>
    <row r="2924" spans="1:5">
      <c r="A2924" s="110"/>
      <c r="B2924" s="111"/>
      <c r="C2924" s="111"/>
      <c r="D2924" s="111"/>
      <c r="E2924" s="112"/>
    </row>
    <row r="2925" spans="1:5">
      <c r="A2925" s="110"/>
      <c r="B2925" s="111"/>
      <c r="C2925" s="111"/>
      <c r="D2925" s="111"/>
      <c r="E2925" s="112"/>
    </row>
    <row r="2926" spans="1:5">
      <c r="A2926" s="110"/>
      <c r="B2926" s="111"/>
      <c r="C2926" s="111"/>
      <c r="D2926" s="111"/>
      <c r="E2926" s="112"/>
    </row>
    <row r="2927" spans="1:5">
      <c r="A2927" s="110"/>
      <c r="B2927" s="111"/>
      <c r="C2927" s="111"/>
      <c r="D2927" s="111"/>
      <c r="E2927" s="112"/>
    </row>
    <row r="2928" spans="1:5">
      <c r="A2928" s="110"/>
      <c r="B2928" s="111"/>
      <c r="C2928" s="111"/>
      <c r="D2928" s="111"/>
      <c r="E2928" s="112"/>
    </row>
    <row r="2929" spans="1:5">
      <c r="A2929" s="110"/>
      <c r="B2929" s="111"/>
      <c r="C2929" s="111"/>
      <c r="D2929" s="111"/>
      <c r="E2929" s="112"/>
    </row>
    <row r="2930" spans="1:5">
      <c r="A2930" s="110"/>
      <c r="B2930" s="111"/>
      <c r="C2930" s="111"/>
      <c r="D2930" s="111"/>
      <c r="E2930" s="112"/>
    </row>
    <row r="2931" spans="1:5">
      <c r="A2931" s="110"/>
      <c r="B2931" s="111"/>
      <c r="C2931" s="111"/>
      <c r="D2931" s="111"/>
      <c r="E2931" s="112"/>
    </row>
    <row r="2932" spans="1:5">
      <c r="A2932" s="110"/>
      <c r="B2932" s="111"/>
      <c r="C2932" s="111"/>
      <c r="D2932" s="111"/>
      <c r="E2932" s="112"/>
    </row>
    <row r="2933" spans="1:5">
      <c r="A2933" s="110"/>
      <c r="B2933" s="111"/>
      <c r="C2933" s="111"/>
      <c r="D2933" s="111"/>
      <c r="E2933" s="112"/>
    </row>
    <row r="2934" spans="1:5">
      <c r="A2934" s="110"/>
      <c r="B2934" s="111"/>
      <c r="C2934" s="111"/>
      <c r="D2934" s="111"/>
      <c r="E2934" s="112"/>
    </row>
    <row r="2935" spans="1:5">
      <c r="A2935" s="110"/>
      <c r="B2935" s="111"/>
      <c r="C2935" s="111"/>
      <c r="D2935" s="111"/>
      <c r="E2935" s="112"/>
    </row>
    <row r="2936" spans="1:5">
      <c r="A2936" s="110"/>
      <c r="B2936" s="111"/>
      <c r="C2936" s="111"/>
      <c r="D2936" s="111"/>
      <c r="E2936" s="112"/>
    </row>
    <row r="2937" spans="1:5">
      <c r="A2937" s="110"/>
      <c r="B2937" s="111"/>
      <c r="C2937" s="111"/>
      <c r="D2937" s="111"/>
      <c r="E2937" s="112"/>
    </row>
    <row r="2938" spans="1:5">
      <c r="A2938" s="110"/>
      <c r="B2938" s="111"/>
      <c r="C2938" s="111"/>
      <c r="D2938" s="111"/>
      <c r="E2938" s="112"/>
    </row>
    <row r="2939" spans="1:5">
      <c r="A2939" s="110"/>
      <c r="B2939" s="111"/>
      <c r="C2939" s="111"/>
      <c r="D2939" s="111"/>
      <c r="E2939" s="112"/>
    </row>
    <row r="2940" spans="1:5">
      <c r="A2940" s="110"/>
      <c r="B2940" s="111"/>
      <c r="C2940" s="111"/>
      <c r="D2940" s="111"/>
      <c r="E2940" s="112"/>
    </row>
    <row r="2941" spans="1:5">
      <c r="A2941" s="110"/>
      <c r="B2941" s="111"/>
      <c r="C2941" s="111"/>
      <c r="D2941" s="111"/>
      <c r="E2941" s="112"/>
    </row>
    <row r="2942" spans="1:5">
      <c r="A2942" s="110"/>
      <c r="B2942" s="111"/>
      <c r="C2942" s="111"/>
      <c r="D2942" s="111"/>
      <c r="E2942" s="112"/>
    </row>
    <row r="2943" spans="1:5">
      <c r="A2943" s="110"/>
      <c r="B2943" s="111"/>
      <c r="C2943" s="111"/>
      <c r="D2943" s="111"/>
      <c r="E2943" s="112"/>
    </row>
    <row r="2944" spans="1:5">
      <c r="A2944" s="110"/>
      <c r="B2944" s="111"/>
      <c r="C2944" s="111"/>
      <c r="D2944" s="111"/>
      <c r="E2944" s="112"/>
    </row>
    <row r="2945" spans="1:5">
      <c r="A2945" s="110"/>
      <c r="B2945" s="111"/>
      <c r="C2945" s="111"/>
      <c r="D2945" s="111"/>
      <c r="E2945" s="112"/>
    </row>
    <row r="2946" spans="1:5">
      <c r="A2946" s="110"/>
      <c r="B2946" s="111"/>
      <c r="C2946" s="111"/>
      <c r="D2946" s="111"/>
      <c r="E2946" s="112"/>
    </row>
    <row r="2947" spans="1:5">
      <c r="A2947" s="110"/>
      <c r="B2947" s="111"/>
      <c r="C2947" s="111"/>
      <c r="D2947" s="111"/>
      <c r="E2947" s="112"/>
    </row>
    <row r="2948" spans="1:5">
      <c r="A2948" s="110"/>
      <c r="B2948" s="111"/>
      <c r="C2948" s="111"/>
      <c r="D2948" s="111"/>
      <c r="E2948" s="112"/>
    </row>
    <row r="2949" spans="1:5">
      <c r="A2949" s="110"/>
      <c r="B2949" s="111"/>
      <c r="C2949" s="111"/>
      <c r="D2949" s="111"/>
      <c r="E2949" s="112"/>
    </row>
    <row r="2950" spans="1:5">
      <c r="A2950" s="110"/>
      <c r="B2950" s="111"/>
      <c r="C2950" s="111"/>
      <c r="D2950" s="111"/>
      <c r="E2950" s="112"/>
    </row>
    <row r="2951" spans="1:5">
      <c r="A2951" s="110"/>
      <c r="B2951" s="111"/>
      <c r="C2951" s="111"/>
      <c r="D2951" s="111"/>
      <c r="E2951" s="112"/>
    </row>
    <row r="2952" spans="1:5">
      <c r="A2952" s="110"/>
      <c r="B2952" s="111"/>
      <c r="C2952" s="111"/>
      <c r="D2952" s="111"/>
      <c r="E2952" s="112"/>
    </row>
    <row r="2953" spans="1:5">
      <c r="A2953" s="110"/>
      <c r="B2953" s="111"/>
      <c r="C2953" s="111"/>
      <c r="D2953" s="111"/>
      <c r="E2953" s="112"/>
    </row>
    <row r="2954" spans="1:5">
      <c r="A2954" s="110"/>
      <c r="B2954" s="111"/>
      <c r="C2954" s="111"/>
      <c r="D2954" s="111"/>
      <c r="E2954" s="112"/>
    </row>
    <row r="2955" spans="1:5">
      <c r="A2955" s="110"/>
      <c r="B2955" s="111"/>
      <c r="C2955" s="111"/>
      <c r="D2955" s="111"/>
      <c r="E2955" s="112"/>
    </row>
    <row r="2956" spans="1:5">
      <c r="A2956" s="110"/>
      <c r="B2956" s="111"/>
      <c r="C2956" s="111"/>
      <c r="D2956" s="111"/>
      <c r="E2956" s="112"/>
    </row>
    <row r="2957" spans="1:5">
      <c r="A2957" s="110"/>
      <c r="B2957" s="111"/>
      <c r="C2957" s="111"/>
      <c r="D2957" s="111"/>
      <c r="E2957" s="112"/>
    </row>
    <row r="2958" spans="1:5">
      <c r="A2958" s="110"/>
      <c r="B2958" s="111"/>
      <c r="C2958" s="111"/>
      <c r="D2958" s="111"/>
      <c r="E2958" s="112"/>
    </row>
    <row r="2959" spans="1:5">
      <c r="A2959" s="110"/>
      <c r="B2959" s="111"/>
      <c r="C2959" s="111"/>
      <c r="D2959" s="111"/>
      <c r="E2959" s="112"/>
    </row>
    <row r="2960" spans="1:5">
      <c r="A2960" s="110"/>
      <c r="B2960" s="111"/>
      <c r="C2960" s="111"/>
      <c r="D2960" s="111"/>
      <c r="E2960" s="112"/>
    </row>
    <row r="2961" spans="1:5">
      <c r="A2961" s="110"/>
      <c r="B2961" s="111"/>
      <c r="C2961" s="111"/>
      <c r="D2961" s="111"/>
      <c r="E2961" s="112"/>
    </row>
    <row r="2962" spans="1:5">
      <c r="A2962" s="110"/>
      <c r="B2962" s="111"/>
      <c r="C2962" s="111"/>
      <c r="D2962" s="111"/>
      <c r="E2962" s="112"/>
    </row>
    <row r="2963" spans="1:5">
      <c r="A2963" s="110"/>
      <c r="B2963" s="111"/>
      <c r="C2963" s="111"/>
      <c r="D2963" s="111"/>
      <c r="E2963" s="112"/>
    </row>
    <row r="2964" spans="1:5">
      <c r="A2964" s="110"/>
      <c r="B2964" s="111"/>
      <c r="C2964" s="111"/>
      <c r="D2964" s="111"/>
      <c r="E2964" s="112"/>
    </row>
    <row r="2965" spans="1:5">
      <c r="A2965" s="110"/>
      <c r="B2965" s="111"/>
      <c r="C2965" s="111"/>
      <c r="D2965" s="111"/>
      <c r="E2965" s="112"/>
    </row>
    <row r="2966" spans="1:5">
      <c r="A2966" s="110"/>
      <c r="B2966" s="111"/>
      <c r="C2966" s="111"/>
      <c r="D2966" s="111"/>
      <c r="E2966" s="112"/>
    </row>
    <row r="2967" spans="1:5">
      <c r="A2967" s="110"/>
      <c r="B2967" s="111"/>
      <c r="C2967" s="111"/>
      <c r="D2967" s="111"/>
      <c r="E2967" s="112"/>
    </row>
    <row r="2968" spans="1:5">
      <c r="A2968" s="110"/>
      <c r="B2968" s="111"/>
      <c r="C2968" s="111"/>
      <c r="D2968" s="111"/>
      <c r="E2968" s="112"/>
    </row>
    <row r="2969" spans="1:5">
      <c r="A2969" s="110"/>
      <c r="B2969" s="111"/>
      <c r="C2969" s="111"/>
      <c r="D2969" s="111"/>
      <c r="E2969" s="112"/>
    </row>
    <row r="2970" spans="1:5">
      <c r="A2970" s="110"/>
      <c r="B2970" s="111"/>
      <c r="C2970" s="111"/>
      <c r="D2970" s="111"/>
      <c r="E2970" s="112"/>
    </row>
    <row r="2971" spans="1:5">
      <c r="A2971" s="110"/>
      <c r="B2971" s="111"/>
      <c r="C2971" s="111"/>
      <c r="D2971" s="111"/>
      <c r="E2971" s="112"/>
    </row>
    <row r="2972" spans="1:5">
      <c r="A2972" s="110"/>
      <c r="B2972" s="111"/>
      <c r="C2972" s="111"/>
      <c r="D2972" s="111"/>
      <c r="E2972" s="112"/>
    </row>
    <row r="2973" spans="1:5">
      <c r="A2973" s="110"/>
      <c r="B2973" s="111"/>
      <c r="C2973" s="111"/>
      <c r="D2973" s="111"/>
      <c r="E2973" s="112"/>
    </row>
    <row r="2974" spans="1:5">
      <c r="A2974" s="110"/>
      <c r="B2974" s="111"/>
      <c r="C2974" s="111"/>
      <c r="D2974" s="111"/>
      <c r="E2974" s="112"/>
    </row>
    <row r="2975" spans="1:5">
      <c r="A2975" s="110"/>
      <c r="B2975" s="111"/>
      <c r="C2975" s="111"/>
      <c r="D2975" s="111"/>
      <c r="E2975" s="112"/>
    </row>
    <row r="2976" spans="1:5">
      <c r="A2976" s="110"/>
      <c r="B2976" s="111"/>
      <c r="C2976" s="111"/>
      <c r="D2976" s="111"/>
      <c r="E2976" s="112"/>
    </row>
    <row r="2977" spans="1:5">
      <c r="A2977" s="110"/>
      <c r="B2977" s="111"/>
      <c r="C2977" s="111"/>
      <c r="D2977" s="111"/>
      <c r="E2977" s="112"/>
    </row>
    <row r="2978" spans="1:5">
      <c r="A2978" s="110"/>
      <c r="B2978" s="111"/>
      <c r="C2978" s="111"/>
      <c r="D2978" s="111"/>
      <c r="E2978" s="112"/>
    </row>
    <row r="2979" spans="1:5">
      <c r="A2979" s="110"/>
      <c r="B2979" s="111"/>
      <c r="C2979" s="111"/>
      <c r="D2979" s="111"/>
      <c r="E2979" s="112"/>
    </row>
    <row r="2980" spans="1:5">
      <c r="A2980" s="110"/>
      <c r="B2980" s="111"/>
      <c r="C2980" s="111"/>
      <c r="D2980" s="111"/>
      <c r="E2980" s="112"/>
    </row>
    <row r="2981" spans="1:5">
      <c r="A2981" s="110"/>
      <c r="B2981" s="111"/>
      <c r="C2981" s="111"/>
      <c r="D2981" s="111"/>
      <c r="E2981" s="112"/>
    </row>
    <row r="2982" spans="1:5">
      <c r="A2982" s="110"/>
      <c r="B2982" s="111"/>
      <c r="C2982" s="111"/>
      <c r="D2982" s="111"/>
      <c r="E2982" s="112"/>
    </row>
    <row r="2983" spans="1:5">
      <c r="A2983" s="110"/>
      <c r="B2983" s="111"/>
      <c r="C2983" s="111"/>
      <c r="D2983" s="111"/>
      <c r="E2983" s="112"/>
    </row>
    <row r="2984" spans="1:5">
      <c r="A2984" s="110"/>
      <c r="B2984" s="111"/>
      <c r="C2984" s="111"/>
      <c r="D2984" s="111"/>
      <c r="E2984" s="112"/>
    </row>
    <row r="2985" spans="1:5">
      <c r="A2985" s="110"/>
      <c r="B2985" s="111"/>
      <c r="C2985" s="111"/>
      <c r="D2985" s="111"/>
      <c r="E2985" s="112"/>
    </row>
    <row r="2986" spans="1:5">
      <c r="A2986" s="110"/>
      <c r="B2986" s="111"/>
      <c r="C2986" s="111"/>
      <c r="D2986" s="111"/>
      <c r="E2986" s="112"/>
    </row>
    <row r="2987" spans="1:5">
      <c r="A2987" s="110"/>
      <c r="B2987" s="111"/>
      <c r="C2987" s="111"/>
      <c r="D2987" s="111"/>
      <c r="E2987" s="112"/>
    </row>
    <row r="2988" spans="1:5">
      <c r="A2988" s="110"/>
      <c r="B2988" s="111"/>
      <c r="C2988" s="111"/>
      <c r="D2988" s="111"/>
      <c r="E2988" s="112"/>
    </row>
    <row r="2989" spans="1:5">
      <c r="A2989" s="110"/>
      <c r="B2989" s="111"/>
      <c r="C2989" s="111"/>
      <c r="D2989" s="111"/>
      <c r="E2989" s="112"/>
    </row>
    <row r="2990" spans="1:5">
      <c r="A2990" s="110"/>
      <c r="B2990" s="111"/>
      <c r="C2990" s="111"/>
      <c r="D2990" s="111"/>
      <c r="E2990" s="112"/>
    </row>
    <row r="2991" spans="1:5">
      <c r="A2991" s="110"/>
      <c r="B2991" s="111"/>
      <c r="C2991" s="111"/>
      <c r="D2991" s="111"/>
      <c r="E2991" s="112"/>
    </row>
    <row r="2992" spans="1:5">
      <c r="A2992" s="110"/>
      <c r="B2992" s="111"/>
      <c r="C2992" s="111"/>
      <c r="D2992" s="111"/>
      <c r="E2992" s="112"/>
    </row>
    <row r="2993" spans="1:5">
      <c r="A2993" s="110"/>
      <c r="B2993" s="111"/>
      <c r="C2993" s="111"/>
      <c r="D2993" s="111"/>
      <c r="E2993" s="112"/>
    </row>
    <row r="2994" spans="1:5">
      <c r="A2994" s="110"/>
      <c r="B2994" s="111"/>
      <c r="C2994" s="111"/>
      <c r="D2994" s="111"/>
      <c r="E2994" s="112"/>
    </row>
    <row r="2995" spans="1:5">
      <c r="A2995" s="110"/>
      <c r="B2995" s="111"/>
      <c r="C2995" s="111"/>
      <c r="D2995" s="111"/>
      <c r="E2995" s="112"/>
    </row>
    <row r="2996" spans="1:5">
      <c r="A2996" s="110"/>
      <c r="B2996" s="111"/>
      <c r="C2996" s="111"/>
      <c r="D2996" s="111"/>
      <c r="E2996" s="112"/>
    </row>
    <row r="2997" spans="1:5">
      <c r="A2997" s="110"/>
      <c r="B2997" s="111"/>
      <c r="C2997" s="111"/>
      <c r="D2997" s="111"/>
      <c r="E2997" s="112"/>
    </row>
    <row r="2998" spans="1:5">
      <c r="A2998" s="110"/>
      <c r="B2998" s="111"/>
      <c r="C2998" s="111"/>
      <c r="D2998" s="111"/>
      <c r="E2998" s="112"/>
    </row>
    <row r="2999" spans="1:5">
      <c r="A2999" s="110"/>
      <c r="B2999" s="111"/>
      <c r="C2999" s="111"/>
      <c r="D2999" s="111"/>
      <c r="E2999" s="112"/>
    </row>
    <row r="3000" spans="1:5">
      <c r="B3000" s="111"/>
      <c r="C3000" s="111"/>
      <c r="D3000" s="111"/>
      <c r="E3000" s="112"/>
    </row>
    <row r="3001" spans="1:5">
      <c r="A3001" s="110"/>
      <c r="B3001" s="111"/>
      <c r="C3001" s="111"/>
      <c r="D3001" s="111"/>
      <c r="E3001" s="112"/>
    </row>
    <row r="3002" spans="1:5">
      <c r="A3002" s="110"/>
      <c r="B3002" s="111"/>
      <c r="C3002" s="111"/>
      <c r="D3002" s="111"/>
      <c r="E3002" s="112"/>
    </row>
    <row r="3003" spans="1:5">
      <c r="A3003" s="110"/>
      <c r="B3003" s="111"/>
      <c r="C3003" s="111"/>
      <c r="D3003" s="111"/>
      <c r="E3003" s="112"/>
    </row>
    <row r="3004" spans="1:5">
      <c r="A3004" s="110"/>
      <c r="B3004" s="111"/>
      <c r="C3004" s="111"/>
      <c r="D3004" s="111"/>
      <c r="E3004" s="112"/>
    </row>
    <row r="3005" spans="1:5">
      <c r="A3005" s="110"/>
      <c r="B3005" s="111"/>
      <c r="C3005" s="111"/>
      <c r="D3005" s="111"/>
      <c r="E3005" s="112"/>
    </row>
    <row r="3006" spans="1:5">
      <c r="A3006" s="110"/>
      <c r="B3006" s="111"/>
      <c r="C3006" s="111"/>
      <c r="D3006" s="111"/>
      <c r="E3006" s="112"/>
    </row>
    <row r="3007" spans="1:5">
      <c r="A3007" s="110"/>
      <c r="B3007" s="111"/>
      <c r="C3007" s="111"/>
      <c r="D3007" s="111"/>
      <c r="E3007" s="112"/>
    </row>
    <row r="3008" spans="1:5">
      <c r="A3008" s="110"/>
      <c r="B3008" s="111"/>
      <c r="C3008" s="111"/>
      <c r="D3008" s="111"/>
      <c r="E3008" s="112"/>
    </row>
    <row r="3009" spans="1:5">
      <c r="A3009" s="110"/>
      <c r="B3009" s="111"/>
      <c r="C3009" s="111"/>
      <c r="D3009" s="111"/>
      <c r="E3009" s="112"/>
    </row>
    <row r="3010" spans="1:5">
      <c r="A3010" s="110"/>
      <c r="B3010" s="111"/>
      <c r="C3010" s="111"/>
      <c r="D3010" s="111"/>
      <c r="E3010" s="112"/>
    </row>
    <row r="3011" spans="1:5">
      <c r="A3011" s="110"/>
      <c r="B3011" s="111"/>
      <c r="C3011" s="111"/>
      <c r="D3011" s="111"/>
      <c r="E3011" s="112"/>
    </row>
    <row r="3012" spans="1:5">
      <c r="A3012" s="110"/>
      <c r="B3012" s="111"/>
      <c r="C3012" s="111"/>
      <c r="D3012" s="111"/>
      <c r="E3012" s="112"/>
    </row>
    <row r="3013" spans="1:5">
      <c r="A3013" s="110"/>
      <c r="B3013" s="111"/>
      <c r="C3013" s="111"/>
      <c r="D3013" s="111"/>
      <c r="E3013" s="112"/>
    </row>
    <row r="3014" spans="1:5">
      <c r="A3014" s="110"/>
      <c r="B3014" s="111"/>
      <c r="C3014" s="111"/>
      <c r="D3014" s="111"/>
      <c r="E3014" s="112"/>
    </row>
    <row r="3015" spans="1:5">
      <c r="A3015" s="110"/>
      <c r="B3015" s="111"/>
      <c r="C3015" s="111"/>
      <c r="D3015" s="111"/>
      <c r="E3015" s="112"/>
    </row>
    <row r="3016" spans="1:5">
      <c r="A3016" s="110"/>
      <c r="B3016" s="111"/>
      <c r="C3016" s="111"/>
      <c r="D3016" s="111"/>
      <c r="E3016" s="112"/>
    </row>
    <row r="3017" spans="1:5">
      <c r="A3017" s="110"/>
      <c r="B3017" s="111"/>
      <c r="C3017" s="111"/>
      <c r="D3017" s="111"/>
      <c r="E3017" s="112"/>
    </row>
    <row r="3018" spans="1:5">
      <c r="A3018" s="110"/>
      <c r="B3018" s="111"/>
      <c r="C3018" s="111"/>
      <c r="D3018" s="111"/>
      <c r="E3018" s="112"/>
    </row>
    <row r="3019" spans="1:5">
      <c r="A3019" s="110"/>
      <c r="B3019" s="111"/>
      <c r="C3019" s="111"/>
      <c r="D3019" s="111"/>
      <c r="E3019" s="112"/>
    </row>
    <row r="3020" spans="1:5">
      <c r="A3020" s="110"/>
      <c r="B3020" s="111"/>
      <c r="C3020" s="111"/>
      <c r="D3020" s="111"/>
      <c r="E3020" s="112"/>
    </row>
    <row r="3021" spans="1:5">
      <c r="A3021" s="110"/>
      <c r="B3021" s="111"/>
      <c r="C3021" s="111"/>
      <c r="D3021" s="111"/>
      <c r="E3021" s="112"/>
    </row>
    <row r="3022" spans="1:5">
      <c r="A3022" s="110"/>
      <c r="B3022" s="111"/>
      <c r="C3022" s="111"/>
      <c r="D3022" s="111"/>
      <c r="E3022" s="112"/>
    </row>
    <row r="3023" spans="1:5">
      <c r="A3023" s="110"/>
      <c r="B3023" s="111"/>
      <c r="C3023" s="111"/>
      <c r="D3023" s="111"/>
      <c r="E3023" s="112"/>
    </row>
    <row r="3024" spans="1:5">
      <c r="A3024" s="110"/>
      <c r="B3024" s="111"/>
      <c r="C3024" s="111"/>
      <c r="D3024" s="111"/>
      <c r="E3024" s="112"/>
    </row>
    <row r="3025" spans="1:5">
      <c r="A3025" s="110"/>
      <c r="B3025" s="111"/>
      <c r="C3025" s="111"/>
      <c r="D3025" s="111"/>
      <c r="E3025" s="112"/>
    </row>
    <row r="3026" spans="1:5">
      <c r="A3026" s="110"/>
      <c r="B3026" s="111"/>
      <c r="C3026" s="111"/>
      <c r="D3026" s="111"/>
      <c r="E3026" s="112"/>
    </row>
    <row r="3027" spans="1:5">
      <c r="A3027" s="110"/>
      <c r="B3027" s="111"/>
      <c r="C3027" s="111"/>
      <c r="D3027" s="111"/>
      <c r="E3027" s="112"/>
    </row>
    <row r="3028" spans="1:5">
      <c r="A3028" s="110"/>
      <c r="B3028" s="111"/>
      <c r="C3028" s="111"/>
      <c r="D3028" s="111"/>
      <c r="E3028" s="112"/>
    </row>
    <row r="3029" spans="1:5">
      <c r="A3029" s="110"/>
      <c r="B3029" s="111"/>
      <c r="C3029" s="111"/>
      <c r="D3029" s="111"/>
      <c r="E3029" s="112"/>
    </row>
    <row r="3030" spans="1:5">
      <c r="A3030" s="110"/>
      <c r="B3030" s="111"/>
      <c r="C3030" s="111"/>
      <c r="D3030" s="111"/>
      <c r="E3030" s="112"/>
    </row>
    <row r="3031" spans="1:5">
      <c r="A3031" s="110"/>
      <c r="B3031" s="111"/>
      <c r="C3031" s="111"/>
      <c r="D3031" s="111"/>
      <c r="E3031" s="112"/>
    </row>
    <row r="3032" spans="1:5">
      <c r="A3032" s="110"/>
      <c r="B3032" s="111"/>
      <c r="C3032" s="111"/>
      <c r="D3032" s="111"/>
      <c r="E3032" s="112"/>
    </row>
    <row r="3033" spans="1:5">
      <c r="A3033" s="110"/>
      <c r="B3033" s="111"/>
      <c r="C3033" s="111"/>
      <c r="D3033" s="111"/>
      <c r="E3033" s="112"/>
    </row>
    <row r="3034" spans="1:5">
      <c r="A3034" s="110"/>
      <c r="B3034" s="111"/>
      <c r="C3034" s="111"/>
      <c r="D3034" s="111"/>
      <c r="E3034" s="112"/>
    </row>
    <row r="3035" spans="1:5">
      <c r="A3035" s="110"/>
      <c r="B3035" s="111"/>
      <c r="C3035" s="111"/>
      <c r="D3035" s="111"/>
      <c r="E3035" s="112"/>
    </row>
    <row r="3036" spans="1:5">
      <c r="B3036" s="111"/>
      <c r="C3036" s="111"/>
      <c r="D3036" s="111"/>
      <c r="E3036" s="112"/>
    </row>
    <row r="3037" spans="1:5">
      <c r="A3037" s="110"/>
      <c r="B3037" s="111"/>
      <c r="C3037" s="111"/>
      <c r="D3037" s="111"/>
      <c r="E3037" s="112"/>
    </row>
    <row r="3038" spans="1:5">
      <c r="A3038" s="110"/>
      <c r="B3038" s="111"/>
      <c r="C3038" s="111"/>
      <c r="D3038" s="111"/>
      <c r="E3038" s="112"/>
    </row>
    <row r="3039" spans="1:5">
      <c r="A3039" s="110"/>
      <c r="B3039" s="111"/>
      <c r="C3039" s="111"/>
      <c r="D3039" s="111"/>
      <c r="E3039" s="112"/>
    </row>
    <row r="3040" spans="1:5">
      <c r="B3040" s="111"/>
      <c r="C3040" s="111"/>
      <c r="D3040" s="111"/>
      <c r="E3040" s="112"/>
    </row>
    <row r="3041" spans="1:5">
      <c r="A3041" s="110"/>
      <c r="B3041" s="111"/>
      <c r="C3041" s="111"/>
      <c r="D3041" s="111"/>
      <c r="E3041" s="112"/>
    </row>
    <row r="3042" spans="1:5">
      <c r="A3042" s="110"/>
      <c r="B3042" s="111"/>
      <c r="C3042" s="111"/>
      <c r="D3042" s="111"/>
      <c r="E3042" s="112"/>
    </row>
    <row r="3043" spans="1:5">
      <c r="A3043" s="110"/>
      <c r="B3043" s="111"/>
      <c r="C3043" s="111"/>
      <c r="D3043" s="111"/>
      <c r="E3043" s="112"/>
    </row>
    <row r="3044" spans="1:5">
      <c r="A3044" s="110"/>
      <c r="B3044" s="111"/>
      <c r="C3044" s="111"/>
      <c r="D3044" s="111"/>
      <c r="E3044" s="112"/>
    </row>
    <row r="3045" spans="1:5">
      <c r="A3045" s="110"/>
      <c r="B3045" s="111"/>
      <c r="C3045" s="111"/>
      <c r="D3045" s="111"/>
      <c r="E3045" s="112"/>
    </row>
    <row r="3046" spans="1:5">
      <c r="A3046" s="110"/>
      <c r="B3046" s="111"/>
      <c r="C3046" s="111"/>
      <c r="D3046" s="111"/>
      <c r="E3046" s="112"/>
    </row>
    <row r="3047" spans="1:5">
      <c r="A3047" s="110"/>
      <c r="B3047" s="111"/>
      <c r="C3047" s="111"/>
      <c r="D3047" s="111"/>
      <c r="E3047" s="112"/>
    </row>
    <row r="3048" spans="1:5">
      <c r="A3048" s="110"/>
      <c r="B3048" s="111"/>
      <c r="C3048" s="111"/>
      <c r="D3048" s="111"/>
      <c r="E3048" s="112"/>
    </row>
    <row r="3049" spans="1:5">
      <c r="A3049" s="110"/>
      <c r="B3049" s="111"/>
      <c r="C3049" s="111"/>
      <c r="D3049" s="111"/>
      <c r="E3049" s="112"/>
    </row>
    <row r="3050" spans="1:5">
      <c r="A3050" s="110"/>
      <c r="B3050" s="111"/>
      <c r="C3050" s="111"/>
      <c r="D3050" s="111"/>
      <c r="E3050" s="112"/>
    </row>
    <row r="3051" spans="1:5">
      <c r="A3051" s="110"/>
      <c r="B3051" s="111"/>
      <c r="C3051" s="111"/>
      <c r="D3051" s="111"/>
      <c r="E3051" s="112"/>
    </row>
    <row r="3052" spans="1:5">
      <c r="A3052" s="110"/>
      <c r="B3052" s="111"/>
      <c r="C3052" s="111"/>
      <c r="D3052" s="111"/>
      <c r="E3052" s="112"/>
    </row>
    <row r="3053" spans="1:5">
      <c r="A3053" s="110"/>
      <c r="B3053" s="111"/>
      <c r="C3053" s="111"/>
      <c r="D3053" s="111"/>
      <c r="E3053" s="112"/>
    </row>
    <row r="3054" spans="1:5">
      <c r="A3054" s="110"/>
      <c r="B3054" s="111"/>
      <c r="C3054" s="111"/>
      <c r="D3054" s="111"/>
      <c r="E3054" s="112"/>
    </row>
    <row r="3055" spans="1:5">
      <c r="A3055" s="110"/>
      <c r="B3055" s="111"/>
      <c r="C3055" s="111"/>
      <c r="D3055" s="111"/>
      <c r="E3055" s="112"/>
    </row>
    <row r="3056" spans="1:5">
      <c r="A3056" s="110"/>
      <c r="B3056" s="111"/>
      <c r="C3056" s="111"/>
      <c r="D3056" s="111"/>
      <c r="E3056" s="112"/>
    </row>
    <row r="3057" spans="1:5">
      <c r="B3057" s="111"/>
      <c r="C3057" s="111"/>
      <c r="D3057" s="111"/>
      <c r="E3057" s="112"/>
    </row>
    <row r="3058" spans="1:5">
      <c r="B3058" s="111"/>
      <c r="C3058" s="111"/>
      <c r="D3058" s="111"/>
      <c r="E3058" s="112"/>
    </row>
    <row r="3059" spans="1:5">
      <c r="B3059" s="111"/>
      <c r="C3059" s="111"/>
      <c r="D3059" s="111"/>
      <c r="E3059" s="112"/>
    </row>
    <row r="3060" spans="1:5">
      <c r="A3060" s="110"/>
      <c r="B3060" s="111"/>
      <c r="C3060" s="111"/>
      <c r="D3060" s="111"/>
      <c r="E3060" s="112"/>
    </row>
    <row r="3061" spans="1:5">
      <c r="A3061" s="110"/>
      <c r="B3061" s="111"/>
      <c r="C3061" s="111"/>
      <c r="D3061" s="111"/>
      <c r="E3061" s="112"/>
    </row>
    <row r="3062" spans="1:5">
      <c r="A3062" s="110"/>
      <c r="B3062" s="111"/>
      <c r="C3062" s="111"/>
      <c r="D3062" s="111"/>
      <c r="E3062" s="112"/>
    </row>
    <row r="3063" spans="1:5">
      <c r="A3063" s="110"/>
      <c r="B3063" s="111"/>
      <c r="C3063" s="111"/>
      <c r="D3063" s="111"/>
      <c r="E3063" s="112"/>
    </row>
    <row r="3064" spans="1:5">
      <c r="A3064" s="110"/>
      <c r="B3064" s="111"/>
      <c r="C3064" s="111"/>
      <c r="D3064" s="111"/>
      <c r="E3064" s="112"/>
    </row>
    <row r="3065" spans="1:5">
      <c r="A3065" s="110"/>
      <c r="B3065" s="111"/>
      <c r="C3065" s="111"/>
      <c r="D3065" s="111"/>
      <c r="E3065" s="112"/>
    </row>
    <row r="3066" spans="1:5">
      <c r="A3066" s="110"/>
      <c r="B3066" s="111"/>
      <c r="C3066" s="111"/>
      <c r="D3066" s="111"/>
      <c r="E3066" s="112"/>
    </row>
    <row r="3067" spans="1:5">
      <c r="A3067" s="110"/>
      <c r="B3067" s="111"/>
      <c r="C3067" s="111"/>
      <c r="D3067" s="111"/>
      <c r="E3067" s="112"/>
    </row>
    <row r="3068" spans="1:5">
      <c r="B3068" s="111"/>
      <c r="C3068" s="111"/>
      <c r="D3068" s="111"/>
      <c r="E3068" s="112"/>
    </row>
    <row r="3069" spans="1:5">
      <c r="B3069" s="111"/>
      <c r="C3069" s="111"/>
      <c r="D3069" s="111"/>
      <c r="E3069" s="112"/>
    </row>
    <row r="3070" spans="1:5">
      <c r="A3070" s="110"/>
      <c r="B3070" s="111"/>
      <c r="C3070" s="111"/>
      <c r="D3070" s="111"/>
      <c r="E3070" s="112"/>
    </row>
    <row r="3071" spans="1:5">
      <c r="A3071" s="110"/>
      <c r="B3071" s="111"/>
      <c r="C3071" s="111"/>
      <c r="D3071" s="111"/>
      <c r="E3071" s="112"/>
    </row>
    <row r="3072" spans="1:5">
      <c r="A3072" s="110"/>
      <c r="B3072" s="111"/>
      <c r="C3072" s="111"/>
      <c r="D3072" s="111"/>
      <c r="E3072" s="112"/>
    </row>
    <row r="3073" spans="1:5">
      <c r="B3073" s="111"/>
      <c r="C3073" s="111"/>
      <c r="D3073" s="111"/>
      <c r="E3073" s="112"/>
    </row>
    <row r="3074" spans="1:5">
      <c r="A3074" s="110"/>
      <c r="B3074" s="111"/>
      <c r="C3074" s="111"/>
      <c r="D3074" s="111"/>
      <c r="E3074" s="112"/>
    </row>
    <row r="3075" spans="1:5">
      <c r="A3075" s="110"/>
      <c r="B3075" s="111"/>
      <c r="C3075" s="111"/>
      <c r="D3075" s="111"/>
      <c r="E3075" s="112"/>
    </row>
    <row r="3076" spans="1:5">
      <c r="A3076" s="110"/>
      <c r="B3076" s="111"/>
      <c r="C3076" s="111"/>
      <c r="D3076" s="111"/>
      <c r="E3076" s="112"/>
    </row>
    <row r="3077" spans="1:5">
      <c r="B3077" s="111"/>
      <c r="C3077" s="111"/>
      <c r="D3077" s="111"/>
      <c r="E3077" s="112"/>
    </row>
    <row r="3078" spans="1:5">
      <c r="A3078" s="110"/>
      <c r="B3078" s="111"/>
      <c r="C3078" s="111"/>
      <c r="D3078" s="111"/>
      <c r="E3078" s="112"/>
    </row>
    <row r="3079" spans="1:5">
      <c r="A3079" s="110"/>
      <c r="B3079" s="111"/>
      <c r="C3079" s="111"/>
      <c r="D3079" s="111"/>
      <c r="E3079" s="112"/>
    </row>
    <row r="3080" spans="1:5">
      <c r="A3080" s="110"/>
      <c r="B3080" s="111"/>
      <c r="C3080" s="111"/>
      <c r="D3080" s="111"/>
      <c r="E3080" s="112"/>
    </row>
    <row r="3081" spans="1:5">
      <c r="A3081" s="110"/>
      <c r="B3081" s="111"/>
      <c r="C3081" s="111"/>
      <c r="D3081" s="111"/>
      <c r="E3081" s="112"/>
    </row>
    <row r="3082" spans="1:5">
      <c r="A3082" s="110"/>
      <c r="B3082" s="111"/>
      <c r="C3082" s="111"/>
      <c r="D3082" s="111"/>
      <c r="E3082" s="112"/>
    </row>
    <row r="3083" spans="1:5">
      <c r="B3083" s="111"/>
      <c r="C3083" s="111"/>
      <c r="D3083" s="111"/>
      <c r="E3083" s="112"/>
    </row>
    <row r="3084" spans="1:5">
      <c r="B3084" s="111"/>
      <c r="C3084" s="111"/>
      <c r="D3084" s="111"/>
      <c r="E3084" s="112"/>
    </row>
    <row r="3085" spans="1:5">
      <c r="B3085" s="111"/>
      <c r="C3085" s="111"/>
      <c r="D3085" s="111"/>
      <c r="E3085" s="112"/>
    </row>
    <row r="3086" spans="1:5">
      <c r="A3086" s="110"/>
      <c r="B3086" s="111"/>
      <c r="C3086" s="111"/>
      <c r="D3086" s="111"/>
      <c r="E3086" s="112"/>
    </row>
    <row r="3087" spans="1:5">
      <c r="A3087" s="110"/>
      <c r="B3087" s="111"/>
      <c r="C3087" s="111"/>
      <c r="D3087" s="111"/>
      <c r="E3087" s="112"/>
    </row>
    <row r="3088" spans="1:5">
      <c r="A3088" s="110"/>
      <c r="B3088" s="111"/>
      <c r="C3088" s="111"/>
      <c r="D3088" s="111"/>
      <c r="E3088" s="112"/>
    </row>
    <row r="3089" spans="1:5">
      <c r="B3089" s="111"/>
      <c r="C3089" s="111"/>
      <c r="D3089" s="111"/>
      <c r="E3089" s="112"/>
    </row>
    <row r="3090" spans="1:5">
      <c r="A3090" s="110"/>
      <c r="B3090" s="111"/>
      <c r="C3090" s="111"/>
      <c r="D3090" s="111"/>
      <c r="E3090" s="112"/>
    </row>
    <row r="3091" spans="1:5">
      <c r="A3091" s="110"/>
      <c r="B3091" s="111"/>
      <c r="C3091" s="111"/>
      <c r="D3091" s="111"/>
      <c r="E3091" s="112"/>
    </row>
    <row r="3092" spans="1:5">
      <c r="B3092" s="111"/>
      <c r="C3092" s="111"/>
      <c r="D3092" s="111"/>
      <c r="E3092" s="112"/>
    </row>
    <row r="3093" spans="1:5">
      <c r="B3093" s="111"/>
      <c r="C3093" s="111"/>
      <c r="D3093" s="111"/>
      <c r="E3093" s="112"/>
    </row>
    <row r="3094" spans="1:5">
      <c r="A3094" s="110"/>
      <c r="B3094" s="111"/>
      <c r="C3094" s="111"/>
      <c r="D3094" s="111"/>
      <c r="E3094" s="112"/>
    </row>
    <row r="3095" spans="1:5">
      <c r="A3095" s="110"/>
      <c r="B3095" s="111"/>
      <c r="C3095" s="111"/>
      <c r="D3095" s="111"/>
      <c r="E3095" s="112"/>
    </row>
    <row r="3096" spans="1:5">
      <c r="A3096" s="110"/>
      <c r="B3096" s="111"/>
      <c r="C3096" s="111"/>
      <c r="D3096" s="111"/>
      <c r="E3096" s="112"/>
    </row>
    <row r="3097" spans="1:5">
      <c r="A3097" s="110"/>
      <c r="B3097" s="111"/>
      <c r="C3097" s="111"/>
      <c r="D3097" s="111"/>
      <c r="E3097" s="112"/>
    </row>
    <row r="3098" spans="1:5">
      <c r="A3098" s="110"/>
      <c r="B3098" s="111"/>
      <c r="C3098" s="111"/>
      <c r="D3098" s="111"/>
      <c r="E3098" s="112"/>
    </row>
    <row r="3099" spans="1:5">
      <c r="A3099" s="110"/>
      <c r="B3099" s="111"/>
      <c r="C3099" s="111"/>
      <c r="D3099" s="111"/>
      <c r="E3099" s="112"/>
    </row>
    <row r="3100" spans="1:5">
      <c r="B3100" s="111"/>
      <c r="C3100" s="111"/>
      <c r="D3100" s="111"/>
      <c r="E3100" s="112"/>
    </row>
    <row r="3101" spans="1:5">
      <c r="A3101" s="110"/>
      <c r="B3101" s="111"/>
      <c r="C3101" s="111"/>
      <c r="D3101" s="111"/>
      <c r="E3101" s="112"/>
    </row>
    <row r="3102" spans="1:5">
      <c r="A3102" s="110"/>
      <c r="B3102" s="111"/>
      <c r="C3102" s="111"/>
      <c r="D3102" s="111"/>
      <c r="E3102" s="112"/>
    </row>
    <row r="3103" spans="1:5">
      <c r="A3103" s="110"/>
      <c r="B3103" s="111"/>
      <c r="C3103" s="111"/>
      <c r="D3103" s="111"/>
      <c r="E3103" s="112"/>
    </row>
    <row r="3104" spans="1:5">
      <c r="A3104" s="110"/>
      <c r="B3104" s="111"/>
      <c r="C3104" s="111"/>
      <c r="D3104" s="111"/>
      <c r="E3104" s="112"/>
    </row>
    <row r="3105" spans="1:5">
      <c r="A3105" s="110"/>
      <c r="B3105" s="111"/>
      <c r="C3105" s="111"/>
      <c r="D3105" s="111"/>
      <c r="E3105" s="112"/>
    </row>
    <row r="3106" spans="1:5">
      <c r="A3106" s="110"/>
      <c r="B3106" s="111"/>
      <c r="C3106" s="111"/>
      <c r="D3106" s="111"/>
      <c r="E3106" s="112"/>
    </row>
    <row r="3107" spans="1:5">
      <c r="A3107" s="110"/>
      <c r="B3107" s="111"/>
      <c r="C3107" s="111"/>
      <c r="D3107" s="111"/>
      <c r="E3107" s="112"/>
    </row>
    <row r="3108" spans="1:5">
      <c r="A3108" s="110"/>
      <c r="B3108" s="111"/>
      <c r="C3108" s="111"/>
      <c r="D3108" s="111"/>
      <c r="E3108" s="112"/>
    </row>
    <row r="3109" spans="1:5">
      <c r="A3109" s="110"/>
      <c r="B3109" s="111"/>
      <c r="C3109" s="111"/>
      <c r="D3109" s="111"/>
      <c r="E3109" s="112"/>
    </row>
    <row r="3110" spans="1:5">
      <c r="A3110" s="110"/>
      <c r="B3110" s="111"/>
      <c r="C3110" s="111"/>
      <c r="D3110" s="111"/>
      <c r="E3110" s="112"/>
    </row>
    <row r="3111" spans="1:5">
      <c r="A3111" s="110"/>
      <c r="B3111" s="111"/>
      <c r="C3111" s="111"/>
      <c r="D3111" s="111"/>
      <c r="E3111" s="112"/>
    </row>
    <row r="3112" spans="1:5">
      <c r="A3112" s="110"/>
      <c r="B3112" s="111"/>
      <c r="C3112" s="111"/>
      <c r="D3112" s="111"/>
      <c r="E3112" s="112"/>
    </row>
    <row r="3113" spans="1:5">
      <c r="A3113" s="110"/>
      <c r="B3113" s="111"/>
      <c r="C3113" s="111"/>
      <c r="D3113" s="111"/>
      <c r="E3113" s="112"/>
    </row>
    <row r="3114" spans="1:5">
      <c r="A3114" s="110"/>
      <c r="B3114" s="111"/>
      <c r="C3114" s="111"/>
      <c r="D3114" s="111"/>
      <c r="E3114" s="112"/>
    </row>
    <row r="3115" spans="1:5">
      <c r="A3115" s="110"/>
      <c r="B3115" s="111"/>
      <c r="C3115" s="111"/>
      <c r="D3115" s="111"/>
      <c r="E3115" s="112"/>
    </row>
    <row r="3116" spans="1:5">
      <c r="A3116" s="110"/>
      <c r="B3116" s="111"/>
      <c r="C3116" s="111"/>
      <c r="D3116" s="111"/>
      <c r="E3116" s="112"/>
    </row>
    <row r="3117" spans="1:5">
      <c r="A3117" s="110"/>
      <c r="B3117" s="111"/>
      <c r="C3117" s="111"/>
      <c r="D3117" s="111"/>
      <c r="E3117" s="112"/>
    </row>
    <row r="3118" spans="1:5">
      <c r="A3118" s="110"/>
      <c r="B3118" s="111"/>
      <c r="C3118" s="111"/>
      <c r="D3118" s="111"/>
      <c r="E3118" s="112"/>
    </row>
    <row r="3119" spans="1:5">
      <c r="A3119" s="110"/>
      <c r="B3119" s="111"/>
      <c r="C3119" s="111"/>
      <c r="D3119" s="111"/>
      <c r="E3119" s="112"/>
    </row>
    <row r="3120" spans="1:5">
      <c r="A3120" s="110"/>
      <c r="B3120" s="111"/>
      <c r="C3120" s="111"/>
      <c r="D3120" s="111"/>
      <c r="E3120" s="112"/>
    </row>
    <row r="3121" spans="1:5">
      <c r="A3121" s="110"/>
      <c r="B3121" s="111"/>
      <c r="C3121" s="111"/>
      <c r="D3121" s="111"/>
      <c r="E3121" s="112"/>
    </row>
    <row r="3122" spans="1:5">
      <c r="A3122" s="110"/>
      <c r="B3122" s="111"/>
      <c r="C3122" s="111"/>
      <c r="D3122" s="111"/>
      <c r="E3122" s="112"/>
    </row>
    <row r="3123" spans="1:5">
      <c r="A3123" s="110"/>
      <c r="B3123" s="111"/>
      <c r="C3123" s="111"/>
      <c r="D3123" s="111"/>
      <c r="E3123" s="112"/>
    </row>
    <row r="3124" spans="1:5">
      <c r="A3124" s="110"/>
      <c r="B3124" s="111"/>
      <c r="C3124" s="111"/>
      <c r="D3124" s="111"/>
      <c r="E3124" s="112"/>
    </row>
    <row r="3125" spans="1:5">
      <c r="A3125" s="110"/>
      <c r="B3125" s="111"/>
      <c r="C3125" s="111"/>
      <c r="D3125" s="111"/>
      <c r="E3125" s="112"/>
    </row>
    <row r="3126" spans="1:5">
      <c r="A3126" s="110"/>
      <c r="B3126" s="111"/>
      <c r="C3126" s="111"/>
      <c r="D3126" s="111"/>
      <c r="E3126" s="112"/>
    </row>
    <row r="3127" spans="1:5">
      <c r="A3127" s="110"/>
      <c r="B3127" s="111"/>
      <c r="C3127" s="111"/>
      <c r="D3127" s="111"/>
      <c r="E3127" s="112"/>
    </row>
    <row r="3128" spans="1:5">
      <c r="A3128" s="110"/>
      <c r="B3128" s="111"/>
      <c r="C3128" s="111"/>
      <c r="D3128" s="111"/>
      <c r="E3128" s="112"/>
    </row>
    <row r="3129" spans="1:5">
      <c r="A3129" s="110"/>
      <c r="B3129" s="111"/>
      <c r="C3129" s="111"/>
      <c r="D3129" s="111"/>
      <c r="E3129" s="112"/>
    </row>
    <row r="3130" spans="1:5">
      <c r="A3130" s="110"/>
      <c r="B3130" s="111"/>
      <c r="C3130" s="111"/>
      <c r="D3130" s="111"/>
      <c r="E3130" s="112"/>
    </row>
    <row r="3131" spans="1:5">
      <c r="A3131" s="110"/>
      <c r="B3131" s="111"/>
      <c r="C3131" s="111"/>
      <c r="D3131" s="111"/>
      <c r="E3131" s="112"/>
    </row>
    <row r="3132" spans="1:5">
      <c r="A3132" s="110"/>
      <c r="B3132" s="111"/>
      <c r="C3132" s="111"/>
      <c r="D3132" s="111"/>
      <c r="E3132" s="112"/>
    </row>
    <row r="3133" spans="1:5">
      <c r="A3133" s="110"/>
      <c r="B3133" s="111"/>
      <c r="C3133" s="111"/>
      <c r="D3133" s="111"/>
      <c r="E3133" s="112"/>
    </row>
    <row r="3134" spans="1:5">
      <c r="A3134" s="110"/>
      <c r="B3134" s="111"/>
      <c r="C3134" s="111"/>
      <c r="D3134" s="111"/>
      <c r="E3134" s="112"/>
    </row>
    <row r="3135" spans="1:5">
      <c r="A3135" s="110"/>
      <c r="B3135" s="111"/>
      <c r="C3135" s="111"/>
      <c r="D3135" s="111"/>
      <c r="E3135" s="112"/>
    </row>
    <row r="3136" spans="1:5">
      <c r="A3136" s="110"/>
      <c r="B3136" s="111"/>
      <c r="C3136" s="111"/>
      <c r="D3136" s="111"/>
      <c r="E3136" s="112"/>
    </row>
    <row r="3137" spans="1:5">
      <c r="A3137" s="110"/>
      <c r="B3137" s="111"/>
      <c r="C3137" s="111"/>
      <c r="D3137" s="111"/>
      <c r="E3137" s="112"/>
    </row>
    <row r="3138" spans="1:5">
      <c r="A3138" s="110"/>
      <c r="B3138" s="111"/>
      <c r="C3138" s="111"/>
      <c r="D3138" s="111"/>
      <c r="E3138" s="112"/>
    </row>
    <row r="3139" spans="1:5">
      <c r="A3139" s="110"/>
      <c r="B3139" s="111"/>
      <c r="C3139" s="111"/>
      <c r="D3139" s="111"/>
      <c r="E3139" s="112"/>
    </row>
    <row r="3140" spans="1:5">
      <c r="A3140" s="110"/>
      <c r="B3140" s="111"/>
      <c r="C3140" s="111"/>
      <c r="D3140" s="111"/>
      <c r="E3140" s="112"/>
    </row>
    <row r="3141" spans="1:5">
      <c r="A3141" s="110"/>
      <c r="B3141" s="111"/>
      <c r="C3141" s="111"/>
      <c r="D3141" s="111"/>
      <c r="E3141" s="112"/>
    </row>
    <row r="3142" spans="1:5">
      <c r="A3142" s="110"/>
      <c r="B3142" s="111"/>
      <c r="C3142" s="111"/>
      <c r="D3142" s="111"/>
      <c r="E3142" s="112"/>
    </row>
    <row r="3143" spans="1:5">
      <c r="A3143" s="110"/>
      <c r="B3143" s="111"/>
      <c r="C3143" s="111"/>
      <c r="D3143" s="111"/>
      <c r="E3143" s="112"/>
    </row>
    <row r="3144" spans="1:5">
      <c r="A3144" s="110"/>
      <c r="B3144" s="111"/>
      <c r="C3144" s="111"/>
      <c r="D3144" s="111"/>
      <c r="E3144" s="112"/>
    </row>
    <row r="3145" spans="1:5">
      <c r="A3145" s="110"/>
      <c r="B3145" s="111"/>
      <c r="C3145" s="111"/>
      <c r="D3145" s="111"/>
      <c r="E3145" s="112"/>
    </row>
    <row r="3146" spans="1:5">
      <c r="A3146" s="110"/>
      <c r="B3146" s="111"/>
      <c r="C3146" s="111"/>
      <c r="D3146" s="111"/>
      <c r="E3146" s="112"/>
    </row>
    <row r="3147" spans="1:5">
      <c r="A3147" s="110"/>
      <c r="B3147" s="111"/>
      <c r="C3147" s="111"/>
      <c r="D3147" s="111"/>
      <c r="E3147" s="112"/>
    </row>
    <row r="3148" spans="1:5">
      <c r="A3148" s="110"/>
      <c r="B3148" s="111"/>
      <c r="C3148" s="111"/>
      <c r="D3148" s="111"/>
      <c r="E3148" s="112"/>
    </row>
    <row r="3149" spans="1:5">
      <c r="A3149" s="110"/>
      <c r="B3149" s="111"/>
      <c r="C3149" s="111"/>
      <c r="D3149" s="111"/>
      <c r="E3149" s="112"/>
    </row>
    <row r="3150" spans="1:5">
      <c r="A3150" s="110"/>
      <c r="B3150" s="111"/>
      <c r="C3150" s="111"/>
      <c r="D3150" s="111"/>
      <c r="E3150" s="112"/>
    </row>
    <row r="3151" spans="1:5">
      <c r="A3151" s="110"/>
      <c r="B3151" s="111"/>
      <c r="C3151" s="111"/>
      <c r="D3151" s="111"/>
      <c r="E3151" s="112"/>
    </row>
    <row r="3152" spans="1:5">
      <c r="A3152" s="110"/>
      <c r="B3152" s="111"/>
      <c r="C3152" s="111"/>
      <c r="D3152" s="111"/>
      <c r="E3152" s="112"/>
    </row>
    <row r="3153" spans="1:5">
      <c r="A3153" s="110"/>
      <c r="B3153" s="111"/>
      <c r="C3153" s="111"/>
      <c r="D3153" s="111"/>
      <c r="E3153" s="112"/>
    </row>
    <row r="3154" spans="1:5">
      <c r="A3154" s="110"/>
      <c r="B3154" s="111"/>
      <c r="C3154" s="111"/>
      <c r="D3154" s="111"/>
      <c r="E3154" s="112"/>
    </row>
    <row r="3155" spans="1:5">
      <c r="A3155" s="110"/>
      <c r="B3155" s="111"/>
      <c r="C3155" s="111"/>
      <c r="D3155" s="111"/>
      <c r="E3155" s="112"/>
    </row>
    <row r="3156" spans="1:5">
      <c r="A3156" s="110"/>
      <c r="B3156" s="111"/>
      <c r="C3156" s="111"/>
      <c r="D3156" s="111"/>
      <c r="E3156" s="112"/>
    </row>
    <row r="3157" spans="1:5">
      <c r="A3157" s="110"/>
      <c r="B3157" s="111"/>
      <c r="C3157" s="111"/>
      <c r="D3157" s="111"/>
      <c r="E3157" s="112"/>
    </row>
    <row r="3158" spans="1:5">
      <c r="A3158" s="110"/>
      <c r="B3158" s="111"/>
      <c r="C3158" s="111"/>
      <c r="D3158" s="111"/>
      <c r="E3158" s="112"/>
    </row>
    <row r="3159" spans="1:5">
      <c r="A3159" s="110"/>
      <c r="B3159" s="111"/>
      <c r="C3159" s="111"/>
      <c r="D3159" s="111"/>
      <c r="E3159" s="112"/>
    </row>
    <row r="3160" spans="1:5">
      <c r="A3160" s="110"/>
      <c r="B3160" s="111"/>
      <c r="C3160" s="111"/>
      <c r="D3160" s="111"/>
      <c r="E3160" s="112"/>
    </row>
    <row r="3161" spans="1:5">
      <c r="A3161" s="110"/>
      <c r="B3161" s="111"/>
      <c r="C3161" s="111"/>
      <c r="D3161" s="111"/>
      <c r="E3161" s="112"/>
    </row>
    <row r="3162" spans="1:5">
      <c r="A3162" s="110"/>
      <c r="B3162" s="111"/>
      <c r="C3162" s="111"/>
      <c r="D3162" s="111"/>
      <c r="E3162" s="112"/>
    </row>
    <row r="3163" spans="1:5">
      <c r="A3163" s="110"/>
      <c r="B3163" s="111"/>
      <c r="C3163" s="111"/>
      <c r="D3163" s="111"/>
      <c r="E3163" s="112"/>
    </row>
    <row r="3164" spans="1:5">
      <c r="A3164" s="110"/>
      <c r="B3164" s="111"/>
      <c r="C3164" s="111"/>
      <c r="D3164" s="111"/>
      <c r="E3164" s="112"/>
    </row>
    <row r="3165" spans="1:5">
      <c r="A3165" s="110"/>
      <c r="B3165" s="111"/>
      <c r="C3165" s="111"/>
      <c r="D3165" s="111"/>
      <c r="E3165" s="112"/>
    </row>
    <row r="3166" spans="1:5">
      <c r="A3166" s="110"/>
      <c r="B3166" s="111"/>
      <c r="C3166" s="111"/>
      <c r="D3166" s="111"/>
      <c r="E3166" s="112"/>
    </row>
    <row r="3167" spans="1:5">
      <c r="A3167" s="110"/>
      <c r="B3167" s="111"/>
      <c r="C3167" s="111"/>
      <c r="D3167" s="111"/>
      <c r="E3167" s="112"/>
    </row>
    <row r="3168" spans="1:5">
      <c r="A3168" s="110"/>
      <c r="B3168" s="111"/>
      <c r="C3168" s="111"/>
      <c r="D3168" s="111"/>
      <c r="E3168" s="112"/>
    </row>
    <row r="3169" spans="1:5">
      <c r="A3169" s="110"/>
      <c r="B3169" s="111"/>
      <c r="C3169" s="111"/>
      <c r="D3169" s="111"/>
      <c r="E3169" s="112"/>
    </row>
    <row r="3170" spans="1:5">
      <c r="A3170" s="110"/>
      <c r="B3170" s="111"/>
      <c r="C3170" s="111"/>
      <c r="D3170" s="111"/>
      <c r="E3170" s="112"/>
    </row>
    <row r="3171" spans="1:5">
      <c r="A3171" s="110"/>
      <c r="B3171" s="111"/>
      <c r="C3171" s="111"/>
      <c r="D3171" s="111"/>
      <c r="E3171" s="112"/>
    </row>
    <row r="3172" spans="1:5">
      <c r="A3172" s="110"/>
      <c r="B3172" s="111"/>
      <c r="C3172" s="111"/>
      <c r="D3172" s="111"/>
      <c r="E3172" s="112"/>
    </row>
    <row r="3173" spans="1:5">
      <c r="A3173" s="110"/>
      <c r="B3173" s="111"/>
      <c r="C3173" s="111"/>
      <c r="D3173" s="111"/>
      <c r="E3173" s="112"/>
    </row>
    <row r="3174" spans="1:5">
      <c r="A3174" s="110"/>
      <c r="B3174" s="111"/>
      <c r="C3174" s="111"/>
      <c r="D3174" s="111"/>
      <c r="E3174" s="112"/>
    </row>
    <row r="3175" spans="1:5">
      <c r="A3175" s="110"/>
      <c r="B3175" s="111"/>
      <c r="C3175" s="111"/>
      <c r="D3175" s="111"/>
      <c r="E3175" s="112"/>
    </row>
    <row r="3176" spans="1:5">
      <c r="A3176" s="110"/>
      <c r="B3176" s="111"/>
      <c r="C3176" s="111"/>
      <c r="D3176" s="111"/>
      <c r="E3176" s="112"/>
    </row>
    <row r="3177" spans="1:5">
      <c r="A3177" s="110"/>
      <c r="B3177" s="111"/>
      <c r="C3177" s="111"/>
      <c r="D3177" s="111"/>
      <c r="E3177" s="112"/>
    </row>
    <row r="3178" spans="1:5">
      <c r="A3178" s="110"/>
      <c r="B3178" s="111"/>
      <c r="C3178" s="111"/>
      <c r="D3178" s="111"/>
      <c r="E3178" s="112"/>
    </row>
    <row r="3179" spans="1:5">
      <c r="A3179" s="110"/>
      <c r="B3179" s="111"/>
      <c r="C3179" s="111"/>
      <c r="D3179" s="111"/>
      <c r="E3179" s="112"/>
    </row>
    <row r="3180" spans="1:5">
      <c r="A3180" s="110"/>
      <c r="B3180" s="111"/>
      <c r="C3180" s="111"/>
      <c r="D3180" s="111"/>
      <c r="E3180" s="112"/>
    </row>
    <row r="3181" spans="1:5">
      <c r="A3181" s="110"/>
      <c r="B3181" s="111"/>
      <c r="C3181" s="111"/>
      <c r="D3181" s="111"/>
      <c r="E3181" s="112"/>
    </row>
    <row r="3182" spans="1:5">
      <c r="A3182" s="110"/>
      <c r="B3182" s="111"/>
      <c r="C3182" s="111"/>
      <c r="D3182" s="111"/>
      <c r="E3182" s="112"/>
    </row>
    <row r="3183" spans="1:5">
      <c r="A3183" s="110"/>
      <c r="B3183" s="111"/>
      <c r="C3183" s="111"/>
      <c r="D3183" s="111"/>
      <c r="E3183" s="112"/>
    </row>
    <row r="3184" spans="1:5">
      <c r="A3184" s="110"/>
      <c r="B3184" s="111"/>
      <c r="C3184" s="111"/>
      <c r="D3184" s="111"/>
      <c r="E3184" s="112"/>
    </row>
    <row r="3185" spans="4:5">
      <c r="D3185" s="111"/>
      <c r="E3185" s="112"/>
    </row>
    <row r="3186" spans="4:5">
      <c r="D3186" s="111"/>
      <c r="E3186" s="112"/>
    </row>
    <row r="3187" spans="4:5">
      <c r="D3187" s="111"/>
      <c r="E3187" s="112"/>
    </row>
    <row r="3188" spans="4:5">
      <c r="D3188" s="111"/>
      <c r="E3188" s="112"/>
    </row>
    <row r="3189" spans="4:5">
      <c r="D3189" s="111"/>
      <c r="E3189" s="112"/>
    </row>
    <row r="3190" spans="4:5">
      <c r="D3190" s="111"/>
      <c r="E3190" s="112"/>
    </row>
    <row r="3191" spans="4:5">
      <c r="D3191" s="111"/>
      <c r="E3191" s="112"/>
    </row>
    <row r="3192" spans="4:5">
      <c r="D3192" s="111"/>
      <c r="E3192" s="112"/>
    </row>
    <row r="3193" spans="4:5">
      <c r="D3193" s="111"/>
      <c r="E3193" s="112"/>
    </row>
    <row r="3194" spans="4:5">
      <c r="D3194" s="111"/>
      <c r="E3194" s="112"/>
    </row>
    <row r="3195" spans="4:5">
      <c r="D3195" s="111"/>
      <c r="E3195" s="112"/>
    </row>
    <row r="3196" spans="4:5">
      <c r="D3196" s="111"/>
      <c r="E3196" s="112"/>
    </row>
    <row r="3197" spans="4:5">
      <c r="D3197" s="111"/>
      <c r="E3197" s="112"/>
    </row>
    <row r="3198" spans="4:5">
      <c r="D3198" s="111"/>
      <c r="E3198" s="112"/>
    </row>
    <row r="3199" spans="4:5">
      <c r="D3199" s="111"/>
      <c r="E3199" s="112"/>
    </row>
    <row r="3200" spans="4:5">
      <c r="D3200" s="111"/>
      <c r="E3200" s="112"/>
    </row>
    <row r="3201" spans="1:5">
      <c r="D3201" s="111"/>
      <c r="E3201" s="112"/>
    </row>
    <row r="3202" spans="1:5">
      <c r="D3202" s="111"/>
      <c r="E3202" s="112"/>
    </row>
    <row r="3203" spans="1:5">
      <c r="D3203" s="111"/>
      <c r="E3203" s="112"/>
    </row>
    <row r="3204" spans="1:5">
      <c r="D3204" s="111"/>
      <c r="E3204" s="112"/>
    </row>
    <row r="3205" spans="1:5">
      <c r="D3205" s="111"/>
      <c r="E3205" s="112"/>
    </row>
    <row r="3206" spans="1:5">
      <c r="D3206" s="111"/>
      <c r="E3206" s="112"/>
    </row>
    <row r="3207" spans="1:5">
      <c r="D3207" s="111"/>
      <c r="E3207" s="112"/>
    </row>
    <row r="3208" spans="1:5">
      <c r="A3208" s="110"/>
      <c r="B3208" s="111"/>
      <c r="C3208" s="111"/>
      <c r="D3208" s="111"/>
      <c r="E3208" s="112"/>
    </row>
    <row r="3209" spans="1:5">
      <c r="A3209" s="110"/>
      <c r="B3209" s="111"/>
      <c r="C3209" s="111"/>
      <c r="D3209" s="111"/>
      <c r="E3209" s="112"/>
    </row>
    <row r="3210" spans="1:5">
      <c r="A3210" s="110"/>
      <c r="B3210" s="111"/>
      <c r="C3210" s="111"/>
      <c r="D3210" s="111"/>
      <c r="E3210" s="112"/>
    </row>
    <row r="3211" spans="1:5">
      <c r="A3211" s="110"/>
      <c r="B3211" s="111"/>
      <c r="C3211" s="111"/>
      <c r="D3211" s="111"/>
      <c r="E3211" s="112"/>
    </row>
    <row r="3212" spans="1:5">
      <c r="A3212" s="110"/>
      <c r="B3212" s="111"/>
      <c r="C3212" s="111"/>
      <c r="D3212" s="111"/>
      <c r="E3212" s="112"/>
    </row>
    <row r="3213" spans="1:5">
      <c r="A3213" s="110"/>
      <c r="B3213" s="111"/>
      <c r="C3213" s="111"/>
      <c r="D3213" s="111"/>
      <c r="E3213" s="112"/>
    </row>
    <row r="3214" spans="1:5">
      <c r="A3214" s="110"/>
      <c r="B3214" s="111"/>
      <c r="C3214" s="111"/>
      <c r="D3214" s="111"/>
      <c r="E3214" s="112"/>
    </row>
    <row r="3215" spans="1:5">
      <c r="A3215" s="110"/>
      <c r="B3215" s="111"/>
      <c r="C3215" s="111"/>
      <c r="D3215" s="111"/>
      <c r="E3215" s="112"/>
    </row>
    <row r="3216" spans="1:5">
      <c r="A3216" s="110"/>
      <c r="B3216" s="111"/>
      <c r="C3216" s="111"/>
      <c r="D3216" s="111"/>
      <c r="E3216" s="112"/>
    </row>
    <row r="3217" spans="1:5">
      <c r="A3217" s="110"/>
      <c r="B3217" s="111"/>
      <c r="C3217" s="111"/>
      <c r="D3217" s="111"/>
      <c r="E3217" s="112"/>
    </row>
    <row r="3218" spans="1:5">
      <c r="A3218" s="110"/>
      <c r="B3218" s="111"/>
      <c r="C3218" s="111"/>
      <c r="D3218" s="111"/>
      <c r="E3218" s="112"/>
    </row>
    <row r="3219" spans="1:5">
      <c r="A3219" s="110"/>
      <c r="B3219" s="111"/>
      <c r="C3219" s="111"/>
      <c r="D3219" s="111"/>
      <c r="E3219" s="112"/>
    </row>
    <row r="3220" spans="1:5">
      <c r="A3220" s="110"/>
      <c r="B3220" s="111"/>
      <c r="C3220" s="111"/>
      <c r="D3220" s="111"/>
      <c r="E3220" s="112"/>
    </row>
    <row r="3221" spans="1:5">
      <c r="A3221" s="110"/>
      <c r="B3221" s="111"/>
      <c r="C3221" s="111"/>
      <c r="D3221" s="111"/>
      <c r="E3221" s="112"/>
    </row>
    <row r="3222" spans="1:5">
      <c r="A3222" s="110"/>
      <c r="B3222" s="111"/>
      <c r="C3222" s="111"/>
      <c r="D3222" s="111"/>
      <c r="E3222" s="112"/>
    </row>
    <row r="3223" spans="1:5">
      <c r="A3223" s="110"/>
      <c r="B3223" s="111"/>
      <c r="C3223" s="111"/>
      <c r="D3223" s="111"/>
      <c r="E3223" s="112"/>
    </row>
    <row r="3224" spans="1:5">
      <c r="A3224" s="110"/>
      <c r="B3224" s="111"/>
      <c r="C3224" s="111"/>
      <c r="D3224" s="111"/>
      <c r="E3224" s="112"/>
    </row>
    <row r="3225" spans="1:5">
      <c r="A3225" s="110"/>
      <c r="B3225" s="111"/>
      <c r="C3225" s="111"/>
      <c r="D3225" s="111"/>
      <c r="E3225" s="112"/>
    </row>
    <row r="3226" spans="1:5">
      <c r="A3226" s="110"/>
      <c r="B3226" s="111"/>
      <c r="C3226" s="111"/>
      <c r="D3226" s="111"/>
      <c r="E3226" s="112"/>
    </row>
    <row r="3227" spans="1:5">
      <c r="A3227" s="110"/>
      <c r="B3227" s="111"/>
      <c r="C3227" s="111"/>
      <c r="D3227" s="111"/>
      <c r="E3227" s="112"/>
    </row>
    <row r="3228" spans="1:5">
      <c r="A3228" s="110"/>
      <c r="B3228" s="111"/>
      <c r="C3228" s="111"/>
      <c r="D3228" s="111"/>
      <c r="E3228" s="112"/>
    </row>
    <row r="3229" spans="1:5">
      <c r="A3229" s="110"/>
      <c r="B3229" s="111"/>
      <c r="C3229" s="111"/>
      <c r="D3229" s="111"/>
      <c r="E3229" s="112"/>
    </row>
    <row r="3230" spans="1:5">
      <c r="A3230" s="110"/>
      <c r="B3230" s="111"/>
      <c r="C3230" s="111"/>
      <c r="D3230" s="111"/>
      <c r="E3230" s="112"/>
    </row>
    <row r="3231" spans="1:5">
      <c r="A3231" s="110"/>
      <c r="B3231" s="111"/>
      <c r="C3231" s="111"/>
      <c r="D3231" s="111"/>
      <c r="E3231" s="112"/>
    </row>
    <row r="3232" spans="1:5">
      <c r="A3232" s="110"/>
      <c r="B3232" s="111"/>
      <c r="C3232" s="111"/>
      <c r="D3232" s="111"/>
      <c r="E3232" s="112"/>
    </row>
    <row r="3233" spans="1:5">
      <c r="A3233" s="110"/>
      <c r="B3233" s="111"/>
      <c r="C3233" s="111"/>
      <c r="D3233" s="111"/>
      <c r="E3233" s="112"/>
    </row>
    <row r="3234" spans="1:5">
      <c r="A3234" s="110"/>
      <c r="B3234" s="111"/>
      <c r="C3234" s="111"/>
      <c r="D3234" s="111"/>
      <c r="E3234" s="112"/>
    </row>
    <row r="3235" spans="1:5">
      <c r="A3235" s="110"/>
      <c r="B3235" s="111"/>
      <c r="C3235" s="111"/>
      <c r="D3235" s="111"/>
      <c r="E3235" s="112"/>
    </row>
    <row r="3236" spans="1:5">
      <c r="A3236" s="110"/>
      <c r="B3236" s="111"/>
      <c r="C3236" s="111"/>
      <c r="D3236" s="111"/>
      <c r="E3236" s="112"/>
    </row>
    <row r="3237" spans="1:5">
      <c r="A3237" s="110"/>
      <c r="B3237" s="111"/>
      <c r="C3237" s="111"/>
      <c r="D3237" s="111"/>
      <c r="E3237" s="112"/>
    </row>
    <row r="3238" spans="1:5">
      <c r="A3238" s="110"/>
      <c r="B3238" s="111"/>
      <c r="C3238" s="111"/>
      <c r="D3238" s="111"/>
      <c r="E3238" s="112"/>
    </row>
    <row r="3239" spans="1:5">
      <c r="A3239" s="110"/>
      <c r="B3239" s="111"/>
      <c r="C3239" s="111"/>
      <c r="D3239" s="111"/>
      <c r="E3239" s="112"/>
    </row>
    <row r="3240" spans="1:5">
      <c r="A3240" s="110"/>
      <c r="B3240" s="111"/>
      <c r="C3240" s="111"/>
      <c r="D3240" s="111"/>
      <c r="E3240" s="112"/>
    </row>
    <row r="3241" spans="1:5">
      <c r="A3241" s="110"/>
      <c r="B3241" s="111"/>
      <c r="C3241" s="111"/>
      <c r="D3241" s="111"/>
      <c r="E3241" s="112"/>
    </row>
    <row r="3242" spans="1:5">
      <c r="A3242" s="110"/>
      <c r="B3242" s="111"/>
      <c r="C3242" s="111"/>
      <c r="D3242" s="111"/>
      <c r="E3242" s="112"/>
    </row>
    <row r="3243" spans="1:5">
      <c r="A3243" s="110"/>
      <c r="B3243" s="111"/>
      <c r="C3243" s="111"/>
      <c r="D3243" s="111"/>
      <c r="E3243" s="112"/>
    </row>
    <row r="3244" spans="1:5">
      <c r="A3244" s="110"/>
      <c r="B3244" s="111"/>
      <c r="C3244" s="111"/>
      <c r="D3244" s="111"/>
      <c r="E3244" s="112"/>
    </row>
    <row r="3245" spans="1:5">
      <c r="A3245" s="110"/>
      <c r="B3245" s="111"/>
      <c r="C3245" s="111"/>
      <c r="D3245" s="111"/>
      <c r="E3245" s="112"/>
    </row>
    <row r="3246" spans="1:5">
      <c r="A3246" s="110"/>
      <c r="B3246" s="111"/>
      <c r="C3246" s="111"/>
      <c r="D3246" s="111"/>
      <c r="E3246" s="112"/>
    </row>
    <row r="3247" spans="1:5">
      <c r="A3247" s="110"/>
      <c r="B3247" s="111"/>
      <c r="C3247" s="111"/>
      <c r="D3247" s="111"/>
      <c r="E3247" s="112"/>
    </row>
    <row r="3248" spans="1:5">
      <c r="A3248" s="110"/>
      <c r="B3248" s="111"/>
      <c r="C3248" s="111"/>
      <c r="D3248" s="111"/>
      <c r="E3248" s="112"/>
    </row>
    <row r="3249" spans="1:5">
      <c r="A3249" s="110"/>
      <c r="B3249" s="111"/>
      <c r="C3249" s="111"/>
      <c r="D3249" s="111"/>
      <c r="E3249" s="112"/>
    </row>
    <row r="3250" spans="1:5">
      <c r="A3250" s="110"/>
      <c r="B3250" s="111"/>
      <c r="C3250" s="111"/>
      <c r="D3250" s="111"/>
      <c r="E3250" s="112"/>
    </row>
    <row r="3251" spans="1:5">
      <c r="A3251" s="110"/>
      <c r="B3251" s="111"/>
      <c r="C3251" s="111"/>
      <c r="D3251" s="111"/>
      <c r="E3251" s="112"/>
    </row>
    <row r="3252" spans="1:5">
      <c r="A3252" s="110"/>
      <c r="B3252" s="111"/>
      <c r="C3252" s="111"/>
      <c r="D3252" s="111"/>
      <c r="E3252" s="112"/>
    </row>
    <row r="3253" spans="1:5">
      <c r="A3253" s="110"/>
      <c r="B3253" s="111"/>
      <c r="C3253" s="111"/>
      <c r="D3253" s="111"/>
      <c r="E3253" s="112"/>
    </row>
    <row r="3254" spans="1:5">
      <c r="A3254" s="110"/>
      <c r="B3254" s="111"/>
      <c r="C3254" s="111"/>
      <c r="D3254" s="111"/>
      <c r="E3254" s="112"/>
    </row>
    <row r="3255" spans="1:5">
      <c r="A3255" s="110"/>
      <c r="B3255" s="111"/>
      <c r="C3255" s="111"/>
      <c r="D3255" s="111"/>
      <c r="E3255" s="112"/>
    </row>
    <row r="3256" spans="1:5">
      <c r="A3256" s="110"/>
      <c r="B3256" s="111"/>
      <c r="C3256" s="111"/>
      <c r="D3256" s="111"/>
      <c r="E3256" s="112"/>
    </row>
    <row r="3257" spans="1:5">
      <c r="A3257" s="110"/>
      <c r="B3257" s="111"/>
      <c r="C3257" s="111"/>
      <c r="D3257" s="111"/>
      <c r="E3257" s="112"/>
    </row>
    <row r="3258" spans="1:5">
      <c r="A3258" s="110"/>
      <c r="B3258" s="111"/>
      <c r="C3258" s="111"/>
      <c r="D3258" s="111"/>
      <c r="E3258" s="112"/>
    </row>
    <row r="3259" spans="1:5">
      <c r="A3259" s="110"/>
      <c r="B3259" s="111"/>
      <c r="C3259" s="111"/>
      <c r="D3259" s="111"/>
      <c r="E3259" s="112"/>
    </row>
    <row r="3260" spans="1:5">
      <c r="A3260" s="110"/>
      <c r="B3260" s="111"/>
      <c r="C3260" s="111"/>
      <c r="D3260" s="111"/>
      <c r="E3260" s="112"/>
    </row>
    <row r="3261" spans="1:5">
      <c r="A3261" s="110"/>
      <c r="B3261" s="111"/>
      <c r="C3261" s="111"/>
      <c r="D3261" s="111"/>
      <c r="E3261" s="112"/>
    </row>
    <row r="3262" spans="1:5">
      <c r="A3262" s="110"/>
      <c r="B3262" s="111"/>
      <c r="C3262" s="111"/>
      <c r="D3262" s="111"/>
      <c r="E3262" s="112"/>
    </row>
    <row r="3263" spans="1:5">
      <c r="A3263" s="110"/>
      <c r="B3263" s="111"/>
      <c r="C3263" s="111"/>
      <c r="D3263" s="111"/>
      <c r="E3263" s="112"/>
    </row>
    <row r="3264" spans="1:5">
      <c r="A3264" s="110"/>
      <c r="B3264" s="111"/>
      <c r="C3264" s="111"/>
      <c r="D3264" s="111"/>
      <c r="E3264" s="112"/>
    </row>
    <row r="3265" spans="1:5">
      <c r="A3265" s="110"/>
      <c r="B3265" s="111"/>
      <c r="C3265" s="111"/>
      <c r="D3265" s="111"/>
      <c r="E3265" s="112"/>
    </row>
    <row r="3266" spans="1:5">
      <c r="A3266" s="110"/>
      <c r="B3266" s="111"/>
      <c r="C3266" s="111"/>
      <c r="D3266" s="111"/>
      <c r="E3266" s="112"/>
    </row>
    <row r="3267" spans="1:5">
      <c r="A3267" s="110"/>
      <c r="B3267" s="111"/>
      <c r="C3267" s="111"/>
      <c r="D3267" s="111"/>
      <c r="E3267" s="112"/>
    </row>
    <row r="3268" spans="1:5">
      <c r="A3268" s="110"/>
      <c r="B3268" s="111"/>
      <c r="C3268" s="111"/>
      <c r="D3268" s="111"/>
      <c r="E3268" s="112"/>
    </row>
    <row r="3269" spans="1:5">
      <c r="D3269" s="111"/>
      <c r="E3269" s="112"/>
    </row>
    <row r="3270" spans="1:5">
      <c r="D3270" s="111"/>
      <c r="E3270" s="112"/>
    </row>
    <row r="3271" spans="1:5">
      <c r="D3271" s="111"/>
      <c r="E3271" s="112"/>
    </row>
    <row r="3272" spans="1:5">
      <c r="D3272" s="111"/>
      <c r="E3272" s="112"/>
    </row>
    <row r="3273" spans="1:5">
      <c r="D3273" s="111"/>
      <c r="E3273" s="112"/>
    </row>
    <row r="3274" spans="1:5">
      <c r="D3274" s="111"/>
      <c r="E3274" s="112"/>
    </row>
    <row r="3275" spans="1:5">
      <c r="D3275" s="111"/>
      <c r="E3275" s="112"/>
    </row>
    <row r="3276" spans="1:5">
      <c r="D3276" s="111"/>
      <c r="E3276" s="112"/>
    </row>
    <row r="3277" spans="1:5">
      <c r="D3277" s="111"/>
      <c r="E3277" s="112"/>
    </row>
    <row r="3278" spans="1:5">
      <c r="D3278" s="111"/>
      <c r="E3278" s="112"/>
    </row>
    <row r="3279" spans="1:5">
      <c r="D3279" s="111"/>
      <c r="E3279" s="112"/>
    </row>
    <row r="3280" spans="1:5">
      <c r="D3280" s="111"/>
      <c r="E3280" s="112"/>
    </row>
    <row r="3281" spans="4:5">
      <c r="D3281" s="111"/>
      <c r="E3281" s="112"/>
    </row>
    <row r="3282" spans="4:5">
      <c r="D3282" s="111"/>
      <c r="E3282" s="112"/>
    </row>
    <row r="3283" spans="4:5">
      <c r="D3283" s="111"/>
      <c r="E3283" s="112"/>
    </row>
    <row r="3284" spans="4:5">
      <c r="D3284" s="111"/>
      <c r="E3284" s="112"/>
    </row>
    <row r="3285" spans="4:5">
      <c r="D3285" s="111"/>
      <c r="E3285" s="112"/>
    </row>
    <row r="3286" spans="4:5">
      <c r="D3286" s="111"/>
      <c r="E3286" s="112"/>
    </row>
    <row r="3287" spans="4:5">
      <c r="D3287" s="111"/>
      <c r="E3287" s="112"/>
    </row>
    <row r="3288" spans="4:5">
      <c r="D3288" s="111"/>
      <c r="E3288" s="112"/>
    </row>
    <row r="3289" spans="4:5">
      <c r="D3289" s="111"/>
      <c r="E3289" s="112"/>
    </row>
    <row r="3290" spans="4:5">
      <c r="D3290" s="111"/>
      <c r="E3290" s="112"/>
    </row>
    <row r="3291" spans="4:5">
      <c r="D3291" s="111"/>
      <c r="E3291" s="112"/>
    </row>
    <row r="3292" spans="4:5">
      <c r="D3292" s="111"/>
      <c r="E3292" s="112"/>
    </row>
    <row r="3293" spans="4:5">
      <c r="D3293" s="111"/>
      <c r="E3293" s="112"/>
    </row>
    <row r="3294" spans="4:5">
      <c r="D3294" s="111"/>
      <c r="E3294" s="112"/>
    </row>
    <row r="3295" spans="4:5">
      <c r="D3295" s="111"/>
      <c r="E3295" s="112"/>
    </row>
    <row r="3296" spans="4:5">
      <c r="D3296" s="111"/>
      <c r="E3296" s="112"/>
    </row>
    <row r="3297" spans="1:5">
      <c r="D3297" s="111"/>
      <c r="E3297" s="112"/>
    </row>
    <row r="3298" spans="1:5">
      <c r="B3298" s="111"/>
      <c r="C3298" s="111"/>
      <c r="D3298" s="111"/>
      <c r="E3298" s="112"/>
    </row>
    <row r="3299" spans="1:5">
      <c r="B3299" s="111"/>
      <c r="C3299" s="111"/>
      <c r="D3299" s="111"/>
      <c r="E3299" s="112"/>
    </row>
    <row r="3300" spans="1:5">
      <c r="D3300" s="111"/>
      <c r="E3300" s="112"/>
    </row>
    <row r="3301" spans="1:5">
      <c r="A3301" s="110"/>
      <c r="B3301" s="111"/>
      <c r="C3301" s="111"/>
      <c r="D3301" s="111"/>
      <c r="E3301" s="112"/>
    </row>
    <row r="3302" spans="1:5">
      <c r="A3302" s="110"/>
      <c r="B3302" s="111"/>
      <c r="C3302" s="111"/>
      <c r="D3302" s="111"/>
      <c r="E3302" s="112"/>
    </row>
    <row r="3303" spans="1:5">
      <c r="A3303" s="110"/>
      <c r="B3303" s="111"/>
      <c r="C3303" s="111"/>
      <c r="D3303" s="111"/>
      <c r="E3303" s="112"/>
    </row>
    <row r="3304" spans="1:5">
      <c r="A3304" s="110"/>
      <c r="B3304" s="111"/>
      <c r="C3304" s="111"/>
      <c r="D3304" s="111"/>
      <c r="E3304" s="112"/>
    </row>
    <row r="3305" spans="1:5">
      <c r="A3305" s="110"/>
      <c r="B3305" s="111"/>
      <c r="C3305" s="111"/>
      <c r="D3305" s="111"/>
      <c r="E3305" s="112"/>
    </row>
    <row r="3306" spans="1:5">
      <c r="A3306" s="110"/>
      <c r="B3306" s="111"/>
      <c r="C3306" s="111"/>
      <c r="D3306" s="111"/>
      <c r="E3306" s="112"/>
    </row>
    <row r="3307" spans="1:5">
      <c r="A3307" s="110"/>
      <c r="B3307" s="111"/>
      <c r="C3307" s="111"/>
      <c r="D3307" s="111"/>
      <c r="E3307" s="112"/>
    </row>
    <row r="3308" spans="1:5">
      <c r="A3308" s="110"/>
      <c r="B3308" s="111"/>
      <c r="C3308" s="111"/>
      <c r="D3308" s="111"/>
      <c r="E3308" s="112"/>
    </row>
    <row r="3309" spans="1:5">
      <c r="A3309" s="110"/>
      <c r="B3309" s="111"/>
      <c r="C3309" s="111"/>
      <c r="D3309" s="111"/>
      <c r="E3309" s="112"/>
    </row>
    <row r="3310" spans="1:5">
      <c r="A3310" s="110"/>
      <c r="B3310" s="111"/>
      <c r="C3310" s="111"/>
      <c r="D3310" s="111"/>
      <c r="E3310" s="112"/>
    </row>
    <row r="3311" spans="1:5">
      <c r="A3311" s="110"/>
      <c r="B3311" s="111"/>
      <c r="C3311" s="111"/>
      <c r="D3311" s="111"/>
      <c r="E3311" s="112"/>
    </row>
    <row r="3312" spans="1:5">
      <c r="A3312" s="110"/>
      <c r="B3312" s="111"/>
      <c r="C3312" s="111"/>
      <c r="D3312" s="111"/>
      <c r="E3312" s="112"/>
    </row>
    <row r="3313" spans="1:5">
      <c r="A3313" s="110"/>
      <c r="B3313" s="111"/>
      <c r="C3313" s="111"/>
      <c r="D3313" s="111"/>
      <c r="E3313" s="112"/>
    </row>
    <row r="3314" spans="1:5">
      <c r="A3314" s="110"/>
      <c r="B3314" s="111"/>
      <c r="C3314" s="111"/>
      <c r="D3314" s="111"/>
      <c r="E3314" s="112"/>
    </row>
    <row r="3315" spans="1:5">
      <c r="A3315" s="110"/>
      <c r="B3315" s="111"/>
      <c r="C3315" s="111"/>
      <c r="D3315" s="111"/>
      <c r="E3315" s="112"/>
    </row>
    <row r="3316" spans="1:5">
      <c r="A3316" s="110"/>
      <c r="B3316" s="111"/>
      <c r="C3316" s="111"/>
      <c r="D3316" s="111"/>
      <c r="E3316" s="112"/>
    </row>
    <row r="3317" spans="1:5">
      <c r="A3317" s="110"/>
      <c r="B3317" s="111"/>
      <c r="C3317" s="111"/>
      <c r="D3317" s="111"/>
      <c r="E3317" s="112"/>
    </row>
    <row r="3318" spans="1:5">
      <c r="A3318" s="110"/>
      <c r="B3318" s="111"/>
      <c r="C3318" s="111"/>
      <c r="D3318" s="111"/>
      <c r="E3318" s="112"/>
    </row>
    <row r="3319" spans="1:5">
      <c r="A3319" s="110"/>
      <c r="B3319" s="111"/>
      <c r="C3319" s="111"/>
      <c r="D3319" s="111"/>
      <c r="E3319" s="112"/>
    </row>
    <row r="3320" spans="1:5">
      <c r="A3320" s="110"/>
      <c r="B3320" s="111"/>
      <c r="C3320" s="111"/>
      <c r="D3320" s="111"/>
      <c r="E3320" s="112"/>
    </row>
    <row r="3321" spans="1:5">
      <c r="A3321" s="110"/>
      <c r="B3321" s="111"/>
      <c r="C3321" s="111"/>
      <c r="D3321" s="111"/>
      <c r="E3321" s="112"/>
    </row>
    <row r="3322" spans="1:5">
      <c r="A3322" s="110"/>
      <c r="B3322" s="111"/>
      <c r="C3322" s="111"/>
      <c r="D3322" s="111"/>
      <c r="E3322" s="112"/>
    </row>
    <row r="3323" spans="1:5">
      <c r="A3323" s="110"/>
      <c r="B3323" s="111"/>
      <c r="C3323" s="111"/>
      <c r="D3323" s="111"/>
      <c r="E3323" s="112"/>
    </row>
    <row r="3324" spans="1:5">
      <c r="A3324" s="110"/>
      <c r="B3324" s="111"/>
      <c r="C3324" s="111"/>
      <c r="D3324" s="111"/>
      <c r="E3324" s="112"/>
    </row>
    <row r="3325" spans="1:5">
      <c r="A3325" s="110"/>
      <c r="B3325" s="111"/>
      <c r="C3325" s="111"/>
      <c r="D3325" s="111"/>
      <c r="E3325" s="112"/>
    </row>
    <row r="3326" spans="1:5">
      <c r="A3326" s="110"/>
      <c r="B3326" s="111"/>
      <c r="C3326" s="111"/>
      <c r="D3326" s="111"/>
      <c r="E3326" s="112"/>
    </row>
    <row r="3327" spans="1:5">
      <c r="A3327" s="110"/>
      <c r="B3327" s="111"/>
      <c r="C3327" s="111"/>
      <c r="D3327" s="111"/>
      <c r="E3327" s="112"/>
    </row>
    <row r="3328" spans="1:5">
      <c r="A3328" s="110"/>
      <c r="B3328" s="111"/>
      <c r="C3328" s="111"/>
      <c r="D3328" s="111"/>
      <c r="E3328" s="112"/>
    </row>
    <row r="3329" spans="1:5">
      <c r="A3329" s="110"/>
      <c r="B3329" s="111"/>
      <c r="C3329" s="111"/>
      <c r="D3329" s="111"/>
      <c r="E3329" s="112"/>
    </row>
    <row r="3330" spans="1:5">
      <c r="A3330" s="110"/>
      <c r="B3330" s="111"/>
      <c r="C3330" s="111"/>
      <c r="D3330" s="111"/>
      <c r="E3330" s="112"/>
    </row>
    <row r="3331" spans="1:5">
      <c r="A3331" s="110"/>
      <c r="B3331" s="111"/>
      <c r="C3331" s="111"/>
      <c r="D3331" s="111"/>
      <c r="E3331" s="112"/>
    </row>
    <row r="3332" spans="1:5">
      <c r="A3332" s="110"/>
      <c r="B3332" s="111"/>
      <c r="C3332" s="111"/>
      <c r="D3332" s="111"/>
      <c r="E3332" s="112"/>
    </row>
    <row r="3333" spans="1:5">
      <c r="A3333" s="110"/>
      <c r="B3333" s="111"/>
      <c r="C3333" s="111"/>
      <c r="D3333" s="111"/>
      <c r="E3333" s="112"/>
    </row>
    <row r="3334" spans="1:5">
      <c r="A3334" s="110"/>
      <c r="B3334" s="111"/>
      <c r="C3334" s="111"/>
      <c r="D3334" s="111"/>
      <c r="E3334" s="112"/>
    </row>
    <row r="3335" spans="1:5">
      <c r="A3335" s="110"/>
      <c r="B3335" s="111"/>
      <c r="C3335" s="111"/>
      <c r="D3335" s="111"/>
      <c r="E3335" s="112"/>
    </row>
    <row r="3336" spans="1:5">
      <c r="A3336" s="110"/>
      <c r="B3336" s="111"/>
      <c r="C3336" s="111"/>
      <c r="D3336" s="111"/>
      <c r="E3336" s="112"/>
    </row>
    <row r="3337" spans="1:5">
      <c r="A3337" s="110"/>
      <c r="B3337" s="111"/>
      <c r="C3337" s="111"/>
      <c r="D3337" s="111"/>
      <c r="E3337" s="112"/>
    </row>
    <row r="3338" spans="1:5">
      <c r="A3338" s="110"/>
      <c r="B3338" s="111"/>
      <c r="C3338" s="111"/>
      <c r="D3338" s="111"/>
      <c r="E3338" s="112"/>
    </row>
    <row r="3339" spans="1:5">
      <c r="A3339" s="110"/>
      <c r="B3339" s="111"/>
      <c r="C3339" s="111"/>
      <c r="D3339" s="111"/>
      <c r="E3339" s="112"/>
    </row>
    <row r="3340" spans="1:5">
      <c r="A3340" s="110"/>
      <c r="B3340" s="111"/>
      <c r="C3340" s="111"/>
      <c r="D3340" s="111"/>
      <c r="E3340" s="112"/>
    </row>
    <row r="3341" spans="1:5">
      <c r="A3341" s="110"/>
      <c r="B3341" s="111"/>
      <c r="C3341" s="111"/>
      <c r="D3341" s="111"/>
      <c r="E3341" s="112"/>
    </row>
    <row r="3342" spans="1:5">
      <c r="A3342" s="110"/>
      <c r="B3342" s="111"/>
      <c r="C3342" s="111"/>
      <c r="D3342" s="111"/>
      <c r="E3342" s="112"/>
    </row>
    <row r="3343" spans="1:5">
      <c r="A3343" s="110"/>
      <c r="B3343" s="111"/>
      <c r="C3343" s="111"/>
      <c r="D3343" s="111"/>
      <c r="E3343" s="112"/>
    </row>
    <row r="3344" spans="1:5">
      <c r="A3344" s="110"/>
      <c r="B3344" s="111"/>
      <c r="C3344" s="111"/>
      <c r="D3344" s="111"/>
      <c r="E3344" s="112"/>
    </row>
    <row r="3345" spans="1:5">
      <c r="A3345" s="110"/>
      <c r="B3345" s="111"/>
      <c r="C3345" s="111"/>
      <c r="D3345" s="111"/>
      <c r="E3345" s="112"/>
    </row>
    <row r="3346" spans="1:5">
      <c r="A3346" s="110"/>
      <c r="B3346" s="111"/>
      <c r="C3346" s="111"/>
      <c r="D3346" s="111"/>
      <c r="E3346" s="112"/>
    </row>
    <row r="3347" spans="1:5">
      <c r="A3347" s="110"/>
      <c r="B3347" s="111"/>
      <c r="C3347" s="111"/>
      <c r="D3347" s="111"/>
      <c r="E3347" s="112"/>
    </row>
    <row r="3348" spans="1:5">
      <c r="A3348" s="110"/>
      <c r="B3348" s="111"/>
      <c r="C3348" s="111"/>
      <c r="D3348" s="111"/>
      <c r="E3348" s="112"/>
    </row>
    <row r="3349" spans="1:5">
      <c r="A3349" s="110"/>
      <c r="B3349" s="111"/>
      <c r="C3349" s="111"/>
      <c r="D3349" s="111"/>
      <c r="E3349" s="112"/>
    </row>
    <row r="3350" spans="1:5">
      <c r="A3350" s="110"/>
      <c r="B3350" s="111"/>
      <c r="C3350" s="111"/>
      <c r="D3350" s="111"/>
      <c r="E3350" s="112"/>
    </row>
    <row r="3351" spans="1:5">
      <c r="A3351" s="110"/>
      <c r="B3351" s="111"/>
      <c r="C3351" s="111"/>
      <c r="D3351" s="111"/>
      <c r="E3351" s="112"/>
    </row>
    <row r="3352" spans="1:5">
      <c r="A3352" s="110"/>
      <c r="B3352" s="111"/>
      <c r="C3352" s="111"/>
      <c r="D3352" s="111"/>
      <c r="E3352" s="112"/>
    </row>
    <row r="3353" spans="1:5">
      <c r="A3353" s="110"/>
      <c r="B3353" s="111"/>
      <c r="C3353" s="111"/>
      <c r="D3353" s="111"/>
      <c r="E3353" s="112"/>
    </row>
    <row r="3354" spans="1:5">
      <c r="A3354" s="110"/>
      <c r="B3354" s="111"/>
      <c r="C3354" s="111"/>
      <c r="D3354" s="111"/>
      <c r="E3354" s="112"/>
    </row>
    <row r="3355" spans="1:5">
      <c r="A3355" s="110"/>
      <c r="B3355" s="111"/>
      <c r="C3355" s="111"/>
      <c r="D3355" s="111"/>
      <c r="E3355" s="112"/>
    </row>
    <row r="3356" spans="1:5">
      <c r="A3356" s="110"/>
      <c r="B3356" s="111"/>
      <c r="C3356" s="111"/>
      <c r="D3356" s="111"/>
      <c r="E3356" s="112"/>
    </row>
    <row r="3357" spans="1:5">
      <c r="A3357" s="110"/>
      <c r="B3357" s="111"/>
      <c r="C3357" s="111"/>
      <c r="D3357" s="111"/>
      <c r="E3357" s="112"/>
    </row>
    <row r="3358" spans="1:5">
      <c r="A3358" s="110"/>
      <c r="B3358" s="111"/>
      <c r="C3358" s="111"/>
      <c r="D3358" s="111"/>
      <c r="E3358" s="112"/>
    </row>
    <row r="3359" spans="1:5">
      <c r="A3359" s="110"/>
      <c r="B3359" s="111"/>
      <c r="C3359" s="111"/>
      <c r="D3359" s="111"/>
      <c r="E3359" s="112"/>
    </row>
    <row r="3360" spans="1:5">
      <c r="A3360" s="110"/>
      <c r="B3360" s="111"/>
      <c r="C3360" s="111"/>
      <c r="D3360" s="111"/>
      <c r="E3360" s="112"/>
    </row>
    <row r="3361" spans="1:5">
      <c r="A3361" s="110"/>
      <c r="B3361" s="111"/>
      <c r="C3361" s="111"/>
      <c r="D3361" s="111"/>
      <c r="E3361" s="112"/>
    </row>
    <row r="3362" spans="1:5">
      <c r="A3362" s="110"/>
      <c r="B3362" s="111"/>
      <c r="C3362" s="111"/>
      <c r="D3362" s="111"/>
      <c r="E3362" s="112"/>
    </row>
    <row r="3363" spans="1:5">
      <c r="A3363" s="110"/>
      <c r="B3363" s="111"/>
      <c r="C3363" s="111"/>
      <c r="D3363" s="111"/>
      <c r="E3363" s="112"/>
    </row>
    <row r="3364" spans="1:5">
      <c r="A3364" s="110"/>
      <c r="B3364" s="111"/>
      <c r="C3364" s="111"/>
      <c r="D3364" s="111"/>
      <c r="E3364" s="112"/>
    </row>
    <row r="3365" spans="1:5">
      <c r="A3365" s="110"/>
      <c r="B3365" s="111"/>
      <c r="C3365" s="111"/>
      <c r="D3365" s="111"/>
      <c r="E3365" s="112"/>
    </row>
    <row r="3366" spans="1:5">
      <c r="A3366" s="110"/>
      <c r="B3366" s="111"/>
      <c r="C3366" s="111"/>
      <c r="D3366" s="111"/>
      <c r="E3366" s="112"/>
    </row>
    <row r="3367" spans="1:5">
      <c r="A3367" s="110"/>
      <c r="B3367" s="111"/>
      <c r="C3367" s="111"/>
      <c r="D3367" s="111"/>
      <c r="E3367" s="112"/>
    </row>
    <row r="3368" spans="1:5">
      <c r="A3368" s="110"/>
      <c r="B3368" s="111"/>
      <c r="C3368" s="111"/>
      <c r="D3368" s="111"/>
      <c r="E3368" s="112"/>
    </row>
    <row r="3369" spans="1:5">
      <c r="A3369" s="110"/>
      <c r="B3369" s="111"/>
      <c r="C3369" s="111"/>
      <c r="D3369" s="111"/>
      <c r="E3369" s="112"/>
    </row>
    <row r="3370" spans="1:5">
      <c r="A3370" s="110"/>
      <c r="B3370" s="111"/>
      <c r="C3370" s="111"/>
      <c r="D3370" s="111"/>
      <c r="E3370" s="112"/>
    </row>
    <row r="3371" spans="1:5">
      <c r="A3371" s="110"/>
      <c r="B3371" s="111"/>
      <c r="C3371" s="111"/>
      <c r="D3371" s="111"/>
      <c r="E3371" s="112"/>
    </row>
    <row r="3372" spans="1:5">
      <c r="A3372" s="110"/>
      <c r="B3372" s="111"/>
      <c r="C3372" s="111"/>
      <c r="D3372" s="111"/>
      <c r="E3372" s="112"/>
    </row>
    <row r="3373" spans="1:5">
      <c r="D3373" s="111"/>
      <c r="E3373" s="112"/>
    </row>
    <row r="3374" spans="1:5">
      <c r="D3374" s="111"/>
      <c r="E3374" s="112"/>
    </row>
    <row r="3375" spans="1:5">
      <c r="D3375" s="111"/>
      <c r="E3375" s="112"/>
    </row>
    <row r="3376" spans="1:5">
      <c r="D3376" s="111"/>
      <c r="E3376" s="112"/>
    </row>
    <row r="3377" spans="1:5">
      <c r="D3377" s="111"/>
      <c r="E3377" s="112"/>
    </row>
    <row r="3378" spans="1:5">
      <c r="D3378" s="111"/>
      <c r="E3378" s="112"/>
    </row>
    <row r="3379" spans="1:5">
      <c r="D3379" s="111"/>
      <c r="E3379" s="112"/>
    </row>
    <row r="3380" spans="1:5">
      <c r="D3380" s="111"/>
      <c r="E3380" s="112"/>
    </row>
    <row r="3381" spans="1:5">
      <c r="D3381" s="111"/>
      <c r="E3381" s="112"/>
    </row>
    <row r="3382" spans="1:5">
      <c r="D3382" s="111"/>
      <c r="E3382" s="112"/>
    </row>
    <row r="3383" spans="1:5">
      <c r="D3383" s="111"/>
      <c r="E3383" s="112"/>
    </row>
    <row r="3384" spans="1:5">
      <c r="D3384" s="111"/>
      <c r="E3384" s="112"/>
    </row>
    <row r="3385" spans="1:5">
      <c r="D3385" s="111"/>
      <c r="E3385" s="112"/>
    </row>
    <row r="3386" spans="1:5">
      <c r="D3386" s="111"/>
      <c r="E3386" s="112"/>
    </row>
    <row r="3387" spans="1:5">
      <c r="D3387" s="111"/>
      <c r="E3387" s="112"/>
    </row>
    <row r="3388" spans="1:5">
      <c r="D3388" s="111"/>
      <c r="E3388" s="112"/>
    </row>
    <row r="3389" spans="1:5">
      <c r="A3389" s="110"/>
      <c r="B3389" s="111"/>
      <c r="C3389" s="111"/>
      <c r="D3389" s="111"/>
      <c r="E3389" s="112"/>
    </row>
    <row r="3390" spans="1:5">
      <c r="A3390" s="110"/>
      <c r="B3390" s="111"/>
      <c r="C3390" s="111"/>
      <c r="D3390" s="111"/>
      <c r="E3390" s="112"/>
    </row>
    <row r="3391" spans="1:5">
      <c r="A3391" s="110"/>
      <c r="B3391" s="111"/>
      <c r="C3391" s="111"/>
      <c r="D3391" s="111"/>
      <c r="E3391" s="112"/>
    </row>
    <row r="3392" spans="1:5">
      <c r="A3392" s="110"/>
      <c r="B3392" s="111"/>
      <c r="C3392" s="111"/>
      <c r="D3392" s="111"/>
      <c r="E3392" s="112"/>
    </row>
    <row r="3393" spans="1:5">
      <c r="A3393" s="110"/>
      <c r="B3393" s="111"/>
      <c r="C3393" s="111"/>
      <c r="D3393" s="111"/>
      <c r="E3393" s="112"/>
    </row>
    <row r="3394" spans="1:5">
      <c r="A3394" s="110"/>
      <c r="B3394" s="111"/>
      <c r="C3394" s="111"/>
      <c r="D3394" s="111"/>
      <c r="E3394" s="112"/>
    </row>
    <row r="3395" spans="1:5">
      <c r="A3395" s="110"/>
      <c r="B3395" s="111"/>
      <c r="C3395" s="111"/>
      <c r="D3395" s="111"/>
      <c r="E3395" s="112"/>
    </row>
    <row r="3396" spans="1:5">
      <c r="A3396" s="110"/>
      <c r="B3396" s="111"/>
      <c r="C3396" s="111"/>
      <c r="D3396" s="111"/>
      <c r="E3396" s="112"/>
    </row>
    <row r="3397" spans="1:5">
      <c r="A3397" s="110"/>
      <c r="B3397" s="111"/>
      <c r="C3397" s="111"/>
      <c r="D3397" s="111"/>
      <c r="E3397" s="112"/>
    </row>
    <row r="3398" spans="1:5">
      <c r="A3398" s="110"/>
      <c r="B3398" s="111"/>
      <c r="C3398" s="111"/>
      <c r="D3398" s="111"/>
      <c r="E3398" s="112"/>
    </row>
    <row r="3399" spans="1:5">
      <c r="A3399" s="110"/>
      <c r="B3399" s="111"/>
      <c r="C3399" s="111"/>
      <c r="D3399" s="111"/>
      <c r="E3399" s="112"/>
    </row>
    <row r="3400" spans="1:5">
      <c r="A3400" s="110"/>
      <c r="B3400" s="111"/>
      <c r="C3400" s="111"/>
      <c r="D3400" s="111"/>
      <c r="E3400" s="112"/>
    </row>
    <row r="3401" spans="1:5">
      <c r="A3401" s="110"/>
      <c r="B3401" s="111"/>
      <c r="C3401" s="111"/>
      <c r="D3401" s="111"/>
      <c r="E3401" s="112"/>
    </row>
    <row r="3402" spans="1:5">
      <c r="A3402" s="110"/>
      <c r="B3402" s="111"/>
      <c r="C3402" s="111"/>
      <c r="D3402" s="111"/>
      <c r="E3402" s="112"/>
    </row>
    <row r="3403" spans="1:5">
      <c r="A3403" s="110"/>
      <c r="B3403" s="111"/>
      <c r="C3403" s="111"/>
      <c r="D3403" s="111"/>
      <c r="E3403" s="112"/>
    </row>
    <row r="3404" spans="1:5">
      <c r="A3404" s="110"/>
      <c r="B3404" s="111"/>
      <c r="C3404" s="111"/>
      <c r="D3404" s="111"/>
      <c r="E3404" s="112"/>
    </row>
    <row r="3405" spans="1:5">
      <c r="A3405" s="110"/>
      <c r="B3405" s="111"/>
      <c r="C3405" s="111"/>
      <c r="D3405" s="111"/>
      <c r="E3405" s="112"/>
    </row>
    <row r="3406" spans="1:5">
      <c r="A3406" s="110"/>
      <c r="B3406" s="111"/>
      <c r="C3406" s="111"/>
      <c r="D3406" s="111"/>
      <c r="E3406" s="112"/>
    </row>
    <row r="3407" spans="1:5">
      <c r="A3407" s="110"/>
      <c r="B3407" s="111"/>
      <c r="C3407" s="111"/>
      <c r="D3407" s="111"/>
      <c r="E3407" s="112"/>
    </row>
    <row r="3408" spans="1:5">
      <c r="A3408" s="110"/>
      <c r="B3408" s="111"/>
      <c r="C3408" s="111"/>
      <c r="D3408" s="111"/>
      <c r="E3408" s="112"/>
    </row>
    <row r="3409" spans="1:5">
      <c r="A3409" s="110"/>
      <c r="B3409" s="111"/>
      <c r="C3409" s="111"/>
      <c r="D3409" s="111"/>
      <c r="E3409" s="112"/>
    </row>
    <row r="3410" spans="1:5">
      <c r="A3410" s="110"/>
      <c r="B3410" s="111"/>
      <c r="C3410" s="111"/>
      <c r="D3410" s="111"/>
      <c r="E3410" s="112"/>
    </row>
    <row r="3411" spans="1:5">
      <c r="A3411" s="110"/>
      <c r="B3411" s="111"/>
      <c r="C3411" s="111"/>
      <c r="D3411" s="111"/>
      <c r="E3411" s="112"/>
    </row>
    <row r="3412" spans="1:5">
      <c r="A3412" s="110"/>
      <c r="B3412" s="111"/>
      <c r="C3412" s="111"/>
      <c r="D3412" s="111"/>
      <c r="E3412" s="112"/>
    </row>
    <row r="3413" spans="1:5">
      <c r="A3413" s="110"/>
      <c r="B3413" s="111"/>
      <c r="C3413" s="111"/>
      <c r="D3413" s="111"/>
      <c r="E3413" s="112"/>
    </row>
    <row r="3414" spans="1:5">
      <c r="A3414" s="110"/>
      <c r="B3414" s="111"/>
      <c r="C3414" s="111"/>
      <c r="D3414" s="111"/>
      <c r="E3414" s="112"/>
    </row>
    <row r="3415" spans="1:5">
      <c r="A3415" s="110"/>
      <c r="B3415" s="111"/>
      <c r="C3415" s="111"/>
      <c r="D3415" s="111"/>
      <c r="E3415" s="112"/>
    </row>
    <row r="3416" spans="1:5">
      <c r="A3416" s="110"/>
      <c r="B3416" s="111"/>
      <c r="C3416" s="111"/>
      <c r="D3416" s="111"/>
      <c r="E3416" s="112"/>
    </row>
    <row r="3417" spans="1:5">
      <c r="A3417" s="110"/>
      <c r="B3417" s="111"/>
      <c r="C3417" s="111"/>
      <c r="D3417" s="111"/>
      <c r="E3417" s="112"/>
    </row>
    <row r="3418" spans="1:5">
      <c r="A3418" s="110"/>
      <c r="B3418" s="111"/>
      <c r="C3418" s="111"/>
      <c r="D3418" s="111"/>
      <c r="E3418" s="112"/>
    </row>
    <row r="3419" spans="1:5">
      <c r="A3419" s="110"/>
      <c r="B3419" s="111"/>
      <c r="C3419" s="111"/>
      <c r="D3419" s="111"/>
      <c r="E3419" s="112"/>
    </row>
    <row r="3420" spans="1:5">
      <c r="A3420" s="110"/>
      <c r="B3420" s="111"/>
      <c r="C3420" s="111"/>
      <c r="D3420" s="111"/>
      <c r="E3420" s="112"/>
    </row>
    <row r="3421" spans="1:5">
      <c r="A3421" s="110"/>
      <c r="B3421" s="111"/>
      <c r="C3421" s="111"/>
      <c r="D3421" s="111"/>
      <c r="E3421" s="112"/>
    </row>
    <row r="3422" spans="1:5">
      <c r="A3422" s="110"/>
      <c r="B3422" s="111"/>
      <c r="C3422" s="111"/>
      <c r="D3422" s="111"/>
      <c r="E3422" s="112"/>
    </row>
    <row r="3423" spans="1:5">
      <c r="A3423" s="110"/>
      <c r="B3423" s="111"/>
      <c r="C3423" s="111"/>
      <c r="D3423" s="111"/>
      <c r="E3423" s="112"/>
    </row>
    <row r="3424" spans="1:5">
      <c r="A3424" s="110"/>
      <c r="B3424" s="111"/>
      <c r="C3424" s="111"/>
      <c r="D3424" s="111"/>
      <c r="E3424" s="112"/>
    </row>
    <row r="3425" spans="1:5">
      <c r="A3425" s="110"/>
      <c r="B3425" s="111"/>
      <c r="C3425" s="111"/>
      <c r="D3425" s="111"/>
      <c r="E3425" s="112"/>
    </row>
    <row r="3426" spans="1:5">
      <c r="A3426" s="110"/>
      <c r="B3426" s="111"/>
      <c r="C3426" s="111"/>
      <c r="D3426" s="111"/>
      <c r="E3426" s="112"/>
    </row>
    <row r="3427" spans="1:5">
      <c r="A3427" s="110"/>
      <c r="B3427" s="111"/>
      <c r="C3427" s="111"/>
      <c r="D3427" s="111"/>
      <c r="E3427" s="112"/>
    </row>
    <row r="3428" spans="1:5">
      <c r="A3428" s="110"/>
      <c r="B3428" s="111"/>
      <c r="C3428" s="111"/>
      <c r="D3428" s="111"/>
      <c r="E3428" s="112"/>
    </row>
    <row r="3429" spans="1:5">
      <c r="A3429" s="110"/>
      <c r="B3429" s="111"/>
      <c r="C3429" s="111"/>
      <c r="D3429" s="111"/>
      <c r="E3429" s="112"/>
    </row>
    <row r="3430" spans="1:5">
      <c r="A3430" s="110"/>
      <c r="B3430" s="111"/>
      <c r="C3430" s="111"/>
      <c r="D3430" s="111"/>
      <c r="E3430" s="112"/>
    </row>
    <row r="3431" spans="1:5">
      <c r="A3431" s="110"/>
      <c r="B3431" s="111"/>
      <c r="C3431" s="111"/>
      <c r="D3431" s="111"/>
      <c r="E3431" s="112"/>
    </row>
    <row r="3432" spans="1:5">
      <c r="A3432" s="110"/>
      <c r="B3432" s="111"/>
      <c r="C3432" s="111"/>
      <c r="D3432" s="111"/>
      <c r="E3432" s="112"/>
    </row>
    <row r="3433" spans="1:5">
      <c r="A3433" s="110"/>
      <c r="B3433" s="111"/>
      <c r="C3433" s="111"/>
      <c r="D3433" s="111"/>
      <c r="E3433" s="112"/>
    </row>
    <row r="3434" spans="1:5">
      <c r="A3434" s="110"/>
      <c r="B3434" s="111"/>
      <c r="C3434" s="111"/>
      <c r="D3434" s="111"/>
      <c r="E3434" s="112"/>
    </row>
    <row r="3435" spans="1:5">
      <c r="A3435" s="110"/>
      <c r="B3435" s="111"/>
      <c r="C3435" s="111"/>
      <c r="D3435" s="111"/>
      <c r="E3435" s="112"/>
    </row>
    <row r="3436" spans="1:5">
      <c r="A3436" s="110"/>
      <c r="B3436" s="111"/>
      <c r="C3436" s="111"/>
      <c r="D3436" s="111"/>
      <c r="E3436" s="112"/>
    </row>
    <row r="3437" spans="1:5">
      <c r="A3437" s="110"/>
      <c r="B3437" s="111"/>
      <c r="C3437" s="111"/>
      <c r="D3437" s="111"/>
      <c r="E3437" s="112"/>
    </row>
    <row r="3438" spans="1:5">
      <c r="A3438" s="110"/>
      <c r="B3438" s="111"/>
      <c r="C3438" s="111"/>
      <c r="D3438" s="111"/>
      <c r="E3438" s="112"/>
    </row>
    <row r="3439" spans="1:5">
      <c r="A3439" s="110"/>
      <c r="B3439" s="111"/>
      <c r="C3439" s="111"/>
      <c r="D3439" s="111"/>
      <c r="E3439" s="112"/>
    </row>
    <row r="3440" spans="1:5">
      <c r="A3440" s="110"/>
      <c r="B3440" s="111"/>
      <c r="C3440" s="111"/>
      <c r="D3440" s="111"/>
      <c r="E3440" s="112"/>
    </row>
    <row r="3441" spans="1:5">
      <c r="A3441" s="110"/>
      <c r="B3441" s="111"/>
      <c r="C3441" s="111"/>
      <c r="D3441" s="111"/>
      <c r="E3441" s="112"/>
    </row>
    <row r="3442" spans="1:5">
      <c r="A3442" s="110"/>
      <c r="B3442" s="111"/>
      <c r="C3442" s="111"/>
      <c r="D3442" s="111"/>
      <c r="E3442" s="112"/>
    </row>
    <row r="3443" spans="1:5">
      <c r="A3443" s="110"/>
      <c r="B3443" s="111"/>
      <c r="C3443" s="111"/>
      <c r="D3443" s="111"/>
      <c r="E3443" s="112"/>
    </row>
    <row r="3444" spans="1:5">
      <c r="A3444" s="110"/>
      <c r="B3444" s="111"/>
      <c r="C3444" s="111"/>
      <c r="D3444" s="111"/>
      <c r="E3444" s="112"/>
    </row>
    <row r="3445" spans="1:5">
      <c r="A3445" s="110"/>
      <c r="B3445" s="111"/>
      <c r="C3445" s="111"/>
      <c r="D3445" s="111"/>
      <c r="E3445" s="112"/>
    </row>
    <row r="3446" spans="1:5">
      <c r="A3446" s="110"/>
      <c r="B3446" s="111"/>
      <c r="C3446" s="111"/>
      <c r="D3446" s="111"/>
      <c r="E3446" s="112"/>
    </row>
    <row r="3447" spans="1:5">
      <c r="A3447" s="110"/>
      <c r="B3447" s="111"/>
      <c r="C3447" s="111"/>
      <c r="D3447" s="111"/>
      <c r="E3447" s="112"/>
    </row>
    <row r="3448" spans="1:5">
      <c r="D3448" s="111"/>
      <c r="E3448" s="112"/>
    </row>
    <row r="3449" spans="1:5">
      <c r="D3449" s="111"/>
      <c r="E3449" s="112"/>
    </row>
    <row r="3450" spans="1:5">
      <c r="D3450" s="111"/>
      <c r="E3450" s="112"/>
    </row>
    <row r="3451" spans="1:5">
      <c r="D3451" s="111"/>
      <c r="E3451" s="112"/>
    </row>
    <row r="3452" spans="1:5">
      <c r="D3452" s="111"/>
      <c r="E3452" s="112"/>
    </row>
    <row r="3453" spans="1:5">
      <c r="D3453" s="111"/>
      <c r="E3453" s="112"/>
    </row>
    <row r="3454" spans="1:5">
      <c r="D3454" s="111"/>
      <c r="E3454" s="112"/>
    </row>
    <row r="3455" spans="1:5">
      <c r="D3455" s="111"/>
      <c r="E3455" s="112"/>
    </row>
    <row r="3456" spans="1:5">
      <c r="D3456" s="111"/>
      <c r="E3456" s="112"/>
    </row>
    <row r="3457" spans="4:5">
      <c r="D3457" s="111"/>
      <c r="E3457" s="112"/>
    </row>
    <row r="3458" spans="4:5">
      <c r="D3458" s="111"/>
      <c r="E3458" s="112"/>
    </row>
    <row r="3459" spans="4:5">
      <c r="D3459" s="111"/>
      <c r="E3459" s="112"/>
    </row>
    <row r="3460" spans="4:5">
      <c r="D3460" s="111"/>
      <c r="E3460" s="112"/>
    </row>
    <row r="3461" spans="4:5">
      <c r="D3461" s="111"/>
      <c r="E3461" s="112"/>
    </row>
    <row r="3462" spans="4:5">
      <c r="D3462" s="111"/>
      <c r="E3462" s="112"/>
    </row>
    <row r="3463" spans="4:5">
      <c r="D3463" s="111"/>
      <c r="E3463" s="112"/>
    </row>
    <row r="3464" spans="4:5">
      <c r="D3464" s="111"/>
      <c r="E3464" s="112"/>
    </row>
    <row r="3465" spans="4:5">
      <c r="D3465" s="111"/>
      <c r="E3465" s="112"/>
    </row>
    <row r="3466" spans="4:5">
      <c r="D3466" s="111"/>
      <c r="E3466" s="112"/>
    </row>
    <row r="3467" spans="4:5">
      <c r="D3467" s="111"/>
      <c r="E3467" s="112"/>
    </row>
    <row r="3468" spans="4:5">
      <c r="D3468" s="111"/>
      <c r="E3468" s="112"/>
    </row>
    <row r="3469" spans="4:5">
      <c r="D3469" s="111"/>
      <c r="E3469" s="112"/>
    </row>
    <row r="3470" spans="4:5">
      <c r="D3470" s="111"/>
      <c r="E3470" s="112"/>
    </row>
    <row r="3471" spans="4:5">
      <c r="D3471" s="111"/>
      <c r="E3471" s="112"/>
    </row>
    <row r="3472" spans="4:5">
      <c r="D3472" s="111"/>
      <c r="E3472" s="112"/>
    </row>
    <row r="3473" spans="1:5">
      <c r="D3473" s="111"/>
      <c r="E3473" s="112"/>
    </row>
    <row r="3474" spans="1:5">
      <c r="D3474" s="111"/>
      <c r="E3474" s="112"/>
    </row>
    <row r="3475" spans="1:5">
      <c r="D3475" s="111"/>
      <c r="E3475" s="112"/>
    </row>
    <row r="3476" spans="1:5">
      <c r="D3476" s="111"/>
      <c r="E3476" s="112"/>
    </row>
    <row r="3477" spans="1:5">
      <c r="D3477" s="111"/>
      <c r="E3477" s="112"/>
    </row>
    <row r="3478" spans="1:5">
      <c r="D3478" s="111"/>
      <c r="E3478" s="112"/>
    </row>
    <row r="3479" spans="1:5">
      <c r="D3479" s="111"/>
      <c r="E3479" s="112"/>
    </row>
    <row r="3480" spans="1:5">
      <c r="D3480" s="111"/>
      <c r="E3480" s="112"/>
    </row>
    <row r="3481" spans="1:5">
      <c r="D3481" s="111"/>
      <c r="E3481" s="112"/>
    </row>
    <row r="3482" spans="1:5">
      <c r="D3482" s="111"/>
      <c r="E3482" s="112"/>
    </row>
    <row r="3483" spans="1:5">
      <c r="D3483" s="111"/>
      <c r="E3483" s="112"/>
    </row>
    <row r="3484" spans="1:5">
      <c r="D3484" s="111"/>
      <c r="E3484" s="112"/>
    </row>
    <row r="3485" spans="1:5">
      <c r="D3485" s="111"/>
      <c r="E3485" s="112"/>
    </row>
    <row r="3486" spans="1:5">
      <c r="A3486" s="110"/>
      <c r="B3486" s="111"/>
      <c r="C3486" s="111"/>
      <c r="D3486" s="111"/>
      <c r="E3486" s="112"/>
    </row>
    <row r="3487" spans="1:5">
      <c r="D3487" s="111"/>
      <c r="E3487" s="112"/>
    </row>
    <row r="3488" spans="1:5">
      <c r="D3488" s="111"/>
      <c r="E3488" s="112"/>
    </row>
    <row r="3489" spans="4:5">
      <c r="D3489" s="111"/>
      <c r="E3489" s="112"/>
    </row>
    <row r="3490" spans="4:5">
      <c r="D3490" s="111"/>
      <c r="E3490" s="112"/>
    </row>
    <row r="3491" spans="4:5">
      <c r="D3491" s="111"/>
      <c r="E3491" s="112"/>
    </row>
    <row r="3492" spans="4:5">
      <c r="D3492" s="111"/>
      <c r="E3492" s="112"/>
    </row>
    <row r="3493" spans="4:5">
      <c r="D3493" s="111"/>
      <c r="E3493" s="112"/>
    </row>
    <row r="3494" spans="4:5">
      <c r="D3494" s="111"/>
      <c r="E3494" s="112"/>
    </row>
    <row r="3495" spans="4:5">
      <c r="D3495" s="111"/>
      <c r="E3495" s="112"/>
    </row>
    <row r="3496" spans="4:5">
      <c r="D3496" s="111"/>
      <c r="E3496" s="112"/>
    </row>
    <row r="3497" spans="4:5">
      <c r="D3497" s="111"/>
      <c r="E3497" s="112"/>
    </row>
    <row r="3498" spans="4:5">
      <c r="D3498" s="111"/>
      <c r="E3498" s="112"/>
    </row>
    <row r="3499" spans="4:5">
      <c r="D3499" s="111"/>
      <c r="E3499" s="112"/>
    </row>
    <row r="3500" spans="4:5">
      <c r="D3500" s="111"/>
      <c r="E3500" s="112"/>
    </row>
    <row r="3501" spans="4:5">
      <c r="D3501" s="111"/>
      <c r="E3501" s="112"/>
    </row>
    <row r="3502" spans="4:5">
      <c r="D3502" s="111"/>
      <c r="E3502" s="112"/>
    </row>
    <row r="3503" spans="4:5">
      <c r="D3503" s="111"/>
      <c r="E3503" s="112"/>
    </row>
    <row r="3504" spans="4:5">
      <c r="D3504" s="111"/>
      <c r="E3504" s="112"/>
    </row>
    <row r="3505" spans="4:5">
      <c r="D3505" s="111"/>
      <c r="E3505" s="112"/>
    </row>
    <row r="3506" spans="4:5">
      <c r="D3506" s="111"/>
      <c r="E3506" s="112"/>
    </row>
    <row r="3507" spans="4:5">
      <c r="D3507" s="111"/>
      <c r="E3507" s="112"/>
    </row>
    <row r="3508" spans="4:5">
      <c r="D3508" s="111"/>
      <c r="E3508" s="112"/>
    </row>
    <row r="3509" spans="4:5">
      <c r="D3509" s="111"/>
      <c r="E3509" s="112"/>
    </row>
    <row r="3510" spans="4:5">
      <c r="D3510" s="111"/>
      <c r="E3510" s="112"/>
    </row>
    <row r="3511" spans="4:5">
      <c r="D3511" s="111"/>
      <c r="E3511" s="112"/>
    </row>
    <row r="3512" spans="4:5">
      <c r="D3512" s="111"/>
      <c r="E3512" s="112"/>
    </row>
    <row r="3513" spans="4:5">
      <c r="D3513" s="111"/>
      <c r="E3513" s="112"/>
    </row>
    <row r="3514" spans="4:5">
      <c r="D3514" s="111"/>
      <c r="E3514" s="112"/>
    </row>
    <row r="3515" spans="4:5">
      <c r="D3515" s="111"/>
      <c r="E3515" s="112"/>
    </row>
    <row r="3516" spans="4:5">
      <c r="D3516" s="111"/>
      <c r="E3516" s="112"/>
    </row>
    <row r="3517" spans="4:5">
      <c r="D3517" s="111"/>
      <c r="E3517" s="112"/>
    </row>
    <row r="3518" spans="4:5">
      <c r="D3518" s="111"/>
      <c r="E3518" s="112"/>
    </row>
    <row r="3519" spans="4:5">
      <c r="D3519" s="111"/>
      <c r="E3519" s="112"/>
    </row>
    <row r="3520" spans="4:5">
      <c r="D3520" s="111"/>
      <c r="E3520" s="112"/>
    </row>
    <row r="3521" spans="1:5">
      <c r="D3521" s="111"/>
      <c r="E3521" s="112"/>
    </row>
    <row r="3522" spans="1:5">
      <c r="D3522" s="111"/>
      <c r="E3522" s="112"/>
    </row>
    <row r="3523" spans="1:5">
      <c r="D3523" s="111"/>
      <c r="E3523" s="112"/>
    </row>
    <row r="3524" spans="1:5">
      <c r="D3524" s="111"/>
      <c r="E3524" s="112"/>
    </row>
    <row r="3525" spans="1:5">
      <c r="D3525" s="111"/>
      <c r="E3525" s="112"/>
    </row>
    <row r="3526" spans="1:5">
      <c r="A3526" s="110"/>
      <c r="B3526" s="111"/>
      <c r="C3526" s="111"/>
      <c r="D3526" s="111"/>
      <c r="E3526" s="112"/>
    </row>
    <row r="3527" spans="1:5">
      <c r="A3527" s="110"/>
      <c r="B3527" s="111"/>
      <c r="C3527" s="111"/>
      <c r="D3527" s="111"/>
      <c r="E3527" s="112"/>
    </row>
    <row r="3528" spans="1:5">
      <c r="A3528" s="110"/>
      <c r="B3528" s="111"/>
      <c r="C3528" s="111"/>
      <c r="D3528" s="111"/>
      <c r="E3528" s="112"/>
    </row>
    <row r="3529" spans="1:5">
      <c r="A3529" s="110"/>
      <c r="B3529" s="111"/>
      <c r="C3529" s="111"/>
      <c r="D3529" s="111"/>
      <c r="E3529" s="112"/>
    </row>
    <row r="3530" spans="1:5">
      <c r="A3530" s="110"/>
      <c r="B3530" s="111"/>
      <c r="C3530" s="111"/>
      <c r="D3530" s="111"/>
      <c r="E3530" s="112"/>
    </row>
    <row r="3531" spans="1:5">
      <c r="A3531" s="110"/>
      <c r="B3531" s="111"/>
      <c r="C3531" s="111"/>
      <c r="D3531" s="111"/>
      <c r="E3531" s="112"/>
    </row>
    <row r="3532" spans="1:5">
      <c r="A3532" s="110"/>
      <c r="B3532" s="111"/>
      <c r="C3532" s="111"/>
      <c r="D3532" s="111"/>
      <c r="E3532" s="112"/>
    </row>
    <row r="3533" spans="1:5">
      <c r="A3533" s="110"/>
      <c r="B3533" s="111"/>
      <c r="C3533" s="111"/>
      <c r="D3533" s="111"/>
      <c r="E3533" s="112"/>
    </row>
    <row r="3534" spans="1:5">
      <c r="A3534" s="110"/>
      <c r="B3534" s="111"/>
      <c r="C3534" s="111"/>
      <c r="D3534" s="111"/>
      <c r="E3534" s="112"/>
    </row>
    <row r="3535" spans="1:5">
      <c r="A3535" s="110"/>
      <c r="B3535" s="111"/>
      <c r="C3535" s="111"/>
      <c r="D3535" s="111"/>
      <c r="E3535" s="112"/>
    </row>
    <row r="3536" spans="1:5">
      <c r="A3536" s="110"/>
      <c r="B3536" s="111"/>
      <c r="C3536" s="111"/>
      <c r="D3536" s="111"/>
      <c r="E3536" s="112"/>
    </row>
    <row r="3537" spans="1:5">
      <c r="A3537" s="110"/>
      <c r="B3537" s="111"/>
      <c r="C3537" s="111"/>
      <c r="D3537" s="111"/>
      <c r="E3537" s="112"/>
    </row>
    <row r="3538" spans="1:5">
      <c r="A3538" s="110"/>
      <c r="B3538" s="111"/>
      <c r="C3538" s="111"/>
      <c r="D3538" s="111"/>
      <c r="E3538" s="112"/>
    </row>
    <row r="3539" spans="1:5">
      <c r="A3539" s="110"/>
      <c r="B3539" s="111"/>
      <c r="C3539" s="111"/>
      <c r="D3539" s="111"/>
      <c r="E3539" s="112"/>
    </row>
    <row r="3540" spans="1:5">
      <c r="A3540" s="110"/>
      <c r="B3540" s="111"/>
      <c r="C3540" s="111"/>
      <c r="D3540" s="111"/>
      <c r="E3540" s="112"/>
    </row>
    <row r="3541" spans="1:5">
      <c r="A3541" s="110"/>
      <c r="B3541" s="111"/>
      <c r="C3541" s="111"/>
      <c r="D3541" s="111"/>
      <c r="E3541" s="112"/>
    </row>
    <row r="3542" spans="1:5">
      <c r="A3542" s="110"/>
      <c r="B3542" s="111"/>
      <c r="C3542" s="111"/>
      <c r="D3542" s="111"/>
      <c r="E3542" s="112"/>
    </row>
    <row r="3543" spans="1:5">
      <c r="A3543" s="110"/>
      <c r="B3543" s="111"/>
      <c r="C3543" s="111"/>
      <c r="D3543" s="111"/>
      <c r="E3543" s="112"/>
    </row>
    <row r="3544" spans="1:5">
      <c r="A3544" s="110"/>
      <c r="B3544" s="111"/>
      <c r="C3544" s="111"/>
      <c r="D3544" s="111"/>
      <c r="E3544" s="112"/>
    </row>
    <row r="3545" spans="1:5">
      <c r="A3545" s="110"/>
      <c r="B3545" s="111"/>
      <c r="C3545" s="111"/>
      <c r="D3545" s="111"/>
      <c r="E3545" s="112"/>
    </row>
    <row r="3546" spans="1:5">
      <c r="A3546" s="110"/>
      <c r="B3546" s="111"/>
      <c r="C3546" s="111"/>
      <c r="D3546" s="111"/>
      <c r="E3546" s="112"/>
    </row>
    <row r="3547" spans="1:5">
      <c r="A3547" s="110"/>
      <c r="B3547" s="111"/>
      <c r="C3547" s="111"/>
      <c r="D3547" s="111"/>
      <c r="E3547" s="112"/>
    </row>
    <row r="3548" spans="1:5">
      <c r="A3548" s="110"/>
      <c r="B3548" s="111"/>
      <c r="C3548" s="111"/>
      <c r="D3548" s="111"/>
      <c r="E3548" s="112"/>
    </row>
    <row r="3549" spans="1:5">
      <c r="A3549" s="110"/>
      <c r="B3549" s="111"/>
      <c r="C3549" s="111"/>
      <c r="D3549" s="111"/>
      <c r="E3549" s="112"/>
    </row>
    <row r="3550" spans="1:5">
      <c r="A3550" s="110"/>
      <c r="B3550" s="111"/>
      <c r="C3550" s="111"/>
      <c r="D3550" s="111"/>
      <c r="E3550" s="112"/>
    </row>
    <row r="3551" spans="1:5">
      <c r="A3551" s="110"/>
      <c r="B3551" s="111"/>
      <c r="C3551" s="111"/>
      <c r="D3551" s="111"/>
      <c r="E3551" s="112"/>
    </row>
    <row r="3552" spans="1:5">
      <c r="A3552" s="110"/>
      <c r="B3552" s="111"/>
      <c r="C3552" s="111"/>
      <c r="D3552" s="111"/>
      <c r="E3552" s="112"/>
    </row>
    <row r="3553" spans="1:5">
      <c r="A3553" s="110"/>
      <c r="B3553" s="111"/>
      <c r="C3553" s="111"/>
      <c r="D3553" s="111"/>
      <c r="E3553" s="112"/>
    </row>
    <row r="3554" spans="1:5">
      <c r="A3554" s="110"/>
      <c r="B3554" s="111"/>
      <c r="C3554" s="111"/>
      <c r="D3554" s="111"/>
      <c r="E3554" s="112"/>
    </row>
    <row r="3555" spans="1:5">
      <c r="A3555" s="110"/>
      <c r="B3555" s="111"/>
      <c r="C3555" s="111"/>
      <c r="D3555" s="111"/>
      <c r="E3555" s="112"/>
    </row>
    <row r="3556" spans="1:5">
      <c r="A3556" s="110"/>
      <c r="B3556" s="111"/>
      <c r="C3556" s="111"/>
      <c r="D3556" s="111"/>
      <c r="E3556" s="112"/>
    </row>
    <row r="3557" spans="1:5">
      <c r="A3557" s="110"/>
      <c r="B3557" s="111"/>
      <c r="C3557" s="111"/>
      <c r="D3557" s="111"/>
      <c r="E3557" s="112"/>
    </row>
    <row r="3558" spans="1:5">
      <c r="A3558" s="110"/>
      <c r="B3558" s="111"/>
      <c r="C3558" s="111"/>
      <c r="D3558" s="111"/>
      <c r="E3558" s="112"/>
    </row>
    <row r="3559" spans="1:5">
      <c r="A3559" s="110"/>
      <c r="B3559" s="111"/>
      <c r="C3559" s="111"/>
      <c r="D3559" s="111"/>
      <c r="E3559" s="112"/>
    </row>
    <row r="3560" spans="1:5">
      <c r="A3560" s="110"/>
      <c r="B3560" s="111"/>
      <c r="C3560" s="111"/>
      <c r="D3560" s="111"/>
      <c r="E3560" s="112"/>
    </row>
    <row r="3561" spans="1:5">
      <c r="A3561" s="110"/>
      <c r="B3561" s="111"/>
      <c r="C3561" s="111"/>
      <c r="D3561" s="111"/>
      <c r="E3561" s="112"/>
    </row>
    <row r="3562" spans="1:5">
      <c r="A3562" s="110"/>
      <c r="B3562" s="111"/>
      <c r="C3562" s="111"/>
      <c r="D3562" s="111"/>
      <c r="E3562" s="112"/>
    </row>
    <row r="3563" spans="1:5">
      <c r="A3563" s="110"/>
      <c r="B3563" s="111"/>
      <c r="C3563" s="111"/>
      <c r="D3563" s="111"/>
      <c r="E3563" s="112"/>
    </row>
    <row r="3564" spans="1:5">
      <c r="A3564" s="110"/>
      <c r="B3564" s="111"/>
      <c r="C3564" s="111"/>
      <c r="D3564" s="111"/>
      <c r="E3564" s="112"/>
    </row>
    <row r="3565" spans="1:5">
      <c r="A3565" s="110"/>
      <c r="B3565" s="111"/>
      <c r="C3565" s="111"/>
      <c r="D3565" s="111"/>
      <c r="E3565" s="112"/>
    </row>
    <row r="3566" spans="1:5">
      <c r="A3566" s="110"/>
      <c r="B3566" s="111"/>
      <c r="C3566" s="111"/>
      <c r="D3566" s="111"/>
      <c r="E3566" s="112"/>
    </row>
    <row r="3567" spans="1:5">
      <c r="A3567" s="110"/>
      <c r="B3567" s="111"/>
      <c r="C3567" s="111"/>
      <c r="D3567" s="111"/>
      <c r="E3567" s="112"/>
    </row>
    <row r="3568" spans="1:5">
      <c r="A3568" s="110"/>
      <c r="B3568" s="111"/>
      <c r="C3568" s="111"/>
      <c r="D3568" s="111"/>
      <c r="E3568" s="112"/>
    </row>
    <row r="3569" spans="1:5">
      <c r="A3569" s="110"/>
      <c r="B3569" s="111"/>
      <c r="C3569" s="111"/>
      <c r="D3569" s="111"/>
      <c r="E3569" s="112"/>
    </row>
    <row r="3570" spans="1:5">
      <c r="A3570" s="110"/>
      <c r="B3570" s="111"/>
      <c r="C3570" s="111"/>
      <c r="D3570" s="111"/>
      <c r="E3570" s="112"/>
    </row>
    <row r="3571" spans="1:5">
      <c r="A3571" s="110"/>
      <c r="B3571" s="111"/>
      <c r="C3571" s="111"/>
      <c r="D3571" s="111"/>
      <c r="E3571" s="112"/>
    </row>
    <row r="3572" spans="1:5">
      <c r="A3572" s="110"/>
      <c r="B3572" s="111"/>
      <c r="C3572" s="111"/>
      <c r="D3572" s="111"/>
      <c r="E3572" s="112"/>
    </row>
    <row r="3573" spans="1:5">
      <c r="A3573" s="110"/>
      <c r="B3573" s="111"/>
      <c r="C3573" s="111"/>
      <c r="D3573" s="111"/>
      <c r="E3573" s="112"/>
    </row>
    <row r="3574" spans="1:5">
      <c r="A3574" s="110"/>
      <c r="B3574" s="111"/>
      <c r="C3574" s="111"/>
      <c r="D3574" s="111"/>
      <c r="E3574" s="112"/>
    </row>
    <row r="3575" spans="1:5">
      <c r="A3575" s="110"/>
      <c r="B3575" s="111"/>
      <c r="C3575" s="111"/>
      <c r="D3575" s="111"/>
      <c r="E3575" s="112"/>
    </row>
    <row r="3576" spans="1:5">
      <c r="A3576" s="110"/>
      <c r="B3576" s="111"/>
      <c r="C3576" s="111"/>
      <c r="D3576" s="111"/>
      <c r="E3576" s="112"/>
    </row>
    <row r="3577" spans="1:5">
      <c r="A3577" s="110"/>
      <c r="B3577" s="111"/>
      <c r="C3577" s="111"/>
      <c r="D3577" s="111"/>
      <c r="E3577" s="112"/>
    </row>
    <row r="3578" spans="1:5">
      <c r="A3578" s="110"/>
      <c r="B3578" s="111"/>
      <c r="C3578" s="111"/>
      <c r="D3578" s="111"/>
      <c r="E3578" s="112"/>
    </row>
    <row r="3579" spans="1:5">
      <c r="A3579" s="110"/>
      <c r="B3579" s="111"/>
      <c r="C3579" s="111"/>
      <c r="D3579" s="111"/>
      <c r="E3579" s="112"/>
    </row>
    <row r="3580" spans="1:5">
      <c r="A3580" s="110"/>
      <c r="B3580" s="111"/>
      <c r="C3580" s="111"/>
      <c r="D3580" s="111"/>
      <c r="E3580" s="112"/>
    </row>
    <row r="3581" spans="1:5">
      <c r="A3581" s="110"/>
      <c r="B3581" s="111"/>
      <c r="C3581" s="111"/>
      <c r="D3581" s="111"/>
      <c r="E3581" s="112"/>
    </row>
    <row r="3582" spans="1:5">
      <c r="A3582" s="110"/>
      <c r="B3582" s="111"/>
      <c r="C3582" s="111"/>
      <c r="D3582" s="111"/>
      <c r="E3582" s="112"/>
    </row>
    <row r="3583" spans="1:5">
      <c r="A3583" s="110"/>
      <c r="B3583" s="111"/>
      <c r="C3583" s="111"/>
      <c r="D3583" s="111"/>
      <c r="E3583" s="112"/>
    </row>
    <row r="3584" spans="1:5">
      <c r="A3584" s="110"/>
      <c r="B3584" s="111"/>
      <c r="C3584" s="111"/>
      <c r="D3584" s="111"/>
      <c r="E3584" s="112"/>
    </row>
    <row r="3585" spans="1:5">
      <c r="A3585" s="110"/>
      <c r="B3585" s="111"/>
      <c r="C3585" s="111"/>
      <c r="D3585" s="111"/>
      <c r="E3585" s="112"/>
    </row>
    <row r="3586" spans="1:5">
      <c r="A3586" s="110"/>
      <c r="B3586" s="111"/>
      <c r="C3586" s="111"/>
      <c r="D3586" s="111"/>
      <c r="E3586" s="112"/>
    </row>
    <row r="3587" spans="1:5">
      <c r="A3587" s="110"/>
      <c r="B3587" s="111"/>
      <c r="C3587" s="111"/>
      <c r="D3587" s="111"/>
      <c r="E3587" s="112"/>
    </row>
    <row r="3588" spans="1:5">
      <c r="A3588" s="110"/>
      <c r="B3588" s="111"/>
      <c r="C3588" s="111"/>
      <c r="D3588" s="111"/>
      <c r="E3588" s="112"/>
    </row>
    <row r="3589" spans="1:5">
      <c r="A3589" s="110"/>
      <c r="B3589" s="111"/>
      <c r="C3589" s="111"/>
      <c r="D3589" s="111"/>
      <c r="E3589" s="112"/>
    </row>
    <row r="3590" spans="1:5">
      <c r="A3590" s="110"/>
      <c r="B3590" s="111"/>
      <c r="C3590" s="111"/>
      <c r="D3590" s="111"/>
      <c r="E3590" s="112"/>
    </row>
    <row r="3591" spans="1:5">
      <c r="A3591" s="110"/>
      <c r="B3591" s="111"/>
      <c r="C3591" s="111"/>
      <c r="D3591" s="111"/>
      <c r="E3591" s="112"/>
    </row>
    <row r="3592" spans="1:5">
      <c r="A3592" s="110"/>
      <c r="B3592" s="111"/>
      <c r="C3592" s="111"/>
      <c r="D3592" s="111"/>
      <c r="E3592" s="112"/>
    </row>
    <row r="3593" spans="1:5">
      <c r="A3593" s="110"/>
      <c r="B3593" s="111"/>
      <c r="C3593" s="111"/>
      <c r="D3593" s="111"/>
      <c r="E3593" s="112"/>
    </row>
    <row r="3594" spans="1:5">
      <c r="A3594" s="110"/>
      <c r="B3594" s="111"/>
      <c r="C3594" s="111"/>
      <c r="D3594" s="111"/>
      <c r="E3594" s="112"/>
    </row>
    <row r="3595" spans="1:5">
      <c r="A3595" s="110"/>
      <c r="B3595" s="111"/>
      <c r="C3595" s="111"/>
      <c r="D3595" s="111"/>
      <c r="E3595" s="112"/>
    </row>
    <row r="3596" spans="1:5">
      <c r="A3596" s="110"/>
      <c r="B3596" s="111"/>
      <c r="C3596" s="111"/>
      <c r="D3596" s="111"/>
      <c r="E3596" s="112"/>
    </row>
    <row r="3597" spans="1:5">
      <c r="A3597" s="110"/>
      <c r="B3597" s="111"/>
      <c r="C3597" s="111"/>
      <c r="D3597" s="111"/>
      <c r="E3597" s="112"/>
    </row>
    <row r="3598" spans="1:5">
      <c r="A3598" s="110"/>
      <c r="B3598" s="111"/>
      <c r="C3598" s="111"/>
      <c r="D3598" s="111"/>
      <c r="E3598" s="112"/>
    </row>
    <row r="3599" spans="1:5">
      <c r="A3599" s="110"/>
      <c r="B3599" s="111"/>
      <c r="C3599" s="111"/>
      <c r="D3599" s="111"/>
      <c r="E3599" s="112"/>
    </row>
    <row r="3600" spans="1:5">
      <c r="A3600" s="110"/>
      <c r="B3600" s="111"/>
      <c r="C3600" s="111"/>
      <c r="D3600" s="111"/>
      <c r="E3600" s="112"/>
    </row>
    <row r="3601" spans="1:5">
      <c r="A3601" s="110"/>
      <c r="B3601" s="111"/>
      <c r="C3601" s="111"/>
      <c r="D3601" s="111"/>
      <c r="E3601" s="112"/>
    </row>
    <row r="3602" spans="1:5">
      <c r="A3602" s="110"/>
      <c r="B3602" s="111"/>
      <c r="C3602" s="111"/>
      <c r="D3602" s="111"/>
      <c r="E3602" s="112"/>
    </row>
    <row r="3603" spans="1:5">
      <c r="A3603" s="110"/>
      <c r="B3603" s="111"/>
      <c r="C3603" s="111"/>
      <c r="D3603" s="111"/>
      <c r="E3603" s="112"/>
    </row>
    <row r="3604" spans="1:5">
      <c r="A3604" s="110"/>
      <c r="B3604" s="111"/>
      <c r="C3604" s="111"/>
      <c r="D3604" s="111"/>
      <c r="E3604" s="112"/>
    </row>
    <row r="3605" spans="1:5">
      <c r="A3605" s="110"/>
      <c r="B3605" s="111"/>
      <c r="C3605" s="111"/>
      <c r="D3605" s="111"/>
      <c r="E3605" s="112"/>
    </row>
    <row r="3606" spans="1:5">
      <c r="A3606" s="110"/>
      <c r="B3606" s="111"/>
      <c r="C3606" s="111"/>
      <c r="D3606" s="111"/>
      <c r="E3606" s="112"/>
    </row>
    <row r="3607" spans="1:5">
      <c r="A3607" s="110"/>
      <c r="B3607" s="111"/>
      <c r="C3607" s="111"/>
      <c r="D3607" s="111"/>
      <c r="E3607" s="112"/>
    </row>
    <row r="3608" spans="1:5">
      <c r="A3608" s="110"/>
      <c r="B3608" s="111"/>
      <c r="C3608" s="111"/>
      <c r="D3608" s="111"/>
      <c r="E3608" s="112"/>
    </row>
    <row r="3609" spans="1:5">
      <c r="A3609" s="110"/>
      <c r="B3609" s="111"/>
      <c r="C3609" s="111"/>
      <c r="D3609" s="111"/>
      <c r="E3609" s="112"/>
    </row>
    <row r="3610" spans="1:5">
      <c r="A3610" s="110"/>
      <c r="B3610" s="111"/>
      <c r="C3610" s="111"/>
      <c r="D3610" s="111"/>
      <c r="E3610" s="112"/>
    </row>
    <row r="3611" spans="1:5">
      <c r="A3611" s="110"/>
      <c r="B3611" s="111"/>
      <c r="C3611" s="111"/>
      <c r="D3611" s="111"/>
      <c r="E3611" s="112"/>
    </row>
    <row r="3612" spans="1:5">
      <c r="A3612" s="110"/>
      <c r="B3612" s="111"/>
      <c r="C3612" s="111"/>
      <c r="D3612" s="111"/>
      <c r="E3612" s="112"/>
    </row>
    <row r="3613" spans="1:5">
      <c r="A3613" s="110"/>
      <c r="B3613" s="111"/>
      <c r="C3613" s="111"/>
      <c r="D3613" s="111"/>
      <c r="E3613" s="112"/>
    </row>
    <row r="3614" spans="1:5">
      <c r="A3614" s="110"/>
      <c r="B3614" s="111"/>
      <c r="C3614" s="111"/>
      <c r="D3614" s="111"/>
      <c r="E3614" s="112"/>
    </row>
    <row r="3615" spans="1:5">
      <c r="A3615" s="110"/>
      <c r="B3615" s="111"/>
      <c r="C3615" s="111"/>
      <c r="D3615" s="111"/>
      <c r="E3615" s="112"/>
    </row>
    <row r="3616" spans="1:5">
      <c r="A3616" s="110"/>
      <c r="B3616" s="111"/>
      <c r="C3616" s="111"/>
      <c r="D3616" s="111"/>
      <c r="E3616" s="112"/>
    </row>
    <row r="3617" spans="1:5">
      <c r="A3617" s="110"/>
      <c r="B3617" s="111"/>
      <c r="C3617" s="111"/>
      <c r="D3617" s="111"/>
      <c r="E3617" s="112"/>
    </row>
    <row r="3618" spans="1:5">
      <c r="A3618" s="110"/>
      <c r="B3618" s="111"/>
      <c r="C3618" s="111"/>
      <c r="D3618" s="111"/>
      <c r="E3618" s="112"/>
    </row>
    <row r="3619" spans="1:5">
      <c r="A3619" s="110"/>
      <c r="B3619" s="111"/>
      <c r="C3619" s="111"/>
      <c r="D3619" s="111"/>
      <c r="E3619" s="112"/>
    </row>
    <row r="3620" spans="1:5">
      <c r="A3620" s="110"/>
      <c r="B3620" s="111"/>
      <c r="C3620" s="111"/>
      <c r="D3620" s="111"/>
      <c r="E3620" s="112"/>
    </row>
    <row r="3621" spans="1:5">
      <c r="A3621" s="110"/>
      <c r="B3621" s="111"/>
      <c r="C3621" s="111"/>
      <c r="D3621" s="111"/>
      <c r="E3621" s="112"/>
    </row>
    <row r="3622" spans="1:5">
      <c r="A3622" s="110"/>
      <c r="B3622" s="111"/>
      <c r="C3622" s="111"/>
      <c r="D3622" s="111"/>
      <c r="E3622" s="112"/>
    </row>
    <row r="3623" spans="1:5">
      <c r="A3623" s="110"/>
      <c r="B3623" s="111"/>
      <c r="C3623" s="111"/>
      <c r="D3623" s="111"/>
      <c r="E3623" s="112"/>
    </row>
    <row r="3624" spans="1:5">
      <c r="A3624" s="110"/>
      <c r="B3624" s="111"/>
      <c r="C3624" s="111"/>
      <c r="D3624" s="111"/>
      <c r="E3624" s="112"/>
    </row>
    <row r="3625" spans="1:5">
      <c r="A3625" s="110"/>
      <c r="B3625" s="111"/>
      <c r="C3625" s="111"/>
      <c r="D3625" s="111"/>
      <c r="E3625" s="112"/>
    </row>
    <row r="3626" spans="1:5">
      <c r="A3626" s="110"/>
      <c r="B3626" s="111"/>
      <c r="C3626" s="111"/>
      <c r="D3626" s="111"/>
      <c r="E3626" s="112"/>
    </row>
    <row r="3627" spans="1:5">
      <c r="A3627" s="110"/>
      <c r="B3627" s="111"/>
      <c r="C3627" s="111"/>
      <c r="D3627" s="111"/>
      <c r="E3627" s="112"/>
    </row>
    <row r="3628" spans="1:5">
      <c r="A3628" s="110"/>
      <c r="B3628" s="111"/>
      <c r="C3628" s="111"/>
      <c r="D3628" s="111"/>
      <c r="E3628" s="112"/>
    </row>
    <row r="3629" spans="1:5">
      <c r="A3629" s="110"/>
      <c r="B3629" s="111"/>
      <c r="C3629" s="111"/>
      <c r="D3629" s="111"/>
      <c r="E3629" s="112"/>
    </row>
    <row r="3630" spans="1:5">
      <c r="A3630" s="110"/>
      <c r="B3630" s="111"/>
      <c r="C3630" s="111"/>
      <c r="D3630" s="111"/>
      <c r="E3630" s="112"/>
    </row>
    <row r="3631" spans="1:5">
      <c r="A3631" s="110"/>
      <c r="B3631" s="111"/>
      <c r="C3631" s="111"/>
      <c r="D3631" s="111"/>
      <c r="E3631" s="112"/>
    </row>
    <row r="3632" spans="1:5">
      <c r="A3632" s="110"/>
      <c r="B3632" s="111"/>
      <c r="C3632" s="111"/>
      <c r="D3632" s="111"/>
      <c r="E3632" s="112"/>
    </row>
    <row r="3633" spans="1:5">
      <c r="A3633" s="110"/>
      <c r="B3633" s="111"/>
      <c r="C3633" s="111"/>
      <c r="D3633" s="111"/>
      <c r="E3633" s="112"/>
    </row>
    <row r="3634" spans="1:5">
      <c r="A3634" s="110"/>
      <c r="B3634" s="111"/>
      <c r="C3634" s="111"/>
      <c r="D3634" s="111"/>
      <c r="E3634" s="112"/>
    </row>
    <row r="3635" spans="1:5">
      <c r="A3635" s="110"/>
      <c r="B3635" s="111"/>
      <c r="C3635" s="111"/>
      <c r="D3635" s="111"/>
      <c r="E3635" s="112"/>
    </row>
    <row r="3636" spans="1:5">
      <c r="A3636" s="110"/>
      <c r="B3636" s="111"/>
      <c r="C3636" s="111"/>
      <c r="D3636" s="111"/>
      <c r="E3636" s="112"/>
    </row>
    <row r="3637" spans="1:5">
      <c r="A3637" s="110"/>
      <c r="B3637" s="111"/>
      <c r="C3637" s="111"/>
      <c r="D3637" s="111"/>
      <c r="E3637" s="112"/>
    </row>
    <row r="3638" spans="1:5">
      <c r="A3638" s="110"/>
      <c r="B3638" s="111"/>
      <c r="C3638" s="111"/>
      <c r="D3638" s="111"/>
      <c r="E3638" s="112"/>
    </row>
    <row r="3639" spans="1:5">
      <c r="A3639" s="110"/>
      <c r="B3639" s="111"/>
      <c r="C3639" s="111"/>
      <c r="D3639" s="111"/>
      <c r="E3639" s="112"/>
    </row>
    <row r="3640" spans="1:5">
      <c r="A3640" s="110"/>
      <c r="B3640" s="111"/>
      <c r="C3640" s="111"/>
      <c r="D3640" s="111"/>
      <c r="E3640" s="112"/>
    </row>
    <row r="3641" spans="1:5">
      <c r="A3641" s="110"/>
      <c r="B3641" s="111"/>
      <c r="C3641" s="111"/>
      <c r="D3641" s="111"/>
      <c r="E3641" s="112"/>
    </row>
    <row r="3642" spans="1:5">
      <c r="A3642" s="110"/>
      <c r="B3642" s="111"/>
      <c r="C3642" s="111"/>
      <c r="D3642" s="111"/>
      <c r="E3642" s="112"/>
    </row>
    <row r="3643" spans="1:5">
      <c r="A3643" s="110"/>
      <c r="B3643" s="111"/>
      <c r="C3643" s="111"/>
      <c r="D3643" s="111"/>
      <c r="E3643" s="112"/>
    </row>
    <row r="3644" spans="1:5">
      <c r="A3644" s="110"/>
      <c r="B3644" s="111"/>
      <c r="C3644" s="111"/>
      <c r="D3644" s="111"/>
      <c r="E3644" s="112"/>
    </row>
    <row r="3645" spans="1:5">
      <c r="A3645" s="110"/>
      <c r="B3645" s="111"/>
      <c r="C3645" s="111"/>
      <c r="D3645" s="111"/>
      <c r="E3645" s="112"/>
    </row>
    <row r="3646" spans="1:5">
      <c r="A3646" s="110"/>
      <c r="B3646" s="111"/>
      <c r="C3646" s="111"/>
      <c r="D3646" s="111"/>
      <c r="E3646" s="112"/>
    </row>
    <row r="3647" spans="1:5">
      <c r="A3647" s="110"/>
      <c r="D3647" s="111"/>
      <c r="E3647" s="112"/>
    </row>
    <row r="3648" spans="1:5">
      <c r="A3648" s="110"/>
      <c r="B3648" s="111"/>
      <c r="C3648" s="111"/>
      <c r="D3648" s="111"/>
      <c r="E3648" s="112"/>
    </row>
    <row r="3649" spans="1:5">
      <c r="A3649" s="110"/>
      <c r="B3649" s="111"/>
      <c r="C3649" s="111"/>
      <c r="D3649" s="111"/>
      <c r="E3649" s="112"/>
    </row>
    <row r="3650" spans="1:5">
      <c r="A3650" s="110"/>
      <c r="B3650" s="111"/>
      <c r="C3650" s="111"/>
      <c r="D3650" s="111"/>
      <c r="E3650" s="112"/>
    </row>
    <row r="3651" spans="1:5">
      <c r="A3651" s="110"/>
      <c r="B3651" s="111"/>
      <c r="C3651" s="111"/>
      <c r="D3651" s="111"/>
      <c r="E3651" s="112"/>
    </row>
    <row r="3652" spans="1:5">
      <c r="A3652" s="110"/>
      <c r="B3652" s="111"/>
      <c r="C3652" s="111"/>
      <c r="D3652" s="111"/>
      <c r="E3652" s="112"/>
    </row>
    <row r="3653" spans="1:5">
      <c r="A3653" s="110"/>
      <c r="B3653" s="111"/>
      <c r="C3653" s="111"/>
      <c r="D3653" s="111"/>
      <c r="E3653" s="112"/>
    </row>
    <row r="3654" spans="1:5">
      <c r="A3654" s="110"/>
      <c r="B3654" s="111"/>
      <c r="C3654" s="111"/>
      <c r="D3654" s="111"/>
      <c r="E3654" s="112"/>
    </row>
    <row r="3655" spans="1:5">
      <c r="A3655" s="110"/>
      <c r="B3655" s="111"/>
      <c r="C3655" s="111"/>
      <c r="D3655" s="111"/>
      <c r="E3655" s="112"/>
    </row>
    <row r="3656" spans="1:5">
      <c r="A3656" s="110"/>
      <c r="B3656" s="111"/>
      <c r="C3656" s="111"/>
      <c r="D3656" s="111"/>
      <c r="E3656" s="112"/>
    </row>
    <row r="3657" spans="1:5">
      <c r="A3657" s="110"/>
      <c r="B3657" s="111"/>
      <c r="C3657" s="111"/>
      <c r="D3657" s="111"/>
      <c r="E3657" s="112"/>
    </row>
    <row r="3658" spans="1:5">
      <c r="A3658" s="110"/>
      <c r="B3658" s="111"/>
      <c r="C3658" s="111"/>
      <c r="D3658" s="111"/>
      <c r="E3658" s="112"/>
    </row>
    <row r="3659" spans="1:5">
      <c r="A3659" s="110"/>
      <c r="B3659" s="111"/>
      <c r="C3659" s="111"/>
      <c r="D3659" s="111"/>
      <c r="E3659" s="112"/>
    </row>
    <row r="3660" spans="1:5">
      <c r="A3660" s="110"/>
      <c r="B3660" s="111"/>
      <c r="C3660" s="111"/>
      <c r="D3660" s="111"/>
      <c r="E3660" s="112"/>
    </row>
    <row r="3661" spans="1:5">
      <c r="A3661" s="110"/>
      <c r="B3661" s="111"/>
      <c r="C3661" s="111"/>
      <c r="D3661" s="111"/>
      <c r="E3661" s="112"/>
    </row>
    <row r="3662" spans="1:5">
      <c r="A3662" s="110"/>
      <c r="B3662" s="111"/>
      <c r="C3662" s="111"/>
      <c r="D3662" s="111"/>
      <c r="E3662" s="112"/>
    </row>
    <row r="3663" spans="1:5">
      <c r="A3663" s="110"/>
      <c r="B3663" s="111"/>
      <c r="C3663" s="111"/>
      <c r="D3663" s="111"/>
      <c r="E3663" s="112"/>
    </row>
    <row r="3664" spans="1:5">
      <c r="A3664" s="110"/>
      <c r="B3664" s="111"/>
      <c r="C3664" s="111"/>
      <c r="D3664" s="111"/>
      <c r="E3664" s="112"/>
    </row>
    <row r="3665" spans="1:5">
      <c r="A3665" s="110"/>
      <c r="B3665" s="111"/>
      <c r="C3665" s="111"/>
      <c r="D3665" s="111"/>
      <c r="E3665" s="112"/>
    </row>
    <row r="3666" spans="1:5">
      <c r="A3666" s="110"/>
      <c r="B3666" s="111"/>
      <c r="C3666" s="111"/>
      <c r="D3666" s="111"/>
      <c r="E3666" s="112"/>
    </row>
    <row r="3667" spans="1:5">
      <c r="A3667" s="110"/>
      <c r="B3667" s="111"/>
      <c r="C3667" s="111"/>
      <c r="D3667" s="111"/>
      <c r="E3667" s="112"/>
    </row>
    <row r="3668" spans="1:5">
      <c r="A3668" s="110"/>
      <c r="B3668" s="111"/>
      <c r="C3668" s="111"/>
      <c r="D3668" s="111"/>
      <c r="E3668" s="112"/>
    </row>
    <row r="3669" spans="1:5">
      <c r="A3669" s="110"/>
      <c r="B3669" s="111"/>
      <c r="C3669" s="111"/>
      <c r="D3669" s="111"/>
      <c r="E3669" s="112"/>
    </row>
    <row r="3670" spans="1:5">
      <c r="A3670" s="110"/>
      <c r="B3670" s="111"/>
      <c r="C3670" s="111"/>
      <c r="D3670" s="111"/>
      <c r="E3670" s="112"/>
    </row>
    <row r="3671" spans="1:5">
      <c r="A3671" s="110"/>
      <c r="B3671" s="111"/>
      <c r="C3671" s="111"/>
      <c r="D3671" s="111"/>
      <c r="E3671" s="112"/>
    </row>
    <row r="3672" spans="1:5">
      <c r="A3672" s="110"/>
      <c r="B3672" s="111"/>
      <c r="C3672" s="111"/>
      <c r="D3672" s="111"/>
      <c r="E3672" s="112"/>
    </row>
    <row r="3673" spans="1:5">
      <c r="A3673" s="110"/>
      <c r="B3673" s="111"/>
      <c r="C3673" s="111"/>
      <c r="D3673" s="111"/>
      <c r="E3673" s="112"/>
    </row>
    <row r="3674" spans="1:5">
      <c r="A3674" s="110"/>
      <c r="B3674" s="111"/>
      <c r="C3674" s="111"/>
      <c r="D3674" s="111"/>
      <c r="E3674" s="112"/>
    </row>
    <row r="3675" spans="1:5">
      <c r="A3675" s="110"/>
      <c r="B3675" s="111"/>
      <c r="C3675" s="111"/>
      <c r="D3675" s="111"/>
      <c r="E3675" s="112"/>
    </row>
    <row r="3676" spans="1:5">
      <c r="A3676" s="110"/>
      <c r="B3676" s="111"/>
      <c r="C3676" s="111"/>
      <c r="D3676" s="111"/>
      <c r="E3676" s="112"/>
    </row>
    <row r="3677" spans="1:5">
      <c r="A3677" s="110"/>
      <c r="B3677" s="111"/>
      <c r="C3677" s="111"/>
      <c r="D3677" s="111"/>
      <c r="E3677" s="112"/>
    </row>
    <row r="3678" spans="1:5">
      <c r="A3678" s="110"/>
      <c r="B3678" s="111"/>
      <c r="C3678" s="111"/>
      <c r="D3678" s="111"/>
      <c r="E3678" s="112"/>
    </row>
    <row r="3679" spans="1:5">
      <c r="A3679" s="110"/>
      <c r="B3679" s="111"/>
      <c r="C3679" s="111"/>
      <c r="D3679" s="111"/>
      <c r="E3679" s="112"/>
    </row>
    <row r="3680" spans="1:5">
      <c r="A3680" s="110"/>
      <c r="B3680" s="111"/>
      <c r="C3680" s="111"/>
      <c r="D3680" s="111"/>
      <c r="E3680" s="112"/>
    </row>
    <row r="3681" spans="1:5">
      <c r="A3681" s="110"/>
      <c r="B3681" s="111"/>
      <c r="C3681" s="111"/>
      <c r="D3681" s="111"/>
      <c r="E3681" s="112"/>
    </row>
    <row r="3682" spans="1:5">
      <c r="A3682" s="110"/>
      <c r="B3682" s="111"/>
      <c r="C3682" s="111"/>
      <c r="D3682" s="111"/>
      <c r="E3682" s="112"/>
    </row>
    <row r="3683" spans="1:5">
      <c r="A3683" s="110"/>
      <c r="B3683" s="111"/>
      <c r="C3683" s="111"/>
      <c r="D3683" s="111"/>
      <c r="E3683" s="112"/>
    </row>
    <row r="3684" spans="1:5">
      <c r="A3684" s="110"/>
      <c r="B3684" s="111"/>
      <c r="C3684" s="111"/>
      <c r="D3684" s="111"/>
      <c r="E3684" s="112"/>
    </row>
    <row r="3685" spans="1:5">
      <c r="A3685" s="110"/>
      <c r="B3685" s="111"/>
      <c r="C3685" s="111"/>
      <c r="D3685" s="111"/>
      <c r="E3685" s="112"/>
    </row>
    <row r="3686" spans="1:5">
      <c r="A3686" s="110"/>
      <c r="B3686" s="111"/>
      <c r="C3686" s="111"/>
      <c r="D3686" s="111"/>
      <c r="E3686" s="112"/>
    </row>
    <row r="3687" spans="1:5">
      <c r="A3687" s="110"/>
      <c r="B3687" s="111"/>
      <c r="C3687" s="111"/>
      <c r="D3687" s="111"/>
      <c r="E3687" s="112"/>
    </row>
    <row r="3688" spans="1:5">
      <c r="A3688" s="110"/>
      <c r="B3688" s="111"/>
      <c r="C3688" s="111"/>
      <c r="D3688" s="111"/>
      <c r="E3688" s="112"/>
    </row>
    <row r="3689" spans="1:5">
      <c r="A3689" s="110"/>
      <c r="B3689" s="111"/>
      <c r="C3689" s="111"/>
      <c r="D3689" s="111"/>
      <c r="E3689" s="112"/>
    </row>
    <row r="3690" spans="1:5">
      <c r="A3690" s="110"/>
      <c r="B3690" s="111"/>
      <c r="C3690" s="111"/>
      <c r="D3690" s="111"/>
      <c r="E3690" s="112"/>
    </row>
    <row r="3691" spans="1:5">
      <c r="A3691" s="110"/>
      <c r="B3691" s="111"/>
      <c r="C3691" s="111"/>
      <c r="D3691" s="111"/>
      <c r="E3691" s="112"/>
    </row>
    <row r="3692" spans="1:5">
      <c r="A3692" s="110"/>
      <c r="B3692" s="111"/>
      <c r="C3692" s="111"/>
      <c r="D3692" s="111"/>
      <c r="E3692" s="112"/>
    </row>
    <row r="3693" spans="1:5">
      <c r="A3693" s="110"/>
      <c r="B3693" s="111"/>
      <c r="C3693" s="111"/>
      <c r="D3693" s="111"/>
      <c r="E3693" s="112"/>
    </row>
    <row r="3694" spans="1:5">
      <c r="A3694" s="110"/>
      <c r="B3694" s="111"/>
      <c r="C3694" s="111"/>
      <c r="D3694" s="111"/>
      <c r="E3694" s="112"/>
    </row>
    <row r="3695" spans="1:5">
      <c r="A3695" s="110"/>
      <c r="B3695" s="111"/>
      <c r="C3695" s="111"/>
      <c r="D3695" s="111"/>
      <c r="E3695" s="112"/>
    </row>
    <row r="3696" spans="1:5">
      <c r="A3696" s="110"/>
      <c r="B3696" s="111"/>
      <c r="C3696" s="111"/>
      <c r="D3696" s="111"/>
      <c r="E3696" s="112"/>
    </row>
    <row r="3697" spans="1:5">
      <c r="A3697" s="110"/>
      <c r="B3697" s="111"/>
      <c r="C3697" s="111"/>
      <c r="D3697" s="111"/>
      <c r="E3697" s="112"/>
    </row>
    <row r="3698" spans="1:5">
      <c r="A3698" s="110"/>
      <c r="B3698" s="111"/>
      <c r="C3698" s="111"/>
      <c r="D3698" s="111"/>
      <c r="E3698" s="112"/>
    </row>
    <row r="3699" spans="1:5">
      <c r="A3699" s="110"/>
      <c r="B3699" s="111"/>
      <c r="C3699" s="111"/>
      <c r="D3699" s="111"/>
      <c r="E3699" s="112"/>
    </row>
    <row r="3700" spans="1:5">
      <c r="A3700" s="110"/>
      <c r="B3700" s="111"/>
      <c r="C3700" s="111"/>
      <c r="D3700" s="111"/>
      <c r="E3700" s="112"/>
    </row>
    <row r="3701" spans="1:5">
      <c r="A3701" s="110"/>
      <c r="B3701" s="111"/>
      <c r="C3701" s="111"/>
      <c r="D3701" s="111"/>
      <c r="E3701" s="112"/>
    </row>
    <row r="3702" spans="1:5">
      <c r="A3702" s="110"/>
      <c r="B3702" s="111"/>
      <c r="C3702" s="111"/>
      <c r="D3702" s="111"/>
      <c r="E3702" s="112"/>
    </row>
    <row r="3703" spans="1:5">
      <c r="A3703" s="110"/>
      <c r="B3703" s="111"/>
      <c r="C3703" s="111"/>
      <c r="D3703" s="111"/>
      <c r="E3703" s="112"/>
    </row>
    <row r="3704" spans="1:5">
      <c r="A3704" s="110"/>
      <c r="B3704" s="111"/>
      <c r="C3704" s="111"/>
      <c r="D3704" s="111"/>
      <c r="E3704" s="112"/>
    </row>
    <row r="3705" spans="1:5">
      <c r="A3705" s="110"/>
      <c r="B3705" s="111"/>
      <c r="C3705" s="111"/>
      <c r="D3705" s="111"/>
      <c r="E3705" s="112"/>
    </row>
    <row r="3706" spans="1:5">
      <c r="A3706" s="110"/>
      <c r="B3706" s="111"/>
      <c r="C3706" s="111"/>
      <c r="D3706" s="111"/>
      <c r="E3706" s="112"/>
    </row>
    <row r="3707" spans="1:5">
      <c r="A3707" s="110"/>
      <c r="B3707" s="111"/>
      <c r="C3707" s="111"/>
      <c r="D3707" s="111"/>
      <c r="E3707" s="112"/>
    </row>
    <row r="3708" spans="1:5">
      <c r="A3708" s="110"/>
      <c r="B3708" s="111"/>
      <c r="C3708" s="111"/>
      <c r="D3708" s="111"/>
      <c r="E3708" s="112"/>
    </row>
    <row r="3709" spans="1:5">
      <c r="A3709" s="110"/>
      <c r="B3709" s="111"/>
      <c r="C3709" s="111"/>
      <c r="D3709" s="111"/>
      <c r="E3709" s="112"/>
    </row>
    <row r="3710" spans="1:5">
      <c r="A3710" s="110"/>
      <c r="B3710" s="111"/>
      <c r="C3710" s="111"/>
      <c r="D3710" s="111"/>
      <c r="E3710" s="112"/>
    </row>
    <row r="3711" spans="1:5">
      <c r="A3711" s="110"/>
      <c r="B3711" s="111"/>
      <c r="C3711" s="111"/>
      <c r="D3711" s="111"/>
      <c r="E3711" s="112"/>
    </row>
    <row r="3712" spans="1:5">
      <c r="A3712" s="110"/>
      <c r="B3712" s="111"/>
      <c r="C3712" s="111"/>
      <c r="D3712" s="111"/>
      <c r="E3712" s="112"/>
    </row>
    <row r="3713" spans="1:5">
      <c r="A3713" s="110"/>
      <c r="B3713" s="111"/>
      <c r="C3713" s="111"/>
      <c r="D3713" s="111"/>
      <c r="E3713" s="112"/>
    </row>
    <row r="3714" spans="1:5">
      <c r="A3714" s="110"/>
      <c r="B3714" s="111"/>
      <c r="C3714" s="111"/>
      <c r="D3714" s="111"/>
      <c r="E3714" s="112"/>
    </row>
    <row r="3715" spans="1:5">
      <c r="A3715" s="110"/>
      <c r="B3715" s="111"/>
      <c r="C3715" s="111"/>
      <c r="D3715" s="111"/>
      <c r="E3715" s="112"/>
    </row>
    <row r="3716" spans="1:5">
      <c r="A3716" s="110"/>
      <c r="B3716" s="111"/>
      <c r="C3716" s="111"/>
      <c r="D3716" s="111"/>
      <c r="E3716" s="112"/>
    </row>
    <row r="3717" spans="1:5">
      <c r="A3717" s="110"/>
      <c r="B3717" s="111"/>
      <c r="C3717" s="111"/>
      <c r="D3717" s="111"/>
      <c r="E3717" s="112"/>
    </row>
    <row r="3718" spans="1:5">
      <c r="A3718" s="110"/>
      <c r="B3718" s="111"/>
      <c r="C3718" s="111"/>
      <c r="D3718" s="111"/>
      <c r="E3718" s="112"/>
    </row>
    <row r="3719" spans="1:5">
      <c r="A3719" s="110"/>
      <c r="B3719" s="111"/>
      <c r="C3719" s="111"/>
      <c r="D3719" s="111"/>
      <c r="E3719" s="112"/>
    </row>
    <row r="3720" spans="1:5">
      <c r="A3720" s="110"/>
      <c r="B3720" s="111"/>
      <c r="C3720" s="111"/>
      <c r="D3720" s="111"/>
      <c r="E3720" s="112"/>
    </row>
    <row r="3721" spans="1:5">
      <c r="A3721" s="110"/>
      <c r="B3721" s="111"/>
      <c r="C3721" s="111"/>
      <c r="D3721" s="111"/>
      <c r="E3721" s="112"/>
    </row>
    <row r="3722" spans="1:5">
      <c r="A3722" s="110"/>
      <c r="B3722" s="111"/>
      <c r="C3722" s="111"/>
      <c r="D3722" s="111"/>
      <c r="E3722" s="112"/>
    </row>
    <row r="3723" spans="1:5">
      <c r="A3723" s="110"/>
      <c r="B3723" s="111"/>
      <c r="C3723" s="111"/>
      <c r="D3723" s="111"/>
      <c r="E3723" s="112"/>
    </row>
    <row r="3724" spans="1:5">
      <c r="A3724" s="110"/>
      <c r="B3724" s="111"/>
      <c r="C3724" s="111"/>
      <c r="D3724" s="111"/>
      <c r="E3724" s="112"/>
    </row>
    <row r="3725" spans="1:5">
      <c r="A3725" s="110"/>
      <c r="B3725" s="111"/>
      <c r="C3725" s="111"/>
      <c r="D3725" s="111"/>
      <c r="E3725" s="112"/>
    </row>
    <row r="3726" spans="1:5">
      <c r="A3726" s="110"/>
      <c r="B3726" s="111"/>
      <c r="C3726" s="111"/>
      <c r="D3726" s="111"/>
      <c r="E3726" s="112"/>
    </row>
    <row r="3727" spans="1:5">
      <c r="A3727" s="110"/>
      <c r="B3727" s="111"/>
      <c r="C3727" s="111"/>
      <c r="D3727" s="111"/>
      <c r="E3727" s="112"/>
    </row>
    <row r="3728" spans="1:5">
      <c r="A3728" s="110"/>
      <c r="B3728" s="111"/>
      <c r="C3728" s="111"/>
      <c r="D3728" s="111"/>
      <c r="E3728" s="112"/>
    </row>
    <row r="3729" spans="1:5">
      <c r="A3729" s="110"/>
      <c r="B3729" s="111"/>
      <c r="C3729" s="111"/>
      <c r="D3729" s="111"/>
      <c r="E3729" s="112"/>
    </row>
    <row r="3730" spans="1:5">
      <c r="A3730" s="110"/>
      <c r="B3730" s="111"/>
      <c r="C3730" s="111"/>
      <c r="D3730" s="111"/>
      <c r="E3730" s="112"/>
    </row>
    <row r="3731" spans="1:5">
      <c r="A3731" s="110"/>
      <c r="B3731" s="111"/>
      <c r="C3731" s="111"/>
      <c r="D3731" s="111"/>
      <c r="E3731" s="112"/>
    </row>
    <row r="3732" spans="1:5">
      <c r="A3732" s="110"/>
      <c r="B3732" s="111"/>
      <c r="C3732" s="111"/>
      <c r="D3732" s="111"/>
      <c r="E3732" s="112"/>
    </row>
    <row r="3733" spans="1:5">
      <c r="A3733" s="110"/>
      <c r="B3733" s="111"/>
      <c r="C3733" s="111"/>
      <c r="D3733" s="111"/>
      <c r="E3733" s="112"/>
    </row>
    <row r="3734" spans="1:5">
      <c r="A3734" s="110"/>
      <c r="B3734" s="111"/>
      <c r="C3734" s="111"/>
      <c r="D3734" s="111"/>
      <c r="E3734" s="112"/>
    </row>
    <row r="3735" spans="1:5">
      <c r="A3735" s="110"/>
      <c r="B3735" s="111"/>
      <c r="C3735" s="111"/>
      <c r="D3735" s="111"/>
      <c r="E3735" s="112"/>
    </row>
    <row r="3736" spans="1:5">
      <c r="A3736" s="110"/>
      <c r="B3736" s="111"/>
      <c r="C3736" s="111"/>
      <c r="D3736" s="111"/>
      <c r="E3736" s="112"/>
    </row>
    <row r="3737" spans="1:5">
      <c r="A3737" s="110"/>
      <c r="B3737" s="111"/>
      <c r="C3737" s="111"/>
      <c r="D3737" s="111"/>
      <c r="E3737" s="112"/>
    </row>
    <row r="3738" spans="1:5">
      <c r="A3738" s="110"/>
      <c r="B3738" s="111"/>
      <c r="C3738" s="111"/>
      <c r="D3738" s="111"/>
      <c r="E3738" s="112"/>
    </row>
    <row r="3739" spans="1:5">
      <c r="A3739" s="110"/>
      <c r="B3739" s="111"/>
      <c r="C3739" s="111"/>
      <c r="D3739" s="111"/>
      <c r="E3739" s="112"/>
    </row>
    <row r="3740" spans="1:5">
      <c r="A3740" s="110"/>
      <c r="B3740" s="111"/>
      <c r="C3740" s="111"/>
      <c r="D3740" s="111"/>
      <c r="E3740" s="112"/>
    </row>
    <row r="3741" spans="1:5">
      <c r="A3741" s="110"/>
      <c r="B3741" s="111"/>
      <c r="C3741" s="111"/>
      <c r="D3741" s="111"/>
      <c r="E3741" s="112"/>
    </row>
    <row r="3742" spans="1:5">
      <c r="A3742" s="110"/>
      <c r="B3742" s="111"/>
      <c r="C3742" s="111"/>
      <c r="D3742" s="111"/>
      <c r="E3742" s="112"/>
    </row>
    <row r="3743" spans="1:5">
      <c r="A3743" s="110"/>
      <c r="B3743" s="111"/>
      <c r="C3743" s="111"/>
      <c r="D3743" s="111"/>
      <c r="E3743" s="112"/>
    </row>
    <row r="3744" spans="1:5">
      <c r="A3744" s="110"/>
      <c r="B3744" s="111"/>
      <c r="C3744" s="111"/>
      <c r="D3744" s="111"/>
      <c r="E3744" s="112"/>
    </row>
    <row r="3745" spans="1:5">
      <c r="A3745" s="110"/>
      <c r="B3745" s="111"/>
      <c r="C3745" s="111"/>
      <c r="D3745" s="111"/>
      <c r="E3745" s="112"/>
    </row>
    <row r="3746" spans="1:5">
      <c r="A3746" s="110"/>
      <c r="B3746" s="111"/>
      <c r="C3746" s="111"/>
      <c r="D3746" s="111"/>
      <c r="E3746" s="112"/>
    </row>
    <row r="3747" spans="1:5">
      <c r="A3747" s="110"/>
      <c r="B3747" s="111"/>
      <c r="C3747" s="111"/>
      <c r="D3747" s="111"/>
      <c r="E3747" s="112"/>
    </row>
    <row r="3748" spans="1:5">
      <c r="A3748" s="110"/>
      <c r="B3748" s="111"/>
      <c r="C3748" s="111"/>
      <c r="D3748" s="111"/>
      <c r="E3748" s="112"/>
    </row>
    <row r="3749" spans="1:5">
      <c r="A3749" s="110"/>
      <c r="B3749" s="111"/>
      <c r="C3749" s="111"/>
      <c r="D3749" s="111"/>
      <c r="E3749" s="112"/>
    </row>
    <row r="3750" spans="1:5">
      <c r="A3750" s="110"/>
      <c r="B3750" s="111"/>
      <c r="C3750" s="111"/>
      <c r="D3750" s="111"/>
      <c r="E3750" s="112"/>
    </row>
    <row r="3751" spans="1:5">
      <c r="A3751" s="110"/>
      <c r="B3751" s="111"/>
      <c r="C3751" s="111"/>
      <c r="D3751" s="111"/>
      <c r="E3751" s="112"/>
    </row>
    <row r="3752" spans="1:5">
      <c r="A3752" s="110"/>
      <c r="B3752" s="111"/>
      <c r="C3752" s="111"/>
      <c r="D3752" s="111"/>
      <c r="E3752" s="112"/>
    </row>
    <row r="3753" spans="1:5">
      <c r="A3753" s="110"/>
      <c r="B3753" s="111"/>
      <c r="C3753" s="111"/>
      <c r="D3753" s="111"/>
      <c r="E3753" s="112"/>
    </row>
    <row r="3754" spans="1:5">
      <c r="A3754" s="110"/>
      <c r="B3754" s="111"/>
      <c r="C3754" s="111"/>
      <c r="D3754" s="111"/>
      <c r="E3754" s="112"/>
    </row>
    <row r="3755" spans="1:5">
      <c r="A3755" s="110"/>
      <c r="B3755" s="111"/>
      <c r="C3755" s="111"/>
      <c r="D3755" s="111"/>
      <c r="E3755" s="112"/>
    </row>
    <row r="3756" spans="1:5">
      <c r="A3756" s="110"/>
      <c r="B3756" s="111"/>
      <c r="C3756" s="111"/>
      <c r="D3756" s="111"/>
      <c r="E3756" s="112"/>
    </row>
    <row r="3757" spans="1:5">
      <c r="A3757" s="110"/>
      <c r="B3757" s="111"/>
      <c r="C3757" s="111"/>
      <c r="D3757" s="111"/>
      <c r="E3757" s="112"/>
    </row>
    <row r="3758" spans="1:5">
      <c r="A3758" s="110"/>
      <c r="B3758" s="111"/>
      <c r="C3758" s="111"/>
      <c r="D3758" s="111"/>
      <c r="E3758" s="112"/>
    </row>
    <row r="3759" spans="1:5">
      <c r="A3759" s="110"/>
      <c r="B3759" s="111"/>
      <c r="C3759" s="111"/>
      <c r="D3759" s="111"/>
      <c r="E3759" s="112"/>
    </row>
    <row r="3760" spans="1:5">
      <c r="A3760" s="110"/>
      <c r="B3760" s="111"/>
      <c r="C3760" s="111"/>
      <c r="D3760" s="111"/>
      <c r="E3760" s="112"/>
    </row>
    <row r="3761" spans="1:5">
      <c r="A3761" s="110"/>
      <c r="B3761" s="111"/>
      <c r="C3761" s="111"/>
      <c r="D3761" s="111"/>
      <c r="E3761" s="112"/>
    </row>
    <row r="3762" spans="1:5">
      <c r="A3762" s="110"/>
      <c r="B3762" s="111"/>
      <c r="C3762" s="111"/>
      <c r="D3762" s="111"/>
      <c r="E3762" s="112"/>
    </row>
    <row r="3763" spans="1:5">
      <c r="A3763" s="110"/>
      <c r="B3763" s="111"/>
      <c r="C3763" s="111"/>
      <c r="D3763" s="111"/>
      <c r="E3763" s="112"/>
    </row>
    <row r="3764" spans="1:5">
      <c r="A3764" s="110"/>
      <c r="B3764" s="111"/>
      <c r="C3764" s="111"/>
      <c r="D3764" s="111"/>
      <c r="E3764" s="112"/>
    </row>
    <row r="3765" spans="1:5">
      <c r="A3765" s="110"/>
      <c r="B3765" s="111"/>
      <c r="C3765" s="111"/>
      <c r="D3765" s="111"/>
      <c r="E3765" s="112"/>
    </row>
    <row r="3766" spans="1:5">
      <c r="A3766" s="110"/>
      <c r="B3766" s="111"/>
      <c r="C3766" s="111"/>
      <c r="D3766" s="111"/>
      <c r="E3766" s="112"/>
    </row>
    <row r="3767" spans="1:5">
      <c r="A3767" s="110"/>
      <c r="B3767" s="111"/>
      <c r="C3767" s="111"/>
      <c r="D3767" s="111"/>
      <c r="E3767" s="112"/>
    </row>
    <row r="3768" spans="1:5">
      <c r="A3768" s="110"/>
      <c r="B3768" s="111"/>
      <c r="C3768" s="111"/>
      <c r="D3768" s="111"/>
      <c r="E3768" s="112"/>
    </row>
    <row r="3769" spans="1:5">
      <c r="A3769" s="110"/>
      <c r="B3769" s="111"/>
      <c r="C3769" s="111"/>
      <c r="D3769" s="111"/>
      <c r="E3769" s="112"/>
    </row>
    <row r="3770" spans="1:5">
      <c r="A3770" s="110"/>
      <c r="B3770" s="111"/>
      <c r="C3770" s="111"/>
      <c r="D3770" s="111"/>
      <c r="E3770" s="112"/>
    </row>
    <row r="3771" spans="1:5">
      <c r="A3771" s="110"/>
      <c r="B3771" s="111"/>
      <c r="C3771" s="111"/>
      <c r="D3771" s="111"/>
      <c r="E3771" s="112"/>
    </row>
    <row r="3772" spans="1:5">
      <c r="A3772" s="110"/>
      <c r="B3772" s="111"/>
      <c r="C3772" s="111"/>
      <c r="D3772" s="111"/>
      <c r="E3772" s="112"/>
    </row>
    <row r="3773" spans="1:5">
      <c r="A3773" s="110"/>
      <c r="B3773" s="111"/>
      <c r="C3773" s="111"/>
      <c r="D3773" s="111"/>
      <c r="E3773" s="112"/>
    </row>
    <row r="3774" spans="1:5">
      <c r="A3774" s="110"/>
      <c r="B3774" s="111"/>
      <c r="C3774" s="111"/>
      <c r="D3774" s="111"/>
      <c r="E3774" s="112"/>
    </row>
    <row r="3775" spans="1:5">
      <c r="D3775" s="111"/>
      <c r="E3775" s="112"/>
    </row>
    <row r="3776" spans="1:5">
      <c r="D3776" s="111"/>
      <c r="E3776" s="112"/>
    </row>
    <row r="3777" spans="1:5">
      <c r="D3777" s="111"/>
      <c r="E3777" s="112"/>
    </row>
    <row r="3778" spans="1:5">
      <c r="D3778" s="111"/>
      <c r="E3778" s="112"/>
    </row>
    <row r="3779" spans="1:5">
      <c r="D3779" s="111"/>
      <c r="E3779" s="112"/>
    </row>
    <row r="3780" spans="1:5">
      <c r="D3780" s="111"/>
      <c r="E3780" s="112"/>
    </row>
    <row r="3781" spans="1:5">
      <c r="D3781" s="111"/>
      <c r="E3781" s="112"/>
    </row>
    <row r="3782" spans="1:5">
      <c r="A3782" s="110"/>
      <c r="B3782" s="111"/>
      <c r="C3782" s="111"/>
      <c r="D3782" s="111"/>
      <c r="E3782" s="112"/>
    </row>
    <row r="3783" spans="1:5">
      <c r="A3783" s="110"/>
      <c r="B3783" s="111"/>
      <c r="C3783" s="111"/>
      <c r="D3783" s="111"/>
      <c r="E3783" s="112"/>
    </row>
    <row r="3784" spans="1:5">
      <c r="A3784" s="110"/>
      <c r="B3784" s="111"/>
      <c r="C3784" s="111"/>
      <c r="D3784" s="111"/>
      <c r="E3784" s="112"/>
    </row>
    <row r="3785" spans="1:5">
      <c r="A3785" s="110"/>
      <c r="B3785" s="111"/>
      <c r="C3785" s="111"/>
      <c r="D3785" s="111"/>
      <c r="E3785" s="112"/>
    </row>
    <row r="3786" spans="1:5">
      <c r="A3786" s="110"/>
      <c r="B3786" s="111"/>
      <c r="C3786" s="111"/>
      <c r="D3786" s="111"/>
      <c r="E3786" s="112"/>
    </row>
    <row r="3787" spans="1:5">
      <c r="A3787" s="110"/>
      <c r="B3787" s="111"/>
      <c r="C3787" s="111"/>
      <c r="D3787" s="111"/>
      <c r="E3787" s="112"/>
    </row>
    <row r="3788" spans="1:5">
      <c r="A3788" s="110"/>
      <c r="B3788" s="111"/>
      <c r="C3788" s="111"/>
      <c r="D3788" s="111"/>
      <c r="E3788" s="112"/>
    </row>
    <row r="3789" spans="1:5">
      <c r="A3789" s="110"/>
      <c r="B3789" s="111"/>
      <c r="C3789" s="111"/>
      <c r="D3789" s="111"/>
      <c r="E3789" s="112"/>
    </row>
    <row r="3790" spans="1:5">
      <c r="A3790" s="110"/>
      <c r="B3790" s="111"/>
      <c r="C3790" s="111"/>
      <c r="D3790" s="111"/>
      <c r="E3790" s="112"/>
    </row>
    <row r="3791" spans="1:5">
      <c r="A3791" s="110"/>
      <c r="B3791" s="111"/>
      <c r="C3791" s="111"/>
      <c r="D3791" s="111"/>
      <c r="E3791" s="112"/>
    </row>
    <row r="3792" spans="1:5">
      <c r="A3792" s="110"/>
      <c r="B3792" s="111"/>
      <c r="C3792" s="111"/>
      <c r="D3792" s="111"/>
      <c r="E3792" s="112"/>
    </row>
    <row r="3793" spans="1:5">
      <c r="A3793" s="110"/>
      <c r="B3793" s="111"/>
      <c r="C3793" s="111"/>
      <c r="D3793" s="111"/>
      <c r="E3793" s="112"/>
    </row>
    <row r="3794" spans="1:5">
      <c r="A3794" s="110"/>
      <c r="B3794" s="111"/>
      <c r="C3794" s="111"/>
      <c r="D3794" s="111"/>
      <c r="E3794" s="112"/>
    </row>
    <row r="3795" spans="1:5">
      <c r="A3795" s="110"/>
      <c r="B3795" s="111"/>
      <c r="C3795" s="111"/>
      <c r="D3795" s="111"/>
      <c r="E3795" s="112"/>
    </row>
    <row r="3796" spans="1:5">
      <c r="A3796" s="110"/>
      <c r="B3796" s="111"/>
      <c r="C3796" s="111"/>
      <c r="D3796" s="111"/>
      <c r="E3796" s="112"/>
    </row>
    <row r="3797" spans="1:5">
      <c r="A3797" s="110"/>
      <c r="B3797" s="111"/>
      <c r="C3797" s="111"/>
      <c r="D3797" s="111"/>
      <c r="E3797" s="112"/>
    </row>
    <row r="3798" spans="1:5">
      <c r="A3798" s="110"/>
      <c r="B3798" s="111"/>
      <c r="C3798" s="111"/>
      <c r="D3798" s="111"/>
      <c r="E3798" s="112"/>
    </row>
    <row r="3799" spans="1:5">
      <c r="A3799" s="110"/>
      <c r="B3799" s="111"/>
      <c r="C3799" s="111"/>
      <c r="D3799" s="111"/>
      <c r="E3799" s="112"/>
    </row>
    <row r="3800" spans="1:5">
      <c r="A3800" s="110"/>
      <c r="B3800" s="111"/>
      <c r="C3800" s="111"/>
      <c r="D3800" s="111"/>
      <c r="E3800" s="112"/>
    </row>
    <row r="3801" spans="1:5">
      <c r="A3801" s="110"/>
      <c r="B3801" s="111"/>
      <c r="C3801" s="111"/>
      <c r="D3801" s="111"/>
      <c r="E3801" s="112"/>
    </row>
    <row r="3802" spans="1:5">
      <c r="A3802" s="110"/>
      <c r="B3802" s="111"/>
      <c r="C3802" s="111"/>
      <c r="D3802" s="111"/>
      <c r="E3802" s="112"/>
    </row>
    <row r="3803" spans="1:5">
      <c r="D3803" s="111"/>
      <c r="E3803" s="112"/>
    </row>
    <row r="3804" spans="1:5">
      <c r="D3804" s="111"/>
      <c r="E3804" s="112"/>
    </row>
    <row r="3805" spans="1:5">
      <c r="D3805" s="111"/>
      <c r="E3805" s="112"/>
    </row>
    <row r="3806" spans="1:5">
      <c r="D3806" s="111"/>
      <c r="E3806" s="112"/>
    </row>
    <row r="3807" spans="1:5">
      <c r="D3807" s="111"/>
      <c r="E3807" s="112"/>
    </row>
    <row r="3808" spans="1:5">
      <c r="D3808" s="111"/>
      <c r="E3808" s="112"/>
    </row>
    <row r="3809" spans="1:5">
      <c r="D3809" s="111"/>
      <c r="E3809" s="112"/>
    </row>
    <row r="3810" spans="1:5">
      <c r="D3810" s="111"/>
      <c r="E3810" s="112"/>
    </row>
    <row r="3811" spans="1:5">
      <c r="E3811" s="112"/>
    </row>
    <row r="3812" spans="1:5">
      <c r="E3812" s="112"/>
    </row>
    <row r="3813" spans="1:5">
      <c r="E3813" s="112"/>
    </row>
    <row r="3814" spans="1:5">
      <c r="E3814" s="112"/>
    </row>
    <row r="3815" spans="1:5">
      <c r="E3815" s="112"/>
    </row>
    <row r="3816" spans="1:5">
      <c r="E3816" s="112"/>
    </row>
    <row r="3817" spans="1:5">
      <c r="E3817" s="112"/>
    </row>
    <row r="3818" spans="1:5">
      <c r="E3818" s="112"/>
    </row>
    <row r="3819" spans="1:5">
      <c r="E3819" s="112"/>
    </row>
    <row r="3820" spans="1:5">
      <c r="E3820" s="112"/>
    </row>
    <row r="3821" spans="1:5">
      <c r="A3821" s="110"/>
      <c r="B3821" s="111"/>
      <c r="C3821" s="111"/>
      <c r="D3821" s="111"/>
      <c r="E3821" s="112"/>
    </row>
    <row r="3822" spans="1:5">
      <c r="A3822" s="110"/>
      <c r="B3822" s="111"/>
      <c r="C3822" s="111"/>
      <c r="D3822" s="111"/>
      <c r="E3822" s="112"/>
    </row>
    <row r="3823" spans="1:5">
      <c r="A3823" s="110"/>
      <c r="B3823" s="111"/>
      <c r="C3823" s="111"/>
      <c r="D3823" s="111"/>
      <c r="E3823" s="112"/>
    </row>
    <row r="3824" spans="1:5">
      <c r="A3824" s="110"/>
      <c r="B3824" s="111"/>
      <c r="C3824" s="111"/>
      <c r="D3824" s="111"/>
      <c r="E3824" s="112"/>
    </row>
    <row r="3825" spans="1:5">
      <c r="A3825" s="110"/>
      <c r="B3825" s="111"/>
      <c r="C3825" s="111"/>
      <c r="D3825" s="111"/>
      <c r="E3825" s="112"/>
    </row>
    <row r="3826" spans="1:5">
      <c r="A3826" s="110"/>
      <c r="B3826" s="111"/>
      <c r="C3826" s="111"/>
      <c r="D3826" s="111"/>
      <c r="E3826" s="112"/>
    </row>
    <row r="3827" spans="1:5">
      <c r="A3827" s="110"/>
      <c r="B3827" s="111"/>
      <c r="C3827" s="111"/>
      <c r="D3827" s="111"/>
      <c r="E3827" s="112"/>
    </row>
    <row r="3828" spans="1:5">
      <c r="A3828" s="110"/>
      <c r="B3828" s="111"/>
      <c r="C3828" s="111"/>
      <c r="D3828" s="111"/>
      <c r="E3828" s="112"/>
    </row>
    <row r="3829" spans="1:5">
      <c r="A3829" s="110"/>
      <c r="B3829" s="111"/>
      <c r="C3829" s="111"/>
      <c r="D3829" s="111"/>
      <c r="E3829" s="112"/>
    </row>
    <row r="3830" spans="1:5">
      <c r="A3830" s="110"/>
      <c r="B3830" s="111"/>
      <c r="C3830" s="111"/>
      <c r="D3830" s="111"/>
      <c r="E3830" s="112"/>
    </row>
    <row r="3831" spans="1:5">
      <c r="A3831" s="110"/>
      <c r="B3831" s="111"/>
      <c r="C3831" s="111"/>
      <c r="D3831" s="111"/>
      <c r="E3831" s="112"/>
    </row>
    <row r="3832" spans="1:5">
      <c r="A3832" s="110"/>
      <c r="B3832" s="111"/>
      <c r="C3832" s="111"/>
      <c r="D3832" s="111"/>
      <c r="E3832" s="112"/>
    </row>
    <row r="3833" spans="1:5">
      <c r="A3833" s="110"/>
      <c r="B3833" s="111"/>
      <c r="C3833" s="111"/>
      <c r="D3833" s="111"/>
      <c r="E3833" s="112"/>
    </row>
    <row r="3834" spans="1:5">
      <c r="A3834" s="110"/>
      <c r="B3834" s="111"/>
      <c r="C3834" s="111"/>
      <c r="D3834" s="111"/>
      <c r="E3834" s="112"/>
    </row>
    <row r="3835" spans="1:5">
      <c r="A3835" s="110"/>
      <c r="B3835" s="111"/>
      <c r="C3835" s="111"/>
      <c r="D3835" s="111"/>
      <c r="E3835" s="112"/>
    </row>
    <row r="3836" spans="1:5">
      <c r="A3836" s="110"/>
      <c r="B3836" s="111"/>
      <c r="C3836" s="111"/>
      <c r="D3836" s="111"/>
      <c r="E3836" s="112"/>
    </row>
    <row r="3837" spans="1:5">
      <c r="A3837" s="110"/>
      <c r="B3837" s="111"/>
      <c r="C3837" s="111"/>
      <c r="D3837" s="111"/>
      <c r="E3837" s="112"/>
    </row>
    <row r="3838" spans="1:5">
      <c r="A3838" s="110"/>
      <c r="B3838" s="111"/>
      <c r="C3838" s="111"/>
      <c r="D3838" s="111"/>
      <c r="E3838" s="112"/>
    </row>
    <row r="3839" spans="1:5">
      <c r="A3839" s="110"/>
      <c r="B3839" s="111"/>
      <c r="C3839" s="111"/>
      <c r="D3839" s="111"/>
      <c r="E3839" s="112"/>
    </row>
    <row r="3840" spans="1:5">
      <c r="A3840" s="110"/>
      <c r="B3840" s="111"/>
      <c r="C3840" s="111"/>
      <c r="D3840" s="111"/>
      <c r="E3840" s="112"/>
    </row>
    <row r="3841" spans="1:5">
      <c r="A3841" s="110"/>
      <c r="B3841" s="111"/>
      <c r="C3841" s="111"/>
      <c r="D3841" s="111"/>
      <c r="E3841" s="112"/>
    </row>
    <row r="3842" spans="1:5">
      <c r="A3842" s="110"/>
      <c r="B3842" s="111"/>
      <c r="C3842" s="111"/>
      <c r="D3842" s="111"/>
      <c r="E3842" s="112"/>
    </row>
    <row r="3843" spans="1:5">
      <c r="A3843" s="110"/>
      <c r="B3843" s="111"/>
      <c r="C3843" s="111"/>
      <c r="D3843" s="111"/>
      <c r="E3843" s="112"/>
    </row>
    <row r="3844" spans="1:5">
      <c r="A3844" s="110"/>
      <c r="B3844" s="111"/>
      <c r="C3844" s="111"/>
      <c r="D3844" s="111"/>
      <c r="E3844" s="112"/>
    </row>
    <row r="3845" spans="1:5">
      <c r="A3845" s="110"/>
      <c r="B3845" s="111"/>
      <c r="C3845" s="111"/>
      <c r="D3845" s="111"/>
      <c r="E3845" s="112"/>
    </row>
    <row r="3846" spans="1:5">
      <c r="A3846" s="110"/>
      <c r="B3846" s="111"/>
      <c r="C3846" s="111"/>
      <c r="D3846" s="111"/>
      <c r="E3846" s="112"/>
    </row>
    <row r="3847" spans="1:5">
      <c r="A3847" s="110"/>
      <c r="B3847" s="111"/>
      <c r="C3847" s="111"/>
      <c r="D3847" s="111"/>
      <c r="E3847" s="112"/>
    </row>
    <row r="3848" spans="1:5">
      <c r="A3848" s="110"/>
      <c r="B3848" s="111"/>
      <c r="C3848" s="111"/>
      <c r="D3848" s="111"/>
      <c r="E3848" s="112"/>
    </row>
    <row r="3849" spans="1:5">
      <c r="A3849" s="110"/>
      <c r="B3849" s="111"/>
      <c r="C3849" s="111"/>
      <c r="D3849" s="111"/>
      <c r="E3849" s="112"/>
    </row>
    <row r="3850" spans="1:5">
      <c r="A3850" s="110"/>
      <c r="B3850" s="111"/>
      <c r="C3850" s="111"/>
      <c r="D3850" s="111"/>
      <c r="E3850" s="112"/>
    </row>
    <row r="3851" spans="1:5">
      <c r="A3851" s="110"/>
      <c r="B3851" s="111"/>
      <c r="C3851" s="111"/>
      <c r="D3851" s="111"/>
      <c r="E3851" s="112"/>
    </row>
    <row r="3852" spans="1:5">
      <c r="A3852" s="110"/>
      <c r="B3852" s="111"/>
      <c r="C3852" s="111"/>
      <c r="D3852" s="111"/>
      <c r="E3852" s="112"/>
    </row>
    <row r="3853" spans="1:5">
      <c r="A3853" s="110"/>
      <c r="B3853" s="111"/>
      <c r="C3853" s="111"/>
      <c r="D3853" s="111"/>
      <c r="E3853" s="112"/>
    </row>
    <row r="3854" spans="1:5">
      <c r="A3854" s="110"/>
      <c r="B3854" s="111"/>
      <c r="C3854" s="111"/>
      <c r="D3854" s="111"/>
      <c r="E3854" s="112"/>
    </row>
    <row r="3855" spans="1:5">
      <c r="A3855" s="110"/>
      <c r="B3855" s="111"/>
      <c r="C3855" s="111"/>
      <c r="D3855" s="111"/>
      <c r="E3855" s="112"/>
    </row>
    <row r="3856" spans="1:5">
      <c r="A3856" s="110"/>
      <c r="B3856" s="111"/>
      <c r="C3856" s="111"/>
      <c r="D3856" s="111"/>
      <c r="E3856" s="112"/>
    </row>
    <row r="3857" spans="1:5">
      <c r="A3857" s="110"/>
      <c r="B3857" s="111"/>
      <c r="C3857" s="111"/>
      <c r="D3857" s="111"/>
      <c r="E3857" s="112"/>
    </row>
    <row r="3858" spans="1:5">
      <c r="A3858" s="110"/>
      <c r="B3858" s="111"/>
      <c r="C3858" s="111"/>
      <c r="D3858" s="111"/>
      <c r="E3858" s="112"/>
    </row>
    <row r="3859" spans="1:5">
      <c r="A3859" s="110"/>
      <c r="B3859" s="111"/>
      <c r="C3859" s="111"/>
      <c r="D3859" s="111"/>
      <c r="E3859" s="112"/>
    </row>
    <row r="3860" spans="1:5">
      <c r="A3860" s="110"/>
      <c r="B3860" s="111"/>
      <c r="C3860" s="111"/>
      <c r="D3860" s="111"/>
      <c r="E3860" s="112"/>
    </row>
    <row r="3861" spans="1:5">
      <c r="A3861" s="110"/>
      <c r="B3861" s="111"/>
      <c r="C3861" s="111"/>
      <c r="D3861" s="111"/>
      <c r="E3861" s="112"/>
    </row>
    <row r="3862" spans="1:5">
      <c r="A3862" s="110"/>
      <c r="B3862" s="111"/>
      <c r="C3862" s="111"/>
      <c r="D3862" s="111"/>
      <c r="E3862" s="112"/>
    </row>
    <row r="3863" spans="1:5">
      <c r="A3863" s="110"/>
      <c r="B3863" s="111"/>
      <c r="C3863" s="111"/>
      <c r="D3863" s="111"/>
      <c r="E3863" s="112"/>
    </row>
    <row r="3864" spans="1:5">
      <c r="A3864" s="110"/>
      <c r="B3864" s="111"/>
      <c r="C3864" s="111"/>
      <c r="D3864" s="111"/>
      <c r="E3864" s="112"/>
    </row>
    <row r="3865" spans="1:5">
      <c r="A3865" s="110"/>
      <c r="B3865" s="111"/>
      <c r="C3865" s="111"/>
      <c r="D3865" s="111"/>
      <c r="E3865" s="112"/>
    </row>
    <row r="3866" spans="1:5">
      <c r="A3866" s="110"/>
      <c r="B3866" s="111"/>
      <c r="C3866" s="111"/>
      <c r="D3866" s="111"/>
      <c r="E3866" s="112"/>
    </row>
    <row r="3867" spans="1:5">
      <c r="A3867" s="110"/>
      <c r="B3867" s="111"/>
      <c r="C3867" s="111"/>
      <c r="D3867" s="111"/>
      <c r="E3867" s="112"/>
    </row>
    <row r="3868" spans="1:5">
      <c r="A3868" s="110"/>
      <c r="B3868" s="111"/>
      <c r="C3868" s="111"/>
      <c r="D3868" s="111"/>
      <c r="E3868" s="112"/>
    </row>
    <row r="3869" spans="1:5">
      <c r="A3869" s="110"/>
      <c r="B3869" s="111"/>
      <c r="C3869" s="111"/>
      <c r="D3869" s="111"/>
      <c r="E3869" s="112"/>
    </row>
    <row r="3870" spans="1:5">
      <c r="A3870" s="110"/>
      <c r="B3870" s="111"/>
      <c r="C3870" s="111"/>
      <c r="D3870" s="111"/>
      <c r="E3870" s="112"/>
    </row>
    <row r="3871" spans="1:5">
      <c r="A3871" s="110"/>
      <c r="B3871" s="111"/>
      <c r="C3871" s="111"/>
      <c r="D3871" s="111"/>
      <c r="E3871" s="112"/>
    </row>
    <row r="3872" spans="1:5">
      <c r="A3872" s="110"/>
      <c r="B3872" s="111"/>
      <c r="C3872" s="111"/>
      <c r="D3872" s="111"/>
      <c r="E3872" s="112"/>
    </row>
    <row r="3873" spans="1:5">
      <c r="A3873" s="110"/>
      <c r="B3873" s="111"/>
      <c r="C3873" s="111"/>
      <c r="D3873" s="111"/>
      <c r="E3873" s="112"/>
    </row>
    <row r="3874" spans="1:5">
      <c r="A3874" s="110"/>
      <c r="B3874" s="111"/>
      <c r="C3874" s="111"/>
      <c r="D3874" s="111"/>
      <c r="E3874" s="112"/>
    </row>
    <row r="3875" spans="1:5">
      <c r="A3875" s="110"/>
      <c r="B3875" s="111"/>
      <c r="C3875" s="111"/>
      <c r="D3875" s="111"/>
      <c r="E3875" s="112"/>
    </row>
    <row r="3876" spans="1:5">
      <c r="A3876" s="110"/>
      <c r="B3876" s="111"/>
      <c r="C3876" s="111"/>
      <c r="D3876" s="111"/>
      <c r="E3876" s="112"/>
    </row>
    <row r="3877" spans="1:5">
      <c r="A3877" s="110"/>
      <c r="B3877" s="111"/>
      <c r="C3877" s="111"/>
      <c r="D3877" s="111"/>
      <c r="E3877" s="112"/>
    </row>
    <row r="3878" spans="1:5">
      <c r="A3878" s="110"/>
      <c r="B3878" s="111"/>
      <c r="C3878" s="111"/>
      <c r="D3878" s="111"/>
      <c r="E3878" s="112"/>
    </row>
    <row r="3879" spans="1:5">
      <c r="A3879" s="110"/>
      <c r="B3879" s="111"/>
      <c r="C3879" s="111"/>
      <c r="D3879" s="111"/>
      <c r="E3879" s="112"/>
    </row>
    <row r="3880" spans="1:5">
      <c r="A3880" s="110"/>
      <c r="B3880" s="111"/>
      <c r="C3880" s="111"/>
      <c r="D3880" s="111"/>
      <c r="E3880" s="112"/>
    </row>
    <row r="3881" spans="1:5">
      <c r="A3881" s="110"/>
      <c r="B3881" s="111"/>
      <c r="C3881" s="111"/>
      <c r="D3881" s="111"/>
      <c r="E3881" s="112"/>
    </row>
    <row r="3882" spans="1:5">
      <c r="A3882" s="110"/>
      <c r="B3882" s="111"/>
      <c r="C3882" s="111"/>
      <c r="D3882" s="111"/>
      <c r="E3882" s="112"/>
    </row>
    <row r="3883" spans="1:5">
      <c r="A3883" s="110"/>
      <c r="B3883" s="111"/>
      <c r="C3883" s="111"/>
      <c r="D3883" s="111"/>
      <c r="E3883" s="112"/>
    </row>
    <row r="3884" spans="1:5">
      <c r="A3884" s="110"/>
      <c r="B3884" s="111"/>
      <c r="C3884" s="111"/>
      <c r="D3884" s="111"/>
      <c r="E3884" s="112"/>
    </row>
    <row r="3885" spans="1:5">
      <c r="A3885" s="110"/>
      <c r="B3885" s="111"/>
      <c r="C3885" s="111"/>
      <c r="D3885" s="111"/>
      <c r="E3885" s="112"/>
    </row>
    <row r="3886" spans="1:5">
      <c r="A3886" s="110"/>
      <c r="B3886" s="111"/>
      <c r="C3886" s="111"/>
      <c r="D3886" s="111"/>
      <c r="E3886" s="112"/>
    </row>
    <row r="3887" spans="1:5">
      <c r="A3887" s="110"/>
      <c r="B3887" s="111"/>
      <c r="C3887" s="111"/>
      <c r="D3887" s="111"/>
      <c r="E3887" s="112"/>
    </row>
    <row r="3888" spans="1:5">
      <c r="A3888" s="110"/>
      <c r="B3888" s="111"/>
      <c r="C3888" s="111"/>
      <c r="D3888" s="111"/>
      <c r="E3888" s="112"/>
    </row>
    <row r="3889" spans="1:5">
      <c r="A3889" s="110"/>
      <c r="B3889" s="111"/>
      <c r="C3889" s="111"/>
      <c r="D3889" s="111"/>
      <c r="E3889" s="112"/>
    </row>
    <row r="3890" spans="1:5">
      <c r="A3890" s="110"/>
      <c r="B3890" s="111"/>
      <c r="C3890" s="111"/>
      <c r="D3890" s="111"/>
      <c r="E3890" s="112"/>
    </row>
    <row r="3891" spans="1:5">
      <c r="A3891" s="110"/>
      <c r="B3891" s="111"/>
      <c r="C3891" s="111"/>
      <c r="D3891" s="111"/>
      <c r="E3891" s="112"/>
    </row>
    <row r="3892" spans="1:5">
      <c r="A3892" s="110"/>
      <c r="B3892" s="111"/>
      <c r="C3892" s="111"/>
      <c r="D3892" s="111"/>
      <c r="E3892" s="112"/>
    </row>
    <row r="3893" spans="1:5">
      <c r="A3893" s="110"/>
      <c r="B3893" s="111"/>
      <c r="C3893" s="111"/>
      <c r="D3893" s="111"/>
      <c r="E3893" s="112"/>
    </row>
    <row r="3894" spans="1:5">
      <c r="A3894" s="110"/>
      <c r="B3894" s="111"/>
      <c r="C3894" s="111"/>
      <c r="D3894" s="111"/>
      <c r="E3894" s="112"/>
    </row>
    <row r="3895" spans="1:5">
      <c r="A3895" s="110"/>
      <c r="B3895" s="111"/>
      <c r="C3895" s="111"/>
      <c r="D3895" s="111"/>
      <c r="E3895" s="112"/>
    </row>
    <row r="3896" spans="1:5">
      <c r="A3896" s="110"/>
      <c r="B3896" s="111"/>
      <c r="C3896" s="111"/>
      <c r="D3896" s="111"/>
      <c r="E3896" s="112"/>
    </row>
    <row r="3897" spans="1:5">
      <c r="A3897" s="110"/>
      <c r="B3897" s="111"/>
      <c r="C3897" s="111"/>
      <c r="D3897" s="111"/>
      <c r="E3897" s="112"/>
    </row>
    <row r="3898" spans="1:5">
      <c r="A3898" s="110"/>
      <c r="B3898" s="111"/>
      <c r="C3898" s="111"/>
      <c r="D3898" s="111"/>
      <c r="E3898" s="112"/>
    </row>
    <row r="3899" spans="1:5">
      <c r="A3899" s="110"/>
      <c r="B3899" s="111"/>
      <c r="C3899" s="111"/>
      <c r="D3899" s="111"/>
      <c r="E3899" s="112"/>
    </row>
    <row r="3900" spans="1:5">
      <c r="A3900" s="110"/>
      <c r="B3900" s="111"/>
      <c r="C3900" s="111"/>
      <c r="D3900" s="111"/>
      <c r="E3900" s="112"/>
    </row>
    <row r="3901" spans="1:5">
      <c r="A3901" s="110"/>
      <c r="B3901" s="111"/>
      <c r="C3901" s="111"/>
      <c r="D3901" s="111"/>
      <c r="E3901" s="112"/>
    </row>
    <row r="3902" spans="1:5">
      <c r="A3902" s="110"/>
      <c r="B3902" s="111"/>
      <c r="C3902" s="111"/>
      <c r="D3902" s="111"/>
      <c r="E3902" s="112"/>
    </row>
    <row r="3903" spans="1:5">
      <c r="A3903" s="110"/>
      <c r="B3903" s="111"/>
      <c r="C3903" s="111"/>
      <c r="D3903" s="111"/>
      <c r="E3903" s="112"/>
    </row>
    <row r="3904" spans="1:5">
      <c r="A3904" s="110"/>
      <c r="B3904" s="111"/>
      <c r="C3904" s="111"/>
      <c r="D3904" s="111"/>
      <c r="E3904" s="112"/>
    </row>
    <row r="3905" spans="1:5">
      <c r="A3905" s="110"/>
      <c r="B3905" s="111"/>
      <c r="C3905" s="111"/>
      <c r="D3905" s="111"/>
      <c r="E3905" s="112"/>
    </row>
    <row r="3906" spans="1:5">
      <c r="A3906" s="110"/>
      <c r="B3906" s="111"/>
      <c r="C3906" s="111"/>
      <c r="D3906" s="111"/>
      <c r="E3906" s="112"/>
    </row>
    <row r="3907" spans="1:5">
      <c r="A3907" s="110"/>
      <c r="B3907" s="111"/>
      <c r="C3907" s="111"/>
      <c r="D3907" s="111"/>
      <c r="E3907" s="112"/>
    </row>
    <row r="3908" spans="1:5">
      <c r="A3908" s="110"/>
      <c r="B3908" s="111"/>
      <c r="C3908" s="111"/>
      <c r="D3908" s="111"/>
      <c r="E3908" s="112"/>
    </row>
    <row r="3909" spans="1:5">
      <c r="A3909" s="110"/>
      <c r="B3909" s="111"/>
      <c r="C3909" s="111"/>
      <c r="D3909" s="111"/>
      <c r="E3909" s="112"/>
    </row>
    <row r="3910" spans="1:5">
      <c r="A3910" s="110"/>
      <c r="B3910" s="111"/>
      <c r="C3910" s="111"/>
      <c r="D3910" s="111"/>
      <c r="E3910" s="112"/>
    </row>
    <row r="3911" spans="1:5">
      <c r="A3911" s="110"/>
      <c r="B3911" s="111"/>
      <c r="C3911" s="111"/>
      <c r="D3911" s="111"/>
      <c r="E3911" s="112"/>
    </row>
    <row r="3912" spans="1:5">
      <c r="A3912" s="110"/>
      <c r="B3912" s="111"/>
      <c r="C3912" s="111"/>
      <c r="D3912" s="111"/>
      <c r="E3912" s="112"/>
    </row>
    <row r="3913" spans="1:5">
      <c r="A3913" s="110"/>
      <c r="B3913" s="111"/>
      <c r="C3913" s="111"/>
      <c r="D3913" s="111"/>
      <c r="E3913" s="112"/>
    </row>
    <row r="3914" spans="1:5">
      <c r="A3914" s="110"/>
      <c r="B3914" s="111"/>
      <c r="C3914" s="111"/>
      <c r="D3914" s="111"/>
      <c r="E3914" s="112"/>
    </row>
    <row r="3915" spans="1:5">
      <c r="A3915" s="110"/>
      <c r="B3915" s="111"/>
      <c r="C3915" s="111"/>
      <c r="D3915" s="111"/>
      <c r="E3915" s="112"/>
    </row>
    <row r="3916" spans="1:5">
      <c r="A3916" s="110"/>
      <c r="B3916" s="111"/>
      <c r="C3916" s="111"/>
      <c r="D3916" s="111"/>
      <c r="E3916" s="112"/>
    </row>
    <row r="3917" spans="1:5">
      <c r="A3917" s="110"/>
      <c r="B3917" s="111"/>
      <c r="C3917" s="111"/>
      <c r="D3917" s="111"/>
      <c r="E3917" s="112"/>
    </row>
    <row r="3918" spans="1:5">
      <c r="A3918" s="110"/>
      <c r="B3918" s="111"/>
      <c r="C3918" s="111"/>
      <c r="D3918" s="111"/>
      <c r="E3918" s="112"/>
    </row>
    <row r="3919" spans="1:5">
      <c r="A3919" s="110"/>
      <c r="B3919" s="111"/>
      <c r="C3919" s="111"/>
      <c r="D3919" s="111"/>
      <c r="E3919" s="112"/>
    </row>
    <row r="3920" spans="1:5">
      <c r="A3920" s="110"/>
      <c r="B3920" s="111"/>
      <c r="C3920" s="111"/>
      <c r="D3920" s="111"/>
      <c r="E3920" s="112"/>
    </row>
    <row r="3921" spans="1:5">
      <c r="A3921" s="110"/>
      <c r="B3921" s="111"/>
      <c r="C3921" s="111"/>
      <c r="D3921" s="111"/>
      <c r="E3921" s="112"/>
    </row>
    <row r="3922" spans="1:5">
      <c r="A3922" s="110"/>
      <c r="B3922" s="111"/>
      <c r="C3922" s="111"/>
      <c r="D3922" s="111"/>
      <c r="E3922" s="112"/>
    </row>
    <row r="3923" spans="1:5">
      <c r="A3923" s="110"/>
      <c r="B3923" s="111"/>
      <c r="C3923" s="111"/>
      <c r="D3923" s="111"/>
      <c r="E3923" s="112"/>
    </row>
    <row r="3924" spans="1:5">
      <c r="A3924" s="110"/>
      <c r="B3924" s="111"/>
      <c r="C3924" s="111"/>
      <c r="D3924" s="111"/>
      <c r="E3924" s="112"/>
    </row>
    <row r="3925" spans="1:5">
      <c r="A3925" s="110"/>
      <c r="B3925" s="111"/>
      <c r="C3925" s="111"/>
      <c r="D3925" s="111"/>
      <c r="E3925" s="112"/>
    </row>
    <row r="3926" spans="1:5">
      <c r="A3926" s="110"/>
      <c r="B3926" s="111"/>
      <c r="C3926" s="111"/>
      <c r="D3926" s="111"/>
      <c r="E3926" s="112"/>
    </row>
    <row r="3927" spans="1:5">
      <c r="A3927" s="110"/>
      <c r="B3927" s="111"/>
      <c r="C3927" s="111"/>
      <c r="D3927" s="111"/>
      <c r="E3927" s="112"/>
    </row>
    <row r="3928" spans="1:5">
      <c r="A3928" s="110"/>
      <c r="B3928" s="111"/>
      <c r="C3928" s="111"/>
      <c r="D3928" s="111"/>
      <c r="E3928" s="112"/>
    </row>
    <row r="3929" spans="1:5">
      <c r="A3929" s="110"/>
      <c r="B3929" s="111"/>
      <c r="C3929" s="111"/>
      <c r="D3929" s="111"/>
      <c r="E3929" s="112"/>
    </row>
    <row r="3930" spans="1:5">
      <c r="A3930" s="110"/>
      <c r="B3930" s="111"/>
      <c r="C3930" s="111"/>
      <c r="D3930" s="111"/>
      <c r="E3930" s="112"/>
    </row>
    <row r="3931" spans="1:5">
      <c r="A3931" s="110"/>
      <c r="B3931" s="111"/>
      <c r="C3931" s="111"/>
      <c r="D3931" s="111"/>
      <c r="E3931" s="112"/>
    </row>
    <row r="3932" spans="1:5">
      <c r="A3932" s="110"/>
      <c r="B3932" s="111"/>
      <c r="C3932" s="111"/>
      <c r="D3932" s="111"/>
      <c r="E3932" s="112"/>
    </row>
    <row r="3933" spans="1:5">
      <c r="A3933" s="110"/>
      <c r="B3933" s="111"/>
      <c r="C3933" s="111"/>
      <c r="D3933" s="111"/>
      <c r="E3933" s="112"/>
    </row>
    <row r="3934" spans="1:5">
      <c r="A3934" s="110"/>
      <c r="B3934" s="111"/>
      <c r="C3934" s="111"/>
      <c r="D3934" s="111"/>
      <c r="E3934" s="112"/>
    </row>
    <row r="3935" spans="1:5">
      <c r="A3935" s="110"/>
      <c r="B3935" s="111"/>
      <c r="C3935" s="111"/>
      <c r="D3935" s="111"/>
      <c r="E3935" s="112"/>
    </row>
    <row r="3936" spans="1:5">
      <c r="A3936" s="110"/>
      <c r="B3936" s="111"/>
      <c r="C3936" s="111"/>
      <c r="D3936" s="111"/>
      <c r="E3936" s="112"/>
    </row>
    <row r="3937" spans="1:5">
      <c r="A3937" s="110"/>
      <c r="B3937" s="111"/>
      <c r="C3937" s="111"/>
      <c r="D3937" s="111"/>
      <c r="E3937" s="112"/>
    </row>
    <row r="3938" spans="1:5">
      <c r="A3938" s="110"/>
      <c r="B3938" s="111"/>
      <c r="C3938" s="111"/>
      <c r="D3938" s="111"/>
      <c r="E3938" s="112"/>
    </row>
    <row r="3939" spans="1:5">
      <c r="A3939" s="110"/>
      <c r="B3939" s="111"/>
      <c r="C3939" s="111"/>
      <c r="D3939" s="111"/>
      <c r="E3939" s="112"/>
    </row>
    <row r="3940" spans="1:5">
      <c r="A3940" s="110"/>
      <c r="B3940" s="111"/>
      <c r="C3940" s="111"/>
      <c r="D3940" s="111"/>
      <c r="E3940" s="112"/>
    </row>
    <row r="3941" spans="1:5">
      <c r="A3941" s="110"/>
      <c r="B3941" s="111"/>
      <c r="C3941" s="111"/>
      <c r="D3941" s="111"/>
      <c r="E3941" s="112"/>
    </row>
    <row r="3942" spans="1:5">
      <c r="A3942" s="110"/>
      <c r="B3942" s="111"/>
      <c r="C3942" s="111"/>
      <c r="D3942" s="111"/>
      <c r="E3942" s="112"/>
    </row>
    <row r="3943" spans="1:5">
      <c r="A3943" s="110"/>
      <c r="B3943" s="111"/>
      <c r="C3943" s="111"/>
      <c r="D3943" s="111"/>
      <c r="E3943" s="112"/>
    </row>
    <row r="3944" spans="1:5">
      <c r="A3944" s="110"/>
      <c r="D3944" s="111"/>
      <c r="E3944" s="112"/>
    </row>
    <row r="3945" spans="1:5">
      <c r="A3945" s="110"/>
      <c r="D3945" s="111"/>
      <c r="E3945" s="112"/>
    </row>
    <row r="3946" spans="1:5">
      <c r="A3946" s="110"/>
      <c r="D3946" s="111"/>
      <c r="E3946" s="112"/>
    </row>
    <row r="3947" spans="1:5">
      <c r="A3947" s="110"/>
      <c r="D3947" s="111"/>
      <c r="E3947" s="112"/>
    </row>
    <row r="3948" spans="1:5">
      <c r="A3948" s="110"/>
      <c r="D3948" s="111"/>
      <c r="E3948" s="112"/>
    </row>
    <row r="3949" spans="1:5">
      <c r="A3949" s="110"/>
      <c r="D3949" s="111"/>
      <c r="E3949" s="112"/>
    </row>
    <row r="3950" spans="1:5">
      <c r="A3950" s="110"/>
      <c r="D3950" s="111"/>
      <c r="E3950" s="112"/>
    </row>
    <row r="3951" spans="1:5">
      <c r="A3951" s="110"/>
      <c r="D3951" s="111"/>
      <c r="E3951" s="112"/>
    </row>
    <row r="3952" spans="1:5">
      <c r="A3952" s="110"/>
      <c r="D3952" s="111"/>
      <c r="E3952" s="112"/>
    </row>
    <row r="3953" spans="1:5">
      <c r="A3953" s="110"/>
      <c r="D3953" s="111"/>
      <c r="E3953" s="112"/>
    </row>
    <row r="3954" spans="1:5">
      <c r="A3954" s="110"/>
      <c r="D3954" s="111"/>
      <c r="E3954" s="112"/>
    </row>
    <row r="3955" spans="1:5">
      <c r="A3955" s="110"/>
      <c r="D3955" s="111"/>
      <c r="E3955" s="112"/>
    </row>
    <row r="3956" spans="1:5">
      <c r="A3956" s="110"/>
      <c r="D3956" s="111"/>
      <c r="E3956" s="112"/>
    </row>
    <row r="3957" spans="1:5">
      <c r="A3957" s="110"/>
      <c r="D3957" s="111"/>
      <c r="E3957" s="112"/>
    </row>
    <row r="3958" spans="1:5">
      <c r="A3958" s="110"/>
      <c r="D3958" s="111"/>
      <c r="E3958" s="112"/>
    </row>
    <row r="3959" spans="1:5">
      <c r="A3959" s="110"/>
      <c r="D3959" s="111"/>
      <c r="E3959" s="112"/>
    </row>
    <row r="3960" spans="1:5">
      <c r="A3960" s="110"/>
      <c r="D3960" s="111"/>
      <c r="E3960" s="112"/>
    </row>
    <row r="3961" spans="1:5">
      <c r="A3961" s="110"/>
      <c r="D3961" s="111"/>
      <c r="E3961" s="112"/>
    </row>
    <row r="3962" spans="1:5">
      <c r="A3962" s="110"/>
      <c r="D3962" s="111"/>
      <c r="E3962" s="112"/>
    </row>
    <row r="3963" spans="1:5">
      <c r="A3963" s="110"/>
      <c r="D3963" s="111"/>
      <c r="E3963" s="112"/>
    </row>
    <row r="3964" spans="1:5">
      <c r="A3964" s="110"/>
      <c r="D3964" s="111"/>
      <c r="E3964" s="112"/>
    </row>
    <row r="3965" spans="1:5">
      <c r="A3965" s="110"/>
      <c r="D3965" s="111"/>
      <c r="E3965" s="112"/>
    </row>
    <row r="3966" spans="1:5">
      <c r="A3966" s="110"/>
      <c r="D3966" s="111"/>
      <c r="E3966" s="112"/>
    </row>
    <row r="3967" spans="1:5">
      <c r="A3967" s="110"/>
      <c r="D3967" s="111"/>
      <c r="E3967" s="112"/>
    </row>
    <row r="3968" spans="1:5">
      <c r="A3968" s="110"/>
      <c r="D3968" s="111"/>
      <c r="E3968" s="112"/>
    </row>
    <row r="3969" spans="1:5">
      <c r="A3969" s="110"/>
      <c r="B3969" s="111"/>
      <c r="C3969" s="111"/>
      <c r="D3969" s="111"/>
      <c r="E3969" s="112"/>
    </row>
    <row r="3970" spans="1:5">
      <c r="A3970" s="110"/>
      <c r="B3970" s="111"/>
      <c r="C3970" s="111"/>
      <c r="D3970" s="111"/>
      <c r="E3970" s="112"/>
    </row>
    <row r="3971" spans="1:5">
      <c r="A3971" s="110"/>
      <c r="B3971" s="111"/>
      <c r="C3971" s="111"/>
      <c r="D3971" s="111"/>
      <c r="E3971" s="112"/>
    </row>
    <row r="3972" spans="1:5">
      <c r="A3972" s="110"/>
      <c r="B3972" s="111"/>
      <c r="C3972" s="111"/>
      <c r="D3972" s="111"/>
      <c r="E3972" s="112"/>
    </row>
    <row r="3973" spans="1:5">
      <c r="A3973" s="110"/>
      <c r="B3973" s="111"/>
      <c r="C3973" s="111"/>
      <c r="D3973" s="111"/>
      <c r="E3973" s="112"/>
    </row>
    <row r="3974" spans="1:5">
      <c r="A3974" s="110"/>
      <c r="B3974" s="111"/>
      <c r="C3974" s="111"/>
      <c r="D3974" s="111"/>
      <c r="E3974" s="112"/>
    </row>
    <row r="3975" spans="1:5">
      <c r="A3975" s="110"/>
      <c r="B3975" s="111"/>
      <c r="C3975" s="111"/>
      <c r="D3975" s="111"/>
      <c r="E3975" s="112"/>
    </row>
    <row r="3976" spans="1:5">
      <c r="A3976" s="110"/>
      <c r="B3976" s="111"/>
      <c r="C3976" s="111"/>
      <c r="D3976" s="111"/>
      <c r="E3976" s="112"/>
    </row>
    <row r="3977" spans="1:5">
      <c r="A3977" s="110"/>
      <c r="B3977" s="111"/>
      <c r="C3977" s="111"/>
      <c r="D3977" s="111"/>
      <c r="E3977" s="112"/>
    </row>
    <row r="3978" spans="1:5">
      <c r="A3978" s="110"/>
      <c r="B3978" s="111"/>
      <c r="C3978" s="111"/>
      <c r="D3978" s="111"/>
      <c r="E3978" s="112"/>
    </row>
    <row r="3979" spans="1:5">
      <c r="A3979" s="110"/>
      <c r="B3979" s="111"/>
      <c r="C3979" s="111"/>
      <c r="D3979" s="111"/>
      <c r="E3979" s="112"/>
    </row>
    <row r="3980" spans="1:5">
      <c r="A3980" s="110"/>
      <c r="B3980" s="111"/>
      <c r="C3980" s="111"/>
      <c r="D3980" s="111"/>
      <c r="E3980" s="112"/>
    </row>
    <row r="3981" spans="1:5">
      <c r="A3981" s="110"/>
      <c r="B3981" s="111"/>
      <c r="C3981" s="111"/>
      <c r="D3981" s="111"/>
      <c r="E3981" s="112"/>
    </row>
    <row r="3982" spans="1:5">
      <c r="A3982" s="110"/>
      <c r="B3982" s="111"/>
      <c r="C3982" s="111"/>
      <c r="D3982" s="111"/>
      <c r="E3982" s="112"/>
    </row>
    <row r="3983" spans="1:5">
      <c r="A3983" s="110"/>
      <c r="B3983" s="111"/>
      <c r="C3983" s="111"/>
      <c r="D3983" s="111"/>
      <c r="E3983" s="112"/>
    </row>
    <row r="3984" spans="1:5">
      <c r="A3984" s="110"/>
      <c r="B3984" s="111"/>
      <c r="C3984" s="111"/>
      <c r="D3984" s="111"/>
      <c r="E3984" s="112"/>
    </row>
    <row r="3985" spans="1:5">
      <c r="A3985" s="110"/>
      <c r="B3985" s="111"/>
      <c r="C3985" s="111"/>
      <c r="D3985" s="111"/>
      <c r="E3985" s="112"/>
    </row>
    <row r="3986" spans="1:5">
      <c r="A3986" s="110"/>
      <c r="B3986" s="111"/>
      <c r="C3986" s="111"/>
      <c r="D3986" s="111"/>
      <c r="E3986" s="112"/>
    </row>
    <row r="3987" spans="1:5">
      <c r="A3987" s="110"/>
      <c r="B3987" s="111"/>
      <c r="C3987" s="111"/>
      <c r="D3987" s="111"/>
      <c r="E3987" s="112"/>
    </row>
    <row r="3988" spans="1:5">
      <c r="A3988" s="110"/>
      <c r="B3988" s="111"/>
      <c r="C3988" s="111"/>
      <c r="D3988" s="111"/>
      <c r="E3988" s="112"/>
    </row>
    <row r="3989" spans="1:5">
      <c r="A3989" s="110"/>
      <c r="B3989" s="111"/>
      <c r="C3989" s="111"/>
      <c r="D3989" s="111"/>
      <c r="E3989" s="112"/>
    </row>
    <row r="3990" spans="1:5">
      <c r="A3990" s="110"/>
      <c r="B3990" s="111"/>
      <c r="C3990" s="111"/>
      <c r="D3990" s="111"/>
      <c r="E3990" s="112"/>
    </row>
    <row r="3991" spans="1:5">
      <c r="A3991" s="110"/>
      <c r="B3991" s="111"/>
      <c r="C3991" s="111"/>
      <c r="D3991" s="111"/>
      <c r="E3991" s="112"/>
    </row>
    <row r="3992" spans="1:5">
      <c r="A3992" s="110"/>
      <c r="B3992" s="111"/>
      <c r="C3992" s="111"/>
      <c r="D3992" s="111"/>
      <c r="E3992" s="112"/>
    </row>
    <row r="3993" spans="1:5">
      <c r="A3993" s="110"/>
      <c r="B3993" s="111"/>
      <c r="C3993" s="111"/>
      <c r="D3993" s="111"/>
      <c r="E3993" s="112"/>
    </row>
    <row r="3994" spans="1:5">
      <c r="A3994" s="110"/>
      <c r="B3994" s="111"/>
      <c r="C3994" s="111"/>
      <c r="D3994" s="111"/>
      <c r="E3994" s="112"/>
    </row>
    <row r="3995" spans="1:5">
      <c r="A3995" s="110"/>
      <c r="B3995" s="111"/>
      <c r="C3995" s="111"/>
      <c r="D3995" s="111"/>
      <c r="E3995" s="112"/>
    </row>
    <row r="3996" spans="1:5">
      <c r="A3996" s="110"/>
      <c r="B3996" s="111"/>
      <c r="C3996" s="111"/>
      <c r="D3996" s="111"/>
      <c r="E3996" s="112"/>
    </row>
    <row r="3997" spans="1:5">
      <c r="A3997" s="110"/>
      <c r="B3997" s="111"/>
      <c r="C3997" s="111"/>
      <c r="D3997" s="111"/>
      <c r="E3997" s="112"/>
    </row>
    <row r="3998" spans="1:5">
      <c r="A3998" s="110"/>
      <c r="B3998" s="111"/>
      <c r="C3998" s="111"/>
      <c r="D3998" s="111"/>
      <c r="E3998" s="112"/>
    </row>
    <row r="3999" spans="1:5">
      <c r="A3999" s="110"/>
      <c r="B3999" s="111"/>
      <c r="C3999" s="111"/>
      <c r="D3999" s="111"/>
      <c r="E3999" s="112"/>
    </row>
    <row r="4000" spans="1:5">
      <c r="A4000" s="110"/>
      <c r="B4000" s="111"/>
      <c r="C4000" s="111"/>
      <c r="D4000" s="111"/>
      <c r="E4000" s="112"/>
    </row>
    <row r="4001" spans="1:5">
      <c r="A4001" s="110"/>
      <c r="B4001" s="111"/>
      <c r="C4001" s="111"/>
      <c r="D4001" s="111"/>
      <c r="E4001" s="112"/>
    </row>
    <row r="4002" spans="1:5">
      <c r="A4002" s="110"/>
      <c r="B4002" s="111"/>
      <c r="C4002" s="111"/>
      <c r="D4002" s="111"/>
      <c r="E4002" s="112"/>
    </row>
    <row r="4003" spans="1:5">
      <c r="A4003" s="110"/>
      <c r="B4003" s="111"/>
      <c r="C4003" s="111"/>
      <c r="D4003" s="111"/>
      <c r="E4003" s="112"/>
    </row>
    <row r="4004" spans="1:5">
      <c r="A4004" s="110"/>
      <c r="B4004" s="111"/>
      <c r="C4004" s="111"/>
      <c r="D4004" s="111"/>
      <c r="E4004" s="112"/>
    </row>
    <row r="4005" spans="1:5">
      <c r="A4005" s="110"/>
      <c r="B4005" s="111"/>
      <c r="C4005" s="111"/>
      <c r="D4005" s="111"/>
      <c r="E4005" s="112"/>
    </row>
    <row r="4006" spans="1:5">
      <c r="A4006" s="110"/>
      <c r="B4006" s="111"/>
      <c r="C4006" s="111"/>
      <c r="D4006" s="111"/>
      <c r="E4006" s="112"/>
    </row>
    <row r="4007" spans="1:5">
      <c r="A4007" s="110"/>
      <c r="B4007" s="111"/>
      <c r="C4007" s="111"/>
      <c r="D4007" s="111"/>
      <c r="E4007" s="112"/>
    </row>
    <row r="4008" spans="1:5">
      <c r="A4008" s="110"/>
      <c r="B4008" s="111"/>
      <c r="C4008" s="111"/>
      <c r="D4008" s="111"/>
      <c r="E4008" s="112"/>
    </row>
    <row r="4009" spans="1:5">
      <c r="A4009" s="110"/>
      <c r="B4009" s="111"/>
      <c r="C4009" s="111"/>
      <c r="D4009" s="111"/>
      <c r="E4009" s="112"/>
    </row>
    <row r="4010" spans="1:5">
      <c r="A4010" s="110"/>
      <c r="B4010" s="111"/>
      <c r="C4010" s="111"/>
      <c r="D4010" s="111"/>
      <c r="E4010" s="112"/>
    </row>
    <row r="4011" spans="1:5">
      <c r="A4011" s="110"/>
      <c r="B4011" s="111"/>
      <c r="C4011" s="111"/>
      <c r="D4011" s="111"/>
      <c r="E4011" s="112"/>
    </row>
    <row r="4012" spans="1:5">
      <c r="A4012" s="110"/>
      <c r="B4012" s="111"/>
      <c r="C4012" s="111"/>
      <c r="D4012" s="111"/>
      <c r="E4012" s="112"/>
    </row>
    <row r="4013" spans="1:5">
      <c r="A4013" s="110"/>
      <c r="B4013" s="111"/>
      <c r="C4013" s="111"/>
      <c r="D4013" s="111"/>
      <c r="E4013" s="112"/>
    </row>
    <row r="4014" spans="1:5">
      <c r="A4014" s="110"/>
      <c r="B4014" s="111"/>
      <c r="C4014" s="111"/>
      <c r="D4014" s="111"/>
      <c r="E4014" s="112"/>
    </row>
    <row r="4015" spans="1:5">
      <c r="A4015" s="110"/>
      <c r="B4015" s="111"/>
      <c r="C4015" s="111"/>
      <c r="D4015" s="111"/>
      <c r="E4015" s="112"/>
    </row>
    <row r="4016" spans="1:5">
      <c r="A4016" s="110"/>
      <c r="B4016" s="111"/>
      <c r="C4016" s="111"/>
      <c r="D4016" s="111"/>
      <c r="E4016" s="112"/>
    </row>
    <row r="4017" spans="1:5">
      <c r="A4017" s="110"/>
      <c r="B4017" s="111"/>
      <c r="C4017" s="111"/>
      <c r="D4017" s="111"/>
      <c r="E4017" s="112"/>
    </row>
    <row r="4018" spans="1:5">
      <c r="A4018" s="110"/>
      <c r="B4018" s="111"/>
      <c r="C4018" s="111"/>
      <c r="D4018" s="111"/>
      <c r="E4018" s="112"/>
    </row>
    <row r="4019" spans="1:5">
      <c r="A4019" s="110"/>
      <c r="B4019" s="111"/>
      <c r="C4019" s="111"/>
      <c r="D4019" s="111"/>
      <c r="E4019" s="112"/>
    </row>
    <row r="4020" spans="1:5">
      <c r="A4020" s="110"/>
      <c r="B4020" s="111"/>
      <c r="C4020" s="111"/>
      <c r="D4020" s="111"/>
      <c r="E4020" s="112"/>
    </row>
    <row r="4021" spans="1:5">
      <c r="A4021" s="110"/>
      <c r="B4021" s="111"/>
      <c r="C4021" s="111"/>
      <c r="D4021" s="111"/>
      <c r="E4021" s="112"/>
    </row>
    <row r="4022" spans="1:5">
      <c r="A4022" s="110"/>
      <c r="B4022" s="111"/>
      <c r="C4022" s="111"/>
      <c r="D4022" s="111"/>
      <c r="E4022" s="112"/>
    </row>
    <row r="4023" spans="1:5">
      <c r="A4023" s="110"/>
      <c r="B4023" s="111"/>
      <c r="C4023" s="111"/>
      <c r="D4023" s="111"/>
      <c r="E4023" s="112"/>
    </row>
    <row r="4024" spans="1:5">
      <c r="A4024" s="110"/>
      <c r="B4024" s="111"/>
      <c r="C4024" s="111"/>
      <c r="D4024" s="111"/>
      <c r="E4024" s="112"/>
    </row>
    <row r="4025" spans="1:5">
      <c r="A4025" s="110"/>
      <c r="B4025" s="111"/>
      <c r="C4025" s="111"/>
      <c r="D4025" s="111"/>
      <c r="E4025" s="112"/>
    </row>
    <row r="4026" spans="1:5">
      <c r="A4026" s="110"/>
      <c r="B4026" s="111"/>
      <c r="C4026" s="111"/>
      <c r="D4026" s="111"/>
      <c r="E4026" s="112"/>
    </row>
    <row r="4027" spans="1:5">
      <c r="A4027" s="110"/>
      <c r="B4027" s="111"/>
      <c r="C4027" s="111"/>
      <c r="D4027" s="111"/>
      <c r="E4027" s="112"/>
    </row>
    <row r="4028" spans="1:5">
      <c r="A4028" s="110"/>
      <c r="B4028" s="111"/>
      <c r="C4028" s="111"/>
      <c r="D4028" s="111"/>
      <c r="E4028" s="112"/>
    </row>
    <row r="4029" spans="1:5">
      <c r="A4029" s="110"/>
      <c r="B4029" s="111"/>
      <c r="C4029" s="111"/>
      <c r="D4029" s="111"/>
      <c r="E4029" s="112"/>
    </row>
    <row r="4030" spans="1:5">
      <c r="A4030" s="110"/>
      <c r="B4030" s="111"/>
      <c r="C4030" s="111"/>
      <c r="D4030" s="111"/>
      <c r="E4030" s="112"/>
    </row>
    <row r="4031" spans="1:5">
      <c r="A4031" s="110"/>
      <c r="B4031" s="111"/>
      <c r="C4031" s="111"/>
      <c r="D4031" s="111"/>
      <c r="E4031" s="112"/>
    </row>
    <row r="4032" spans="1:5">
      <c r="A4032" s="110"/>
      <c r="B4032" s="111"/>
      <c r="C4032" s="111"/>
      <c r="D4032" s="111"/>
      <c r="E4032" s="112"/>
    </row>
    <row r="4033" spans="1:5">
      <c r="A4033" s="110"/>
      <c r="B4033" s="111"/>
      <c r="C4033" s="111"/>
      <c r="D4033" s="111"/>
      <c r="E4033" s="112"/>
    </row>
    <row r="4034" spans="1:5">
      <c r="A4034" s="110"/>
      <c r="B4034" s="111"/>
      <c r="C4034" s="111"/>
      <c r="D4034" s="111"/>
      <c r="E4034" s="112"/>
    </row>
    <row r="4035" spans="1:5">
      <c r="A4035" s="110"/>
      <c r="B4035" s="111"/>
      <c r="C4035" s="111"/>
      <c r="D4035" s="111"/>
      <c r="E4035" s="112"/>
    </row>
    <row r="4036" spans="1:5">
      <c r="A4036" s="110"/>
      <c r="B4036" s="111"/>
      <c r="C4036" s="111"/>
      <c r="D4036" s="111"/>
      <c r="E4036" s="112"/>
    </row>
    <row r="4037" spans="1:5">
      <c r="A4037" s="110"/>
      <c r="B4037" s="111"/>
      <c r="C4037" s="111"/>
      <c r="D4037" s="111"/>
      <c r="E4037" s="112"/>
    </row>
    <row r="4038" spans="1:5">
      <c r="A4038" s="110"/>
      <c r="B4038" s="111"/>
      <c r="C4038" s="111"/>
      <c r="D4038" s="111"/>
      <c r="E4038" s="112"/>
    </row>
    <row r="4039" spans="1:5">
      <c r="A4039" s="110"/>
      <c r="B4039" s="111"/>
      <c r="C4039" s="111"/>
      <c r="D4039" s="111"/>
      <c r="E4039" s="112"/>
    </row>
    <row r="4040" spans="1:5">
      <c r="A4040" s="110"/>
      <c r="B4040" s="111"/>
      <c r="C4040" s="111"/>
      <c r="D4040" s="111"/>
      <c r="E4040" s="112"/>
    </row>
    <row r="4041" spans="1:5">
      <c r="A4041" s="110"/>
      <c r="B4041" s="111"/>
      <c r="C4041" s="111"/>
      <c r="D4041" s="111"/>
      <c r="E4041" s="112"/>
    </row>
    <row r="4042" spans="1:5">
      <c r="A4042" s="110"/>
      <c r="B4042" s="111"/>
      <c r="C4042" s="111"/>
      <c r="D4042" s="111"/>
      <c r="E4042" s="112"/>
    </row>
    <row r="4043" spans="1:5">
      <c r="A4043" s="110"/>
      <c r="B4043" s="111"/>
      <c r="C4043" s="111"/>
      <c r="D4043" s="111"/>
      <c r="E4043" s="112"/>
    </row>
    <row r="4044" spans="1:5">
      <c r="A4044" s="110"/>
      <c r="B4044" s="111"/>
      <c r="C4044" s="111"/>
      <c r="D4044" s="111"/>
      <c r="E4044" s="112"/>
    </row>
    <row r="4045" spans="1:5">
      <c r="A4045" s="110"/>
      <c r="B4045" s="111"/>
      <c r="C4045" s="111"/>
      <c r="D4045" s="111"/>
      <c r="E4045" s="112"/>
    </row>
    <row r="4046" spans="1:5">
      <c r="A4046" s="110"/>
      <c r="B4046" s="111"/>
      <c r="C4046" s="111"/>
      <c r="D4046" s="111"/>
      <c r="E4046" s="112"/>
    </row>
    <row r="4047" spans="1:5">
      <c r="A4047" s="110"/>
      <c r="B4047" s="111"/>
      <c r="C4047" s="111"/>
      <c r="D4047" s="111"/>
      <c r="E4047" s="112"/>
    </row>
    <row r="4048" spans="1:5">
      <c r="A4048" s="110"/>
      <c r="B4048" s="111"/>
      <c r="C4048" s="111"/>
      <c r="D4048" s="111"/>
      <c r="E4048" s="112"/>
    </row>
    <row r="4049" spans="1:5">
      <c r="A4049" s="110"/>
      <c r="B4049" s="111"/>
      <c r="C4049" s="111"/>
      <c r="D4049" s="111"/>
      <c r="E4049" s="112"/>
    </row>
    <row r="4050" spans="1:5">
      <c r="A4050" s="110"/>
      <c r="B4050" s="111"/>
      <c r="C4050" s="111"/>
      <c r="D4050" s="111"/>
      <c r="E4050" s="112"/>
    </row>
    <row r="4051" spans="1:5">
      <c r="A4051" s="110"/>
      <c r="B4051" s="111"/>
      <c r="C4051" s="111"/>
      <c r="D4051" s="111"/>
      <c r="E4051" s="112"/>
    </row>
    <row r="4052" spans="1:5">
      <c r="A4052" s="110"/>
      <c r="B4052" s="111"/>
      <c r="C4052" s="111"/>
      <c r="D4052" s="111"/>
      <c r="E4052" s="112"/>
    </row>
    <row r="4053" spans="1:5">
      <c r="A4053" s="110"/>
      <c r="B4053" s="111"/>
      <c r="C4053" s="111"/>
      <c r="D4053" s="111"/>
      <c r="E4053" s="112"/>
    </row>
    <row r="4054" spans="1:5">
      <c r="A4054" s="110"/>
      <c r="B4054" s="111"/>
      <c r="C4054" s="111"/>
      <c r="D4054" s="111"/>
      <c r="E4054" s="112"/>
    </row>
    <row r="4055" spans="1:5">
      <c r="A4055" s="110"/>
      <c r="B4055" s="111"/>
      <c r="C4055" s="111"/>
      <c r="D4055" s="111"/>
      <c r="E4055" s="112"/>
    </row>
    <row r="4056" spans="1:5">
      <c r="A4056" s="110"/>
      <c r="B4056" s="111"/>
      <c r="C4056" s="111"/>
      <c r="D4056" s="111"/>
      <c r="E4056" s="112"/>
    </row>
    <row r="4057" spans="1:5">
      <c r="A4057" s="110"/>
      <c r="B4057" s="111"/>
      <c r="C4057" s="111"/>
      <c r="D4057" s="111"/>
      <c r="E4057" s="112"/>
    </row>
    <row r="4058" spans="1:5">
      <c r="A4058" s="110"/>
      <c r="B4058" s="111"/>
      <c r="C4058" s="111"/>
      <c r="D4058" s="111"/>
      <c r="E4058" s="112"/>
    </row>
    <row r="4059" spans="1:5">
      <c r="A4059" s="110"/>
      <c r="B4059" s="111"/>
      <c r="C4059" s="111"/>
      <c r="D4059" s="111"/>
      <c r="E4059" s="112"/>
    </row>
    <row r="4060" spans="1:5">
      <c r="A4060" s="110"/>
      <c r="B4060" s="111"/>
      <c r="C4060" s="111"/>
      <c r="D4060" s="111"/>
      <c r="E4060" s="112"/>
    </row>
    <row r="4061" spans="1:5">
      <c r="A4061" s="110"/>
      <c r="B4061" s="111"/>
      <c r="C4061" s="111"/>
      <c r="D4061" s="111"/>
      <c r="E4061" s="112"/>
    </row>
    <row r="4062" spans="1:5">
      <c r="A4062" s="110"/>
      <c r="B4062" s="111"/>
      <c r="C4062" s="111"/>
      <c r="D4062" s="111"/>
      <c r="E4062" s="112"/>
    </row>
    <row r="4063" spans="1:5">
      <c r="A4063" s="110"/>
      <c r="B4063" s="111"/>
      <c r="C4063" s="111"/>
      <c r="D4063" s="111"/>
      <c r="E4063" s="112"/>
    </row>
    <row r="4064" spans="1:5">
      <c r="A4064" s="110"/>
      <c r="B4064" s="111"/>
      <c r="C4064" s="111"/>
      <c r="D4064" s="111"/>
      <c r="E4064" s="112"/>
    </row>
    <row r="4065" spans="1:5">
      <c r="A4065" s="110"/>
      <c r="B4065" s="111"/>
      <c r="C4065" s="111"/>
      <c r="D4065" s="111"/>
      <c r="E4065" s="112"/>
    </row>
    <row r="4066" spans="1:5">
      <c r="A4066" s="110"/>
      <c r="B4066" s="111"/>
      <c r="C4066" s="111"/>
      <c r="D4066" s="111"/>
      <c r="E4066" s="112"/>
    </row>
    <row r="4067" spans="1:5">
      <c r="A4067" s="110"/>
      <c r="B4067" s="111"/>
      <c r="C4067" s="111"/>
      <c r="D4067" s="111"/>
      <c r="E4067" s="112"/>
    </row>
    <row r="4068" spans="1:5">
      <c r="A4068" s="110"/>
      <c r="B4068" s="111"/>
      <c r="C4068" s="111"/>
      <c r="D4068" s="111"/>
      <c r="E4068" s="112"/>
    </row>
    <row r="4069" spans="1:5">
      <c r="A4069" s="110"/>
      <c r="B4069" s="111"/>
      <c r="C4069" s="111"/>
      <c r="D4069" s="111"/>
      <c r="E4069" s="112"/>
    </row>
    <row r="4070" spans="1:5">
      <c r="A4070" s="110"/>
      <c r="B4070" s="111"/>
      <c r="C4070" s="111"/>
      <c r="D4070" s="111"/>
      <c r="E4070" s="112"/>
    </row>
    <row r="4071" spans="1:5">
      <c r="A4071" s="110"/>
      <c r="B4071" s="111"/>
      <c r="C4071" s="111"/>
      <c r="D4071" s="111"/>
      <c r="E4071" s="112"/>
    </row>
    <row r="4072" spans="1:5">
      <c r="A4072" s="110"/>
      <c r="B4072" s="111"/>
      <c r="C4072" s="111"/>
      <c r="D4072" s="111"/>
      <c r="E4072" s="112"/>
    </row>
    <row r="4073" spans="1:5">
      <c r="A4073" s="110"/>
      <c r="B4073" s="111"/>
      <c r="C4073" s="111"/>
      <c r="D4073" s="111"/>
      <c r="E4073" s="112"/>
    </row>
    <row r="4074" spans="1:5">
      <c r="A4074" s="110"/>
      <c r="B4074" s="111"/>
      <c r="C4074" s="111"/>
      <c r="D4074" s="111"/>
      <c r="E4074" s="112"/>
    </row>
    <row r="4075" spans="1:5">
      <c r="A4075" s="110"/>
      <c r="B4075" s="111"/>
      <c r="C4075" s="111"/>
      <c r="D4075" s="111"/>
      <c r="E4075" s="112"/>
    </row>
    <row r="4076" spans="1:5">
      <c r="A4076" s="110"/>
      <c r="B4076" s="111"/>
      <c r="C4076" s="111"/>
      <c r="D4076" s="111"/>
      <c r="E4076" s="112"/>
    </row>
    <row r="4077" spans="1:5">
      <c r="A4077" s="110"/>
      <c r="B4077" s="111"/>
      <c r="C4077" s="111"/>
      <c r="D4077" s="111"/>
      <c r="E4077" s="112"/>
    </row>
    <row r="4078" spans="1:5">
      <c r="A4078" s="110"/>
      <c r="B4078" s="111"/>
      <c r="C4078" s="111"/>
      <c r="D4078" s="111"/>
      <c r="E4078" s="112"/>
    </row>
    <row r="4079" spans="1:5">
      <c r="A4079" s="110"/>
      <c r="B4079" s="111"/>
      <c r="C4079" s="111"/>
      <c r="D4079" s="111"/>
      <c r="E4079" s="112"/>
    </row>
    <row r="4080" spans="1:5">
      <c r="A4080" s="110"/>
      <c r="B4080" s="111"/>
      <c r="C4080" s="111"/>
      <c r="D4080" s="111"/>
      <c r="E4080" s="112"/>
    </row>
    <row r="4081" spans="1:5">
      <c r="A4081" s="110"/>
      <c r="B4081" s="111"/>
      <c r="C4081" s="111"/>
      <c r="D4081" s="111"/>
      <c r="E4081" s="112"/>
    </row>
    <row r="4082" spans="1:5">
      <c r="A4082" s="110"/>
      <c r="B4082" s="111"/>
      <c r="C4082" s="111"/>
      <c r="D4082" s="111"/>
      <c r="E4082" s="112"/>
    </row>
    <row r="4083" spans="1:5">
      <c r="A4083" s="110"/>
      <c r="B4083" s="111"/>
      <c r="C4083" s="111"/>
      <c r="D4083" s="111"/>
      <c r="E4083" s="112"/>
    </row>
    <row r="4084" spans="1:5">
      <c r="A4084" s="110"/>
      <c r="B4084" s="111"/>
      <c r="C4084" s="111"/>
      <c r="D4084" s="111"/>
      <c r="E4084" s="112"/>
    </row>
    <row r="4085" spans="1:5">
      <c r="A4085" s="110"/>
      <c r="B4085" s="111"/>
      <c r="C4085" s="111"/>
      <c r="D4085" s="111"/>
      <c r="E4085" s="112"/>
    </row>
    <row r="4086" spans="1:5">
      <c r="A4086" s="110"/>
      <c r="B4086" s="111"/>
      <c r="C4086" s="111"/>
      <c r="D4086" s="111"/>
      <c r="E4086" s="112"/>
    </row>
    <row r="4087" spans="1:5">
      <c r="A4087" s="110"/>
      <c r="B4087" s="111"/>
      <c r="C4087" s="111"/>
      <c r="D4087" s="111"/>
      <c r="E4087" s="112"/>
    </row>
    <row r="4088" spans="1:5">
      <c r="A4088" s="110"/>
      <c r="B4088" s="111"/>
      <c r="C4088" s="111"/>
      <c r="D4088" s="111"/>
      <c r="E4088" s="112"/>
    </row>
    <row r="4089" spans="1:5">
      <c r="A4089" s="110"/>
      <c r="B4089" s="111"/>
      <c r="C4089" s="111"/>
      <c r="D4089" s="111"/>
      <c r="E4089" s="112"/>
    </row>
    <row r="4090" spans="1:5">
      <c r="A4090" s="110"/>
      <c r="B4090" s="111"/>
      <c r="C4090" s="111"/>
      <c r="D4090" s="111"/>
      <c r="E4090" s="112"/>
    </row>
    <row r="4091" spans="1:5">
      <c r="A4091" s="110"/>
      <c r="B4091" s="111"/>
      <c r="C4091" s="111"/>
      <c r="D4091" s="111"/>
      <c r="E4091" s="112"/>
    </row>
    <row r="4092" spans="1:5">
      <c r="A4092" s="110"/>
      <c r="B4092" s="111"/>
      <c r="C4092" s="111"/>
      <c r="D4092" s="111"/>
      <c r="E4092" s="112"/>
    </row>
    <row r="4093" spans="1:5">
      <c r="A4093" s="110"/>
      <c r="B4093" s="111"/>
      <c r="C4093" s="111"/>
      <c r="D4093" s="111"/>
      <c r="E4093" s="112"/>
    </row>
    <row r="4094" spans="1:5">
      <c r="A4094" s="110"/>
      <c r="B4094" s="111"/>
      <c r="C4094" s="111"/>
      <c r="D4094" s="111"/>
      <c r="E4094" s="112"/>
    </row>
    <row r="4095" spans="1:5">
      <c r="A4095" s="110"/>
      <c r="B4095" s="111"/>
      <c r="C4095" s="111"/>
      <c r="D4095" s="111"/>
      <c r="E4095" s="112"/>
    </row>
    <row r="4096" spans="1:5">
      <c r="A4096" s="110"/>
      <c r="B4096" s="111"/>
      <c r="C4096" s="111"/>
      <c r="D4096" s="111"/>
      <c r="E4096" s="112"/>
    </row>
    <row r="4097" spans="1:5">
      <c r="A4097" s="110"/>
      <c r="B4097" s="111"/>
      <c r="C4097" s="111"/>
      <c r="D4097" s="111"/>
      <c r="E4097" s="112"/>
    </row>
    <row r="4098" spans="1:5">
      <c r="A4098" s="110"/>
      <c r="B4098" s="111"/>
      <c r="C4098" s="111"/>
      <c r="D4098" s="111"/>
      <c r="E4098" s="112"/>
    </row>
    <row r="4099" spans="1:5">
      <c r="A4099" s="110"/>
      <c r="B4099" s="111"/>
      <c r="C4099" s="111"/>
      <c r="D4099" s="111"/>
      <c r="E4099" s="112"/>
    </row>
    <row r="4100" spans="1:5">
      <c r="A4100" s="110"/>
      <c r="B4100" s="111"/>
      <c r="C4100" s="111"/>
      <c r="D4100" s="111"/>
      <c r="E4100" s="112"/>
    </row>
    <row r="4101" spans="1:5">
      <c r="A4101" s="110"/>
      <c r="B4101" s="111"/>
      <c r="C4101" s="111"/>
      <c r="D4101" s="111"/>
      <c r="E4101" s="112"/>
    </row>
    <row r="4102" spans="1:5">
      <c r="A4102" s="110"/>
      <c r="B4102" s="111"/>
      <c r="C4102" s="111"/>
      <c r="D4102" s="111"/>
      <c r="E4102" s="112"/>
    </row>
    <row r="4103" spans="1:5">
      <c r="A4103" s="110"/>
      <c r="B4103" s="111"/>
      <c r="C4103" s="111"/>
      <c r="D4103" s="111"/>
      <c r="E4103" s="112"/>
    </row>
    <row r="4104" spans="1:5">
      <c r="A4104" s="110"/>
      <c r="B4104" s="111"/>
      <c r="C4104" s="111"/>
      <c r="D4104" s="111"/>
      <c r="E4104" s="112"/>
    </row>
    <row r="4105" spans="1:5">
      <c r="A4105" s="110"/>
      <c r="B4105" s="111"/>
      <c r="C4105" s="111"/>
      <c r="D4105" s="111"/>
      <c r="E4105" s="112"/>
    </row>
    <row r="4106" spans="1:5">
      <c r="A4106" s="110"/>
      <c r="B4106" s="111"/>
      <c r="C4106" s="111"/>
      <c r="D4106" s="111"/>
      <c r="E4106" s="112"/>
    </row>
    <row r="4107" spans="1:5">
      <c r="A4107" s="110"/>
      <c r="B4107" s="111"/>
      <c r="C4107" s="111"/>
      <c r="D4107" s="111"/>
      <c r="E4107" s="112"/>
    </row>
    <row r="4108" spans="1:5">
      <c r="A4108" s="110"/>
      <c r="B4108" s="111"/>
      <c r="C4108" s="111"/>
      <c r="D4108" s="111"/>
      <c r="E4108" s="112"/>
    </row>
    <row r="4109" spans="1:5">
      <c r="A4109" s="110"/>
      <c r="B4109" s="111"/>
      <c r="C4109" s="111"/>
      <c r="D4109" s="111"/>
      <c r="E4109" s="112"/>
    </row>
    <row r="4110" spans="1:5">
      <c r="A4110" s="110"/>
      <c r="B4110" s="111"/>
      <c r="C4110" s="111"/>
      <c r="D4110" s="111"/>
      <c r="E4110" s="112"/>
    </row>
    <row r="4111" spans="1:5">
      <c r="A4111" s="110"/>
      <c r="B4111" s="111"/>
      <c r="C4111" s="111"/>
      <c r="D4111" s="111"/>
      <c r="E4111" s="112"/>
    </row>
    <row r="4112" spans="1:5">
      <c r="A4112" s="110"/>
      <c r="B4112" s="111"/>
      <c r="C4112" s="111"/>
      <c r="D4112" s="111"/>
      <c r="E4112" s="112"/>
    </row>
    <row r="4113" spans="1:5">
      <c r="A4113" s="110"/>
      <c r="B4113" s="111"/>
      <c r="C4113" s="111"/>
      <c r="D4113" s="111"/>
      <c r="E4113" s="112"/>
    </row>
    <row r="4114" spans="1:5">
      <c r="A4114" s="110"/>
      <c r="B4114" s="111"/>
      <c r="C4114" s="111"/>
      <c r="D4114" s="111"/>
      <c r="E4114" s="112"/>
    </row>
    <row r="4115" spans="1:5">
      <c r="A4115" s="110"/>
      <c r="B4115" s="111"/>
      <c r="C4115" s="111"/>
      <c r="D4115" s="111"/>
      <c r="E4115" s="112"/>
    </row>
    <row r="4116" spans="1:5">
      <c r="A4116" s="110"/>
      <c r="B4116" s="111"/>
      <c r="C4116" s="111"/>
      <c r="D4116" s="111"/>
      <c r="E4116" s="112"/>
    </row>
    <row r="4117" spans="1:5">
      <c r="A4117" s="110"/>
      <c r="B4117" s="111"/>
      <c r="C4117" s="111"/>
      <c r="D4117" s="111"/>
      <c r="E4117" s="112"/>
    </row>
    <row r="4118" spans="1:5">
      <c r="A4118" s="110"/>
      <c r="B4118" s="111"/>
      <c r="C4118" s="111"/>
      <c r="D4118" s="111"/>
      <c r="E4118" s="112"/>
    </row>
    <row r="4119" spans="1:5">
      <c r="A4119" s="110"/>
      <c r="B4119" s="111"/>
      <c r="C4119" s="111"/>
      <c r="D4119" s="111"/>
      <c r="E4119" s="112"/>
    </row>
    <row r="4120" spans="1:5">
      <c r="A4120" s="110"/>
      <c r="B4120" s="111"/>
      <c r="C4120" s="111"/>
      <c r="D4120" s="111"/>
      <c r="E4120" s="112"/>
    </row>
    <row r="4121" spans="1:5">
      <c r="A4121" s="110"/>
      <c r="B4121" s="111"/>
      <c r="C4121" s="111"/>
      <c r="D4121" s="111"/>
      <c r="E4121" s="112"/>
    </row>
    <row r="4122" spans="1:5">
      <c r="A4122" s="110"/>
      <c r="B4122" s="111"/>
      <c r="C4122" s="111"/>
      <c r="D4122" s="111"/>
      <c r="E4122" s="112"/>
    </row>
    <row r="4123" spans="1:5">
      <c r="A4123" s="110"/>
      <c r="B4123" s="111"/>
      <c r="C4123" s="111"/>
      <c r="D4123" s="111"/>
      <c r="E4123" s="112"/>
    </row>
    <row r="4124" spans="1:5">
      <c r="A4124" s="110"/>
      <c r="B4124" s="111"/>
      <c r="C4124" s="111"/>
      <c r="D4124" s="111"/>
      <c r="E4124" s="112"/>
    </row>
    <row r="4125" spans="1:5">
      <c r="A4125" s="110"/>
      <c r="B4125" s="111"/>
      <c r="C4125" s="111"/>
      <c r="D4125" s="111"/>
      <c r="E4125" s="112"/>
    </row>
    <row r="4126" spans="1:5">
      <c r="A4126" s="110"/>
      <c r="B4126" s="111"/>
      <c r="C4126" s="111"/>
      <c r="D4126" s="111"/>
      <c r="E4126" s="112"/>
    </row>
    <row r="4127" spans="1:5">
      <c r="A4127" s="110"/>
      <c r="B4127" s="111"/>
      <c r="C4127" s="111"/>
      <c r="D4127" s="111"/>
      <c r="E4127" s="112"/>
    </row>
    <row r="4128" spans="1:5">
      <c r="A4128" s="110"/>
      <c r="B4128" s="111"/>
      <c r="C4128" s="111"/>
      <c r="D4128" s="111"/>
      <c r="E4128" s="112"/>
    </row>
    <row r="4129" spans="1:5">
      <c r="A4129" s="110"/>
      <c r="B4129" s="111"/>
      <c r="C4129" s="111"/>
      <c r="D4129" s="111"/>
      <c r="E4129" s="112"/>
    </row>
    <row r="4130" spans="1:5">
      <c r="A4130" s="110"/>
      <c r="B4130" s="111"/>
      <c r="C4130" s="111"/>
      <c r="D4130" s="111"/>
      <c r="E4130" s="112"/>
    </row>
    <row r="4131" spans="1:5">
      <c r="A4131" s="110"/>
      <c r="B4131" s="111"/>
      <c r="C4131" s="111"/>
      <c r="D4131" s="111"/>
      <c r="E4131" s="112"/>
    </row>
    <row r="4132" spans="1:5">
      <c r="A4132" s="110"/>
      <c r="B4132" s="111"/>
      <c r="C4132" s="111"/>
      <c r="D4132" s="111"/>
      <c r="E4132" s="112"/>
    </row>
    <row r="4133" spans="1:5">
      <c r="A4133" s="110"/>
      <c r="B4133" s="111"/>
      <c r="C4133" s="111"/>
      <c r="D4133" s="111"/>
      <c r="E4133" s="112"/>
    </row>
    <row r="4134" spans="1:5">
      <c r="A4134" s="110"/>
      <c r="B4134" s="111"/>
      <c r="C4134" s="111"/>
      <c r="D4134" s="111"/>
      <c r="E4134" s="112"/>
    </row>
    <row r="4135" spans="1:5">
      <c r="A4135" s="110"/>
      <c r="B4135" s="111"/>
      <c r="C4135" s="111"/>
      <c r="D4135" s="111"/>
      <c r="E4135" s="112"/>
    </row>
    <row r="4136" spans="1:5">
      <c r="A4136" s="110"/>
      <c r="B4136" s="111"/>
      <c r="C4136" s="111"/>
      <c r="D4136" s="111"/>
      <c r="E4136" s="112"/>
    </row>
    <row r="4137" spans="1:5">
      <c r="A4137" s="110"/>
      <c r="B4137" s="111"/>
      <c r="C4137" s="111"/>
      <c r="D4137" s="111"/>
      <c r="E4137" s="112"/>
    </row>
    <row r="4138" spans="1:5">
      <c r="A4138" s="110"/>
      <c r="B4138" s="111"/>
      <c r="C4138" s="111"/>
      <c r="D4138" s="111"/>
      <c r="E4138" s="112"/>
    </row>
    <row r="4139" spans="1:5">
      <c r="A4139" s="110"/>
      <c r="B4139" s="111"/>
      <c r="C4139" s="111"/>
      <c r="D4139" s="111"/>
      <c r="E4139" s="112"/>
    </row>
    <row r="4140" spans="1:5">
      <c r="A4140" s="110"/>
      <c r="B4140" s="111"/>
      <c r="C4140" s="111"/>
      <c r="D4140" s="111"/>
      <c r="E4140" s="112"/>
    </row>
    <row r="4141" spans="1:5">
      <c r="A4141" s="110"/>
      <c r="B4141" s="111"/>
      <c r="C4141" s="111"/>
      <c r="D4141" s="111"/>
      <c r="E4141" s="112"/>
    </row>
    <row r="4142" spans="1:5">
      <c r="A4142" s="110"/>
      <c r="B4142" s="111"/>
      <c r="C4142" s="111"/>
      <c r="D4142" s="111"/>
      <c r="E4142" s="112"/>
    </row>
    <row r="4143" spans="1:5">
      <c r="A4143" s="110"/>
      <c r="B4143" s="111"/>
      <c r="C4143" s="111"/>
      <c r="D4143" s="111"/>
      <c r="E4143" s="112"/>
    </row>
    <row r="4144" spans="1:5">
      <c r="A4144" s="110"/>
      <c r="B4144" s="111"/>
      <c r="C4144" s="111"/>
      <c r="D4144" s="111"/>
      <c r="E4144" s="112"/>
    </row>
    <row r="4145" spans="1:5">
      <c r="A4145" s="110"/>
      <c r="B4145" s="111"/>
      <c r="C4145" s="111"/>
      <c r="D4145" s="111"/>
      <c r="E4145" s="112"/>
    </row>
    <row r="4146" spans="1:5">
      <c r="A4146" s="110"/>
      <c r="B4146" s="111"/>
      <c r="C4146" s="111"/>
      <c r="D4146" s="111"/>
      <c r="E4146" s="112"/>
    </row>
    <row r="4147" spans="1:5">
      <c r="A4147" s="110"/>
      <c r="B4147" s="111"/>
      <c r="C4147" s="111"/>
      <c r="D4147" s="111"/>
      <c r="E4147" s="112"/>
    </row>
    <row r="4148" spans="1:5">
      <c r="A4148" s="110"/>
      <c r="B4148" s="111"/>
      <c r="C4148" s="111"/>
      <c r="D4148" s="111"/>
      <c r="E4148" s="112"/>
    </row>
    <row r="4149" spans="1:5">
      <c r="A4149" s="110"/>
      <c r="B4149" s="111"/>
      <c r="C4149" s="111"/>
      <c r="D4149" s="111"/>
      <c r="E4149" s="112"/>
    </row>
    <row r="4150" spans="1:5">
      <c r="A4150" s="110"/>
      <c r="B4150" s="111"/>
      <c r="C4150" s="111"/>
      <c r="D4150" s="111"/>
      <c r="E4150" s="112"/>
    </row>
    <row r="4151" spans="1:5">
      <c r="A4151" s="110"/>
      <c r="B4151" s="111"/>
      <c r="C4151" s="111"/>
      <c r="D4151" s="111"/>
      <c r="E4151" s="112"/>
    </row>
    <row r="4152" spans="1:5">
      <c r="A4152" s="110"/>
      <c r="B4152" s="111"/>
      <c r="C4152" s="111"/>
      <c r="D4152" s="111"/>
      <c r="E4152" s="112"/>
    </row>
    <row r="4153" spans="1:5">
      <c r="A4153" s="110"/>
      <c r="B4153" s="111"/>
      <c r="C4153" s="111"/>
      <c r="D4153" s="111"/>
      <c r="E4153" s="112"/>
    </row>
    <row r="4154" spans="1:5">
      <c r="A4154" s="110"/>
      <c r="B4154" s="111"/>
      <c r="C4154" s="111"/>
      <c r="D4154" s="111"/>
      <c r="E4154" s="112"/>
    </row>
    <row r="4155" spans="1:5">
      <c r="A4155" s="110"/>
      <c r="B4155" s="111"/>
      <c r="C4155" s="111"/>
      <c r="D4155" s="111"/>
      <c r="E4155" s="112"/>
    </row>
    <row r="4156" spans="1:5">
      <c r="A4156" s="110"/>
      <c r="B4156" s="111"/>
      <c r="C4156" s="111"/>
      <c r="D4156" s="111"/>
      <c r="E4156" s="112"/>
    </row>
    <row r="4157" spans="1:5">
      <c r="A4157" s="110"/>
      <c r="B4157" s="111"/>
      <c r="C4157" s="111"/>
      <c r="D4157" s="111"/>
      <c r="E4157" s="112"/>
    </row>
    <row r="4158" spans="1:5">
      <c r="A4158" s="110"/>
      <c r="B4158" s="111"/>
      <c r="C4158" s="111"/>
      <c r="D4158" s="111"/>
      <c r="E4158" s="112"/>
    </row>
    <row r="4159" spans="1:5">
      <c r="A4159" s="110"/>
      <c r="B4159" s="111"/>
      <c r="C4159" s="111"/>
      <c r="D4159" s="111"/>
      <c r="E4159" s="112"/>
    </row>
    <row r="4160" spans="1:5">
      <c r="A4160" s="110"/>
      <c r="B4160" s="111"/>
      <c r="C4160" s="111"/>
      <c r="D4160" s="111"/>
      <c r="E4160" s="112"/>
    </row>
    <row r="4161" spans="1:5">
      <c r="A4161" s="110"/>
      <c r="B4161" s="111"/>
      <c r="C4161" s="111"/>
      <c r="D4161" s="111"/>
      <c r="E4161" s="112"/>
    </row>
    <row r="4162" spans="1:5">
      <c r="A4162" s="110"/>
      <c r="B4162" s="111"/>
      <c r="C4162" s="111"/>
      <c r="D4162" s="111"/>
      <c r="E4162" s="112"/>
    </row>
    <row r="4163" spans="1:5">
      <c r="A4163" s="110"/>
      <c r="B4163" s="111"/>
      <c r="C4163" s="111"/>
      <c r="D4163" s="111"/>
      <c r="E4163" s="112"/>
    </row>
    <row r="4164" spans="1:5">
      <c r="A4164" s="110"/>
      <c r="B4164" s="111"/>
      <c r="C4164" s="111"/>
      <c r="D4164" s="111"/>
      <c r="E4164" s="112"/>
    </row>
    <row r="4165" spans="1:5">
      <c r="A4165" s="110"/>
      <c r="B4165" s="111"/>
      <c r="C4165" s="111"/>
      <c r="D4165" s="111"/>
      <c r="E4165" s="112"/>
    </row>
    <row r="4166" spans="1:5">
      <c r="A4166" s="110"/>
      <c r="B4166" s="111"/>
      <c r="C4166" s="111"/>
      <c r="D4166" s="111"/>
      <c r="E4166" s="112"/>
    </row>
    <row r="4167" spans="1:5">
      <c r="A4167" s="110"/>
      <c r="B4167" s="111"/>
      <c r="C4167" s="111"/>
      <c r="D4167" s="111"/>
      <c r="E4167" s="112"/>
    </row>
    <row r="4168" spans="1:5">
      <c r="A4168" s="110"/>
      <c r="B4168" s="111"/>
      <c r="C4168" s="111"/>
      <c r="D4168" s="111"/>
      <c r="E4168" s="112"/>
    </row>
    <row r="4169" spans="1:5">
      <c r="A4169" s="110"/>
      <c r="B4169" s="111"/>
      <c r="C4169" s="111"/>
      <c r="D4169" s="111"/>
      <c r="E4169" s="112"/>
    </row>
    <row r="4170" spans="1:5">
      <c r="A4170" s="110"/>
      <c r="B4170" s="111"/>
      <c r="C4170" s="111"/>
      <c r="D4170" s="111"/>
      <c r="E4170" s="112"/>
    </row>
    <row r="4171" spans="1:5">
      <c r="A4171" s="110"/>
      <c r="B4171" s="111"/>
      <c r="C4171" s="111"/>
      <c r="D4171" s="111"/>
      <c r="E4171" s="112"/>
    </row>
    <row r="4172" spans="1:5">
      <c r="A4172" s="110"/>
      <c r="B4172" s="111"/>
      <c r="C4172" s="111"/>
      <c r="D4172" s="111"/>
      <c r="E4172" s="112"/>
    </row>
    <row r="4173" spans="1:5">
      <c r="A4173" s="110"/>
      <c r="B4173" s="111"/>
      <c r="C4173" s="111"/>
      <c r="D4173" s="111"/>
      <c r="E4173" s="112"/>
    </row>
    <row r="4174" spans="1:5">
      <c r="A4174" s="110"/>
      <c r="B4174" s="111"/>
      <c r="C4174" s="111"/>
      <c r="D4174" s="111"/>
      <c r="E4174" s="112"/>
    </row>
    <row r="4175" spans="1:5">
      <c r="A4175" s="110"/>
      <c r="B4175" s="111"/>
      <c r="C4175" s="111"/>
      <c r="D4175" s="111"/>
      <c r="E4175" s="112"/>
    </row>
    <row r="4176" spans="1:5">
      <c r="A4176" s="110"/>
      <c r="B4176" s="111"/>
      <c r="C4176" s="111"/>
      <c r="D4176" s="111"/>
      <c r="E4176" s="112"/>
    </row>
    <row r="4177" spans="1:5">
      <c r="A4177" s="110"/>
      <c r="B4177" s="111"/>
      <c r="C4177" s="111"/>
      <c r="D4177" s="111"/>
      <c r="E4177" s="112"/>
    </row>
    <row r="4178" spans="1:5">
      <c r="A4178" s="110"/>
      <c r="B4178" s="111"/>
      <c r="C4178" s="111"/>
      <c r="D4178" s="111"/>
      <c r="E4178" s="112"/>
    </row>
    <row r="4179" spans="1:5">
      <c r="A4179" s="110"/>
      <c r="B4179" s="111"/>
      <c r="C4179" s="111"/>
      <c r="D4179" s="111"/>
      <c r="E4179" s="112"/>
    </row>
    <row r="4180" spans="1:5">
      <c r="A4180" s="110"/>
      <c r="B4180" s="111"/>
      <c r="C4180" s="111"/>
      <c r="D4180" s="111"/>
      <c r="E4180" s="112"/>
    </row>
    <row r="4181" spans="1:5">
      <c r="A4181" s="110"/>
      <c r="B4181" s="111"/>
      <c r="C4181" s="111"/>
      <c r="D4181" s="111"/>
      <c r="E4181" s="112"/>
    </row>
    <row r="4182" spans="1:5">
      <c r="A4182" s="110"/>
      <c r="B4182" s="111"/>
      <c r="C4182" s="111"/>
      <c r="D4182" s="111"/>
      <c r="E4182" s="112"/>
    </row>
    <row r="4183" spans="1:5">
      <c r="A4183" s="110"/>
      <c r="B4183" s="111"/>
      <c r="C4183" s="111"/>
      <c r="D4183" s="111"/>
      <c r="E4183" s="112"/>
    </row>
    <row r="4184" spans="1:5">
      <c r="A4184" s="110"/>
      <c r="B4184" s="111"/>
      <c r="C4184" s="111"/>
      <c r="D4184" s="111"/>
      <c r="E4184" s="112"/>
    </row>
    <row r="4185" spans="1:5">
      <c r="A4185" s="110"/>
      <c r="B4185" s="111"/>
      <c r="C4185" s="111"/>
      <c r="D4185" s="111"/>
      <c r="E4185" s="112"/>
    </row>
    <row r="4186" spans="1:5">
      <c r="A4186" s="110"/>
      <c r="B4186" s="111"/>
      <c r="C4186" s="111"/>
      <c r="D4186" s="111"/>
      <c r="E4186" s="112"/>
    </row>
    <row r="4187" spans="1:5">
      <c r="A4187" s="110"/>
      <c r="B4187" s="111"/>
      <c r="C4187" s="111"/>
      <c r="D4187" s="111"/>
      <c r="E4187" s="112"/>
    </row>
    <row r="4188" spans="1:5">
      <c r="A4188" s="110"/>
      <c r="B4188" s="111"/>
      <c r="C4188" s="111"/>
      <c r="D4188" s="111"/>
      <c r="E4188" s="112"/>
    </row>
    <row r="4189" spans="1:5">
      <c r="A4189" s="110"/>
      <c r="B4189" s="111"/>
      <c r="C4189" s="111"/>
      <c r="D4189" s="111"/>
      <c r="E4189" s="112"/>
    </row>
    <row r="4190" spans="1:5">
      <c r="A4190" s="110"/>
      <c r="B4190" s="111"/>
      <c r="C4190" s="111"/>
      <c r="D4190" s="111"/>
      <c r="E4190" s="112"/>
    </row>
    <row r="4191" spans="1:5">
      <c r="A4191" s="110"/>
      <c r="B4191" s="111"/>
      <c r="C4191" s="111"/>
      <c r="D4191" s="111"/>
      <c r="E4191" s="112"/>
    </row>
    <row r="4192" spans="1:5">
      <c r="A4192" s="110"/>
      <c r="B4192" s="111"/>
      <c r="C4192" s="111"/>
      <c r="D4192" s="111"/>
      <c r="E4192" s="112"/>
    </row>
    <row r="4193" spans="1:5">
      <c r="A4193" s="110"/>
      <c r="B4193" s="111"/>
      <c r="C4193" s="111"/>
      <c r="D4193" s="111"/>
      <c r="E4193" s="112"/>
    </row>
    <row r="4194" spans="1:5">
      <c r="A4194" s="110"/>
      <c r="B4194" s="111"/>
      <c r="C4194" s="111"/>
      <c r="D4194" s="111"/>
      <c r="E4194" s="112"/>
    </row>
    <row r="4195" spans="1:5">
      <c r="A4195" s="110"/>
      <c r="B4195" s="111"/>
      <c r="C4195" s="111"/>
      <c r="D4195" s="111"/>
      <c r="E4195" s="112"/>
    </row>
    <row r="4196" spans="1:5">
      <c r="A4196" s="110"/>
      <c r="B4196" s="111"/>
      <c r="C4196" s="111"/>
      <c r="D4196" s="111"/>
      <c r="E4196" s="112"/>
    </row>
    <row r="4197" spans="1:5">
      <c r="A4197" s="110"/>
      <c r="B4197" s="111"/>
      <c r="C4197" s="111"/>
      <c r="D4197" s="111"/>
      <c r="E4197" s="112"/>
    </row>
    <row r="4198" spans="1:5">
      <c r="A4198" s="110"/>
      <c r="B4198" s="111"/>
      <c r="C4198" s="111"/>
      <c r="D4198" s="111"/>
      <c r="E4198" s="112"/>
    </row>
    <row r="4199" spans="1:5">
      <c r="A4199" s="110"/>
      <c r="B4199" s="111"/>
      <c r="C4199" s="111"/>
      <c r="D4199" s="111"/>
      <c r="E4199" s="112"/>
    </row>
    <row r="4200" spans="1:5">
      <c r="A4200" s="110"/>
      <c r="B4200" s="111"/>
      <c r="C4200" s="111"/>
      <c r="D4200" s="111"/>
      <c r="E4200" s="112"/>
    </row>
    <row r="4201" spans="1:5">
      <c r="A4201" s="110"/>
      <c r="B4201" s="111"/>
      <c r="C4201" s="111"/>
      <c r="D4201" s="111"/>
      <c r="E4201" s="112"/>
    </row>
    <row r="4202" spans="1:5">
      <c r="A4202" s="110"/>
      <c r="B4202" s="111"/>
      <c r="C4202" s="111"/>
      <c r="D4202" s="111"/>
      <c r="E4202" s="112"/>
    </row>
    <row r="4203" spans="1:5">
      <c r="A4203" s="110"/>
      <c r="B4203" s="111"/>
      <c r="C4203" s="111"/>
      <c r="D4203" s="111"/>
      <c r="E4203" s="112"/>
    </row>
    <row r="4204" spans="1:5">
      <c r="A4204" s="110"/>
      <c r="B4204" s="111"/>
      <c r="C4204" s="111"/>
      <c r="D4204" s="111"/>
      <c r="E4204" s="112"/>
    </row>
    <row r="4205" spans="1:5">
      <c r="A4205" s="110"/>
      <c r="B4205" s="111"/>
      <c r="C4205" s="111"/>
      <c r="D4205" s="111"/>
      <c r="E4205" s="112"/>
    </row>
    <row r="4206" spans="1:5">
      <c r="A4206" s="110"/>
      <c r="B4206" s="111"/>
      <c r="C4206" s="111"/>
      <c r="D4206" s="111"/>
      <c r="E4206" s="112"/>
    </row>
    <row r="4207" spans="1:5">
      <c r="A4207" s="110"/>
      <c r="B4207" s="111"/>
      <c r="C4207" s="111"/>
      <c r="D4207" s="111"/>
      <c r="E4207" s="112"/>
    </row>
    <row r="4208" spans="1:5">
      <c r="A4208" s="110"/>
      <c r="B4208" s="111"/>
      <c r="C4208" s="111"/>
      <c r="D4208" s="111"/>
      <c r="E4208" s="112"/>
    </row>
    <row r="4209" spans="1:5">
      <c r="A4209" s="110"/>
      <c r="B4209" s="111"/>
      <c r="C4209" s="111"/>
      <c r="D4209" s="111"/>
      <c r="E4209" s="112"/>
    </row>
    <row r="4210" spans="1:5">
      <c r="A4210" s="110"/>
      <c r="B4210" s="111"/>
      <c r="C4210" s="111"/>
      <c r="D4210" s="111"/>
      <c r="E4210" s="112"/>
    </row>
    <row r="4211" spans="1:5">
      <c r="A4211" s="110"/>
      <c r="B4211" s="111"/>
      <c r="C4211" s="111"/>
      <c r="D4211" s="111"/>
      <c r="E4211" s="112"/>
    </row>
    <row r="4212" spans="1:5">
      <c r="A4212" s="110"/>
      <c r="B4212" s="111"/>
      <c r="C4212" s="111"/>
      <c r="D4212" s="111"/>
      <c r="E4212" s="112"/>
    </row>
    <row r="4213" spans="1:5">
      <c r="A4213" s="110"/>
      <c r="B4213" s="111"/>
      <c r="C4213" s="111"/>
      <c r="D4213" s="111"/>
      <c r="E4213" s="112"/>
    </row>
    <row r="4214" spans="1:5">
      <c r="A4214" s="110"/>
      <c r="B4214" s="111"/>
      <c r="C4214" s="111"/>
      <c r="D4214" s="111"/>
      <c r="E4214" s="112"/>
    </row>
    <row r="4215" spans="1:5">
      <c r="A4215" s="110"/>
      <c r="B4215" s="111"/>
      <c r="C4215" s="111"/>
      <c r="D4215" s="111"/>
      <c r="E4215" s="112"/>
    </row>
    <row r="4216" spans="1:5">
      <c r="A4216" s="110"/>
      <c r="B4216" s="111"/>
      <c r="C4216" s="111"/>
      <c r="D4216" s="111"/>
      <c r="E4216" s="112"/>
    </row>
    <row r="4217" spans="1:5">
      <c r="A4217" s="110"/>
      <c r="B4217" s="111"/>
      <c r="C4217" s="111"/>
      <c r="D4217" s="111"/>
      <c r="E4217" s="112"/>
    </row>
    <row r="4218" spans="1:5">
      <c r="A4218" s="110"/>
      <c r="B4218" s="111"/>
      <c r="C4218" s="111"/>
      <c r="D4218" s="111"/>
      <c r="E4218" s="112"/>
    </row>
    <row r="4219" spans="1:5">
      <c r="A4219" s="110"/>
      <c r="B4219" s="111"/>
      <c r="C4219" s="111"/>
      <c r="D4219" s="111"/>
      <c r="E4219" s="112"/>
    </row>
    <row r="4220" spans="1:5">
      <c r="A4220" s="110"/>
      <c r="B4220" s="111"/>
      <c r="C4220" s="111"/>
      <c r="D4220" s="111"/>
      <c r="E4220" s="112"/>
    </row>
    <row r="4221" spans="1:5">
      <c r="A4221" s="110"/>
      <c r="B4221" s="111"/>
      <c r="C4221" s="111"/>
      <c r="D4221" s="111"/>
      <c r="E4221" s="112"/>
    </row>
    <row r="4222" spans="1:5">
      <c r="A4222" s="110"/>
      <c r="B4222" s="111"/>
      <c r="C4222" s="111"/>
      <c r="D4222" s="111"/>
      <c r="E4222" s="112"/>
    </row>
    <row r="4223" spans="1:5">
      <c r="A4223" s="110"/>
      <c r="B4223" s="111"/>
      <c r="C4223" s="111"/>
      <c r="D4223" s="111"/>
      <c r="E4223" s="112"/>
    </row>
    <row r="4224" spans="1:5">
      <c r="A4224" s="110"/>
      <c r="B4224" s="111"/>
      <c r="C4224" s="111"/>
      <c r="D4224" s="111"/>
      <c r="E4224" s="112"/>
    </row>
    <row r="4225" spans="1:5">
      <c r="A4225" s="110"/>
      <c r="B4225" s="111"/>
      <c r="C4225" s="111"/>
      <c r="D4225" s="111"/>
      <c r="E4225" s="112"/>
    </row>
    <row r="4226" spans="1:5">
      <c r="A4226" s="110"/>
      <c r="B4226" s="111"/>
      <c r="C4226" s="111"/>
      <c r="D4226" s="111"/>
      <c r="E4226" s="112"/>
    </row>
    <row r="4227" spans="1:5">
      <c r="A4227" s="110"/>
      <c r="B4227" s="111"/>
      <c r="C4227" s="111"/>
      <c r="D4227" s="111"/>
      <c r="E4227" s="112"/>
    </row>
    <row r="4228" spans="1:5">
      <c r="A4228" s="110"/>
      <c r="B4228" s="111"/>
      <c r="C4228" s="111"/>
      <c r="D4228" s="111"/>
      <c r="E4228" s="112"/>
    </row>
    <row r="4229" spans="1:5">
      <c r="A4229" s="110"/>
      <c r="B4229" s="111"/>
      <c r="C4229" s="111"/>
      <c r="D4229" s="111"/>
      <c r="E4229" s="112"/>
    </row>
    <row r="4230" spans="1:5">
      <c r="A4230" s="110"/>
      <c r="B4230" s="111"/>
      <c r="C4230" s="111"/>
      <c r="D4230" s="111"/>
      <c r="E4230" s="112"/>
    </row>
    <row r="4231" spans="1:5">
      <c r="A4231" s="110"/>
      <c r="B4231" s="111"/>
      <c r="C4231" s="111"/>
      <c r="D4231" s="111"/>
      <c r="E4231" s="112"/>
    </row>
    <row r="4232" spans="1:5">
      <c r="A4232" s="110"/>
      <c r="B4232" s="111"/>
      <c r="C4232" s="111"/>
      <c r="D4232" s="111"/>
      <c r="E4232" s="112"/>
    </row>
    <row r="4233" spans="1:5">
      <c r="A4233" s="110"/>
      <c r="B4233" s="111"/>
      <c r="C4233" s="111"/>
      <c r="D4233" s="111"/>
      <c r="E4233" s="112"/>
    </row>
    <row r="4234" spans="1:5">
      <c r="A4234" s="110"/>
      <c r="B4234" s="111"/>
      <c r="C4234" s="111"/>
      <c r="D4234" s="111"/>
      <c r="E4234" s="112"/>
    </row>
    <row r="4235" spans="1:5">
      <c r="A4235" s="110"/>
      <c r="B4235" s="111"/>
      <c r="C4235" s="111"/>
      <c r="D4235" s="111"/>
      <c r="E4235" s="112"/>
    </row>
    <row r="4236" spans="1:5">
      <c r="A4236" s="110"/>
      <c r="B4236" s="111"/>
      <c r="C4236" s="111"/>
      <c r="D4236" s="111"/>
      <c r="E4236" s="112"/>
    </row>
    <row r="4237" spans="1:5">
      <c r="A4237" s="110"/>
      <c r="B4237" s="111"/>
      <c r="C4237" s="111"/>
      <c r="D4237" s="111"/>
      <c r="E4237" s="112"/>
    </row>
    <row r="4238" spans="1:5">
      <c r="A4238" s="110"/>
      <c r="B4238" s="111"/>
      <c r="C4238" s="111"/>
      <c r="D4238" s="111"/>
      <c r="E4238" s="112"/>
    </row>
    <row r="4239" spans="1:5">
      <c r="A4239" s="110"/>
      <c r="B4239" s="111"/>
      <c r="C4239" s="111"/>
      <c r="D4239" s="111"/>
      <c r="E4239" s="112"/>
    </row>
    <row r="4240" spans="1:5">
      <c r="A4240" s="110"/>
      <c r="B4240" s="111"/>
      <c r="C4240" s="111"/>
      <c r="D4240" s="111"/>
      <c r="E4240" s="112"/>
    </row>
    <row r="4241" spans="1:5">
      <c r="A4241" s="110"/>
      <c r="B4241" s="111"/>
      <c r="C4241" s="111"/>
      <c r="D4241" s="111"/>
      <c r="E4241" s="112"/>
    </row>
    <row r="4242" spans="1:5">
      <c r="A4242" s="110"/>
      <c r="B4242" s="111"/>
      <c r="C4242" s="111"/>
      <c r="D4242" s="111"/>
      <c r="E4242" s="112"/>
    </row>
    <row r="4243" spans="1:5">
      <c r="A4243" s="110"/>
      <c r="B4243" s="111"/>
      <c r="C4243" s="111"/>
      <c r="D4243" s="111"/>
      <c r="E4243" s="112"/>
    </row>
    <row r="4244" spans="1:5">
      <c r="A4244" s="110"/>
      <c r="B4244" s="111"/>
      <c r="C4244" s="111"/>
      <c r="D4244" s="111"/>
      <c r="E4244" s="112"/>
    </row>
    <row r="4245" spans="1:5">
      <c r="A4245" s="110"/>
      <c r="B4245" s="111"/>
      <c r="C4245" s="111"/>
      <c r="D4245" s="111"/>
      <c r="E4245" s="112"/>
    </row>
    <row r="4246" spans="1:5">
      <c r="A4246" s="110"/>
      <c r="B4246" s="111"/>
      <c r="C4246" s="111"/>
      <c r="D4246" s="111"/>
      <c r="E4246" s="112"/>
    </row>
    <row r="4247" spans="1:5">
      <c r="A4247" s="110"/>
      <c r="B4247" s="111"/>
      <c r="C4247" s="111"/>
      <c r="D4247" s="111"/>
      <c r="E4247" s="112"/>
    </row>
    <row r="4248" spans="1:5">
      <c r="A4248" s="110"/>
      <c r="B4248" s="111"/>
      <c r="C4248" s="111"/>
      <c r="D4248" s="111"/>
      <c r="E4248" s="112"/>
    </row>
    <row r="4249" spans="1:5">
      <c r="A4249" s="110"/>
      <c r="B4249" s="111"/>
      <c r="C4249" s="111"/>
      <c r="D4249" s="111"/>
      <c r="E4249" s="112"/>
    </row>
    <row r="4250" spans="1:5">
      <c r="A4250" s="110"/>
      <c r="B4250" s="111"/>
      <c r="C4250" s="111"/>
      <c r="D4250" s="111"/>
      <c r="E4250" s="112"/>
    </row>
    <row r="4251" spans="1:5">
      <c r="A4251" s="110"/>
      <c r="B4251" s="111"/>
      <c r="C4251" s="111"/>
      <c r="D4251" s="111"/>
      <c r="E4251" s="112"/>
    </row>
    <row r="4252" spans="1:5">
      <c r="A4252" s="110"/>
      <c r="B4252" s="111"/>
      <c r="C4252" s="111"/>
      <c r="D4252" s="111"/>
      <c r="E4252" s="112"/>
    </row>
    <row r="4253" spans="1:5">
      <c r="A4253" s="110"/>
      <c r="B4253" s="111"/>
      <c r="C4253" s="111"/>
      <c r="D4253" s="111"/>
      <c r="E4253" s="112"/>
    </row>
    <row r="4254" spans="1:5">
      <c r="A4254" s="110"/>
      <c r="B4254" s="111"/>
      <c r="C4254" s="111"/>
      <c r="D4254" s="111"/>
      <c r="E4254" s="112"/>
    </row>
    <row r="4255" spans="1:5">
      <c r="A4255" s="110"/>
      <c r="B4255" s="111"/>
      <c r="C4255" s="111"/>
      <c r="D4255" s="111"/>
      <c r="E4255" s="112"/>
    </row>
    <row r="4256" spans="1:5">
      <c r="A4256" s="110"/>
      <c r="B4256" s="111"/>
      <c r="C4256" s="111"/>
      <c r="D4256" s="111"/>
      <c r="E4256" s="112"/>
    </row>
    <row r="4257" spans="1:5">
      <c r="A4257" s="110"/>
      <c r="B4257" s="111"/>
      <c r="C4257" s="111"/>
      <c r="D4257" s="111"/>
      <c r="E4257" s="112"/>
    </row>
    <row r="4258" spans="1:5">
      <c r="A4258" s="110"/>
      <c r="B4258" s="111"/>
      <c r="C4258" s="111"/>
      <c r="D4258" s="111"/>
      <c r="E4258" s="112"/>
    </row>
    <row r="4259" spans="1:5">
      <c r="A4259" s="110"/>
      <c r="B4259" s="111"/>
      <c r="C4259" s="111"/>
      <c r="D4259" s="111"/>
      <c r="E4259" s="112"/>
    </row>
    <row r="4260" spans="1:5">
      <c r="A4260" s="110"/>
      <c r="B4260" s="111"/>
      <c r="C4260" s="111"/>
      <c r="D4260" s="111"/>
      <c r="E4260" s="112"/>
    </row>
    <row r="4261" spans="1:5">
      <c r="A4261" s="110"/>
      <c r="B4261" s="111"/>
      <c r="C4261" s="111"/>
      <c r="D4261" s="111"/>
      <c r="E4261" s="112"/>
    </row>
    <row r="4262" spans="1:5">
      <c r="A4262" s="110"/>
      <c r="B4262" s="111"/>
      <c r="C4262" s="111"/>
      <c r="D4262" s="111"/>
      <c r="E4262" s="112"/>
    </row>
    <row r="4263" spans="1:5">
      <c r="A4263" s="110"/>
      <c r="B4263" s="111"/>
      <c r="C4263" s="111"/>
      <c r="D4263" s="111"/>
      <c r="E4263" s="112"/>
    </row>
    <row r="4264" spans="1:5">
      <c r="A4264" s="110"/>
      <c r="B4264" s="111"/>
      <c r="C4264" s="111"/>
      <c r="D4264" s="111"/>
      <c r="E4264" s="112"/>
    </row>
    <row r="4265" spans="1:5">
      <c r="A4265" s="110"/>
      <c r="B4265" s="111"/>
      <c r="C4265" s="111"/>
      <c r="D4265" s="111"/>
      <c r="E4265" s="112"/>
    </row>
    <row r="4266" spans="1:5">
      <c r="A4266" s="110"/>
      <c r="B4266" s="111"/>
      <c r="C4266" s="111"/>
      <c r="D4266" s="111"/>
      <c r="E4266" s="112"/>
    </row>
    <row r="4267" spans="1:5">
      <c r="A4267" s="110"/>
      <c r="B4267" s="111"/>
      <c r="C4267" s="111"/>
      <c r="D4267" s="111"/>
      <c r="E4267" s="112"/>
    </row>
    <row r="4268" spans="1:5">
      <c r="A4268" s="110"/>
      <c r="B4268" s="111"/>
      <c r="C4268" s="111"/>
      <c r="D4268" s="111"/>
      <c r="E4268" s="112"/>
    </row>
    <row r="4269" spans="1:5">
      <c r="A4269" s="110"/>
      <c r="B4269" s="111"/>
      <c r="C4269" s="111"/>
      <c r="D4269" s="111"/>
      <c r="E4269" s="112"/>
    </row>
    <row r="4270" spans="1:5">
      <c r="A4270" s="110"/>
      <c r="B4270" s="111"/>
      <c r="C4270" s="111"/>
      <c r="D4270" s="111"/>
      <c r="E4270" s="112"/>
    </row>
    <row r="4271" spans="1:5">
      <c r="A4271" s="110"/>
      <c r="B4271" s="111"/>
      <c r="C4271" s="111"/>
      <c r="D4271" s="111"/>
      <c r="E4271" s="112"/>
    </row>
    <row r="4272" spans="1:5">
      <c r="A4272" s="110"/>
      <c r="B4272" s="111"/>
      <c r="C4272" s="111"/>
      <c r="D4272" s="111"/>
      <c r="E4272" s="112"/>
    </row>
    <row r="4273" spans="1:5">
      <c r="A4273" s="110"/>
      <c r="B4273" s="111"/>
      <c r="C4273" s="111"/>
      <c r="D4273" s="111"/>
      <c r="E4273" s="112"/>
    </row>
    <row r="4274" spans="1:5">
      <c r="A4274" s="110"/>
      <c r="B4274" s="111"/>
      <c r="C4274" s="111"/>
      <c r="D4274" s="111"/>
      <c r="E4274" s="112"/>
    </row>
    <row r="4275" spans="1:5">
      <c r="A4275" s="110"/>
      <c r="B4275" s="111"/>
      <c r="C4275" s="111"/>
      <c r="D4275" s="111"/>
      <c r="E4275" s="112"/>
    </row>
    <row r="4276" spans="1:5">
      <c r="A4276" s="110"/>
      <c r="B4276" s="111"/>
      <c r="C4276" s="111"/>
      <c r="D4276" s="111"/>
      <c r="E4276" s="112"/>
    </row>
    <row r="4277" spans="1:5">
      <c r="A4277" s="110"/>
      <c r="B4277" s="111"/>
      <c r="C4277" s="111"/>
      <c r="D4277" s="111"/>
      <c r="E4277" s="112"/>
    </row>
    <row r="4278" spans="1:5">
      <c r="A4278" s="110"/>
      <c r="B4278" s="111"/>
      <c r="C4278" s="111"/>
      <c r="D4278" s="111"/>
      <c r="E4278" s="112"/>
    </row>
    <row r="4279" spans="1:5">
      <c r="A4279" s="110"/>
      <c r="B4279" s="111"/>
      <c r="C4279" s="111"/>
      <c r="D4279" s="111"/>
      <c r="E4279" s="112"/>
    </row>
    <row r="4280" spans="1:5">
      <c r="A4280" s="110"/>
      <c r="B4280" s="111"/>
      <c r="C4280" s="111"/>
      <c r="D4280" s="111"/>
      <c r="E4280" s="112"/>
    </row>
    <row r="4281" spans="1:5">
      <c r="A4281" s="110"/>
      <c r="B4281" s="111"/>
      <c r="C4281" s="111"/>
      <c r="D4281" s="111"/>
      <c r="E4281" s="112"/>
    </row>
    <row r="4282" spans="1:5">
      <c r="A4282" s="110"/>
      <c r="B4282" s="111"/>
      <c r="C4282" s="111"/>
      <c r="D4282" s="111"/>
      <c r="E4282" s="112"/>
    </row>
    <row r="4283" spans="1:5">
      <c r="A4283" s="110"/>
      <c r="B4283" s="111"/>
      <c r="C4283" s="111"/>
      <c r="D4283" s="111"/>
      <c r="E4283" s="112"/>
    </row>
    <row r="4284" spans="1:5">
      <c r="A4284" s="110"/>
      <c r="B4284" s="111"/>
      <c r="C4284" s="111"/>
      <c r="D4284" s="111"/>
      <c r="E4284" s="112"/>
    </row>
    <row r="4285" spans="1:5">
      <c r="A4285" s="110"/>
      <c r="B4285" s="111"/>
      <c r="C4285" s="111"/>
      <c r="D4285" s="111"/>
      <c r="E4285" s="112"/>
    </row>
    <row r="4286" spans="1:5">
      <c r="A4286" s="110"/>
      <c r="B4286" s="111"/>
      <c r="C4286" s="111"/>
      <c r="D4286" s="111"/>
      <c r="E4286" s="112"/>
    </row>
    <row r="4287" spans="1:5">
      <c r="A4287" s="110"/>
      <c r="B4287" s="111"/>
      <c r="C4287" s="111"/>
      <c r="D4287" s="111"/>
      <c r="E4287" s="112"/>
    </row>
    <row r="4288" spans="1:5">
      <c r="A4288" s="110"/>
      <c r="B4288" s="111"/>
      <c r="C4288" s="111"/>
      <c r="D4288" s="111"/>
      <c r="E4288" s="112"/>
    </row>
    <row r="4289" spans="1:5">
      <c r="A4289" s="110"/>
      <c r="B4289" s="111"/>
      <c r="C4289" s="111"/>
      <c r="D4289" s="111"/>
      <c r="E4289" s="112"/>
    </row>
    <row r="4290" spans="1:5">
      <c r="A4290" s="110"/>
      <c r="B4290" s="111"/>
      <c r="C4290" s="111"/>
      <c r="D4290" s="111"/>
      <c r="E4290" s="112"/>
    </row>
    <row r="4291" spans="1:5">
      <c r="A4291" s="110"/>
      <c r="B4291" s="111"/>
      <c r="C4291" s="111"/>
      <c r="D4291" s="111"/>
      <c r="E4291" s="112"/>
    </row>
    <row r="4292" spans="1:5">
      <c r="A4292" s="110"/>
      <c r="B4292" s="111"/>
      <c r="C4292" s="111"/>
      <c r="D4292" s="111"/>
      <c r="E4292" s="112"/>
    </row>
    <row r="4293" spans="1:5">
      <c r="A4293" s="110"/>
      <c r="B4293" s="111"/>
      <c r="C4293" s="111"/>
      <c r="D4293" s="111"/>
      <c r="E4293" s="112"/>
    </row>
    <row r="4294" spans="1:5">
      <c r="A4294" s="110"/>
      <c r="B4294" s="111"/>
      <c r="C4294" s="111"/>
      <c r="D4294" s="111"/>
      <c r="E4294" s="112"/>
    </row>
    <row r="4295" spans="1:5">
      <c r="A4295" s="110"/>
      <c r="B4295" s="111"/>
      <c r="C4295" s="111"/>
      <c r="D4295" s="111"/>
      <c r="E4295" s="112"/>
    </row>
    <row r="4296" spans="1:5">
      <c r="A4296" s="110"/>
      <c r="B4296" s="111"/>
      <c r="C4296" s="111"/>
      <c r="D4296" s="111"/>
      <c r="E4296" s="112"/>
    </row>
    <row r="4297" spans="1:5">
      <c r="A4297" s="110"/>
      <c r="B4297" s="111"/>
      <c r="C4297" s="111"/>
      <c r="D4297" s="111"/>
      <c r="E4297" s="112"/>
    </row>
    <row r="4298" spans="1:5">
      <c r="A4298" s="110"/>
      <c r="B4298" s="111"/>
      <c r="C4298" s="111"/>
      <c r="D4298" s="111"/>
      <c r="E4298" s="112"/>
    </row>
    <row r="4299" spans="1:5">
      <c r="A4299" s="118"/>
      <c r="B4299" s="119"/>
      <c r="C4299" s="111"/>
      <c r="D4299" s="111"/>
      <c r="E4299" s="112"/>
    </row>
    <row r="4300" spans="1:5">
      <c r="A4300" s="110"/>
      <c r="B4300" s="111"/>
      <c r="C4300" s="111"/>
      <c r="D4300" s="111"/>
      <c r="E4300" s="112"/>
    </row>
    <row r="4301" spans="1:5">
      <c r="A4301" s="110"/>
      <c r="B4301" s="111"/>
      <c r="C4301" s="111"/>
      <c r="D4301" s="111"/>
      <c r="E4301" s="112"/>
    </row>
    <row r="4302" spans="1:5">
      <c r="A4302" s="110"/>
      <c r="B4302" s="111"/>
      <c r="C4302" s="111"/>
      <c r="D4302" s="111"/>
      <c r="E4302" s="112"/>
    </row>
    <row r="4303" spans="1:5">
      <c r="A4303" s="110"/>
      <c r="B4303" s="111"/>
      <c r="C4303" s="111"/>
      <c r="D4303" s="111"/>
      <c r="E4303" s="112"/>
    </row>
    <row r="4304" spans="1:5">
      <c r="A4304" s="110"/>
      <c r="B4304" s="120"/>
      <c r="D4304" s="111"/>
      <c r="E4304" s="112"/>
    </row>
    <row r="4305" spans="1:5">
      <c r="A4305" s="110"/>
      <c r="B4305" s="111"/>
      <c r="C4305" s="111"/>
      <c r="D4305" s="111"/>
      <c r="E4305" s="112"/>
    </row>
    <row r="4306" spans="1:5">
      <c r="A4306" s="110"/>
      <c r="B4306" s="111"/>
      <c r="C4306" s="111"/>
      <c r="D4306" s="111"/>
      <c r="E4306" s="112"/>
    </row>
    <row r="4307" spans="1:5">
      <c r="A4307" s="118"/>
      <c r="B4307" s="120"/>
      <c r="E4307" s="112"/>
    </row>
    <row r="4308" spans="1:5">
      <c r="A4308" s="110"/>
      <c r="B4308" s="111"/>
      <c r="C4308" s="111"/>
      <c r="D4308" s="111"/>
      <c r="E4308" s="112"/>
    </row>
    <row r="4309" spans="1:5">
      <c r="A4309" s="110"/>
      <c r="B4309" s="111"/>
      <c r="C4309" s="111"/>
      <c r="D4309" s="111"/>
      <c r="E4309" s="112"/>
    </row>
    <row r="4310" spans="1:5">
      <c r="A4310" s="110"/>
      <c r="B4310" s="111"/>
      <c r="C4310" s="111"/>
      <c r="D4310" s="111"/>
      <c r="E4310" s="112"/>
    </row>
    <row r="4311" spans="1:5">
      <c r="A4311" s="110"/>
      <c r="B4311" s="111"/>
      <c r="C4311" s="111"/>
      <c r="D4311" s="111"/>
      <c r="E4311" s="112"/>
    </row>
    <row r="4312" spans="1:5">
      <c r="A4312" s="118"/>
      <c r="B4312" s="119"/>
      <c r="C4312" s="111"/>
      <c r="E4312" s="112"/>
    </row>
    <row r="4313" spans="1:5">
      <c r="A4313" s="110"/>
      <c r="B4313" s="111"/>
      <c r="C4313" s="111"/>
      <c r="D4313" s="111"/>
      <c r="E4313" s="112"/>
    </row>
    <row r="4314" spans="1:5">
      <c r="A4314" s="110"/>
      <c r="B4314" s="111"/>
      <c r="C4314" s="111"/>
      <c r="D4314" s="111"/>
      <c r="E4314" s="112"/>
    </row>
    <row r="4315" spans="1:5">
      <c r="A4315" s="110"/>
      <c r="B4315" s="111"/>
      <c r="C4315" s="111"/>
      <c r="E4315" s="112"/>
    </row>
    <row r="4316" spans="1:5">
      <c r="A4316" s="110"/>
      <c r="B4316" s="111"/>
      <c r="C4316" s="111"/>
      <c r="D4316" s="111"/>
      <c r="E4316" s="112"/>
    </row>
    <row r="4317" spans="1:5">
      <c r="A4317" s="118"/>
      <c r="B4317" s="119"/>
      <c r="C4317" s="111"/>
      <c r="E4317" s="112"/>
    </row>
    <row r="4318" spans="1:5">
      <c r="A4318" s="118"/>
      <c r="B4318" s="119"/>
      <c r="C4318" s="111"/>
      <c r="E4318" s="112"/>
    </row>
    <row r="4319" spans="1:5">
      <c r="A4319" s="110"/>
      <c r="B4319" s="111"/>
      <c r="C4319" s="111"/>
      <c r="D4319" s="111"/>
      <c r="E4319" s="112"/>
    </row>
    <row r="4320" spans="1:5">
      <c r="A4320" s="110"/>
      <c r="B4320" s="111"/>
      <c r="C4320" s="111"/>
      <c r="D4320" s="111"/>
      <c r="E4320" s="112"/>
    </row>
    <row r="4321" spans="1:5">
      <c r="A4321" s="110"/>
      <c r="B4321" s="111"/>
      <c r="C4321" s="111"/>
      <c r="D4321" s="111"/>
      <c r="E4321" s="112"/>
    </row>
    <row r="4322" spans="1:5">
      <c r="A4322" s="110"/>
      <c r="B4322" s="111"/>
      <c r="C4322" s="111"/>
      <c r="D4322" s="111"/>
      <c r="E4322" s="112"/>
    </row>
    <row r="4323" spans="1:5">
      <c r="A4323" s="110"/>
      <c r="B4323" s="111"/>
      <c r="C4323" s="111"/>
      <c r="D4323" s="111"/>
      <c r="E4323" s="112"/>
    </row>
    <row r="4324" spans="1:5">
      <c r="A4324" s="110"/>
      <c r="B4324" s="111"/>
      <c r="C4324" s="111"/>
      <c r="D4324" s="111"/>
      <c r="E4324" s="112"/>
    </row>
    <row r="4325" spans="1:5">
      <c r="A4325" s="110"/>
      <c r="B4325" s="111"/>
      <c r="C4325" s="111"/>
      <c r="D4325" s="111"/>
      <c r="E4325" s="112"/>
    </row>
    <row r="4326" spans="1:5">
      <c r="A4326" s="110"/>
      <c r="B4326" s="111"/>
      <c r="C4326" s="111"/>
      <c r="D4326" s="111"/>
      <c r="E4326" s="112"/>
    </row>
    <row r="4327" spans="1:5">
      <c r="A4327" s="110"/>
      <c r="B4327" s="111"/>
      <c r="C4327" s="111"/>
      <c r="D4327" s="111"/>
      <c r="E4327" s="112"/>
    </row>
    <row r="4328" spans="1:5">
      <c r="A4328" s="118"/>
      <c r="B4328" s="120"/>
      <c r="E4328" s="112"/>
    </row>
    <row r="4329" spans="1:5">
      <c r="A4329" s="118"/>
      <c r="B4329" s="119"/>
      <c r="E4329" s="112"/>
    </row>
    <row r="4330" spans="1:5">
      <c r="A4330" s="110"/>
      <c r="B4330" s="111"/>
      <c r="C4330" s="111"/>
      <c r="D4330" s="111"/>
      <c r="E4330" s="112"/>
    </row>
    <row r="4331" spans="1:5">
      <c r="A4331" s="110"/>
      <c r="B4331" s="111"/>
      <c r="C4331" s="111"/>
      <c r="D4331" s="111"/>
      <c r="E4331" s="112"/>
    </row>
    <row r="4332" spans="1:5">
      <c r="A4332" s="110"/>
      <c r="B4332" s="111"/>
      <c r="C4332" s="111"/>
      <c r="D4332" s="111"/>
      <c r="E4332" s="112"/>
    </row>
    <row r="4333" spans="1:5">
      <c r="A4333" s="110"/>
      <c r="B4333" s="111"/>
      <c r="C4333" s="111"/>
      <c r="D4333" s="111"/>
      <c r="E4333" s="112"/>
    </row>
    <row r="4334" spans="1:5">
      <c r="A4334" s="110"/>
      <c r="B4334" s="111"/>
      <c r="C4334" s="111"/>
      <c r="D4334" s="111"/>
      <c r="E4334" s="112"/>
    </row>
    <row r="4335" spans="1:5">
      <c r="A4335" s="110"/>
      <c r="B4335" s="111"/>
      <c r="C4335" s="111"/>
      <c r="D4335" s="111"/>
      <c r="E4335" s="112"/>
    </row>
    <row r="4336" spans="1:5">
      <c r="A4336" s="110"/>
      <c r="B4336" s="111"/>
      <c r="C4336" s="111"/>
      <c r="D4336" s="111"/>
      <c r="E4336" s="112"/>
    </row>
    <row r="4337" spans="1:5">
      <c r="A4337" s="110"/>
      <c r="B4337" s="111"/>
      <c r="C4337" s="111"/>
      <c r="D4337" s="111"/>
      <c r="E4337" s="112"/>
    </row>
    <row r="4338" spans="1:5">
      <c r="A4338" s="110"/>
      <c r="B4338" s="111"/>
      <c r="C4338" s="111"/>
      <c r="D4338" s="111"/>
      <c r="E4338" s="112"/>
    </row>
    <row r="4339" spans="1:5">
      <c r="A4339" s="110"/>
      <c r="B4339" s="111"/>
      <c r="C4339" s="111"/>
      <c r="D4339" s="111"/>
      <c r="E4339" s="112"/>
    </row>
    <row r="4340" spans="1:5">
      <c r="A4340" s="110"/>
      <c r="B4340" s="111"/>
      <c r="C4340" s="111"/>
      <c r="D4340" s="111"/>
      <c r="E4340" s="112"/>
    </row>
    <row r="4341" spans="1:5">
      <c r="A4341" s="110"/>
      <c r="B4341" s="111"/>
      <c r="C4341" s="111"/>
      <c r="D4341" s="111"/>
      <c r="E4341" s="112"/>
    </row>
    <row r="4342" spans="1:5">
      <c r="A4342" s="110"/>
      <c r="B4342" s="111"/>
      <c r="C4342" s="111"/>
      <c r="D4342" s="111"/>
      <c r="E4342" s="112"/>
    </row>
    <row r="4343" spans="1:5">
      <c r="A4343" s="110"/>
      <c r="B4343" s="111"/>
      <c r="C4343" s="111"/>
      <c r="D4343" s="111"/>
      <c r="E4343" s="112"/>
    </row>
    <row r="4344" spans="1:5">
      <c r="A4344" s="110"/>
      <c r="B4344" s="111"/>
      <c r="C4344" s="111"/>
      <c r="D4344" s="111"/>
      <c r="E4344" s="112"/>
    </row>
    <row r="4345" spans="1:5">
      <c r="A4345" s="110"/>
      <c r="B4345" s="111"/>
      <c r="C4345" s="111"/>
      <c r="E4345" s="112"/>
    </row>
    <row r="4346" spans="1:5">
      <c r="A4346" s="110"/>
      <c r="B4346" s="111"/>
      <c r="C4346" s="111"/>
      <c r="D4346" s="111"/>
      <c r="E4346" s="112"/>
    </row>
    <row r="4347" spans="1:5">
      <c r="A4347" s="110"/>
      <c r="B4347" s="111"/>
      <c r="C4347" s="111"/>
      <c r="D4347" s="111"/>
      <c r="E4347" s="112"/>
    </row>
    <row r="4348" spans="1:5">
      <c r="A4348" s="110"/>
      <c r="B4348" s="111"/>
      <c r="C4348" s="111"/>
      <c r="D4348" s="111"/>
      <c r="E4348" s="112"/>
    </row>
    <row r="4349" spans="1:5">
      <c r="A4349" s="118"/>
      <c r="B4349" s="120"/>
      <c r="D4349" s="111"/>
      <c r="E4349" s="112"/>
    </row>
    <row r="4350" spans="1:5">
      <c r="A4350" s="110"/>
      <c r="B4350" s="111"/>
      <c r="C4350" s="111"/>
      <c r="D4350" s="111"/>
      <c r="E4350" s="112"/>
    </row>
    <row r="4351" spans="1:5">
      <c r="A4351" s="110"/>
      <c r="B4351" s="111"/>
      <c r="C4351" s="111"/>
      <c r="D4351" s="111"/>
      <c r="E4351" s="112"/>
    </row>
    <row r="4352" spans="1:5">
      <c r="A4352" s="110"/>
      <c r="B4352" s="111"/>
      <c r="C4352" s="111"/>
      <c r="D4352" s="111"/>
      <c r="E4352" s="112"/>
    </row>
    <row r="4353" spans="1:5">
      <c r="A4353" s="110"/>
      <c r="B4353" s="111"/>
      <c r="C4353" s="111"/>
      <c r="D4353" s="111"/>
      <c r="E4353" s="112"/>
    </row>
    <row r="4354" spans="1:5">
      <c r="A4354" s="110"/>
      <c r="B4354" s="111"/>
      <c r="C4354" s="111"/>
      <c r="D4354" s="111"/>
      <c r="E4354" s="112"/>
    </row>
    <row r="4355" spans="1:5">
      <c r="A4355" s="110"/>
      <c r="B4355" s="111"/>
      <c r="C4355" s="111"/>
      <c r="D4355" s="111"/>
      <c r="E4355" s="112"/>
    </row>
    <row r="4356" spans="1:5">
      <c r="A4356" s="110"/>
      <c r="B4356" s="111"/>
      <c r="C4356" s="111"/>
      <c r="D4356" s="111"/>
      <c r="E4356" s="112"/>
    </row>
    <row r="4357" spans="1:5">
      <c r="A4357" s="110"/>
      <c r="B4357" s="111"/>
      <c r="C4357" s="111"/>
      <c r="D4357" s="111"/>
      <c r="E4357" s="112"/>
    </row>
    <row r="4358" spans="1:5">
      <c r="A4358" s="110"/>
      <c r="B4358" s="111"/>
      <c r="C4358" s="111"/>
      <c r="D4358" s="111"/>
      <c r="E4358" s="112"/>
    </row>
    <row r="4359" spans="1:5">
      <c r="A4359" s="118"/>
      <c r="B4359" s="119"/>
      <c r="D4359" s="111"/>
      <c r="E4359" s="112"/>
    </row>
    <row r="4360" spans="1:5">
      <c r="A4360" s="110"/>
      <c r="B4360" s="111"/>
      <c r="C4360" s="111"/>
      <c r="D4360" s="111"/>
      <c r="E4360" s="112"/>
    </row>
    <row r="4361" spans="1:5">
      <c r="A4361" s="110"/>
      <c r="B4361" s="111"/>
      <c r="C4361" s="111"/>
      <c r="D4361" s="111"/>
      <c r="E4361" s="112"/>
    </row>
    <row r="4362" spans="1:5">
      <c r="A4362" s="110"/>
      <c r="B4362" s="111"/>
      <c r="C4362" s="111"/>
      <c r="D4362" s="111"/>
      <c r="E4362" s="112"/>
    </row>
    <row r="4363" spans="1:5">
      <c r="A4363" s="110"/>
      <c r="B4363" s="111"/>
      <c r="C4363" s="111"/>
      <c r="D4363" s="111"/>
      <c r="E4363" s="112"/>
    </row>
    <row r="4364" spans="1:5">
      <c r="A4364" s="110"/>
      <c r="B4364" s="111"/>
      <c r="C4364" s="111"/>
      <c r="D4364" s="111"/>
      <c r="E4364" s="112"/>
    </row>
    <row r="4365" spans="1:5">
      <c r="A4365" s="110"/>
      <c r="B4365" s="111"/>
      <c r="C4365" s="111"/>
      <c r="D4365" s="111"/>
      <c r="E4365" s="112"/>
    </row>
    <row r="4366" spans="1:5">
      <c r="A4366" s="110"/>
      <c r="B4366" s="111"/>
      <c r="C4366" s="111"/>
      <c r="D4366" s="111"/>
      <c r="E4366" s="112"/>
    </row>
    <row r="4367" spans="1:5">
      <c r="A4367" s="110"/>
      <c r="B4367" s="111"/>
      <c r="C4367" s="111"/>
      <c r="D4367" s="111"/>
      <c r="E4367" s="112"/>
    </row>
    <row r="4368" spans="1:5">
      <c r="A4368" s="110"/>
      <c r="B4368" s="111"/>
      <c r="C4368" s="111"/>
      <c r="D4368" s="111"/>
      <c r="E4368" s="112"/>
    </row>
    <row r="4369" spans="1:5">
      <c r="A4369" s="110"/>
      <c r="B4369" s="111"/>
      <c r="C4369" s="111"/>
      <c r="D4369" s="111"/>
      <c r="E4369" s="112"/>
    </row>
    <row r="4370" spans="1:5">
      <c r="A4370" s="110"/>
      <c r="B4370" s="111"/>
      <c r="C4370" s="111"/>
      <c r="D4370" s="111"/>
      <c r="E4370" s="112"/>
    </row>
    <row r="4371" spans="1:5">
      <c r="A4371" s="110"/>
      <c r="B4371" s="111"/>
      <c r="C4371" s="111"/>
      <c r="D4371" s="111"/>
      <c r="E4371" s="112"/>
    </row>
    <row r="4372" spans="1:5">
      <c r="A4372" s="110"/>
      <c r="B4372" s="111"/>
      <c r="C4372" s="111"/>
      <c r="D4372" s="111"/>
      <c r="E4372" s="112"/>
    </row>
    <row r="4373" spans="1:5">
      <c r="A4373" s="110"/>
      <c r="B4373" s="111"/>
      <c r="C4373" s="111"/>
      <c r="D4373" s="111"/>
      <c r="E4373" s="112"/>
    </row>
    <row r="4374" spans="1:5">
      <c r="A4374" s="110"/>
      <c r="B4374" s="111"/>
      <c r="C4374" s="111"/>
      <c r="D4374" s="111"/>
      <c r="E4374" s="112"/>
    </row>
    <row r="4375" spans="1:5">
      <c r="A4375" s="110"/>
      <c r="B4375" s="111"/>
      <c r="C4375" s="111"/>
      <c r="D4375" s="111"/>
      <c r="E4375" s="112"/>
    </row>
    <row r="4376" spans="1:5">
      <c r="A4376" s="110"/>
      <c r="B4376" s="111"/>
      <c r="C4376" s="111"/>
      <c r="D4376" s="111"/>
      <c r="E4376" s="112"/>
    </row>
    <row r="4377" spans="1:5">
      <c r="A4377" s="110"/>
      <c r="B4377" s="111"/>
      <c r="C4377" s="111"/>
      <c r="D4377" s="111"/>
      <c r="E4377" s="112"/>
    </row>
    <row r="4378" spans="1:5">
      <c r="A4378" s="110"/>
      <c r="B4378" s="111"/>
      <c r="C4378" s="111"/>
      <c r="D4378" s="111"/>
      <c r="E4378" s="112"/>
    </row>
    <row r="4379" spans="1:5">
      <c r="A4379" s="110"/>
      <c r="B4379" s="111"/>
      <c r="C4379" s="111"/>
      <c r="D4379" s="111"/>
      <c r="E4379" s="112"/>
    </row>
    <row r="4380" spans="1:5">
      <c r="A4380" s="110"/>
      <c r="B4380" s="111"/>
      <c r="C4380" s="111"/>
      <c r="D4380" s="111"/>
      <c r="E4380" s="112"/>
    </row>
    <row r="4381" spans="1:5">
      <c r="A4381" s="110"/>
      <c r="B4381" s="111"/>
      <c r="C4381" s="111"/>
      <c r="D4381" s="111"/>
      <c r="E4381" s="112"/>
    </row>
    <row r="4382" spans="1:5">
      <c r="A4382" s="110"/>
      <c r="B4382" s="111"/>
      <c r="C4382" s="111"/>
      <c r="D4382" s="111"/>
      <c r="E4382" s="112"/>
    </row>
    <row r="4383" spans="1:5">
      <c r="A4383" s="110"/>
      <c r="B4383" s="111"/>
      <c r="C4383" s="111"/>
      <c r="D4383" s="111"/>
      <c r="E4383" s="112"/>
    </row>
    <row r="4384" spans="1:5">
      <c r="A4384" s="110"/>
      <c r="B4384" s="111"/>
      <c r="C4384" s="111"/>
      <c r="D4384" s="111"/>
      <c r="E4384" s="112"/>
    </row>
    <row r="4385" spans="1:5">
      <c r="A4385" s="110"/>
      <c r="B4385" s="111"/>
      <c r="C4385" s="111"/>
      <c r="D4385" s="111"/>
      <c r="E4385" s="112"/>
    </row>
    <row r="4386" spans="1:5">
      <c r="A4386" s="110"/>
      <c r="B4386" s="111"/>
      <c r="C4386" s="111"/>
      <c r="D4386" s="111"/>
      <c r="E4386" s="112"/>
    </row>
    <row r="4387" spans="1:5">
      <c r="A4387" s="110"/>
      <c r="B4387" s="111"/>
      <c r="C4387" s="111"/>
      <c r="D4387" s="111"/>
      <c r="E4387" s="112"/>
    </row>
    <row r="4388" spans="1:5">
      <c r="A4388" s="110"/>
      <c r="B4388" s="111"/>
      <c r="C4388" s="111"/>
      <c r="D4388" s="111"/>
      <c r="E4388" s="112"/>
    </row>
    <row r="4389" spans="1:5">
      <c r="A4389" s="110"/>
      <c r="B4389" s="111"/>
      <c r="C4389" s="111"/>
      <c r="D4389" s="111"/>
      <c r="E4389" s="112"/>
    </row>
    <row r="4390" spans="1:5">
      <c r="A4390" s="110"/>
      <c r="B4390" s="111"/>
      <c r="C4390" s="111"/>
      <c r="D4390" s="111"/>
      <c r="E4390" s="112"/>
    </row>
    <row r="4391" spans="1:5">
      <c r="A4391" s="110"/>
      <c r="B4391" s="111"/>
      <c r="C4391" s="111"/>
      <c r="D4391" s="111"/>
      <c r="E4391" s="112"/>
    </row>
    <row r="4392" spans="1:5">
      <c r="A4392" s="110"/>
      <c r="B4392" s="111"/>
      <c r="C4392" s="111"/>
      <c r="D4392" s="111"/>
      <c r="E4392" s="112"/>
    </row>
    <row r="4393" spans="1:5">
      <c r="A4393" s="110"/>
      <c r="B4393" s="111"/>
      <c r="C4393" s="111"/>
      <c r="D4393" s="111"/>
      <c r="E4393" s="112"/>
    </row>
    <row r="4394" spans="1:5">
      <c r="A4394" s="110"/>
      <c r="B4394" s="111"/>
      <c r="C4394" s="111"/>
      <c r="D4394" s="111"/>
      <c r="E4394" s="112"/>
    </row>
    <row r="4395" spans="1:5">
      <c r="A4395" s="110"/>
      <c r="B4395" s="111"/>
      <c r="C4395" s="111"/>
      <c r="D4395" s="111"/>
      <c r="E4395" s="112"/>
    </row>
    <row r="4396" spans="1:5">
      <c r="A4396" s="110"/>
      <c r="B4396" s="111"/>
      <c r="C4396" s="111"/>
      <c r="D4396" s="111"/>
      <c r="E4396" s="112"/>
    </row>
    <row r="4397" spans="1:5">
      <c r="A4397" s="110"/>
      <c r="B4397" s="111"/>
      <c r="C4397" s="111"/>
      <c r="D4397" s="111"/>
      <c r="E4397" s="112"/>
    </row>
    <row r="4398" spans="1:5">
      <c r="A4398" s="110"/>
      <c r="B4398" s="111"/>
      <c r="C4398" s="111"/>
      <c r="D4398" s="111"/>
      <c r="E4398" s="112"/>
    </row>
    <row r="4399" spans="1:5">
      <c r="A4399" s="110"/>
      <c r="B4399" s="111"/>
      <c r="C4399" s="111"/>
      <c r="D4399" s="111"/>
      <c r="E4399" s="112"/>
    </row>
    <row r="4400" spans="1:5">
      <c r="A4400" s="110"/>
      <c r="B4400" s="111"/>
      <c r="C4400" s="111"/>
      <c r="D4400" s="111"/>
      <c r="E4400" s="112"/>
    </row>
    <row r="4401" spans="1:5">
      <c r="A4401" s="110"/>
      <c r="B4401" s="111"/>
      <c r="C4401" s="111"/>
      <c r="D4401" s="111"/>
      <c r="E4401" s="112"/>
    </row>
    <row r="4402" spans="1:5">
      <c r="A4402" s="110"/>
      <c r="B4402" s="111"/>
      <c r="C4402" s="111"/>
      <c r="D4402" s="111"/>
      <c r="E4402" s="112"/>
    </row>
    <row r="4403" spans="1:5">
      <c r="A4403" s="110"/>
      <c r="B4403" s="111"/>
      <c r="C4403" s="111"/>
      <c r="D4403" s="111"/>
      <c r="E4403" s="112"/>
    </row>
    <row r="4404" spans="1:5">
      <c r="A4404" s="110"/>
      <c r="B4404" s="111"/>
      <c r="C4404" s="111"/>
      <c r="D4404" s="111"/>
      <c r="E4404" s="112"/>
    </row>
    <row r="4405" spans="1:5">
      <c r="A4405" s="110"/>
      <c r="B4405" s="111"/>
      <c r="C4405" s="111"/>
      <c r="D4405" s="111"/>
      <c r="E4405" s="112"/>
    </row>
    <row r="4406" spans="1:5">
      <c r="A4406" s="110"/>
      <c r="B4406" s="111"/>
      <c r="C4406" s="111"/>
      <c r="D4406" s="111"/>
      <c r="E4406" s="112"/>
    </row>
    <row r="4407" spans="1:5">
      <c r="A4407" s="110"/>
      <c r="B4407" s="111"/>
      <c r="C4407" s="111"/>
      <c r="D4407" s="111"/>
      <c r="E4407" s="112"/>
    </row>
    <row r="4408" spans="1:5">
      <c r="A4408" s="110"/>
      <c r="B4408" s="111"/>
      <c r="C4408" s="111"/>
      <c r="D4408" s="111"/>
      <c r="E4408" s="112"/>
    </row>
    <row r="4409" spans="1:5">
      <c r="A4409" s="110"/>
      <c r="B4409" s="111"/>
      <c r="C4409" s="111"/>
      <c r="D4409" s="111"/>
      <c r="E4409" s="112"/>
    </row>
    <row r="4410" spans="1:5">
      <c r="A4410" s="110"/>
      <c r="B4410" s="111"/>
      <c r="C4410" s="111"/>
      <c r="D4410" s="111"/>
      <c r="E4410" s="112"/>
    </row>
    <row r="4411" spans="1:5">
      <c r="A4411" s="110"/>
      <c r="B4411" s="111"/>
      <c r="C4411" s="111"/>
      <c r="D4411" s="111"/>
      <c r="E4411" s="112"/>
    </row>
    <row r="4412" spans="1:5">
      <c r="A4412" s="110"/>
      <c r="B4412" s="111"/>
      <c r="C4412" s="111"/>
      <c r="D4412" s="111"/>
      <c r="E4412" s="112"/>
    </row>
    <row r="4413" spans="1:5">
      <c r="A4413" s="110"/>
      <c r="B4413" s="111"/>
      <c r="C4413" s="111"/>
      <c r="D4413" s="111"/>
      <c r="E4413" s="112"/>
    </row>
    <row r="4414" spans="1:5">
      <c r="A4414" s="110"/>
      <c r="B4414" s="111"/>
      <c r="C4414" s="111"/>
      <c r="D4414" s="111"/>
      <c r="E4414" s="112"/>
    </row>
    <row r="4415" spans="1:5">
      <c r="A4415" s="110"/>
      <c r="B4415" s="111"/>
      <c r="C4415" s="111"/>
      <c r="D4415" s="111"/>
      <c r="E4415" s="112"/>
    </row>
    <row r="4416" spans="1:5">
      <c r="A4416" s="110"/>
      <c r="B4416" s="111"/>
      <c r="C4416" s="111"/>
      <c r="D4416" s="111"/>
      <c r="E4416" s="112"/>
    </row>
    <row r="4417" spans="1:5">
      <c r="A4417" s="110"/>
      <c r="B4417" s="111"/>
      <c r="C4417" s="111"/>
      <c r="D4417" s="111"/>
      <c r="E4417" s="112"/>
    </row>
    <row r="4418" spans="1:5">
      <c r="B4418" s="111"/>
      <c r="C4418" s="111"/>
      <c r="D4418" s="111"/>
      <c r="E4418" s="112"/>
    </row>
    <row r="4419" spans="1:5">
      <c r="B4419" s="111"/>
      <c r="C4419" s="111"/>
      <c r="D4419" s="111"/>
      <c r="E4419" s="112"/>
    </row>
    <row r="4420" spans="1:5">
      <c r="B4420" s="111"/>
      <c r="C4420" s="111"/>
      <c r="D4420" s="111"/>
      <c r="E4420" s="112"/>
    </row>
    <row r="4421" spans="1:5">
      <c r="B4421" s="111"/>
      <c r="C4421" s="111"/>
      <c r="D4421" s="111"/>
      <c r="E4421" s="112"/>
    </row>
    <row r="4422" spans="1:5">
      <c r="B4422" s="111"/>
      <c r="C4422" s="111"/>
      <c r="D4422" s="111"/>
      <c r="E4422" s="112"/>
    </row>
    <row r="4423" spans="1:5">
      <c r="B4423" s="111"/>
      <c r="C4423" s="111"/>
      <c r="D4423" s="111"/>
      <c r="E4423" s="112"/>
    </row>
    <row r="4424" spans="1:5">
      <c r="B4424" s="111"/>
      <c r="C4424" s="111"/>
      <c r="D4424" s="111"/>
      <c r="E4424" s="112"/>
    </row>
    <row r="4425" spans="1:5">
      <c r="B4425" s="111"/>
      <c r="C4425" s="111"/>
      <c r="D4425" s="111"/>
      <c r="E4425" s="112"/>
    </row>
    <row r="4426" spans="1:5">
      <c r="B4426" s="111"/>
      <c r="C4426" s="111"/>
      <c r="D4426" s="111"/>
      <c r="E4426" s="112"/>
    </row>
    <row r="4427" spans="1:5">
      <c r="B4427" s="111"/>
      <c r="C4427" s="111"/>
      <c r="D4427" s="111"/>
      <c r="E4427" s="112"/>
    </row>
    <row r="4428" spans="1:5">
      <c r="B4428" s="111"/>
      <c r="C4428" s="111"/>
      <c r="D4428" s="111"/>
      <c r="E4428" s="112"/>
    </row>
    <row r="4429" spans="1:5">
      <c r="B4429" s="111"/>
      <c r="C4429" s="111"/>
      <c r="D4429" s="111"/>
      <c r="E4429" s="112"/>
    </row>
    <row r="4430" spans="1:5">
      <c r="B4430" s="111"/>
      <c r="C4430" s="111"/>
      <c r="D4430" s="111"/>
      <c r="E4430" s="112"/>
    </row>
    <row r="4431" spans="1:5">
      <c r="B4431" s="111"/>
      <c r="C4431" s="111"/>
      <c r="D4431" s="111"/>
      <c r="E4431" s="112"/>
    </row>
    <row r="4432" spans="1:5">
      <c r="B4432" s="111"/>
      <c r="C4432" s="111"/>
      <c r="D4432" s="111"/>
      <c r="E4432" s="112"/>
    </row>
    <row r="4433" spans="2:5">
      <c r="B4433" s="111"/>
      <c r="C4433" s="111"/>
      <c r="D4433" s="111"/>
      <c r="E4433" s="112"/>
    </row>
    <row r="4434" spans="2:5">
      <c r="B4434" s="111"/>
      <c r="C4434" s="111"/>
      <c r="D4434" s="111"/>
      <c r="E4434" s="112"/>
    </row>
    <row r="4435" spans="2:5">
      <c r="B4435" s="111"/>
      <c r="C4435" s="111"/>
      <c r="D4435" s="111"/>
      <c r="E4435" s="112"/>
    </row>
    <row r="4436" spans="2:5">
      <c r="B4436" s="111"/>
      <c r="C4436" s="111"/>
      <c r="D4436" s="111"/>
      <c r="E4436" s="112"/>
    </row>
    <row r="4437" spans="2:5">
      <c r="B4437" s="111"/>
      <c r="C4437" s="111"/>
      <c r="D4437" s="111"/>
      <c r="E4437" s="112"/>
    </row>
    <row r="4438" spans="2:5">
      <c r="B4438" s="111"/>
      <c r="C4438" s="111"/>
      <c r="D4438" s="111"/>
      <c r="E4438" s="112"/>
    </row>
    <row r="4439" spans="2:5">
      <c r="B4439" s="111"/>
      <c r="C4439" s="111"/>
      <c r="D4439" s="111"/>
      <c r="E4439" s="112"/>
    </row>
    <row r="4440" spans="2:5">
      <c r="B4440" s="111"/>
      <c r="C4440" s="111"/>
      <c r="D4440" s="111"/>
      <c r="E4440" s="112"/>
    </row>
    <row r="4441" spans="2:5">
      <c r="B4441" s="111"/>
      <c r="C4441" s="111"/>
      <c r="D4441" s="111"/>
      <c r="E4441" s="112"/>
    </row>
    <row r="4442" spans="2:5">
      <c r="B4442" s="111"/>
      <c r="C4442" s="111"/>
      <c r="D4442" s="111"/>
      <c r="E4442" s="112"/>
    </row>
    <row r="4443" spans="2:5">
      <c r="B4443" s="111"/>
      <c r="C4443" s="111"/>
      <c r="D4443" s="111"/>
      <c r="E4443" s="112"/>
    </row>
    <row r="4444" spans="2:5">
      <c r="B4444" s="111"/>
      <c r="C4444" s="111"/>
      <c r="D4444" s="111"/>
      <c r="E4444" s="112"/>
    </row>
    <row r="4445" spans="2:5">
      <c r="B4445" s="111"/>
      <c r="C4445" s="111"/>
      <c r="D4445" s="111"/>
      <c r="E4445" s="112"/>
    </row>
    <row r="4446" spans="2:5">
      <c r="B4446" s="111"/>
      <c r="C4446" s="111"/>
      <c r="D4446" s="111"/>
      <c r="E4446" s="112"/>
    </row>
    <row r="4447" spans="2:5">
      <c r="B4447" s="111"/>
      <c r="C4447" s="111"/>
      <c r="D4447" s="111"/>
      <c r="E4447" s="112"/>
    </row>
    <row r="4448" spans="2:5">
      <c r="B4448" s="111"/>
      <c r="C4448" s="111"/>
      <c r="D4448" s="111"/>
      <c r="E4448" s="112"/>
    </row>
    <row r="4449" spans="2:5">
      <c r="B4449" s="111"/>
      <c r="C4449" s="111"/>
      <c r="D4449" s="111"/>
      <c r="E4449" s="112"/>
    </row>
    <row r="4450" spans="2:5">
      <c r="B4450" s="111"/>
      <c r="C4450" s="111"/>
      <c r="D4450" s="111"/>
      <c r="E4450" s="112"/>
    </row>
    <row r="4451" spans="2:5">
      <c r="B4451" s="111"/>
      <c r="C4451" s="111"/>
      <c r="D4451" s="111"/>
      <c r="E4451" s="112"/>
    </row>
    <row r="4452" spans="2:5">
      <c r="B4452" s="111"/>
      <c r="C4452" s="111"/>
      <c r="D4452" s="111"/>
      <c r="E4452" s="112"/>
    </row>
    <row r="4453" spans="2:5">
      <c r="B4453" s="111"/>
      <c r="C4453" s="111"/>
      <c r="D4453" s="111"/>
      <c r="E4453" s="112"/>
    </row>
    <row r="4454" spans="2:5">
      <c r="B4454" s="111"/>
      <c r="C4454" s="111"/>
      <c r="D4454" s="111"/>
      <c r="E4454" s="112"/>
    </row>
    <row r="4455" spans="2:5">
      <c r="B4455" s="111"/>
      <c r="C4455" s="111"/>
      <c r="D4455" s="111"/>
      <c r="E4455" s="112"/>
    </row>
    <row r="4456" spans="2:5">
      <c r="B4456" s="111"/>
      <c r="C4456" s="111"/>
      <c r="D4456" s="111"/>
      <c r="E4456" s="112"/>
    </row>
    <row r="4457" spans="2:5">
      <c r="B4457" s="111"/>
      <c r="C4457" s="111"/>
      <c r="D4457" s="111"/>
      <c r="E4457" s="112"/>
    </row>
    <row r="4458" spans="2:5">
      <c r="B4458" s="111"/>
      <c r="C4458" s="111"/>
      <c r="D4458" s="111"/>
      <c r="E4458" s="112"/>
    </row>
    <row r="4459" spans="2:5">
      <c r="B4459" s="111"/>
      <c r="C4459" s="111"/>
      <c r="D4459" s="111"/>
      <c r="E4459" s="112"/>
    </row>
    <row r="4460" spans="2:5">
      <c r="B4460" s="111"/>
      <c r="C4460" s="111"/>
      <c r="D4460" s="111"/>
      <c r="E4460" s="112"/>
    </row>
    <row r="4461" spans="2:5">
      <c r="B4461" s="111"/>
      <c r="C4461" s="111"/>
      <c r="D4461" s="111"/>
      <c r="E4461" s="112"/>
    </row>
    <row r="4462" spans="2:5">
      <c r="B4462" s="111"/>
      <c r="C4462" s="111"/>
      <c r="D4462" s="111"/>
      <c r="E4462" s="112"/>
    </row>
    <row r="4463" spans="2:5">
      <c r="B4463" s="111"/>
      <c r="C4463" s="111"/>
      <c r="D4463" s="111"/>
      <c r="E4463" s="112"/>
    </row>
    <row r="4464" spans="2:5">
      <c r="B4464" s="111"/>
      <c r="C4464" s="111"/>
      <c r="D4464" s="111"/>
      <c r="E4464" s="112"/>
    </row>
    <row r="4465" spans="2:5">
      <c r="B4465" s="111"/>
      <c r="C4465" s="111"/>
      <c r="D4465" s="111"/>
      <c r="E4465" s="112"/>
    </row>
    <row r="4466" spans="2:5">
      <c r="B4466" s="111"/>
      <c r="C4466" s="111"/>
      <c r="D4466" s="111"/>
      <c r="E4466" s="112"/>
    </row>
    <row r="4467" spans="2:5">
      <c r="B4467" s="111"/>
      <c r="C4467" s="111"/>
      <c r="D4467" s="111"/>
      <c r="E4467" s="112"/>
    </row>
    <row r="4468" spans="2:5">
      <c r="B4468" s="111"/>
      <c r="C4468" s="111"/>
      <c r="D4468" s="111"/>
      <c r="E4468" s="112"/>
    </row>
    <row r="4469" spans="2:5">
      <c r="B4469" s="111"/>
      <c r="C4469" s="111"/>
      <c r="D4469" s="111"/>
      <c r="E4469" s="112"/>
    </row>
    <row r="4470" spans="2:5">
      <c r="B4470" s="111"/>
      <c r="C4470" s="111"/>
      <c r="D4470" s="111"/>
      <c r="E4470" s="112"/>
    </row>
    <row r="4471" spans="2:5">
      <c r="B4471" s="111"/>
      <c r="C4471" s="111"/>
      <c r="D4471" s="111"/>
      <c r="E4471" s="112"/>
    </row>
    <row r="4472" spans="2:5">
      <c r="B4472" s="111"/>
      <c r="C4472" s="111"/>
      <c r="D4472" s="111"/>
      <c r="E4472" s="112"/>
    </row>
    <row r="4473" spans="2:5">
      <c r="B4473" s="111"/>
      <c r="C4473" s="111"/>
      <c r="D4473" s="111"/>
      <c r="E4473" s="112"/>
    </row>
    <row r="4474" spans="2:5">
      <c r="B4474" s="111"/>
      <c r="C4474" s="111"/>
      <c r="D4474" s="111"/>
      <c r="E4474" s="112"/>
    </row>
    <row r="4475" spans="2:5">
      <c r="B4475" s="111"/>
      <c r="C4475" s="111"/>
      <c r="D4475" s="111"/>
      <c r="E4475" s="112"/>
    </row>
    <row r="4476" spans="2:5">
      <c r="B4476" s="111"/>
      <c r="C4476" s="111"/>
      <c r="D4476" s="111"/>
      <c r="E4476" s="112"/>
    </row>
    <row r="4477" spans="2:5">
      <c r="B4477" s="111"/>
      <c r="C4477" s="111"/>
      <c r="D4477" s="111"/>
      <c r="E4477" s="112"/>
    </row>
    <row r="4478" spans="2:5">
      <c r="B4478" s="111"/>
      <c r="C4478" s="111"/>
      <c r="D4478" s="111"/>
      <c r="E4478" s="112"/>
    </row>
    <row r="4479" spans="2:5">
      <c r="B4479" s="111"/>
      <c r="C4479" s="111"/>
      <c r="D4479" s="111"/>
      <c r="E4479" s="112"/>
    </row>
    <row r="4480" spans="2:5">
      <c r="B4480" s="111"/>
      <c r="C4480" s="111"/>
      <c r="D4480" s="111"/>
      <c r="E4480" s="112"/>
    </row>
    <row r="4481" spans="1:5">
      <c r="B4481" s="111"/>
      <c r="C4481" s="111"/>
      <c r="D4481" s="111"/>
      <c r="E4481" s="112"/>
    </row>
    <row r="4482" spans="1:5">
      <c r="B4482" s="111"/>
      <c r="C4482" s="111"/>
      <c r="D4482" s="111"/>
      <c r="E4482" s="112"/>
    </row>
    <row r="4483" spans="1:5">
      <c r="B4483" s="111"/>
      <c r="C4483" s="111"/>
      <c r="D4483" s="111"/>
      <c r="E4483" s="112"/>
    </row>
    <row r="4484" spans="1:5">
      <c r="A4484" s="110"/>
      <c r="B4484" s="111"/>
      <c r="C4484" s="111"/>
      <c r="D4484" s="111"/>
      <c r="E4484" s="112"/>
    </row>
    <row r="4485" spans="1:5">
      <c r="A4485" s="110"/>
      <c r="B4485" s="111"/>
      <c r="C4485" s="111"/>
      <c r="D4485" s="111"/>
      <c r="E4485" s="112"/>
    </row>
    <row r="4486" spans="1:5">
      <c r="A4486" s="110"/>
      <c r="B4486" s="111"/>
      <c r="C4486" s="111"/>
      <c r="D4486" s="111"/>
      <c r="E4486" s="112"/>
    </row>
    <row r="4487" spans="1:5">
      <c r="A4487" s="110"/>
      <c r="B4487" s="111"/>
      <c r="C4487" s="111"/>
      <c r="D4487" s="111"/>
      <c r="E4487" s="112"/>
    </row>
    <row r="4488" spans="1:5">
      <c r="A4488" s="110"/>
      <c r="B4488" s="111"/>
      <c r="C4488" s="111"/>
      <c r="D4488" s="111"/>
      <c r="E4488" s="112"/>
    </row>
    <row r="4489" spans="1:5">
      <c r="A4489" s="110"/>
      <c r="B4489" s="111"/>
      <c r="C4489" s="111"/>
      <c r="D4489" s="111"/>
      <c r="E4489" s="112"/>
    </row>
    <row r="4490" spans="1:5">
      <c r="A4490" s="110"/>
      <c r="B4490" s="111"/>
      <c r="C4490" s="111"/>
      <c r="D4490" s="111"/>
      <c r="E4490" s="112"/>
    </row>
    <row r="4491" spans="1:5">
      <c r="A4491" s="110"/>
      <c r="B4491" s="111"/>
      <c r="C4491" s="111"/>
      <c r="D4491" s="111"/>
      <c r="E4491" s="112"/>
    </row>
    <row r="4492" spans="1:5">
      <c r="A4492" s="110"/>
      <c r="B4492" s="111"/>
      <c r="C4492" s="111"/>
      <c r="D4492" s="111"/>
      <c r="E4492" s="112"/>
    </row>
    <row r="4493" spans="1:5">
      <c r="A4493" s="110"/>
      <c r="C4493" s="111"/>
      <c r="D4493" s="111"/>
      <c r="E4493" s="112"/>
    </row>
    <row r="4494" spans="1:5">
      <c r="A4494" s="110"/>
      <c r="C4494" s="111"/>
      <c r="D4494" s="111"/>
      <c r="E4494" s="112"/>
    </row>
    <row r="4495" spans="1:5">
      <c r="A4495" s="110"/>
      <c r="C4495" s="111"/>
      <c r="D4495" s="111"/>
      <c r="E4495" s="112"/>
    </row>
    <row r="4496" spans="1:5">
      <c r="A4496" s="110"/>
      <c r="C4496" s="111"/>
      <c r="D4496" s="111"/>
      <c r="E4496" s="112"/>
    </row>
    <row r="4497" spans="1:5">
      <c r="A4497" s="110"/>
      <c r="C4497" s="111"/>
      <c r="D4497" s="111"/>
      <c r="E4497" s="112"/>
    </row>
    <row r="4498" spans="1:5">
      <c r="A4498" s="110"/>
      <c r="C4498" s="111"/>
      <c r="D4498" s="111"/>
      <c r="E4498" s="112"/>
    </row>
    <row r="4499" spans="1:5">
      <c r="A4499" s="110"/>
      <c r="C4499" s="111"/>
      <c r="D4499" s="111"/>
      <c r="E4499" s="112"/>
    </row>
    <row r="4500" spans="1:5">
      <c r="A4500" s="110"/>
      <c r="C4500" s="111"/>
      <c r="D4500" s="111"/>
      <c r="E4500" s="112"/>
    </row>
    <row r="4501" spans="1:5">
      <c r="A4501" s="110"/>
      <c r="C4501" s="111"/>
      <c r="D4501" s="111"/>
      <c r="E4501" s="112"/>
    </row>
    <row r="4502" spans="1:5">
      <c r="A4502" s="110"/>
      <c r="C4502" s="111"/>
      <c r="D4502" s="111"/>
      <c r="E4502" s="112"/>
    </row>
    <row r="4503" spans="1:5">
      <c r="A4503" s="110"/>
      <c r="C4503" s="111"/>
      <c r="D4503" s="111"/>
      <c r="E4503" s="112"/>
    </row>
    <row r="4504" spans="1:5">
      <c r="A4504" s="110"/>
      <c r="B4504" s="111"/>
      <c r="C4504" s="111"/>
      <c r="D4504" s="111"/>
      <c r="E4504" s="112"/>
    </row>
    <row r="4505" spans="1:5">
      <c r="A4505" s="110"/>
      <c r="B4505" s="111"/>
      <c r="C4505" s="111"/>
      <c r="D4505" s="111"/>
      <c r="E4505" s="112"/>
    </row>
    <row r="4506" spans="1:5">
      <c r="A4506" s="110"/>
      <c r="B4506" s="111"/>
      <c r="C4506" s="111"/>
      <c r="D4506" s="111"/>
      <c r="E4506" s="112"/>
    </row>
    <row r="4507" spans="1:5">
      <c r="A4507" s="110"/>
      <c r="B4507" s="111"/>
      <c r="C4507" s="111"/>
      <c r="D4507" s="111"/>
      <c r="E4507" s="112"/>
    </row>
    <row r="4508" spans="1:5">
      <c r="A4508" s="110"/>
      <c r="B4508" s="111"/>
      <c r="C4508" s="111"/>
      <c r="D4508" s="111"/>
      <c r="E4508" s="112"/>
    </row>
    <row r="4509" spans="1:5">
      <c r="A4509" s="110"/>
      <c r="B4509" s="111"/>
      <c r="C4509" s="111"/>
      <c r="D4509" s="111"/>
      <c r="E4509" s="112"/>
    </row>
    <row r="4510" spans="1:5">
      <c r="A4510" s="110"/>
      <c r="B4510" s="111"/>
      <c r="C4510" s="111"/>
      <c r="D4510" s="111"/>
      <c r="E4510" s="112"/>
    </row>
    <row r="4511" spans="1:5">
      <c r="A4511" s="110"/>
      <c r="B4511" s="111"/>
      <c r="C4511" s="111"/>
      <c r="D4511" s="111"/>
      <c r="E4511" s="112"/>
    </row>
    <row r="4512" spans="1:5">
      <c r="A4512" s="110"/>
      <c r="B4512" s="111"/>
      <c r="C4512" s="111"/>
      <c r="D4512" s="111"/>
      <c r="E4512" s="112"/>
    </row>
    <row r="4513" spans="1:5">
      <c r="A4513" s="110"/>
      <c r="B4513" s="111"/>
      <c r="C4513" s="111"/>
      <c r="D4513" s="111"/>
      <c r="E4513" s="112"/>
    </row>
    <row r="4514" spans="1:5">
      <c r="A4514" s="110"/>
      <c r="B4514" s="111"/>
      <c r="C4514" s="111"/>
      <c r="D4514" s="111"/>
      <c r="E4514" s="112"/>
    </row>
    <row r="4515" spans="1:5">
      <c r="A4515" s="110"/>
      <c r="B4515" s="111"/>
      <c r="C4515" s="111"/>
      <c r="D4515" s="111"/>
      <c r="E4515" s="112"/>
    </row>
    <row r="4516" spans="1:5">
      <c r="A4516" s="110"/>
      <c r="B4516" s="111"/>
      <c r="C4516" s="111"/>
      <c r="D4516" s="111"/>
      <c r="E4516" s="112"/>
    </row>
    <row r="4517" spans="1:5">
      <c r="A4517" s="110"/>
      <c r="B4517" s="111"/>
      <c r="C4517" s="111"/>
      <c r="D4517" s="111"/>
      <c r="E4517" s="112"/>
    </row>
    <row r="4518" spans="1:5">
      <c r="A4518" s="110"/>
      <c r="B4518" s="111"/>
      <c r="C4518" s="111"/>
      <c r="D4518" s="111"/>
      <c r="E4518" s="112"/>
    </row>
    <row r="4519" spans="1:5">
      <c r="A4519" s="110"/>
      <c r="B4519" s="111"/>
      <c r="C4519" s="111"/>
      <c r="D4519" s="111"/>
      <c r="E4519" s="112"/>
    </row>
    <row r="4520" spans="1:5">
      <c r="A4520" s="110"/>
      <c r="B4520" s="111"/>
      <c r="C4520" s="111"/>
      <c r="D4520" s="111"/>
      <c r="E4520" s="112"/>
    </row>
    <row r="4521" spans="1:5">
      <c r="A4521" s="110"/>
      <c r="B4521" s="111"/>
      <c r="C4521" s="111"/>
      <c r="D4521" s="111"/>
      <c r="E4521" s="112"/>
    </row>
    <row r="4522" spans="1:5">
      <c r="A4522" s="110"/>
      <c r="B4522" s="111"/>
      <c r="C4522" s="111"/>
      <c r="D4522" s="111"/>
      <c r="E4522" s="112"/>
    </row>
    <row r="4523" spans="1:5">
      <c r="A4523" s="110"/>
      <c r="B4523" s="111"/>
      <c r="C4523" s="111"/>
      <c r="D4523" s="111"/>
      <c r="E4523" s="112"/>
    </row>
    <row r="4524" spans="1:5">
      <c r="A4524" s="110"/>
      <c r="B4524" s="111"/>
      <c r="C4524" s="111"/>
      <c r="D4524" s="111"/>
      <c r="E4524" s="112"/>
    </row>
    <row r="4525" spans="1:5">
      <c r="A4525" s="110"/>
      <c r="B4525" s="111"/>
      <c r="C4525" s="111"/>
      <c r="D4525" s="111"/>
      <c r="E4525" s="112"/>
    </row>
    <row r="4526" spans="1:5">
      <c r="A4526" s="110"/>
      <c r="B4526" s="111"/>
      <c r="C4526" s="111"/>
      <c r="D4526" s="111"/>
      <c r="E4526" s="112"/>
    </row>
    <row r="4527" spans="1:5">
      <c r="A4527" s="110"/>
      <c r="B4527" s="111"/>
      <c r="C4527" s="111"/>
      <c r="D4527" s="111"/>
      <c r="E4527" s="112"/>
    </row>
    <row r="4528" spans="1:5">
      <c r="A4528" s="110"/>
      <c r="B4528" s="111"/>
      <c r="C4528" s="111"/>
      <c r="D4528" s="111"/>
      <c r="E4528" s="112"/>
    </row>
    <row r="4529" spans="1:5">
      <c r="A4529" s="110"/>
      <c r="B4529" s="111"/>
      <c r="C4529" s="111"/>
      <c r="D4529" s="111"/>
      <c r="E4529" s="112"/>
    </row>
    <row r="4530" spans="1:5">
      <c r="A4530" s="110"/>
      <c r="B4530" s="111"/>
      <c r="C4530" s="111"/>
      <c r="D4530" s="111"/>
      <c r="E4530" s="112"/>
    </row>
    <row r="4531" spans="1:5">
      <c r="A4531" s="110"/>
      <c r="B4531" s="111"/>
      <c r="C4531" s="111"/>
      <c r="D4531" s="111"/>
      <c r="E4531" s="112"/>
    </row>
    <row r="4532" spans="1:5">
      <c r="A4532" s="110"/>
      <c r="B4532" s="111"/>
      <c r="C4532" s="111"/>
      <c r="D4532" s="111"/>
      <c r="E4532" s="112"/>
    </row>
    <row r="4533" spans="1:5">
      <c r="A4533" s="110"/>
      <c r="B4533" s="111"/>
      <c r="C4533" s="111"/>
      <c r="D4533" s="111"/>
      <c r="E4533" s="112"/>
    </row>
    <row r="4534" spans="1:5">
      <c r="A4534" s="110"/>
      <c r="B4534" s="111"/>
      <c r="C4534" s="111"/>
      <c r="D4534" s="111"/>
      <c r="E4534" s="112"/>
    </row>
    <row r="4535" spans="1:5">
      <c r="A4535" s="110"/>
      <c r="B4535" s="111"/>
      <c r="C4535" s="111"/>
      <c r="D4535" s="111"/>
      <c r="E4535" s="112"/>
    </row>
    <row r="4536" spans="1:5">
      <c r="A4536" s="110"/>
      <c r="B4536" s="111"/>
      <c r="C4536" s="111"/>
      <c r="D4536" s="111"/>
      <c r="E4536" s="112"/>
    </row>
    <row r="4537" spans="1:5">
      <c r="A4537" s="110"/>
      <c r="B4537" s="111"/>
      <c r="C4537" s="111"/>
      <c r="D4537" s="111"/>
      <c r="E4537" s="112"/>
    </row>
    <row r="4538" spans="1:5">
      <c r="A4538" s="110"/>
      <c r="B4538" s="111"/>
      <c r="C4538" s="111"/>
      <c r="D4538" s="111"/>
      <c r="E4538" s="112"/>
    </row>
    <row r="4539" spans="1:5">
      <c r="A4539" s="110"/>
      <c r="B4539" s="111"/>
      <c r="C4539" s="111"/>
      <c r="D4539" s="111"/>
      <c r="E4539" s="112"/>
    </row>
    <row r="4540" spans="1:5">
      <c r="A4540" s="110"/>
      <c r="B4540" s="111"/>
      <c r="C4540" s="111"/>
      <c r="D4540" s="111"/>
      <c r="E4540" s="112"/>
    </row>
    <row r="4541" spans="1:5">
      <c r="A4541" s="110"/>
      <c r="B4541" s="111"/>
      <c r="C4541" s="111"/>
      <c r="D4541" s="111"/>
      <c r="E4541" s="112"/>
    </row>
    <row r="4542" spans="1:5">
      <c r="A4542" s="110"/>
      <c r="B4542" s="111"/>
      <c r="C4542" s="111"/>
      <c r="D4542" s="111"/>
      <c r="E4542" s="112"/>
    </row>
    <row r="4543" spans="1:5">
      <c r="A4543" s="110"/>
      <c r="B4543" s="111"/>
      <c r="C4543" s="111"/>
      <c r="D4543" s="111"/>
      <c r="E4543" s="112"/>
    </row>
    <row r="4544" spans="1:5">
      <c r="A4544" s="110"/>
      <c r="B4544" s="111"/>
      <c r="C4544" s="111"/>
      <c r="D4544" s="111"/>
      <c r="E4544" s="112"/>
    </row>
    <row r="4545" spans="1:5">
      <c r="A4545" s="110"/>
      <c r="B4545" s="111"/>
      <c r="C4545" s="111"/>
      <c r="D4545" s="111"/>
      <c r="E4545" s="112"/>
    </row>
    <row r="4546" spans="1:5">
      <c r="A4546" s="110"/>
      <c r="B4546" s="111"/>
      <c r="C4546" s="111"/>
      <c r="D4546" s="111"/>
      <c r="E4546" s="112"/>
    </row>
    <row r="4547" spans="1:5">
      <c r="A4547" s="110"/>
      <c r="B4547" s="111"/>
      <c r="C4547" s="111"/>
      <c r="D4547" s="111"/>
      <c r="E4547" s="112"/>
    </row>
    <row r="4548" spans="1:5">
      <c r="A4548" s="110"/>
      <c r="B4548" s="111"/>
      <c r="C4548" s="111"/>
      <c r="D4548" s="111"/>
      <c r="E4548" s="112"/>
    </row>
    <row r="4549" spans="1:5">
      <c r="A4549" s="110"/>
      <c r="B4549" s="111"/>
      <c r="C4549" s="111"/>
      <c r="D4549" s="111"/>
      <c r="E4549" s="112"/>
    </row>
    <row r="4550" spans="1:5">
      <c r="A4550" s="110"/>
      <c r="B4550" s="111"/>
      <c r="C4550" s="111"/>
      <c r="D4550" s="111"/>
      <c r="E4550" s="112"/>
    </row>
    <row r="4551" spans="1:5">
      <c r="A4551" s="110"/>
      <c r="B4551" s="111"/>
      <c r="C4551" s="111"/>
      <c r="D4551" s="111"/>
      <c r="E4551" s="112"/>
    </row>
    <row r="4552" spans="1:5">
      <c r="A4552" s="110"/>
      <c r="B4552" s="111"/>
      <c r="C4552" s="111"/>
      <c r="D4552" s="111"/>
      <c r="E4552" s="112"/>
    </row>
    <row r="4553" spans="1:5">
      <c r="A4553" s="110"/>
      <c r="B4553" s="111"/>
      <c r="C4553" s="111"/>
      <c r="D4553" s="111"/>
      <c r="E4553" s="112"/>
    </row>
    <row r="4554" spans="1:5">
      <c r="A4554" s="110"/>
      <c r="B4554" s="111"/>
      <c r="C4554" s="111"/>
      <c r="D4554" s="111"/>
      <c r="E4554" s="112"/>
    </row>
    <row r="4555" spans="1:5">
      <c r="A4555" s="110"/>
      <c r="B4555" s="111"/>
      <c r="C4555" s="111"/>
      <c r="D4555" s="111"/>
      <c r="E4555" s="112"/>
    </row>
    <row r="4556" spans="1:5">
      <c r="A4556" s="110"/>
      <c r="B4556" s="111"/>
      <c r="C4556" s="111"/>
      <c r="D4556" s="111"/>
      <c r="E4556" s="112"/>
    </row>
    <row r="4557" spans="1:5">
      <c r="A4557" s="110"/>
      <c r="B4557" s="111"/>
      <c r="C4557" s="111"/>
      <c r="D4557" s="111"/>
      <c r="E4557" s="112"/>
    </row>
    <row r="4558" spans="1:5">
      <c r="A4558" s="110"/>
      <c r="B4558" s="111"/>
      <c r="C4558" s="111"/>
      <c r="D4558" s="111"/>
      <c r="E4558" s="112"/>
    </row>
    <row r="4559" spans="1:5">
      <c r="A4559" s="110"/>
      <c r="B4559" s="111"/>
      <c r="C4559" s="111"/>
      <c r="D4559" s="111"/>
      <c r="E4559" s="112"/>
    </row>
    <row r="4560" spans="1:5">
      <c r="A4560" s="110"/>
      <c r="B4560" s="111"/>
      <c r="C4560" s="111"/>
      <c r="D4560" s="111"/>
      <c r="E4560" s="112"/>
    </row>
    <row r="4561" spans="1:5">
      <c r="A4561" s="110"/>
      <c r="B4561" s="111"/>
      <c r="C4561" s="111"/>
      <c r="D4561" s="111"/>
      <c r="E4561" s="112"/>
    </row>
    <row r="4562" spans="1:5">
      <c r="A4562" s="110"/>
      <c r="B4562" s="111"/>
      <c r="C4562" s="111"/>
      <c r="D4562" s="111"/>
      <c r="E4562" s="112"/>
    </row>
    <row r="4563" spans="1:5">
      <c r="A4563" s="110"/>
      <c r="B4563" s="111"/>
      <c r="C4563" s="111"/>
      <c r="D4563" s="111"/>
      <c r="E4563" s="112"/>
    </row>
    <row r="4564" spans="1:5">
      <c r="A4564" s="110"/>
      <c r="B4564" s="111"/>
      <c r="C4564" s="111"/>
      <c r="D4564" s="111"/>
      <c r="E4564" s="112"/>
    </row>
    <row r="4565" spans="1:5">
      <c r="A4565" s="110"/>
      <c r="B4565" s="111"/>
      <c r="C4565" s="111"/>
      <c r="D4565" s="111"/>
      <c r="E4565" s="112"/>
    </row>
    <row r="4566" spans="1:5">
      <c r="A4566" s="110"/>
      <c r="B4566" s="111"/>
      <c r="C4566" s="111"/>
      <c r="D4566" s="111"/>
      <c r="E4566" s="112"/>
    </row>
    <row r="4567" spans="1:5">
      <c r="A4567" s="110"/>
      <c r="B4567" s="111"/>
      <c r="C4567" s="111"/>
      <c r="D4567" s="111"/>
      <c r="E4567" s="112"/>
    </row>
    <row r="4568" spans="1:5">
      <c r="A4568" s="110"/>
      <c r="B4568" s="111"/>
      <c r="C4568" s="111"/>
      <c r="D4568" s="111"/>
      <c r="E4568" s="112"/>
    </row>
    <row r="4569" spans="1:5">
      <c r="A4569" s="110"/>
      <c r="B4569" s="111"/>
      <c r="C4569" s="111"/>
      <c r="D4569" s="111"/>
      <c r="E4569" s="112"/>
    </row>
    <row r="4570" spans="1:5">
      <c r="A4570" s="110"/>
      <c r="B4570" s="111"/>
      <c r="C4570" s="111"/>
      <c r="D4570" s="111"/>
      <c r="E4570" s="112"/>
    </row>
    <row r="4571" spans="1:5">
      <c r="A4571" s="110"/>
      <c r="B4571" s="111"/>
      <c r="C4571" s="111"/>
      <c r="D4571" s="111"/>
      <c r="E4571" s="112"/>
    </row>
    <row r="4572" spans="1:5">
      <c r="A4572" s="110"/>
      <c r="B4572" s="111"/>
      <c r="C4572" s="111"/>
      <c r="D4572" s="111"/>
      <c r="E4572" s="112"/>
    </row>
    <row r="4573" spans="1:5">
      <c r="A4573" s="110"/>
      <c r="B4573" s="111"/>
      <c r="C4573" s="111"/>
      <c r="D4573" s="111"/>
      <c r="E4573" s="112"/>
    </row>
    <row r="4574" spans="1:5">
      <c r="A4574" s="110"/>
      <c r="B4574" s="111"/>
      <c r="C4574" s="111"/>
      <c r="D4574" s="111"/>
      <c r="E4574" s="112"/>
    </row>
    <row r="4575" spans="1:5">
      <c r="A4575" s="110"/>
      <c r="B4575" s="111"/>
      <c r="C4575" s="111"/>
      <c r="D4575" s="111"/>
      <c r="E4575" s="112"/>
    </row>
    <row r="4576" spans="1:5">
      <c r="A4576" s="110"/>
      <c r="B4576" s="111"/>
      <c r="C4576" s="111"/>
      <c r="D4576" s="111"/>
      <c r="E4576" s="112"/>
    </row>
    <row r="4577" spans="1:5">
      <c r="A4577" s="110"/>
      <c r="B4577" s="111"/>
      <c r="C4577" s="111"/>
      <c r="D4577" s="111"/>
      <c r="E4577" s="112"/>
    </row>
    <row r="4578" spans="1:5">
      <c r="A4578" s="110"/>
      <c r="B4578" s="111"/>
      <c r="C4578" s="111"/>
      <c r="D4578" s="111"/>
      <c r="E4578" s="112"/>
    </row>
    <row r="4579" spans="1:5">
      <c r="A4579" s="110"/>
      <c r="B4579" s="111"/>
      <c r="C4579" s="111"/>
      <c r="D4579" s="111"/>
      <c r="E4579" s="112"/>
    </row>
    <row r="4580" spans="1:5">
      <c r="A4580" s="110"/>
      <c r="B4580" s="111"/>
      <c r="C4580" s="111"/>
      <c r="D4580" s="111"/>
      <c r="E4580" s="112"/>
    </row>
    <row r="4581" spans="1:5">
      <c r="A4581" s="110"/>
      <c r="B4581" s="111"/>
      <c r="C4581" s="111"/>
      <c r="D4581" s="111"/>
      <c r="E4581" s="112"/>
    </row>
    <row r="4582" spans="1:5">
      <c r="A4582" s="110"/>
      <c r="B4582" s="111"/>
      <c r="C4582" s="111"/>
      <c r="D4582" s="111"/>
      <c r="E4582" s="112"/>
    </row>
    <row r="4583" spans="1:5">
      <c r="A4583" s="110"/>
      <c r="B4583" s="111"/>
      <c r="C4583" s="111"/>
      <c r="D4583" s="111"/>
      <c r="E4583" s="112"/>
    </row>
    <row r="4584" spans="1:5">
      <c r="A4584" s="110"/>
      <c r="B4584" s="111"/>
      <c r="C4584" s="111"/>
      <c r="D4584" s="111"/>
      <c r="E4584" s="112"/>
    </row>
    <row r="4585" spans="1:5">
      <c r="A4585" s="110"/>
      <c r="B4585" s="111"/>
      <c r="C4585" s="111"/>
      <c r="D4585" s="111"/>
      <c r="E4585" s="112"/>
    </row>
    <row r="4586" spans="1:5">
      <c r="A4586" s="110"/>
      <c r="B4586" s="111"/>
      <c r="C4586" s="111"/>
      <c r="D4586" s="111"/>
      <c r="E4586" s="112"/>
    </row>
    <row r="4587" spans="1:5">
      <c r="A4587" s="110"/>
      <c r="B4587" s="111"/>
      <c r="C4587" s="111"/>
      <c r="D4587" s="111"/>
      <c r="E4587" s="112"/>
    </row>
    <row r="4588" spans="1:5">
      <c r="A4588" s="110"/>
      <c r="B4588" s="111"/>
      <c r="C4588" s="111"/>
      <c r="D4588" s="111"/>
      <c r="E4588" s="112"/>
    </row>
    <row r="4589" spans="1:5">
      <c r="A4589" s="110"/>
      <c r="B4589" s="111"/>
      <c r="C4589" s="111"/>
      <c r="D4589" s="111"/>
      <c r="E4589" s="112"/>
    </row>
    <row r="4590" spans="1:5">
      <c r="A4590" s="110"/>
      <c r="B4590" s="111"/>
      <c r="C4590" s="111"/>
      <c r="D4590" s="111"/>
      <c r="E4590" s="112"/>
    </row>
    <row r="4591" spans="1:5">
      <c r="A4591" s="110"/>
      <c r="B4591" s="111"/>
      <c r="C4591" s="111"/>
      <c r="D4591" s="111"/>
      <c r="E4591" s="112"/>
    </row>
    <row r="4592" spans="1:5">
      <c r="A4592" s="110"/>
      <c r="B4592" s="111"/>
      <c r="C4592" s="111"/>
      <c r="D4592" s="111"/>
      <c r="E4592" s="112"/>
    </row>
    <row r="4593" spans="1:5">
      <c r="A4593" s="110"/>
      <c r="B4593" s="111"/>
      <c r="C4593" s="111"/>
      <c r="D4593" s="111"/>
      <c r="E4593" s="112"/>
    </row>
    <row r="4594" spans="1:5">
      <c r="A4594" s="110"/>
      <c r="B4594" s="111"/>
      <c r="C4594" s="111"/>
      <c r="D4594" s="111"/>
      <c r="E4594" s="112"/>
    </row>
    <row r="4595" spans="1:5">
      <c r="A4595" s="110"/>
      <c r="B4595" s="111"/>
      <c r="C4595" s="111"/>
      <c r="D4595" s="111"/>
      <c r="E4595" s="112"/>
    </row>
    <row r="4596" spans="1:5">
      <c r="A4596" s="110"/>
      <c r="B4596" s="111"/>
      <c r="C4596" s="111"/>
      <c r="D4596" s="111"/>
      <c r="E4596" s="112"/>
    </row>
    <row r="4597" spans="1:5">
      <c r="A4597" s="110"/>
      <c r="B4597" s="111"/>
      <c r="C4597" s="111"/>
      <c r="D4597" s="111"/>
      <c r="E4597" s="112"/>
    </row>
    <row r="4598" spans="1:5">
      <c r="A4598" s="110"/>
      <c r="B4598" s="111"/>
      <c r="C4598" s="111"/>
      <c r="D4598" s="111"/>
      <c r="E4598" s="112"/>
    </row>
    <row r="4599" spans="1:5">
      <c r="A4599" s="110"/>
      <c r="B4599" s="111"/>
      <c r="C4599" s="111"/>
      <c r="D4599" s="111"/>
      <c r="E4599" s="112"/>
    </row>
    <row r="4600" spans="1:5">
      <c r="A4600" s="110"/>
      <c r="B4600" s="111"/>
      <c r="C4600" s="111"/>
      <c r="D4600" s="111"/>
      <c r="E4600" s="112"/>
    </row>
    <row r="4601" spans="1:5">
      <c r="A4601" s="110"/>
      <c r="B4601" s="111"/>
      <c r="C4601" s="111"/>
      <c r="D4601" s="111"/>
      <c r="E4601" s="112"/>
    </row>
    <row r="4602" spans="1:5">
      <c r="A4602" s="110"/>
      <c r="B4602" s="111"/>
      <c r="C4602" s="111"/>
      <c r="D4602" s="111"/>
      <c r="E4602" s="112"/>
    </row>
    <row r="4603" spans="1:5">
      <c r="A4603" s="110"/>
      <c r="B4603" s="111"/>
      <c r="C4603" s="111"/>
      <c r="D4603" s="111"/>
      <c r="E4603" s="112"/>
    </row>
    <row r="4604" spans="1:5">
      <c r="A4604" s="110"/>
      <c r="B4604" s="111"/>
      <c r="C4604" s="111"/>
      <c r="D4604" s="111"/>
      <c r="E4604" s="112"/>
    </row>
    <row r="4605" spans="1:5">
      <c r="A4605" s="110"/>
      <c r="B4605" s="111"/>
      <c r="C4605" s="111"/>
      <c r="D4605" s="111"/>
      <c r="E4605" s="112"/>
    </row>
    <row r="4606" spans="1:5">
      <c r="A4606" s="110"/>
      <c r="B4606" s="111"/>
      <c r="C4606" s="111"/>
      <c r="D4606" s="111"/>
      <c r="E4606" s="112"/>
    </row>
    <row r="4607" spans="1:5">
      <c r="A4607" s="110"/>
      <c r="B4607" s="111"/>
      <c r="C4607" s="111"/>
      <c r="D4607" s="111"/>
      <c r="E4607" s="112"/>
    </row>
    <row r="4608" spans="1:5">
      <c r="A4608" s="110"/>
      <c r="B4608" s="111"/>
      <c r="C4608" s="111"/>
      <c r="D4608" s="111"/>
      <c r="E4608" s="112"/>
    </row>
    <row r="4609" spans="1:5">
      <c r="A4609" s="110"/>
      <c r="B4609" s="111"/>
      <c r="C4609" s="111"/>
      <c r="D4609" s="111"/>
      <c r="E4609" s="112"/>
    </row>
    <row r="4610" spans="1:5">
      <c r="A4610" s="110"/>
      <c r="B4610" s="111"/>
      <c r="C4610" s="111"/>
      <c r="D4610" s="111"/>
      <c r="E4610" s="112"/>
    </row>
    <row r="4611" spans="1:5">
      <c r="A4611" s="110"/>
      <c r="B4611" s="111"/>
      <c r="C4611" s="111"/>
      <c r="D4611" s="111"/>
      <c r="E4611" s="112"/>
    </row>
    <row r="4612" spans="1:5">
      <c r="A4612" s="110"/>
      <c r="B4612" s="111"/>
      <c r="C4612" s="111"/>
      <c r="D4612" s="111"/>
      <c r="E4612" s="112"/>
    </row>
    <row r="4613" spans="1:5">
      <c r="A4613" s="110"/>
      <c r="B4613" s="111"/>
      <c r="C4613" s="111"/>
      <c r="D4613" s="111"/>
      <c r="E4613" s="112"/>
    </row>
    <row r="4614" spans="1:5">
      <c r="A4614" s="110"/>
      <c r="B4614" s="111"/>
      <c r="C4614" s="111"/>
      <c r="D4614" s="111"/>
      <c r="E4614" s="112"/>
    </row>
    <row r="4615" spans="1:5">
      <c r="A4615" s="110"/>
      <c r="B4615" s="111"/>
      <c r="C4615" s="111"/>
      <c r="D4615" s="111"/>
      <c r="E4615" s="112"/>
    </row>
    <row r="4616" spans="1:5">
      <c r="A4616" s="110"/>
      <c r="B4616" s="111"/>
      <c r="C4616" s="111"/>
      <c r="D4616" s="111"/>
      <c r="E4616" s="112"/>
    </row>
    <row r="4617" spans="1:5">
      <c r="A4617" s="110"/>
      <c r="B4617" s="111"/>
      <c r="C4617" s="111"/>
      <c r="D4617" s="111"/>
      <c r="E4617" s="112"/>
    </row>
    <row r="4618" spans="1:5">
      <c r="A4618" s="110"/>
      <c r="B4618" s="111"/>
      <c r="C4618" s="111"/>
      <c r="D4618" s="111"/>
      <c r="E4618" s="112"/>
    </row>
    <row r="4619" spans="1:5">
      <c r="A4619" s="110"/>
      <c r="B4619" s="111"/>
      <c r="C4619" s="111"/>
      <c r="D4619" s="111"/>
      <c r="E4619" s="112"/>
    </row>
    <row r="4620" spans="1:5">
      <c r="A4620" s="110"/>
      <c r="B4620" s="111"/>
      <c r="C4620" s="111"/>
      <c r="D4620" s="111"/>
      <c r="E4620" s="112"/>
    </row>
    <row r="4621" spans="1:5">
      <c r="A4621" s="110"/>
      <c r="B4621" s="111"/>
      <c r="C4621" s="111"/>
      <c r="D4621" s="111"/>
      <c r="E4621" s="112"/>
    </row>
    <row r="4622" spans="1:5">
      <c r="A4622" s="110"/>
      <c r="B4622" s="111"/>
      <c r="C4622" s="111"/>
      <c r="D4622" s="111"/>
      <c r="E4622" s="112"/>
    </row>
    <row r="4623" spans="1:5">
      <c r="A4623" s="110"/>
      <c r="B4623" s="111"/>
      <c r="C4623" s="111"/>
      <c r="D4623" s="111"/>
      <c r="E4623" s="112"/>
    </row>
    <row r="4624" spans="1:5">
      <c r="A4624" s="110"/>
      <c r="B4624" s="111"/>
      <c r="C4624" s="111"/>
      <c r="D4624" s="111"/>
      <c r="E4624" s="112"/>
    </row>
    <row r="4625" spans="1:5">
      <c r="A4625" s="110"/>
      <c r="B4625" s="111"/>
      <c r="C4625" s="111"/>
      <c r="D4625" s="111"/>
      <c r="E4625" s="112"/>
    </row>
    <row r="4626" spans="1:5">
      <c r="A4626" s="110"/>
      <c r="B4626" s="111"/>
      <c r="C4626" s="111"/>
      <c r="D4626" s="111"/>
      <c r="E4626" s="112"/>
    </row>
    <row r="4627" spans="1:5">
      <c r="A4627" s="110"/>
      <c r="B4627" s="111"/>
      <c r="C4627" s="111"/>
      <c r="D4627" s="111"/>
      <c r="E4627" s="112"/>
    </row>
    <row r="4628" spans="1:5">
      <c r="A4628" s="110"/>
      <c r="B4628" s="111"/>
      <c r="C4628" s="111"/>
      <c r="D4628" s="111"/>
      <c r="E4628" s="112"/>
    </row>
    <row r="4629" spans="1:5">
      <c r="A4629" s="110"/>
      <c r="B4629" s="111"/>
      <c r="C4629" s="111"/>
      <c r="D4629" s="111"/>
      <c r="E4629" s="112"/>
    </row>
    <row r="4630" spans="1:5">
      <c r="A4630" s="110"/>
      <c r="B4630" s="111"/>
      <c r="C4630" s="111"/>
      <c r="D4630" s="111"/>
      <c r="E4630" s="112"/>
    </row>
    <row r="4631" spans="1:5">
      <c r="A4631" s="110"/>
      <c r="B4631" s="111"/>
      <c r="C4631" s="111"/>
      <c r="D4631" s="111"/>
      <c r="E4631" s="112"/>
    </row>
    <row r="4632" spans="1:5">
      <c r="A4632" s="110"/>
      <c r="B4632" s="111"/>
      <c r="C4632" s="111"/>
      <c r="D4632" s="111"/>
      <c r="E4632" s="112"/>
    </row>
    <row r="4633" spans="1:5">
      <c r="A4633" s="110"/>
      <c r="B4633" s="111"/>
      <c r="C4633" s="111"/>
      <c r="D4633" s="111"/>
      <c r="E4633" s="112"/>
    </row>
    <row r="4634" spans="1:5">
      <c r="A4634" s="110"/>
      <c r="B4634" s="111"/>
      <c r="C4634" s="111"/>
      <c r="D4634" s="111"/>
      <c r="E4634" s="112"/>
    </row>
    <row r="4635" spans="1:5">
      <c r="A4635" s="110"/>
      <c r="B4635" s="111"/>
      <c r="C4635" s="111"/>
      <c r="D4635" s="111"/>
      <c r="E4635" s="112"/>
    </row>
    <row r="4636" spans="1:5">
      <c r="A4636" s="110"/>
      <c r="B4636" s="111"/>
      <c r="C4636" s="111"/>
      <c r="D4636" s="111"/>
      <c r="E4636" s="112"/>
    </row>
    <row r="4637" spans="1:5">
      <c r="A4637" s="110"/>
      <c r="B4637" s="111"/>
      <c r="C4637" s="111"/>
      <c r="D4637" s="111"/>
      <c r="E4637" s="112"/>
    </row>
    <row r="4638" spans="1:5">
      <c r="A4638" s="110"/>
      <c r="B4638" s="111"/>
      <c r="C4638" s="111"/>
      <c r="D4638" s="111"/>
      <c r="E4638" s="112"/>
    </row>
    <row r="4639" spans="1:5">
      <c r="A4639" s="110"/>
      <c r="B4639" s="111"/>
      <c r="C4639" s="111"/>
      <c r="D4639" s="111"/>
      <c r="E4639" s="112"/>
    </row>
    <row r="4640" spans="1:5">
      <c r="A4640" s="110"/>
      <c r="B4640" s="111"/>
      <c r="C4640" s="111"/>
      <c r="D4640" s="111"/>
      <c r="E4640" s="112"/>
    </row>
    <row r="4641" spans="1:6">
      <c r="A4641" s="110"/>
      <c r="B4641" s="111"/>
      <c r="C4641" s="111"/>
      <c r="D4641" s="111"/>
      <c r="E4641" s="112"/>
    </row>
    <row r="4642" spans="1:6">
      <c r="A4642" s="110"/>
      <c r="B4642" s="111"/>
      <c r="C4642" s="111"/>
      <c r="D4642" s="111"/>
      <c r="E4642" s="112"/>
    </row>
    <row r="4643" spans="1:6">
      <c r="A4643" s="110"/>
      <c r="B4643" s="111"/>
      <c r="C4643" s="111"/>
      <c r="D4643" s="111"/>
      <c r="E4643" s="112"/>
    </row>
    <row r="4644" spans="1:6">
      <c r="A4644" s="110"/>
      <c r="B4644" s="111"/>
      <c r="C4644" s="111"/>
      <c r="D4644" s="111"/>
      <c r="E4644" s="112"/>
    </row>
    <row r="4645" spans="1:6">
      <c r="A4645" s="110"/>
      <c r="B4645" s="111"/>
      <c r="C4645" s="111"/>
      <c r="D4645" s="111"/>
      <c r="E4645" s="112"/>
    </row>
    <row r="4646" spans="1:6">
      <c r="A4646" s="110"/>
      <c r="B4646" s="111"/>
      <c r="C4646" s="111"/>
      <c r="D4646" s="111"/>
      <c r="E4646" s="112"/>
    </row>
    <row r="4647" spans="1:6">
      <c r="A4647" s="110"/>
      <c r="B4647" s="111"/>
      <c r="C4647" s="111"/>
      <c r="D4647" s="111"/>
      <c r="E4647" s="112"/>
    </row>
    <row r="4648" spans="1:6">
      <c r="A4648" s="110"/>
      <c r="B4648" s="111"/>
      <c r="C4648" s="111"/>
      <c r="D4648" s="111"/>
      <c r="E4648" s="112"/>
    </row>
    <row r="4649" spans="1:6">
      <c r="A4649" s="110"/>
      <c r="B4649" s="111"/>
      <c r="C4649" s="111"/>
      <c r="D4649" s="111"/>
      <c r="E4649" s="112"/>
    </row>
    <row r="4650" spans="1:6">
      <c r="A4650" s="110"/>
      <c r="B4650" s="111"/>
      <c r="C4650" s="111"/>
      <c r="D4650" s="111"/>
      <c r="E4650" s="112"/>
    </row>
    <row r="4651" spans="1:6">
      <c r="A4651" s="110"/>
      <c r="B4651" s="111"/>
      <c r="C4651" s="111"/>
      <c r="D4651" s="111"/>
      <c r="E4651" s="112"/>
    </row>
    <row r="4652" spans="1:6">
      <c r="A4652" s="110"/>
      <c r="B4652" s="111"/>
      <c r="C4652" s="111"/>
      <c r="D4652" s="111"/>
      <c r="E4652" s="112"/>
    </row>
    <row r="4653" spans="1:6">
      <c r="A4653" s="110"/>
      <c r="B4653" s="111"/>
      <c r="C4653" s="111"/>
      <c r="D4653" s="111"/>
      <c r="E4653" s="112"/>
    </row>
    <row r="4654" spans="1:6">
      <c r="A4654" s="110"/>
      <c r="B4654" s="111"/>
      <c r="C4654" s="111"/>
      <c r="D4654" s="111"/>
      <c r="E4654" s="112"/>
    </row>
    <row r="4655" spans="1:6">
      <c r="A4655" s="110"/>
      <c r="B4655" s="111"/>
      <c r="C4655" s="111"/>
      <c r="D4655" s="111"/>
      <c r="E4655" s="112"/>
      <c r="F4655" s="121"/>
    </row>
    <row r="4656" spans="1:6">
      <c r="A4656" s="110"/>
      <c r="B4656" s="111"/>
      <c r="C4656" s="111"/>
      <c r="D4656" s="111"/>
      <c r="E4656" s="112"/>
    </row>
    <row r="4657" spans="1:5">
      <c r="A4657" s="110"/>
      <c r="B4657" s="111"/>
      <c r="C4657" s="111"/>
      <c r="D4657" s="111"/>
      <c r="E4657" s="112"/>
    </row>
    <row r="4658" spans="1:5">
      <c r="A4658" s="110"/>
      <c r="B4658" s="111"/>
      <c r="C4658" s="111"/>
      <c r="D4658" s="111"/>
      <c r="E4658" s="112"/>
    </row>
    <row r="4659" spans="1:5">
      <c r="A4659" s="110"/>
      <c r="B4659" s="111"/>
      <c r="C4659" s="111"/>
      <c r="D4659" s="111"/>
      <c r="E4659" s="112"/>
    </row>
    <row r="4660" spans="1:5">
      <c r="A4660" s="110"/>
      <c r="B4660" s="111"/>
      <c r="C4660" s="111"/>
      <c r="D4660" s="111"/>
      <c r="E4660" s="112"/>
    </row>
    <row r="4661" spans="1:5">
      <c r="A4661" s="110"/>
      <c r="B4661" s="111"/>
      <c r="C4661" s="111"/>
      <c r="D4661" s="111"/>
      <c r="E4661" s="112"/>
    </row>
    <row r="4662" spans="1:5">
      <c r="A4662" s="110"/>
      <c r="B4662" s="111"/>
      <c r="C4662" s="111"/>
      <c r="D4662" s="111"/>
      <c r="E4662" s="112"/>
    </row>
    <row r="4663" spans="1:5">
      <c r="A4663" s="110"/>
      <c r="B4663" s="111"/>
      <c r="C4663" s="111"/>
      <c r="D4663" s="111"/>
      <c r="E4663" s="112"/>
    </row>
    <row r="4664" spans="1:5">
      <c r="A4664" s="110"/>
      <c r="B4664" s="111"/>
      <c r="C4664" s="111"/>
      <c r="D4664" s="111"/>
      <c r="E4664" s="112"/>
    </row>
    <row r="4665" spans="1:5">
      <c r="A4665" s="110"/>
      <c r="B4665" s="111"/>
      <c r="C4665" s="111"/>
      <c r="D4665" s="111"/>
      <c r="E4665" s="112"/>
    </row>
    <row r="4666" spans="1:5">
      <c r="A4666" s="110"/>
      <c r="B4666" s="111"/>
      <c r="C4666" s="111"/>
      <c r="D4666" s="111"/>
      <c r="E4666" s="112"/>
    </row>
    <row r="4667" spans="1:5">
      <c r="A4667" s="110"/>
      <c r="B4667" s="111"/>
      <c r="C4667" s="111"/>
      <c r="D4667" s="111"/>
      <c r="E4667" s="112"/>
    </row>
    <row r="4668" spans="1:5">
      <c r="A4668" s="110"/>
      <c r="B4668" s="111"/>
      <c r="C4668" s="111"/>
      <c r="D4668" s="111"/>
      <c r="E4668" s="112"/>
    </row>
    <row r="4669" spans="1:5">
      <c r="A4669" s="110"/>
      <c r="B4669" s="111"/>
      <c r="C4669" s="111"/>
      <c r="D4669" s="111"/>
      <c r="E4669" s="112"/>
    </row>
    <row r="4670" spans="1:5">
      <c r="A4670" s="110"/>
      <c r="B4670" s="111"/>
      <c r="C4670" s="111"/>
      <c r="D4670" s="111"/>
      <c r="E4670" s="112"/>
    </row>
    <row r="4671" spans="1:5">
      <c r="A4671" s="110"/>
      <c r="B4671" s="111"/>
      <c r="C4671" s="111"/>
      <c r="D4671" s="111"/>
      <c r="E4671" s="112"/>
    </row>
    <row r="4672" spans="1:5">
      <c r="A4672" s="110"/>
      <c r="B4672" s="111"/>
      <c r="C4672" s="111"/>
      <c r="D4672" s="111"/>
      <c r="E4672" s="112"/>
    </row>
    <row r="4673" spans="1:5">
      <c r="A4673" s="110"/>
      <c r="B4673" s="111"/>
      <c r="C4673" s="111"/>
      <c r="D4673" s="111"/>
      <c r="E4673" s="112"/>
    </row>
    <row r="4674" spans="1:5">
      <c r="A4674" s="110"/>
      <c r="B4674" s="111"/>
      <c r="C4674" s="111"/>
      <c r="D4674" s="111"/>
      <c r="E4674" s="112"/>
    </row>
    <row r="4675" spans="1:5">
      <c r="A4675" s="110"/>
      <c r="B4675" s="111"/>
      <c r="C4675" s="111"/>
      <c r="D4675" s="111"/>
      <c r="E4675" s="112"/>
    </row>
    <row r="4676" spans="1:5">
      <c r="A4676" s="110"/>
      <c r="B4676" s="111"/>
      <c r="C4676" s="111"/>
      <c r="D4676" s="111"/>
      <c r="E4676" s="112"/>
    </row>
    <row r="4677" spans="1:5">
      <c r="A4677" s="110"/>
      <c r="B4677" s="111"/>
      <c r="C4677" s="111"/>
      <c r="D4677" s="111"/>
      <c r="E4677" s="112"/>
    </row>
    <row r="4678" spans="1:5">
      <c r="A4678" s="110"/>
      <c r="B4678" s="111"/>
      <c r="C4678" s="111"/>
      <c r="D4678" s="111"/>
      <c r="E4678" s="112"/>
    </row>
    <row r="4679" spans="1:5">
      <c r="A4679" s="110"/>
      <c r="B4679" s="111"/>
      <c r="C4679" s="111"/>
      <c r="D4679" s="111"/>
      <c r="E4679" s="112"/>
    </row>
    <row r="4680" spans="1:5">
      <c r="A4680" s="110"/>
      <c r="B4680" s="111"/>
      <c r="C4680" s="111"/>
      <c r="D4680" s="111"/>
      <c r="E4680" s="112"/>
    </row>
    <row r="4681" spans="1:5">
      <c r="A4681" s="110"/>
      <c r="B4681" s="111"/>
      <c r="C4681" s="111"/>
      <c r="D4681" s="111"/>
      <c r="E4681" s="112"/>
    </row>
    <row r="4682" spans="1:5">
      <c r="A4682" s="110"/>
      <c r="B4682" s="111"/>
      <c r="C4682" s="111"/>
      <c r="D4682" s="111"/>
      <c r="E4682" s="112"/>
    </row>
    <row r="4683" spans="1:5">
      <c r="A4683" s="110"/>
      <c r="B4683" s="111"/>
      <c r="C4683" s="111"/>
      <c r="D4683" s="111"/>
      <c r="E4683" s="112"/>
    </row>
    <row r="4684" spans="1:5">
      <c r="A4684" s="110"/>
      <c r="B4684" s="111"/>
      <c r="C4684" s="111"/>
      <c r="D4684" s="111"/>
      <c r="E4684" s="112"/>
    </row>
    <row r="4685" spans="1:5">
      <c r="A4685" s="110"/>
      <c r="B4685" s="111"/>
      <c r="C4685" s="111"/>
      <c r="D4685" s="111"/>
      <c r="E4685" s="112"/>
    </row>
    <row r="4686" spans="1:5">
      <c r="A4686" s="110"/>
      <c r="B4686" s="111"/>
      <c r="C4686" s="111"/>
      <c r="D4686" s="111"/>
      <c r="E4686" s="112"/>
    </row>
    <row r="4687" spans="1:5">
      <c r="A4687" s="110"/>
      <c r="B4687" s="111"/>
      <c r="C4687" s="111"/>
      <c r="D4687" s="111"/>
      <c r="E4687" s="112"/>
    </row>
    <row r="4688" spans="1:5">
      <c r="A4688" s="110"/>
      <c r="B4688" s="111"/>
      <c r="C4688" s="111"/>
      <c r="D4688" s="111"/>
      <c r="E4688" s="112"/>
    </row>
    <row r="4689" spans="1:5">
      <c r="A4689" s="110"/>
      <c r="B4689" s="111"/>
      <c r="C4689" s="111"/>
      <c r="D4689" s="111"/>
      <c r="E4689" s="112"/>
    </row>
    <row r="4690" spans="1:5">
      <c r="A4690" s="110"/>
      <c r="B4690" s="111"/>
      <c r="C4690" s="111"/>
      <c r="D4690" s="111"/>
      <c r="E4690" s="112"/>
    </row>
    <row r="4691" spans="1:5">
      <c r="A4691" s="110"/>
      <c r="B4691" s="111"/>
      <c r="C4691" s="111"/>
      <c r="D4691" s="111"/>
      <c r="E4691" s="112"/>
    </row>
    <row r="4692" spans="1:5">
      <c r="A4692" s="110"/>
      <c r="B4692" s="111"/>
      <c r="C4692" s="111"/>
      <c r="D4692" s="111"/>
      <c r="E4692" s="112"/>
    </row>
    <row r="4693" spans="1:5">
      <c r="A4693" s="110"/>
      <c r="B4693" s="111"/>
      <c r="C4693" s="111"/>
      <c r="D4693" s="111"/>
      <c r="E4693" s="112"/>
    </row>
    <row r="4694" spans="1:5">
      <c r="A4694" s="110"/>
      <c r="B4694" s="111"/>
      <c r="C4694" s="111"/>
      <c r="D4694" s="111"/>
      <c r="E4694" s="112"/>
    </row>
    <row r="4695" spans="1:5">
      <c r="A4695" s="110"/>
      <c r="B4695" s="111"/>
      <c r="C4695" s="111"/>
      <c r="D4695" s="111"/>
      <c r="E4695" s="112"/>
    </row>
    <row r="4696" spans="1:5">
      <c r="A4696" s="110"/>
      <c r="B4696" s="111"/>
      <c r="C4696" s="111"/>
      <c r="D4696" s="111"/>
      <c r="E4696" s="112"/>
    </row>
    <row r="4697" spans="1:5">
      <c r="A4697" s="110"/>
      <c r="B4697" s="111"/>
      <c r="C4697" s="111"/>
      <c r="D4697" s="111"/>
      <c r="E4697" s="112"/>
    </row>
    <row r="4698" spans="1:5">
      <c r="A4698" s="110"/>
      <c r="B4698" s="111"/>
      <c r="C4698" s="111"/>
      <c r="D4698" s="111"/>
      <c r="E4698" s="112"/>
    </row>
    <row r="4699" spans="1:5">
      <c r="A4699" s="110"/>
      <c r="B4699" s="111"/>
      <c r="C4699" s="111"/>
      <c r="D4699" s="111"/>
      <c r="E4699" s="112"/>
    </row>
    <row r="4700" spans="1:5">
      <c r="A4700" s="110"/>
      <c r="B4700" s="111"/>
      <c r="C4700" s="111"/>
      <c r="D4700" s="111"/>
      <c r="E4700" s="112"/>
    </row>
    <row r="4701" spans="1:5">
      <c r="A4701" s="110"/>
      <c r="B4701" s="111"/>
      <c r="C4701" s="111"/>
      <c r="D4701" s="111"/>
      <c r="E4701" s="112"/>
    </row>
    <row r="4702" spans="1:5">
      <c r="A4702" s="110"/>
      <c r="B4702" s="111"/>
      <c r="C4702" s="111"/>
      <c r="D4702" s="111"/>
      <c r="E4702" s="112"/>
    </row>
    <row r="4703" spans="1:5">
      <c r="A4703" s="110"/>
      <c r="B4703" s="111"/>
      <c r="C4703" s="111"/>
      <c r="D4703" s="111"/>
      <c r="E4703" s="112"/>
    </row>
    <row r="4704" spans="1:5">
      <c r="A4704" s="110"/>
      <c r="B4704" s="111"/>
      <c r="C4704" s="111"/>
      <c r="D4704" s="111"/>
      <c r="E4704" s="112"/>
    </row>
    <row r="4705" spans="1:5">
      <c r="A4705" s="110"/>
      <c r="B4705" s="111"/>
      <c r="C4705" s="111"/>
      <c r="D4705" s="111"/>
      <c r="E4705" s="112"/>
    </row>
    <row r="4706" spans="1:5">
      <c r="A4706" s="110"/>
      <c r="B4706" s="111"/>
      <c r="C4706" s="111"/>
      <c r="D4706" s="111"/>
      <c r="E4706" s="112"/>
    </row>
    <row r="4707" spans="1:5">
      <c r="A4707" s="110"/>
      <c r="B4707" s="111"/>
      <c r="C4707" s="111"/>
      <c r="D4707" s="111"/>
      <c r="E4707" s="112"/>
    </row>
    <row r="4708" spans="1:5">
      <c r="A4708" s="110"/>
      <c r="B4708" s="111"/>
      <c r="C4708" s="111"/>
      <c r="D4708" s="111"/>
      <c r="E4708" s="112"/>
    </row>
    <row r="4709" spans="1:5">
      <c r="A4709" s="110"/>
      <c r="B4709" s="111"/>
      <c r="C4709" s="111"/>
      <c r="D4709" s="111"/>
      <c r="E4709" s="112"/>
    </row>
    <row r="4710" spans="1:5">
      <c r="A4710" s="110"/>
      <c r="B4710" s="111"/>
      <c r="C4710" s="111"/>
      <c r="D4710" s="111"/>
      <c r="E4710" s="112"/>
    </row>
    <row r="4711" spans="1:5">
      <c r="A4711" s="110"/>
      <c r="B4711" s="111"/>
      <c r="C4711" s="111"/>
      <c r="D4711" s="111"/>
      <c r="E4711" s="112"/>
    </row>
    <row r="4712" spans="1:5">
      <c r="A4712" s="110"/>
      <c r="B4712" s="111"/>
      <c r="C4712" s="111"/>
      <c r="D4712" s="111"/>
      <c r="E4712" s="112"/>
    </row>
    <row r="4713" spans="1:5">
      <c r="A4713" s="110"/>
      <c r="B4713" s="111"/>
      <c r="C4713" s="111"/>
      <c r="D4713" s="111"/>
      <c r="E4713" s="112"/>
    </row>
    <row r="4714" spans="1:5">
      <c r="A4714" s="110"/>
      <c r="B4714" s="111"/>
      <c r="C4714" s="111"/>
      <c r="D4714" s="111"/>
      <c r="E4714" s="112"/>
    </row>
    <row r="4715" spans="1:5">
      <c r="A4715" s="110"/>
      <c r="B4715" s="111"/>
      <c r="C4715" s="111"/>
      <c r="D4715" s="111"/>
      <c r="E4715" s="112"/>
    </row>
    <row r="4716" spans="1:5">
      <c r="A4716" s="110"/>
      <c r="B4716" s="111"/>
      <c r="C4716" s="111"/>
      <c r="D4716" s="111"/>
      <c r="E4716" s="112"/>
    </row>
    <row r="4717" spans="1:5">
      <c r="A4717" s="110"/>
      <c r="B4717" s="111"/>
      <c r="C4717" s="111"/>
      <c r="D4717" s="111"/>
      <c r="E4717" s="112"/>
    </row>
    <row r="4718" spans="1:5">
      <c r="A4718" s="110"/>
      <c r="B4718" s="111"/>
      <c r="C4718" s="111"/>
      <c r="D4718" s="111"/>
      <c r="E4718" s="112"/>
    </row>
    <row r="4719" spans="1:5">
      <c r="A4719" s="110"/>
      <c r="B4719" s="111"/>
      <c r="C4719" s="111"/>
      <c r="D4719" s="111"/>
      <c r="E4719" s="112"/>
    </row>
    <row r="4720" spans="1:5">
      <c r="A4720" s="110"/>
      <c r="B4720" s="111"/>
      <c r="C4720" s="111"/>
      <c r="D4720" s="111"/>
      <c r="E4720" s="112"/>
    </row>
    <row r="4721" spans="1:5">
      <c r="A4721" s="110"/>
      <c r="B4721" s="111"/>
      <c r="C4721" s="111"/>
      <c r="D4721" s="111"/>
      <c r="E4721" s="112"/>
    </row>
    <row r="4722" spans="1:5">
      <c r="A4722" s="110"/>
      <c r="B4722" s="111"/>
      <c r="C4722" s="111"/>
      <c r="D4722" s="111"/>
      <c r="E4722" s="112"/>
    </row>
    <row r="4723" spans="1:5">
      <c r="A4723" s="110"/>
      <c r="B4723" s="111"/>
      <c r="C4723" s="111"/>
      <c r="D4723" s="111"/>
      <c r="E4723" s="112"/>
    </row>
    <row r="4724" spans="1:5">
      <c r="A4724" s="110"/>
      <c r="B4724" s="111"/>
      <c r="C4724" s="111"/>
      <c r="D4724" s="111"/>
      <c r="E4724" s="112"/>
    </row>
    <row r="4725" spans="1:5">
      <c r="A4725" s="110"/>
      <c r="B4725" s="111"/>
      <c r="C4725" s="111"/>
      <c r="D4725" s="111"/>
      <c r="E4725" s="112"/>
    </row>
    <row r="4726" spans="1:5">
      <c r="A4726" s="110"/>
      <c r="B4726" s="111"/>
      <c r="C4726" s="111"/>
      <c r="D4726" s="111"/>
      <c r="E4726" s="112"/>
    </row>
    <row r="4727" spans="1:5">
      <c r="A4727" s="110"/>
      <c r="B4727" s="111"/>
      <c r="C4727" s="111"/>
      <c r="D4727" s="111"/>
      <c r="E4727" s="112"/>
    </row>
    <row r="4728" spans="1:5">
      <c r="A4728" s="110"/>
      <c r="B4728" s="111"/>
      <c r="C4728" s="111"/>
      <c r="D4728" s="111"/>
      <c r="E4728" s="112"/>
    </row>
    <row r="4729" spans="1:5">
      <c r="A4729" s="110"/>
      <c r="B4729" s="111"/>
      <c r="C4729" s="111"/>
      <c r="D4729" s="111"/>
      <c r="E4729" s="112"/>
    </row>
    <row r="4730" spans="1:5">
      <c r="A4730" s="110"/>
      <c r="B4730" s="111"/>
      <c r="C4730" s="111"/>
      <c r="D4730" s="111"/>
      <c r="E4730" s="112"/>
    </row>
    <row r="4731" spans="1:5">
      <c r="A4731" s="110"/>
      <c r="B4731" s="111"/>
      <c r="C4731" s="111"/>
      <c r="D4731" s="111"/>
      <c r="E4731" s="112"/>
    </row>
    <row r="4732" spans="1:5">
      <c r="A4732" s="110"/>
      <c r="B4732" s="111"/>
      <c r="C4732" s="111"/>
      <c r="D4732" s="111"/>
      <c r="E4732" s="112"/>
    </row>
    <row r="4733" spans="1:5">
      <c r="A4733" s="110"/>
      <c r="B4733" s="111"/>
      <c r="C4733" s="111"/>
      <c r="D4733" s="111"/>
      <c r="E4733" s="112"/>
    </row>
    <row r="4734" spans="1:5">
      <c r="A4734" s="110"/>
      <c r="B4734" s="111"/>
      <c r="C4734" s="111"/>
      <c r="D4734" s="111"/>
      <c r="E4734" s="112"/>
    </row>
    <row r="4735" spans="1:5">
      <c r="A4735" s="110"/>
      <c r="B4735" s="111"/>
      <c r="C4735" s="111"/>
      <c r="D4735" s="111"/>
      <c r="E4735" s="112"/>
    </row>
    <row r="4736" spans="1:5">
      <c r="A4736" s="110"/>
      <c r="B4736" s="111"/>
      <c r="C4736" s="111"/>
      <c r="D4736" s="111"/>
      <c r="E4736" s="112"/>
    </row>
    <row r="4737" spans="1:5">
      <c r="A4737" s="110"/>
      <c r="B4737" s="111"/>
      <c r="C4737" s="111"/>
      <c r="D4737" s="111"/>
      <c r="E4737" s="112"/>
    </row>
    <row r="4738" spans="1:5">
      <c r="A4738" s="110"/>
      <c r="B4738" s="111"/>
      <c r="C4738" s="111"/>
      <c r="D4738" s="111"/>
      <c r="E4738" s="112"/>
    </row>
    <row r="4739" spans="1:5">
      <c r="A4739" s="110"/>
      <c r="B4739" s="111"/>
      <c r="C4739" s="111"/>
      <c r="D4739" s="111"/>
      <c r="E4739" s="112"/>
    </row>
    <row r="4740" spans="1:5">
      <c r="A4740" s="110"/>
      <c r="B4740" s="111"/>
      <c r="C4740" s="111"/>
      <c r="D4740" s="111"/>
      <c r="E4740" s="112"/>
    </row>
    <row r="4741" spans="1:5">
      <c r="A4741" s="110"/>
      <c r="B4741" s="111"/>
      <c r="C4741" s="111"/>
      <c r="D4741" s="111"/>
      <c r="E4741" s="112"/>
    </row>
    <row r="4742" spans="1:5">
      <c r="A4742" s="110"/>
      <c r="B4742" s="111"/>
      <c r="C4742" s="111"/>
      <c r="D4742" s="111"/>
      <c r="E4742" s="112"/>
    </row>
    <row r="4743" spans="1:5">
      <c r="A4743" s="110"/>
      <c r="B4743" s="111"/>
      <c r="C4743" s="111"/>
      <c r="D4743" s="111"/>
      <c r="E4743" s="112"/>
    </row>
    <row r="4744" spans="1:5">
      <c r="A4744" s="110"/>
      <c r="B4744" s="111"/>
      <c r="C4744" s="111"/>
      <c r="D4744" s="111"/>
      <c r="E4744" s="112"/>
    </row>
    <row r="4745" spans="1:5">
      <c r="A4745" s="110"/>
      <c r="B4745" s="111"/>
      <c r="C4745" s="111"/>
      <c r="D4745" s="111"/>
      <c r="E4745" s="112"/>
    </row>
    <row r="4746" spans="1:5">
      <c r="A4746" s="110"/>
      <c r="B4746" s="111"/>
      <c r="C4746" s="111"/>
      <c r="D4746" s="111"/>
      <c r="E4746" s="112"/>
    </row>
    <row r="4747" spans="1:5">
      <c r="A4747" s="110"/>
      <c r="B4747" s="111"/>
      <c r="C4747" s="111"/>
      <c r="D4747" s="111"/>
      <c r="E4747" s="112"/>
    </row>
    <row r="4748" spans="1:5">
      <c r="A4748" s="110"/>
      <c r="B4748" s="111"/>
      <c r="C4748" s="111"/>
      <c r="D4748" s="111"/>
      <c r="E4748" s="112"/>
    </row>
    <row r="4749" spans="1:5">
      <c r="A4749" s="110"/>
      <c r="B4749" s="111"/>
      <c r="C4749" s="111"/>
      <c r="D4749" s="111"/>
      <c r="E4749" s="112"/>
    </row>
    <row r="4750" spans="1:5">
      <c r="A4750" s="110"/>
      <c r="B4750" s="111"/>
      <c r="C4750" s="111"/>
      <c r="D4750" s="111"/>
      <c r="E4750" s="112"/>
    </row>
    <row r="4751" spans="1:5">
      <c r="A4751" s="110"/>
      <c r="B4751" s="111"/>
      <c r="C4751" s="111"/>
      <c r="D4751" s="111"/>
      <c r="E4751" s="112"/>
    </row>
    <row r="4752" spans="1:5">
      <c r="A4752" s="110"/>
      <c r="B4752" s="111"/>
      <c r="C4752" s="111"/>
      <c r="D4752" s="111"/>
      <c r="E4752" s="112"/>
    </row>
    <row r="4753" spans="1:5">
      <c r="A4753" s="110"/>
      <c r="B4753" s="111"/>
      <c r="C4753" s="111"/>
      <c r="D4753" s="111"/>
      <c r="E4753" s="112"/>
    </row>
    <row r="4754" spans="1:5">
      <c r="A4754" s="110"/>
      <c r="B4754" s="111"/>
      <c r="C4754" s="111"/>
      <c r="D4754" s="111"/>
      <c r="E4754" s="112"/>
    </row>
    <row r="4755" spans="1:5">
      <c r="A4755" s="110"/>
      <c r="B4755" s="111"/>
      <c r="C4755" s="111"/>
      <c r="D4755" s="111"/>
      <c r="E4755" s="112"/>
    </row>
    <row r="4756" spans="1:5">
      <c r="A4756" s="110"/>
      <c r="B4756" s="111"/>
      <c r="C4756" s="111"/>
      <c r="D4756" s="111"/>
      <c r="E4756" s="112"/>
    </row>
    <row r="4757" spans="1:5">
      <c r="A4757" s="110"/>
      <c r="B4757" s="111"/>
      <c r="C4757" s="111"/>
      <c r="D4757" s="111"/>
      <c r="E4757" s="112"/>
    </row>
    <row r="4758" spans="1:5">
      <c r="A4758" s="110"/>
      <c r="B4758" s="111"/>
      <c r="C4758" s="111"/>
      <c r="D4758" s="111"/>
      <c r="E4758" s="112"/>
    </row>
    <row r="4759" spans="1:5">
      <c r="A4759" s="110"/>
      <c r="B4759" s="111"/>
      <c r="C4759" s="111"/>
      <c r="D4759" s="111"/>
      <c r="E4759" s="112"/>
    </row>
    <row r="4760" spans="1:5">
      <c r="A4760" s="110"/>
      <c r="B4760" s="111"/>
      <c r="C4760" s="111"/>
      <c r="D4760" s="111"/>
      <c r="E4760" s="112"/>
    </row>
    <row r="4761" spans="1:5">
      <c r="A4761" s="110"/>
      <c r="B4761" s="111"/>
      <c r="C4761" s="111"/>
      <c r="D4761" s="111"/>
      <c r="E4761" s="112"/>
    </row>
    <row r="4762" spans="1:5">
      <c r="A4762" s="110"/>
      <c r="B4762" s="111"/>
      <c r="C4762" s="111"/>
      <c r="D4762" s="111"/>
      <c r="E4762" s="112"/>
    </row>
    <row r="4763" spans="1:5">
      <c r="A4763" s="110"/>
      <c r="B4763" s="111"/>
      <c r="C4763" s="111"/>
      <c r="D4763" s="111"/>
      <c r="E4763" s="112"/>
    </row>
    <row r="4764" spans="1:5">
      <c r="A4764" s="110"/>
      <c r="B4764" s="111"/>
      <c r="C4764" s="111"/>
      <c r="D4764" s="111"/>
      <c r="E4764" s="112"/>
    </row>
    <row r="4765" spans="1:5">
      <c r="A4765" s="110"/>
      <c r="B4765" s="111"/>
      <c r="C4765" s="111"/>
      <c r="D4765" s="111"/>
      <c r="E4765" s="112"/>
    </row>
    <row r="4766" spans="1:5">
      <c r="A4766" s="110"/>
      <c r="B4766" s="111"/>
      <c r="C4766" s="111"/>
      <c r="D4766" s="111"/>
      <c r="E4766" s="112"/>
    </row>
    <row r="4767" spans="1:5">
      <c r="A4767" s="110"/>
      <c r="B4767" s="111"/>
      <c r="C4767" s="111"/>
      <c r="D4767" s="111"/>
      <c r="E4767" s="112"/>
    </row>
    <row r="4768" spans="1:5">
      <c r="A4768" s="110"/>
      <c r="B4768" s="111"/>
      <c r="C4768" s="111"/>
      <c r="D4768" s="111"/>
      <c r="E4768" s="112"/>
    </row>
    <row r="4769" spans="1:5">
      <c r="A4769" s="110"/>
      <c r="B4769" s="111"/>
      <c r="C4769" s="111"/>
      <c r="D4769" s="111"/>
      <c r="E4769" s="112"/>
    </row>
    <row r="4770" spans="1:5">
      <c r="A4770" s="110"/>
      <c r="B4770" s="111"/>
      <c r="C4770" s="111"/>
      <c r="D4770" s="111"/>
      <c r="E4770" s="112"/>
    </row>
    <row r="4771" spans="1:5">
      <c r="A4771" s="110"/>
      <c r="B4771" s="111"/>
      <c r="C4771" s="111"/>
      <c r="D4771" s="111"/>
      <c r="E4771" s="112"/>
    </row>
    <row r="4772" spans="1:5">
      <c r="A4772" s="110"/>
      <c r="B4772" s="111"/>
      <c r="C4772" s="111"/>
      <c r="D4772" s="111"/>
      <c r="E4772" s="112"/>
    </row>
    <row r="4773" spans="1:5">
      <c r="A4773" s="110"/>
      <c r="B4773" s="111"/>
      <c r="C4773" s="111"/>
      <c r="D4773" s="111"/>
      <c r="E4773" s="112"/>
    </row>
    <row r="4774" spans="1:5">
      <c r="A4774" s="110"/>
      <c r="B4774" s="111"/>
      <c r="C4774" s="111"/>
      <c r="D4774" s="111"/>
      <c r="E4774" s="112"/>
    </row>
    <row r="4775" spans="1:5">
      <c r="A4775" s="110"/>
      <c r="B4775" s="111"/>
      <c r="C4775" s="111"/>
      <c r="D4775" s="111"/>
      <c r="E4775" s="112"/>
    </row>
    <row r="4776" spans="1:5">
      <c r="A4776" s="110"/>
      <c r="B4776" s="111"/>
      <c r="C4776" s="111"/>
      <c r="D4776" s="111"/>
      <c r="E4776" s="112"/>
    </row>
    <row r="4777" spans="1:5">
      <c r="A4777" s="110"/>
      <c r="B4777" s="111"/>
      <c r="C4777" s="111"/>
      <c r="D4777" s="111"/>
      <c r="E4777" s="112"/>
    </row>
    <row r="4778" spans="1:5">
      <c r="A4778" s="110"/>
      <c r="B4778" s="111"/>
      <c r="C4778" s="111"/>
      <c r="D4778" s="111"/>
      <c r="E4778" s="112"/>
    </row>
    <row r="4779" spans="1:5">
      <c r="A4779" s="110"/>
      <c r="B4779" s="111"/>
      <c r="C4779" s="111"/>
      <c r="D4779" s="111"/>
      <c r="E4779" s="112"/>
    </row>
    <row r="4780" spans="1:5">
      <c r="A4780" s="110"/>
      <c r="B4780" s="111"/>
      <c r="C4780" s="111"/>
      <c r="D4780" s="111"/>
      <c r="E4780" s="112"/>
    </row>
    <row r="4781" spans="1:5">
      <c r="A4781" s="110"/>
      <c r="B4781" s="111"/>
      <c r="C4781" s="111"/>
      <c r="D4781" s="111"/>
      <c r="E4781" s="112"/>
    </row>
    <row r="4782" spans="1:5">
      <c r="A4782" s="110"/>
      <c r="B4782" s="111"/>
      <c r="C4782" s="111"/>
      <c r="D4782" s="111"/>
      <c r="E4782" s="112"/>
    </row>
    <row r="4783" spans="1:5">
      <c r="A4783" s="110"/>
      <c r="B4783" s="111"/>
      <c r="C4783" s="111"/>
      <c r="D4783" s="111"/>
      <c r="E4783" s="112"/>
    </row>
    <row r="4784" spans="1:5">
      <c r="A4784" s="110"/>
      <c r="B4784" s="111"/>
      <c r="C4784" s="111"/>
      <c r="D4784" s="111"/>
      <c r="E4784" s="112"/>
    </row>
    <row r="4785" spans="1:5">
      <c r="A4785" s="110"/>
      <c r="B4785" s="111"/>
      <c r="C4785" s="111"/>
      <c r="D4785" s="111"/>
      <c r="E4785" s="112"/>
    </row>
    <row r="4786" spans="1:5">
      <c r="A4786" s="110"/>
      <c r="B4786" s="111"/>
      <c r="C4786" s="111"/>
      <c r="D4786" s="111"/>
      <c r="E4786" s="112"/>
    </row>
    <row r="4787" spans="1:5">
      <c r="A4787" s="110"/>
      <c r="B4787" s="111"/>
      <c r="C4787" s="111"/>
      <c r="D4787" s="111"/>
      <c r="E4787" s="112"/>
    </row>
    <row r="4788" spans="1:5">
      <c r="A4788" s="110"/>
      <c r="B4788" s="111"/>
      <c r="C4788" s="111"/>
      <c r="D4788" s="111"/>
      <c r="E4788" s="112"/>
    </row>
    <row r="4789" spans="1:5">
      <c r="A4789" s="110"/>
      <c r="B4789" s="111"/>
      <c r="C4789" s="111"/>
      <c r="D4789" s="111"/>
      <c r="E4789" s="112"/>
    </row>
    <row r="4790" spans="1:5">
      <c r="A4790" s="110"/>
      <c r="B4790" s="111"/>
      <c r="C4790" s="111"/>
      <c r="D4790" s="111"/>
      <c r="E4790" s="112"/>
    </row>
    <row r="4791" spans="1:5">
      <c r="A4791" s="110"/>
      <c r="B4791" s="111"/>
      <c r="C4791" s="111"/>
      <c r="D4791" s="111"/>
      <c r="E4791" s="112"/>
    </row>
    <row r="4792" spans="1:5">
      <c r="A4792" s="110"/>
      <c r="B4792" s="111"/>
      <c r="C4792" s="111"/>
      <c r="D4792" s="111"/>
      <c r="E4792" s="112"/>
    </row>
    <row r="4793" spans="1:5">
      <c r="A4793" s="110"/>
      <c r="B4793" s="111"/>
      <c r="C4793" s="111"/>
      <c r="D4793" s="111"/>
      <c r="E4793" s="112"/>
    </row>
    <row r="4794" spans="1:5">
      <c r="A4794" s="110"/>
      <c r="B4794" s="111"/>
      <c r="C4794" s="111"/>
      <c r="D4794" s="111"/>
      <c r="E4794" s="112"/>
    </row>
    <row r="4795" spans="1:5">
      <c r="A4795" s="110"/>
      <c r="B4795" s="111"/>
      <c r="C4795" s="111"/>
      <c r="D4795" s="111"/>
      <c r="E4795" s="112"/>
    </row>
    <row r="4796" spans="1:5">
      <c r="A4796" s="110"/>
      <c r="B4796" s="111"/>
      <c r="C4796" s="111"/>
      <c r="D4796" s="111"/>
      <c r="E4796" s="112"/>
    </row>
    <row r="4797" spans="1:5">
      <c r="A4797" s="110"/>
      <c r="B4797" s="111"/>
      <c r="C4797" s="111"/>
      <c r="D4797" s="111"/>
      <c r="E4797" s="112"/>
    </row>
    <row r="4798" spans="1:5">
      <c r="A4798" s="110"/>
      <c r="B4798" s="111"/>
      <c r="C4798" s="111"/>
      <c r="D4798" s="111"/>
      <c r="E4798" s="112"/>
    </row>
    <row r="4799" spans="1:5">
      <c r="A4799" s="110"/>
      <c r="B4799" s="111"/>
      <c r="C4799" s="111"/>
      <c r="D4799" s="111"/>
      <c r="E4799" s="112"/>
    </row>
    <row r="4800" spans="1:5">
      <c r="A4800" s="110"/>
      <c r="B4800" s="111"/>
      <c r="C4800" s="111"/>
      <c r="D4800" s="111"/>
      <c r="E4800" s="112"/>
    </row>
    <row r="4801" spans="1:5">
      <c r="A4801" s="110"/>
      <c r="B4801" s="111"/>
      <c r="C4801" s="111"/>
      <c r="D4801" s="111"/>
      <c r="E4801" s="112"/>
    </row>
    <row r="4802" spans="1:5">
      <c r="A4802" s="110"/>
      <c r="B4802" s="111"/>
      <c r="C4802" s="111"/>
      <c r="D4802" s="111"/>
      <c r="E4802" s="112"/>
    </row>
    <row r="4803" spans="1:5">
      <c r="A4803" s="110"/>
      <c r="B4803" s="111"/>
      <c r="C4803" s="111"/>
      <c r="D4803" s="111"/>
      <c r="E4803" s="112"/>
    </row>
    <row r="4804" spans="1:5">
      <c r="A4804" s="110"/>
      <c r="B4804" s="111"/>
      <c r="C4804" s="111"/>
      <c r="D4804" s="111"/>
      <c r="E4804" s="112"/>
    </row>
    <row r="4805" spans="1:5">
      <c r="A4805" s="110"/>
      <c r="B4805" s="111"/>
      <c r="C4805" s="111"/>
      <c r="D4805" s="111"/>
      <c r="E4805" s="112"/>
    </row>
    <row r="4806" spans="1:5">
      <c r="A4806" s="110"/>
      <c r="B4806" s="111"/>
      <c r="C4806" s="111"/>
      <c r="D4806" s="111"/>
      <c r="E4806" s="112"/>
    </row>
    <row r="4807" spans="1:5">
      <c r="A4807" s="110"/>
      <c r="B4807" s="111"/>
      <c r="C4807" s="111"/>
      <c r="D4807" s="111"/>
      <c r="E4807" s="112"/>
    </row>
    <row r="4808" spans="1:5">
      <c r="A4808" s="110"/>
      <c r="B4808" s="111"/>
      <c r="C4808" s="111"/>
      <c r="D4808" s="111"/>
      <c r="E4808" s="112"/>
    </row>
    <row r="4809" spans="1:5">
      <c r="A4809" s="110"/>
      <c r="B4809" s="111"/>
      <c r="C4809" s="111"/>
      <c r="D4809" s="111"/>
      <c r="E4809" s="112"/>
    </row>
    <row r="4810" spans="1:5">
      <c r="A4810" s="110"/>
      <c r="B4810" s="111"/>
      <c r="C4810" s="111"/>
      <c r="D4810" s="111"/>
      <c r="E4810" s="112"/>
    </row>
    <row r="4811" spans="1:5">
      <c r="A4811" s="110"/>
      <c r="B4811" s="111"/>
      <c r="C4811" s="111"/>
      <c r="D4811" s="111"/>
      <c r="E4811" s="112"/>
    </row>
    <row r="4812" spans="1:5">
      <c r="A4812" s="110"/>
      <c r="B4812" s="111"/>
      <c r="C4812" s="111"/>
      <c r="D4812" s="111"/>
      <c r="E4812" s="112"/>
    </row>
    <row r="4813" spans="1:5">
      <c r="A4813" s="110"/>
      <c r="B4813" s="111"/>
      <c r="C4813" s="111"/>
      <c r="D4813" s="111"/>
      <c r="E4813" s="112"/>
    </row>
    <row r="4814" spans="1:5">
      <c r="A4814" s="110"/>
      <c r="B4814" s="111"/>
      <c r="C4814" s="111"/>
      <c r="D4814" s="111"/>
      <c r="E4814" s="112"/>
    </row>
    <row r="4815" spans="1:5">
      <c r="A4815" s="110"/>
      <c r="B4815" s="111"/>
      <c r="C4815" s="111"/>
      <c r="D4815" s="111"/>
      <c r="E4815" s="112"/>
    </row>
    <row r="4816" spans="1:5">
      <c r="A4816" s="110"/>
      <c r="B4816" s="111"/>
      <c r="C4816" s="111"/>
      <c r="D4816" s="111"/>
      <c r="E4816" s="112"/>
    </row>
    <row r="4817" spans="1:5">
      <c r="A4817" s="110"/>
      <c r="B4817" s="111"/>
      <c r="C4817" s="111"/>
      <c r="D4817" s="111"/>
      <c r="E4817" s="112"/>
    </row>
    <row r="4818" spans="1:5">
      <c r="A4818" s="110"/>
      <c r="B4818" s="111"/>
      <c r="C4818" s="111"/>
      <c r="D4818" s="111"/>
      <c r="E4818" s="112"/>
    </row>
    <row r="4819" spans="1:5">
      <c r="A4819" s="110"/>
      <c r="B4819" s="111"/>
      <c r="C4819" s="111"/>
      <c r="D4819" s="111"/>
      <c r="E4819" s="112"/>
    </row>
    <row r="4820" spans="1:5">
      <c r="A4820" s="110"/>
      <c r="B4820" s="111"/>
      <c r="C4820" s="111"/>
      <c r="D4820" s="111"/>
      <c r="E4820" s="112"/>
    </row>
    <row r="4821" spans="1:5">
      <c r="A4821" s="110"/>
      <c r="B4821" s="111"/>
      <c r="C4821" s="111"/>
      <c r="D4821" s="111"/>
      <c r="E4821" s="112"/>
    </row>
    <row r="4822" spans="1:5">
      <c r="A4822" s="110"/>
      <c r="B4822" s="111"/>
      <c r="C4822" s="111"/>
      <c r="D4822" s="111"/>
      <c r="E4822" s="112"/>
    </row>
    <row r="4823" spans="1:5">
      <c r="A4823" s="110"/>
      <c r="B4823" s="111"/>
      <c r="C4823" s="111"/>
      <c r="D4823" s="111"/>
      <c r="E4823" s="112"/>
    </row>
    <row r="4824" spans="1:5">
      <c r="A4824" s="110"/>
      <c r="B4824" s="111"/>
      <c r="C4824" s="111"/>
      <c r="D4824" s="111"/>
      <c r="E4824" s="112"/>
    </row>
    <row r="4825" spans="1:5">
      <c r="A4825" s="110"/>
      <c r="B4825" s="111"/>
      <c r="C4825" s="111"/>
      <c r="D4825" s="111"/>
      <c r="E4825" s="112"/>
    </row>
    <row r="4826" spans="1:5">
      <c r="A4826" s="110"/>
      <c r="B4826" s="111"/>
      <c r="C4826" s="111"/>
      <c r="D4826" s="111"/>
      <c r="E4826" s="112"/>
    </row>
    <row r="4827" spans="1:5">
      <c r="A4827" s="110"/>
      <c r="B4827" s="111"/>
      <c r="C4827" s="111"/>
      <c r="D4827" s="111"/>
      <c r="E4827" s="112"/>
    </row>
    <row r="4828" spans="1:5">
      <c r="A4828" s="110"/>
      <c r="B4828" s="111"/>
      <c r="C4828" s="111"/>
      <c r="D4828" s="111"/>
      <c r="E4828" s="112"/>
    </row>
    <row r="4829" spans="1:5">
      <c r="A4829" s="110"/>
      <c r="B4829" s="111"/>
      <c r="C4829" s="111"/>
      <c r="D4829" s="111"/>
      <c r="E4829" s="112"/>
    </row>
    <row r="4830" spans="1:5">
      <c r="A4830" s="110"/>
      <c r="B4830" s="111"/>
      <c r="C4830" s="111"/>
      <c r="D4830" s="111"/>
      <c r="E4830" s="112"/>
    </row>
    <row r="4831" spans="1:5">
      <c r="A4831" s="110"/>
      <c r="B4831" s="111"/>
      <c r="C4831" s="111"/>
      <c r="D4831" s="111"/>
      <c r="E4831" s="112"/>
    </row>
    <row r="4832" spans="1:5">
      <c r="A4832" s="110"/>
      <c r="B4832" s="111"/>
      <c r="C4832" s="111"/>
      <c r="D4832" s="111"/>
      <c r="E4832" s="112"/>
    </row>
    <row r="4833" spans="1:5">
      <c r="A4833" s="110"/>
      <c r="B4833" s="111"/>
      <c r="C4833" s="111"/>
      <c r="D4833" s="111"/>
      <c r="E4833" s="112"/>
    </row>
    <row r="4834" spans="1:5">
      <c r="A4834" s="110"/>
      <c r="B4834" s="111"/>
      <c r="C4834" s="111"/>
      <c r="D4834" s="111"/>
      <c r="E4834" s="112"/>
    </row>
    <row r="4835" spans="1:5">
      <c r="A4835" s="110"/>
      <c r="B4835" s="111"/>
      <c r="C4835" s="111"/>
      <c r="D4835" s="111"/>
      <c r="E4835" s="112"/>
    </row>
    <row r="4836" spans="1:5">
      <c r="A4836" s="110"/>
      <c r="B4836" s="111"/>
      <c r="C4836" s="111"/>
      <c r="D4836" s="111"/>
      <c r="E4836" s="112"/>
    </row>
    <row r="4837" spans="1:5">
      <c r="A4837" s="110"/>
      <c r="B4837" s="111"/>
      <c r="C4837" s="111"/>
      <c r="D4837" s="111"/>
      <c r="E4837" s="112"/>
    </row>
    <row r="4838" spans="1:5">
      <c r="A4838" s="110"/>
      <c r="B4838" s="111"/>
      <c r="C4838" s="111"/>
      <c r="D4838" s="111"/>
      <c r="E4838" s="112"/>
    </row>
    <row r="4839" spans="1:5">
      <c r="A4839" s="110"/>
      <c r="B4839" s="111"/>
      <c r="C4839" s="111"/>
      <c r="D4839" s="111"/>
      <c r="E4839" s="112"/>
    </row>
    <row r="4840" spans="1:5">
      <c r="A4840" s="110"/>
      <c r="B4840" s="111"/>
      <c r="C4840" s="111"/>
      <c r="D4840" s="111"/>
      <c r="E4840" s="112"/>
    </row>
    <row r="4841" spans="1:5">
      <c r="A4841" s="110"/>
      <c r="B4841" s="111"/>
      <c r="C4841" s="111"/>
      <c r="D4841" s="111"/>
      <c r="E4841" s="112"/>
    </row>
    <row r="4842" spans="1:5">
      <c r="A4842" s="110"/>
      <c r="B4842" s="111"/>
      <c r="C4842" s="111"/>
      <c r="D4842" s="111"/>
      <c r="E4842" s="112"/>
    </row>
    <row r="4843" spans="1:5">
      <c r="A4843" s="110"/>
      <c r="B4843" s="111"/>
      <c r="C4843" s="111"/>
      <c r="D4843" s="111"/>
      <c r="E4843" s="112"/>
    </row>
    <row r="4844" spans="1:5">
      <c r="A4844" s="110"/>
      <c r="B4844" s="111"/>
      <c r="C4844" s="111"/>
      <c r="D4844" s="111"/>
      <c r="E4844" s="112"/>
    </row>
    <row r="4845" spans="1:5">
      <c r="A4845" s="110"/>
      <c r="B4845" s="111"/>
      <c r="C4845" s="111"/>
      <c r="D4845" s="111"/>
      <c r="E4845" s="112"/>
    </row>
    <row r="4846" spans="1:5">
      <c r="A4846" s="110"/>
      <c r="B4846" s="111"/>
      <c r="C4846" s="111"/>
      <c r="D4846" s="111"/>
      <c r="E4846" s="112"/>
    </row>
    <row r="4847" spans="1:5">
      <c r="A4847" s="110"/>
      <c r="B4847" s="111"/>
      <c r="C4847" s="111"/>
      <c r="D4847" s="111"/>
      <c r="E4847" s="112"/>
    </row>
    <row r="4848" spans="1:5">
      <c r="A4848" s="110"/>
      <c r="B4848" s="111"/>
      <c r="C4848" s="111"/>
      <c r="D4848" s="111"/>
      <c r="E4848" s="112"/>
    </row>
    <row r="4849" spans="1:5">
      <c r="A4849" s="110"/>
      <c r="B4849" s="111"/>
      <c r="C4849" s="111"/>
      <c r="D4849" s="111"/>
      <c r="E4849" s="112"/>
    </row>
    <row r="4850" spans="1:5">
      <c r="A4850" s="110"/>
      <c r="B4850" s="111"/>
      <c r="C4850" s="111"/>
      <c r="D4850" s="111"/>
      <c r="E4850" s="112"/>
    </row>
    <row r="4851" spans="1:5">
      <c r="A4851" s="110"/>
      <c r="B4851" s="111"/>
      <c r="C4851" s="111"/>
      <c r="D4851" s="111"/>
      <c r="E4851" s="112"/>
    </row>
    <row r="4852" spans="1:5">
      <c r="A4852" s="110"/>
      <c r="B4852" s="111"/>
      <c r="C4852" s="111"/>
      <c r="D4852" s="111"/>
      <c r="E4852" s="112"/>
    </row>
    <row r="4853" spans="1:5">
      <c r="A4853" s="110"/>
      <c r="B4853" s="111"/>
      <c r="C4853" s="111"/>
      <c r="D4853" s="111"/>
      <c r="E4853" s="112"/>
    </row>
    <row r="4854" spans="1:5">
      <c r="A4854" s="110"/>
      <c r="B4854" s="111"/>
      <c r="C4854" s="111"/>
      <c r="D4854" s="111"/>
      <c r="E4854" s="112"/>
    </row>
    <row r="4855" spans="1:5">
      <c r="A4855" s="110"/>
      <c r="B4855" s="111"/>
      <c r="C4855" s="111"/>
      <c r="D4855" s="111"/>
      <c r="E4855" s="112"/>
    </row>
    <row r="4856" spans="1:5">
      <c r="A4856" s="110"/>
      <c r="B4856" s="111"/>
      <c r="C4856" s="111"/>
      <c r="D4856" s="111"/>
      <c r="E4856" s="112"/>
    </row>
    <row r="4857" spans="1:5">
      <c r="A4857" s="110"/>
      <c r="B4857" s="111"/>
      <c r="C4857" s="111"/>
      <c r="D4857" s="111"/>
      <c r="E4857" s="112"/>
    </row>
    <row r="4858" spans="1:5">
      <c r="A4858" s="110"/>
      <c r="B4858" s="111"/>
      <c r="C4858" s="111"/>
      <c r="D4858" s="111"/>
      <c r="E4858" s="112"/>
    </row>
    <row r="4859" spans="1:5">
      <c r="A4859" s="110"/>
      <c r="B4859" s="111"/>
      <c r="C4859" s="111"/>
      <c r="D4859" s="111"/>
      <c r="E4859" s="112"/>
    </row>
    <row r="4860" spans="1:5">
      <c r="A4860" s="110"/>
      <c r="B4860" s="111"/>
      <c r="C4860" s="111"/>
      <c r="D4860" s="111"/>
      <c r="E4860" s="112"/>
    </row>
    <row r="4861" spans="1:5">
      <c r="A4861" s="110"/>
      <c r="B4861" s="111"/>
      <c r="C4861" s="111"/>
      <c r="D4861" s="111"/>
      <c r="E4861" s="112"/>
    </row>
    <row r="4862" spans="1:5">
      <c r="A4862" s="110"/>
      <c r="B4862" s="111"/>
      <c r="C4862" s="111"/>
      <c r="D4862" s="111"/>
      <c r="E4862" s="112"/>
    </row>
    <row r="4863" spans="1:5">
      <c r="A4863" s="110"/>
      <c r="B4863" s="111"/>
      <c r="C4863" s="111"/>
      <c r="D4863" s="111"/>
      <c r="E4863" s="112"/>
    </row>
    <row r="4864" spans="1:5">
      <c r="A4864" s="110"/>
      <c r="B4864" s="111"/>
      <c r="C4864" s="111"/>
      <c r="D4864" s="111"/>
      <c r="E4864" s="112"/>
    </row>
    <row r="4865" spans="1:5">
      <c r="A4865" s="110"/>
      <c r="B4865" s="111"/>
      <c r="C4865" s="111"/>
      <c r="D4865" s="111"/>
      <c r="E4865" s="112"/>
    </row>
    <row r="4866" spans="1:5">
      <c r="A4866" s="110"/>
      <c r="B4866" s="111"/>
      <c r="C4866" s="111"/>
      <c r="D4866" s="111"/>
      <c r="E4866" s="112"/>
    </row>
    <row r="4867" spans="1:5">
      <c r="A4867" s="110"/>
      <c r="B4867" s="111"/>
      <c r="C4867" s="111"/>
      <c r="D4867" s="111"/>
      <c r="E4867" s="112"/>
    </row>
    <row r="4868" spans="1:5">
      <c r="A4868" s="110"/>
      <c r="B4868" s="111"/>
      <c r="C4868" s="111"/>
      <c r="D4868" s="111"/>
      <c r="E4868" s="112"/>
    </row>
    <row r="4869" spans="1:5">
      <c r="A4869" s="110"/>
      <c r="B4869" s="111"/>
      <c r="C4869" s="111"/>
      <c r="D4869" s="111"/>
      <c r="E4869" s="112"/>
    </row>
    <row r="4870" spans="1:5">
      <c r="A4870" s="110"/>
      <c r="B4870" s="111"/>
      <c r="C4870" s="111"/>
      <c r="D4870" s="111"/>
      <c r="E4870" s="112"/>
    </row>
    <row r="4871" spans="1:5">
      <c r="A4871" s="110"/>
      <c r="B4871" s="111"/>
      <c r="C4871" s="111"/>
      <c r="D4871" s="111"/>
      <c r="E4871" s="112"/>
    </row>
    <row r="4872" spans="1:5">
      <c r="A4872" s="110"/>
      <c r="B4872" s="111"/>
      <c r="C4872" s="111"/>
      <c r="D4872" s="111"/>
      <c r="E4872" s="112"/>
    </row>
    <row r="4873" spans="1:5">
      <c r="A4873" s="110"/>
      <c r="B4873" s="111"/>
      <c r="C4873" s="111"/>
      <c r="D4873" s="111"/>
      <c r="E4873" s="112"/>
    </row>
    <row r="4874" spans="1:5">
      <c r="A4874" s="110"/>
      <c r="B4874" s="111"/>
      <c r="C4874" s="111"/>
      <c r="D4874" s="111"/>
      <c r="E4874" s="112"/>
    </row>
    <row r="4875" spans="1:5">
      <c r="A4875" s="110"/>
      <c r="B4875" s="111"/>
      <c r="C4875" s="111"/>
      <c r="D4875" s="111"/>
      <c r="E4875" s="112"/>
    </row>
    <row r="4876" spans="1:5">
      <c r="A4876" s="110"/>
      <c r="B4876" s="111"/>
      <c r="C4876" s="111"/>
      <c r="D4876" s="111"/>
      <c r="E4876" s="112"/>
    </row>
    <row r="4877" spans="1:5">
      <c r="A4877" s="110"/>
      <c r="B4877" s="111"/>
      <c r="C4877" s="111"/>
      <c r="D4877" s="111"/>
      <c r="E4877" s="112"/>
    </row>
    <row r="4878" spans="1:5">
      <c r="A4878" s="110"/>
      <c r="B4878" s="111"/>
      <c r="C4878" s="111"/>
      <c r="D4878" s="111"/>
      <c r="E4878" s="112"/>
    </row>
    <row r="4879" spans="1:5">
      <c r="A4879" s="110"/>
      <c r="B4879" s="111"/>
      <c r="C4879" s="111"/>
      <c r="D4879" s="111"/>
      <c r="E4879" s="112"/>
    </row>
    <row r="4880" spans="1:5">
      <c r="A4880" s="110"/>
      <c r="B4880" s="111"/>
      <c r="C4880" s="111"/>
      <c r="D4880" s="111"/>
      <c r="E4880" s="112"/>
    </row>
    <row r="4881" spans="1:5">
      <c r="A4881" s="110"/>
      <c r="B4881" s="111"/>
      <c r="C4881" s="111"/>
      <c r="D4881" s="111"/>
      <c r="E4881" s="112"/>
    </row>
    <row r="4882" spans="1:5">
      <c r="A4882" s="110"/>
      <c r="B4882" s="111"/>
      <c r="C4882" s="111"/>
      <c r="D4882" s="111"/>
      <c r="E4882" s="112"/>
    </row>
    <row r="4883" spans="1:5">
      <c r="A4883" s="110"/>
      <c r="B4883" s="111"/>
      <c r="C4883" s="111"/>
      <c r="D4883" s="111"/>
      <c r="E4883" s="112"/>
    </row>
    <row r="4884" spans="1:5">
      <c r="A4884" s="110"/>
      <c r="B4884" s="111"/>
      <c r="C4884" s="111"/>
      <c r="D4884" s="111"/>
      <c r="E4884" s="112"/>
    </row>
    <row r="4885" spans="1:5">
      <c r="A4885" s="110"/>
      <c r="B4885" s="111"/>
      <c r="C4885" s="111"/>
      <c r="D4885" s="111"/>
      <c r="E4885" s="112"/>
    </row>
    <row r="4886" spans="1:5">
      <c r="A4886" s="110"/>
      <c r="B4886" s="111"/>
      <c r="C4886" s="111"/>
      <c r="D4886" s="111"/>
      <c r="E4886" s="112"/>
    </row>
    <row r="4887" spans="1:5">
      <c r="A4887" s="110"/>
      <c r="B4887" s="111"/>
      <c r="C4887" s="111"/>
      <c r="D4887" s="111"/>
      <c r="E4887" s="112"/>
    </row>
    <row r="4888" spans="1:5">
      <c r="A4888" s="110"/>
      <c r="B4888" s="111"/>
      <c r="C4888" s="111"/>
      <c r="D4888" s="111"/>
      <c r="E4888" s="112"/>
    </row>
    <row r="4889" spans="1:5">
      <c r="A4889" s="110"/>
      <c r="B4889" s="111"/>
      <c r="C4889" s="111"/>
      <c r="D4889" s="111"/>
      <c r="E4889" s="112"/>
    </row>
    <row r="4890" spans="1:5">
      <c r="A4890" s="110"/>
      <c r="B4890" s="111"/>
      <c r="C4890" s="111"/>
      <c r="D4890" s="111"/>
      <c r="E4890" s="112"/>
    </row>
    <row r="4891" spans="1:5">
      <c r="A4891" s="110"/>
      <c r="B4891" s="111"/>
      <c r="C4891" s="111"/>
      <c r="D4891" s="111"/>
      <c r="E4891" s="112"/>
    </row>
    <row r="4892" spans="1:5">
      <c r="A4892" s="110"/>
      <c r="B4892" s="111"/>
      <c r="C4892" s="111"/>
      <c r="D4892" s="111"/>
      <c r="E4892" s="112"/>
    </row>
    <row r="4893" spans="1:5">
      <c r="A4893" s="110"/>
      <c r="B4893" s="111"/>
      <c r="C4893" s="111"/>
      <c r="D4893" s="111"/>
      <c r="E4893" s="112"/>
    </row>
    <row r="4894" spans="1:5">
      <c r="A4894" s="110"/>
      <c r="B4894" s="111"/>
      <c r="C4894" s="111"/>
      <c r="D4894" s="111"/>
      <c r="E4894" s="112"/>
    </row>
    <row r="4895" spans="1:5">
      <c r="A4895" s="110"/>
      <c r="B4895" s="111"/>
      <c r="C4895" s="111"/>
      <c r="D4895" s="111"/>
      <c r="E4895" s="112"/>
    </row>
    <row r="4896" spans="1:5">
      <c r="A4896" s="110"/>
      <c r="B4896" s="111"/>
      <c r="C4896" s="111"/>
      <c r="D4896" s="111"/>
      <c r="E4896" s="112"/>
    </row>
    <row r="4897" spans="1:5">
      <c r="A4897" s="110"/>
      <c r="B4897" s="111"/>
      <c r="C4897" s="111"/>
      <c r="D4897" s="111"/>
      <c r="E4897" s="112"/>
    </row>
    <row r="4898" spans="1:5">
      <c r="A4898" s="110"/>
      <c r="B4898" s="111"/>
      <c r="C4898" s="111"/>
      <c r="D4898" s="111"/>
      <c r="E4898" s="112"/>
    </row>
    <row r="4899" spans="1:5">
      <c r="A4899" s="110"/>
      <c r="B4899" s="111"/>
      <c r="C4899" s="111"/>
      <c r="D4899" s="111"/>
      <c r="E4899" s="112"/>
    </row>
    <row r="4900" spans="1:5">
      <c r="A4900" s="110"/>
      <c r="B4900" s="111"/>
      <c r="C4900" s="111"/>
      <c r="D4900" s="111"/>
      <c r="E4900" s="112"/>
    </row>
    <row r="4901" spans="1:5">
      <c r="A4901" s="110"/>
      <c r="B4901" s="111"/>
      <c r="C4901" s="111"/>
      <c r="D4901" s="111"/>
      <c r="E4901" s="112"/>
    </row>
    <row r="4902" spans="1:5">
      <c r="A4902" s="110"/>
      <c r="B4902" s="111"/>
      <c r="C4902" s="111"/>
      <c r="D4902" s="111"/>
      <c r="E4902" s="112"/>
    </row>
    <row r="4903" spans="1:5">
      <c r="A4903" s="110"/>
      <c r="B4903" s="111"/>
      <c r="C4903" s="111"/>
      <c r="D4903" s="111"/>
      <c r="E4903" s="112"/>
    </row>
    <row r="4904" spans="1:5">
      <c r="A4904" s="110"/>
      <c r="B4904" s="111"/>
      <c r="C4904" s="111"/>
      <c r="D4904" s="111"/>
      <c r="E4904" s="112"/>
    </row>
    <row r="4905" spans="1:5">
      <c r="A4905" s="110"/>
      <c r="B4905" s="111"/>
      <c r="C4905" s="111"/>
      <c r="D4905" s="111"/>
      <c r="E4905" s="112"/>
    </row>
    <row r="4906" spans="1:5">
      <c r="A4906" s="110"/>
      <c r="B4906" s="111"/>
      <c r="C4906" s="111"/>
      <c r="D4906" s="111"/>
      <c r="E4906" s="112"/>
    </row>
    <row r="4907" spans="1:5">
      <c r="A4907" s="110"/>
      <c r="B4907" s="111"/>
      <c r="C4907" s="111"/>
      <c r="D4907" s="111"/>
      <c r="E4907" s="112"/>
    </row>
    <row r="4908" spans="1:5">
      <c r="A4908" s="110"/>
      <c r="B4908" s="111"/>
      <c r="C4908" s="111"/>
      <c r="D4908" s="111"/>
      <c r="E4908" s="112"/>
    </row>
    <row r="4909" spans="1:5">
      <c r="A4909" s="110"/>
      <c r="B4909" s="111"/>
      <c r="C4909" s="111"/>
      <c r="D4909" s="111"/>
      <c r="E4909" s="112"/>
    </row>
    <row r="4910" spans="1:5">
      <c r="A4910" s="110"/>
      <c r="B4910" s="111"/>
      <c r="C4910" s="111"/>
      <c r="D4910" s="111"/>
      <c r="E4910" s="112"/>
    </row>
    <row r="4911" spans="1:5">
      <c r="A4911" s="110"/>
      <c r="B4911" s="111"/>
      <c r="C4911" s="111"/>
      <c r="D4911" s="111"/>
      <c r="E4911" s="112"/>
    </row>
    <row r="4912" spans="1:5">
      <c r="A4912" s="110"/>
      <c r="B4912" s="111"/>
      <c r="C4912" s="111"/>
      <c r="D4912" s="111"/>
      <c r="E4912" s="112"/>
    </row>
    <row r="4913" spans="1:5">
      <c r="A4913" s="110"/>
      <c r="B4913" s="111"/>
      <c r="C4913" s="111"/>
      <c r="D4913" s="111"/>
      <c r="E4913" s="112"/>
    </row>
    <row r="4914" spans="1:5">
      <c r="A4914" s="110"/>
      <c r="B4914" s="111"/>
      <c r="C4914" s="111"/>
      <c r="D4914" s="111"/>
      <c r="E4914" s="112"/>
    </row>
    <row r="4915" spans="1:5">
      <c r="A4915" s="110"/>
      <c r="B4915" s="111"/>
      <c r="C4915" s="111"/>
      <c r="D4915" s="111"/>
      <c r="E4915" s="112"/>
    </row>
    <row r="4916" spans="1:5">
      <c r="A4916" s="110"/>
      <c r="B4916" s="111"/>
      <c r="C4916" s="111"/>
      <c r="D4916" s="111"/>
      <c r="E4916" s="112"/>
    </row>
    <row r="4917" spans="1:5">
      <c r="A4917" s="110"/>
      <c r="B4917" s="111"/>
      <c r="C4917" s="111"/>
      <c r="D4917" s="111"/>
      <c r="E4917" s="112"/>
    </row>
    <row r="4918" spans="1:5">
      <c r="A4918" s="110"/>
      <c r="B4918" s="111"/>
      <c r="C4918" s="111"/>
      <c r="D4918" s="111"/>
      <c r="E4918" s="112"/>
    </row>
    <row r="4919" spans="1:5">
      <c r="A4919" s="110"/>
      <c r="B4919" s="111"/>
      <c r="C4919" s="111"/>
      <c r="D4919" s="111"/>
      <c r="E4919" s="112"/>
    </row>
    <row r="4920" spans="1:5">
      <c r="A4920" s="110"/>
      <c r="B4920" s="111"/>
      <c r="C4920" s="111"/>
      <c r="D4920" s="111"/>
      <c r="E4920" s="112"/>
    </row>
    <row r="4921" spans="1:5">
      <c r="A4921" s="110"/>
      <c r="B4921" s="111"/>
      <c r="C4921" s="111"/>
      <c r="D4921" s="111"/>
      <c r="E4921" s="112"/>
    </row>
    <row r="4922" spans="1:5">
      <c r="A4922" s="110"/>
      <c r="B4922" s="111"/>
      <c r="C4922" s="111"/>
      <c r="D4922" s="111"/>
      <c r="E4922" s="112"/>
    </row>
    <row r="4923" spans="1:5">
      <c r="A4923" s="110"/>
      <c r="B4923" s="111"/>
      <c r="C4923" s="111"/>
      <c r="D4923" s="111"/>
      <c r="E4923" s="112"/>
    </row>
    <row r="4924" spans="1:5">
      <c r="A4924" s="110"/>
      <c r="B4924" s="111"/>
      <c r="C4924" s="111"/>
      <c r="D4924" s="111"/>
      <c r="E4924" s="112"/>
    </row>
    <row r="4925" spans="1:5">
      <c r="A4925" s="110"/>
      <c r="B4925" s="111"/>
      <c r="C4925" s="111"/>
      <c r="D4925" s="111"/>
      <c r="E4925" s="112"/>
    </row>
    <row r="4926" spans="1:5">
      <c r="A4926" s="110"/>
      <c r="B4926" s="111"/>
      <c r="C4926" s="111"/>
      <c r="D4926" s="111"/>
      <c r="E4926" s="112"/>
    </row>
    <row r="4927" spans="1:5">
      <c r="A4927" s="110"/>
      <c r="B4927" s="111"/>
      <c r="C4927" s="111"/>
      <c r="D4927" s="111"/>
      <c r="E4927" s="112"/>
    </row>
    <row r="4928" spans="1:5">
      <c r="A4928" s="110"/>
      <c r="B4928" s="111"/>
      <c r="C4928" s="111"/>
      <c r="D4928" s="111"/>
      <c r="E4928" s="112"/>
    </row>
    <row r="4929" spans="1:5">
      <c r="A4929" s="110"/>
      <c r="B4929" s="111"/>
      <c r="C4929" s="111"/>
      <c r="D4929" s="111"/>
      <c r="E4929" s="112"/>
    </row>
    <row r="4930" spans="1:5">
      <c r="A4930" s="110"/>
      <c r="B4930" s="111"/>
      <c r="C4930" s="111"/>
      <c r="D4930" s="111"/>
      <c r="E4930" s="112"/>
    </row>
    <row r="4931" spans="1:5">
      <c r="A4931" s="110"/>
      <c r="B4931" s="111"/>
      <c r="C4931" s="111"/>
      <c r="D4931" s="111"/>
      <c r="E4931" s="112"/>
    </row>
    <row r="4932" spans="1:5">
      <c r="A4932" s="110"/>
      <c r="B4932" s="111"/>
      <c r="C4932" s="111"/>
      <c r="D4932" s="111"/>
      <c r="E4932" s="112"/>
    </row>
    <row r="4933" spans="1:5">
      <c r="A4933" s="110"/>
      <c r="B4933" s="111"/>
      <c r="C4933" s="111"/>
      <c r="D4933" s="111"/>
      <c r="E4933" s="112"/>
    </row>
    <row r="4934" spans="1:5">
      <c r="A4934" s="110"/>
      <c r="B4934" s="111"/>
      <c r="C4934" s="111"/>
      <c r="D4934" s="111"/>
      <c r="E4934" s="112"/>
    </row>
    <row r="4935" spans="1:5">
      <c r="A4935" s="110"/>
      <c r="B4935" s="111"/>
      <c r="C4935" s="111"/>
      <c r="D4935" s="111"/>
      <c r="E4935" s="112"/>
    </row>
    <row r="4936" spans="1:5">
      <c r="A4936" s="110"/>
      <c r="B4936" s="111"/>
      <c r="C4936" s="111"/>
      <c r="D4936" s="111"/>
      <c r="E4936" s="112"/>
    </row>
    <row r="4937" spans="1:5">
      <c r="A4937" s="110"/>
      <c r="B4937" s="111"/>
      <c r="C4937" s="111"/>
      <c r="D4937" s="111"/>
      <c r="E4937" s="112"/>
    </row>
    <row r="4938" spans="1:5">
      <c r="A4938" s="110"/>
      <c r="B4938" s="111"/>
      <c r="C4938" s="111"/>
      <c r="D4938" s="111"/>
      <c r="E4938" s="112"/>
    </row>
    <row r="4939" spans="1:5">
      <c r="A4939" s="110"/>
      <c r="B4939" s="111"/>
      <c r="C4939" s="111"/>
      <c r="D4939" s="111"/>
      <c r="E4939" s="112"/>
    </row>
    <row r="4940" spans="1:5">
      <c r="A4940" s="110"/>
      <c r="B4940" s="111"/>
      <c r="C4940" s="111"/>
      <c r="D4940" s="111"/>
      <c r="E4940" s="112"/>
    </row>
    <row r="4941" spans="1:5">
      <c r="A4941" s="110"/>
      <c r="B4941" s="111"/>
      <c r="C4941" s="111"/>
      <c r="D4941" s="111"/>
      <c r="E4941" s="112"/>
    </row>
    <row r="4942" spans="1:5">
      <c r="A4942" s="110"/>
      <c r="B4942" s="111"/>
      <c r="C4942" s="111"/>
      <c r="D4942" s="111"/>
      <c r="E4942" s="112"/>
    </row>
    <row r="4943" spans="1:5">
      <c r="A4943" s="110"/>
      <c r="B4943" s="111"/>
      <c r="C4943" s="111"/>
      <c r="D4943" s="111"/>
      <c r="E4943" s="112"/>
    </row>
    <row r="4944" spans="1:5">
      <c r="A4944" s="110"/>
      <c r="B4944" s="111"/>
      <c r="C4944" s="111"/>
      <c r="D4944" s="111"/>
      <c r="E4944" s="112"/>
    </row>
    <row r="4945" spans="1:5">
      <c r="A4945" s="110"/>
      <c r="B4945" s="111"/>
      <c r="C4945" s="111"/>
      <c r="D4945" s="111"/>
      <c r="E4945" s="112"/>
    </row>
    <row r="4946" spans="1:5">
      <c r="A4946" s="110"/>
      <c r="B4946" s="111"/>
      <c r="C4946" s="111"/>
      <c r="D4946" s="111"/>
      <c r="E4946" s="112"/>
    </row>
    <row r="4947" spans="1:5">
      <c r="A4947" s="110"/>
      <c r="B4947" s="111"/>
      <c r="C4947" s="111"/>
      <c r="D4947" s="111"/>
      <c r="E4947" s="112"/>
    </row>
    <row r="4948" spans="1:5">
      <c r="A4948" s="110"/>
      <c r="B4948" s="111"/>
      <c r="C4948" s="111"/>
      <c r="D4948" s="111"/>
      <c r="E4948" s="112"/>
    </row>
    <row r="4949" spans="1:5">
      <c r="A4949" s="110"/>
      <c r="B4949" s="111"/>
      <c r="C4949" s="111"/>
      <c r="D4949" s="111"/>
      <c r="E4949" s="112"/>
    </row>
    <row r="4950" spans="1:5">
      <c r="A4950" s="110"/>
      <c r="B4950" s="111"/>
      <c r="C4950" s="111"/>
      <c r="D4950" s="111"/>
      <c r="E4950" s="112"/>
    </row>
    <row r="4951" spans="1:5">
      <c r="A4951" s="110"/>
      <c r="B4951" s="111"/>
      <c r="C4951" s="111"/>
      <c r="D4951" s="111"/>
      <c r="E4951" s="112"/>
    </row>
    <row r="4952" spans="1:5">
      <c r="A4952" s="110"/>
      <c r="B4952" s="111"/>
      <c r="C4952" s="111"/>
      <c r="D4952" s="111"/>
      <c r="E4952" s="112"/>
    </row>
    <row r="4953" spans="1:5">
      <c r="A4953" s="110"/>
      <c r="B4953" s="111"/>
      <c r="C4953" s="111"/>
      <c r="D4953" s="111"/>
      <c r="E4953" s="112"/>
    </row>
    <row r="4954" spans="1:5">
      <c r="A4954" s="110"/>
      <c r="B4954" s="111"/>
      <c r="C4954" s="111"/>
      <c r="D4954" s="111"/>
      <c r="E4954" s="112"/>
    </row>
    <row r="4955" spans="1:5">
      <c r="A4955" s="110"/>
      <c r="B4955" s="111"/>
      <c r="C4955" s="111"/>
      <c r="D4955" s="111"/>
      <c r="E4955" s="112"/>
    </row>
    <row r="4956" spans="1:5">
      <c r="A4956" s="110"/>
      <c r="B4956" s="111"/>
      <c r="C4956" s="111"/>
      <c r="D4956" s="111"/>
      <c r="E4956" s="112"/>
    </row>
    <row r="4957" spans="1:5">
      <c r="A4957" s="110"/>
      <c r="B4957" s="111"/>
      <c r="C4957" s="111"/>
      <c r="D4957" s="111"/>
      <c r="E4957" s="112"/>
    </row>
    <row r="4958" spans="1:5">
      <c r="A4958" s="110"/>
      <c r="B4958" s="111"/>
      <c r="C4958" s="111"/>
      <c r="D4958" s="111"/>
      <c r="E4958" s="112"/>
    </row>
    <row r="4959" spans="1:5">
      <c r="A4959" s="110"/>
      <c r="B4959" s="111"/>
      <c r="C4959" s="111"/>
      <c r="D4959" s="111"/>
      <c r="E4959" s="112"/>
    </row>
    <row r="4960" spans="1:5">
      <c r="A4960" s="110"/>
      <c r="B4960" s="111"/>
      <c r="C4960" s="111"/>
      <c r="D4960" s="111"/>
      <c r="E4960" s="112"/>
    </row>
    <row r="4961" spans="1:5">
      <c r="A4961" s="110"/>
      <c r="B4961" s="111"/>
      <c r="C4961" s="111"/>
      <c r="D4961" s="111"/>
      <c r="E4961" s="112"/>
    </row>
    <row r="4962" spans="1:5">
      <c r="A4962" s="110"/>
      <c r="B4962" s="111"/>
      <c r="C4962" s="111"/>
      <c r="D4962" s="111"/>
      <c r="E4962" s="112"/>
    </row>
    <row r="4963" spans="1:5">
      <c r="A4963" s="110"/>
      <c r="B4963" s="111"/>
      <c r="C4963" s="111"/>
      <c r="D4963" s="111"/>
      <c r="E4963" s="112"/>
    </row>
    <row r="4964" spans="1:5">
      <c r="A4964" s="110"/>
      <c r="B4964" s="111"/>
      <c r="C4964" s="111"/>
      <c r="D4964" s="111"/>
      <c r="E4964" s="112"/>
    </row>
    <row r="4965" spans="1:5">
      <c r="A4965" s="110"/>
      <c r="B4965" s="111"/>
      <c r="C4965" s="111"/>
      <c r="D4965" s="111"/>
      <c r="E4965" s="112"/>
    </row>
    <row r="4966" spans="1:5">
      <c r="A4966" s="110"/>
      <c r="B4966" s="111"/>
      <c r="C4966" s="111"/>
      <c r="D4966" s="111"/>
      <c r="E4966" s="112"/>
    </row>
    <row r="4967" spans="1:5">
      <c r="A4967" s="110"/>
      <c r="B4967" s="111"/>
      <c r="C4967" s="111"/>
      <c r="D4967" s="111"/>
      <c r="E4967" s="112"/>
    </row>
    <row r="4968" spans="1:5">
      <c r="A4968" s="110"/>
      <c r="B4968" s="111"/>
      <c r="C4968" s="111"/>
      <c r="D4968" s="111"/>
      <c r="E4968" s="112"/>
    </row>
    <row r="4969" spans="1:5">
      <c r="A4969" s="110"/>
      <c r="B4969" s="111"/>
      <c r="C4969" s="111"/>
      <c r="D4969" s="111"/>
      <c r="E4969" s="112"/>
    </row>
    <row r="4970" spans="1:5">
      <c r="A4970" s="110"/>
      <c r="B4970" s="111"/>
      <c r="C4970" s="111"/>
      <c r="D4970" s="111"/>
      <c r="E4970" s="112"/>
    </row>
    <row r="4971" spans="1:5">
      <c r="A4971" s="110"/>
      <c r="B4971" s="111"/>
      <c r="C4971" s="111"/>
      <c r="D4971" s="111"/>
      <c r="E4971" s="112"/>
    </row>
    <row r="4972" spans="1:5">
      <c r="A4972" s="110"/>
      <c r="B4972" s="111"/>
      <c r="C4972" s="111"/>
      <c r="D4972" s="111"/>
      <c r="E4972" s="112"/>
    </row>
    <row r="4973" spans="1:5">
      <c r="A4973" s="110"/>
      <c r="B4973" s="111"/>
      <c r="C4973" s="111"/>
      <c r="D4973" s="111"/>
      <c r="E4973" s="112"/>
    </row>
    <row r="4974" spans="1:5">
      <c r="A4974" s="110"/>
      <c r="B4974" s="111"/>
      <c r="C4974" s="111"/>
      <c r="D4974" s="111"/>
      <c r="E4974" s="112"/>
    </row>
    <row r="4975" spans="1:5">
      <c r="A4975" s="110"/>
      <c r="B4975" s="111"/>
      <c r="C4975" s="111"/>
      <c r="D4975" s="111"/>
      <c r="E4975" s="112"/>
    </row>
    <row r="4976" spans="1:5">
      <c r="A4976" s="110"/>
      <c r="B4976" s="111"/>
      <c r="C4976" s="111"/>
      <c r="D4976" s="111"/>
      <c r="E4976" s="112"/>
    </row>
    <row r="4977" spans="1:5">
      <c r="A4977" s="110"/>
      <c r="B4977" s="111"/>
      <c r="C4977" s="111"/>
      <c r="D4977" s="111"/>
      <c r="E4977" s="112"/>
    </row>
    <row r="4978" spans="1:5">
      <c r="A4978" s="110"/>
      <c r="B4978" s="111"/>
      <c r="C4978" s="111"/>
      <c r="D4978" s="111"/>
      <c r="E4978" s="112"/>
    </row>
    <row r="4979" spans="1:5">
      <c r="A4979" s="110"/>
      <c r="B4979" s="111"/>
      <c r="C4979" s="111"/>
      <c r="D4979" s="111"/>
      <c r="E4979" s="112"/>
    </row>
    <row r="4980" spans="1:5">
      <c r="A4980" s="110"/>
      <c r="B4980" s="111"/>
      <c r="C4980" s="111"/>
      <c r="D4980" s="111"/>
      <c r="E4980" s="112"/>
    </row>
    <row r="4981" spans="1:5">
      <c r="A4981" s="110"/>
      <c r="B4981" s="111"/>
      <c r="C4981" s="111"/>
      <c r="D4981" s="111"/>
      <c r="E4981" s="112"/>
    </row>
    <row r="4982" spans="1:5">
      <c r="A4982" s="110"/>
      <c r="B4982" s="111"/>
      <c r="C4982" s="111"/>
      <c r="D4982" s="111"/>
      <c r="E4982" s="112"/>
    </row>
    <row r="4983" spans="1:5">
      <c r="A4983" s="110"/>
      <c r="B4983" s="111"/>
      <c r="C4983" s="111"/>
      <c r="D4983" s="111"/>
      <c r="E4983" s="112"/>
    </row>
    <row r="4984" spans="1:5">
      <c r="A4984" s="110"/>
      <c r="B4984" s="111"/>
      <c r="C4984" s="111"/>
      <c r="D4984" s="111"/>
      <c r="E4984" s="112"/>
    </row>
    <row r="4985" spans="1:5">
      <c r="A4985" s="110"/>
      <c r="B4985" s="111"/>
      <c r="C4985" s="111"/>
      <c r="D4985" s="111"/>
      <c r="E4985" s="112"/>
    </row>
    <row r="4986" spans="1:5">
      <c r="A4986" s="110"/>
      <c r="B4986" s="111"/>
      <c r="C4986" s="111"/>
      <c r="D4986" s="111"/>
      <c r="E4986" s="112"/>
    </row>
    <row r="4987" spans="1:5">
      <c r="A4987" s="110"/>
      <c r="B4987" s="111"/>
      <c r="C4987" s="111"/>
      <c r="D4987" s="111"/>
      <c r="E4987" s="112"/>
    </row>
    <row r="4988" spans="1:5">
      <c r="A4988" s="110"/>
      <c r="B4988" s="111"/>
      <c r="C4988" s="111"/>
      <c r="D4988" s="111"/>
      <c r="E4988" s="112"/>
    </row>
    <row r="4989" spans="1:5">
      <c r="A4989" s="110"/>
      <c r="B4989" s="111"/>
      <c r="C4989" s="111"/>
      <c r="D4989" s="111"/>
      <c r="E4989" s="112"/>
    </row>
    <row r="4990" spans="1:5">
      <c r="A4990" s="110"/>
      <c r="B4990" s="111"/>
      <c r="C4990" s="111"/>
      <c r="D4990" s="111"/>
      <c r="E4990" s="112"/>
    </row>
    <row r="4991" spans="1:5">
      <c r="A4991" s="110"/>
      <c r="B4991" s="111"/>
      <c r="C4991" s="111"/>
      <c r="D4991" s="111"/>
      <c r="E4991" s="112"/>
    </row>
    <row r="4992" spans="1:5">
      <c r="A4992" s="110"/>
      <c r="B4992" s="111"/>
      <c r="C4992" s="111"/>
      <c r="D4992" s="111"/>
      <c r="E4992" s="112"/>
    </row>
    <row r="4993" spans="1:5">
      <c r="A4993" s="110"/>
      <c r="B4993" s="111"/>
      <c r="C4993" s="111"/>
      <c r="D4993" s="111"/>
      <c r="E4993" s="112"/>
    </row>
    <row r="4994" spans="1:5">
      <c r="A4994" s="110"/>
      <c r="B4994" s="111"/>
      <c r="C4994" s="111"/>
      <c r="D4994" s="111"/>
      <c r="E4994" s="112"/>
    </row>
    <row r="4995" spans="1:5">
      <c r="A4995" s="110"/>
      <c r="B4995" s="111"/>
      <c r="C4995" s="111"/>
      <c r="D4995" s="111"/>
      <c r="E4995" s="112"/>
    </row>
    <row r="4996" spans="1:5">
      <c r="A4996" s="110"/>
      <c r="B4996" s="111"/>
      <c r="C4996" s="111"/>
      <c r="D4996" s="111"/>
      <c r="E4996" s="112"/>
    </row>
    <row r="4997" spans="1:5">
      <c r="A4997" s="110"/>
      <c r="B4997" s="111"/>
      <c r="C4997" s="111"/>
      <c r="D4997" s="111"/>
      <c r="E4997" s="112"/>
    </row>
    <row r="4998" spans="1:5">
      <c r="A4998" s="110"/>
      <c r="B4998" s="111"/>
      <c r="C4998" s="111"/>
      <c r="D4998" s="111"/>
      <c r="E4998" s="112"/>
    </row>
    <row r="4999" spans="1:5">
      <c r="A4999" s="110"/>
      <c r="B4999" s="111"/>
      <c r="C4999" s="111"/>
      <c r="D4999" s="111"/>
      <c r="E4999" s="112"/>
    </row>
    <row r="5000" spans="1:5">
      <c r="A5000" s="110"/>
      <c r="B5000" s="111"/>
      <c r="C5000" s="111"/>
      <c r="D5000" s="111"/>
      <c r="E5000" s="112"/>
    </row>
    <row r="5001" spans="1:5">
      <c r="A5001" s="110"/>
      <c r="B5001" s="111"/>
      <c r="C5001" s="111"/>
      <c r="D5001" s="111"/>
      <c r="E5001" s="112"/>
    </row>
    <row r="5002" spans="1:5">
      <c r="A5002" s="110"/>
      <c r="B5002" s="111"/>
      <c r="C5002" s="111"/>
      <c r="D5002" s="111"/>
      <c r="E5002" s="112"/>
    </row>
    <row r="5003" spans="1:5">
      <c r="A5003" s="110"/>
      <c r="B5003" s="111"/>
      <c r="C5003" s="111"/>
      <c r="D5003" s="111"/>
      <c r="E5003" s="112"/>
    </row>
    <row r="5004" spans="1:5">
      <c r="A5004" s="110"/>
      <c r="B5004" s="111"/>
      <c r="C5004" s="111"/>
      <c r="D5004" s="111"/>
      <c r="E5004" s="112"/>
    </row>
    <row r="5005" spans="1:5">
      <c r="A5005" s="110"/>
      <c r="B5005" s="111"/>
      <c r="C5005" s="111"/>
      <c r="D5005" s="111"/>
      <c r="E5005" s="112"/>
    </row>
    <row r="5006" spans="1:5">
      <c r="A5006" s="110"/>
      <c r="B5006" s="111"/>
      <c r="C5006" s="111"/>
      <c r="D5006" s="111"/>
      <c r="E5006" s="112"/>
    </row>
    <row r="5007" spans="1:5">
      <c r="A5007" s="110"/>
      <c r="B5007" s="111"/>
      <c r="C5007" s="111"/>
      <c r="D5007" s="111"/>
      <c r="E5007" s="112"/>
    </row>
    <row r="5008" spans="1:5">
      <c r="A5008" s="110"/>
      <c r="B5008" s="111"/>
      <c r="C5008" s="111"/>
      <c r="D5008" s="111"/>
      <c r="E5008" s="112"/>
    </row>
    <row r="5009" spans="1:5">
      <c r="A5009" s="110"/>
      <c r="B5009" s="111"/>
      <c r="C5009" s="111"/>
      <c r="D5009" s="111"/>
      <c r="E5009" s="112"/>
    </row>
    <row r="5010" spans="1:5">
      <c r="A5010" s="110"/>
      <c r="B5010" s="111"/>
      <c r="C5010" s="111"/>
      <c r="D5010" s="111"/>
      <c r="E5010" s="112"/>
    </row>
    <row r="5011" spans="1:5">
      <c r="A5011" s="110"/>
      <c r="B5011" s="111"/>
      <c r="C5011" s="111"/>
      <c r="D5011" s="111"/>
      <c r="E5011" s="112"/>
    </row>
    <row r="5012" spans="1:5">
      <c r="A5012" s="110"/>
      <c r="B5012" s="111"/>
      <c r="C5012" s="111"/>
      <c r="D5012" s="111"/>
      <c r="E5012" s="112"/>
    </row>
    <row r="5013" spans="1:5">
      <c r="A5013" s="110"/>
      <c r="B5013" s="111"/>
      <c r="C5013" s="111"/>
      <c r="D5013" s="111"/>
      <c r="E5013" s="112"/>
    </row>
    <row r="5014" spans="1:5">
      <c r="A5014" s="110"/>
      <c r="B5014" s="111"/>
      <c r="C5014" s="111"/>
      <c r="D5014" s="111"/>
      <c r="E5014" s="112"/>
    </row>
    <row r="5015" spans="1:5">
      <c r="A5015" s="110"/>
      <c r="B5015" s="111"/>
      <c r="C5015" s="111"/>
      <c r="D5015" s="111"/>
      <c r="E5015" s="112"/>
    </row>
    <row r="5016" spans="1:5">
      <c r="A5016" s="110"/>
      <c r="B5016" s="111"/>
      <c r="C5016" s="111"/>
      <c r="D5016" s="111"/>
      <c r="E5016" s="112"/>
    </row>
    <row r="5017" spans="1:5">
      <c r="A5017" s="110"/>
      <c r="B5017" s="111"/>
      <c r="C5017" s="111"/>
      <c r="D5017" s="111"/>
      <c r="E5017" s="112"/>
    </row>
    <row r="5018" spans="1:5">
      <c r="A5018" s="110"/>
      <c r="B5018" s="111"/>
      <c r="C5018" s="111"/>
      <c r="D5018" s="111"/>
      <c r="E5018" s="112"/>
    </row>
    <row r="5019" spans="1:5">
      <c r="A5019" s="110"/>
      <c r="B5019" s="111"/>
      <c r="C5019" s="111"/>
      <c r="D5019" s="111"/>
      <c r="E5019" s="112"/>
    </row>
    <row r="5020" spans="1:5">
      <c r="A5020" s="110"/>
      <c r="B5020" s="111"/>
      <c r="C5020" s="111"/>
      <c r="D5020" s="111"/>
      <c r="E5020" s="112"/>
    </row>
    <row r="5021" spans="1:5">
      <c r="A5021" s="110"/>
      <c r="B5021" s="111"/>
      <c r="C5021" s="111"/>
      <c r="D5021" s="111"/>
      <c r="E5021" s="112"/>
    </row>
    <row r="5022" spans="1:5">
      <c r="A5022" s="110"/>
      <c r="B5022" s="111"/>
      <c r="C5022" s="111"/>
      <c r="D5022" s="111"/>
      <c r="E5022" s="112"/>
    </row>
    <row r="5023" spans="1:5">
      <c r="A5023" s="110"/>
      <c r="B5023" s="111"/>
      <c r="C5023" s="111"/>
      <c r="D5023" s="111"/>
      <c r="E5023" s="112"/>
    </row>
    <row r="5024" spans="1:5">
      <c r="A5024" s="110"/>
      <c r="B5024" s="111"/>
      <c r="C5024" s="111"/>
      <c r="D5024" s="111"/>
      <c r="E5024" s="112"/>
    </row>
    <row r="5025" spans="1:5">
      <c r="A5025" s="110"/>
      <c r="B5025" s="111"/>
      <c r="C5025" s="111"/>
      <c r="D5025" s="111"/>
      <c r="E5025" s="112"/>
    </row>
    <row r="5026" spans="1:5">
      <c r="A5026" s="110"/>
      <c r="B5026" s="111"/>
      <c r="C5026" s="111"/>
      <c r="D5026" s="111"/>
      <c r="E5026" s="112"/>
    </row>
    <row r="5027" spans="1:5">
      <c r="A5027" s="110"/>
      <c r="B5027" s="111"/>
      <c r="C5027" s="111"/>
      <c r="D5027" s="111"/>
      <c r="E5027" s="112"/>
    </row>
    <row r="5028" spans="1:5">
      <c r="A5028" s="110"/>
      <c r="B5028" s="111"/>
      <c r="C5028" s="111"/>
      <c r="D5028" s="111"/>
      <c r="E5028" s="112"/>
    </row>
    <row r="5029" spans="1:5">
      <c r="A5029" s="110"/>
      <c r="B5029" s="111"/>
      <c r="C5029" s="111"/>
      <c r="D5029" s="111"/>
      <c r="E5029" s="112"/>
    </row>
    <row r="5030" spans="1:5">
      <c r="A5030" s="110"/>
      <c r="B5030" s="111"/>
      <c r="C5030" s="111"/>
      <c r="D5030" s="111"/>
      <c r="E5030" s="112"/>
    </row>
    <row r="5031" spans="1:5">
      <c r="A5031" s="110"/>
      <c r="B5031" s="111"/>
      <c r="C5031" s="111"/>
      <c r="D5031" s="111"/>
      <c r="E5031" s="112"/>
    </row>
    <row r="5032" spans="1:5">
      <c r="A5032" s="110"/>
      <c r="B5032" s="111"/>
      <c r="C5032" s="111"/>
      <c r="D5032" s="111"/>
      <c r="E5032" s="112"/>
    </row>
    <row r="5033" spans="1:5">
      <c r="A5033" s="110"/>
      <c r="B5033" s="111"/>
      <c r="C5033" s="111"/>
      <c r="D5033" s="111"/>
      <c r="E5033" s="112"/>
    </row>
    <row r="5034" spans="1:5">
      <c r="A5034" s="110"/>
      <c r="B5034" s="111"/>
      <c r="C5034" s="111"/>
      <c r="D5034" s="111"/>
      <c r="E5034" s="112"/>
    </row>
    <row r="5035" spans="1:5">
      <c r="A5035" s="110"/>
      <c r="B5035" s="111"/>
      <c r="C5035" s="111"/>
      <c r="D5035" s="111"/>
      <c r="E5035" s="112"/>
    </row>
    <row r="5036" spans="1:5">
      <c r="A5036" s="110"/>
      <c r="B5036" s="111"/>
      <c r="C5036" s="111"/>
      <c r="D5036" s="111"/>
      <c r="E5036" s="112"/>
    </row>
    <row r="5037" spans="1:5">
      <c r="A5037" s="110"/>
      <c r="B5037" s="111"/>
      <c r="C5037" s="111"/>
      <c r="D5037" s="111"/>
      <c r="E5037" s="112"/>
    </row>
    <row r="5038" spans="1:5">
      <c r="A5038" s="110"/>
      <c r="B5038" s="111"/>
      <c r="C5038" s="111"/>
      <c r="D5038" s="111"/>
      <c r="E5038" s="112"/>
    </row>
    <row r="5039" spans="1:5">
      <c r="A5039" s="110"/>
      <c r="B5039" s="111"/>
      <c r="C5039" s="111"/>
      <c r="D5039" s="111"/>
      <c r="E5039" s="112"/>
    </row>
    <row r="5040" spans="1:5">
      <c r="A5040" s="110"/>
      <c r="B5040" s="111"/>
      <c r="C5040" s="111"/>
      <c r="D5040" s="111"/>
      <c r="E5040" s="112"/>
    </row>
    <row r="5041" spans="1:5">
      <c r="A5041" s="110"/>
      <c r="B5041" s="111"/>
      <c r="C5041" s="111"/>
      <c r="D5041" s="111"/>
      <c r="E5041" s="112"/>
    </row>
    <row r="5042" spans="1:5">
      <c r="A5042" s="110"/>
      <c r="B5042" s="111"/>
      <c r="C5042" s="111"/>
      <c r="D5042" s="111"/>
      <c r="E5042" s="112"/>
    </row>
    <row r="5043" spans="1:5">
      <c r="A5043" s="110"/>
      <c r="B5043" s="111"/>
      <c r="C5043" s="111"/>
      <c r="D5043" s="111"/>
      <c r="E5043" s="112"/>
    </row>
    <row r="5044" spans="1:5">
      <c r="A5044" s="110"/>
      <c r="B5044" s="111"/>
      <c r="C5044" s="111"/>
      <c r="D5044" s="111"/>
      <c r="E5044" s="112"/>
    </row>
    <row r="5045" spans="1:5">
      <c r="A5045" s="110"/>
      <c r="B5045" s="111"/>
      <c r="C5045" s="111"/>
      <c r="D5045" s="111"/>
      <c r="E5045" s="112"/>
    </row>
    <row r="5046" spans="1:5">
      <c r="A5046" s="110"/>
      <c r="B5046" s="111"/>
      <c r="C5046" s="111"/>
      <c r="D5046" s="111"/>
      <c r="E5046" s="112"/>
    </row>
    <row r="5047" spans="1:5">
      <c r="A5047" s="110"/>
      <c r="B5047" s="111"/>
      <c r="C5047" s="111"/>
      <c r="D5047" s="111"/>
      <c r="E5047" s="112"/>
    </row>
    <row r="5048" spans="1:5">
      <c r="A5048" s="110"/>
      <c r="B5048" s="111"/>
      <c r="C5048" s="111"/>
      <c r="D5048" s="111"/>
      <c r="E5048" s="112"/>
    </row>
    <row r="5049" spans="1:5">
      <c r="A5049" s="110"/>
      <c r="B5049" s="111"/>
      <c r="C5049" s="111"/>
      <c r="D5049" s="111"/>
      <c r="E5049" s="112"/>
    </row>
    <row r="5050" spans="1:5">
      <c r="A5050" s="110"/>
      <c r="B5050" s="111"/>
      <c r="C5050" s="111"/>
      <c r="D5050" s="111"/>
      <c r="E5050" s="112"/>
    </row>
    <row r="5051" spans="1:5">
      <c r="A5051" s="110"/>
      <c r="B5051" s="111"/>
      <c r="C5051" s="111"/>
      <c r="D5051" s="111"/>
      <c r="E5051" s="112"/>
    </row>
    <row r="5052" spans="1:5">
      <c r="A5052" s="110"/>
      <c r="B5052" s="111"/>
      <c r="C5052" s="111"/>
      <c r="D5052" s="111"/>
      <c r="E5052" s="112"/>
    </row>
    <row r="5053" spans="1:5">
      <c r="A5053" s="110"/>
      <c r="B5053" s="111"/>
      <c r="C5053" s="111"/>
      <c r="D5053" s="111"/>
      <c r="E5053" s="112"/>
    </row>
    <row r="5054" spans="1:5">
      <c r="A5054" s="110"/>
      <c r="B5054" s="111"/>
      <c r="C5054" s="111"/>
      <c r="D5054" s="111"/>
      <c r="E5054" s="112"/>
    </row>
    <row r="5055" spans="1:5">
      <c r="A5055" s="110"/>
      <c r="B5055" s="111"/>
      <c r="C5055" s="111"/>
      <c r="D5055" s="111"/>
      <c r="E5055" s="112"/>
    </row>
    <row r="5056" spans="1:5">
      <c r="A5056" s="110"/>
      <c r="B5056" s="111"/>
      <c r="C5056" s="111"/>
      <c r="D5056" s="111"/>
      <c r="E5056" s="112"/>
    </row>
    <row r="5057" spans="1:5">
      <c r="A5057" s="110"/>
      <c r="B5057" s="111"/>
      <c r="C5057" s="111"/>
      <c r="D5057" s="111"/>
      <c r="E5057" s="112"/>
    </row>
    <row r="5058" spans="1:5">
      <c r="A5058" s="110"/>
      <c r="B5058" s="111"/>
      <c r="C5058" s="111"/>
      <c r="D5058" s="111"/>
      <c r="E5058" s="112"/>
    </row>
    <row r="5059" spans="1:5">
      <c r="A5059" s="110"/>
      <c r="B5059" s="111"/>
      <c r="C5059" s="111"/>
      <c r="D5059" s="111"/>
      <c r="E5059" s="112"/>
    </row>
    <row r="5060" spans="1:5">
      <c r="A5060" s="110"/>
      <c r="B5060" s="111"/>
      <c r="C5060" s="111"/>
      <c r="D5060" s="111"/>
      <c r="E5060" s="112"/>
    </row>
    <row r="5061" spans="1:5">
      <c r="A5061" s="110"/>
      <c r="B5061" s="111"/>
      <c r="C5061" s="111"/>
      <c r="D5061" s="111"/>
      <c r="E5061" s="112"/>
    </row>
    <row r="5062" spans="1:5">
      <c r="A5062" s="110"/>
      <c r="B5062" s="111"/>
      <c r="C5062" s="111"/>
      <c r="D5062" s="111"/>
      <c r="E5062" s="112"/>
    </row>
    <row r="5063" spans="1:5">
      <c r="A5063" s="110"/>
      <c r="B5063" s="111"/>
      <c r="C5063" s="111"/>
      <c r="D5063" s="111"/>
      <c r="E5063" s="112"/>
    </row>
    <row r="5064" spans="1:5">
      <c r="A5064" s="110"/>
      <c r="B5064" s="111"/>
      <c r="C5064" s="111"/>
      <c r="D5064" s="111"/>
      <c r="E5064" s="112"/>
    </row>
    <row r="5065" spans="1:5">
      <c r="A5065" s="110"/>
      <c r="B5065" s="111"/>
      <c r="C5065" s="111"/>
      <c r="D5065" s="111"/>
      <c r="E5065" s="112"/>
    </row>
    <row r="5066" spans="1:5">
      <c r="A5066" s="110"/>
      <c r="B5066" s="111"/>
      <c r="C5066" s="111"/>
      <c r="D5066" s="111"/>
      <c r="E5066" s="112"/>
    </row>
    <row r="5067" spans="1:5">
      <c r="A5067" s="110"/>
      <c r="B5067" s="111"/>
      <c r="C5067" s="111"/>
      <c r="D5067" s="111"/>
      <c r="E5067" s="112"/>
    </row>
    <row r="5068" spans="1:5">
      <c r="A5068" s="110"/>
      <c r="B5068" s="111"/>
      <c r="C5068" s="111"/>
      <c r="D5068" s="111"/>
      <c r="E5068" s="112"/>
    </row>
    <row r="5069" spans="1:5">
      <c r="A5069" s="110"/>
      <c r="B5069" s="111"/>
      <c r="C5069" s="111"/>
      <c r="D5069" s="111"/>
      <c r="E5069" s="112"/>
    </row>
    <row r="5070" spans="1:5">
      <c r="A5070" s="110"/>
      <c r="B5070" s="111"/>
      <c r="C5070" s="111"/>
      <c r="D5070" s="111"/>
      <c r="E5070" s="112"/>
    </row>
    <row r="5071" spans="1:5">
      <c r="A5071" s="110"/>
      <c r="B5071" s="111"/>
      <c r="C5071" s="111"/>
      <c r="D5071" s="111"/>
      <c r="E5071" s="112"/>
    </row>
    <row r="5072" spans="1:5">
      <c r="A5072" s="110"/>
      <c r="B5072" s="111"/>
      <c r="C5072" s="111"/>
      <c r="D5072" s="111"/>
      <c r="E5072" s="112"/>
    </row>
    <row r="5073" spans="1:5">
      <c r="A5073" s="110"/>
      <c r="B5073" s="111"/>
      <c r="C5073" s="111"/>
      <c r="D5073" s="111"/>
      <c r="E5073" s="112"/>
    </row>
    <row r="5074" spans="1:5">
      <c r="A5074" s="110"/>
      <c r="B5074" s="111"/>
      <c r="C5074" s="111"/>
      <c r="D5074" s="111"/>
      <c r="E5074" s="112"/>
    </row>
    <row r="5075" spans="1:5">
      <c r="A5075" s="110"/>
      <c r="B5075" s="111"/>
      <c r="C5075" s="111"/>
      <c r="D5075" s="111"/>
      <c r="E5075" s="112"/>
    </row>
    <row r="5076" spans="1:5">
      <c r="A5076" s="110"/>
      <c r="B5076" s="111"/>
      <c r="C5076" s="111"/>
      <c r="D5076" s="111"/>
      <c r="E5076" s="112"/>
    </row>
    <row r="5077" spans="1:5">
      <c r="A5077" s="110"/>
      <c r="B5077" s="111"/>
      <c r="C5077" s="111"/>
      <c r="D5077" s="111"/>
      <c r="E5077" s="112"/>
    </row>
    <row r="5078" spans="1:5">
      <c r="A5078" s="110"/>
      <c r="B5078" s="111"/>
      <c r="C5078" s="111"/>
      <c r="D5078" s="111"/>
      <c r="E5078" s="112"/>
    </row>
    <row r="5079" spans="1:5">
      <c r="A5079" s="110"/>
      <c r="B5079" s="111"/>
      <c r="C5079" s="111"/>
      <c r="D5079" s="111"/>
      <c r="E5079" s="112"/>
    </row>
    <row r="5080" spans="1:5">
      <c r="A5080" s="110"/>
      <c r="B5080" s="111"/>
      <c r="C5080" s="111"/>
      <c r="D5080" s="111"/>
      <c r="E5080" s="112"/>
    </row>
    <row r="5081" spans="1:5">
      <c r="A5081" s="110"/>
      <c r="B5081" s="111"/>
      <c r="C5081" s="111"/>
      <c r="D5081" s="111"/>
      <c r="E5081" s="112"/>
    </row>
    <row r="5082" spans="1:5">
      <c r="A5082" s="110"/>
      <c r="B5082" s="111"/>
      <c r="C5082" s="111"/>
      <c r="D5082" s="111"/>
      <c r="E5082" s="112"/>
    </row>
    <row r="5083" spans="1:5">
      <c r="A5083" s="110"/>
      <c r="B5083" s="111"/>
      <c r="C5083" s="111"/>
      <c r="D5083" s="111"/>
      <c r="E5083" s="112"/>
    </row>
    <row r="5084" spans="1:5">
      <c r="A5084" s="110"/>
      <c r="B5084" s="111"/>
      <c r="C5084" s="111"/>
      <c r="D5084" s="111"/>
      <c r="E5084" s="112"/>
    </row>
    <row r="5085" spans="1:5">
      <c r="A5085" s="110"/>
      <c r="B5085" s="111"/>
      <c r="C5085" s="111"/>
      <c r="D5085" s="111"/>
      <c r="E5085" s="112"/>
    </row>
    <row r="5086" spans="1:5">
      <c r="A5086" s="110"/>
      <c r="B5086" s="111"/>
      <c r="C5086" s="111"/>
      <c r="D5086" s="111"/>
      <c r="E5086" s="112"/>
    </row>
    <row r="5087" spans="1:5">
      <c r="A5087" s="110"/>
      <c r="B5087" s="111"/>
      <c r="C5087" s="111"/>
      <c r="D5087" s="111"/>
      <c r="E5087" s="112"/>
    </row>
    <row r="5088" spans="1:5">
      <c r="A5088" s="110"/>
      <c r="B5088" s="111"/>
      <c r="C5088" s="111"/>
      <c r="D5088" s="111"/>
      <c r="E5088" s="112"/>
    </row>
    <row r="5089" spans="1:5">
      <c r="A5089" s="110"/>
      <c r="B5089" s="111"/>
      <c r="C5089" s="111"/>
      <c r="D5089" s="111"/>
      <c r="E5089" s="112"/>
    </row>
    <row r="5090" spans="1:5">
      <c r="A5090" s="110"/>
      <c r="B5090" s="111"/>
      <c r="C5090" s="111"/>
      <c r="D5090" s="111"/>
      <c r="E5090" s="112"/>
    </row>
    <row r="5091" spans="1:5">
      <c r="A5091" s="110"/>
      <c r="B5091" s="111"/>
      <c r="C5091" s="111"/>
      <c r="D5091" s="111"/>
      <c r="E5091" s="112"/>
    </row>
    <row r="5092" spans="1:5">
      <c r="A5092" s="110"/>
      <c r="B5092" s="111"/>
      <c r="C5092" s="111"/>
      <c r="D5092" s="111"/>
      <c r="E5092" s="112"/>
    </row>
    <row r="5093" spans="1:5">
      <c r="A5093" s="110"/>
      <c r="B5093" s="111"/>
      <c r="C5093" s="111"/>
      <c r="D5093" s="111"/>
      <c r="E5093" s="112"/>
    </row>
    <row r="5094" spans="1:5">
      <c r="A5094" s="110"/>
      <c r="B5094" s="111"/>
      <c r="C5094" s="111"/>
      <c r="D5094" s="111"/>
      <c r="E5094" s="112"/>
    </row>
    <row r="5095" spans="1:5">
      <c r="A5095" s="110"/>
      <c r="B5095" s="111"/>
      <c r="C5095" s="111"/>
      <c r="D5095" s="111"/>
      <c r="E5095" s="112"/>
    </row>
    <row r="5096" spans="1:5">
      <c r="A5096" s="110"/>
      <c r="B5096" s="111"/>
      <c r="C5096" s="111"/>
      <c r="D5096" s="111"/>
      <c r="E5096" s="112"/>
    </row>
    <row r="5097" spans="1:5">
      <c r="A5097" s="110"/>
      <c r="B5097" s="111"/>
      <c r="C5097" s="111"/>
      <c r="D5097" s="111"/>
      <c r="E5097" s="112"/>
    </row>
    <row r="5098" spans="1:5">
      <c r="A5098" s="110"/>
      <c r="B5098" s="111"/>
      <c r="C5098" s="111"/>
      <c r="D5098" s="111"/>
      <c r="E5098" s="112"/>
    </row>
    <row r="5099" spans="1:5">
      <c r="A5099" s="110"/>
      <c r="B5099" s="111"/>
      <c r="C5099" s="111"/>
      <c r="D5099" s="111"/>
      <c r="E5099" s="112"/>
    </row>
    <row r="5100" spans="1:5">
      <c r="A5100" s="110"/>
      <c r="B5100" s="111"/>
      <c r="C5100" s="111"/>
      <c r="D5100" s="111"/>
      <c r="E5100" s="112"/>
    </row>
    <row r="5101" spans="1:5">
      <c r="A5101" s="110"/>
      <c r="B5101" s="111"/>
      <c r="C5101" s="111"/>
      <c r="D5101" s="111"/>
      <c r="E5101" s="112"/>
    </row>
    <row r="5102" spans="1:5">
      <c r="A5102" s="110"/>
      <c r="B5102" s="111"/>
      <c r="C5102" s="111"/>
      <c r="D5102" s="111"/>
      <c r="E5102" s="112"/>
    </row>
    <row r="5103" spans="1:5">
      <c r="A5103" s="110"/>
      <c r="B5103" s="111"/>
      <c r="C5103" s="111"/>
      <c r="D5103" s="111"/>
      <c r="E5103" s="112"/>
    </row>
    <row r="5104" spans="1:5">
      <c r="A5104" s="110"/>
      <c r="B5104" s="111"/>
      <c r="C5104" s="111"/>
      <c r="D5104" s="111"/>
      <c r="E5104" s="112"/>
    </row>
    <row r="5105" spans="1:5">
      <c r="A5105" s="110"/>
      <c r="B5105" s="111"/>
      <c r="C5105" s="111"/>
      <c r="D5105" s="111"/>
      <c r="E5105" s="112"/>
    </row>
    <row r="5106" spans="1:5">
      <c r="A5106" s="110"/>
      <c r="B5106" s="111"/>
      <c r="C5106" s="111"/>
      <c r="D5106" s="111"/>
      <c r="E5106" s="112"/>
    </row>
    <row r="5107" spans="1:5">
      <c r="A5107" s="110"/>
      <c r="B5107" s="111"/>
      <c r="C5107" s="111"/>
      <c r="D5107" s="111"/>
      <c r="E5107" s="112"/>
    </row>
    <row r="5108" spans="1:5">
      <c r="A5108" s="110"/>
      <c r="B5108" s="111"/>
      <c r="C5108" s="111"/>
      <c r="D5108" s="111"/>
      <c r="E5108" s="112"/>
    </row>
    <row r="5109" spans="1:5">
      <c r="A5109" s="110"/>
      <c r="B5109" s="111"/>
      <c r="C5109" s="111"/>
      <c r="D5109" s="111"/>
      <c r="E5109" s="112"/>
    </row>
    <row r="5110" spans="1:5">
      <c r="A5110" s="110"/>
      <c r="B5110" s="111"/>
      <c r="C5110" s="111"/>
      <c r="D5110" s="111"/>
      <c r="E5110" s="112"/>
    </row>
    <row r="5111" spans="1:5">
      <c r="A5111" s="110"/>
      <c r="B5111" s="111"/>
      <c r="C5111" s="111"/>
      <c r="D5111" s="111"/>
      <c r="E5111" s="112"/>
    </row>
    <row r="5112" spans="1:5">
      <c r="A5112" s="110"/>
      <c r="B5112" s="111"/>
      <c r="C5112" s="111"/>
      <c r="D5112" s="111"/>
      <c r="E5112" s="112"/>
    </row>
    <row r="5113" spans="1:5">
      <c r="A5113" s="110"/>
      <c r="B5113" s="111"/>
      <c r="C5113" s="111"/>
      <c r="D5113" s="111"/>
      <c r="E5113" s="112"/>
    </row>
    <row r="5114" spans="1:5">
      <c r="A5114" s="110"/>
      <c r="B5114" s="111"/>
      <c r="C5114" s="111"/>
      <c r="D5114" s="111"/>
      <c r="E5114" s="112"/>
    </row>
    <row r="5115" spans="1:5">
      <c r="A5115" s="110"/>
      <c r="B5115" s="111"/>
      <c r="C5115" s="111"/>
      <c r="D5115" s="111"/>
      <c r="E5115" s="112"/>
    </row>
    <row r="5116" spans="1:5">
      <c r="A5116" s="110"/>
      <c r="B5116" s="111"/>
      <c r="C5116" s="111"/>
      <c r="D5116" s="111"/>
      <c r="E5116" s="112"/>
    </row>
    <row r="5117" spans="1:5">
      <c r="A5117" s="110"/>
      <c r="B5117" s="111"/>
      <c r="C5117" s="111"/>
      <c r="D5117" s="111"/>
      <c r="E5117" s="112"/>
    </row>
    <row r="5118" spans="1:5">
      <c r="A5118" s="110"/>
      <c r="B5118" s="111"/>
      <c r="C5118" s="111"/>
      <c r="D5118" s="111"/>
      <c r="E5118" s="112"/>
    </row>
    <row r="5119" spans="1:5">
      <c r="A5119" s="110"/>
      <c r="B5119" s="111"/>
      <c r="C5119" s="111"/>
      <c r="D5119" s="111"/>
      <c r="E5119" s="112"/>
    </row>
    <row r="5120" spans="1:5">
      <c r="A5120" s="110"/>
      <c r="B5120" s="111"/>
      <c r="C5120" s="111"/>
      <c r="D5120" s="111"/>
      <c r="E5120" s="112"/>
    </row>
    <row r="5121" spans="1:5">
      <c r="A5121" s="110"/>
      <c r="B5121" s="111"/>
      <c r="C5121" s="111"/>
      <c r="D5121" s="111"/>
      <c r="E5121" s="112"/>
    </row>
    <row r="5122" spans="1:5">
      <c r="A5122" s="110"/>
      <c r="B5122" s="111"/>
      <c r="C5122" s="111"/>
      <c r="D5122" s="111"/>
      <c r="E5122" s="112"/>
    </row>
    <row r="5123" spans="1:5">
      <c r="A5123" s="110"/>
      <c r="B5123" s="111"/>
      <c r="C5123" s="111"/>
      <c r="D5123" s="111"/>
      <c r="E5123" s="112"/>
    </row>
    <row r="5124" spans="1:5">
      <c r="A5124" s="110"/>
      <c r="B5124" s="111"/>
      <c r="C5124" s="111"/>
      <c r="D5124" s="111"/>
      <c r="E5124" s="112"/>
    </row>
    <row r="5125" spans="1:5">
      <c r="A5125" s="110"/>
      <c r="B5125" s="111"/>
      <c r="C5125" s="111"/>
      <c r="D5125" s="111"/>
      <c r="E5125" s="112"/>
    </row>
    <row r="5126" spans="1:5">
      <c r="A5126" s="110"/>
      <c r="B5126" s="111"/>
      <c r="C5126" s="111"/>
      <c r="D5126" s="111"/>
      <c r="E5126" s="112"/>
    </row>
    <row r="5127" spans="1:5">
      <c r="A5127" s="110"/>
      <c r="B5127" s="111"/>
      <c r="C5127" s="111"/>
      <c r="D5127" s="111"/>
      <c r="E5127" s="112"/>
    </row>
    <row r="5128" spans="1:5">
      <c r="A5128" s="110"/>
      <c r="B5128" s="111"/>
      <c r="C5128" s="111"/>
      <c r="D5128" s="111"/>
      <c r="E5128" s="112"/>
    </row>
    <row r="5129" spans="1:5">
      <c r="A5129" s="110"/>
      <c r="B5129" s="111"/>
      <c r="C5129" s="111"/>
      <c r="D5129" s="111"/>
      <c r="E5129" s="112"/>
    </row>
    <row r="5130" spans="1:5">
      <c r="A5130" s="110"/>
      <c r="B5130" s="111"/>
      <c r="C5130" s="111"/>
      <c r="D5130" s="111"/>
      <c r="E5130" s="112"/>
    </row>
    <row r="5131" spans="1:5">
      <c r="A5131" s="110"/>
      <c r="B5131" s="111"/>
      <c r="C5131" s="111"/>
      <c r="D5131" s="111"/>
      <c r="E5131" s="112"/>
    </row>
    <row r="5132" spans="1:5">
      <c r="A5132" s="110"/>
      <c r="B5132" s="111"/>
      <c r="C5132" s="111"/>
      <c r="D5132" s="111"/>
      <c r="E5132" s="112"/>
    </row>
    <row r="5133" spans="1:5">
      <c r="A5133" s="110"/>
      <c r="B5133" s="111"/>
      <c r="C5133" s="111"/>
      <c r="D5133" s="111"/>
      <c r="E5133" s="112"/>
    </row>
    <row r="5134" spans="1:5">
      <c r="A5134" s="110"/>
      <c r="B5134" s="111"/>
      <c r="C5134" s="111"/>
      <c r="D5134" s="111"/>
      <c r="E5134" s="112"/>
    </row>
    <row r="5135" spans="1:5">
      <c r="A5135" s="110"/>
      <c r="B5135" s="111"/>
      <c r="C5135" s="111"/>
      <c r="D5135" s="111"/>
      <c r="E5135" s="112"/>
    </row>
    <row r="5136" spans="1:5">
      <c r="A5136" s="110"/>
      <c r="B5136" s="111"/>
      <c r="C5136" s="111"/>
      <c r="D5136" s="111"/>
      <c r="E5136" s="112"/>
    </row>
    <row r="5137" spans="1:5">
      <c r="A5137" s="110"/>
      <c r="B5137" s="111"/>
      <c r="C5137" s="111"/>
      <c r="D5137" s="111"/>
      <c r="E5137" s="112"/>
    </row>
    <row r="5138" spans="1:5">
      <c r="A5138" s="110"/>
      <c r="B5138" s="111"/>
      <c r="C5138" s="111"/>
      <c r="D5138" s="111"/>
      <c r="E5138" s="112"/>
    </row>
    <row r="5139" spans="1:5">
      <c r="A5139" s="110"/>
      <c r="B5139" s="111"/>
      <c r="C5139" s="111"/>
      <c r="D5139" s="111"/>
      <c r="E5139" s="112"/>
    </row>
    <row r="5140" spans="1:5">
      <c r="A5140" s="110"/>
      <c r="B5140" s="111"/>
      <c r="C5140" s="111"/>
      <c r="D5140" s="111"/>
      <c r="E5140" s="112"/>
    </row>
    <row r="5141" spans="1:5">
      <c r="A5141" s="110"/>
      <c r="B5141" s="111"/>
      <c r="C5141" s="111"/>
      <c r="D5141" s="111"/>
      <c r="E5141" s="112"/>
    </row>
    <row r="5142" spans="1:5">
      <c r="A5142" s="110"/>
      <c r="B5142" s="111"/>
      <c r="C5142" s="111"/>
      <c r="D5142" s="111"/>
      <c r="E5142" s="112"/>
    </row>
    <row r="5143" spans="1:5">
      <c r="A5143" s="110"/>
      <c r="B5143" s="111"/>
      <c r="C5143" s="111"/>
      <c r="D5143" s="111"/>
      <c r="E5143" s="112"/>
    </row>
    <row r="5144" spans="1:5">
      <c r="A5144" s="110"/>
      <c r="B5144" s="111"/>
      <c r="C5144" s="111"/>
      <c r="D5144" s="111"/>
      <c r="E5144" s="112"/>
    </row>
    <row r="5145" spans="1:5">
      <c r="A5145" s="110"/>
      <c r="B5145" s="111"/>
      <c r="C5145" s="111"/>
      <c r="D5145" s="111"/>
      <c r="E5145" s="112"/>
    </row>
    <row r="5146" spans="1:5">
      <c r="A5146" s="110"/>
      <c r="B5146" s="111"/>
      <c r="C5146" s="111"/>
      <c r="D5146" s="111"/>
      <c r="E5146" s="112"/>
    </row>
    <row r="5147" spans="1:5">
      <c r="A5147" s="110"/>
      <c r="B5147" s="111"/>
      <c r="C5147" s="111"/>
      <c r="D5147" s="111"/>
      <c r="E5147" s="112"/>
    </row>
    <row r="5148" spans="1:5">
      <c r="A5148" s="110"/>
      <c r="B5148" s="111"/>
      <c r="C5148" s="111"/>
      <c r="D5148" s="111"/>
      <c r="E5148" s="112"/>
    </row>
    <row r="5149" spans="1:5">
      <c r="A5149" s="110"/>
      <c r="B5149" s="111"/>
      <c r="C5149" s="111"/>
      <c r="D5149" s="111"/>
      <c r="E5149" s="112"/>
    </row>
    <row r="5150" spans="1:5">
      <c r="A5150" s="110"/>
      <c r="B5150" s="111"/>
      <c r="C5150" s="111"/>
      <c r="D5150" s="111"/>
      <c r="E5150" s="112"/>
    </row>
    <row r="5151" spans="1:5">
      <c r="A5151" s="110"/>
      <c r="B5151" s="111"/>
      <c r="C5151" s="111"/>
      <c r="D5151" s="111"/>
      <c r="E5151" s="112"/>
    </row>
    <row r="5152" spans="1:5">
      <c r="A5152" s="110"/>
      <c r="B5152" s="111"/>
      <c r="C5152" s="111"/>
      <c r="D5152" s="111"/>
      <c r="E5152" s="112"/>
    </row>
    <row r="5153" spans="1:5">
      <c r="A5153" s="110"/>
      <c r="B5153" s="111"/>
      <c r="C5153" s="111"/>
      <c r="D5153" s="111"/>
      <c r="E5153" s="112"/>
    </row>
    <row r="5154" spans="1:5">
      <c r="A5154" s="110"/>
      <c r="B5154" s="111"/>
      <c r="C5154" s="111"/>
      <c r="D5154" s="111"/>
      <c r="E5154" s="112"/>
    </row>
    <row r="5155" spans="1:5">
      <c r="A5155" s="110"/>
      <c r="B5155" s="111"/>
      <c r="C5155" s="111"/>
      <c r="D5155" s="111"/>
      <c r="E5155" s="112"/>
    </row>
    <row r="5156" spans="1:5">
      <c r="A5156" s="110"/>
      <c r="B5156" s="111"/>
      <c r="C5156" s="111"/>
      <c r="D5156" s="111"/>
      <c r="E5156" s="112"/>
    </row>
    <row r="5157" spans="1:5">
      <c r="A5157" s="110"/>
      <c r="B5157" s="111"/>
      <c r="C5157" s="111"/>
      <c r="D5157" s="111"/>
      <c r="E5157" s="112"/>
    </row>
    <row r="5158" spans="1:5">
      <c r="A5158" s="110"/>
      <c r="B5158" s="111"/>
      <c r="C5158" s="111"/>
      <c r="D5158" s="111"/>
      <c r="E5158" s="112"/>
    </row>
    <row r="5159" spans="1:5">
      <c r="A5159" s="110"/>
      <c r="B5159" s="111"/>
      <c r="C5159" s="111"/>
      <c r="D5159" s="111"/>
      <c r="E5159" s="112"/>
    </row>
    <row r="5160" spans="1:5">
      <c r="A5160" s="110"/>
      <c r="B5160" s="111"/>
      <c r="C5160" s="111"/>
      <c r="D5160" s="111"/>
      <c r="E5160" s="112"/>
    </row>
    <row r="5161" spans="1:5">
      <c r="A5161" s="110"/>
      <c r="B5161" s="111"/>
      <c r="C5161" s="111"/>
      <c r="D5161" s="111"/>
      <c r="E5161" s="112"/>
    </row>
    <row r="5162" spans="1:5">
      <c r="A5162" s="110"/>
      <c r="B5162" s="111"/>
      <c r="C5162" s="111"/>
      <c r="D5162" s="111"/>
      <c r="E5162" s="112"/>
    </row>
    <row r="5163" spans="1:5">
      <c r="A5163" s="110"/>
      <c r="B5163" s="111"/>
      <c r="C5163" s="111"/>
      <c r="D5163" s="111"/>
      <c r="E5163" s="112"/>
    </row>
    <row r="5164" spans="1:5">
      <c r="A5164" s="110"/>
      <c r="B5164" s="111"/>
      <c r="C5164" s="111"/>
      <c r="D5164" s="111"/>
      <c r="E5164" s="112"/>
    </row>
    <row r="5165" spans="1:5">
      <c r="A5165" s="110"/>
      <c r="B5165" s="111"/>
      <c r="C5165" s="111"/>
      <c r="D5165" s="111"/>
      <c r="E5165" s="112"/>
    </row>
    <row r="5166" spans="1:5">
      <c r="A5166" s="110"/>
      <c r="B5166" s="111"/>
      <c r="C5166" s="111"/>
      <c r="D5166" s="111"/>
      <c r="E5166" s="112"/>
    </row>
    <row r="5167" spans="1:5">
      <c r="A5167" s="110"/>
      <c r="B5167" s="111"/>
      <c r="C5167" s="111"/>
      <c r="D5167" s="111"/>
      <c r="E5167" s="112"/>
    </row>
    <row r="5168" spans="1:5">
      <c r="A5168" s="110"/>
      <c r="B5168" s="111"/>
      <c r="C5168" s="111"/>
      <c r="D5168" s="111"/>
      <c r="E5168" s="112"/>
    </row>
    <row r="5169" spans="1:5">
      <c r="A5169" s="110"/>
      <c r="B5169" s="111"/>
      <c r="C5169" s="111"/>
      <c r="D5169" s="111"/>
      <c r="E5169" s="112"/>
    </row>
    <row r="5170" spans="1:5">
      <c r="A5170" s="110"/>
      <c r="B5170" s="111"/>
      <c r="C5170" s="111"/>
      <c r="D5170" s="111"/>
      <c r="E5170" s="112"/>
    </row>
    <row r="5171" spans="1:5">
      <c r="A5171" s="110"/>
      <c r="B5171" s="111"/>
      <c r="C5171" s="111"/>
      <c r="D5171" s="111"/>
      <c r="E5171" s="112"/>
    </row>
    <row r="5172" spans="1:5">
      <c r="A5172" s="110"/>
      <c r="B5172" s="111"/>
      <c r="C5172" s="111"/>
      <c r="D5172" s="111"/>
      <c r="E5172" s="112"/>
    </row>
    <row r="5173" spans="1:5">
      <c r="A5173" s="110"/>
      <c r="B5173" s="111"/>
      <c r="C5173" s="111"/>
      <c r="D5173" s="111"/>
      <c r="E5173" s="112"/>
    </row>
    <row r="5174" spans="1:5">
      <c r="A5174" s="110"/>
      <c r="B5174" s="111"/>
      <c r="C5174" s="111"/>
      <c r="D5174" s="111"/>
      <c r="E5174" s="112"/>
    </row>
    <row r="5175" spans="1:5">
      <c r="A5175" s="110"/>
      <c r="B5175" s="111"/>
      <c r="C5175" s="111"/>
      <c r="D5175" s="111"/>
      <c r="E5175" s="112"/>
    </row>
    <row r="5176" spans="1:5">
      <c r="A5176" s="110"/>
      <c r="B5176" s="111"/>
      <c r="C5176" s="111"/>
      <c r="D5176" s="111"/>
      <c r="E5176" s="112"/>
    </row>
    <row r="5177" spans="1:5">
      <c r="A5177" s="110"/>
      <c r="B5177" s="111"/>
      <c r="C5177" s="111"/>
      <c r="D5177" s="111"/>
      <c r="E5177" s="112"/>
    </row>
    <row r="5178" spans="1:5">
      <c r="A5178" s="110"/>
      <c r="B5178" s="111"/>
      <c r="C5178" s="111"/>
      <c r="D5178" s="111"/>
      <c r="E5178" s="112"/>
    </row>
    <row r="5179" spans="1:5">
      <c r="A5179" s="110"/>
      <c r="B5179" s="111"/>
      <c r="C5179" s="111"/>
      <c r="D5179" s="111"/>
      <c r="E5179" s="112"/>
    </row>
    <row r="5180" spans="1:5">
      <c r="A5180" s="110"/>
      <c r="B5180" s="111"/>
      <c r="C5180" s="111"/>
      <c r="D5180" s="111"/>
      <c r="E5180" s="112"/>
    </row>
    <row r="5181" spans="1:5">
      <c r="A5181" s="110"/>
      <c r="B5181" s="111"/>
      <c r="C5181" s="111"/>
      <c r="D5181" s="111"/>
      <c r="E5181" s="112"/>
    </row>
    <row r="5182" spans="1:5">
      <c r="A5182" s="110"/>
      <c r="B5182" s="111"/>
      <c r="C5182" s="111"/>
      <c r="D5182" s="111"/>
      <c r="E5182" s="112"/>
    </row>
    <row r="5183" spans="1:5">
      <c r="A5183" s="110"/>
      <c r="B5183" s="111"/>
      <c r="C5183" s="111"/>
      <c r="D5183" s="111"/>
      <c r="E5183" s="112"/>
    </row>
    <row r="5184" spans="1:5">
      <c r="A5184" s="110"/>
      <c r="B5184" s="111"/>
      <c r="C5184" s="111"/>
      <c r="D5184" s="111"/>
      <c r="E5184" s="112"/>
    </row>
    <row r="5185" spans="1:5">
      <c r="A5185" s="110"/>
      <c r="B5185" s="111"/>
      <c r="C5185" s="111"/>
      <c r="D5185" s="111"/>
      <c r="E5185" s="112"/>
    </row>
    <row r="5186" spans="1:5">
      <c r="A5186" s="110"/>
      <c r="B5186" s="111"/>
      <c r="C5186" s="111"/>
      <c r="D5186" s="111"/>
      <c r="E5186" s="112"/>
    </row>
    <row r="5187" spans="1:5">
      <c r="A5187" s="110"/>
      <c r="B5187" s="111"/>
      <c r="C5187" s="111"/>
      <c r="D5187" s="111"/>
      <c r="E5187" s="112"/>
    </row>
    <row r="5188" spans="1:5">
      <c r="A5188" s="110"/>
      <c r="B5188" s="111"/>
      <c r="C5188" s="111"/>
      <c r="D5188" s="111"/>
      <c r="E5188" s="112"/>
    </row>
    <row r="5189" spans="1:5">
      <c r="A5189" s="110"/>
      <c r="B5189" s="111"/>
      <c r="C5189" s="111"/>
      <c r="D5189" s="111"/>
      <c r="E5189" s="112"/>
    </row>
    <row r="5190" spans="1:5">
      <c r="A5190" s="110"/>
      <c r="B5190" s="111"/>
      <c r="C5190" s="111"/>
      <c r="D5190" s="111"/>
      <c r="E5190" s="112"/>
    </row>
    <row r="5191" spans="1:5">
      <c r="A5191" s="110"/>
      <c r="B5191" s="111"/>
      <c r="C5191" s="111"/>
      <c r="D5191" s="111"/>
      <c r="E5191" s="112"/>
    </row>
    <row r="5192" spans="1:5">
      <c r="A5192" s="110"/>
      <c r="B5192" s="111"/>
      <c r="C5192" s="111"/>
      <c r="D5192" s="111"/>
      <c r="E5192" s="112"/>
    </row>
    <row r="5193" spans="1:5">
      <c r="A5193" s="110"/>
      <c r="B5193" s="111"/>
      <c r="C5193" s="111"/>
      <c r="D5193" s="111"/>
      <c r="E5193" s="112"/>
    </row>
    <row r="5194" spans="1:5">
      <c r="A5194" s="110"/>
      <c r="B5194" s="111"/>
      <c r="C5194" s="111"/>
      <c r="D5194" s="111"/>
      <c r="E5194" s="112"/>
    </row>
    <row r="5195" spans="1:5">
      <c r="A5195" s="110"/>
      <c r="B5195" s="111"/>
      <c r="C5195" s="111"/>
      <c r="D5195" s="111"/>
      <c r="E5195" s="112"/>
    </row>
    <row r="5196" spans="1:5">
      <c r="A5196" s="110"/>
      <c r="B5196" s="111"/>
      <c r="C5196" s="111"/>
      <c r="D5196" s="111"/>
      <c r="E5196" s="112"/>
    </row>
    <row r="5197" spans="1:5">
      <c r="A5197" s="110"/>
      <c r="B5197" s="111"/>
      <c r="C5197" s="111"/>
      <c r="D5197" s="111"/>
      <c r="E5197" s="112"/>
    </row>
    <row r="5198" spans="1:5">
      <c r="A5198" s="110"/>
      <c r="B5198" s="111"/>
      <c r="C5198" s="111"/>
      <c r="D5198" s="111"/>
      <c r="E5198" s="112"/>
    </row>
    <row r="5199" spans="1:5">
      <c r="A5199" s="110"/>
      <c r="B5199" s="111"/>
      <c r="C5199" s="111"/>
      <c r="D5199" s="111"/>
      <c r="E5199" s="112"/>
    </row>
    <row r="5200" spans="1:5">
      <c r="A5200" s="110"/>
      <c r="B5200" s="111"/>
      <c r="C5200" s="111"/>
      <c r="D5200" s="111"/>
      <c r="E5200" s="112"/>
    </row>
    <row r="5201" spans="1:5">
      <c r="A5201" s="110"/>
      <c r="B5201" s="111"/>
      <c r="C5201" s="111"/>
      <c r="D5201" s="111"/>
      <c r="E5201" s="112"/>
    </row>
    <row r="5202" spans="1:5">
      <c r="A5202" s="110"/>
      <c r="B5202" s="111"/>
      <c r="C5202" s="111"/>
      <c r="D5202" s="111"/>
      <c r="E5202" s="112"/>
    </row>
    <row r="5203" spans="1:5">
      <c r="A5203" s="110"/>
      <c r="B5203" s="111"/>
      <c r="C5203" s="111"/>
      <c r="D5203" s="111"/>
      <c r="E5203" s="112"/>
    </row>
    <row r="5204" spans="1:5">
      <c r="A5204" s="110"/>
      <c r="B5204" s="111"/>
      <c r="C5204" s="111"/>
      <c r="D5204" s="111"/>
      <c r="E5204" s="112"/>
    </row>
    <row r="5205" spans="1:5">
      <c r="A5205" s="110"/>
      <c r="B5205" s="111"/>
      <c r="C5205" s="111"/>
      <c r="D5205" s="111"/>
      <c r="E5205" s="112"/>
    </row>
    <row r="5206" spans="1:5">
      <c r="A5206" s="110"/>
      <c r="B5206" s="111"/>
      <c r="C5206" s="111"/>
      <c r="D5206" s="111"/>
      <c r="E5206" s="112"/>
    </row>
    <row r="5207" spans="1:5">
      <c r="A5207" s="110"/>
      <c r="B5207" s="111"/>
      <c r="C5207" s="111"/>
      <c r="D5207" s="111"/>
      <c r="E5207" s="112"/>
    </row>
    <row r="5208" spans="1:5">
      <c r="A5208" s="110"/>
      <c r="B5208" s="111"/>
      <c r="C5208" s="111"/>
      <c r="D5208" s="111"/>
      <c r="E5208" s="112"/>
    </row>
    <row r="5209" spans="1:5">
      <c r="A5209" s="110"/>
      <c r="B5209" s="111"/>
      <c r="C5209" s="111"/>
      <c r="D5209" s="111"/>
      <c r="E5209" s="112"/>
    </row>
    <row r="5210" spans="1:5">
      <c r="A5210" s="110"/>
      <c r="B5210" s="111"/>
      <c r="C5210" s="111"/>
      <c r="D5210" s="111"/>
      <c r="E5210" s="112"/>
    </row>
    <row r="5211" spans="1:5">
      <c r="A5211" s="110"/>
      <c r="B5211" s="111"/>
      <c r="C5211" s="111"/>
      <c r="D5211" s="111"/>
      <c r="E5211" s="112"/>
    </row>
    <row r="5212" spans="1:5">
      <c r="A5212" s="110"/>
      <c r="B5212" s="111"/>
      <c r="C5212" s="111"/>
      <c r="D5212" s="111"/>
      <c r="E5212" s="112"/>
    </row>
    <row r="5213" spans="1:5">
      <c r="A5213" s="110"/>
      <c r="B5213" s="111"/>
      <c r="C5213" s="111"/>
      <c r="D5213" s="111"/>
      <c r="E5213" s="112"/>
    </row>
    <row r="5214" spans="1:5">
      <c r="A5214" s="110"/>
      <c r="B5214" s="111"/>
      <c r="C5214" s="111"/>
      <c r="D5214" s="111"/>
      <c r="E5214" s="112"/>
    </row>
    <row r="5215" spans="1:5">
      <c r="A5215" s="110"/>
      <c r="B5215" s="111"/>
      <c r="C5215" s="111"/>
      <c r="D5215" s="111"/>
      <c r="E5215" s="112"/>
    </row>
    <row r="5216" spans="1:5">
      <c r="A5216" s="110"/>
      <c r="B5216" s="111"/>
      <c r="C5216" s="111"/>
      <c r="D5216" s="111"/>
      <c r="E5216" s="112"/>
    </row>
    <row r="5217" spans="1:5">
      <c r="A5217" s="110"/>
      <c r="B5217" s="111"/>
      <c r="C5217" s="111"/>
      <c r="D5217" s="111"/>
      <c r="E5217" s="112"/>
    </row>
    <row r="5218" spans="1:5">
      <c r="A5218" s="110"/>
      <c r="B5218" s="111"/>
      <c r="C5218" s="111"/>
      <c r="D5218" s="111"/>
      <c r="E5218" s="112"/>
    </row>
    <row r="5219" spans="1:5">
      <c r="A5219" s="110"/>
      <c r="B5219" s="111"/>
      <c r="C5219" s="111"/>
      <c r="D5219" s="111"/>
      <c r="E5219" s="112"/>
    </row>
    <row r="5220" spans="1:5">
      <c r="A5220" s="110"/>
      <c r="B5220" s="111"/>
      <c r="C5220" s="111"/>
      <c r="D5220" s="111"/>
      <c r="E5220" s="112"/>
    </row>
    <row r="5221" spans="1:5">
      <c r="A5221" s="110"/>
      <c r="B5221" s="111"/>
      <c r="C5221" s="111"/>
      <c r="D5221" s="111"/>
      <c r="E5221" s="112"/>
    </row>
    <row r="5222" spans="1:5">
      <c r="A5222" s="110"/>
      <c r="B5222" s="111"/>
      <c r="C5222" s="111"/>
      <c r="D5222" s="111"/>
      <c r="E5222" s="112"/>
    </row>
    <row r="5223" spans="1:5">
      <c r="A5223" s="110"/>
      <c r="B5223" s="111"/>
      <c r="C5223" s="111"/>
      <c r="D5223" s="111"/>
      <c r="E5223" s="112"/>
    </row>
    <row r="5224" spans="1:5">
      <c r="A5224" s="110"/>
      <c r="B5224" s="111"/>
      <c r="C5224" s="111"/>
      <c r="D5224" s="111"/>
      <c r="E5224" s="112"/>
    </row>
    <row r="5225" spans="1:5">
      <c r="A5225" s="110"/>
      <c r="B5225" s="111"/>
      <c r="C5225" s="111"/>
      <c r="D5225" s="111"/>
      <c r="E5225" s="112"/>
    </row>
    <row r="5226" spans="1:5">
      <c r="A5226" s="110"/>
      <c r="B5226" s="111"/>
      <c r="C5226" s="111"/>
      <c r="D5226" s="111"/>
      <c r="E5226" s="112"/>
    </row>
    <row r="5227" spans="1:5">
      <c r="A5227" s="110"/>
      <c r="B5227" s="111"/>
      <c r="C5227" s="111"/>
      <c r="D5227" s="111"/>
      <c r="E5227" s="112"/>
    </row>
    <row r="5228" spans="1:5">
      <c r="A5228" s="110"/>
      <c r="B5228" s="111"/>
      <c r="C5228" s="111"/>
      <c r="D5228" s="111"/>
      <c r="E5228" s="112"/>
    </row>
    <row r="5229" spans="1:5">
      <c r="A5229" s="110"/>
      <c r="B5229" s="111"/>
      <c r="C5229" s="111"/>
      <c r="D5229" s="111"/>
      <c r="E5229" s="112"/>
    </row>
    <row r="5230" spans="1:5">
      <c r="A5230" s="110"/>
      <c r="B5230" s="111"/>
      <c r="C5230" s="111"/>
      <c r="D5230" s="111"/>
      <c r="E5230" s="112"/>
    </row>
    <row r="5231" spans="1:5">
      <c r="A5231" s="110"/>
      <c r="B5231" s="111"/>
      <c r="C5231" s="111"/>
      <c r="D5231" s="111"/>
      <c r="E5231" s="112"/>
    </row>
    <row r="5232" spans="1:5">
      <c r="A5232" s="110"/>
      <c r="B5232" s="111"/>
      <c r="C5232" s="111"/>
      <c r="D5232" s="111"/>
      <c r="E5232" s="112"/>
    </row>
    <row r="5233" spans="1:5">
      <c r="A5233" s="110"/>
      <c r="B5233" s="111"/>
      <c r="C5233" s="111"/>
      <c r="D5233" s="111"/>
      <c r="E5233" s="112"/>
    </row>
    <row r="5234" spans="1:5">
      <c r="A5234" s="110"/>
      <c r="B5234" s="111"/>
      <c r="C5234" s="111"/>
      <c r="D5234" s="111"/>
      <c r="E5234" s="112"/>
    </row>
    <row r="5235" spans="1:5">
      <c r="A5235" s="110"/>
      <c r="B5235" s="111"/>
      <c r="C5235" s="111"/>
      <c r="D5235" s="111"/>
      <c r="E5235" s="112"/>
    </row>
    <row r="5236" spans="1:5">
      <c r="A5236" s="110"/>
      <c r="B5236" s="111"/>
      <c r="C5236" s="111"/>
      <c r="D5236" s="111"/>
      <c r="E5236" s="112"/>
    </row>
    <row r="5237" spans="1:5">
      <c r="A5237" s="110"/>
      <c r="B5237" s="111"/>
      <c r="C5237" s="111"/>
      <c r="D5237" s="111"/>
      <c r="E5237" s="112"/>
    </row>
    <row r="5238" spans="1:5">
      <c r="A5238" s="110"/>
      <c r="B5238" s="111"/>
      <c r="C5238" s="111"/>
      <c r="D5238" s="111"/>
      <c r="E5238" s="112"/>
    </row>
    <row r="5239" spans="1:5">
      <c r="A5239" s="110"/>
      <c r="B5239" s="111"/>
      <c r="C5239" s="111"/>
      <c r="D5239" s="111"/>
      <c r="E5239" s="112"/>
    </row>
    <row r="5240" spans="1:5">
      <c r="A5240" s="110"/>
      <c r="B5240" s="111"/>
      <c r="C5240" s="111"/>
      <c r="D5240" s="111"/>
      <c r="E5240" s="112"/>
    </row>
    <row r="5241" spans="1:5">
      <c r="A5241" s="110"/>
      <c r="B5241" s="111"/>
      <c r="C5241" s="111"/>
      <c r="D5241" s="111"/>
      <c r="E5241" s="112"/>
    </row>
    <row r="5242" spans="1:5">
      <c r="A5242" s="110"/>
      <c r="B5242" s="111"/>
      <c r="C5242" s="111"/>
      <c r="D5242" s="111"/>
      <c r="E5242" s="112"/>
    </row>
    <row r="5243" spans="1:5">
      <c r="A5243" s="110"/>
      <c r="B5243" s="111"/>
      <c r="C5243" s="111"/>
      <c r="D5243" s="111"/>
      <c r="E5243" s="112"/>
    </row>
    <row r="5244" spans="1:5">
      <c r="A5244" s="110"/>
      <c r="B5244" s="111"/>
      <c r="C5244" s="111"/>
      <c r="D5244" s="111"/>
      <c r="E5244" s="112"/>
    </row>
    <row r="5245" spans="1:5">
      <c r="A5245" s="110"/>
      <c r="B5245" s="111"/>
      <c r="C5245" s="111"/>
      <c r="D5245" s="111"/>
      <c r="E5245" s="112"/>
    </row>
    <row r="5246" spans="1:5">
      <c r="A5246" s="110"/>
      <c r="B5246" s="111"/>
      <c r="C5246" s="111"/>
      <c r="D5246" s="111"/>
      <c r="E5246" s="112"/>
    </row>
    <row r="5247" spans="1:5">
      <c r="A5247" s="110"/>
      <c r="B5247" s="111"/>
      <c r="C5247" s="111"/>
      <c r="D5247" s="111"/>
      <c r="E5247" s="112"/>
    </row>
    <row r="5248" spans="1:5">
      <c r="A5248" s="110"/>
      <c r="B5248" s="111"/>
      <c r="C5248" s="111"/>
      <c r="D5248" s="111"/>
      <c r="E5248" s="112"/>
    </row>
    <row r="5249" spans="1:5">
      <c r="A5249" s="110"/>
      <c r="B5249" s="111"/>
      <c r="C5249" s="111"/>
      <c r="D5249" s="111"/>
      <c r="E5249" s="112"/>
    </row>
    <row r="5250" spans="1:5">
      <c r="A5250" s="110"/>
      <c r="B5250" s="111"/>
      <c r="C5250" s="111"/>
      <c r="D5250" s="111"/>
      <c r="E5250" s="112"/>
    </row>
    <row r="5251" spans="1:5">
      <c r="A5251" s="110"/>
      <c r="B5251" s="111"/>
      <c r="C5251" s="111"/>
      <c r="D5251" s="111"/>
      <c r="E5251" s="112"/>
    </row>
    <row r="5252" spans="1:5">
      <c r="A5252" s="110"/>
      <c r="B5252" s="111"/>
      <c r="C5252" s="111"/>
      <c r="D5252" s="111"/>
      <c r="E5252" s="112"/>
    </row>
    <row r="5253" spans="1:5">
      <c r="A5253" s="110"/>
      <c r="B5253" s="111"/>
      <c r="C5253" s="111"/>
      <c r="D5253" s="111"/>
      <c r="E5253" s="112"/>
    </row>
    <row r="5254" spans="1:5">
      <c r="A5254" s="110"/>
      <c r="B5254" s="111"/>
      <c r="C5254" s="111"/>
      <c r="D5254" s="111"/>
      <c r="E5254" s="112"/>
    </row>
    <row r="5255" spans="1:5">
      <c r="A5255" s="110"/>
      <c r="B5255" s="111"/>
      <c r="C5255" s="111"/>
      <c r="D5255" s="111"/>
      <c r="E5255" s="112"/>
    </row>
    <row r="5256" spans="1:5">
      <c r="A5256" s="110"/>
      <c r="B5256" s="111"/>
      <c r="C5256" s="111"/>
      <c r="D5256" s="111"/>
      <c r="E5256" s="112"/>
    </row>
    <row r="5257" spans="1:5">
      <c r="A5257" s="110"/>
      <c r="B5257" s="111"/>
      <c r="C5257" s="111"/>
      <c r="D5257" s="111"/>
      <c r="E5257" s="112"/>
    </row>
    <row r="5258" spans="1:5">
      <c r="A5258" s="110"/>
      <c r="B5258" s="111"/>
      <c r="C5258" s="111"/>
      <c r="D5258" s="111"/>
      <c r="E5258" s="112"/>
    </row>
    <row r="5259" spans="1:5">
      <c r="A5259" s="110"/>
      <c r="B5259" s="111"/>
      <c r="C5259" s="111"/>
      <c r="D5259" s="111"/>
      <c r="E5259" s="112"/>
    </row>
    <row r="5260" spans="1:5">
      <c r="A5260" s="110"/>
      <c r="B5260" s="111"/>
      <c r="C5260" s="111"/>
      <c r="D5260" s="111"/>
      <c r="E5260" s="112"/>
    </row>
    <row r="5261" spans="1:5">
      <c r="A5261" s="110"/>
      <c r="B5261" s="111"/>
      <c r="C5261" s="111"/>
      <c r="D5261" s="111"/>
      <c r="E5261" s="112"/>
    </row>
    <row r="5262" spans="1:5">
      <c r="A5262" s="110"/>
      <c r="B5262" s="111"/>
      <c r="C5262" s="111"/>
      <c r="D5262" s="111"/>
      <c r="E5262" s="112"/>
    </row>
    <row r="5263" spans="1:5">
      <c r="A5263" s="110"/>
      <c r="B5263" s="111"/>
      <c r="C5263" s="111"/>
      <c r="D5263" s="111"/>
      <c r="E5263" s="112"/>
    </row>
    <row r="5264" spans="1:5">
      <c r="A5264" s="110"/>
      <c r="B5264" s="111"/>
      <c r="C5264" s="111"/>
      <c r="D5264" s="111"/>
      <c r="E5264" s="112"/>
    </row>
    <row r="5265" spans="1:5">
      <c r="A5265" s="110"/>
      <c r="B5265" s="111"/>
      <c r="C5265" s="111"/>
      <c r="D5265" s="111"/>
      <c r="E5265" s="112"/>
    </row>
    <row r="5266" spans="1:5">
      <c r="A5266" s="110"/>
      <c r="B5266" s="111"/>
      <c r="C5266" s="111"/>
      <c r="D5266" s="111"/>
      <c r="E5266" s="112"/>
    </row>
    <row r="5267" spans="1:5">
      <c r="A5267" s="110"/>
      <c r="B5267" s="111"/>
      <c r="C5267" s="111"/>
      <c r="D5267" s="111"/>
      <c r="E5267" s="112"/>
    </row>
    <row r="5268" spans="1:5">
      <c r="A5268" s="110"/>
      <c r="B5268" s="111"/>
      <c r="C5268" s="111"/>
      <c r="D5268" s="111"/>
      <c r="E5268" s="112"/>
    </row>
    <row r="5269" spans="1:5">
      <c r="A5269" s="110"/>
      <c r="B5269" s="111"/>
      <c r="C5269" s="111"/>
      <c r="D5269" s="111"/>
      <c r="E5269" s="112"/>
    </row>
    <row r="5270" spans="1:5">
      <c r="A5270" s="110"/>
      <c r="B5270" s="111"/>
      <c r="C5270" s="111"/>
      <c r="D5270" s="111"/>
      <c r="E5270" s="112"/>
    </row>
    <row r="5271" spans="1:5">
      <c r="A5271" s="110"/>
      <c r="B5271" s="111"/>
      <c r="C5271" s="111"/>
      <c r="D5271" s="111"/>
      <c r="E5271" s="112"/>
    </row>
    <row r="5272" spans="1:5">
      <c r="A5272" s="110"/>
      <c r="B5272" s="111"/>
      <c r="C5272" s="111"/>
      <c r="D5272" s="111"/>
      <c r="E5272" s="112"/>
    </row>
    <row r="5273" spans="1:5">
      <c r="A5273" s="110"/>
      <c r="B5273" s="111"/>
      <c r="C5273" s="111"/>
      <c r="D5273" s="111"/>
      <c r="E5273" s="112"/>
    </row>
    <row r="5274" spans="1:5">
      <c r="A5274" s="110"/>
      <c r="B5274" s="111"/>
      <c r="C5274" s="111"/>
      <c r="D5274" s="111"/>
      <c r="E5274" s="112"/>
    </row>
    <row r="5275" spans="1:5">
      <c r="A5275" s="110"/>
      <c r="B5275" s="111"/>
      <c r="C5275" s="111"/>
      <c r="D5275" s="111"/>
      <c r="E5275" s="112"/>
    </row>
    <row r="5276" spans="1:5">
      <c r="A5276" s="110"/>
      <c r="B5276" s="111"/>
      <c r="C5276" s="111"/>
      <c r="D5276" s="111"/>
      <c r="E5276" s="112"/>
    </row>
    <row r="5277" spans="1:5">
      <c r="A5277" s="110"/>
      <c r="B5277" s="111"/>
      <c r="C5277" s="111"/>
      <c r="D5277" s="111"/>
      <c r="E5277" s="112"/>
    </row>
    <row r="5278" spans="1:5">
      <c r="A5278" s="110"/>
      <c r="B5278" s="111"/>
      <c r="C5278" s="111"/>
      <c r="D5278" s="111"/>
      <c r="E5278" s="112"/>
    </row>
    <row r="5279" spans="1:5">
      <c r="A5279" s="110"/>
      <c r="B5279" s="111"/>
      <c r="C5279" s="111"/>
      <c r="D5279" s="111"/>
      <c r="E5279" s="112"/>
    </row>
    <row r="5280" spans="1:5">
      <c r="A5280" s="110"/>
      <c r="B5280" s="111"/>
      <c r="C5280" s="111"/>
      <c r="D5280" s="111"/>
      <c r="E5280" s="112"/>
    </row>
    <row r="5281" spans="1:5">
      <c r="A5281" s="110"/>
      <c r="B5281" s="111"/>
      <c r="C5281" s="111"/>
      <c r="D5281" s="111"/>
      <c r="E5281" s="112"/>
    </row>
    <row r="5282" spans="1:5">
      <c r="A5282" s="110"/>
      <c r="B5282" s="111"/>
      <c r="C5282" s="111"/>
      <c r="D5282" s="111"/>
      <c r="E5282" s="112"/>
    </row>
    <row r="5283" spans="1:5">
      <c r="A5283" s="110"/>
      <c r="B5283" s="111"/>
      <c r="C5283" s="111"/>
      <c r="D5283" s="111"/>
      <c r="E5283" s="112"/>
    </row>
    <row r="5284" spans="1:5">
      <c r="A5284" s="110"/>
      <c r="B5284" s="111"/>
      <c r="C5284" s="111"/>
      <c r="D5284" s="111"/>
      <c r="E5284" s="112"/>
    </row>
    <row r="5285" spans="1:5">
      <c r="A5285" s="110"/>
      <c r="B5285" s="111"/>
      <c r="C5285" s="111"/>
      <c r="D5285" s="111"/>
      <c r="E5285" s="112"/>
    </row>
    <row r="5286" spans="1:5">
      <c r="A5286" s="110"/>
      <c r="B5286" s="111"/>
      <c r="C5286" s="111"/>
      <c r="D5286" s="111"/>
      <c r="E5286" s="112"/>
    </row>
    <row r="5287" spans="1:5">
      <c r="A5287" s="110"/>
      <c r="B5287" s="111"/>
      <c r="C5287" s="111"/>
      <c r="D5287" s="111"/>
      <c r="E5287" s="112"/>
    </row>
    <row r="5288" spans="1:5">
      <c r="A5288" s="110"/>
      <c r="B5288" s="111"/>
      <c r="C5288" s="111"/>
      <c r="D5288" s="111"/>
      <c r="E5288" s="112"/>
    </row>
    <row r="5289" spans="1:5">
      <c r="A5289" s="110"/>
      <c r="B5289" s="111"/>
      <c r="C5289" s="111"/>
      <c r="D5289" s="111"/>
      <c r="E5289" s="112"/>
    </row>
    <row r="5290" spans="1:5">
      <c r="A5290" s="110"/>
      <c r="B5290" s="111"/>
      <c r="C5290" s="111"/>
      <c r="D5290" s="111"/>
      <c r="E5290" s="112"/>
    </row>
    <row r="5291" spans="1:5">
      <c r="A5291" s="110"/>
      <c r="B5291" s="111"/>
      <c r="C5291" s="111"/>
      <c r="D5291" s="111"/>
      <c r="E5291" s="112"/>
    </row>
    <row r="5292" spans="1:5">
      <c r="A5292" s="110"/>
      <c r="B5292" s="111"/>
      <c r="C5292" s="111"/>
      <c r="D5292" s="111"/>
      <c r="E5292" s="112"/>
    </row>
    <row r="5293" spans="1:5">
      <c r="A5293" s="110"/>
      <c r="B5293" s="111"/>
      <c r="C5293" s="111"/>
      <c r="D5293" s="111"/>
      <c r="E5293" s="112"/>
    </row>
    <row r="5294" spans="1:5">
      <c r="A5294" s="110"/>
      <c r="B5294" s="111"/>
      <c r="C5294" s="111"/>
      <c r="D5294" s="111"/>
      <c r="E5294" s="112"/>
    </row>
    <row r="5295" spans="1:5">
      <c r="A5295" s="110"/>
      <c r="B5295" s="111"/>
      <c r="C5295" s="111"/>
      <c r="D5295" s="111"/>
      <c r="E5295" s="112"/>
    </row>
    <row r="5296" spans="1:5">
      <c r="A5296" s="110"/>
      <c r="B5296" s="111"/>
      <c r="C5296" s="111"/>
      <c r="D5296" s="111"/>
      <c r="E5296" s="112"/>
    </row>
    <row r="5297" spans="1:5">
      <c r="A5297" s="110"/>
      <c r="B5297" s="111"/>
      <c r="C5297" s="111"/>
      <c r="D5297" s="111"/>
      <c r="E5297" s="112"/>
    </row>
    <row r="5298" spans="1:5">
      <c r="A5298" s="110"/>
      <c r="B5298" s="111"/>
      <c r="C5298" s="111"/>
      <c r="D5298" s="111"/>
      <c r="E5298" s="112"/>
    </row>
    <row r="5299" spans="1:5">
      <c r="A5299" s="110"/>
      <c r="B5299" s="111"/>
      <c r="C5299" s="111"/>
      <c r="D5299" s="111"/>
      <c r="E5299" s="112"/>
    </row>
    <row r="5300" spans="1:5">
      <c r="A5300" s="110"/>
      <c r="B5300" s="111"/>
      <c r="C5300" s="111"/>
      <c r="D5300" s="111"/>
      <c r="E5300" s="112"/>
    </row>
    <row r="5301" spans="1:5">
      <c r="A5301" s="110"/>
      <c r="B5301" s="111"/>
      <c r="C5301" s="111"/>
      <c r="D5301" s="111"/>
      <c r="E5301" s="112"/>
    </row>
    <row r="5302" spans="1:5">
      <c r="A5302" s="110"/>
      <c r="B5302" s="111"/>
      <c r="C5302" s="111"/>
      <c r="D5302" s="111"/>
      <c r="E5302" s="112"/>
    </row>
    <row r="5303" spans="1:5">
      <c r="A5303" s="110"/>
      <c r="B5303" s="111"/>
      <c r="C5303" s="111"/>
      <c r="D5303" s="111"/>
      <c r="E5303" s="112"/>
    </row>
    <row r="5304" spans="1:5">
      <c r="A5304" s="110"/>
      <c r="B5304" s="111"/>
      <c r="C5304" s="111"/>
      <c r="D5304" s="111"/>
      <c r="E5304" s="112"/>
    </row>
    <row r="5305" spans="1:5">
      <c r="A5305" s="110"/>
      <c r="B5305" s="111"/>
      <c r="C5305" s="111"/>
      <c r="D5305" s="111"/>
      <c r="E5305" s="112"/>
    </row>
    <row r="5306" spans="1:5">
      <c r="A5306" s="110"/>
      <c r="B5306" s="111"/>
      <c r="C5306" s="111"/>
      <c r="D5306" s="111"/>
      <c r="E5306" s="112"/>
    </row>
    <row r="5307" spans="1:5">
      <c r="A5307" s="110"/>
      <c r="B5307" s="111"/>
      <c r="C5307" s="111"/>
      <c r="D5307" s="111"/>
      <c r="E5307" s="112"/>
    </row>
    <row r="5308" spans="1:5">
      <c r="A5308" s="110"/>
      <c r="B5308" s="111"/>
      <c r="C5308" s="111"/>
      <c r="D5308" s="111"/>
      <c r="E5308" s="112"/>
    </row>
    <row r="5309" spans="1:5">
      <c r="A5309" s="110"/>
      <c r="B5309" s="111"/>
      <c r="C5309" s="111"/>
      <c r="D5309" s="111"/>
      <c r="E5309" s="112"/>
    </row>
    <row r="5310" spans="1:5">
      <c r="A5310" s="110"/>
      <c r="B5310" s="111"/>
      <c r="C5310" s="111"/>
      <c r="D5310" s="111"/>
      <c r="E5310" s="112"/>
    </row>
    <row r="5311" spans="1:5">
      <c r="A5311" s="110"/>
      <c r="B5311" s="111"/>
      <c r="C5311" s="111"/>
      <c r="D5311" s="111"/>
      <c r="E5311" s="112"/>
    </row>
    <row r="5312" spans="1:5">
      <c r="A5312" s="110"/>
      <c r="B5312" s="111"/>
      <c r="C5312" s="111"/>
      <c r="D5312" s="111"/>
      <c r="E5312" s="112"/>
    </row>
    <row r="5313" spans="1:5">
      <c r="A5313" s="110"/>
      <c r="B5313" s="111"/>
      <c r="C5313" s="111"/>
      <c r="D5313" s="111"/>
      <c r="E5313" s="112"/>
    </row>
    <row r="5314" spans="1:5">
      <c r="A5314" s="110"/>
      <c r="B5314" s="111"/>
      <c r="C5314" s="111"/>
      <c r="D5314" s="111"/>
      <c r="E5314" s="112"/>
    </row>
    <row r="5315" spans="1:5">
      <c r="A5315" s="110"/>
      <c r="B5315" s="111"/>
      <c r="C5315" s="111"/>
      <c r="D5315" s="111"/>
      <c r="E5315" s="112"/>
    </row>
    <row r="5316" spans="1:5">
      <c r="A5316" s="110"/>
      <c r="B5316" s="111"/>
      <c r="C5316" s="111"/>
      <c r="D5316" s="111"/>
      <c r="E5316" s="112"/>
    </row>
    <row r="5317" spans="1:5">
      <c r="A5317" s="110"/>
      <c r="B5317" s="111"/>
      <c r="C5317" s="111"/>
      <c r="D5317" s="111"/>
      <c r="E5317" s="112"/>
    </row>
    <row r="5318" spans="1:5">
      <c r="A5318" s="110"/>
      <c r="B5318" s="111"/>
      <c r="C5318" s="111"/>
      <c r="D5318" s="111"/>
      <c r="E5318" s="112"/>
    </row>
    <row r="5319" spans="1:5">
      <c r="A5319" s="110"/>
      <c r="B5319" s="111"/>
      <c r="C5319" s="111"/>
      <c r="D5319" s="111"/>
      <c r="E5319" s="112"/>
    </row>
    <row r="5320" spans="1:5">
      <c r="A5320" s="110"/>
      <c r="B5320" s="111"/>
      <c r="C5320" s="111"/>
      <c r="D5320" s="111"/>
      <c r="E5320" s="112"/>
    </row>
    <row r="5321" spans="1:5">
      <c r="A5321" s="110"/>
      <c r="B5321" s="111"/>
      <c r="C5321" s="111"/>
      <c r="D5321" s="111"/>
      <c r="E5321" s="112"/>
    </row>
    <row r="5322" spans="1:5">
      <c r="A5322" s="110"/>
      <c r="B5322" s="111"/>
      <c r="C5322" s="111"/>
      <c r="D5322" s="111"/>
      <c r="E5322" s="112"/>
    </row>
    <row r="5323" spans="1:5">
      <c r="A5323" s="110"/>
      <c r="B5323" s="111"/>
      <c r="C5323" s="111"/>
      <c r="D5323" s="111"/>
      <c r="E5323" s="112"/>
    </row>
    <row r="5324" spans="1:5">
      <c r="A5324" s="110"/>
      <c r="B5324" s="111"/>
      <c r="C5324" s="111"/>
      <c r="D5324" s="111"/>
    </row>
  </sheetData>
  <sortState ref="A2:G1370">
    <sortCondition ref="E1:E1370"/>
  </sortState>
  <phoneticPr fontId="32" type="noConversion"/>
  <conditionalFormatting sqref="H2:H1048576">
    <cfRule type="containsErrors" dxfId="16" priority="3">
      <formula>ISERROR(H2)</formula>
    </cfRule>
  </conditionalFormatting>
  <dataValidations count="1">
    <dataValidation type="list" allowBlank="1" showInputMessage="1" showErrorMessage="1" sqref="F5252:F5324 F1967 F1582:F1584 F1587 F1593 F1596:F1599 F1601 F1603 F1606 F1608:F1609 F1611 F1613:F1614 F1616 F1632:F1637 F1639:F1641 F1644 F1646:F1647 F1650 F1653:F1666 F1668:F1670 F1672:F1674 F1676:F1677 F1751:F1752 F1754 F1757 F1759 F1764:F1765 F1768 F1772 F1776:F1778 F1780 F1783 F1833:F1837 F1839:F1842 F1844:F1851 F1853:F1857 F1859:F1863 F1866:F1872 F1874 F1876:F1878 F1880:F1881 F1883:F1884 F1887 F1889 F1891:F1895 F1898:F1899 F1902:F1903 F1910:F1911 F1914:F1915 F1920 F1927 F1933:F1937 F1939 F1941:F1942 F1944 F1946 F1949 F1952 F1954 F1957 F1960 F1962:F1964 F1366:F1372 F1374:F1378 F1380:F1381 F1383:F1391 F1393:F1565">
      <formula1>resultado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rdenarFecha">
                <anchor moveWithCells="1" sizeWithCells="1">
                  <from>
                    <xdr:col>8</xdr:col>
                    <xdr:colOff>257175</xdr:colOff>
                    <xdr:row>1</xdr:row>
                    <xdr:rowOff>180975</xdr:rowOff>
                  </from>
                  <to>
                    <xdr:col>10</xdr:col>
                    <xdr:colOff>38100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Cursos!$B:$B</xm:f>
          </x14:formula1>
          <xm:sqref>D5252:D5324</xm:sqref>
        </x14:dataValidation>
        <x14:dataValidation type="list" allowBlank="1" showInputMessage="1" showErrorMessage="1">
          <x14:formula1>
            <xm:f>Fechas!$B:$B</xm:f>
          </x14:formula1>
          <xm:sqref>D1969:D2013</xm:sqref>
        </x14:dataValidation>
        <x14:dataValidation type="list" allowBlank="1" showInputMessage="1" showErrorMessage="1">
          <x14:formula1>
            <xm:f>tablas!$H$2:$H$8</xm:f>
          </x14:formula1>
          <xm:sqref>F1969:F2013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5"/>
  <sheetViews>
    <sheetView topLeftCell="A24" workbookViewId="0">
      <selection activeCell="A36" sqref="A36"/>
    </sheetView>
  </sheetViews>
  <sheetFormatPr baseColWidth="10" defaultColWidth="11.42578125" defaultRowHeight="15"/>
  <cols>
    <col min="1" max="1" width="11.42578125" style="1"/>
    <col min="2" max="2" width="59.7109375" style="1" bestFit="1" customWidth="1"/>
    <col min="3" max="3" width="34.85546875" style="1" customWidth="1"/>
    <col min="4" max="4" width="17.42578125" style="1" customWidth="1"/>
    <col min="5" max="5" width="23.140625" style="1" customWidth="1"/>
    <col min="6" max="6" width="11.5703125" style="1" customWidth="1"/>
    <col min="7" max="7" width="11.42578125" style="1"/>
    <col min="8" max="8" width="13.28515625" style="11" customWidth="1"/>
    <col min="9" max="16384" width="11.42578125" style="1"/>
  </cols>
  <sheetData>
    <row r="1" spans="1:10" ht="28.5">
      <c r="A1" s="8" t="s">
        <v>8586</v>
      </c>
      <c r="B1" s="8" t="s">
        <v>6846</v>
      </c>
      <c r="C1" s="8" t="s">
        <v>8587</v>
      </c>
      <c r="D1" s="12" t="s">
        <v>8588</v>
      </c>
      <c r="E1" s="8" t="s">
        <v>8589</v>
      </c>
      <c r="F1" s="8" t="s">
        <v>8590</v>
      </c>
      <c r="G1" s="8" t="s">
        <v>8591</v>
      </c>
      <c r="H1" s="14" t="s">
        <v>8592</v>
      </c>
      <c r="I1" s="8" t="s">
        <v>8593</v>
      </c>
      <c r="J1" s="12" t="s">
        <v>8594</v>
      </c>
    </row>
    <row r="2" spans="1:10">
      <c r="A2" s="1">
        <v>1</v>
      </c>
      <c r="B2" t="s">
        <v>7020</v>
      </c>
      <c r="C2" s="5" t="s">
        <v>8595</v>
      </c>
      <c r="D2" s="13" t="s">
        <v>8596</v>
      </c>
      <c r="F2" s="1">
        <v>1</v>
      </c>
    </row>
    <row r="3" spans="1:10">
      <c r="A3" s="1">
        <v>2</v>
      </c>
      <c r="B3" t="s">
        <v>7018</v>
      </c>
      <c r="C3" s="5" t="s">
        <v>8595</v>
      </c>
      <c r="D3" s="13" t="s">
        <v>8597</v>
      </c>
      <c r="F3" s="1">
        <v>1</v>
      </c>
    </row>
    <row r="4" spans="1:10">
      <c r="A4" s="1">
        <v>3</v>
      </c>
      <c r="B4" t="s">
        <v>7009</v>
      </c>
      <c r="C4" s="5" t="s">
        <v>8595</v>
      </c>
      <c r="D4" s="13" t="s">
        <v>8597</v>
      </c>
      <c r="F4" s="1">
        <v>1</v>
      </c>
    </row>
    <row r="5" spans="1:10">
      <c r="A5" s="1">
        <v>4</v>
      </c>
      <c r="B5" t="s">
        <v>7011</v>
      </c>
      <c r="C5" s="5" t="s">
        <v>8595</v>
      </c>
      <c r="D5" s="13" t="s">
        <v>8597</v>
      </c>
      <c r="F5" s="1">
        <v>1</v>
      </c>
      <c r="I5" s="5"/>
    </row>
    <row r="6" spans="1:10">
      <c r="A6" s="1">
        <v>5</v>
      </c>
      <c r="B6" t="s">
        <v>7009</v>
      </c>
      <c r="C6" s="5" t="s">
        <v>8595</v>
      </c>
      <c r="D6" s="13" t="s">
        <v>8597</v>
      </c>
      <c r="F6" s="1">
        <v>1</v>
      </c>
    </row>
    <row r="7" spans="1:10">
      <c r="A7" s="1">
        <v>6</v>
      </c>
      <c r="B7" t="s">
        <v>7016</v>
      </c>
      <c r="C7" s="5" t="s">
        <v>8595</v>
      </c>
      <c r="D7" s="13" t="s">
        <v>8597</v>
      </c>
      <c r="F7" s="1">
        <v>1</v>
      </c>
    </row>
    <row r="8" spans="1:10">
      <c r="A8" s="1">
        <v>7</v>
      </c>
      <c r="B8" s="5" t="s">
        <v>7025</v>
      </c>
      <c r="C8" s="5" t="s">
        <v>8595</v>
      </c>
      <c r="D8" s="13" t="s">
        <v>8597</v>
      </c>
      <c r="F8" s="1">
        <v>1</v>
      </c>
    </row>
    <row r="9" spans="1:10">
      <c r="A9" s="1">
        <v>8</v>
      </c>
      <c r="B9" s="5" t="s">
        <v>6992</v>
      </c>
      <c r="C9" s="5" t="s">
        <v>8598</v>
      </c>
      <c r="D9" s="13" t="s">
        <v>8597</v>
      </c>
      <c r="F9" s="1">
        <v>2</v>
      </c>
    </row>
    <row r="10" spans="1:10">
      <c r="A10" s="1">
        <v>9</v>
      </c>
      <c r="B10" s="5" t="s">
        <v>7013</v>
      </c>
      <c r="C10" s="5" t="s">
        <v>8598</v>
      </c>
      <c r="D10" s="13" t="s">
        <v>8597</v>
      </c>
      <c r="F10" s="1">
        <v>2</v>
      </c>
    </row>
    <row r="11" spans="1:10">
      <c r="A11" s="1">
        <v>10</v>
      </c>
      <c r="B11" s="5" t="s">
        <v>7022</v>
      </c>
      <c r="C11" s="29" t="s">
        <v>8599</v>
      </c>
      <c r="D11" s="13" t="s">
        <v>8600</v>
      </c>
      <c r="F11" s="1">
        <v>3</v>
      </c>
      <c r="G11" s="15" t="s">
        <v>8601</v>
      </c>
      <c r="H11" s="11">
        <v>43214</v>
      </c>
      <c r="I11" s="15" t="s">
        <v>8602</v>
      </c>
      <c r="J11" s="11">
        <v>43228</v>
      </c>
    </row>
    <row r="12" spans="1:10">
      <c r="A12" s="1">
        <v>11</v>
      </c>
      <c r="B12" s="5" t="s">
        <v>7005</v>
      </c>
      <c r="C12" s="5" t="s">
        <v>8595</v>
      </c>
      <c r="D12" s="13" t="s">
        <v>8597</v>
      </c>
      <c r="F12" s="1">
        <v>1</v>
      </c>
    </row>
    <row r="13" spans="1:10">
      <c r="A13" s="1">
        <v>12</v>
      </c>
      <c r="B13" s="5" t="s">
        <v>7001</v>
      </c>
      <c r="C13" s="5" t="s">
        <v>8598</v>
      </c>
      <c r="D13" s="13" t="s">
        <v>8597</v>
      </c>
      <c r="F13" s="1">
        <v>2</v>
      </c>
    </row>
    <row r="14" spans="1:10">
      <c r="A14" s="1">
        <v>13</v>
      </c>
      <c r="B14" s="5" t="s">
        <v>6984</v>
      </c>
      <c r="C14" s="5" t="s">
        <v>8603</v>
      </c>
      <c r="D14" s="13" t="s">
        <v>8597</v>
      </c>
    </row>
    <row r="15" spans="1:10">
      <c r="A15" s="1">
        <v>14</v>
      </c>
      <c r="B15" s="5" t="s">
        <v>6979</v>
      </c>
    </row>
    <row r="16" spans="1:10">
      <c r="A16" s="1">
        <v>15</v>
      </c>
      <c r="B16" s="5" t="s">
        <v>6997</v>
      </c>
    </row>
    <row r="17" spans="1:6">
      <c r="A17" s="1">
        <v>16</v>
      </c>
      <c r="B17" s="5" t="s">
        <v>6986</v>
      </c>
      <c r="C17" s="5" t="s">
        <v>8604</v>
      </c>
    </row>
    <row r="18" spans="1:6">
      <c r="A18" s="1">
        <v>17</v>
      </c>
      <c r="B18" s="1" t="s">
        <v>6994</v>
      </c>
      <c r="C18" s="1" t="s">
        <v>8605</v>
      </c>
    </row>
    <row r="19" spans="1:6">
      <c r="A19" s="1">
        <v>18</v>
      </c>
      <c r="B19" s="1" t="s">
        <v>6988</v>
      </c>
      <c r="D19" s="13" t="s">
        <v>8597</v>
      </c>
      <c r="F19" s="1">
        <v>1</v>
      </c>
    </row>
    <row r="20" spans="1:6">
      <c r="A20" s="1">
        <v>19</v>
      </c>
      <c r="B20" s="5" t="s">
        <v>6981</v>
      </c>
    </row>
    <row r="21" spans="1:6">
      <c r="A21" s="1">
        <v>20</v>
      </c>
      <c r="B21" s="1" t="s">
        <v>6880</v>
      </c>
      <c r="C21" s="1" t="s">
        <v>8606</v>
      </c>
    </row>
    <row r="22" spans="1:6">
      <c r="A22" s="1">
        <v>21</v>
      </c>
      <c r="B22" s="1" t="s">
        <v>6852</v>
      </c>
      <c r="C22" s="1" t="s">
        <v>8606</v>
      </c>
    </row>
    <row r="23" spans="1:6">
      <c r="A23" s="1">
        <v>22</v>
      </c>
      <c r="B23" s="1" t="s">
        <v>7150</v>
      </c>
      <c r="C23" s="1" t="s">
        <v>8607</v>
      </c>
    </row>
    <row r="24" spans="1:6">
      <c r="A24" s="1">
        <v>23</v>
      </c>
      <c r="B24" s="1" t="s">
        <v>8608</v>
      </c>
      <c r="C24" s="1" t="s">
        <v>8607</v>
      </c>
    </row>
    <row r="25" spans="1:6">
      <c r="A25" s="1">
        <v>24</v>
      </c>
      <c r="B25" s="1" t="s">
        <v>8578</v>
      </c>
      <c r="C25" s="5" t="s">
        <v>8595</v>
      </c>
    </row>
    <row r="26" spans="1:6">
      <c r="A26" s="1">
        <v>25</v>
      </c>
      <c r="B26" s="1" t="s">
        <v>8579</v>
      </c>
      <c r="C26" s="5" t="s">
        <v>8595</v>
      </c>
    </row>
    <row r="27" spans="1:6">
      <c r="A27" s="1">
        <v>26</v>
      </c>
      <c r="B27" s="1" t="s">
        <v>8580</v>
      </c>
      <c r="C27" s="5"/>
    </row>
    <row r="28" spans="1:6">
      <c r="A28" s="1">
        <v>27</v>
      </c>
      <c r="B28" s="1" t="s">
        <v>8581</v>
      </c>
      <c r="C28" s="5" t="s">
        <v>8595</v>
      </c>
    </row>
    <row r="29" spans="1:6">
      <c r="A29" s="1">
        <v>28</v>
      </c>
      <c r="B29" s="1" t="s">
        <v>8582</v>
      </c>
      <c r="C29" s="5" t="s">
        <v>8595</v>
      </c>
    </row>
    <row r="30" spans="1:6">
      <c r="A30" s="1">
        <v>29</v>
      </c>
      <c r="B30" s="5" t="s">
        <v>8583</v>
      </c>
      <c r="C30" s="5"/>
    </row>
    <row r="31" spans="1:6">
      <c r="A31" s="1">
        <v>30</v>
      </c>
      <c r="B31" s="1" t="s">
        <v>8584</v>
      </c>
      <c r="C31" s="5"/>
    </row>
    <row r="32" spans="1:6">
      <c r="A32" s="1">
        <v>31</v>
      </c>
      <c r="B32" s="1" t="s">
        <v>8609</v>
      </c>
      <c r="C32" s="5"/>
    </row>
    <row r="33" spans="1:3">
      <c r="A33" s="1">
        <v>32</v>
      </c>
      <c r="B33" s="1" t="s">
        <v>8662</v>
      </c>
      <c r="C33" s="5"/>
    </row>
    <row r="34" spans="1:3">
      <c r="A34" s="1">
        <v>33</v>
      </c>
      <c r="B34" s="1" t="s">
        <v>8712</v>
      </c>
      <c r="C34" s="5" t="s">
        <v>8595</v>
      </c>
    </row>
    <row r="35" spans="1:3">
      <c r="A35" s="1">
        <v>34</v>
      </c>
      <c r="B35" s="1" t="s">
        <v>9911</v>
      </c>
    </row>
  </sheetData>
  <sortState ref="A2:E8">
    <sortCondition ref="A6"/>
  </sortState>
  <dataValidations count="1">
    <dataValidation type="list" showInputMessage="1" showErrorMessage="1" sqref="B2:B10 B35:B790">
      <formula1>l_cursos</formula1>
    </dataValidation>
  </dataValidation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509"/>
  <sheetViews>
    <sheetView zoomScale="85" zoomScaleNormal="85" workbookViewId="0">
      <pane ySplit="1" topLeftCell="A47" activePane="bottomLeft" state="frozen"/>
      <selection pane="bottomLeft" activeCell="B19" sqref="B19"/>
    </sheetView>
  </sheetViews>
  <sheetFormatPr baseColWidth="10" defaultColWidth="11" defaultRowHeight="15"/>
  <cols>
    <col min="1" max="1" width="9" style="253" customWidth="1"/>
    <col min="2" max="2" width="61.42578125" style="253" bestFit="1" customWidth="1"/>
    <col min="3" max="3" width="10.7109375" style="254" customWidth="1"/>
    <col min="4" max="4" width="19.5703125" style="253" customWidth="1"/>
    <col min="5" max="16384" width="11" style="253"/>
  </cols>
  <sheetData>
    <row r="1" spans="1:7">
      <c r="A1" s="258" t="s">
        <v>8586</v>
      </c>
      <c r="B1" s="258" t="s">
        <v>6846</v>
      </c>
      <c r="C1" s="258" t="s">
        <v>8610</v>
      </c>
      <c r="D1" s="258" t="s">
        <v>8611</v>
      </c>
    </row>
    <row r="2" spans="1:7">
      <c r="A2" s="86">
        <f>IFERROR(INDEX(Cursos!$A$1:$B$47,MATCH(B2,Cursos!$B$1:$B$47,0),1),"")</f>
        <v>1</v>
      </c>
      <c r="B2" s="253" t="s">
        <v>7020</v>
      </c>
      <c r="C2" s="254">
        <v>43164</v>
      </c>
      <c r="D2" s="86"/>
      <c r="G2" s="255">
        <f ca="1">TODAY()</f>
        <v>46203</v>
      </c>
    </row>
    <row r="3" spans="1:7">
      <c r="A3" s="86">
        <f>IFERROR(INDEX(Cursos!$A$1:$B$47,MATCH(B3,Cursos!$B$1:$B$47,0),1),"")</f>
        <v>2</v>
      </c>
      <c r="B3" s="253" t="s">
        <v>7018</v>
      </c>
      <c r="C3" s="254">
        <v>43165</v>
      </c>
      <c r="D3" s="86"/>
      <c r="G3" s="253" t="s">
        <v>8612</v>
      </c>
    </row>
    <row r="4" spans="1:7">
      <c r="A4" s="86">
        <f>IFERROR(INDEX(Cursos!$A$1:$B$47,MATCH(B4,Cursos!$B$1:$B$47,0),1),"")</f>
        <v>3</v>
      </c>
      <c r="B4" s="253" t="s">
        <v>7009</v>
      </c>
      <c r="C4" s="254">
        <v>43167</v>
      </c>
      <c r="D4" s="86"/>
      <c r="G4" s="253" t="s">
        <v>8613</v>
      </c>
    </row>
    <row r="5" spans="1:7">
      <c r="A5" s="86">
        <f>IFERROR(INDEX(Cursos!$A$1:$B$47,MATCH(B5,Cursos!$B$1:$B$47,0),1),"")</f>
        <v>4</v>
      </c>
      <c r="B5" s="253" t="s">
        <v>7011</v>
      </c>
      <c r="C5" s="254">
        <v>43234</v>
      </c>
      <c r="D5" s="86"/>
    </row>
    <row r="6" spans="1:7">
      <c r="A6" s="86">
        <f>IFERROR(INDEX(Cursos!$A$1:$B$47,MATCH(B6,Cursos!$B$1:$B$47,0),1),"")</f>
        <v>3</v>
      </c>
      <c r="B6" s="253" t="s">
        <v>7009</v>
      </c>
      <c r="C6" s="254">
        <v>43235</v>
      </c>
      <c r="D6" s="86"/>
    </row>
    <row r="7" spans="1:7">
      <c r="A7" s="86">
        <f>IFERROR(INDEX(Cursos!$A$1:$B$47,MATCH(B7,Cursos!$B$1:$B$47,0),1),"")</f>
        <v>6</v>
      </c>
      <c r="B7" s="253" t="s">
        <v>7016</v>
      </c>
      <c r="C7" s="254">
        <v>43236</v>
      </c>
      <c r="D7" s="86"/>
    </row>
    <row r="8" spans="1:7">
      <c r="A8" s="86">
        <f>IFERROR(INDEX(Cursos!$A$1:$B$47,MATCH(B8,Cursos!$B$1:$B$47,0),1),"")</f>
        <v>7</v>
      </c>
      <c r="B8" s="253" t="s">
        <v>7025</v>
      </c>
      <c r="C8" s="254">
        <v>43237</v>
      </c>
      <c r="D8" s="86"/>
    </row>
    <row r="9" spans="1:7">
      <c r="A9" s="86">
        <f>IFERROR(INDEX(Cursos!$A$1:$B$47,MATCH(B9,Cursos!$B$1:$B$47,0),1),"")</f>
        <v>8</v>
      </c>
      <c r="B9" s="253" t="s">
        <v>6992</v>
      </c>
      <c r="C9" s="254">
        <v>43179</v>
      </c>
      <c r="D9" s="86"/>
    </row>
    <row r="10" spans="1:7">
      <c r="A10" s="86">
        <f>IFERROR(INDEX(Cursos!$A$1:$B$47,MATCH(B10,Cursos!$B$1:$B$47,0),1),"")</f>
        <v>9</v>
      </c>
      <c r="B10" s="253" t="s">
        <v>7013</v>
      </c>
      <c r="C10" s="254">
        <v>43327</v>
      </c>
      <c r="D10" s="86"/>
    </row>
    <row r="11" spans="1:7">
      <c r="A11" s="86">
        <f>IFERROR(INDEX(Cursos!$A$1:$B$47,MATCH(B11,Cursos!$B$1:$B$47,0),1),"")</f>
        <v>10</v>
      </c>
      <c r="B11" s="256" t="s">
        <v>7022</v>
      </c>
      <c r="C11" s="257">
        <v>43241</v>
      </c>
      <c r="D11" s="86"/>
    </row>
    <row r="12" spans="1:7">
      <c r="A12" s="86">
        <f>IFERROR(INDEX(Cursos!$A$1:$B$47,MATCH(B12,Cursos!$B$1:$B$47,0),1),"")</f>
        <v>2</v>
      </c>
      <c r="B12" s="86" t="s">
        <v>7018</v>
      </c>
      <c r="C12" s="257">
        <v>43319</v>
      </c>
      <c r="D12" s="86"/>
    </row>
    <row r="13" spans="1:7">
      <c r="A13" s="86">
        <f>IFERROR(INDEX(Cursos!$A$1:$B$47,MATCH(B13,Cursos!$B$1:$B$47,0),1),"")</f>
        <v>1</v>
      </c>
      <c r="B13" s="86" t="s">
        <v>7020</v>
      </c>
      <c r="C13" s="257">
        <v>43318</v>
      </c>
      <c r="D13" s="86"/>
    </row>
    <row r="14" spans="1:7">
      <c r="A14" s="86">
        <f>IFERROR(INDEX(Cursos!$A$1:$B$47,MATCH(B14,Cursos!$B$1:$B$47,0),1),"")</f>
        <v>6</v>
      </c>
      <c r="B14" s="86" t="s">
        <v>7016</v>
      </c>
      <c r="C14" s="257">
        <v>43321</v>
      </c>
      <c r="D14" s="86"/>
    </row>
    <row r="15" spans="1:7">
      <c r="A15" s="86">
        <f>IFERROR(INDEX(Cursos!$A$1:$B$47,MATCH(B15,Cursos!$B$1:$B$47,0),1),"")</f>
        <v>3</v>
      </c>
      <c r="B15" s="86" t="s">
        <v>7009</v>
      </c>
      <c r="C15" s="257">
        <v>43382</v>
      </c>
      <c r="D15" s="86"/>
    </row>
    <row r="16" spans="1:7">
      <c r="A16" s="86">
        <f>IFERROR(INDEX(Cursos!$A$1:$B$47,MATCH(B16,Cursos!$B$1:$B$47,0),1),"")</f>
        <v>4</v>
      </c>
      <c r="B16" s="86" t="s">
        <v>7011</v>
      </c>
      <c r="C16" s="257">
        <v>43381</v>
      </c>
      <c r="D16" s="86"/>
    </row>
    <row r="17" spans="1:4">
      <c r="A17" s="86">
        <f>IFERROR(INDEX(Cursos!$A$1:$B$47,MATCH(B17,Cursos!$B$1:$B$47,0),1),"")</f>
        <v>11</v>
      </c>
      <c r="B17" s="86" t="s">
        <v>7005</v>
      </c>
      <c r="C17" s="257">
        <v>43384</v>
      </c>
      <c r="D17" s="86"/>
    </row>
    <row r="18" spans="1:4">
      <c r="A18" s="86">
        <f>IFERROR(INDEX(Cursos!$A$1:$B$47,MATCH(B18,Cursos!$B$1:$B$47,0),1),"")</f>
        <v>12</v>
      </c>
      <c r="B18" s="86" t="s">
        <v>7001</v>
      </c>
      <c r="C18" s="257">
        <v>43383</v>
      </c>
      <c r="D18" s="86"/>
    </row>
    <row r="19" spans="1:4">
      <c r="A19" s="86">
        <f>IFERROR(INDEX(Cursos!$A$1:$B$47,MATCH(B19,Cursos!$B$1:$B$47,0),1),"")</f>
        <v>13</v>
      </c>
      <c r="B19" s="256" t="s">
        <v>6984</v>
      </c>
      <c r="C19" s="257">
        <v>43381</v>
      </c>
      <c r="D19" s="86"/>
    </row>
    <row r="20" spans="1:4">
      <c r="A20" s="86">
        <f>IFERROR(INDEX(Cursos!$A$1:$B$47,MATCH(B20,Cursos!$B$1:$B$47,0),1),"")</f>
        <v>14</v>
      </c>
      <c r="B20" s="256" t="s">
        <v>6979</v>
      </c>
      <c r="C20" s="257">
        <v>43413</v>
      </c>
      <c r="D20" s="86"/>
    </row>
    <row r="21" spans="1:4">
      <c r="A21" s="86">
        <f>IFERROR(INDEX(Cursos!$A$1:$B$47,MATCH(B21,Cursos!$B$1:$B$47,0),1),"")</f>
        <v>12</v>
      </c>
      <c r="B21" s="86" t="s">
        <v>7001</v>
      </c>
      <c r="C21" s="257">
        <v>43544</v>
      </c>
      <c r="D21" s="86"/>
    </row>
    <row r="22" spans="1:4">
      <c r="A22" s="86">
        <f>IFERROR(INDEX(Cursos!$A$1:$B$47,MATCH(B22,Cursos!$B$1:$B$47,0),1),"")</f>
        <v>8</v>
      </c>
      <c r="B22" s="86" t="s">
        <v>6992</v>
      </c>
      <c r="C22" s="257">
        <v>43564</v>
      </c>
      <c r="D22" s="86"/>
    </row>
    <row r="23" spans="1:4">
      <c r="A23" s="86">
        <f>IFERROR(INDEX(Cursos!$A$1:$B$47,MATCH(B23,Cursos!$B$1:$B$47,0),1),"")</f>
        <v>15</v>
      </c>
      <c r="B23" s="256" t="s">
        <v>6997</v>
      </c>
      <c r="C23" s="257">
        <v>43577</v>
      </c>
      <c r="D23" s="86"/>
    </row>
    <row r="24" spans="1:4">
      <c r="A24" s="86">
        <f>IFERROR(INDEX(Cursos!$A$1:$B$47,MATCH(B24,Cursos!$B$1:$B$47,0),1),"")</f>
        <v>16</v>
      </c>
      <c r="B24" s="256" t="s">
        <v>6986</v>
      </c>
      <c r="C24" s="257">
        <v>43593</v>
      </c>
      <c r="D24" s="86"/>
    </row>
    <row r="25" spans="1:4">
      <c r="A25" s="86">
        <f>IFERROR(INDEX(Cursos!$A$1:$B$47,MATCH(B25,Cursos!$B$1:$B$47,0),1),"")</f>
        <v>17</v>
      </c>
      <c r="B25" s="86" t="s">
        <v>6994</v>
      </c>
      <c r="C25" s="257">
        <v>43612</v>
      </c>
      <c r="D25" s="86"/>
    </row>
    <row r="26" spans="1:4">
      <c r="A26" s="86">
        <f>IFERROR(INDEX(Cursos!$A$1:$B$47,MATCH(B26,Cursos!$B$1:$B$47,0),1),"")</f>
        <v>18</v>
      </c>
      <c r="B26" s="256" t="s">
        <v>8614</v>
      </c>
      <c r="C26" s="257">
        <v>43640</v>
      </c>
      <c r="D26" s="86"/>
    </row>
    <row r="27" spans="1:4">
      <c r="A27" s="86">
        <f>IFERROR(INDEX(Cursos!$A$1:$B$47,MATCH(B27,Cursos!$B$1:$B$47,0),1),"")</f>
        <v>18</v>
      </c>
      <c r="B27" s="256" t="s">
        <v>8614</v>
      </c>
      <c r="C27" s="257">
        <v>43703</v>
      </c>
      <c r="D27" s="86"/>
    </row>
    <row r="28" spans="1:4">
      <c r="A28" s="86">
        <f>IFERROR(INDEX(Cursos!$A$1:$B$47,MATCH(B28,Cursos!$B$1:$B$47,0),1),"")</f>
        <v>8</v>
      </c>
      <c r="B28" s="86" t="s">
        <v>6992</v>
      </c>
      <c r="C28" s="257">
        <v>43718</v>
      </c>
      <c r="D28" s="86"/>
    </row>
    <row r="29" spans="1:4">
      <c r="A29" s="86">
        <f>IFERROR(INDEX(Cursos!$A$1:$B$47,MATCH(B29,Cursos!$B$1:$B$47,0),1),"")</f>
        <v>13</v>
      </c>
      <c r="B29" s="86" t="s">
        <v>6984</v>
      </c>
      <c r="C29" s="257">
        <v>43728</v>
      </c>
      <c r="D29" s="86"/>
    </row>
    <row r="30" spans="1:4">
      <c r="A30" s="86">
        <f>IFERROR(INDEX(Cursos!$A$1:$B$47,MATCH(B30,Cursos!$B$1:$B$47,0),1),"")</f>
        <v>16</v>
      </c>
      <c r="B30" s="86" t="s">
        <v>6986</v>
      </c>
      <c r="C30" s="257">
        <v>43740</v>
      </c>
      <c r="D30" s="86"/>
    </row>
    <row r="31" spans="1:4">
      <c r="A31" s="86">
        <f>IFERROR(INDEX(Cursos!$A$1:$B$47,MATCH(B31,Cursos!$B$1:$B$47,0),1),"")</f>
        <v>18</v>
      </c>
      <c r="B31" s="86" t="s">
        <v>8614</v>
      </c>
      <c r="C31" s="257">
        <v>43739</v>
      </c>
      <c r="D31" s="86"/>
    </row>
    <row r="32" spans="1:4">
      <c r="A32" s="86">
        <f>IFERROR(INDEX(Cursos!$A$1:$B$47,MATCH(B32,Cursos!$B$1:$B$47,0),1),"")</f>
        <v>19</v>
      </c>
      <c r="B32" s="256" t="s">
        <v>6981</v>
      </c>
      <c r="C32" s="257">
        <v>43777</v>
      </c>
      <c r="D32" s="86"/>
    </row>
    <row r="33" spans="1:4">
      <c r="A33" s="86">
        <f>IFERROR(INDEX(Cursos!$A$1:$B$47,MATCH(B33,Cursos!$B$1:$B$47,0),1),"")</f>
        <v>20</v>
      </c>
      <c r="B33" s="86" t="s">
        <v>6880</v>
      </c>
      <c r="C33" s="257">
        <v>44475</v>
      </c>
      <c r="D33" s="86"/>
    </row>
    <row r="34" spans="1:4">
      <c r="A34" s="86">
        <f>IFERROR(INDEX(Cursos!$A$1:$B$47,MATCH(B34,Cursos!$B$1:$B$47,0),1),"")</f>
        <v>21</v>
      </c>
      <c r="B34" s="86" t="s">
        <v>6852</v>
      </c>
      <c r="C34" s="257">
        <v>44419</v>
      </c>
      <c r="D34" s="86"/>
    </row>
    <row r="35" spans="1:4">
      <c r="A35" s="86">
        <f>IFERROR(INDEX(Cursos!$A$1:$B$47,MATCH(B35,Cursos!$B$1:$B$47,0),1),"")</f>
        <v>21</v>
      </c>
      <c r="B35" s="86" t="s">
        <v>6852</v>
      </c>
      <c r="C35" s="257">
        <v>44420</v>
      </c>
      <c r="D35" s="86"/>
    </row>
    <row r="36" spans="1:4">
      <c r="A36" s="86">
        <f>IFERROR(INDEX(Cursos!$A$1:$B$47,MATCH(B36,Cursos!$B$1:$B$47,0),1),"")</f>
        <v>21</v>
      </c>
      <c r="B36" s="86" t="s">
        <v>6852</v>
      </c>
      <c r="C36" s="257">
        <v>44497</v>
      </c>
      <c r="D36" s="86"/>
    </row>
    <row r="37" spans="1:4">
      <c r="A37" s="86">
        <f>IFERROR(INDEX(Cursos!$A$1:$B$47,MATCH(B37,Cursos!$B$1:$B$47,0),1),"")</f>
        <v>22</v>
      </c>
      <c r="B37" s="86" t="s">
        <v>7150</v>
      </c>
      <c r="C37" s="257">
        <v>44508</v>
      </c>
      <c r="D37" s="86"/>
    </row>
    <row r="38" spans="1:4">
      <c r="A38" s="86">
        <f>IFERROR(INDEX(Cursos!$A$1:$B$47,MATCH(B38,Cursos!$B$1:$B$47,0),1),"")</f>
        <v>23</v>
      </c>
      <c r="B38" s="86" t="s">
        <v>8608</v>
      </c>
      <c r="C38" s="257">
        <v>44420</v>
      </c>
      <c r="D38" s="86"/>
    </row>
    <row r="39" spans="1:4">
      <c r="A39" s="86" t="str">
        <f>IFERROR(INDEX(Cursos!$A$1:$B$47,MATCH(B39,Cursos!$B$1:$B$47,0),1),"")</f>
        <v/>
      </c>
      <c r="B39" s="86" t="s">
        <v>8615</v>
      </c>
      <c r="C39" s="257">
        <v>44872</v>
      </c>
      <c r="D39" s="86"/>
    </row>
    <row r="40" spans="1:4">
      <c r="A40" s="86">
        <f>IFERROR(INDEX(Cursos!$A$1:$B$47,MATCH(B40,Cursos!$B$1:$B$47,0),1),"")</f>
        <v>25</v>
      </c>
      <c r="B40" s="86" t="s">
        <v>8579</v>
      </c>
      <c r="C40" s="257">
        <v>44677</v>
      </c>
      <c r="D40" s="86"/>
    </row>
    <row r="41" spans="1:4">
      <c r="A41" s="86">
        <f>IFERROR(INDEX(Cursos!$A$1:$B$47,MATCH(B41,Cursos!$B$1:$B$47,0),1),"")</f>
        <v>6</v>
      </c>
      <c r="B41" s="86" t="s">
        <v>7016</v>
      </c>
      <c r="C41" s="257">
        <v>44824</v>
      </c>
      <c r="D41" s="86"/>
    </row>
    <row r="42" spans="1:4">
      <c r="A42" s="86">
        <f>IFERROR(INDEX(Cursos!$A$1:$B$47,MATCH(B42,Cursos!$B$1:$B$47,0),1),"")</f>
        <v>26</v>
      </c>
      <c r="B42" s="86" t="s">
        <v>8580</v>
      </c>
      <c r="C42" s="257">
        <v>44673</v>
      </c>
      <c r="D42" s="86"/>
    </row>
    <row r="43" spans="1:4">
      <c r="A43" s="86">
        <f>IFERROR(INDEX(Cursos!$A$1:$B$47,MATCH(B43,Cursos!$B$1:$B$47,0),1),"")</f>
        <v>2</v>
      </c>
      <c r="B43" s="86" t="s">
        <v>7018</v>
      </c>
      <c r="C43" s="257">
        <v>44676</v>
      </c>
      <c r="D43" s="86"/>
    </row>
    <row r="44" spans="1:4">
      <c r="A44" s="86">
        <f>IFERROR(INDEX(Cursos!$A$1:$B$47,MATCH(B44,Cursos!$B$1:$B$47,0),1),"")</f>
        <v>3</v>
      </c>
      <c r="B44" s="253" t="s">
        <v>7009</v>
      </c>
      <c r="C44" s="257">
        <v>44782</v>
      </c>
      <c r="D44" s="86"/>
    </row>
    <row r="45" spans="1:4">
      <c r="A45" s="86">
        <f>IFERROR(INDEX(Cursos!$A$1:$B$47,MATCH(B45,Cursos!$B$1:$B$47,0),1),"")</f>
        <v>27</v>
      </c>
      <c r="B45" s="86" t="s">
        <v>8581</v>
      </c>
      <c r="C45" s="257">
        <v>44781</v>
      </c>
      <c r="D45" s="86"/>
    </row>
    <row r="46" spans="1:4">
      <c r="A46" s="86">
        <f>IFERROR(INDEX(Cursos!$A$1:$B$47,MATCH(B46,Cursos!$B$1:$B$47,0),1),"")</f>
        <v>2</v>
      </c>
      <c r="B46" s="86" t="s">
        <v>7018</v>
      </c>
      <c r="C46" s="257">
        <v>44823</v>
      </c>
      <c r="D46" s="86"/>
    </row>
    <row r="47" spans="1:4">
      <c r="A47" s="86">
        <f>IFERROR(INDEX(Cursos!$A$1:$B$47,MATCH(B47,Cursos!$B$1:$B$47,0),1),"")</f>
        <v>28</v>
      </c>
      <c r="B47" s="86" t="s">
        <v>8582</v>
      </c>
      <c r="C47" s="257">
        <v>44873</v>
      </c>
      <c r="D47" s="86"/>
    </row>
    <row r="48" spans="1:4">
      <c r="A48" s="86">
        <f>IFERROR(INDEX(Cursos!$A$1:$B$47,MATCH(B48,Cursos!$B$1:$B$47,0),1),"")</f>
        <v>29</v>
      </c>
      <c r="B48" s="256" t="s">
        <v>8583</v>
      </c>
      <c r="C48" s="257">
        <v>44685</v>
      </c>
      <c r="D48" s="86"/>
    </row>
    <row r="49" spans="1:4">
      <c r="A49" s="86">
        <f>IFERROR(INDEX(Cursos!$A$1:$B$47,MATCH(B49,Cursos!$B$1:$B$47,0),1),"")</f>
        <v>30</v>
      </c>
      <c r="B49" s="86" t="s">
        <v>8584</v>
      </c>
      <c r="C49" s="257">
        <v>44889</v>
      </c>
      <c r="D49" s="86"/>
    </row>
    <row r="50" spans="1:4">
      <c r="A50" s="86">
        <f>IFERROR(INDEX(Cursos!$A$1:$B$47,MATCH(B50,Cursos!$B$1:$B$47,0),1),"")</f>
        <v>31</v>
      </c>
      <c r="B50" s="86" t="s">
        <v>8609</v>
      </c>
      <c r="C50" s="257"/>
      <c r="D50" s="86"/>
    </row>
    <row r="51" spans="1:4">
      <c r="A51" s="86">
        <f>IFERROR(INDEX(Cursos!$A$1:$B$47,MATCH(B51,Cursos!$B$1:$B$47,0),1),"")</f>
        <v>32</v>
      </c>
      <c r="B51" s="86" t="s">
        <v>8662</v>
      </c>
      <c r="C51" s="257">
        <v>45038</v>
      </c>
      <c r="D51" s="86"/>
    </row>
    <row r="52" spans="1:4">
      <c r="A52" s="86">
        <f>IFERROR(INDEX(Cursos!$A$1:$B$47,MATCH(B52,Cursos!$B$1:$B$47,0),1),"")</f>
        <v>33</v>
      </c>
      <c r="B52" s="86" t="s">
        <v>8712</v>
      </c>
      <c r="C52" s="257">
        <v>45028</v>
      </c>
      <c r="D52" s="86"/>
    </row>
    <row r="53" spans="1:4">
      <c r="A53" s="86">
        <f>IFERROR(INDEX(Cursos!$A$1:$B$47,MATCH(B53,Cursos!$B$1:$B$47,0),1),"")</f>
        <v>8</v>
      </c>
      <c r="B53" s="86" t="s">
        <v>6992</v>
      </c>
      <c r="C53" s="257"/>
      <c r="D53" s="86"/>
    </row>
    <row r="54" spans="1:4">
      <c r="A54" s="86">
        <f>IFERROR(INDEX(Cursos!$A$1:$B$47,MATCH(B54,Cursos!$B$1:$B$47,0),1),"")</f>
        <v>34</v>
      </c>
      <c r="B54" s="262" t="s">
        <v>9911</v>
      </c>
      <c r="C54" s="257">
        <v>45567</v>
      </c>
      <c r="D54" s="86"/>
    </row>
    <row r="55" spans="1:4">
      <c r="A55" s="86" t="str">
        <f>IFERROR(INDEX(Cursos!$A$1:$B$47,MATCH(B55,Cursos!$B$1:$B$47,0),1),"")</f>
        <v/>
      </c>
      <c r="B55" s="86"/>
      <c r="C55" s="257"/>
      <c r="D55" s="86"/>
    </row>
    <row r="56" spans="1:4">
      <c r="A56" s="86" t="str">
        <f>IFERROR(INDEX(Cursos!$A$1:$B$47,MATCH(B56,Cursos!$B$1:$B$47,0),1),"")</f>
        <v/>
      </c>
      <c r="B56" s="86"/>
      <c r="C56" s="257"/>
      <c r="D56" s="86"/>
    </row>
    <row r="57" spans="1:4">
      <c r="A57" s="86" t="str">
        <f>IFERROR(INDEX(Cursos!$A$1:$B$47,MATCH(B57,Cursos!$B$1:$B$47,0),1),"")</f>
        <v/>
      </c>
      <c r="B57" s="86"/>
      <c r="C57" s="257"/>
      <c r="D57" s="86"/>
    </row>
    <row r="58" spans="1:4">
      <c r="A58" s="86" t="str">
        <f>IFERROR(INDEX(Cursos!$A$1:$B$47,MATCH(B58,Cursos!$B$1:$B$47,0),1),"")</f>
        <v/>
      </c>
      <c r="B58" s="86"/>
      <c r="C58" s="257"/>
      <c r="D58" s="86"/>
    </row>
    <row r="59" spans="1:4">
      <c r="A59" s="86" t="str">
        <f>IFERROR(INDEX(Cursos!$A$1:$B$47,MATCH(B59,Cursos!$B$1:$B$47,0),1),"")</f>
        <v/>
      </c>
      <c r="B59" s="86"/>
      <c r="C59" s="257"/>
      <c r="D59" s="86"/>
    </row>
    <row r="60" spans="1:4">
      <c r="A60" s="86" t="str">
        <f>IFERROR(INDEX(Cursos!$A$1:$B$47,MATCH(B60,Cursos!$B$1:$B$47,0),1),"")</f>
        <v/>
      </c>
      <c r="B60" s="86"/>
      <c r="C60" s="257"/>
      <c r="D60" s="86"/>
    </row>
    <row r="61" spans="1:4">
      <c r="A61" s="86" t="str">
        <f>IFERROR(INDEX(Cursos!$A$1:$B$47,MATCH(B61,Cursos!$B$1:$B$47,0),1),"")</f>
        <v/>
      </c>
      <c r="B61" s="86"/>
      <c r="C61" s="257"/>
      <c r="D61" s="86"/>
    </row>
    <row r="62" spans="1:4">
      <c r="A62" s="86" t="str">
        <f>IFERROR(INDEX(Cursos!$A$1:$B$47,MATCH(B62,Cursos!$B$1:$B$47,0),1),"")</f>
        <v/>
      </c>
      <c r="B62" s="86"/>
      <c r="C62" s="257"/>
      <c r="D62" s="86"/>
    </row>
    <row r="63" spans="1:4">
      <c r="A63" s="86" t="str">
        <f>IFERROR(INDEX(Cursos!$A$1:$B$47,MATCH(B63,Cursos!$B$1:$B$47,0),1),"")</f>
        <v/>
      </c>
      <c r="B63" s="86"/>
      <c r="C63" s="257"/>
      <c r="D63" s="86"/>
    </row>
    <row r="64" spans="1:4">
      <c r="A64" s="86" t="str">
        <f>IFERROR(INDEX(Cursos!$A$1:$B$47,MATCH(B64,Cursos!$B$1:$B$47,0),1),"")</f>
        <v/>
      </c>
      <c r="B64" s="86"/>
      <c r="C64" s="257"/>
      <c r="D64" s="86"/>
    </row>
    <row r="65" spans="1:4">
      <c r="A65" s="86" t="str">
        <f>IFERROR(INDEX(Cursos!$A$1:$B$47,MATCH(B65,Cursos!$B$1:$B$47,0),1),"")</f>
        <v/>
      </c>
      <c r="B65" s="86"/>
      <c r="C65" s="257"/>
      <c r="D65" s="86"/>
    </row>
    <row r="66" spans="1:4">
      <c r="A66" s="86" t="str">
        <f>IFERROR(INDEX(Cursos!$A$1:$B$47,MATCH(B66,Cursos!$B$1:$B$47,0),1),"")</f>
        <v/>
      </c>
      <c r="B66" s="86"/>
      <c r="C66" s="257"/>
      <c r="D66" s="86"/>
    </row>
    <row r="67" spans="1:4">
      <c r="A67" s="86" t="str">
        <f>IFERROR(INDEX(Cursos!$A$1:$B$47,MATCH(B67,Cursos!$B$1:$B$47,0),1),"")</f>
        <v/>
      </c>
      <c r="B67" s="86"/>
      <c r="C67" s="257"/>
      <c r="D67" s="86"/>
    </row>
    <row r="68" spans="1:4">
      <c r="A68" s="86" t="str">
        <f>IFERROR(INDEX(Cursos!$A$1:$B$47,MATCH(B68,Cursos!$B$1:$B$47,0),1),"")</f>
        <v/>
      </c>
      <c r="B68" s="86"/>
      <c r="C68" s="257"/>
      <c r="D68" s="86"/>
    </row>
    <row r="69" spans="1:4">
      <c r="A69" s="86" t="str">
        <f>IFERROR(INDEX(Cursos!$A$1:$B$47,MATCH(B69,Cursos!$B$1:$B$47,0),1),"")</f>
        <v/>
      </c>
      <c r="B69" s="86"/>
      <c r="C69" s="257"/>
      <c r="D69" s="86"/>
    </row>
    <row r="70" spans="1:4">
      <c r="A70" s="86" t="str">
        <f>IFERROR(INDEX(Cursos!$A$1:$B$47,MATCH(B70,Cursos!$B$1:$B$47,0),1),"")</f>
        <v/>
      </c>
      <c r="B70" s="86"/>
      <c r="C70" s="257"/>
      <c r="D70" s="86"/>
    </row>
    <row r="71" spans="1:4">
      <c r="A71" s="86" t="str">
        <f>IFERROR(INDEX(Cursos!$A$1:$B$47,MATCH(B71,Cursos!$B$1:$B$47,0),1),"")</f>
        <v/>
      </c>
      <c r="B71" s="86"/>
      <c r="C71" s="257"/>
      <c r="D71" s="86"/>
    </row>
    <row r="72" spans="1:4">
      <c r="A72" s="86" t="str">
        <f>IFERROR(INDEX(Cursos!$A$1:$B$47,MATCH(B72,Cursos!$B$1:$B$47,0),1),"")</f>
        <v/>
      </c>
      <c r="B72" s="86"/>
      <c r="C72" s="257"/>
      <c r="D72" s="86"/>
    </row>
    <row r="73" spans="1:4">
      <c r="A73" s="86" t="str">
        <f>IFERROR(INDEX(Cursos!$A$1:$B$47,MATCH(B73,Cursos!$B$1:$B$47,0),1),"")</f>
        <v/>
      </c>
      <c r="B73" s="86"/>
      <c r="C73" s="257"/>
      <c r="D73" s="86"/>
    </row>
    <row r="74" spans="1:4">
      <c r="A74" s="86" t="str">
        <f>IFERROR(INDEX(Cursos!$A$1:$B$47,MATCH(B74,Cursos!$B$1:$B$47,0),1),"")</f>
        <v/>
      </c>
      <c r="B74" s="86"/>
      <c r="C74" s="257"/>
      <c r="D74" s="86"/>
    </row>
    <row r="75" spans="1:4">
      <c r="A75" s="86" t="str">
        <f>IFERROR(INDEX(Cursos!$A$1:$B$47,MATCH(B75,Cursos!$B$1:$B$47,0),1),"")</f>
        <v/>
      </c>
      <c r="B75" s="86"/>
      <c r="C75" s="257"/>
      <c r="D75" s="86"/>
    </row>
    <row r="76" spans="1:4">
      <c r="A76" s="86" t="str">
        <f>IFERROR(INDEX(Cursos!$A$1:$B$47,MATCH(B76,Cursos!$B$1:$B$47,0),1),"")</f>
        <v/>
      </c>
      <c r="B76" s="86"/>
      <c r="C76" s="257"/>
      <c r="D76" s="86"/>
    </row>
    <row r="77" spans="1:4">
      <c r="A77" s="86" t="str">
        <f>IFERROR(INDEX(Cursos!$A$1:$B$47,MATCH(B77,Cursos!$B$1:$B$47,0),1),"")</f>
        <v/>
      </c>
      <c r="B77" s="86"/>
      <c r="C77" s="257"/>
      <c r="D77" s="86"/>
    </row>
    <row r="78" spans="1:4">
      <c r="A78" s="86" t="str">
        <f>IFERROR(INDEX(Cursos!$A$1:$B$47,MATCH(B78,Cursos!$B$1:$B$47,0),1),"")</f>
        <v/>
      </c>
      <c r="B78" s="86"/>
      <c r="C78" s="257"/>
      <c r="D78" s="86"/>
    </row>
    <row r="79" spans="1:4">
      <c r="A79" s="86" t="str">
        <f>IFERROR(INDEX(Cursos!$A$1:$B$47,MATCH(B79,Cursos!$B$1:$B$47,0),1),"")</f>
        <v/>
      </c>
      <c r="B79" s="86"/>
      <c r="C79" s="257"/>
      <c r="D79" s="86"/>
    </row>
    <row r="80" spans="1:4">
      <c r="A80" s="86" t="str">
        <f>IFERROR(INDEX(Cursos!$A$1:$B$47,MATCH(B80,Cursos!$B$1:$B$47,0),1),"")</f>
        <v/>
      </c>
      <c r="B80" s="86"/>
      <c r="C80" s="257"/>
      <c r="D80" s="86"/>
    </row>
    <row r="81" spans="1:4">
      <c r="A81" s="86" t="str">
        <f>IFERROR(INDEX(Cursos!$A$1:$B$47,MATCH(B81,Cursos!$B$1:$B$47,0),1),"")</f>
        <v/>
      </c>
      <c r="B81" s="86"/>
      <c r="C81" s="257"/>
      <c r="D81" s="86"/>
    </row>
    <row r="82" spans="1:4">
      <c r="A82" s="86" t="str">
        <f>IFERROR(INDEX(Cursos!$A$1:$B$47,MATCH(B82,Cursos!$B$1:$B$47,0),1),"")</f>
        <v/>
      </c>
      <c r="B82" s="86"/>
      <c r="C82" s="257"/>
      <c r="D82" s="86"/>
    </row>
    <row r="83" spans="1:4">
      <c r="A83" s="86" t="str">
        <f>IFERROR(INDEX(Cursos!$A$1:$B$47,MATCH(B83,Cursos!$B$1:$B$47,0),1),"")</f>
        <v/>
      </c>
      <c r="B83" s="86"/>
      <c r="C83" s="257"/>
      <c r="D83" s="86"/>
    </row>
    <row r="84" spans="1:4">
      <c r="A84" s="86" t="str">
        <f>IFERROR(INDEX(Cursos!$A$1:$B$47,MATCH(B84,Cursos!$B$1:$B$47,0),1),"")</f>
        <v/>
      </c>
      <c r="B84" s="86"/>
      <c r="C84" s="257"/>
      <c r="D84" s="86"/>
    </row>
    <row r="85" spans="1:4">
      <c r="A85" s="86" t="str">
        <f>IFERROR(INDEX(Cursos!$A$1:$B$47,MATCH(B85,Cursos!$B$1:$B$47,0),1),"")</f>
        <v/>
      </c>
      <c r="B85" s="86"/>
      <c r="C85" s="257"/>
      <c r="D85" s="86"/>
    </row>
    <row r="86" spans="1:4">
      <c r="A86" s="86" t="str">
        <f>IFERROR(INDEX(Cursos!$A$1:$B$47,MATCH(B86,Cursos!$B$1:$B$47,0),1),"")</f>
        <v/>
      </c>
      <c r="B86" s="86"/>
      <c r="C86" s="257"/>
      <c r="D86" s="86"/>
    </row>
    <row r="87" spans="1:4">
      <c r="A87" s="86" t="str">
        <f>IFERROR(INDEX(Cursos!$A$1:$B$47,MATCH(B87,Cursos!$B$1:$B$47,0),1),"")</f>
        <v/>
      </c>
      <c r="B87" s="86"/>
      <c r="C87" s="257"/>
      <c r="D87" s="86"/>
    </row>
    <row r="88" spans="1:4">
      <c r="A88" s="86" t="str">
        <f>IFERROR(INDEX(Cursos!$A$1:$B$47,MATCH(B88,Cursos!$B$1:$B$47,0),1),"")</f>
        <v/>
      </c>
      <c r="B88" s="86"/>
      <c r="C88" s="257"/>
      <c r="D88" s="86"/>
    </row>
    <row r="89" spans="1:4">
      <c r="A89" s="86" t="str">
        <f>IFERROR(INDEX(Cursos!$A$1:$B$47,MATCH(B89,Cursos!$B$1:$B$47,0),1),"")</f>
        <v/>
      </c>
      <c r="B89" s="86"/>
      <c r="C89" s="257"/>
      <c r="D89" s="86"/>
    </row>
    <row r="90" spans="1:4">
      <c r="A90" s="86" t="str">
        <f>IFERROR(INDEX(Cursos!$A$1:$B$47,MATCH(B90,Cursos!$B$1:$B$47,0),1),"")</f>
        <v/>
      </c>
      <c r="B90" s="86"/>
      <c r="C90" s="257"/>
      <c r="D90" s="86"/>
    </row>
    <row r="91" spans="1:4">
      <c r="A91" s="86" t="str">
        <f>IFERROR(INDEX(Cursos!$A$1:$B$47,MATCH(B91,Cursos!$B$1:$B$47,0),1),"")</f>
        <v/>
      </c>
      <c r="B91" s="86"/>
      <c r="C91" s="257"/>
      <c r="D91" s="86"/>
    </row>
    <row r="92" spans="1:4">
      <c r="A92" s="86" t="str">
        <f>IFERROR(INDEX(Cursos!$A$1:$B$47,MATCH(B92,Cursos!$B$1:$B$47,0),1),"")</f>
        <v/>
      </c>
      <c r="B92" s="86"/>
      <c r="C92" s="257"/>
      <c r="D92" s="86"/>
    </row>
    <row r="93" spans="1:4">
      <c r="A93" s="86" t="str">
        <f>IFERROR(INDEX(Cursos!$A$1:$B$47,MATCH(B93,Cursos!$B$1:$B$47,0),1),"")</f>
        <v/>
      </c>
      <c r="B93" s="86"/>
      <c r="C93" s="257"/>
      <c r="D93" s="86"/>
    </row>
    <row r="94" spans="1:4">
      <c r="A94" s="86" t="str">
        <f>IFERROR(INDEX(Cursos!$A$1:$B$47,MATCH(B94,Cursos!$B$1:$B$47,0),1),"")</f>
        <v/>
      </c>
      <c r="B94" s="86"/>
      <c r="C94" s="257"/>
      <c r="D94" s="86"/>
    </row>
    <row r="95" spans="1:4">
      <c r="A95" s="86" t="str">
        <f>IFERROR(INDEX(Cursos!$A$1:$B$47,MATCH(B95,Cursos!$B$1:$B$47,0),1),"")</f>
        <v/>
      </c>
      <c r="B95" s="86"/>
      <c r="C95" s="257"/>
      <c r="D95" s="86"/>
    </row>
    <row r="96" spans="1:4">
      <c r="A96" s="86" t="str">
        <f>IFERROR(INDEX(Cursos!$A$1:$B$47,MATCH(B96,Cursos!$B$1:$B$47,0),1),"")</f>
        <v/>
      </c>
      <c r="B96" s="86"/>
      <c r="C96" s="257"/>
      <c r="D96" s="86"/>
    </row>
    <row r="97" spans="1:4">
      <c r="A97" s="86" t="str">
        <f>IFERROR(INDEX(Cursos!$A$1:$B$47,MATCH(B97,Cursos!$B$1:$B$47,0),1),"")</f>
        <v/>
      </c>
      <c r="B97" s="86"/>
      <c r="C97" s="257"/>
      <c r="D97" s="86"/>
    </row>
    <row r="98" spans="1:4">
      <c r="A98" s="86" t="str">
        <f>IFERROR(INDEX(Cursos!$A$1:$B$47,MATCH(B98,Cursos!$B$1:$B$47,0),1),"")</f>
        <v/>
      </c>
      <c r="B98" s="86"/>
      <c r="C98" s="257"/>
      <c r="D98" s="86"/>
    </row>
    <row r="99" spans="1:4">
      <c r="A99" s="86" t="str">
        <f>IFERROR(INDEX(Cursos!$A$1:$B$47,MATCH(B99,Cursos!$B$1:$B$47,0),1),"")</f>
        <v/>
      </c>
      <c r="B99" s="86"/>
      <c r="C99" s="257"/>
      <c r="D99" s="86"/>
    </row>
    <row r="100" spans="1:4">
      <c r="A100" s="86" t="str">
        <f>IFERROR(INDEX(Cursos!$A$1:$B$47,MATCH(B100,Cursos!$B$1:$B$47,0),1),"")</f>
        <v/>
      </c>
      <c r="B100" s="86"/>
      <c r="C100" s="257"/>
      <c r="D100" s="86"/>
    </row>
    <row r="101" spans="1:4">
      <c r="A101" s="86" t="str">
        <f>IFERROR(INDEX(Cursos!$A$1:$B$47,MATCH(B101,Cursos!$B$1:$B$47,0),1),"")</f>
        <v/>
      </c>
      <c r="B101" s="86"/>
      <c r="C101" s="257"/>
      <c r="D101" s="86"/>
    </row>
    <row r="102" spans="1:4">
      <c r="A102" s="86" t="str">
        <f>IFERROR(INDEX(Cursos!$A$1:$B$47,MATCH(B102,Cursos!$B$1:$B$47,0),1),"")</f>
        <v/>
      </c>
      <c r="B102" s="86"/>
      <c r="C102" s="257"/>
      <c r="D102" s="86"/>
    </row>
    <row r="103" spans="1:4">
      <c r="A103" s="86" t="str">
        <f>IFERROR(INDEX(Cursos!$A$1:$B$47,MATCH(B103,Cursos!$B$1:$B$47,0),1),"")</f>
        <v/>
      </c>
      <c r="B103" s="86"/>
      <c r="C103" s="257"/>
      <c r="D103" s="86"/>
    </row>
    <row r="104" spans="1:4">
      <c r="A104" s="86" t="str">
        <f>IFERROR(INDEX(Cursos!$A$1:$B$47,MATCH(B104,Cursos!$B$1:$B$47,0),1),"")</f>
        <v/>
      </c>
      <c r="B104" s="86"/>
      <c r="C104" s="257"/>
      <c r="D104" s="86"/>
    </row>
    <row r="105" spans="1:4">
      <c r="A105" s="86" t="str">
        <f>IFERROR(INDEX(Cursos!$A$1:$B$47,MATCH(B105,Cursos!$B$1:$B$47,0),1),"")</f>
        <v/>
      </c>
      <c r="B105" s="86"/>
      <c r="C105" s="257"/>
      <c r="D105" s="86"/>
    </row>
    <row r="106" spans="1:4">
      <c r="A106" s="86" t="str">
        <f>IFERROR(INDEX(Cursos!$A$1:$B$47,MATCH(B106,Cursos!$B$1:$B$47,0),1),"")</f>
        <v/>
      </c>
      <c r="B106" s="86"/>
      <c r="C106" s="257"/>
      <c r="D106" s="86"/>
    </row>
    <row r="107" spans="1:4">
      <c r="A107" s="86" t="str">
        <f>IFERROR(INDEX(Cursos!$A$1:$B$47,MATCH(B107,Cursos!$B$1:$B$47,0),1),"")</f>
        <v/>
      </c>
      <c r="B107" s="86"/>
      <c r="C107" s="257"/>
      <c r="D107" s="86"/>
    </row>
    <row r="108" spans="1:4">
      <c r="A108" s="86" t="str">
        <f>IFERROR(INDEX(Cursos!$A$1:$B$47,MATCH(B108,Cursos!$B$1:$B$47,0),1),"")</f>
        <v/>
      </c>
      <c r="B108" s="86"/>
      <c r="C108" s="257"/>
      <c r="D108" s="86"/>
    </row>
    <row r="109" spans="1:4">
      <c r="A109" s="86" t="str">
        <f>IFERROR(INDEX(Cursos!$A$1:$B$47,MATCH(B109,Cursos!$B$1:$B$47,0),1),"")</f>
        <v/>
      </c>
      <c r="B109" s="86"/>
      <c r="C109" s="257"/>
      <c r="D109" s="86"/>
    </row>
    <row r="110" spans="1:4">
      <c r="A110" s="86" t="str">
        <f>IFERROR(INDEX(Cursos!$A$1:$B$47,MATCH(B110,Cursos!$B$1:$B$47,0),1),"")</f>
        <v/>
      </c>
      <c r="B110" s="86"/>
      <c r="C110" s="257"/>
      <c r="D110" s="86"/>
    </row>
    <row r="111" spans="1:4">
      <c r="A111" s="86" t="str">
        <f>IFERROR(INDEX(Cursos!$A$1:$B$47,MATCH(B111,Cursos!$B$1:$B$47,0),1),"")</f>
        <v/>
      </c>
      <c r="B111" s="86"/>
      <c r="C111" s="257"/>
      <c r="D111" s="86"/>
    </row>
    <row r="112" spans="1:4">
      <c r="A112" s="86" t="str">
        <f>IFERROR(INDEX(Cursos!$A$1:$B$47,MATCH(B112,Cursos!$B$1:$B$47,0),1),"")</f>
        <v/>
      </c>
      <c r="B112" s="86"/>
      <c r="C112" s="257"/>
      <c r="D112" s="86"/>
    </row>
    <row r="113" spans="1:4">
      <c r="A113" s="86" t="str">
        <f>IFERROR(INDEX(Cursos!$A$1:$B$47,MATCH(B113,Cursos!$B$1:$B$47,0),1),"")</f>
        <v/>
      </c>
      <c r="B113" s="86"/>
      <c r="C113" s="257"/>
      <c r="D113" s="86"/>
    </row>
    <row r="114" spans="1:4">
      <c r="A114" s="86" t="str">
        <f>IFERROR(INDEX(Cursos!$A$1:$B$47,MATCH(B114,Cursos!$B$1:$B$47,0),1),"")</f>
        <v/>
      </c>
      <c r="B114" s="86"/>
      <c r="C114" s="257"/>
      <c r="D114" s="86"/>
    </row>
    <row r="115" spans="1:4">
      <c r="A115" s="86" t="str">
        <f>IFERROR(INDEX(Cursos!$A$1:$B$47,MATCH(B115,Cursos!$B$1:$B$47,0),1),"")</f>
        <v/>
      </c>
      <c r="B115" s="86"/>
      <c r="C115" s="257"/>
      <c r="D115" s="86"/>
    </row>
    <row r="116" spans="1:4">
      <c r="A116" s="86" t="str">
        <f>IFERROR(INDEX(Cursos!$A$1:$B$47,MATCH(B116,Cursos!$B$1:$B$47,0),1),"")</f>
        <v/>
      </c>
      <c r="B116" s="86"/>
      <c r="C116" s="257"/>
      <c r="D116" s="86"/>
    </row>
    <row r="117" spans="1:4">
      <c r="A117" s="86" t="str">
        <f>IFERROR(INDEX(Cursos!$A$1:$B$47,MATCH(B117,Cursos!$B$1:$B$47,0),1),"")</f>
        <v/>
      </c>
      <c r="B117" s="86"/>
      <c r="C117" s="257"/>
      <c r="D117" s="86"/>
    </row>
    <row r="118" spans="1:4">
      <c r="A118" s="86" t="str">
        <f>IFERROR(INDEX(Cursos!$A$1:$B$47,MATCH(B118,Cursos!$B$1:$B$47,0),1),"")</f>
        <v/>
      </c>
      <c r="B118" s="86"/>
      <c r="D118" s="86"/>
    </row>
    <row r="119" spans="1:4">
      <c r="A119" s="86" t="str">
        <f>IFERROR(INDEX(Cursos!$A$1:$B$47,MATCH(B119,Cursos!$B$1:$B$47,0),1),"")</f>
        <v/>
      </c>
      <c r="B119" s="86"/>
      <c r="D119" s="86"/>
    </row>
    <row r="120" spans="1:4">
      <c r="A120" s="86" t="str">
        <f>IFERROR(INDEX(Cursos!$A$1:$B$47,MATCH(B120,Cursos!$B$1:$B$47,0),1),"")</f>
        <v/>
      </c>
      <c r="B120" s="86"/>
      <c r="D120" s="86"/>
    </row>
    <row r="121" spans="1:4">
      <c r="A121" s="86" t="str">
        <f>IFERROR(INDEX(Cursos!$A$1:$B$47,MATCH(B121,Cursos!$B$1:$B$47,0),1),"")</f>
        <v/>
      </c>
      <c r="B121" s="86"/>
      <c r="D121" s="86"/>
    </row>
    <row r="122" spans="1:4">
      <c r="A122" s="86" t="str">
        <f>IFERROR(INDEX(Cursos!$A$1:$B$47,MATCH(B122,Cursos!$B$1:$B$47,0),1),"")</f>
        <v/>
      </c>
      <c r="B122" s="86"/>
      <c r="D122" s="86"/>
    </row>
    <row r="123" spans="1:4">
      <c r="A123" s="86" t="str">
        <f>IFERROR(INDEX(Cursos!$A$1:$B$47,MATCH(B123,Cursos!$B$1:$B$47,0),1),"")</f>
        <v/>
      </c>
      <c r="B123" s="86"/>
      <c r="D123" s="86"/>
    </row>
    <row r="124" spans="1:4">
      <c r="A124" s="86" t="str">
        <f>IFERROR(INDEX(Cursos!$A$1:$B$47,MATCH(B124,Cursos!$B$1:$B$47,0),1),"")</f>
        <v/>
      </c>
      <c r="B124" s="86"/>
      <c r="D124" s="86"/>
    </row>
    <row r="125" spans="1:4">
      <c r="A125" s="86" t="str">
        <f>IFERROR(INDEX(Cursos!$A$1:$B$47,MATCH(B125,Cursos!$B$1:$B$47,0),1),"")</f>
        <v/>
      </c>
      <c r="B125" s="86"/>
      <c r="D125" s="86"/>
    </row>
    <row r="126" spans="1:4">
      <c r="A126" s="86" t="str">
        <f>IFERROR(INDEX(Cursos!$A$1:$B$47,MATCH(B126,Cursos!$B$1:$B$47,0),1),"")</f>
        <v/>
      </c>
      <c r="B126" s="86"/>
      <c r="D126" s="86"/>
    </row>
    <row r="127" spans="1:4">
      <c r="A127" s="86" t="str">
        <f>IFERROR(INDEX(Cursos!$A$1:$B$47,MATCH(B127,Cursos!$B$1:$B$47,0),1),"")</f>
        <v/>
      </c>
      <c r="B127" s="86"/>
      <c r="D127" s="86"/>
    </row>
    <row r="128" spans="1:4">
      <c r="A128" s="86" t="str">
        <f>IFERROR(INDEX(Cursos!$A$1:$B$47,MATCH(B128,Cursos!$B$1:$B$47,0),1),"")</f>
        <v/>
      </c>
      <c r="B128" s="86"/>
      <c r="D128" s="86"/>
    </row>
    <row r="129" spans="1:4">
      <c r="A129" s="86" t="str">
        <f>IFERROR(INDEX(Cursos!$A$1:$B$47,MATCH(B129,Cursos!$B$1:$B$47,0),1),"")</f>
        <v/>
      </c>
      <c r="B129" s="86"/>
      <c r="D129" s="86"/>
    </row>
    <row r="130" spans="1:4">
      <c r="A130" s="86" t="str">
        <f>IFERROR(INDEX(Cursos!$A$1:$B$47,MATCH(B130,Cursos!$B$1:$B$47,0),1),"")</f>
        <v/>
      </c>
      <c r="B130" s="86"/>
      <c r="D130" s="86"/>
    </row>
    <row r="131" spans="1:4">
      <c r="A131" s="86" t="str">
        <f>IFERROR(INDEX(Cursos!$A$1:$B$47,MATCH(B131,Cursos!$B$1:$B$47,0),1),"")</f>
        <v/>
      </c>
      <c r="B131" s="86"/>
      <c r="D131" s="86"/>
    </row>
    <row r="132" spans="1:4">
      <c r="A132" s="86" t="str">
        <f>IFERROR(INDEX(Cursos!$A$1:$B$47,MATCH(B132,Cursos!$B$1:$B$47,0),1),"")</f>
        <v/>
      </c>
      <c r="B132" s="86"/>
      <c r="D132" s="86"/>
    </row>
    <row r="133" spans="1:4">
      <c r="A133" s="86" t="str">
        <f>IFERROR(INDEX(Cursos!$A$1:$B$47,MATCH(B133,Cursos!$B$1:$B$47,0),1),"")</f>
        <v/>
      </c>
      <c r="B133" s="86"/>
      <c r="D133" s="86"/>
    </row>
    <row r="134" spans="1:4">
      <c r="A134" s="86" t="str">
        <f>IFERROR(INDEX(Cursos!$A$1:$B$47,MATCH(B134,Cursos!$B$1:$B$47,0),1),"")</f>
        <v/>
      </c>
      <c r="B134" s="86"/>
      <c r="D134" s="86"/>
    </row>
    <row r="135" spans="1:4">
      <c r="A135" s="86" t="str">
        <f>IFERROR(INDEX(Cursos!$A$1:$B$47,MATCH(B135,Cursos!$B$1:$B$47,0),1),"")</f>
        <v/>
      </c>
      <c r="B135" s="86"/>
      <c r="D135" s="86"/>
    </row>
    <row r="136" spans="1:4">
      <c r="A136" s="86" t="str">
        <f>IFERROR(INDEX(Cursos!$A$1:$B$47,MATCH(B136,Cursos!$B$1:$B$47,0),1),"")</f>
        <v/>
      </c>
      <c r="B136" s="86"/>
      <c r="D136" s="86"/>
    </row>
    <row r="137" spans="1:4">
      <c r="A137" s="86" t="str">
        <f>IFERROR(INDEX(Cursos!$A$1:$B$47,MATCH(B137,Cursos!$B$1:$B$47,0),1),"")</f>
        <v/>
      </c>
      <c r="B137" s="86"/>
      <c r="D137" s="86"/>
    </row>
    <row r="138" spans="1:4">
      <c r="A138" s="86" t="str">
        <f>IFERROR(INDEX(Cursos!$A$1:$B$47,MATCH(B138,Cursos!$B$1:$B$47,0),1),"")</f>
        <v/>
      </c>
      <c r="B138" s="86"/>
      <c r="D138" s="86"/>
    </row>
    <row r="139" spans="1:4">
      <c r="A139" s="86" t="str">
        <f>IFERROR(INDEX(Cursos!$A$1:$B$47,MATCH(B139,Cursos!$B$1:$B$47,0),1),"")</f>
        <v/>
      </c>
      <c r="B139" s="86"/>
      <c r="D139" s="86"/>
    </row>
    <row r="140" spans="1:4">
      <c r="A140" s="86" t="str">
        <f>IFERROR(INDEX(Cursos!$A$1:$B$47,MATCH(B140,Cursos!$B$1:$B$47,0),1),"")</f>
        <v/>
      </c>
      <c r="B140" s="86"/>
      <c r="D140" s="86"/>
    </row>
    <row r="141" spans="1:4">
      <c r="A141" s="86" t="str">
        <f>IFERROR(INDEX(Cursos!$A$1:$B$47,MATCH(B141,Cursos!$B$1:$B$47,0),1),"")</f>
        <v/>
      </c>
      <c r="B141" s="86"/>
      <c r="D141" s="86"/>
    </row>
    <row r="142" spans="1:4">
      <c r="A142" s="86" t="str">
        <f>IFERROR(INDEX(Cursos!$A$1:$B$47,MATCH(B142,Cursos!$B$1:$B$47,0),1),"")</f>
        <v/>
      </c>
      <c r="B142" s="86"/>
      <c r="D142" s="86"/>
    </row>
    <row r="143" spans="1:4">
      <c r="A143" s="86" t="str">
        <f>IFERROR(INDEX(Cursos!$A$1:$B$47,MATCH(B143,Cursos!$B$1:$B$47,0),1),"")</f>
        <v/>
      </c>
      <c r="B143" s="86"/>
      <c r="D143" s="86"/>
    </row>
    <row r="144" spans="1:4">
      <c r="A144" s="86" t="str">
        <f>IFERROR(INDEX(Cursos!$A$1:$B$47,MATCH(B144,Cursos!$B$1:$B$47,0),1),"")</f>
        <v/>
      </c>
      <c r="B144" s="86"/>
      <c r="D144" s="86"/>
    </row>
    <row r="145" spans="1:4">
      <c r="A145" s="86" t="str">
        <f>IFERROR(INDEX(Cursos!$A$1:$B$47,MATCH(B145,Cursos!$B$1:$B$47,0),1),"")</f>
        <v/>
      </c>
      <c r="B145" s="86"/>
      <c r="D145" s="86"/>
    </row>
    <row r="146" spans="1:4">
      <c r="A146" s="86" t="str">
        <f>IFERROR(INDEX(Cursos!$A$1:$B$47,MATCH(B146,Cursos!$B$1:$B$47,0),1),"")</f>
        <v/>
      </c>
      <c r="B146" s="86"/>
      <c r="D146" s="86"/>
    </row>
    <row r="147" spans="1:4">
      <c r="A147" s="86" t="str">
        <f>IFERROR(INDEX(Cursos!$A$1:$B$47,MATCH(B147,Cursos!$B$1:$B$47,0),1),"")</f>
        <v/>
      </c>
      <c r="B147" s="86"/>
      <c r="D147" s="86"/>
    </row>
    <row r="148" spans="1:4">
      <c r="A148" s="86" t="str">
        <f>IFERROR(INDEX(Cursos!$A$1:$B$47,MATCH(B148,Cursos!$B$1:$B$47,0),1),"")</f>
        <v/>
      </c>
      <c r="B148" s="86"/>
      <c r="D148" s="86"/>
    </row>
    <row r="149" spans="1:4">
      <c r="A149" s="86" t="str">
        <f>IFERROR(INDEX(Cursos!$A$1:$B$47,MATCH(B149,Cursos!$B$1:$B$47,0),1),"")</f>
        <v/>
      </c>
      <c r="B149" s="86"/>
      <c r="D149" s="86"/>
    </row>
    <row r="150" spans="1:4">
      <c r="A150" s="86" t="str">
        <f>IFERROR(INDEX(Cursos!$A$1:$B$47,MATCH(B150,Cursos!$B$1:$B$47,0),1),"")</f>
        <v/>
      </c>
      <c r="B150" s="86"/>
      <c r="D150" s="86"/>
    </row>
    <row r="151" spans="1:4">
      <c r="A151" s="86" t="str">
        <f>IFERROR(INDEX(Cursos!$A$1:$B$47,MATCH(B151,Cursos!$B$1:$B$47,0),1),"")</f>
        <v/>
      </c>
      <c r="B151" s="86"/>
      <c r="D151" s="86"/>
    </row>
    <row r="152" spans="1:4">
      <c r="A152" s="86" t="str">
        <f>IFERROR(INDEX(Cursos!$A$1:$B$47,MATCH(B152,Cursos!$B$1:$B$47,0),1),"")</f>
        <v/>
      </c>
      <c r="B152" s="86"/>
      <c r="D152" s="86"/>
    </row>
    <row r="153" spans="1:4">
      <c r="A153" s="86" t="str">
        <f>IFERROR(INDEX(Cursos!$A$1:$B$47,MATCH(B153,Cursos!$B$1:$B$47,0),1),"")</f>
        <v/>
      </c>
      <c r="B153" s="86"/>
      <c r="D153" s="86"/>
    </row>
    <row r="154" spans="1:4">
      <c r="A154" s="86" t="str">
        <f>IFERROR(INDEX(Cursos!$A$1:$B$47,MATCH(B154,Cursos!$B$1:$B$47,0),1),"")</f>
        <v/>
      </c>
      <c r="B154" s="86"/>
      <c r="D154" s="86"/>
    </row>
    <row r="155" spans="1:4">
      <c r="A155" s="86" t="str">
        <f>IFERROR(INDEX(Cursos!$A$1:$B$47,MATCH(B155,Cursos!$B$1:$B$47,0),1),"")</f>
        <v/>
      </c>
      <c r="B155" s="86"/>
      <c r="D155" s="86"/>
    </row>
    <row r="156" spans="1:4">
      <c r="A156" s="86" t="str">
        <f>IFERROR(INDEX(Cursos!$A$1:$B$47,MATCH(B156,Cursos!$B$1:$B$47,0),1),"")</f>
        <v/>
      </c>
      <c r="B156" s="86"/>
      <c r="D156" s="86"/>
    </row>
    <row r="157" spans="1:4">
      <c r="A157" s="86" t="str">
        <f>IFERROR(INDEX(Cursos!$A$1:$B$47,MATCH(B157,Cursos!$B$1:$B$47,0),1),"")</f>
        <v/>
      </c>
      <c r="B157" s="86"/>
      <c r="D157" s="86"/>
    </row>
    <row r="158" spans="1:4">
      <c r="A158" s="86" t="str">
        <f>IFERROR(INDEX(Cursos!$A$1:$B$47,MATCH(B158,Cursos!$B$1:$B$47,0),1),"")</f>
        <v/>
      </c>
      <c r="B158" s="86"/>
      <c r="D158" s="86"/>
    </row>
    <row r="159" spans="1:4">
      <c r="A159" s="86" t="str">
        <f>IFERROR(INDEX(Cursos!$A$1:$B$47,MATCH(B159,Cursos!$B$1:$B$47,0),1),"")</f>
        <v/>
      </c>
      <c r="B159" s="86"/>
      <c r="D159" s="86"/>
    </row>
    <row r="160" spans="1:4">
      <c r="A160" s="86" t="str">
        <f>IFERROR(INDEX(Cursos!$A$1:$B$47,MATCH(B160,Cursos!$B$1:$B$47,0),1),"")</f>
        <v/>
      </c>
      <c r="B160" s="86"/>
      <c r="D160" s="86"/>
    </row>
    <row r="161" spans="1:4">
      <c r="A161" s="86" t="str">
        <f>IFERROR(INDEX(Cursos!$A$1:$B$47,MATCH(B161,Cursos!$B$1:$B$47,0),1),"")</f>
        <v/>
      </c>
      <c r="B161" s="86"/>
      <c r="D161" s="86"/>
    </row>
    <row r="162" spans="1:4">
      <c r="A162" s="86" t="str">
        <f>IFERROR(INDEX(Cursos!$A$1:$B$47,MATCH(B162,Cursos!$B$1:$B$47,0),1),"")</f>
        <v/>
      </c>
      <c r="B162" s="86"/>
      <c r="D162" s="86"/>
    </row>
    <row r="163" spans="1:4">
      <c r="A163" s="86" t="str">
        <f>IFERROR(INDEX(Cursos!$A$1:$B$47,MATCH(B163,Cursos!$B$1:$B$47,0),1),"")</f>
        <v/>
      </c>
      <c r="B163" s="86"/>
      <c r="D163" s="86"/>
    </row>
    <row r="164" spans="1:4">
      <c r="A164" s="86" t="str">
        <f>IFERROR(INDEX(Cursos!$A$1:$B$47,MATCH(B164,Cursos!$B$1:$B$47,0),1),"")</f>
        <v/>
      </c>
      <c r="B164" s="86"/>
      <c r="D164" s="86"/>
    </row>
    <row r="165" spans="1:4">
      <c r="A165" s="86" t="str">
        <f>IFERROR(INDEX(Cursos!$A$1:$B$47,MATCH(B165,Cursos!$B$1:$B$47,0),1),"")</f>
        <v/>
      </c>
      <c r="B165" s="86"/>
      <c r="D165" s="86"/>
    </row>
    <row r="166" spans="1:4">
      <c r="A166" s="86" t="str">
        <f>IFERROR(INDEX(Cursos!$A$1:$B$47,MATCH(B166,Cursos!$B$1:$B$47,0),1),"")</f>
        <v/>
      </c>
      <c r="B166" s="86"/>
      <c r="D166" s="86"/>
    </row>
    <row r="167" spans="1:4">
      <c r="A167" s="86" t="str">
        <f>IFERROR(INDEX(Cursos!$A$1:$B$47,MATCH(B167,Cursos!$B$1:$B$47,0),1),"")</f>
        <v/>
      </c>
      <c r="B167" s="86"/>
      <c r="D167" s="86"/>
    </row>
    <row r="168" spans="1:4">
      <c r="A168" s="86" t="str">
        <f>IFERROR(INDEX(Cursos!$A$1:$B$47,MATCH(B168,Cursos!$B$1:$B$47,0),1),"")</f>
        <v/>
      </c>
      <c r="B168" s="86"/>
      <c r="D168" s="86"/>
    </row>
    <row r="169" spans="1:4">
      <c r="A169" s="86" t="str">
        <f>IFERROR(INDEX(Cursos!$A$1:$B$47,MATCH(B169,Cursos!$B$1:$B$47,0),1),"")</f>
        <v/>
      </c>
      <c r="B169" s="86"/>
      <c r="D169" s="86"/>
    </row>
    <row r="170" spans="1:4">
      <c r="A170" s="86" t="str">
        <f>IFERROR(INDEX(Cursos!$A$1:$B$47,MATCH(B170,Cursos!$B$1:$B$47,0),1),"")</f>
        <v/>
      </c>
      <c r="B170" s="86"/>
      <c r="D170" s="86"/>
    </row>
    <row r="171" spans="1:4">
      <c r="A171" s="86" t="str">
        <f>IFERROR(INDEX(Cursos!$A$1:$B$47,MATCH(B171,Cursos!$B$1:$B$47,0),1),"")</f>
        <v/>
      </c>
      <c r="B171" s="86"/>
      <c r="D171" s="86"/>
    </row>
    <row r="172" spans="1:4">
      <c r="A172" s="86" t="str">
        <f>IFERROR(INDEX(Cursos!$A$1:$B$47,MATCH(B172,Cursos!$B$1:$B$47,0),1),"")</f>
        <v/>
      </c>
      <c r="B172" s="86"/>
      <c r="D172" s="86"/>
    </row>
    <row r="173" spans="1:4">
      <c r="A173" s="86" t="str">
        <f>IFERROR(INDEX(Cursos!$A$1:$B$47,MATCH(B173,Cursos!$B$1:$B$47,0),1),"")</f>
        <v/>
      </c>
      <c r="B173" s="86"/>
      <c r="D173" s="86"/>
    </row>
    <row r="174" spans="1:4">
      <c r="A174" s="86" t="str">
        <f>IFERROR(INDEX(Cursos!$A$1:$B$47,MATCH(B174,Cursos!$B$1:$B$47,0),1),"")</f>
        <v/>
      </c>
      <c r="B174" s="86"/>
      <c r="D174" s="86"/>
    </row>
    <row r="175" spans="1:4">
      <c r="A175" s="86" t="str">
        <f>IFERROR(INDEX(Cursos!$A$1:$B$47,MATCH(B175,Cursos!$B$1:$B$47,0),1),"")</f>
        <v/>
      </c>
      <c r="B175" s="86"/>
      <c r="D175" s="86"/>
    </row>
    <row r="176" spans="1:4">
      <c r="A176" s="86" t="str">
        <f>IFERROR(INDEX(Cursos!$A$1:$B$47,MATCH(B176,Cursos!$B$1:$B$47,0),1),"")</f>
        <v/>
      </c>
      <c r="B176" s="86"/>
      <c r="D176" s="86"/>
    </row>
    <row r="177" spans="1:4">
      <c r="A177" s="86" t="str">
        <f>IFERROR(INDEX(Cursos!$A$1:$B$47,MATCH(B177,Cursos!$B$1:$B$47,0),1),"")</f>
        <v/>
      </c>
      <c r="B177" s="86"/>
      <c r="D177" s="86"/>
    </row>
    <row r="178" spans="1:4">
      <c r="A178" s="86" t="str">
        <f>IFERROR(INDEX(Cursos!$A$1:$B$47,MATCH(B178,Cursos!$B$1:$B$47,0),1),"")</f>
        <v/>
      </c>
      <c r="B178" s="86"/>
      <c r="D178" s="86"/>
    </row>
    <row r="179" spans="1:4">
      <c r="A179" s="86" t="str">
        <f>IFERROR(INDEX(Cursos!$A$1:$B$47,MATCH(B179,Cursos!$B$1:$B$47,0),1),"")</f>
        <v/>
      </c>
      <c r="B179" s="86"/>
      <c r="D179" s="86"/>
    </row>
    <row r="180" spans="1:4">
      <c r="A180" s="86" t="str">
        <f>IFERROR(INDEX(Cursos!$A$1:$B$47,MATCH(B180,Cursos!$B$1:$B$47,0),1),"")</f>
        <v/>
      </c>
      <c r="B180" s="86"/>
      <c r="D180" s="86"/>
    </row>
    <row r="181" spans="1:4">
      <c r="A181" s="86" t="str">
        <f>IFERROR(INDEX(Cursos!$A$1:$B$47,MATCH(B181,Cursos!$B$1:$B$47,0),1),"")</f>
        <v/>
      </c>
      <c r="B181" s="86"/>
      <c r="D181" s="86"/>
    </row>
    <row r="182" spans="1:4">
      <c r="A182" s="86" t="str">
        <f>IFERROR(INDEX(Cursos!$A$1:$B$47,MATCH(B182,Cursos!$B$1:$B$47,0),1),"")</f>
        <v/>
      </c>
      <c r="B182" s="86"/>
      <c r="D182" s="86"/>
    </row>
    <row r="183" spans="1:4">
      <c r="A183" s="86" t="str">
        <f>IFERROR(INDEX(Cursos!$A$1:$B$47,MATCH(B183,Cursos!$B$1:$B$47,0),1),"")</f>
        <v/>
      </c>
      <c r="B183" s="86"/>
      <c r="D183" s="86"/>
    </row>
    <row r="184" spans="1:4">
      <c r="A184" s="86" t="str">
        <f>IFERROR(INDEX(Cursos!$A$1:$B$47,MATCH(B184,Cursos!$B$1:$B$47,0),1),"")</f>
        <v/>
      </c>
      <c r="B184" s="86"/>
      <c r="D184" s="86"/>
    </row>
    <row r="185" spans="1:4">
      <c r="A185" s="86" t="str">
        <f>IFERROR(INDEX(Cursos!$A$1:$B$47,MATCH(B185,Cursos!$B$1:$B$47,0),1),"")</f>
        <v/>
      </c>
      <c r="B185" s="86"/>
      <c r="D185" s="86"/>
    </row>
    <row r="186" spans="1:4">
      <c r="A186" s="86" t="str">
        <f>IFERROR(INDEX(Cursos!$A$1:$B$47,MATCH(B186,Cursos!$B$1:$B$47,0),1),"")</f>
        <v/>
      </c>
      <c r="B186" s="86"/>
      <c r="D186" s="86"/>
    </row>
    <row r="187" spans="1:4">
      <c r="A187" s="86" t="str">
        <f>IFERROR(INDEX(Cursos!$A$1:$B$47,MATCH(B187,Cursos!$B$1:$B$47,0),1),"")</f>
        <v/>
      </c>
      <c r="B187" s="86"/>
      <c r="D187" s="86"/>
    </row>
    <row r="188" spans="1:4">
      <c r="A188" s="86" t="str">
        <f>IFERROR(INDEX(Cursos!$A$1:$B$47,MATCH(B188,Cursos!$B$1:$B$47,0),1),"")</f>
        <v/>
      </c>
      <c r="B188" s="86"/>
      <c r="D188" s="86"/>
    </row>
    <row r="189" spans="1:4">
      <c r="A189" s="86" t="str">
        <f>IFERROR(INDEX(Cursos!$A$1:$B$47,MATCH(B189,Cursos!$B$1:$B$47,0),1),"")</f>
        <v/>
      </c>
      <c r="B189" s="86"/>
      <c r="D189" s="86"/>
    </row>
    <row r="190" spans="1:4">
      <c r="A190" s="86" t="str">
        <f>IFERROR(INDEX(Cursos!$A$1:$B$47,MATCH(B190,Cursos!$B$1:$B$47,0),1),"")</f>
        <v/>
      </c>
      <c r="B190" s="86"/>
      <c r="D190" s="86"/>
    </row>
    <row r="191" spans="1:4">
      <c r="A191" s="86" t="str">
        <f>IFERROR(INDEX(Cursos!$A$1:$B$47,MATCH(B191,Cursos!$B$1:$B$47,0),1),"")</f>
        <v/>
      </c>
      <c r="B191" s="86"/>
      <c r="D191" s="86"/>
    </row>
    <row r="192" spans="1:4">
      <c r="A192" s="86" t="str">
        <f>IFERROR(INDEX(Cursos!$A$1:$B$47,MATCH(B192,Cursos!$B$1:$B$47,0),1),"")</f>
        <v/>
      </c>
      <c r="B192" s="86"/>
      <c r="D192" s="86"/>
    </row>
    <row r="193" spans="1:4">
      <c r="A193" s="86" t="str">
        <f>IFERROR(INDEX(Cursos!$A$1:$B$47,MATCH(B193,Cursos!$B$1:$B$47,0),1),"")</f>
        <v/>
      </c>
      <c r="B193" s="86"/>
      <c r="D193" s="86"/>
    </row>
    <row r="194" spans="1:4">
      <c r="A194" s="86" t="str">
        <f>IFERROR(INDEX(Cursos!$A$1:$B$47,MATCH(B194,Cursos!$B$1:$B$47,0),1),"")</f>
        <v/>
      </c>
      <c r="B194" s="86"/>
      <c r="D194" s="86"/>
    </row>
    <row r="195" spans="1:4">
      <c r="A195" s="86" t="str">
        <f>IFERROR(INDEX(Cursos!$A$1:$B$47,MATCH(B195,Cursos!$B$1:$B$47,0),1),"")</f>
        <v/>
      </c>
      <c r="B195" s="86"/>
      <c r="D195" s="86"/>
    </row>
    <row r="196" spans="1:4">
      <c r="A196" s="86" t="str">
        <f>IFERROR(INDEX(Cursos!$A$1:$B$47,MATCH(B196,Cursos!$B$1:$B$47,0),1),"")</f>
        <v/>
      </c>
      <c r="B196" s="86"/>
      <c r="D196" s="86"/>
    </row>
    <row r="197" spans="1:4">
      <c r="A197" s="86" t="str">
        <f>IFERROR(INDEX(Cursos!$A$1:$B$47,MATCH(B197,Cursos!$B$1:$B$47,0),1),"")</f>
        <v/>
      </c>
      <c r="B197" s="86"/>
      <c r="D197" s="86"/>
    </row>
    <row r="198" spans="1:4">
      <c r="A198" s="86" t="str">
        <f>IFERROR(INDEX(Cursos!$A$1:$B$47,MATCH(B198,Cursos!$B$1:$B$47,0),1),"")</f>
        <v/>
      </c>
      <c r="B198" s="86"/>
      <c r="D198" s="86"/>
    </row>
    <row r="199" spans="1:4">
      <c r="A199" s="86" t="str">
        <f>IFERROR(INDEX(Cursos!$A$1:$B$47,MATCH(B199,Cursos!$B$1:$B$47,0),1),"")</f>
        <v/>
      </c>
      <c r="B199" s="86"/>
      <c r="D199" s="86"/>
    </row>
    <row r="200" spans="1:4">
      <c r="A200" s="86" t="str">
        <f>IFERROR(INDEX(Cursos!$A$1:$B$47,MATCH(B200,Cursos!$B$1:$B$47,0),1),"")</f>
        <v/>
      </c>
      <c r="B200" s="86"/>
      <c r="D200" s="86"/>
    </row>
    <row r="201" spans="1:4">
      <c r="A201" s="86" t="str">
        <f>IFERROR(INDEX(Cursos!$A$1:$B$47,MATCH(B201,Cursos!$B$1:$B$47,0),1),"")</f>
        <v/>
      </c>
      <c r="B201" s="86"/>
      <c r="D201" s="86"/>
    </row>
    <row r="202" spans="1:4">
      <c r="A202" s="86" t="str">
        <f>IFERROR(INDEX(Cursos!$A$1:$B$47,MATCH(B202,Cursos!$B$1:$B$47,0),1),"")</f>
        <v/>
      </c>
      <c r="B202" s="86"/>
      <c r="D202" s="86"/>
    </row>
    <row r="203" spans="1:4">
      <c r="A203" s="86" t="str">
        <f>IFERROR(INDEX(Cursos!$A$1:$B$47,MATCH(B203,Cursos!$B$1:$B$47,0),1),"")</f>
        <v/>
      </c>
      <c r="B203" s="86"/>
      <c r="D203" s="86"/>
    </row>
    <row r="204" spans="1:4">
      <c r="A204" s="86" t="str">
        <f>IFERROR(INDEX(Cursos!$A$1:$B$47,MATCH(B204,Cursos!$B$1:$B$47,0),1),"")</f>
        <v/>
      </c>
      <c r="B204" s="86"/>
      <c r="D204" s="86"/>
    </row>
    <row r="205" spans="1:4">
      <c r="A205" s="86" t="str">
        <f>IFERROR(INDEX(Cursos!$A$1:$B$47,MATCH(B205,Cursos!$B$1:$B$47,0),1),"")</f>
        <v/>
      </c>
      <c r="B205" s="86"/>
      <c r="D205" s="86"/>
    </row>
    <row r="206" spans="1:4">
      <c r="A206" s="86" t="str">
        <f>IFERROR(INDEX(Cursos!$A$1:$B$47,MATCH(B206,Cursos!$B$1:$B$47,0),1),"")</f>
        <v/>
      </c>
      <c r="B206" s="86"/>
      <c r="D206" s="86"/>
    </row>
    <row r="207" spans="1:4">
      <c r="A207" s="86" t="str">
        <f>IFERROR(INDEX(Cursos!$A$1:$B$47,MATCH(B207,Cursos!$B$1:$B$47,0),1),"")</f>
        <v/>
      </c>
      <c r="B207" s="86"/>
      <c r="D207" s="86"/>
    </row>
    <row r="208" spans="1:4">
      <c r="A208" s="86" t="str">
        <f>IFERROR(INDEX(Cursos!$A$1:$B$47,MATCH(B208,Cursos!$B$1:$B$47,0),1),"")</f>
        <v/>
      </c>
      <c r="B208" s="86"/>
      <c r="D208" s="86"/>
    </row>
    <row r="209" spans="1:4">
      <c r="A209" s="86" t="str">
        <f>IFERROR(INDEX(Cursos!$A$1:$B$47,MATCH(B209,Cursos!$B$1:$B$47,0),1),"")</f>
        <v/>
      </c>
      <c r="B209" s="86"/>
      <c r="D209" s="86"/>
    </row>
    <row r="210" spans="1:4">
      <c r="A210" s="86" t="str">
        <f>IFERROR(INDEX(Cursos!$A$1:$B$47,MATCH(B210,Cursos!$B$1:$B$47,0),1),"")</f>
        <v/>
      </c>
      <c r="B210" s="86"/>
      <c r="D210" s="86"/>
    </row>
    <row r="211" spans="1:4">
      <c r="A211" s="86" t="str">
        <f>IFERROR(INDEX(Cursos!$A$1:$B$47,MATCH(B211,Cursos!$B$1:$B$47,0),1),"")</f>
        <v/>
      </c>
      <c r="B211" s="86"/>
      <c r="D211" s="86"/>
    </row>
    <row r="212" spans="1:4">
      <c r="A212" s="86" t="str">
        <f>IFERROR(INDEX(Cursos!$A$1:$B$47,MATCH(B212,Cursos!$B$1:$B$47,0),1),"")</f>
        <v/>
      </c>
      <c r="B212" s="86"/>
      <c r="D212" s="86"/>
    </row>
    <row r="213" spans="1:4">
      <c r="A213" s="86" t="str">
        <f>IFERROR(INDEX(Cursos!$A$1:$B$47,MATCH(B213,Cursos!$B$1:$B$47,0),1),"")</f>
        <v/>
      </c>
      <c r="B213" s="86"/>
      <c r="D213" s="86"/>
    </row>
    <row r="214" spans="1:4">
      <c r="A214" s="86" t="str">
        <f>IFERROR(INDEX(Cursos!$A$1:$B$47,MATCH(B214,Cursos!$B$1:$B$47,0),1),"")</f>
        <v/>
      </c>
      <c r="B214" s="86"/>
      <c r="D214" s="86"/>
    </row>
    <row r="215" spans="1:4">
      <c r="A215" s="86" t="str">
        <f>IFERROR(INDEX(Cursos!$A$1:$B$47,MATCH(B215,Cursos!$B$1:$B$47,0),1),"")</f>
        <v/>
      </c>
      <c r="B215" s="86"/>
      <c r="D215" s="86"/>
    </row>
    <row r="216" spans="1:4">
      <c r="A216" s="86" t="str">
        <f>IFERROR(INDEX(Cursos!$A$1:$B$47,MATCH(B216,Cursos!$B$1:$B$47,0),1),"")</f>
        <v/>
      </c>
      <c r="B216" s="86"/>
      <c r="D216" s="86"/>
    </row>
    <row r="217" spans="1:4">
      <c r="A217" s="86" t="str">
        <f>IFERROR(INDEX(Cursos!$A$1:$B$47,MATCH(B217,Cursos!$B$1:$B$47,0),1),"")</f>
        <v/>
      </c>
      <c r="B217" s="86"/>
      <c r="D217" s="86"/>
    </row>
    <row r="218" spans="1:4">
      <c r="A218" s="86" t="str">
        <f>IFERROR(INDEX(Cursos!$A$1:$B$47,MATCH(B218,Cursos!$B$1:$B$47,0),1),"")</f>
        <v/>
      </c>
      <c r="B218" s="86"/>
      <c r="D218" s="86"/>
    </row>
    <row r="219" spans="1:4">
      <c r="A219" s="86" t="str">
        <f>IFERROR(INDEX(Cursos!$A$1:$B$47,MATCH(B219,Cursos!$B$1:$B$47,0),1),"")</f>
        <v/>
      </c>
      <c r="B219" s="86"/>
      <c r="D219" s="86"/>
    </row>
    <row r="220" spans="1:4">
      <c r="A220" s="86" t="str">
        <f>IFERROR(INDEX(Cursos!$A$1:$B$47,MATCH(B220,Cursos!$B$1:$B$47,0),1),"")</f>
        <v/>
      </c>
      <c r="B220" s="86"/>
      <c r="D220" s="86"/>
    </row>
    <row r="221" spans="1:4">
      <c r="A221" s="86" t="str">
        <f>IFERROR(INDEX(Cursos!$A$1:$B$47,MATCH(B221,Cursos!$B$1:$B$47,0),1),"")</f>
        <v/>
      </c>
      <c r="B221" s="86"/>
      <c r="D221" s="86"/>
    </row>
    <row r="222" spans="1:4">
      <c r="A222" s="86" t="str">
        <f>IFERROR(INDEX(Cursos!$A$1:$B$47,MATCH(B222,Cursos!$B$1:$B$47,0),1),"")</f>
        <v/>
      </c>
      <c r="B222" s="86"/>
      <c r="D222" s="86"/>
    </row>
    <row r="223" spans="1:4">
      <c r="A223" s="86" t="str">
        <f>IFERROR(INDEX(Cursos!$A$1:$B$47,MATCH(B223,Cursos!$B$1:$B$47,0),1),"")</f>
        <v/>
      </c>
      <c r="B223" s="86"/>
      <c r="D223" s="86"/>
    </row>
    <row r="224" spans="1:4">
      <c r="A224" s="86" t="str">
        <f>IFERROR(INDEX(Cursos!$A$1:$B$47,MATCH(B224,Cursos!$B$1:$B$47,0),1),"")</f>
        <v/>
      </c>
      <c r="B224" s="86"/>
      <c r="D224" s="86"/>
    </row>
    <row r="225" spans="1:4">
      <c r="A225" s="86" t="str">
        <f>IFERROR(INDEX(Cursos!$A$1:$B$47,MATCH(B225,Cursos!$B$1:$B$47,0),1),"")</f>
        <v/>
      </c>
      <c r="B225" s="86"/>
      <c r="D225" s="86"/>
    </row>
    <row r="226" spans="1:4">
      <c r="A226" s="86" t="str">
        <f>IFERROR(INDEX(Cursos!$A$1:$B$47,MATCH(B226,Cursos!$B$1:$B$47,0),1),"")</f>
        <v/>
      </c>
      <c r="B226" s="86"/>
      <c r="D226" s="86"/>
    </row>
    <row r="227" spans="1:4">
      <c r="A227" s="86" t="str">
        <f>IFERROR(INDEX(Cursos!$A$1:$B$47,MATCH(B227,Cursos!$B$1:$B$47,0),1),"")</f>
        <v/>
      </c>
      <c r="B227" s="86"/>
      <c r="D227" s="86"/>
    </row>
    <row r="228" spans="1:4">
      <c r="A228" s="86" t="str">
        <f>IFERROR(INDEX(Cursos!$A$1:$B$47,MATCH(B228,Cursos!$B$1:$B$47,0),1),"")</f>
        <v/>
      </c>
      <c r="B228" s="86"/>
      <c r="D228" s="86"/>
    </row>
    <row r="229" spans="1:4">
      <c r="A229" s="86" t="str">
        <f>IFERROR(INDEX(Cursos!$A$1:$B$47,MATCH(B229,Cursos!$B$1:$B$47,0),1),"")</f>
        <v/>
      </c>
      <c r="B229" s="86"/>
      <c r="D229" s="86"/>
    </row>
    <row r="230" spans="1:4">
      <c r="A230" s="86" t="str">
        <f>IFERROR(INDEX(Cursos!$A$1:$B$47,MATCH(B230,Cursos!$B$1:$B$47,0),1),"")</f>
        <v/>
      </c>
      <c r="B230" s="86"/>
      <c r="D230" s="86"/>
    </row>
    <row r="231" spans="1:4">
      <c r="A231" s="86" t="str">
        <f>IFERROR(INDEX(Cursos!$A$1:$B$47,MATCH(B231,Cursos!$B$1:$B$47,0),1),"")</f>
        <v/>
      </c>
      <c r="B231" s="86"/>
      <c r="D231" s="86"/>
    </row>
    <row r="232" spans="1:4">
      <c r="A232" s="86" t="str">
        <f>IFERROR(INDEX(Cursos!$A$1:$B$47,MATCH(B232,Cursos!$B$1:$B$47,0),1),"")</f>
        <v/>
      </c>
      <c r="B232" s="86"/>
      <c r="D232" s="86"/>
    </row>
    <row r="233" spans="1:4">
      <c r="A233" s="86" t="str">
        <f>IFERROR(INDEX(Cursos!$A$1:$B$47,MATCH(B233,Cursos!$B$1:$B$47,0),1),"")</f>
        <v/>
      </c>
      <c r="B233" s="86"/>
      <c r="D233" s="86"/>
    </row>
    <row r="234" spans="1:4">
      <c r="A234" s="86" t="str">
        <f>IFERROR(INDEX(Cursos!$A$1:$B$47,MATCH(B234,Cursos!$B$1:$B$47,0),1),"")</f>
        <v/>
      </c>
      <c r="B234" s="86"/>
      <c r="D234" s="86"/>
    </row>
    <row r="235" spans="1:4">
      <c r="A235" s="86" t="str">
        <f>IFERROR(INDEX(Cursos!$A$1:$B$47,MATCH(B235,Cursos!$B$1:$B$47,0),1),"")</f>
        <v/>
      </c>
      <c r="B235" s="86"/>
      <c r="D235" s="86"/>
    </row>
    <row r="236" spans="1:4">
      <c r="A236" s="86" t="str">
        <f>IFERROR(INDEX(Cursos!$A$1:$B$47,MATCH(B236,Cursos!$B$1:$B$47,0),1),"")</f>
        <v/>
      </c>
      <c r="B236" s="86"/>
      <c r="D236" s="86"/>
    </row>
    <row r="237" spans="1:4">
      <c r="A237" s="86" t="str">
        <f>IFERROR(INDEX(Cursos!$A$1:$B$47,MATCH(B237,Cursos!$B$1:$B$47,0),1),"")</f>
        <v/>
      </c>
      <c r="B237" s="86"/>
      <c r="D237" s="86"/>
    </row>
    <row r="238" spans="1:4">
      <c r="A238" s="86" t="str">
        <f>IFERROR(INDEX(Cursos!$A$1:$B$47,MATCH(B238,Cursos!$B$1:$B$47,0),1),"")</f>
        <v/>
      </c>
      <c r="B238" s="86"/>
      <c r="D238" s="86"/>
    </row>
    <row r="239" spans="1:4">
      <c r="A239" s="86" t="str">
        <f>IFERROR(INDEX(Cursos!$A$1:$B$47,MATCH(B239,Cursos!$B$1:$B$47,0),1),"")</f>
        <v/>
      </c>
      <c r="B239" s="86"/>
      <c r="D239" s="86"/>
    </row>
    <row r="240" spans="1:4">
      <c r="A240" s="86" t="str">
        <f>IFERROR(INDEX(Cursos!$A$1:$B$47,MATCH(B240,Cursos!$B$1:$B$47,0),1),"")</f>
        <v/>
      </c>
      <c r="B240" s="86"/>
      <c r="D240" s="86"/>
    </row>
    <row r="241" spans="1:4">
      <c r="A241" s="86" t="str">
        <f>IFERROR(INDEX(Cursos!$A$1:$B$47,MATCH(B241,Cursos!$B$1:$B$47,0),1),"")</f>
        <v/>
      </c>
      <c r="B241" s="86"/>
      <c r="D241" s="86"/>
    </row>
    <row r="242" spans="1:4">
      <c r="A242" s="86" t="str">
        <f>IFERROR(INDEX(Cursos!$A$1:$B$47,MATCH(B242,Cursos!$B$1:$B$47,0),1),"")</f>
        <v/>
      </c>
      <c r="B242" s="86"/>
      <c r="D242" s="86"/>
    </row>
    <row r="243" spans="1:4">
      <c r="A243" s="86" t="str">
        <f>IFERROR(INDEX(Cursos!$A$1:$B$47,MATCH(B243,Cursos!$B$1:$B$47,0),1),"")</f>
        <v/>
      </c>
      <c r="B243" s="86"/>
      <c r="D243" s="86"/>
    </row>
    <row r="244" spans="1:4">
      <c r="A244" s="86" t="str">
        <f>IFERROR(INDEX(Cursos!$A$1:$B$47,MATCH(B244,Cursos!$B$1:$B$47,0),1),"")</f>
        <v/>
      </c>
      <c r="B244" s="86"/>
      <c r="D244" s="86"/>
    </row>
    <row r="245" spans="1:4">
      <c r="A245" s="86" t="str">
        <f>IFERROR(INDEX(Cursos!$A$1:$B$47,MATCH(B245,Cursos!$B$1:$B$47,0),1),"")</f>
        <v/>
      </c>
      <c r="B245" s="86"/>
      <c r="D245" s="86"/>
    </row>
    <row r="246" spans="1:4">
      <c r="A246" s="86" t="str">
        <f>IFERROR(INDEX(Cursos!$A$1:$B$47,MATCH(B246,Cursos!$B$1:$B$47,0),1),"")</f>
        <v/>
      </c>
      <c r="B246" s="86"/>
      <c r="D246" s="86"/>
    </row>
    <row r="247" spans="1:4">
      <c r="A247" s="86" t="str">
        <f>IFERROR(INDEX(Cursos!$A$1:$B$47,MATCH(B247,Cursos!$B$1:$B$47,0),1),"")</f>
        <v/>
      </c>
      <c r="B247" s="86"/>
      <c r="D247" s="86"/>
    </row>
    <row r="248" spans="1:4">
      <c r="A248" s="86" t="str">
        <f>IFERROR(INDEX(Cursos!$A$1:$B$47,MATCH(B248,Cursos!$B$1:$B$47,0),1),"")</f>
        <v/>
      </c>
      <c r="B248" s="86"/>
      <c r="D248" s="86"/>
    </row>
    <row r="249" spans="1:4">
      <c r="A249" s="86" t="str">
        <f>IFERROR(INDEX(Cursos!$A$1:$B$47,MATCH(B249,Cursos!$B$1:$B$47,0),1),"")</f>
        <v/>
      </c>
      <c r="B249" s="86"/>
      <c r="D249" s="86"/>
    </row>
    <row r="250" spans="1:4" s="260" customFormat="1">
      <c r="A250" s="259" t="str">
        <f>IFERROR(INDEX(Cursos!$A$1:$B$47,MATCH(B250,Cursos!$B$1:$B$47,0),1),"")</f>
        <v/>
      </c>
      <c r="B250" s="259"/>
      <c r="C250" s="261"/>
      <c r="D250" s="259"/>
    </row>
    <row r="251" spans="1:4">
      <c r="D251" s="86"/>
    </row>
    <row r="252" spans="1:4">
      <c r="D252" s="86"/>
    </row>
    <row r="253" spans="1:4">
      <c r="D253" s="86"/>
    </row>
    <row r="254" spans="1:4">
      <c r="D254" s="86"/>
    </row>
    <row r="255" spans="1:4">
      <c r="D255" s="86"/>
    </row>
    <row r="256" spans="1:4">
      <c r="D256" s="86"/>
    </row>
    <row r="257" spans="4:4">
      <c r="D257" s="86"/>
    </row>
    <row r="258" spans="4:4">
      <c r="D258" s="86"/>
    </row>
    <row r="259" spans="4:4">
      <c r="D259" s="86"/>
    </row>
    <row r="260" spans="4:4">
      <c r="D260" s="86"/>
    </row>
    <row r="261" spans="4:4">
      <c r="D261" s="86"/>
    </row>
    <row r="262" spans="4:4">
      <c r="D262" s="86"/>
    </row>
    <row r="263" spans="4:4">
      <c r="D263" s="86"/>
    </row>
    <row r="264" spans="4:4">
      <c r="D264" s="86"/>
    </row>
    <row r="265" spans="4:4">
      <c r="D265" s="86"/>
    </row>
    <row r="266" spans="4:4">
      <c r="D266" s="86"/>
    </row>
    <row r="267" spans="4:4">
      <c r="D267" s="86"/>
    </row>
    <row r="268" spans="4:4">
      <c r="D268" s="86"/>
    </row>
    <row r="269" spans="4:4">
      <c r="D269" s="86"/>
    </row>
    <row r="270" spans="4:4">
      <c r="D270" s="86"/>
    </row>
    <row r="271" spans="4:4">
      <c r="D271" s="86"/>
    </row>
    <row r="272" spans="4:4">
      <c r="D272" s="86"/>
    </row>
    <row r="273" spans="4:4">
      <c r="D273" s="86"/>
    </row>
    <row r="274" spans="4:4">
      <c r="D274" s="86"/>
    </row>
    <row r="275" spans="4:4">
      <c r="D275" s="86"/>
    </row>
    <row r="276" spans="4:4">
      <c r="D276" s="86"/>
    </row>
    <row r="277" spans="4:4">
      <c r="D277" s="86"/>
    </row>
    <row r="278" spans="4:4">
      <c r="D278" s="86"/>
    </row>
    <row r="279" spans="4:4">
      <c r="D279" s="86"/>
    </row>
    <row r="280" spans="4:4">
      <c r="D280" s="86"/>
    </row>
    <row r="281" spans="4:4">
      <c r="D281" s="86"/>
    </row>
    <row r="282" spans="4:4">
      <c r="D282" s="86"/>
    </row>
    <row r="283" spans="4:4">
      <c r="D283" s="86"/>
    </row>
    <row r="284" spans="4:4">
      <c r="D284" s="86"/>
    </row>
    <row r="285" spans="4:4">
      <c r="D285" s="86"/>
    </row>
    <row r="286" spans="4:4">
      <c r="D286" s="86"/>
    </row>
    <row r="287" spans="4:4">
      <c r="D287" s="86"/>
    </row>
    <row r="288" spans="4:4">
      <c r="D288" s="86"/>
    </row>
    <row r="289" spans="4:4">
      <c r="D289" s="86"/>
    </row>
    <row r="290" spans="4:4">
      <c r="D290" s="86"/>
    </row>
    <row r="291" spans="4:4">
      <c r="D291" s="86"/>
    </row>
    <row r="292" spans="4:4">
      <c r="D292" s="86"/>
    </row>
    <row r="293" spans="4:4">
      <c r="D293" s="86"/>
    </row>
    <row r="294" spans="4:4">
      <c r="D294" s="86"/>
    </row>
    <row r="295" spans="4:4">
      <c r="D295" s="86"/>
    </row>
    <row r="296" spans="4:4">
      <c r="D296" s="86"/>
    </row>
    <row r="297" spans="4:4">
      <c r="D297" s="86"/>
    </row>
    <row r="298" spans="4:4">
      <c r="D298" s="86"/>
    </row>
    <row r="299" spans="4:4">
      <c r="D299" s="86"/>
    </row>
    <row r="300" spans="4:4">
      <c r="D300" s="86"/>
    </row>
    <row r="301" spans="4:4">
      <c r="D301" s="86"/>
    </row>
    <row r="302" spans="4:4">
      <c r="D302" s="86"/>
    </row>
    <row r="303" spans="4:4">
      <c r="D303" s="86"/>
    </row>
    <row r="304" spans="4:4">
      <c r="D304" s="86"/>
    </row>
    <row r="305" spans="4:4">
      <c r="D305" s="86"/>
    </row>
    <row r="306" spans="4:4">
      <c r="D306" s="86"/>
    </row>
    <row r="307" spans="4:4">
      <c r="D307" s="86"/>
    </row>
    <row r="308" spans="4:4">
      <c r="D308" s="86"/>
    </row>
    <row r="309" spans="4:4">
      <c r="D309" s="86"/>
    </row>
    <row r="310" spans="4:4">
      <c r="D310" s="86"/>
    </row>
    <row r="311" spans="4:4">
      <c r="D311" s="86"/>
    </row>
    <row r="312" spans="4:4">
      <c r="D312" s="86"/>
    </row>
    <row r="313" spans="4:4">
      <c r="D313" s="86"/>
    </row>
    <row r="314" spans="4:4">
      <c r="D314" s="86"/>
    </row>
    <row r="315" spans="4:4">
      <c r="D315" s="86"/>
    </row>
    <row r="316" spans="4:4">
      <c r="D316" s="86"/>
    </row>
    <row r="317" spans="4:4">
      <c r="D317" s="86"/>
    </row>
    <row r="318" spans="4:4">
      <c r="D318" s="86"/>
    </row>
    <row r="319" spans="4:4">
      <c r="D319" s="86"/>
    </row>
    <row r="320" spans="4:4">
      <c r="D320" s="86"/>
    </row>
    <row r="321" spans="4:4">
      <c r="D321" s="86"/>
    </row>
    <row r="322" spans="4:4">
      <c r="D322" s="86"/>
    </row>
    <row r="323" spans="4:4">
      <c r="D323" s="86"/>
    </row>
    <row r="324" spans="4:4">
      <c r="D324" s="86"/>
    </row>
    <row r="325" spans="4:4">
      <c r="D325" s="86"/>
    </row>
    <row r="326" spans="4:4">
      <c r="D326" s="86"/>
    </row>
    <row r="327" spans="4:4">
      <c r="D327" s="86"/>
    </row>
    <row r="328" spans="4:4">
      <c r="D328" s="86"/>
    </row>
    <row r="329" spans="4:4">
      <c r="D329" s="86"/>
    </row>
    <row r="330" spans="4:4">
      <c r="D330" s="86"/>
    </row>
    <row r="331" spans="4:4">
      <c r="D331" s="86"/>
    </row>
    <row r="332" spans="4:4">
      <c r="D332" s="86"/>
    </row>
    <row r="333" spans="4:4">
      <c r="D333" s="86"/>
    </row>
    <row r="334" spans="4:4">
      <c r="D334" s="86"/>
    </row>
    <row r="335" spans="4:4">
      <c r="D335" s="86"/>
    </row>
    <row r="336" spans="4:4">
      <c r="D336" s="86"/>
    </row>
    <row r="337" spans="4:4">
      <c r="D337" s="86"/>
    </row>
    <row r="338" spans="4:4">
      <c r="D338" s="86"/>
    </row>
    <row r="339" spans="4:4">
      <c r="D339" s="86"/>
    </row>
    <row r="340" spans="4:4">
      <c r="D340" s="86"/>
    </row>
    <row r="341" spans="4:4">
      <c r="D341" s="86"/>
    </row>
    <row r="342" spans="4:4">
      <c r="D342" s="86"/>
    </row>
    <row r="343" spans="4:4">
      <c r="D343" s="86"/>
    </row>
    <row r="344" spans="4:4">
      <c r="D344" s="86"/>
    </row>
    <row r="345" spans="4:4">
      <c r="D345" s="86"/>
    </row>
    <row r="346" spans="4:4">
      <c r="D346" s="86"/>
    </row>
    <row r="347" spans="4:4">
      <c r="D347" s="86"/>
    </row>
    <row r="348" spans="4:4">
      <c r="D348" s="86"/>
    </row>
    <row r="349" spans="4:4">
      <c r="D349" s="86"/>
    </row>
    <row r="350" spans="4:4">
      <c r="D350" s="86"/>
    </row>
    <row r="351" spans="4:4">
      <c r="D351" s="86"/>
    </row>
    <row r="352" spans="4:4">
      <c r="D352" s="86"/>
    </row>
    <row r="353" spans="4:4">
      <c r="D353" s="86"/>
    </row>
    <row r="354" spans="4:4">
      <c r="D354" s="86"/>
    </row>
    <row r="355" spans="4:4">
      <c r="D355" s="86"/>
    </row>
    <row r="356" spans="4:4">
      <c r="D356" s="86"/>
    </row>
    <row r="357" spans="4:4">
      <c r="D357" s="86"/>
    </row>
    <row r="358" spans="4:4">
      <c r="D358" s="86"/>
    </row>
    <row r="359" spans="4:4">
      <c r="D359" s="86"/>
    </row>
    <row r="360" spans="4:4">
      <c r="D360" s="86"/>
    </row>
    <row r="361" spans="4:4">
      <c r="D361" s="86"/>
    </row>
    <row r="362" spans="4:4">
      <c r="D362" s="86"/>
    </row>
    <row r="363" spans="4:4">
      <c r="D363" s="86"/>
    </row>
    <row r="364" spans="4:4">
      <c r="D364" s="86"/>
    </row>
    <row r="365" spans="4:4">
      <c r="D365" s="86"/>
    </row>
    <row r="366" spans="4:4">
      <c r="D366" s="86"/>
    </row>
    <row r="367" spans="4:4">
      <c r="D367" s="86"/>
    </row>
    <row r="368" spans="4:4">
      <c r="D368" s="86"/>
    </row>
    <row r="369" spans="4:4">
      <c r="D369" s="86"/>
    </row>
    <row r="370" spans="4:4">
      <c r="D370" s="86"/>
    </row>
    <row r="371" spans="4:4">
      <c r="D371" s="86"/>
    </row>
    <row r="372" spans="4:4">
      <c r="D372" s="86"/>
    </row>
    <row r="373" spans="4:4">
      <c r="D373" s="86"/>
    </row>
    <row r="374" spans="4:4">
      <c r="D374" s="86"/>
    </row>
    <row r="375" spans="4:4">
      <c r="D375" s="86"/>
    </row>
    <row r="376" spans="4:4">
      <c r="D376" s="86"/>
    </row>
    <row r="377" spans="4:4">
      <c r="D377" s="86"/>
    </row>
    <row r="378" spans="4:4">
      <c r="D378" s="86"/>
    </row>
    <row r="379" spans="4:4">
      <c r="D379" s="86"/>
    </row>
    <row r="380" spans="4:4">
      <c r="D380" s="86"/>
    </row>
    <row r="381" spans="4:4">
      <c r="D381" s="86"/>
    </row>
    <row r="382" spans="4:4">
      <c r="D382" s="86"/>
    </row>
    <row r="383" spans="4:4">
      <c r="D383" s="86"/>
    </row>
    <row r="384" spans="4:4">
      <c r="D384" s="86"/>
    </row>
    <row r="385" spans="4:4">
      <c r="D385" s="86"/>
    </row>
    <row r="386" spans="4:4">
      <c r="D386" s="86"/>
    </row>
    <row r="387" spans="4:4">
      <c r="D387" s="86"/>
    </row>
    <row r="388" spans="4:4">
      <c r="D388" s="86"/>
    </row>
    <row r="389" spans="4:4">
      <c r="D389" s="86"/>
    </row>
    <row r="390" spans="4:4">
      <c r="D390" s="86"/>
    </row>
    <row r="391" spans="4:4">
      <c r="D391" s="86"/>
    </row>
    <row r="392" spans="4:4">
      <c r="D392" s="86"/>
    </row>
    <row r="393" spans="4:4">
      <c r="D393" s="86"/>
    </row>
    <row r="394" spans="4:4">
      <c r="D394" s="86"/>
    </row>
    <row r="395" spans="4:4">
      <c r="D395" s="86"/>
    </row>
    <row r="396" spans="4:4">
      <c r="D396" s="86"/>
    </row>
    <row r="397" spans="4:4">
      <c r="D397" s="86"/>
    </row>
    <row r="398" spans="4:4">
      <c r="D398" s="86"/>
    </row>
    <row r="399" spans="4:4">
      <c r="D399" s="86"/>
    </row>
    <row r="400" spans="4:4">
      <c r="D400" s="86"/>
    </row>
    <row r="401" spans="4:4">
      <c r="D401" s="86"/>
    </row>
    <row r="402" spans="4:4">
      <c r="D402" s="86"/>
    </row>
    <row r="403" spans="4:4">
      <c r="D403" s="86"/>
    </row>
    <row r="404" spans="4:4">
      <c r="D404" s="86"/>
    </row>
    <row r="405" spans="4:4">
      <c r="D405" s="86"/>
    </row>
    <row r="406" spans="4:4">
      <c r="D406" s="86"/>
    </row>
    <row r="407" spans="4:4">
      <c r="D407" s="86"/>
    </row>
    <row r="408" spans="4:4">
      <c r="D408" s="86"/>
    </row>
    <row r="409" spans="4:4">
      <c r="D409" s="86"/>
    </row>
    <row r="410" spans="4:4">
      <c r="D410" s="86"/>
    </row>
    <row r="411" spans="4:4">
      <c r="D411" s="86"/>
    </row>
    <row r="412" spans="4:4">
      <c r="D412" s="86"/>
    </row>
    <row r="413" spans="4:4">
      <c r="D413" s="86"/>
    </row>
    <row r="414" spans="4:4">
      <c r="D414" s="86"/>
    </row>
    <row r="415" spans="4:4">
      <c r="D415" s="86"/>
    </row>
    <row r="416" spans="4:4">
      <c r="D416" s="86"/>
    </row>
    <row r="417" spans="4:4">
      <c r="D417" s="86"/>
    </row>
    <row r="418" spans="4:4">
      <c r="D418" s="86"/>
    </row>
    <row r="419" spans="4:4">
      <c r="D419" s="86"/>
    </row>
    <row r="420" spans="4:4">
      <c r="D420" s="86"/>
    </row>
    <row r="421" spans="4:4">
      <c r="D421" s="86"/>
    </row>
    <row r="422" spans="4:4">
      <c r="D422" s="86"/>
    </row>
    <row r="423" spans="4:4">
      <c r="D423" s="86"/>
    </row>
    <row r="424" spans="4:4">
      <c r="D424" s="86"/>
    </row>
    <row r="425" spans="4:4">
      <c r="D425" s="86"/>
    </row>
    <row r="426" spans="4:4">
      <c r="D426" s="86"/>
    </row>
    <row r="427" spans="4:4">
      <c r="D427" s="86"/>
    </row>
    <row r="428" spans="4:4">
      <c r="D428" s="86"/>
    </row>
    <row r="429" spans="4:4">
      <c r="D429" s="86"/>
    </row>
    <row r="430" spans="4:4">
      <c r="D430" s="86"/>
    </row>
    <row r="431" spans="4:4">
      <c r="D431" s="86"/>
    </row>
    <row r="432" spans="4:4">
      <c r="D432" s="86"/>
    </row>
    <row r="433" spans="4:4">
      <c r="D433" s="86"/>
    </row>
    <row r="434" spans="4:4">
      <c r="D434" s="86"/>
    </row>
    <row r="435" spans="4:4">
      <c r="D435" s="86"/>
    </row>
    <row r="436" spans="4:4">
      <c r="D436" s="86"/>
    </row>
    <row r="437" spans="4:4">
      <c r="D437" s="86"/>
    </row>
    <row r="438" spans="4:4">
      <c r="D438" s="86"/>
    </row>
    <row r="439" spans="4:4">
      <c r="D439" s="86"/>
    </row>
    <row r="440" spans="4:4">
      <c r="D440" s="86"/>
    </row>
    <row r="441" spans="4:4">
      <c r="D441" s="86"/>
    </row>
    <row r="442" spans="4:4">
      <c r="D442" s="86"/>
    </row>
    <row r="443" spans="4:4">
      <c r="D443" s="86"/>
    </row>
    <row r="444" spans="4:4">
      <c r="D444" s="86"/>
    </row>
    <row r="445" spans="4:4">
      <c r="D445" s="86"/>
    </row>
    <row r="446" spans="4:4">
      <c r="D446" s="86"/>
    </row>
    <row r="447" spans="4:4">
      <c r="D447" s="86"/>
    </row>
    <row r="448" spans="4:4">
      <c r="D448" s="86"/>
    </row>
    <row r="449" spans="4:4">
      <c r="D449" s="86"/>
    </row>
    <row r="450" spans="4:4">
      <c r="D450" s="86"/>
    </row>
    <row r="451" spans="4:4">
      <c r="D451" s="86"/>
    </row>
    <row r="452" spans="4:4">
      <c r="D452" s="86"/>
    </row>
    <row r="453" spans="4:4">
      <c r="D453" s="86"/>
    </row>
    <row r="454" spans="4:4">
      <c r="D454" s="86"/>
    </row>
    <row r="455" spans="4:4">
      <c r="D455" s="86"/>
    </row>
    <row r="456" spans="4:4">
      <c r="D456" s="86"/>
    </row>
    <row r="457" spans="4:4">
      <c r="D457" s="86"/>
    </row>
    <row r="458" spans="4:4">
      <c r="D458" s="86"/>
    </row>
    <row r="459" spans="4:4">
      <c r="D459" s="86"/>
    </row>
    <row r="460" spans="4:4">
      <c r="D460" s="86"/>
    </row>
    <row r="461" spans="4:4">
      <c r="D461" s="86"/>
    </row>
    <row r="462" spans="4:4">
      <c r="D462" s="86"/>
    </row>
    <row r="463" spans="4:4">
      <c r="D463" s="86"/>
    </row>
    <row r="464" spans="4:4">
      <c r="D464" s="86"/>
    </row>
    <row r="465" spans="4:4">
      <c r="D465" s="86"/>
    </row>
    <row r="466" spans="4:4">
      <c r="D466" s="86"/>
    </row>
    <row r="467" spans="4:4">
      <c r="D467" s="86"/>
    </row>
    <row r="468" spans="4:4">
      <c r="D468" s="86"/>
    </row>
    <row r="469" spans="4:4">
      <c r="D469" s="86"/>
    </row>
    <row r="470" spans="4:4">
      <c r="D470" s="86"/>
    </row>
    <row r="471" spans="4:4">
      <c r="D471" s="86"/>
    </row>
    <row r="472" spans="4:4">
      <c r="D472" s="86"/>
    </row>
    <row r="473" spans="4:4">
      <c r="D473" s="86"/>
    </row>
    <row r="474" spans="4:4">
      <c r="D474" s="86"/>
    </row>
    <row r="475" spans="4:4">
      <c r="D475" s="86"/>
    </row>
    <row r="476" spans="4:4">
      <c r="D476" s="86"/>
    </row>
    <row r="477" spans="4:4">
      <c r="D477" s="86"/>
    </row>
    <row r="478" spans="4:4">
      <c r="D478" s="86"/>
    </row>
    <row r="479" spans="4:4">
      <c r="D479" s="86"/>
    </row>
    <row r="480" spans="4:4">
      <c r="D480" s="86"/>
    </row>
    <row r="481" spans="4:4">
      <c r="D481" s="86"/>
    </row>
    <row r="482" spans="4:4">
      <c r="D482" s="86"/>
    </row>
    <row r="483" spans="4:4">
      <c r="D483" s="86"/>
    </row>
    <row r="484" spans="4:4">
      <c r="D484" s="86"/>
    </row>
    <row r="485" spans="4:4">
      <c r="D485" s="86"/>
    </row>
    <row r="486" spans="4:4">
      <c r="D486" s="86"/>
    </row>
    <row r="487" spans="4:4">
      <c r="D487" s="86"/>
    </row>
    <row r="488" spans="4:4">
      <c r="D488" s="86"/>
    </row>
    <row r="489" spans="4:4">
      <c r="D489" s="86"/>
    </row>
    <row r="490" spans="4:4">
      <c r="D490" s="86"/>
    </row>
    <row r="491" spans="4:4">
      <c r="D491" s="86"/>
    </row>
    <row r="492" spans="4:4">
      <c r="D492" s="86"/>
    </row>
    <row r="493" spans="4:4">
      <c r="D493" s="86"/>
    </row>
    <row r="494" spans="4:4">
      <c r="D494" s="86"/>
    </row>
    <row r="495" spans="4:4">
      <c r="D495" s="86"/>
    </row>
    <row r="496" spans="4:4">
      <c r="D496" s="86"/>
    </row>
    <row r="497" spans="4:4">
      <c r="D497" s="86"/>
    </row>
    <row r="498" spans="4:4">
      <c r="D498" s="86"/>
    </row>
    <row r="499" spans="4:4">
      <c r="D499" s="86"/>
    </row>
    <row r="500" spans="4:4">
      <c r="D500" s="86"/>
    </row>
    <row r="501" spans="4:4">
      <c r="D501" s="86"/>
    </row>
    <row r="502" spans="4:4">
      <c r="D502" s="86"/>
    </row>
    <row r="503" spans="4:4">
      <c r="D503" s="86"/>
    </row>
    <row r="504" spans="4:4">
      <c r="D504" s="86"/>
    </row>
    <row r="505" spans="4:4">
      <c r="D505" s="86"/>
    </row>
    <row r="506" spans="4:4">
      <c r="D506" s="86"/>
    </row>
    <row r="507" spans="4:4">
      <c r="D507" s="86"/>
    </row>
    <row r="508" spans="4:4">
      <c r="D508" s="86"/>
    </row>
    <row r="509" spans="4:4">
      <c r="D509" s="86"/>
    </row>
  </sheetData>
  <autoFilter ref="A1:D53"/>
  <sortState ref="A2:D10">
    <sortCondition ref="C5"/>
  </sortState>
  <dataValidations count="2">
    <dataValidation type="list" allowBlank="1" showInputMessage="1" showErrorMessage="1" sqref="D2:D509">
      <formula1>"Para entregar, falta Resolución, falta Firma,falta Imprimir"</formula1>
    </dataValidation>
    <dataValidation type="list" allowBlank="1" showInputMessage="1" showErrorMessage="1" sqref="B2:B22 B41 B43:B44 B46 B53:B250">
      <formula1>l_cursos</formula1>
    </dataValidation>
  </dataValidations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3"/>
  <sheetViews>
    <sheetView workbookViewId="0">
      <selection activeCell="D15" sqref="D15"/>
    </sheetView>
  </sheetViews>
  <sheetFormatPr baseColWidth="10" defaultColWidth="11" defaultRowHeight="15"/>
  <cols>
    <col min="1" max="1" width="13.85546875" customWidth="1"/>
    <col min="5" max="5" width="19.140625" customWidth="1"/>
  </cols>
  <sheetData>
    <row r="1" spans="1:6">
      <c r="A1" s="8" t="s">
        <v>8616</v>
      </c>
      <c r="B1" s="8" t="s">
        <v>0</v>
      </c>
      <c r="C1" s="8" t="s">
        <v>6844</v>
      </c>
      <c r="D1" s="8" t="s">
        <v>6845</v>
      </c>
      <c r="E1" s="8" t="s">
        <v>12</v>
      </c>
      <c r="F1" s="8" t="s">
        <v>8617</v>
      </c>
    </row>
    <row r="2" spans="1:6">
      <c r="A2">
        <v>1</v>
      </c>
      <c r="B2">
        <v>23141145</v>
      </c>
      <c r="C2" t="s">
        <v>8618</v>
      </c>
      <c r="D2" t="s">
        <v>8619</v>
      </c>
      <c r="E2" s="9" t="s">
        <v>5031</v>
      </c>
      <c r="F2">
        <v>3814744362</v>
      </c>
    </row>
    <row r="3" spans="1:6">
      <c r="A3">
        <v>2</v>
      </c>
      <c r="C3" t="s">
        <v>8354</v>
      </c>
      <c r="D3" t="s">
        <v>7521</v>
      </c>
    </row>
  </sheetData>
  <hyperlinks>
    <hyperlink ref="E2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44"/>
  <sheetViews>
    <sheetView topLeftCell="C1" workbookViewId="0">
      <selection activeCell="K13" sqref="K13"/>
    </sheetView>
  </sheetViews>
  <sheetFormatPr baseColWidth="10" defaultColWidth="11.42578125" defaultRowHeight="15"/>
  <cols>
    <col min="1" max="1" width="6.5703125" style="1" customWidth="1"/>
    <col min="2" max="2" width="23.28515625" style="1" customWidth="1"/>
    <col min="3" max="3" width="2.5703125" style="86" customWidth="1"/>
    <col min="4" max="4" width="9.42578125" style="1" customWidth="1"/>
    <col min="5" max="5" width="19.7109375" style="1" customWidth="1"/>
    <col min="6" max="6" width="1.85546875" style="86" customWidth="1"/>
    <col min="7" max="7" width="7.28515625" style="1" customWidth="1"/>
    <col min="8" max="8" width="12.7109375" style="1" customWidth="1"/>
    <col min="9" max="9" width="35.42578125" style="1" customWidth="1"/>
    <col min="10" max="10" width="2.28515625" style="86" customWidth="1"/>
    <col min="11" max="11" width="9.5703125" style="1" customWidth="1"/>
    <col min="12" max="12" width="15.42578125" style="1" customWidth="1"/>
    <col min="13" max="13" width="7" style="86" customWidth="1"/>
    <col min="14" max="16384" width="11.42578125" style="1"/>
  </cols>
  <sheetData>
    <row r="1" spans="1:12">
      <c r="A1" s="123" t="s">
        <v>8620</v>
      </c>
      <c r="B1" s="124" t="s">
        <v>8621</v>
      </c>
      <c r="D1" s="129" t="s">
        <v>8622</v>
      </c>
      <c r="E1" s="130" t="s">
        <v>10</v>
      </c>
      <c r="G1" s="123" t="s">
        <v>8623</v>
      </c>
      <c r="H1" s="131" t="s">
        <v>6848</v>
      </c>
      <c r="I1" s="124" t="s">
        <v>8624</v>
      </c>
      <c r="K1" s="123" t="s">
        <v>8625</v>
      </c>
      <c r="L1" s="124" t="s">
        <v>8626</v>
      </c>
    </row>
    <row r="2" spans="1:12">
      <c r="A2" s="125"/>
      <c r="B2" s="126" t="s">
        <v>70</v>
      </c>
      <c r="D2" s="125">
        <v>1</v>
      </c>
      <c r="E2" s="126" t="s">
        <v>81</v>
      </c>
      <c r="G2" s="125">
        <v>1</v>
      </c>
      <c r="H2" s="132" t="s">
        <v>7015</v>
      </c>
      <c r="I2" s="133" t="s">
        <v>8627</v>
      </c>
      <c r="K2" s="125">
        <v>1</v>
      </c>
      <c r="L2" s="141" t="s">
        <v>8628</v>
      </c>
    </row>
    <row r="3" spans="1:12">
      <c r="A3" s="125"/>
      <c r="B3" s="126" t="s">
        <v>86</v>
      </c>
      <c r="D3" s="125">
        <v>2</v>
      </c>
      <c r="E3" s="126" t="s">
        <v>390</v>
      </c>
      <c r="G3" s="125">
        <v>2</v>
      </c>
      <c r="H3" s="134" t="s">
        <v>6853</v>
      </c>
      <c r="I3" s="135" t="s">
        <v>8629</v>
      </c>
      <c r="K3" s="125">
        <v>2</v>
      </c>
      <c r="L3" s="141" t="s">
        <v>8630</v>
      </c>
    </row>
    <row r="4" spans="1:12">
      <c r="A4" s="125"/>
      <c r="B4" s="126" t="s">
        <v>78</v>
      </c>
      <c r="D4" s="125">
        <v>3</v>
      </c>
      <c r="E4" s="126" t="s">
        <v>112</v>
      </c>
      <c r="G4" s="125">
        <v>3</v>
      </c>
      <c r="H4" s="136" t="s">
        <v>9302</v>
      </c>
      <c r="I4" s="135" t="s">
        <v>8631</v>
      </c>
      <c r="K4" s="125">
        <v>3</v>
      </c>
      <c r="L4" s="141" t="s">
        <v>8632</v>
      </c>
    </row>
    <row r="5" spans="1:12">
      <c r="A5" s="125"/>
      <c r="B5" s="126" t="s">
        <v>352</v>
      </c>
      <c r="D5" s="125">
        <v>4</v>
      </c>
      <c r="E5" s="126" t="s">
        <v>159</v>
      </c>
      <c r="G5" s="125">
        <v>4</v>
      </c>
      <c r="H5" s="137" t="s">
        <v>7024</v>
      </c>
      <c r="I5" s="133" t="s">
        <v>8633</v>
      </c>
      <c r="K5" s="125">
        <v>4</v>
      </c>
      <c r="L5" s="133" t="s">
        <v>8634</v>
      </c>
    </row>
    <row r="6" spans="1:12" ht="15.75" thickBot="1">
      <c r="A6" s="125"/>
      <c r="B6" s="126" t="s">
        <v>141</v>
      </c>
      <c r="D6" s="125">
        <v>5</v>
      </c>
      <c r="E6" s="126" t="s">
        <v>57</v>
      </c>
      <c r="G6" s="125">
        <v>5</v>
      </c>
      <c r="H6" s="137" t="s">
        <v>7027</v>
      </c>
      <c r="I6" s="138" t="s">
        <v>8635</v>
      </c>
      <c r="K6" s="127">
        <v>5</v>
      </c>
      <c r="L6" s="142" t="s">
        <v>8636</v>
      </c>
    </row>
    <row r="7" spans="1:12">
      <c r="A7" s="125"/>
      <c r="B7" s="126" t="s">
        <v>37</v>
      </c>
      <c r="D7" s="125">
        <v>6</v>
      </c>
      <c r="E7" s="126" t="s">
        <v>8637</v>
      </c>
      <c r="G7" s="125">
        <v>6</v>
      </c>
      <c r="H7" s="132" t="s">
        <v>8585</v>
      </c>
      <c r="I7" s="133" t="s">
        <v>8638</v>
      </c>
    </row>
    <row r="8" spans="1:12" ht="15.75" thickBot="1">
      <c r="A8" s="125"/>
      <c r="B8" s="126" t="s">
        <v>54</v>
      </c>
      <c r="D8" s="127">
        <v>7</v>
      </c>
      <c r="E8" s="128" t="s">
        <v>1206</v>
      </c>
      <c r="G8" s="127">
        <v>7</v>
      </c>
      <c r="H8" s="139" t="s">
        <v>9304</v>
      </c>
      <c r="I8" s="140" t="s">
        <v>9305</v>
      </c>
    </row>
    <row r="9" spans="1:12" ht="15.75" thickBot="1">
      <c r="A9" s="127"/>
      <c r="B9" s="128" t="s">
        <v>8639</v>
      </c>
    </row>
    <row r="10" spans="1:12">
      <c r="E10" s="144" t="s">
        <v>8642</v>
      </c>
      <c r="G10" s="123" t="s">
        <v>8640</v>
      </c>
      <c r="H10" s="124" t="s">
        <v>8641</v>
      </c>
      <c r="I10" s="5"/>
    </row>
    <row r="11" spans="1:12">
      <c r="E11" s="145">
        <v>2018</v>
      </c>
      <c r="G11" s="125">
        <v>1</v>
      </c>
      <c r="H11" s="133" t="s">
        <v>390</v>
      </c>
      <c r="I11" s="5"/>
    </row>
    <row r="12" spans="1:12">
      <c r="D12" s="5"/>
      <c r="E12" s="145">
        <v>2019</v>
      </c>
      <c r="G12" s="125">
        <v>2</v>
      </c>
      <c r="H12" s="133" t="s">
        <v>8643</v>
      </c>
      <c r="I12" s="5"/>
    </row>
    <row r="13" spans="1:12" ht="15.75" thickBot="1">
      <c r="E13" s="145">
        <v>2020</v>
      </c>
      <c r="G13" s="127">
        <v>3</v>
      </c>
      <c r="H13" s="143" t="s">
        <v>8644</v>
      </c>
      <c r="I13" s="6"/>
    </row>
    <row r="14" spans="1:12">
      <c r="E14" s="145">
        <v>2021</v>
      </c>
    </row>
    <row r="15" spans="1:12">
      <c r="E15" s="145">
        <v>2022</v>
      </c>
      <c r="H15" s="7"/>
      <c r="I15" s="7"/>
    </row>
    <row r="16" spans="1:12">
      <c r="E16" s="145">
        <v>2023</v>
      </c>
    </row>
    <row r="17" spans="5:9" ht="15.75" thickBot="1">
      <c r="E17" s="146">
        <v>2024</v>
      </c>
      <c r="H17" s="7"/>
      <c r="I17" s="7"/>
    </row>
    <row r="44" spans="1:2">
      <c r="A44" s="3"/>
      <c r="B44" s="3"/>
    </row>
  </sheetData>
  <autoFilter ref="A1:B9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106"/>
  <sheetViews>
    <sheetView topLeftCell="A10" zoomScale="115" zoomScaleNormal="115" workbookViewId="0">
      <selection activeCell="B10" sqref="B10"/>
    </sheetView>
  </sheetViews>
  <sheetFormatPr baseColWidth="10" defaultColWidth="11" defaultRowHeight="15"/>
  <cols>
    <col min="1" max="1" width="8.42578125" style="1" customWidth="1"/>
    <col min="2" max="2" width="42.140625" style="1" customWidth="1"/>
  </cols>
  <sheetData>
    <row r="1" spans="1:2">
      <c r="A1" s="2" t="s">
        <v>8645</v>
      </c>
      <c r="B1" s="2" t="s">
        <v>6542</v>
      </c>
    </row>
    <row r="2" spans="1:2">
      <c r="A2" s="150">
        <v>1</v>
      </c>
      <c r="B2" t="s">
        <v>4815</v>
      </c>
    </row>
    <row r="3" spans="1:2">
      <c r="A3" s="150">
        <v>2</v>
      </c>
      <c r="B3" t="s">
        <v>5176</v>
      </c>
    </row>
    <row r="4" spans="1:2">
      <c r="A4" s="150">
        <v>3</v>
      </c>
      <c r="B4" t="s">
        <v>5863</v>
      </c>
    </row>
    <row r="5" spans="1:2">
      <c r="A5" s="150">
        <v>4</v>
      </c>
      <c r="B5" s="264" t="s">
        <v>10012</v>
      </c>
    </row>
    <row r="6" spans="1:2">
      <c r="A6" s="150">
        <v>5</v>
      </c>
      <c r="B6" t="s">
        <v>5826</v>
      </c>
    </row>
    <row r="7" spans="1:2">
      <c r="A7" s="150">
        <v>6</v>
      </c>
      <c r="B7" t="s">
        <v>5494</v>
      </c>
    </row>
    <row r="8" spans="1:2">
      <c r="A8" s="150">
        <v>7</v>
      </c>
      <c r="B8" t="s">
        <v>5304</v>
      </c>
    </row>
    <row r="9" spans="1:2">
      <c r="A9" s="150">
        <v>8</v>
      </c>
      <c r="B9" t="s">
        <v>6549</v>
      </c>
    </row>
    <row r="10" spans="1:2">
      <c r="A10" s="150">
        <v>9</v>
      </c>
      <c r="B10" t="s">
        <v>6530</v>
      </c>
    </row>
    <row r="11" spans="1:2">
      <c r="A11" s="150">
        <v>10</v>
      </c>
      <c r="B11" s="5" t="s">
        <v>5881</v>
      </c>
    </row>
    <row r="12" spans="1:2">
      <c r="A12" s="150">
        <v>11</v>
      </c>
      <c r="B12" t="s">
        <v>24</v>
      </c>
    </row>
    <row r="13" spans="1:2">
      <c r="A13" s="150">
        <v>12</v>
      </c>
      <c r="B13" t="s">
        <v>55</v>
      </c>
    </row>
    <row r="14" spans="1:2">
      <c r="A14" s="150">
        <v>13</v>
      </c>
      <c r="B14" t="s">
        <v>594</v>
      </c>
    </row>
    <row r="15" spans="1:2">
      <c r="A15" s="150">
        <v>14</v>
      </c>
      <c r="B15" t="s">
        <v>908</v>
      </c>
    </row>
    <row r="16" spans="1:2">
      <c r="A16" s="150">
        <v>15</v>
      </c>
      <c r="B16" t="s">
        <v>1657</v>
      </c>
    </row>
    <row r="17" spans="1:2">
      <c r="A17" s="150">
        <v>16</v>
      </c>
      <c r="B17" t="s">
        <v>1881</v>
      </c>
    </row>
    <row r="18" spans="1:2">
      <c r="A18" s="150">
        <v>17</v>
      </c>
      <c r="B18" t="s">
        <v>1497</v>
      </c>
    </row>
    <row r="19" spans="1:2">
      <c r="A19" s="150">
        <v>18</v>
      </c>
      <c r="B19" t="s">
        <v>2524</v>
      </c>
    </row>
    <row r="20" spans="1:2">
      <c r="A20" s="150">
        <v>19</v>
      </c>
      <c r="B20" t="s">
        <v>2926</v>
      </c>
    </row>
    <row r="21" spans="1:2">
      <c r="A21" s="150">
        <v>20</v>
      </c>
      <c r="B21" t="s">
        <v>3630</v>
      </c>
    </row>
    <row r="22" spans="1:2">
      <c r="A22" s="150">
        <v>21</v>
      </c>
      <c r="B22" t="s">
        <v>4245</v>
      </c>
    </row>
    <row r="23" spans="1:2">
      <c r="A23" s="150">
        <v>22</v>
      </c>
      <c r="B23" t="s">
        <v>4499</v>
      </c>
    </row>
    <row r="24" spans="1:2">
      <c r="A24" s="150">
        <v>23</v>
      </c>
      <c r="B24" t="s">
        <v>4708</v>
      </c>
    </row>
    <row r="25" spans="1:2">
      <c r="A25" s="150">
        <v>24</v>
      </c>
      <c r="B25" t="s">
        <v>3327</v>
      </c>
    </row>
    <row r="26" spans="1:2">
      <c r="A26" s="150">
        <v>25</v>
      </c>
      <c r="B26" t="s">
        <v>3427</v>
      </c>
    </row>
    <row r="27" spans="1:2">
      <c r="A27" s="150">
        <v>26</v>
      </c>
      <c r="B27" t="s">
        <v>3956</v>
      </c>
    </row>
    <row r="28" spans="1:2">
      <c r="A28" s="150">
        <v>27</v>
      </c>
      <c r="B28" t="s">
        <v>3166</v>
      </c>
    </row>
    <row r="29" spans="1:2">
      <c r="A29" s="150">
        <v>28</v>
      </c>
      <c r="B29" t="s">
        <v>3287</v>
      </c>
    </row>
    <row r="30" spans="1:2">
      <c r="A30" s="150">
        <v>29</v>
      </c>
      <c r="B30" t="s">
        <v>3555</v>
      </c>
    </row>
    <row r="31" spans="1:2">
      <c r="A31" s="150">
        <v>30</v>
      </c>
      <c r="B31" t="s">
        <v>8646</v>
      </c>
    </row>
    <row r="32" spans="1:2">
      <c r="A32" s="150">
        <v>31</v>
      </c>
      <c r="B32" t="s">
        <v>6624</v>
      </c>
    </row>
    <row r="33" spans="1:2">
      <c r="A33" s="150">
        <v>32</v>
      </c>
      <c r="B33" t="s">
        <v>8647</v>
      </c>
    </row>
    <row r="34" spans="1:2">
      <c r="A34" s="150">
        <v>33</v>
      </c>
      <c r="B34" s="5" t="s">
        <v>6608</v>
      </c>
    </row>
    <row r="35" spans="1:2">
      <c r="A35" s="150">
        <v>34</v>
      </c>
      <c r="B35" s="5" t="s">
        <v>889</v>
      </c>
    </row>
    <row r="36" spans="1:2">
      <c r="A36" s="150">
        <v>35</v>
      </c>
      <c r="B36" s="4" t="s">
        <v>589</v>
      </c>
    </row>
    <row r="37" spans="1:2">
      <c r="A37" s="150">
        <v>36</v>
      </c>
      <c r="B37" s="4" t="s">
        <v>804</v>
      </c>
    </row>
    <row r="38" spans="1:2">
      <c r="A38" s="150">
        <v>37</v>
      </c>
      <c r="B38" s="4" t="s">
        <v>808</v>
      </c>
    </row>
    <row r="39" spans="1:2">
      <c r="A39" s="150">
        <v>38</v>
      </c>
      <c r="B39" s="4" t="s">
        <v>848</v>
      </c>
    </row>
    <row r="40" spans="1:2">
      <c r="A40" s="150">
        <v>39</v>
      </c>
      <c r="B40" s="4" t="s">
        <v>8648</v>
      </c>
    </row>
    <row r="41" spans="1:2">
      <c r="A41" s="150">
        <v>40</v>
      </c>
      <c r="B41" s="4" t="s">
        <v>1444</v>
      </c>
    </row>
    <row r="42" spans="1:2">
      <c r="A42" s="150">
        <v>41</v>
      </c>
      <c r="B42" s="4" t="s">
        <v>1449</v>
      </c>
    </row>
    <row r="43" spans="1:2">
      <c r="A43" s="150">
        <v>42</v>
      </c>
      <c r="B43" s="4" t="s">
        <v>1460</v>
      </c>
    </row>
    <row r="44" spans="1:2">
      <c r="A44" s="150">
        <v>43</v>
      </c>
      <c r="B44" s="4" t="s">
        <v>1471</v>
      </c>
    </row>
    <row r="45" spans="1:2">
      <c r="A45" s="150">
        <v>44</v>
      </c>
      <c r="B45" s="4" t="s">
        <v>1479</v>
      </c>
    </row>
    <row r="46" spans="1:2">
      <c r="A46" s="150">
        <v>45</v>
      </c>
      <c r="B46" s="4" t="s">
        <v>1484</v>
      </c>
    </row>
    <row r="47" spans="1:2">
      <c r="A47" s="150">
        <v>46</v>
      </c>
      <c r="B47" s="4" t="s">
        <v>2427</v>
      </c>
    </row>
    <row r="48" spans="1:2">
      <c r="A48" s="150">
        <v>47</v>
      </c>
      <c r="B48" s="4" t="s">
        <v>2666</v>
      </c>
    </row>
    <row r="49" spans="1:2">
      <c r="A49" s="150">
        <v>48</v>
      </c>
      <c r="B49" s="4" t="s">
        <v>8649</v>
      </c>
    </row>
    <row r="50" spans="1:2">
      <c r="A50" s="150">
        <v>49</v>
      </c>
      <c r="B50" s="4" t="s">
        <v>2681</v>
      </c>
    </row>
    <row r="51" spans="1:2">
      <c r="A51" s="150">
        <v>50</v>
      </c>
      <c r="B51" s="4" t="s">
        <v>2694</v>
      </c>
    </row>
    <row r="52" spans="1:2">
      <c r="A52" s="150">
        <v>51</v>
      </c>
      <c r="B52" s="4" t="s">
        <v>2713</v>
      </c>
    </row>
    <row r="53" spans="1:2">
      <c r="A53" s="150">
        <v>52</v>
      </c>
      <c r="B53" s="4" t="s">
        <v>2720</v>
      </c>
    </row>
    <row r="54" spans="1:2">
      <c r="A54" s="150">
        <v>53</v>
      </c>
      <c r="B54" s="4" t="s">
        <v>2831</v>
      </c>
    </row>
    <row r="55" spans="1:2">
      <c r="A55" s="150">
        <v>54</v>
      </c>
      <c r="B55" s="4" t="s">
        <v>2744</v>
      </c>
    </row>
    <row r="56" spans="1:2">
      <c r="A56" s="150">
        <v>55</v>
      </c>
      <c r="B56" s="4" t="s">
        <v>2671</v>
      </c>
    </row>
    <row r="57" spans="1:2">
      <c r="A57" s="150">
        <v>56</v>
      </c>
      <c r="B57" s="4" t="s">
        <v>2754</v>
      </c>
    </row>
    <row r="58" spans="1:2">
      <c r="A58" s="150">
        <v>57</v>
      </c>
      <c r="B58" s="4" t="s">
        <v>8650</v>
      </c>
    </row>
    <row r="59" spans="1:2">
      <c r="A59" s="150">
        <v>58</v>
      </c>
      <c r="B59" s="4" t="s">
        <v>2764</v>
      </c>
    </row>
    <row r="60" spans="1:2">
      <c r="A60" s="150">
        <v>59</v>
      </c>
      <c r="B60" s="4" t="s">
        <v>2816</v>
      </c>
    </row>
    <row r="61" spans="1:2">
      <c r="A61" s="150">
        <v>60</v>
      </c>
      <c r="B61" s="4" t="s">
        <v>2823</v>
      </c>
    </row>
    <row r="62" spans="1:2">
      <c r="A62" s="150">
        <v>61</v>
      </c>
      <c r="B62" s="4" t="s">
        <v>2842</v>
      </c>
    </row>
    <row r="63" spans="1:2">
      <c r="A63" s="150">
        <v>62</v>
      </c>
      <c r="B63" s="4" t="s">
        <v>2850</v>
      </c>
    </row>
    <row r="64" spans="1:2">
      <c r="A64" s="150">
        <v>63</v>
      </c>
      <c r="B64" s="4" t="s">
        <v>2854</v>
      </c>
    </row>
    <row r="65" spans="1:2">
      <c r="A65" s="150">
        <v>64</v>
      </c>
      <c r="B65" s="4" t="s">
        <v>2886</v>
      </c>
    </row>
    <row r="66" spans="1:2">
      <c r="A66" s="150">
        <v>65</v>
      </c>
      <c r="B66" s="4" t="s">
        <v>9976</v>
      </c>
    </row>
    <row r="67" spans="1:2">
      <c r="A67" s="150">
        <v>66</v>
      </c>
      <c r="B67" s="4" t="s">
        <v>8651</v>
      </c>
    </row>
    <row r="68" spans="1:2">
      <c r="A68" s="150">
        <v>67</v>
      </c>
      <c r="B68" s="4" t="s">
        <v>3127</v>
      </c>
    </row>
    <row r="69" spans="1:2">
      <c r="A69" s="150">
        <v>68</v>
      </c>
      <c r="B69" s="4" t="s">
        <v>3922</v>
      </c>
    </row>
    <row r="70" spans="1:2">
      <c r="A70" s="150">
        <v>69</v>
      </c>
      <c r="B70" s="4" t="s">
        <v>8652</v>
      </c>
    </row>
    <row r="71" spans="1:2">
      <c r="A71" s="150">
        <v>70</v>
      </c>
      <c r="B71" s="4" t="s">
        <v>3990</v>
      </c>
    </row>
    <row r="72" spans="1:2">
      <c r="A72" s="150">
        <v>71</v>
      </c>
      <c r="B72" s="4" t="s">
        <v>8653</v>
      </c>
    </row>
    <row r="73" spans="1:2">
      <c r="A73" s="150">
        <v>72</v>
      </c>
      <c r="B73" s="4" t="s">
        <v>8654</v>
      </c>
    </row>
    <row r="74" spans="1:2">
      <c r="A74" s="150">
        <v>73</v>
      </c>
      <c r="B74" s="4" t="s">
        <v>4496</v>
      </c>
    </row>
    <row r="75" spans="1:2">
      <c r="A75" s="150">
        <v>74</v>
      </c>
      <c r="B75" s="4" t="s">
        <v>8655</v>
      </c>
    </row>
    <row r="76" spans="1:2">
      <c r="A76" s="150">
        <v>75</v>
      </c>
      <c r="B76" s="4" t="s">
        <v>8656</v>
      </c>
    </row>
    <row r="77" spans="1:2">
      <c r="A77" s="150">
        <v>76</v>
      </c>
      <c r="B77" s="4" t="s">
        <v>8657</v>
      </c>
    </row>
    <row r="78" spans="1:2">
      <c r="A78" s="150">
        <v>77</v>
      </c>
      <c r="B78" s="4" t="s">
        <v>8658</v>
      </c>
    </row>
    <row r="79" spans="1:2">
      <c r="A79" s="150">
        <v>78</v>
      </c>
      <c r="B79" s="4" t="s">
        <v>8659</v>
      </c>
    </row>
    <row r="80" spans="1:2">
      <c r="A80" s="150">
        <v>79</v>
      </c>
      <c r="B80" s="4" t="s">
        <v>5627</v>
      </c>
    </row>
    <row r="81" spans="1:2">
      <c r="A81" s="150">
        <v>80</v>
      </c>
      <c r="B81" s="4" t="s">
        <v>8660</v>
      </c>
    </row>
    <row r="82" spans="1:2">
      <c r="A82" s="150">
        <v>81</v>
      </c>
      <c r="B82" s="4" t="s">
        <v>2893</v>
      </c>
    </row>
    <row r="83" spans="1:2">
      <c r="A83" s="150">
        <v>82</v>
      </c>
      <c r="B83" s="4" t="s">
        <v>6489</v>
      </c>
    </row>
    <row r="84" spans="1:2">
      <c r="A84" s="150">
        <v>83</v>
      </c>
      <c r="B84" s="4" t="s">
        <v>8661</v>
      </c>
    </row>
    <row r="85" spans="1:2">
      <c r="A85" s="150">
        <v>84</v>
      </c>
      <c r="B85" s="4" t="s">
        <v>6504</v>
      </c>
    </row>
    <row r="86" spans="1:2">
      <c r="A86" s="150">
        <v>85</v>
      </c>
      <c r="B86" s="4" t="s">
        <v>6514</v>
      </c>
    </row>
    <row r="87" spans="1:2">
      <c r="A87" s="150">
        <v>86</v>
      </c>
      <c r="B87" s="4" t="s">
        <v>6521</v>
      </c>
    </row>
    <row r="88" spans="1:2">
      <c r="A88" s="150">
        <v>87</v>
      </c>
      <c r="B88" s="4" t="s">
        <v>5292</v>
      </c>
    </row>
    <row r="89" spans="1:2">
      <c r="A89" s="150">
        <v>88</v>
      </c>
      <c r="B89" s="4" t="s">
        <v>2659</v>
      </c>
    </row>
    <row r="90" spans="1:2">
      <c r="A90" s="150">
        <v>999</v>
      </c>
      <c r="B90" s="5" t="s">
        <v>23</v>
      </c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 ht="7.5" customHeight="1">
      <c r="A104"/>
      <c r="B104"/>
    </row>
    <row r="105" spans="1:2">
      <c r="A105"/>
      <c r="B105"/>
    </row>
    <row r="106" spans="1:2">
      <c r="A106"/>
    </row>
  </sheetData>
  <sortState ref="A2:B95">
    <sortCondition ref="A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12</vt:i4>
      </vt:variant>
    </vt:vector>
  </HeadingPairs>
  <TitlesOfParts>
    <vt:vector size="22" baseType="lpstr">
      <vt:lpstr>ddTraDa.hoja</vt:lpstr>
      <vt:lpstr>Inicio</vt:lpstr>
      <vt:lpstr>alumnos</vt:lpstr>
      <vt:lpstr>AxC</vt:lpstr>
      <vt:lpstr>AxC26</vt:lpstr>
      <vt:lpstr>Cursos</vt:lpstr>
      <vt:lpstr>Fechas</vt:lpstr>
      <vt:lpstr>Docentes</vt:lpstr>
      <vt:lpstr>tablas</vt:lpstr>
      <vt:lpstr>fac</vt:lpstr>
      <vt:lpstr>alum</vt:lpstr>
      <vt:lpstr>anios</vt:lpstr>
      <vt:lpstr>ddTraDa.hoja!Área_de_extracción</vt:lpstr>
      <vt:lpstr>estudios</vt:lpstr>
      <vt:lpstr>FiltroCargo</vt:lpstr>
      <vt:lpstr>funcion</vt:lpstr>
      <vt:lpstr>l_cursos</vt:lpstr>
      <vt:lpstr>Fechas!L_Fechas</vt:lpstr>
      <vt:lpstr>resultado</vt:lpstr>
      <vt:lpstr>tbl_Cursos</vt:lpstr>
      <vt:lpstr>unidad</vt:lpstr>
      <vt:lpstr>unidad2</vt:lpstr>
    </vt:vector>
  </TitlesOfParts>
  <Manager/>
  <Company>Private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Private</dc:creator>
  <cp:keywords/>
  <dc:description/>
  <cp:lastModifiedBy>Eugenia</cp:lastModifiedBy>
  <cp:revision/>
  <dcterms:created xsi:type="dcterms:W3CDTF">2011-04-19T00:28:00Z</dcterms:created>
  <dcterms:modified xsi:type="dcterms:W3CDTF">2026-06-30T14:00:25Z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1033-11.1.0.10161</vt:lpwstr>
  </property>
</Properties>
</file>